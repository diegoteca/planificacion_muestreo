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6" windowHeight="11040"/>
  </bookViews>
  <sheets>
    <sheet name="Nómina" sheetId="8" r:id="rId1"/>
    <sheet name="Estratos" sheetId="9" r:id="rId2"/>
    <sheet name="Fines-Sedes" sheetId="11" state="hidden" r:id="rId3"/>
  </sheets>
  <definedNames>
    <definedName name="_xlnm._FilterDatabase" localSheetId="0" hidden="1">Nómina!$C$1:$T$1633</definedName>
  </definedNames>
  <calcPr calcId="144525"/>
</workbook>
</file>

<file path=xl/calcChain.xml><?xml version="1.0" encoding="utf-8"?>
<calcChain xmlns="http://schemas.openxmlformats.org/spreadsheetml/2006/main">
  <c r="W586" i="8" l="1"/>
  <c r="W210" i="8"/>
  <c r="W639" i="8"/>
  <c r="W275" i="8"/>
  <c r="W599" i="8"/>
  <c r="W223" i="8"/>
  <c r="W225" i="8"/>
  <c r="W278" i="8"/>
  <c r="W432" i="8"/>
  <c r="W583" i="8"/>
  <c r="W320" i="8"/>
  <c r="W654" i="8"/>
  <c r="W662" i="8"/>
  <c r="W326" i="8"/>
  <c r="W441" i="8"/>
  <c r="W155" i="8"/>
  <c r="W19" i="8"/>
  <c r="W651" i="8"/>
  <c r="W336" i="8"/>
  <c r="W733" i="8"/>
  <c r="W285" i="8"/>
  <c r="W622" i="8"/>
  <c r="W730" i="8"/>
  <c r="W124" i="8"/>
  <c r="W247" i="8"/>
  <c r="W279" i="8"/>
  <c r="W521" i="8"/>
  <c r="W324" i="8"/>
  <c r="W702" i="8"/>
  <c r="W510" i="8"/>
  <c r="W489" i="8"/>
  <c r="W385" i="8"/>
  <c r="W304" i="8"/>
  <c r="W156" i="8"/>
  <c r="W219" i="8"/>
  <c r="W663" i="8"/>
  <c r="W740" i="8"/>
  <c r="W694" i="8"/>
  <c r="W154" i="8"/>
  <c r="W242" i="8"/>
  <c r="W517" i="8"/>
  <c r="W483" i="8"/>
  <c r="W173" i="8"/>
  <c r="W141" i="8"/>
  <c r="W205" i="8"/>
  <c r="W300" i="8"/>
  <c r="W743" i="8"/>
  <c r="W40" i="8"/>
  <c r="W229" i="8"/>
  <c r="W96" i="8"/>
  <c r="W720" i="8"/>
  <c r="W410" i="8"/>
  <c r="W514" i="8"/>
  <c r="W80" i="8"/>
  <c r="W212" i="8"/>
  <c r="W182" i="8"/>
  <c r="W699" i="8"/>
  <c r="W745" i="8"/>
  <c r="W661" i="8"/>
  <c r="W44" i="8"/>
  <c r="W241" i="8"/>
  <c r="W295" i="8"/>
  <c r="W657" i="8"/>
  <c r="W68" i="8"/>
  <c r="W14" i="8"/>
  <c r="W349" i="8"/>
  <c r="W708" i="8"/>
  <c r="W339" i="8"/>
  <c r="W590" i="8"/>
  <c r="W551" i="8"/>
  <c r="W572" i="8"/>
  <c r="W571" i="8"/>
  <c r="W188" i="8"/>
  <c r="W477" i="8"/>
  <c r="W327" i="8"/>
  <c r="W77" i="8"/>
  <c r="W509" i="8"/>
  <c r="W32" i="8"/>
  <c r="W308" i="8"/>
  <c r="W52" i="8"/>
  <c r="W725" i="8"/>
  <c r="W330" i="8"/>
  <c r="W15" i="8"/>
  <c r="W455" i="8"/>
  <c r="W525" i="8"/>
  <c r="W575" i="8"/>
  <c r="W412" i="8"/>
  <c r="W397" i="8"/>
  <c r="W222" i="8"/>
  <c r="W402" i="8"/>
  <c r="W390" i="8"/>
  <c r="W252" i="8"/>
  <c r="W344" i="8"/>
  <c r="W132" i="8"/>
  <c r="W79" i="8"/>
  <c r="W468" i="8"/>
  <c r="W492" i="8"/>
  <c r="W159" i="8"/>
  <c r="W281" i="8"/>
  <c r="W92" i="8"/>
  <c r="W293" i="8"/>
  <c r="W382" i="8"/>
  <c r="W352" i="8"/>
  <c r="W482" i="8"/>
  <c r="W46" i="8"/>
  <c r="W263" i="8"/>
  <c r="W76" i="8"/>
  <c r="W503" i="8"/>
  <c r="W105" i="8"/>
  <c r="W215" i="8"/>
  <c r="W207" i="8"/>
  <c r="W490" i="8"/>
  <c r="W148" i="8"/>
  <c r="W413" i="8"/>
  <c r="W524" i="8"/>
  <c r="W335" i="8"/>
  <c r="W556" i="8"/>
  <c r="W647" i="8"/>
  <c r="W738" i="8"/>
  <c r="W288" i="8"/>
  <c r="W744" i="8"/>
  <c r="W321" i="8"/>
  <c r="W150" i="8"/>
  <c r="W227" i="8"/>
  <c r="W157" i="8"/>
  <c r="W194" i="8"/>
  <c r="W142" i="8"/>
  <c r="W16" i="8"/>
  <c r="W104" i="8"/>
  <c r="W642" i="8"/>
  <c r="W691" i="8"/>
  <c r="W501" i="8"/>
  <c r="W645" i="8"/>
  <c r="W585" i="8"/>
  <c r="W522" i="8"/>
  <c r="W533" i="8"/>
  <c r="W233" i="8"/>
  <c r="W284" i="8"/>
  <c r="W713" i="8"/>
  <c r="W66" i="8"/>
  <c r="W398" i="8"/>
  <c r="W624" i="8"/>
  <c r="W253" i="8"/>
  <c r="W117" i="8"/>
  <c r="W511" i="8"/>
  <c r="W97" i="8"/>
  <c r="W287" i="8"/>
  <c r="W25" i="8"/>
  <c r="W61" i="8"/>
  <c r="W641" i="8"/>
  <c r="W584" i="8"/>
  <c r="W135" i="8"/>
  <c r="W346" i="8"/>
  <c r="W660" i="8"/>
  <c r="W472" i="8"/>
  <c r="W395" i="8"/>
  <c r="W100" i="8"/>
  <c r="W375" i="8"/>
  <c r="W185" i="8"/>
  <c r="W211" i="8"/>
  <c r="W719" i="8"/>
  <c r="W726" i="8"/>
  <c r="W131" i="8"/>
  <c r="W301" i="8"/>
  <c r="W611" i="8"/>
  <c r="W290" i="8"/>
  <c r="W199" i="8"/>
  <c r="W297" i="8"/>
  <c r="W528" i="8"/>
  <c r="W18" i="8"/>
  <c r="W90" i="8"/>
  <c r="W467" i="8"/>
  <c r="W628" i="8"/>
  <c r="W125" i="8"/>
  <c r="W164" i="8"/>
  <c r="W370" i="8"/>
  <c r="W378" i="8"/>
  <c r="W573" i="8"/>
  <c r="W486" i="8"/>
  <c r="W672" i="8"/>
  <c r="W250" i="8"/>
  <c r="W34" i="8"/>
  <c r="W298" i="8"/>
  <c r="W53" i="8"/>
  <c r="W99" i="8"/>
  <c r="W140" i="8"/>
  <c r="W596" i="8"/>
  <c r="W3" i="8"/>
  <c r="W8" i="8"/>
  <c r="W612" i="8"/>
  <c r="W170" i="8"/>
  <c r="W561" i="8"/>
  <c r="W379" i="8"/>
  <c r="W24" i="8"/>
  <c r="W414" i="8"/>
  <c r="W409" i="8"/>
  <c r="W317" i="8"/>
  <c r="W106" i="8"/>
  <c r="W465" i="8"/>
  <c r="W494" i="8"/>
  <c r="W688" i="8"/>
  <c r="W668" i="8"/>
  <c r="W666" i="8"/>
  <c r="W693" i="8"/>
  <c r="W711" i="8"/>
  <c r="W200" i="8"/>
  <c r="W633" i="8"/>
  <c r="W169" i="8"/>
  <c r="W55" i="8"/>
  <c r="W251" i="8"/>
  <c r="W47" i="8"/>
  <c r="W239" i="8"/>
  <c r="W440" i="8"/>
  <c r="W419" i="8"/>
  <c r="W353" i="8"/>
  <c r="W112" i="8"/>
  <c r="W258" i="8"/>
  <c r="W637" i="8"/>
  <c r="W408" i="8"/>
  <c r="W355" i="8"/>
  <c r="W107" i="8"/>
  <c r="W369" i="8"/>
  <c r="W57" i="8"/>
  <c r="W168" i="8"/>
  <c r="W109" i="8"/>
  <c r="W322" i="8"/>
  <c r="W562" i="8"/>
  <c r="W481" i="8"/>
  <c r="W598" i="8"/>
  <c r="W93" i="8"/>
  <c r="W653" i="8"/>
  <c r="W667" i="8"/>
  <c r="W152" i="8"/>
  <c r="W386" i="8"/>
  <c r="W411" i="8"/>
  <c r="W615" i="8"/>
  <c r="W374" i="8"/>
  <c r="W675" i="8"/>
  <c r="W98" i="8"/>
  <c r="W153" i="8"/>
  <c r="W6" i="8"/>
  <c r="W670" i="8"/>
  <c r="W270" i="8"/>
  <c r="W538" i="8"/>
  <c r="W563" i="8"/>
  <c r="W471" i="8"/>
  <c r="W539" i="8"/>
  <c r="W289" i="8"/>
  <c r="W678" i="8"/>
  <c r="W58" i="8"/>
  <c r="W282" i="8"/>
  <c r="W484" i="8"/>
  <c r="W203" i="8"/>
  <c r="W515" i="8"/>
  <c r="W658" i="8"/>
  <c r="W629" i="8"/>
  <c r="W318" i="8"/>
  <c r="W214" i="8"/>
  <c r="W491" i="8"/>
  <c r="W436" i="8"/>
  <c r="W30" i="8"/>
  <c r="W111" i="8"/>
  <c r="W607" i="8"/>
  <c r="W202" i="8"/>
  <c r="W333" i="8"/>
  <c r="W276" i="8"/>
  <c r="W737" i="8"/>
  <c r="W620" i="8"/>
  <c r="W518" i="8"/>
  <c r="W186" i="8"/>
  <c r="W264" i="8"/>
  <c r="W9" i="8"/>
  <c r="W452" i="8"/>
  <c r="W28" i="8"/>
  <c r="W371" i="8"/>
  <c r="W677" i="8"/>
  <c r="W632" i="8"/>
  <c r="W394" i="8"/>
  <c r="W461" i="8"/>
  <c r="W496" i="8"/>
  <c r="W72" i="8"/>
  <c r="W681" i="8"/>
  <c r="W201" i="8"/>
  <c r="W617" i="8"/>
  <c r="W311" i="8"/>
  <c r="W94" i="8"/>
  <c r="W434" i="8"/>
  <c r="W291" i="8"/>
  <c r="W614" i="8"/>
  <c r="W674" i="8"/>
  <c r="W715" i="8"/>
  <c r="W393" i="8"/>
  <c r="W685" i="8"/>
  <c r="W305" i="8"/>
  <c r="W680" i="8"/>
  <c r="W508" i="8"/>
  <c r="W128" i="8"/>
  <c r="W619" i="8"/>
  <c r="W268" i="8"/>
  <c r="W257" i="8"/>
  <c r="W470" i="8"/>
  <c r="W732" i="8"/>
  <c r="W567" i="8"/>
  <c r="W574" i="8"/>
  <c r="W391" i="8"/>
  <c r="W347" i="8"/>
  <c r="W372" i="8"/>
  <c r="W4" i="8"/>
  <c r="W71" i="8"/>
  <c r="W277" i="8"/>
  <c r="W469" i="8"/>
  <c r="W171" i="8"/>
  <c r="W91" i="8"/>
  <c r="W113" i="8"/>
  <c r="W216" i="8"/>
  <c r="W507" i="8"/>
  <c r="W444" i="8"/>
  <c r="W356" i="8"/>
  <c r="W67" i="8"/>
  <c r="W447" i="8"/>
  <c r="W184" i="8"/>
  <c r="W340" i="8"/>
  <c r="W218" i="8"/>
  <c r="W504" i="8"/>
  <c r="W630" i="8"/>
  <c r="W261" i="8"/>
  <c r="W627" i="8"/>
  <c r="W332" i="8"/>
  <c r="W418" i="8"/>
  <c r="W721" i="8"/>
  <c r="W698" i="8"/>
  <c r="W177" i="8"/>
  <c r="W197" i="8"/>
  <c r="W175" i="8"/>
  <c r="W86" i="8"/>
  <c r="W292" i="8"/>
  <c r="W480" i="8"/>
  <c r="W33" i="8"/>
  <c r="W88" i="8"/>
  <c r="W541" i="8"/>
  <c r="W309" i="8"/>
  <c r="W704" i="8"/>
  <c r="W618" i="8"/>
  <c r="W550" i="8"/>
  <c r="W608" i="8"/>
  <c r="W307" i="8"/>
  <c r="W354" i="8"/>
  <c r="W565" i="8"/>
  <c r="W196" i="8"/>
  <c r="W422" i="8"/>
  <c r="W438" i="8"/>
  <c r="W342" i="8"/>
  <c r="W35" i="8"/>
  <c r="W39" i="8"/>
  <c r="W497" i="8"/>
  <c r="W373" i="8"/>
  <c r="W729" i="8"/>
  <c r="W696" i="8"/>
  <c r="W38" i="8"/>
  <c r="W145" i="8"/>
  <c r="W384" i="8"/>
  <c r="W520" i="8"/>
  <c r="W231" i="8"/>
  <c r="W13" i="8"/>
  <c r="W643" i="8"/>
  <c r="W437" i="8"/>
  <c r="W476" i="8"/>
  <c r="W103" i="8"/>
  <c r="W180" i="8"/>
  <c r="W554" i="8"/>
  <c r="W403" i="8"/>
  <c r="W588" i="8"/>
  <c r="W527" i="8"/>
  <c r="W181" i="8"/>
  <c r="W345" i="8"/>
  <c r="W191" i="8"/>
  <c r="W337" i="8"/>
  <c r="W341" i="8"/>
  <c r="W428" i="8"/>
  <c r="W682" i="8"/>
  <c r="W485" i="8"/>
  <c r="W734" i="8"/>
  <c r="W368" i="8"/>
  <c r="W449" i="8"/>
  <c r="W587" i="8"/>
  <c r="W466" i="8"/>
  <c r="W208" i="8"/>
  <c r="W82" i="8"/>
  <c r="W23" i="8"/>
  <c r="W146" i="8"/>
  <c r="W49" i="8"/>
  <c r="W217" i="8"/>
  <c r="W640" i="8"/>
  <c r="W665" i="8"/>
  <c r="W187" i="8"/>
  <c r="W399" i="8"/>
  <c r="W144" i="8"/>
  <c r="W167" i="8"/>
  <c r="W126" i="8"/>
  <c r="W714" i="8"/>
  <c r="W162" i="8"/>
  <c r="W116" i="8"/>
  <c r="W179" i="8"/>
  <c r="W161" i="8"/>
  <c r="W526" i="8"/>
  <c r="W464" i="8"/>
  <c r="W129" i="8"/>
  <c r="W17" i="8"/>
  <c r="W700" i="8"/>
  <c r="W443" i="8"/>
  <c r="W723" i="8"/>
  <c r="W613" i="8"/>
  <c r="W664" i="8"/>
  <c r="W404" i="8"/>
  <c r="W232" i="8"/>
  <c r="W435" i="8"/>
  <c r="W59" i="8"/>
  <c r="W687" i="8"/>
  <c r="W7" i="8"/>
  <c r="W206" i="8"/>
  <c r="W329" i="8"/>
  <c r="W312" i="8"/>
  <c r="W136" i="8"/>
  <c r="W172" i="8"/>
  <c r="W505" i="8"/>
  <c r="W364" i="8"/>
  <c r="W230" i="8"/>
  <c r="W545" i="8"/>
  <c r="W741" i="8"/>
  <c r="W427" i="8"/>
  <c r="W742" i="8"/>
  <c r="W429" i="8"/>
  <c r="W610" i="8"/>
  <c r="W578" i="8"/>
  <c r="W636" i="8"/>
  <c r="W323" i="8"/>
  <c r="W473" i="8"/>
  <c r="W209" i="8"/>
  <c r="W314" i="8"/>
  <c r="W245" i="8"/>
  <c r="W365" i="8"/>
  <c r="W303" i="8"/>
  <c r="W101" i="8"/>
  <c r="W602" i="8"/>
  <c r="W544" i="8"/>
  <c r="W506" i="8"/>
  <c r="W26" i="8"/>
  <c r="W552" i="8"/>
  <c r="W158" i="8"/>
  <c r="W728" i="8"/>
  <c r="W635" i="8"/>
  <c r="W703" i="8"/>
  <c r="W325" i="8"/>
  <c r="W669" i="8"/>
  <c r="W143" i="8"/>
  <c r="W193" i="8"/>
  <c r="W166" i="8"/>
  <c r="W426" i="8"/>
  <c r="W249" i="8"/>
  <c r="W458" i="8"/>
  <c r="W178" i="8"/>
  <c r="W686" i="8"/>
  <c r="W213" i="8"/>
  <c r="W450" i="8"/>
  <c r="W11" i="8"/>
  <c r="W31" i="8"/>
  <c r="W448" i="8"/>
  <c r="W498" i="8"/>
  <c r="W592" i="8"/>
  <c r="W260" i="8"/>
  <c r="W529" i="8"/>
  <c r="W265" i="8"/>
  <c r="W235" i="8"/>
  <c r="W655" i="8"/>
  <c r="W134" i="8"/>
  <c r="W535" i="8"/>
  <c r="W739" i="8"/>
  <c r="W474" i="8"/>
  <c r="W621" i="8"/>
  <c r="W248" i="8"/>
  <c r="W523" i="8"/>
  <c r="W54" i="8"/>
  <c r="W454" i="8"/>
  <c r="W709" i="8"/>
  <c r="W137" i="8"/>
  <c r="W313" i="8"/>
  <c r="W417" i="8"/>
  <c r="W735" i="8"/>
  <c r="W731" i="8"/>
  <c r="W296" i="8"/>
  <c r="W70" i="8"/>
  <c r="W183" i="8"/>
  <c r="W626" i="8"/>
  <c r="W83" i="8"/>
  <c r="W361" i="8"/>
  <c r="W198" i="8"/>
  <c r="W631" i="8"/>
  <c r="W302" i="8"/>
  <c r="W221" i="8"/>
  <c r="W445" i="8"/>
  <c r="W513" i="8"/>
  <c r="W547" i="8"/>
  <c r="W566" i="8"/>
  <c r="W557" i="8"/>
  <c r="W269" i="8"/>
  <c r="W121" i="8"/>
  <c r="W388" i="8"/>
  <c r="W597" i="8"/>
  <c r="W646" i="8"/>
  <c r="W228" i="8"/>
  <c r="W580" i="8"/>
  <c r="W401" i="8"/>
  <c r="W306" i="8"/>
  <c r="W707" i="8"/>
  <c r="W102" i="8"/>
  <c r="W351" i="8"/>
  <c r="W65" i="8"/>
  <c r="W366" i="8"/>
  <c r="W343" i="8"/>
  <c r="W259" i="8"/>
  <c r="W234" i="8"/>
  <c r="W493" i="8"/>
  <c r="W165" i="8"/>
  <c r="W568" i="8"/>
  <c r="W479" i="8"/>
  <c r="W425" i="8"/>
  <c r="W433" i="8"/>
  <c r="W456" i="8"/>
  <c r="W147" i="8"/>
  <c r="W176" i="8"/>
  <c r="W531" i="8"/>
  <c r="W656" i="8"/>
  <c r="W78" i="8"/>
  <c r="W459" i="8"/>
  <c r="W75" i="8"/>
  <c r="W530" i="8"/>
  <c r="W220" i="8"/>
  <c r="W600" i="8"/>
  <c r="W736" i="8"/>
  <c r="W383" i="8"/>
  <c r="W683" i="8"/>
  <c r="W648" i="8"/>
  <c r="W673" i="8"/>
  <c r="W400" i="8"/>
  <c r="W299" i="8"/>
  <c r="W591" i="8"/>
  <c r="W392" i="8"/>
  <c r="W37" i="8"/>
  <c r="W553" i="8"/>
  <c r="W316" i="8"/>
  <c r="W122" i="8"/>
  <c r="W73" i="8"/>
  <c r="W310" i="8"/>
  <c r="W45" i="8"/>
  <c r="W359" i="8"/>
  <c r="W195" i="8"/>
  <c r="W381" i="8"/>
  <c r="W22" i="8"/>
  <c r="W377" i="8"/>
  <c r="W569" i="8"/>
  <c r="W243" i="8"/>
  <c r="W123" i="8"/>
  <c r="W280" i="8"/>
  <c r="W272" i="8"/>
  <c r="W679" i="8"/>
  <c r="W540" i="8"/>
  <c r="W20" i="8"/>
  <c r="W478" i="8"/>
  <c r="W606" i="8"/>
  <c r="W63" i="8"/>
  <c r="W160" i="8"/>
  <c r="W603" i="8"/>
  <c r="W634" i="8"/>
  <c r="W712" i="8"/>
  <c r="W405" i="8"/>
  <c r="W319" i="8"/>
  <c r="W638" i="8"/>
  <c r="W560" i="8"/>
  <c r="W692" i="8"/>
  <c r="W717" i="8"/>
  <c r="W27" i="8"/>
  <c r="W363" i="8"/>
  <c r="W442" i="8"/>
  <c r="W549" i="8"/>
  <c r="W644" i="8"/>
  <c r="W487" i="8"/>
  <c r="W255" i="8"/>
  <c r="W237" i="8"/>
  <c r="W262" i="8"/>
  <c r="W110" i="8"/>
  <c r="W724" i="8"/>
  <c r="W576" i="8"/>
  <c r="W420" i="8"/>
  <c r="W29" i="8"/>
  <c r="W722" i="8"/>
  <c r="W41" i="8"/>
  <c r="W84" i="8"/>
  <c r="W604" i="8"/>
  <c r="W115" i="8"/>
  <c r="W334" i="8"/>
  <c r="W81" i="8"/>
  <c r="W706" i="8"/>
  <c r="W50" i="8"/>
  <c r="W130" i="8"/>
  <c r="W570" i="8"/>
  <c r="W475" i="8"/>
  <c r="W149" i="8"/>
  <c r="W564" i="8"/>
  <c r="W460" i="8"/>
  <c r="W684" i="8"/>
  <c r="W650" i="8"/>
  <c r="W376" i="8"/>
  <c r="W532" i="8"/>
  <c r="W652" i="8"/>
  <c r="W727" i="8"/>
  <c r="W36" i="8"/>
  <c r="W581" i="8"/>
  <c r="W360" i="8"/>
  <c r="W453" i="8"/>
  <c r="W718" i="8"/>
  <c r="W689" i="8"/>
  <c r="W174" i="8"/>
  <c r="W139" i="8"/>
  <c r="W118" i="8"/>
  <c r="W595" i="8"/>
  <c r="W463" i="8"/>
  <c r="W48" i="8"/>
  <c r="W294" i="8"/>
  <c r="W705" i="8"/>
  <c r="W389" i="8"/>
  <c r="W21" i="8"/>
  <c r="W601" i="8"/>
  <c r="W695" i="8"/>
  <c r="W64" i="8"/>
  <c r="W69" i="8"/>
  <c r="W416" i="8"/>
  <c r="W534" i="8"/>
  <c r="W609" i="8"/>
  <c r="W127" i="8"/>
  <c r="W274" i="8"/>
  <c r="W5" i="8"/>
  <c r="W273" i="8"/>
  <c r="W690" i="8"/>
  <c r="W380" i="8"/>
  <c r="W331" i="8"/>
  <c r="W559" i="8"/>
  <c r="W286" i="8"/>
  <c r="W488" i="8"/>
  <c r="W240" i="8"/>
  <c r="W120" i="8"/>
  <c r="W87" i="8"/>
  <c r="W256" i="8"/>
  <c r="W2" i="8"/>
  <c r="W462" i="8"/>
  <c r="W659" i="8"/>
  <c r="W89" i="8"/>
  <c r="W315" i="8"/>
  <c r="W190" i="8"/>
  <c r="W119" i="8"/>
  <c r="W133" i="8"/>
  <c r="W577" i="8"/>
  <c r="W85" i="8"/>
  <c r="W605" i="8"/>
  <c r="W519" i="8"/>
  <c r="W348" i="8"/>
  <c r="W623" i="8"/>
  <c r="W189" i="8"/>
  <c r="W396" i="8"/>
  <c r="W338" i="8"/>
  <c r="W697" i="8"/>
  <c r="W108" i="8"/>
  <c r="W542" i="8"/>
  <c r="W283" i="8"/>
  <c r="W512" i="8"/>
  <c r="W362" i="8"/>
  <c r="W95" i="8"/>
  <c r="W271" i="8"/>
  <c r="W358" i="8"/>
  <c r="W204" i="8"/>
  <c r="W555" i="8"/>
  <c r="W430" i="8"/>
  <c r="W238" i="8"/>
  <c r="W625" i="8"/>
  <c r="W543" i="8"/>
  <c r="W421" i="8"/>
  <c r="W387" i="8"/>
  <c r="W589" i="8"/>
  <c r="W226" i="8"/>
  <c r="W495" i="8"/>
  <c r="W424" i="8"/>
  <c r="W649" i="8"/>
  <c r="W62" i="8"/>
  <c r="W254" i="8"/>
  <c r="W446" i="8"/>
  <c r="W224" i="8"/>
  <c r="W350" i="8"/>
  <c r="W236" i="8"/>
  <c r="W138" i="8"/>
  <c r="W12" i="8"/>
  <c r="W537" i="8"/>
  <c r="W593" i="8"/>
  <c r="W267" i="8"/>
  <c r="W716" i="8"/>
  <c r="W43" i="8"/>
  <c r="W42" i="8"/>
  <c r="W114" i="8"/>
  <c r="W407" i="8"/>
  <c r="W671" i="8"/>
  <c r="W451" i="8"/>
  <c r="W56" i="8"/>
  <c r="W558" i="8"/>
  <c r="W423" i="8"/>
  <c r="W457" i="8"/>
  <c r="W676" i="8"/>
  <c r="W701" i="8"/>
  <c r="W244" i="8"/>
  <c r="W579" i="8"/>
  <c r="W74" i="8"/>
  <c r="W536" i="8"/>
  <c r="W357" i="8"/>
  <c r="W192" i="8"/>
  <c r="W60" i="8"/>
  <c r="W163" i="8"/>
  <c r="W51" i="8"/>
  <c r="W431" i="8"/>
  <c r="W710" i="8"/>
  <c r="W246" i="8"/>
  <c r="W516" i="8"/>
  <c r="W367" i="8"/>
  <c r="W594" i="8"/>
  <c r="W439" i="8"/>
  <c r="W415" i="8"/>
  <c r="W502" i="8"/>
  <c r="W499" i="8"/>
  <c r="W616" i="8"/>
  <c r="W10" i="8"/>
  <c r="W546" i="8"/>
  <c r="W151" i="8"/>
  <c r="W500" i="8"/>
  <c r="W328" i="8"/>
  <c r="W406" i="8"/>
  <c r="W548" i="8"/>
  <c r="W582" i="8"/>
  <c r="W266" i="8"/>
  <c r="N4" i="9"/>
  <c r="O4" i="9"/>
  <c r="P4" i="9"/>
  <c r="N5" i="9"/>
  <c r="O5" i="9"/>
  <c r="P5" i="9"/>
  <c r="N6" i="9"/>
  <c r="O6" i="9"/>
  <c r="P6" i="9"/>
  <c r="O3" i="9"/>
  <c r="O7" i="9" s="1"/>
  <c r="P3" i="9"/>
  <c r="N3" i="9"/>
  <c r="V586" i="8"/>
  <c r="V210" i="8"/>
  <c r="V639" i="8"/>
  <c r="V275" i="8"/>
  <c r="V599" i="8"/>
  <c r="V223" i="8"/>
  <c r="V225" i="8"/>
  <c r="V278" i="8"/>
  <c r="V432" i="8"/>
  <c r="V583" i="8"/>
  <c r="V320" i="8"/>
  <c r="V654" i="8"/>
  <c r="V662" i="8"/>
  <c r="V326" i="8"/>
  <c r="V441" i="8"/>
  <c r="V155" i="8"/>
  <c r="V19" i="8"/>
  <c r="V651" i="8"/>
  <c r="V336" i="8"/>
  <c r="V733" i="8"/>
  <c r="V285" i="8"/>
  <c r="V622" i="8"/>
  <c r="V730" i="8"/>
  <c r="V124" i="8"/>
  <c r="V247" i="8"/>
  <c r="V279" i="8"/>
  <c r="V521" i="8"/>
  <c r="V324" i="8"/>
  <c r="V702" i="8"/>
  <c r="V510" i="8"/>
  <c r="V489" i="8"/>
  <c r="V385" i="8"/>
  <c r="V304" i="8"/>
  <c r="V156" i="8"/>
  <c r="V219" i="8"/>
  <c r="V1388" i="8"/>
  <c r="W1388" i="8" s="1"/>
  <c r="V1377" i="8"/>
  <c r="W1377" i="8" s="1"/>
  <c r="V1379" i="8"/>
  <c r="W1379" i="8" s="1"/>
  <c r="V1393" i="8"/>
  <c r="W1393" i="8" s="1"/>
  <c r="V1492" i="8"/>
  <c r="W1492" i="8" s="1"/>
  <c r="V1412" i="8"/>
  <c r="W1412" i="8" s="1"/>
  <c r="V1313" i="8"/>
  <c r="W1313" i="8" s="1"/>
  <c r="V1415" i="8"/>
  <c r="W1415" i="8" s="1"/>
  <c r="V1487" i="8"/>
  <c r="W1487" i="8" s="1"/>
  <c r="V1479" i="8"/>
  <c r="W1479" i="8" s="1"/>
  <c r="V1356" i="8"/>
  <c r="W1356" i="8" s="1"/>
  <c r="V1448" i="8"/>
  <c r="W1448" i="8" s="1"/>
  <c r="V1501" i="8"/>
  <c r="W1501" i="8" s="1"/>
  <c r="V1419" i="8"/>
  <c r="W1419" i="8" s="1"/>
  <c r="V1441" i="8"/>
  <c r="W1441" i="8" s="1"/>
  <c r="V1518" i="8"/>
  <c r="W1518" i="8" s="1"/>
  <c r="V923" i="8"/>
  <c r="W923" i="8" s="1"/>
  <c r="V1008" i="8"/>
  <c r="W1008" i="8" s="1"/>
  <c r="V808" i="8"/>
  <c r="W808" i="8" s="1"/>
  <c r="V934" i="8"/>
  <c r="W934" i="8" s="1"/>
  <c r="V861" i="8"/>
  <c r="W861" i="8" s="1"/>
  <c r="V1066" i="8"/>
  <c r="W1066" i="8" s="1"/>
  <c r="V1088" i="8"/>
  <c r="W1088" i="8" s="1"/>
  <c r="V853" i="8"/>
  <c r="W853" i="8" s="1"/>
  <c r="V922" i="8"/>
  <c r="W922" i="8" s="1"/>
  <c r="V992" i="8"/>
  <c r="W992" i="8" s="1"/>
  <c r="V957" i="8"/>
  <c r="W957" i="8" s="1"/>
  <c r="V775" i="8"/>
  <c r="W775" i="8" s="1"/>
  <c r="V1018" i="8"/>
  <c r="W1018" i="8" s="1"/>
  <c r="V890" i="8"/>
  <c r="W890" i="8" s="1"/>
  <c r="V776" i="8"/>
  <c r="W776" i="8" s="1"/>
  <c r="V971" i="8"/>
  <c r="W971" i="8" s="1"/>
  <c r="V1028" i="8"/>
  <c r="W1028" i="8" s="1"/>
  <c r="V968" i="8"/>
  <c r="W968" i="8" s="1"/>
  <c r="V1017" i="8"/>
  <c r="W1017" i="8" s="1"/>
  <c r="V1117" i="8"/>
  <c r="W1117" i="8" s="1"/>
  <c r="V885" i="8"/>
  <c r="W885" i="8" s="1"/>
  <c r="V809" i="8"/>
  <c r="W809" i="8" s="1"/>
  <c r="V884" i="8"/>
  <c r="W884" i="8" s="1"/>
  <c r="V904" i="8"/>
  <c r="W904" i="8" s="1"/>
  <c r="V757" i="8"/>
  <c r="W757" i="8" s="1"/>
  <c r="V748" i="8"/>
  <c r="W748" i="8" s="1"/>
  <c r="V762" i="8"/>
  <c r="W762" i="8" s="1"/>
  <c r="V663" i="8"/>
  <c r="V740" i="8"/>
  <c r="V694" i="8"/>
  <c r="V154" i="8"/>
  <c r="V242" i="8"/>
  <c r="V517" i="8"/>
  <c r="V1175" i="8"/>
  <c r="W1175" i="8" s="1"/>
  <c r="V1228" i="8"/>
  <c r="W1228" i="8" s="1"/>
  <c r="V483" i="8"/>
  <c r="V1536" i="8"/>
  <c r="W1536" i="8" s="1"/>
  <c r="V1124" i="8"/>
  <c r="W1124" i="8" s="1"/>
  <c r="V173" i="8"/>
  <c r="V141" i="8"/>
  <c r="V205" i="8"/>
  <c r="V300" i="8"/>
  <c r="V743" i="8"/>
  <c r="V40" i="8"/>
  <c r="V229" i="8"/>
  <c r="V96" i="8"/>
  <c r="V720" i="8"/>
  <c r="V410" i="8"/>
  <c r="V514" i="8"/>
  <c r="V80" i="8"/>
  <c r="V212" i="8"/>
  <c r="V182" i="8"/>
  <c r="V699" i="8"/>
  <c r="V745" i="8"/>
  <c r="V661" i="8"/>
  <c r="V44" i="8"/>
  <c r="V241" i="8"/>
  <c r="V295" i="8"/>
  <c r="V657" i="8"/>
  <c r="V68" i="8"/>
  <c r="V14" i="8"/>
  <c r="V349" i="8"/>
  <c r="V708" i="8"/>
  <c r="V1370" i="8"/>
  <c r="W1370" i="8" s="1"/>
  <c r="V1374" i="8"/>
  <c r="W1374" i="8" s="1"/>
  <c r="V1306" i="8"/>
  <c r="W1306" i="8" s="1"/>
  <c r="V1500" i="8"/>
  <c r="W1500" i="8" s="1"/>
  <c r="V1352" i="8"/>
  <c r="W1352" i="8" s="1"/>
  <c r="V1417" i="8"/>
  <c r="W1417" i="8" s="1"/>
  <c r="V1331" i="8"/>
  <c r="W1331" i="8" s="1"/>
  <c r="V1404" i="8"/>
  <c r="W1404" i="8" s="1"/>
  <c r="V1350" i="8"/>
  <c r="W1350" i="8" s="1"/>
  <c r="V1362" i="8"/>
  <c r="W1362" i="8" s="1"/>
  <c r="V1491" i="8"/>
  <c r="W1491" i="8" s="1"/>
  <c r="V1504" i="8"/>
  <c r="W1504" i="8" s="1"/>
  <c r="V1109" i="8"/>
  <c r="W1109" i="8" s="1"/>
  <c r="V997" i="8"/>
  <c r="W997" i="8" s="1"/>
  <c r="V883" i="8"/>
  <c r="W883" i="8" s="1"/>
  <c r="V995" i="8"/>
  <c r="W995" i="8" s="1"/>
  <c r="V1049" i="8"/>
  <c r="W1049" i="8" s="1"/>
  <c r="V1078" i="8"/>
  <c r="W1078" i="8" s="1"/>
  <c r="V1011" i="8"/>
  <c r="W1011" i="8" s="1"/>
  <c r="V826" i="8"/>
  <c r="W826" i="8" s="1"/>
  <c r="V996" i="8"/>
  <c r="W996" i="8" s="1"/>
  <c r="V339" i="8"/>
  <c r="V590" i="8"/>
  <c r="V551" i="8"/>
  <c r="V572" i="8"/>
  <c r="V571" i="8"/>
  <c r="V188" i="8"/>
  <c r="V477" i="8"/>
  <c r="V327" i="8"/>
  <c r="V77" i="8"/>
  <c r="V509" i="8"/>
  <c r="V32" i="8"/>
  <c r="V308" i="8"/>
  <c r="V52" i="8"/>
  <c r="V725" i="8"/>
  <c r="V330" i="8"/>
  <c r="V1338" i="8"/>
  <c r="W1338" i="8" s="1"/>
  <c r="V1494" i="8"/>
  <c r="W1494" i="8" s="1"/>
  <c r="V1363" i="8"/>
  <c r="W1363" i="8" s="1"/>
  <c r="V1460" i="8"/>
  <c r="W1460" i="8" s="1"/>
  <c r="V1394" i="8"/>
  <c r="W1394" i="8" s="1"/>
  <c r="V1511" i="8"/>
  <c r="W1511" i="8" s="1"/>
  <c r="V1329" i="8"/>
  <c r="W1329" i="8" s="1"/>
  <c r="V1524" i="8"/>
  <c r="W1524" i="8" s="1"/>
  <c r="V839" i="8"/>
  <c r="W839" i="8" s="1"/>
  <c r="V1000" i="8"/>
  <c r="W1000" i="8" s="1"/>
  <c r="V927" i="8"/>
  <c r="W927" i="8" s="1"/>
  <c r="V791" i="8"/>
  <c r="W791" i="8" s="1"/>
  <c r="V819" i="8"/>
  <c r="W819" i="8" s="1"/>
  <c r="V1014" i="8"/>
  <c r="W1014" i="8" s="1"/>
  <c r="V754" i="8"/>
  <c r="W754" i="8" s="1"/>
  <c r="V15" i="8"/>
  <c r="V455" i="8"/>
  <c r="V525" i="8"/>
  <c r="V575" i="8"/>
  <c r="V412" i="8"/>
  <c r="V1599" i="8"/>
  <c r="W1599" i="8" s="1"/>
  <c r="V1187" i="8"/>
  <c r="W1187" i="8" s="1"/>
  <c r="V397" i="8"/>
  <c r="V222" i="8"/>
  <c r="V402" i="8"/>
  <c r="V390" i="8"/>
  <c r="V1610" i="8"/>
  <c r="W1610" i="8" s="1"/>
  <c r="V1589" i="8"/>
  <c r="W1589" i="8" s="1"/>
  <c r="V1229" i="8"/>
  <c r="W1229" i="8" s="1"/>
  <c r="V1215" i="8"/>
  <c r="W1215" i="8" s="1"/>
  <c r="V252" i="8"/>
  <c r="V344" i="8"/>
  <c r="V132" i="8"/>
  <c r="V79" i="8"/>
  <c r="V468" i="8"/>
  <c r="V492" i="8"/>
  <c r="V159" i="8"/>
  <c r="V281" i="8"/>
  <c r="V92" i="8"/>
  <c r="V293" i="8"/>
  <c r="V382" i="8"/>
  <c r="V352" i="8"/>
  <c r="V482" i="8"/>
  <c r="V46" i="8"/>
  <c r="V263" i="8"/>
  <c r="V76" i="8"/>
  <c r="V1594" i="8"/>
  <c r="W1594" i="8" s="1"/>
  <c r="V1560" i="8"/>
  <c r="W1560" i="8" s="1"/>
  <c r="V1540" i="8"/>
  <c r="W1540" i="8" s="1"/>
  <c r="V1611" i="8"/>
  <c r="W1611" i="8" s="1"/>
  <c r="V1529" i="8"/>
  <c r="W1529" i="8" s="1"/>
  <c r="V1127" i="8"/>
  <c r="W1127" i="8" s="1"/>
  <c r="V1174" i="8"/>
  <c r="W1174" i="8" s="1"/>
  <c r="V1245" i="8"/>
  <c r="W1245" i="8" s="1"/>
  <c r="V1155" i="8"/>
  <c r="W1155" i="8" s="1"/>
  <c r="V1207" i="8"/>
  <c r="W1207" i="8" s="1"/>
  <c r="V1274" i="8"/>
  <c r="W1274" i="8" s="1"/>
  <c r="V1286" i="8"/>
  <c r="W1286" i="8" s="1"/>
  <c r="V1292" i="8"/>
  <c r="W1292" i="8" s="1"/>
  <c r="V1271" i="8"/>
  <c r="W1271" i="8" s="1"/>
  <c r="V1125" i="8"/>
  <c r="W1125" i="8" s="1"/>
  <c r="V1219" i="8"/>
  <c r="W1219" i="8" s="1"/>
  <c r="V1189" i="8"/>
  <c r="W1189" i="8" s="1"/>
  <c r="V1182" i="8"/>
  <c r="W1182" i="8" s="1"/>
  <c r="V1260" i="8"/>
  <c r="W1260" i="8" s="1"/>
  <c r="V746" i="8"/>
  <c r="W746" i="8" s="1"/>
  <c r="V503" i="8"/>
  <c r="V105" i="8"/>
  <c r="V215" i="8"/>
  <c r="V207" i="8"/>
  <c r="V490" i="8"/>
  <c r="V148" i="8"/>
  <c r="V1556" i="8"/>
  <c r="W1556" i="8" s="1"/>
  <c r="V1565" i="8"/>
  <c r="W1565" i="8" s="1"/>
  <c r="V1211" i="8"/>
  <c r="W1211" i="8" s="1"/>
  <c r="V413" i="8"/>
  <c r="V524" i="8"/>
  <c r="V335" i="8"/>
  <c r="V556" i="8"/>
  <c r="V1161" i="8"/>
  <c r="W1161" i="8" s="1"/>
  <c r="V1293" i="8"/>
  <c r="W1293" i="8" s="1"/>
  <c r="V1251" i="8"/>
  <c r="W1251" i="8" s="1"/>
  <c r="V1236" i="8"/>
  <c r="W1236" i="8" s="1"/>
  <c r="V647" i="8"/>
  <c r="V738" i="8"/>
  <c r="V288" i="8"/>
  <c r="V744" i="8"/>
  <c r="V1595" i="8"/>
  <c r="W1595" i="8" s="1"/>
  <c r="V1298" i="8"/>
  <c r="W1298" i="8" s="1"/>
  <c r="V321" i="8"/>
  <c r="V150" i="8"/>
  <c r="V227" i="8"/>
  <c r="V1550" i="8"/>
  <c r="W1550" i="8" s="1"/>
  <c r="V1628" i="8"/>
  <c r="W1628" i="8" s="1"/>
  <c r="V1217" i="8"/>
  <c r="W1217" i="8" s="1"/>
  <c r="V1171" i="8"/>
  <c r="W1171" i="8" s="1"/>
  <c r="V1146" i="8"/>
  <c r="W1146" i="8" s="1"/>
  <c r="V157" i="8"/>
  <c r="V1568" i="8"/>
  <c r="W1568" i="8" s="1"/>
  <c r="V1243" i="8"/>
  <c r="W1243" i="8" s="1"/>
  <c r="V1294" i="8"/>
  <c r="W1294" i="8" s="1"/>
  <c r="V194" i="8"/>
  <c r="V142" i="8"/>
  <c r="V1469" i="8"/>
  <c r="W1469" i="8" s="1"/>
  <c r="V1027" i="8"/>
  <c r="W1027" i="8" s="1"/>
  <c r="V906" i="8"/>
  <c r="W906" i="8" s="1"/>
  <c r="V914" i="8"/>
  <c r="W914" i="8" s="1"/>
  <c r="V16" i="8"/>
  <c r="V104" i="8"/>
  <c r="V642" i="8"/>
  <c r="V691" i="8"/>
  <c r="V501" i="8"/>
  <c r="V645" i="8"/>
  <c r="V1321" i="8"/>
  <c r="W1321" i="8" s="1"/>
  <c r="V1308" i="8"/>
  <c r="W1308" i="8" s="1"/>
  <c r="V1346" i="8"/>
  <c r="W1346" i="8" s="1"/>
  <c r="V1073" i="8"/>
  <c r="W1073" i="8" s="1"/>
  <c r="V893" i="8"/>
  <c r="W893" i="8" s="1"/>
  <c r="V1048" i="8"/>
  <c r="W1048" i="8" s="1"/>
  <c r="V903" i="8"/>
  <c r="W903" i="8" s="1"/>
  <c r="V940" i="8"/>
  <c r="W940" i="8" s="1"/>
  <c r="V1086" i="8"/>
  <c r="W1086" i="8" s="1"/>
  <c r="V585" i="8"/>
  <c r="V522" i="8"/>
  <c r="V533" i="8"/>
  <c r="V233" i="8"/>
  <c r="V1446" i="8"/>
  <c r="W1446" i="8" s="1"/>
  <c r="V965" i="8"/>
  <c r="W965" i="8" s="1"/>
  <c r="V284" i="8"/>
  <c r="V713" i="8"/>
  <c r="V66" i="8"/>
  <c r="V398" i="8"/>
  <c r="V1630" i="8"/>
  <c r="W1630" i="8" s="1"/>
  <c r="V1202" i="8"/>
  <c r="W1202" i="8" s="1"/>
  <c r="V624" i="8"/>
  <c r="V253" i="8"/>
  <c r="V117" i="8"/>
  <c r="V1136" i="8"/>
  <c r="W1136" i="8" s="1"/>
  <c r="V511" i="8"/>
  <c r="V97" i="8"/>
  <c r="V1535" i="8"/>
  <c r="W1535" i="8" s="1"/>
  <c r="V1200" i="8"/>
  <c r="W1200" i="8" s="1"/>
  <c r="V1593" i="8"/>
  <c r="W1593" i="8" s="1"/>
  <c r="V1140" i="8"/>
  <c r="W1140" i="8" s="1"/>
  <c r="V1574" i="8"/>
  <c r="W1574" i="8" s="1"/>
  <c r="V1204" i="8"/>
  <c r="W1204" i="8" s="1"/>
  <c r="V287" i="8"/>
  <c r="V25" i="8"/>
  <c r="V1624" i="8"/>
  <c r="W1624" i="8" s="1"/>
  <c r="V1133" i="8"/>
  <c r="W1133" i="8" s="1"/>
  <c r="V61" i="8"/>
  <c r="V1620" i="8"/>
  <c r="W1620" i="8" s="1"/>
  <c r="V1170" i="8"/>
  <c r="W1170" i="8" s="1"/>
  <c r="V1177" i="8"/>
  <c r="W1177" i="8" s="1"/>
  <c r="V641" i="8"/>
  <c r="V1567" i="8"/>
  <c r="W1567" i="8" s="1"/>
  <c r="V1198" i="8"/>
  <c r="W1198" i="8" s="1"/>
  <c r="V584" i="8"/>
  <c r="V135" i="8"/>
  <c r="V346" i="8"/>
  <c r="V660" i="8"/>
  <c r="V1185" i="8"/>
  <c r="W1185" i="8" s="1"/>
  <c r="V1225" i="8"/>
  <c r="W1225" i="8" s="1"/>
  <c r="V472" i="8"/>
  <c r="V395" i="8"/>
  <c r="V100" i="8"/>
  <c r="V375" i="8"/>
  <c r="V1606" i="8"/>
  <c r="W1606" i="8" s="1"/>
  <c r="V1209" i="8"/>
  <c r="W1209" i="8" s="1"/>
  <c r="V185" i="8"/>
  <c r="V211" i="8"/>
  <c r="V719" i="8"/>
  <c r="V1598" i="8"/>
  <c r="W1598" i="8" s="1"/>
  <c r="V1141" i="8"/>
  <c r="W1141" i="8" s="1"/>
  <c r="V726" i="8"/>
  <c r="V131" i="8"/>
  <c r="V301" i="8"/>
  <c r="V611" i="8"/>
  <c r="V1604" i="8"/>
  <c r="W1604" i="8" s="1"/>
  <c r="V1253" i="8"/>
  <c r="W1253" i="8" s="1"/>
  <c r="V1295" i="8"/>
  <c r="W1295" i="8" s="1"/>
  <c r="V290" i="8"/>
  <c r="V199" i="8"/>
  <c r="V1563" i="8"/>
  <c r="W1563" i="8" s="1"/>
  <c r="V1581" i="8"/>
  <c r="W1581" i="8" s="1"/>
  <c r="V1144" i="8"/>
  <c r="W1144" i="8" s="1"/>
  <c r="V1138" i="8"/>
  <c r="W1138" i="8" s="1"/>
  <c r="V297" i="8"/>
  <c r="V528" i="8"/>
  <c r="V18" i="8"/>
  <c r="V90" i="8"/>
  <c r="V467" i="8"/>
  <c r="V628" i="8"/>
  <c r="V125" i="8"/>
  <c r="V164" i="8"/>
  <c r="V370" i="8"/>
  <c r="V378" i="8"/>
  <c r="V573" i="8"/>
  <c r="V1459" i="8"/>
  <c r="W1459" i="8" s="1"/>
  <c r="V1375" i="8"/>
  <c r="W1375" i="8" s="1"/>
  <c r="V1513" i="8"/>
  <c r="W1513" i="8" s="1"/>
  <c r="V1499" i="8"/>
  <c r="W1499" i="8" s="1"/>
  <c r="V848" i="8"/>
  <c r="W848" i="8" s="1"/>
  <c r="V1103" i="8"/>
  <c r="W1103" i="8" s="1"/>
  <c r="V877" i="8"/>
  <c r="W877" i="8" s="1"/>
  <c r="V941" i="8"/>
  <c r="W941" i="8" s="1"/>
  <c r="V1056" i="8"/>
  <c r="W1056" i="8" s="1"/>
  <c r="V758" i="8"/>
  <c r="W758" i="8" s="1"/>
  <c r="V486" i="8"/>
  <c r="V672" i="8"/>
  <c r="V860" i="8"/>
  <c r="W860" i="8" s="1"/>
  <c r="V1119" i="8"/>
  <c r="W1119" i="8" s="1"/>
  <c r="V250" i="8"/>
  <c r="V34" i="8"/>
  <c r="V298" i="8"/>
  <c r="V53" i="8"/>
  <c r="V99" i="8"/>
  <c r="V140" i="8"/>
  <c r="V596" i="8"/>
  <c r="V3" i="8"/>
  <c r="V8" i="8"/>
  <c r="V612" i="8"/>
  <c r="V170" i="8"/>
  <c r="V561" i="8"/>
  <c r="V1387" i="8"/>
  <c r="W1387" i="8" s="1"/>
  <c r="V1355" i="8"/>
  <c r="W1355" i="8" s="1"/>
  <c r="V1397" i="8"/>
  <c r="W1397" i="8" s="1"/>
  <c r="V1478" i="8"/>
  <c r="W1478" i="8" s="1"/>
  <c r="V1457" i="8"/>
  <c r="W1457" i="8" s="1"/>
  <c r="V1369" i="8"/>
  <c r="W1369" i="8" s="1"/>
  <c r="V1496" i="8"/>
  <c r="W1496" i="8" s="1"/>
  <c r="V1401" i="8"/>
  <c r="W1401" i="8" s="1"/>
  <c r="V1497" i="8"/>
  <c r="W1497" i="8" s="1"/>
  <c r="V1340" i="8"/>
  <c r="W1340" i="8" s="1"/>
  <c r="V874" i="8"/>
  <c r="W874" i="8" s="1"/>
  <c r="V944" i="8"/>
  <c r="W944" i="8" s="1"/>
  <c r="V796" i="8"/>
  <c r="W796" i="8" s="1"/>
  <c r="V812" i="8"/>
  <c r="W812" i="8" s="1"/>
  <c r="V1036" i="8"/>
  <c r="W1036" i="8" s="1"/>
  <c r="V1099" i="8"/>
  <c r="W1099" i="8" s="1"/>
  <c r="V937" i="8"/>
  <c r="W937" i="8" s="1"/>
  <c r="V1051" i="8"/>
  <c r="W1051" i="8" s="1"/>
  <c r="V785" i="8"/>
  <c r="W785" i="8" s="1"/>
  <c r="V799" i="8"/>
  <c r="W799" i="8" s="1"/>
  <c r="V764" i="8"/>
  <c r="W764" i="8" s="1"/>
  <c r="V379" i="8"/>
  <c r="V24" i="8"/>
  <c r="V414" i="8"/>
  <c r="V409" i="8"/>
  <c r="V317" i="8"/>
  <c r="V106" i="8"/>
  <c r="V1534" i="8"/>
  <c r="W1534" i="8" s="1"/>
  <c r="V1299" i="8"/>
  <c r="W1299" i="8" s="1"/>
  <c r="V1220" i="8"/>
  <c r="W1220" i="8" s="1"/>
  <c r="V465" i="8"/>
  <c r="V1572" i="8"/>
  <c r="W1572" i="8" s="1"/>
  <c r="V1148" i="8"/>
  <c r="W1148" i="8" s="1"/>
  <c r="V494" i="8"/>
  <c r="V688" i="8"/>
  <c r="V668" i="8"/>
  <c r="V1224" i="8"/>
  <c r="W1224" i="8" s="1"/>
  <c r="V666" i="8"/>
  <c r="V1291" i="8"/>
  <c r="W1291" i="8" s="1"/>
  <c r="V1609" i="8"/>
  <c r="W1609" i="8" s="1"/>
  <c r="V1145" i="8"/>
  <c r="W1145" i="8" s="1"/>
  <c r="V693" i="8"/>
  <c r="V711" i="8"/>
  <c r="V1179" i="8"/>
  <c r="W1179" i="8" s="1"/>
  <c r="V200" i="8"/>
  <c r="V633" i="8"/>
  <c r="V1232" i="8"/>
  <c r="W1232" i="8" s="1"/>
  <c r="V169" i="8"/>
  <c r="V55" i="8"/>
  <c r="V1564" i="8"/>
  <c r="W1564" i="8" s="1"/>
  <c r="V1256" i="8"/>
  <c r="W1256" i="8" s="1"/>
  <c r="V251" i="8"/>
  <c r="V1548" i="8"/>
  <c r="W1548" i="8" s="1"/>
  <c r="V1137" i="8"/>
  <c r="W1137" i="8" s="1"/>
  <c r="V47" i="8"/>
  <c r="V1545" i="8"/>
  <c r="W1545" i="8" s="1"/>
  <c r="V1262" i="8"/>
  <c r="W1262" i="8" s="1"/>
  <c r="V239" i="8"/>
  <c r="V440" i="8"/>
  <c r="V419" i="8"/>
  <c r="V353" i="8"/>
  <c r="V112" i="8"/>
  <c r="V258" i="8"/>
  <c r="V637" i="8"/>
  <c r="V408" i="8"/>
  <c r="V355" i="8"/>
  <c r="V107" i="8"/>
  <c r="V369" i="8"/>
  <c r="V57" i="8"/>
  <c r="V168" i="8"/>
  <c r="V109" i="8"/>
  <c r="V322" i="8"/>
  <c r="V562" i="8"/>
  <c r="V481" i="8"/>
  <c r="V598" i="8"/>
  <c r="V93" i="8"/>
  <c r="V653" i="8"/>
  <c r="V667" i="8"/>
  <c r="V152" i="8"/>
  <c r="V386" i="8"/>
  <c r="V411" i="8"/>
  <c r="V615" i="8"/>
  <c r="V374" i="8"/>
  <c r="V675" i="8"/>
  <c r="V98" i="8"/>
  <c r="V153" i="8"/>
  <c r="V6" i="8"/>
  <c r="V670" i="8"/>
  <c r="V1633" i="8"/>
  <c r="W1633" i="8" s="1"/>
  <c r="V1538" i="8"/>
  <c r="W1538" i="8" s="1"/>
  <c r="V1526" i="8"/>
  <c r="W1526" i="8" s="1"/>
  <c r="V1621" i="8"/>
  <c r="W1621" i="8" s="1"/>
  <c r="V1614" i="8"/>
  <c r="W1614" i="8" s="1"/>
  <c r="V1552" i="8"/>
  <c r="W1552" i="8" s="1"/>
  <c r="V1603" i="8"/>
  <c r="W1603" i="8" s="1"/>
  <c r="V1629" i="8"/>
  <c r="W1629" i="8" s="1"/>
  <c r="V1554" i="8"/>
  <c r="W1554" i="8" s="1"/>
  <c r="V1559" i="8"/>
  <c r="W1559" i="8" s="1"/>
  <c r="V1570" i="8"/>
  <c r="W1570" i="8" s="1"/>
  <c r="V1607" i="8"/>
  <c r="W1607" i="8" s="1"/>
  <c r="V1601" i="8"/>
  <c r="W1601" i="8" s="1"/>
  <c r="V1272" i="8"/>
  <c r="W1272" i="8" s="1"/>
  <c r="V1160" i="8"/>
  <c r="W1160" i="8" s="1"/>
  <c r="V1194" i="8"/>
  <c r="W1194" i="8" s="1"/>
  <c r="V1238" i="8"/>
  <c r="W1238" i="8" s="1"/>
  <c r="V1152" i="8"/>
  <c r="W1152" i="8" s="1"/>
  <c r="V1276" i="8"/>
  <c r="W1276" i="8" s="1"/>
  <c r="V1284" i="8"/>
  <c r="W1284" i="8" s="1"/>
  <c r="V1121" i="8"/>
  <c r="W1121" i="8" s="1"/>
  <c r="V1205" i="8"/>
  <c r="W1205" i="8" s="1"/>
  <c r="V1203" i="8"/>
  <c r="W1203" i="8" s="1"/>
  <c r="V1242" i="8"/>
  <c r="W1242" i="8" s="1"/>
  <c r="V1195" i="8"/>
  <c r="W1195" i="8" s="1"/>
  <c r="V1280" i="8"/>
  <c r="W1280" i="8" s="1"/>
  <c r="V1226" i="8"/>
  <c r="W1226" i="8" s="1"/>
  <c r="V1164" i="8"/>
  <c r="W1164" i="8" s="1"/>
  <c r="V1268" i="8"/>
  <c r="W1268" i="8" s="1"/>
  <c r="V1126" i="8"/>
  <c r="W1126" i="8" s="1"/>
  <c r="V1264" i="8"/>
  <c r="W1264" i="8" s="1"/>
  <c r="V1290" i="8"/>
  <c r="W1290" i="8" s="1"/>
  <c r="V765" i="8"/>
  <c r="W765" i="8" s="1"/>
  <c r="V270" i="8"/>
  <c r="V538" i="8"/>
  <c r="V563" i="8"/>
  <c r="V471" i="8"/>
  <c r="V539" i="8"/>
  <c r="V289" i="8"/>
  <c r="V678" i="8"/>
  <c r="V58" i="8"/>
  <c r="V282" i="8"/>
  <c r="V1332" i="8"/>
  <c r="W1332" i="8" s="1"/>
  <c r="V1398" i="8"/>
  <c r="W1398" i="8" s="1"/>
  <c r="V989" i="8"/>
  <c r="W989" i="8" s="1"/>
  <c r="V484" i="8"/>
  <c r="V203" i="8"/>
  <c r="V515" i="8"/>
  <c r="V658" i="8"/>
  <c r="V629" i="8"/>
  <c r="V318" i="8"/>
  <c r="V214" i="8"/>
  <c r="V491" i="8"/>
  <c r="V436" i="8"/>
  <c r="V30" i="8"/>
  <c r="V111" i="8"/>
  <c r="V607" i="8"/>
  <c r="V202" i="8"/>
  <c r="V333" i="8"/>
  <c r="V276" i="8"/>
  <c r="V1517" i="8"/>
  <c r="W1517" i="8" s="1"/>
  <c r="V1304" i="8"/>
  <c r="W1304" i="8" s="1"/>
  <c r="V1432" i="8"/>
  <c r="W1432" i="8" s="1"/>
  <c r="V1400" i="8"/>
  <c r="W1400" i="8" s="1"/>
  <c r="V1343" i="8"/>
  <c r="W1343" i="8" s="1"/>
  <c r="V1310" i="8"/>
  <c r="W1310" i="8" s="1"/>
  <c r="V1334" i="8"/>
  <c r="W1334" i="8" s="1"/>
  <c r="V938" i="8"/>
  <c r="W938" i="8" s="1"/>
  <c r="V850" i="8"/>
  <c r="W850" i="8" s="1"/>
  <c r="V974" i="8"/>
  <c r="W974" i="8" s="1"/>
  <c r="V782" i="8"/>
  <c r="W782" i="8" s="1"/>
  <c r="V1065" i="8"/>
  <c r="W1065" i="8" s="1"/>
  <c r="V945" i="8"/>
  <c r="W945" i="8" s="1"/>
  <c r="V1059" i="8"/>
  <c r="W1059" i="8" s="1"/>
  <c r="V963" i="8"/>
  <c r="W963" i="8" s="1"/>
  <c r="V1097" i="8"/>
  <c r="W1097" i="8" s="1"/>
  <c r="V887" i="8"/>
  <c r="W887" i="8" s="1"/>
  <c r="V1074" i="8"/>
  <c r="W1074" i="8" s="1"/>
  <c r="V1025" i="8"/>
  <c r="W1025" i="8" s="1"/>
  <c r="V1118" i="8"/>
  <c r="W1118" i="8" s="1"/>
  <c r="V939" i="8"/>
  <c r="W939" i="8" s="1"/>
  <c r="V969" i="8"/>
  <c r="W969" i="8" s="1"/>
  <c r="V854" i="8"/>
  <c r="W854" i="8" s="1"/>
  <c r="V815" i="8"/>
  <c r="W815" i="8" s="1"/>
  <c r="V795" i="8"/>
  <c r="W795" i="8" s="1"/>
  <c r="V753" i="8"/>
  <c r="W753" i="8" s="1"/>
  <c r="V737" i="8"/>
  <c r="V620" i="8"/>
  <c r="V518" i="8"/>
  <c r="V186" i="8"/>
  <c r="V264" i="8"/>
  <c r="V9" i="8"/>
  <c r="V452" i="8"/>
  <c r="V28" i="8"/>
  <c r="V371" i="8"/>
  <c r="V1325" i="8"/>
  <c r="W1325" i="8" s="1"/>
  <c r="V1450" i="8"/>
  <c r="W1450" i="8" s="1"/>
  <c r="V1427" i="8"/>
  <c r="W1427" i="8" s="1"/>
  <c r="V1006" i="8"/>
  <c r="W1006" i="8" s="1"/>
  <c r="V794" i="8"/>
  <c r="W794" i="8" s="1"/>
  <c r="V851" i="8"/>
  <c r="W851" i="8" s="1"/>
  <c r="V920" i="8"/>
  <c r="W920" i="8" s="1"/>
  <c r="V1583" i="8"/>
  <c r="W1583" i="8" s="1"/>
  <c r="V1183" i="8"/>
  <c r="W1183" i="8" s="1"/>
  <c r="V677" i="8"/>
  <c r="V632" i="8"/>
  <c r="V1547" i="8"/>
  <c r="W1547" i="8" s="1"/>
  <c r="V1153" i="8"/>
  <c r="W1153" i="8" s="1"/>
  <c r="V394" i="8"/>
  <c r="V1230" i="8"/>
  <c r="W1230" i="8" s="1"/>
  <c r="V461" i="8"/>
  <c r="V496" i="8"/>
  <c r="V72" i="8"/>
  <c r="V1281" i="8"/>
  <c r="W1281" i="8" s="1"/>
  <c r="V681" i="8"/>
  <c r="V1617" i="8"/>
  <c r="W1617" i="8" s="1"/>
  <c r="V1625" i="8"/>
  <c r="W1625" i="8" s="1"/>
  <c r="V1259" i="8"/>
  <c r="W1259" i="8" s="1"/>
  <c r="V1158" i="8"/>
  <c r="W1158" i="8" s="1"/>
  <c r="V201" i="8"/>
  <c r="V617" i="8"/>
  <c r="V311" i="8"/>
  <c r="V94" i="8"/>
  <c r="V434" i="8"/>
  <c r="V291" i="8"/>
  <c r="V1528" i="8"/>
  <c r="W1528" i="8" s="1"/>
  <c r="V1580" i="8"/>
  <c r="W1580" i="8" s="1"/>
  <c r="V1582" i="8"/>
  <c r="W1582" i="8" s="1"/>
  <c r="V1149" i="8"/>
  <c r="W1149" i="8" s="1"/>
  <c r="V1196" i="8"/>
  <c r="W1196" i="8" s="1"/>
  <c r="V1122" i="8"/>
  <c r="W1122" i="8" s="1"/>
  <c r="V1206" i="8"/>
  <c r="W1206" i="8" s="1"/>
  <c r="V1197" i="8"/>
  <c r="W1197" i="8" s="1"/>
  <c r="V1263" i="8"/>
  <c r="W1263" i="8" s="1"/>
  <c r="V1201" i="8"/>
  <c r="W1201" i="8" s="1"/>
  <c r="V614" i="8"/>
  <c r="V1562" i="8"/>
  <c r="W1562" i="8" s="1"/>
  <c r="V1255" i="8"/>
  <c r="W1255" i="8" s="1"/>
  <c r="V674" i="8"/>
  <c r="V715" i="8"/>
  <c r="V393" i="8"/>
  <c r="V685" i="8"/>
  <c r="V305" i="8"/>
  <c r="V680" i="8"/>
  <c r="V508" i="8"/>
  <c r="V128" i="8"/>
  <c r="V619" i="8"/>
  <c r="V268" i="8"/>
  <c r="V257" i="8"/>
  <c r="V1468" i="8"/>
  <c r="W1468" i="8" s="1"/>
  <c r="V1403" i="8"/>
  <c r="W1403" i="8" s="1"/>
  <c r="V1381" i="8"/>
  <c r="W1381" i="8" s="1"/>
  <c r="V1471" i="8"/>
  <c r="W1471" i="8" s="1"/>
  <c r="V1466" i="8"/>
  <c r="W1466" i="8" s="1"/>
  <c r="V1335" i="8"/>
  <c r="W1335" i="8" s="1"/>
  <c r="V1520" i="8"/>
  <c r="W1520" i="8" s="1"/>
  <c r="V1091" i="8"/>
  <c r="W1091" i="8" s="1"/>
  <c r="V1081" i="8"/>
  <c r="W1081" i="8" s="1"/>
  <c r="V1007" i="8"/>
  <c r="W1007" i="8" s="1"/>
  <c r="V935" i="8"/>
  <c r="W935" i="8" s="1"/>
  <c r="V1096" i="8"/>
  <c r="W1096" i="8" s="1"/>
  <c r="V964" i="8"/>
  <c r="W964" i="8" s="1"/>
  <c r="V1114" i="8"/>
  <c r="W1114" i="8" s="1"/>
  <c r="V864" i="8"/>
  <c r="W864" i="8" s="1"/>
  <c r="V991" i="8"/>
  <c r="W991" i="8" s="1"/>
  <c r="V898" i="8"/>
  <c r="W898" i="8" s="1"/>
  <c r="V1094" i="8"/>
  <c r="W1094" i="8" s="1"/>
  <c r="V952" i="8"/>
  <c r="W952" i="8" s="1"/>
  <c r="V929" i="8"/>
  <c r="W929" i="8" s="1"/>
  <c r="V932" i="8"/>
  <c r="W932" i="8" s="1"/>
  <c r="V912" i="8"/>
  <c r="W912" i="8" s="1"/>
  <c r="V759" i="8"/>
  <c r="W759" i="8" s="1"/>
  <c r="V470" i="8"/>
  <c r="V732" i="8"/>
  <c r="V1616" i="8"/>
  <c r="W1616" i="8" s="1"/>
  <c r="V1258" i="8"/>
  <c r="W1258" i="8" s="1"/>
  <c r="V567" i="8"/>
  <c r="V869" i="8"/>
  <c r="W869" i="8" s="1"/>
  <c r="V1585" i="8"/>
  <c r="W1585" i="8" s="1"/>
  <c r="V1267" i="8"/>
  <c r="W1267" i="8" s="1"/>
  <c r="V574" i="8"/>
  <c r="V391" i="8"/>
  <c r="V347" i="8"/>
  <c r="V372" i="8"/>
  <c r="V1578" i="8"/>
  <c r="W1578" i="8" s="1"/>
  <c r="V1257" i="8"/>
  <c r="W1257" i="8" s="1"/>
  <c r="V4" i="8"/>
  <c r="V71" i="8"/>
  <c r="V277" i="8"/>
  <c r="V1533" i="8"/>
  <c r="W1533" i="8" s="1"/>
  <c r="V1166" i="8"/>
  <c r="W1166" i="8" s="1"/>
  <c r="V469" i="8"/>
  <c r="V171" i="8"/>
  <c r="V91" i="8"/>
  <c r="V113" i="8"/>
  <c r="V1590" i="8"/>
  <c r="W1590" i="8" s="1"/>
  <c r="V1139" i="8"/>
  <c r="W1139" i="8" s="1"/>
  <c r="V216" i="8"/>
  <c r="V507" i="8"/>
  <c r="V444" i="8"/>
  <c r="V356" i="8"/>
  <c r="V67" i="8"/>
  <c r="V447" i="8"/>
  <c r="V184" i="8"/>
  <c r="V340" i="8"/>
  <c r="V218" i="8"/>
  <c r="V504" i="8"/>
  <c r="V630" i="8"/>
  <c r="V261" i="8"/>
  <c r="V627" i="8"/>
  <c r="V332" i="8"/>
  <c r="V418" i="8"/>
  <c r="V721" i="8"/>
  <c r="V1443" i="8"/>
  <c r="W1443" i="8" s="1"/>
  <c r="V1385" i="8"/>
  <c r="W1385" i="8" s="1"/>
  <c r="V1327" i="8"/>
  <c r="W1327" i="8" s="1"/>
  <c r="V1455" i="8"/>
  <c r="W1455" i="8" s="1"/>
  <c r="V1510" i="8"/>
  <c r="W1510" i="8" s="1"/>
  <c r="V1477" i="8"/>
  <c r="W1477" i="8" s="1"/>
  <c r="V1519" i="8"/>
  <c r="W1519" i="8" s="1"/>
  <c r="V1395" i="8"/>
  <c r="W1395" i="8" s="1"/>
  <c r="V1317" i="8"/>
  <c r="W1317" i="8" s="1"/>
  <c r="V1521" i="8"/>
  <c r="W1521" i="8" s="1"/>
  <c r="V1516" i="8"/>
  <c r="W1516" i="8" s="1"/>
  <c r="V1389" i="8"/>
  <c r="W1389" i="8" s="1"/>
  <c r="V1483" i="8"/>
  <c r="W1483" i="8" s="1"/>
  <c r="V1322" i="8"/>
  <c r="W1322" i="8" s="1"/>
  <c r="V1495" i="8"/>
  <c r="W1495" i="8" s="1"/>
  <c r="V1473" i="8"/>
  <c r="W1473" i="8" s="1"/>
  <c r="V1421" i="8"/>
  <c r="W1421" i="8" s="1"/>
  <c r="V946" i="8"/>
  <c r="W946" i="8" s="1"/>
  <c r="V1105" i="8"/>
  <c r="W1105" i="8" s="1"/>
  <c r="V894" i="8"/>
  <c r="W894" i="8" s="1"/>
  <c r="V993" i="8"/>
  <c r="W993" i="8" s="1"/>
  <c r="V857" i="8"/>
  <c r="W857" i="8" s="1"/>
  <c r="V1029" i="8"/>
  <c r="W1029" i="8" s="1"/>
  <c r="V845" i="8"/>
  <c r="W845" i="8" s="1"/>
  <c r="V1021" i="8"/>
  <c r="W1021" i="8" s="1"/>
  <c r="V936" i="8"/>
  <c r="W936" i="8" s="1"/>
  <c r="V960" i="8"/>
  <c r="W960" i="8" s="1"/>
  <c r="V949" i="8"/>
  <c r="W949" i="8" s="1"/>
  <c r="V1100" i="8"/>
  <c r="W1100" i="8" s="1"/>
  <c r="V1037" i="8"/>
  <c r="W1037" i="8" s="1"/>
  <c r="V979" i="8"/>
  <c r="W979" i="8" s="1"/>
  <c r="V777" i="8"/>
  <c r="W777" i="8" s="1"/>
  <c r="V1054" i="8"/>
  <c r="W1054" i="8" s="1"/>
  <c r="V1033" i="8"/>
  <c r="W1033" i="8" s="1"/>
  <c r="V1110" i="8"/>
  <c r="W1110" i="8" s="1"/>
  <c r="V825" i="8"/>
  <c r="W825" i="8" s="1"/>
  <c r="V950" i="8"/>
  <c r="W950" i="8" s="1"/>
  <c r="V980" i="8"/>
  <c r="W980" i="8" s="1"/>
  <c r="V899" i="8"/>
  <c r="W899" i="8" s="1"/>
  <c r="V967" i="8"/>
  <c r="W967" i="8" s="1"/>
  <c r="V977" i="8"/>
  <c r="W977" i="8" s="1"/>
  <c r="V789" i="8"/>
  <c r="W789" i="8" s="1"/>
  <c r="V761" i="8"/>
  <c r="W761" i="8" s="1"/>
  <c r="V698" i="8"/>
  <c r="V177" i="8"/>
  <c r="V197" i="8"/>
  <c r="V175" i="8"/>
  <c r="V86" i="8"/>
  <c r="V1359" i="8"/>
  <c r="W1359" i="8" s="1"/>
  <c r="V1309" i="8"/>
  <c r="W1309" i="8" s="1"/>
  <c r="V897" i="8"/>
  <c r="W897" i="8" s="1"/>
  <c r="V878" i="8"/>
  <c r="W878" i="8" s="1"/>
  <c r="V865" i="8"/>
  <c r="W865" i="8" s="1"/>
  <c r="V292" i="8"/>
  <c r="V480" i="8"/>
  <c r="V1347" i="8"/>
  <c r="W1347" i="8" s="1"/>
  <c r="V1503" i="8"/>
  <c r="W1503" i="8" s="1"/>
  <c r="V1452" i="8"/>
  <c r="W1452" i="8" s="1"/>
  <c r="V998" i="8"/>
  <c r="W998" i="8" s="1"/>
  <c r="V804" i="8"/>
  <c r="W804" i="8" s="1"/>
  <c r="V846" i="8"/>
  <c r="W846" i="8" s="1"/>
  <c r="V33" i="8"/>
  <c r="V1566" i="8"/>
  <c r="W1566" i="8" s="1"/>
  <c r="V1151" i="8"/>
  <c r="W1151" i="8" s="1"/>
  <c r="V88" i="8"/>
  <c r="V541" i="8"/>
  <c r="V309" i="8"/>
  <c r="V1602" i="8"/>
  <c r="W1602" i="8" s="1"/>
  <c r="V1178" i="8"/>
  <c r="W1178" i="8" s="1"/>
  <c r="V704" i="8"/>
  <c r="V618" i="8"/>
  <c r="V1341" i="8"/>
  <c r="W1341" i="8" s="1"/>
  <c r="V1349" i="8"/>
  <c r="W1349" i="8" s="1"/>
  <c r="V1418" i="8"/>
  <c r="W1418" i="8" s="1"/>
  <c r="V1358" i="8"/>
  <c r="W1358" i="8" s="1"/>
  <c r="V1113" i="8"/>
  <c r="W1113" i="8" s="1"/>
  <c r="V901" i="8"/>
  <c r="W901" i="8" s="1"/>
  <c r="V550" i="8"/>
  <c r="V608" i="8"/>
  <c r="V307" i="8"/>
  <c r="V1527" i="8"/>
  <c r="W1527" i="8" s="1"/>
  <c r="V1156" i="8"/>
  <c r="W1156" i="8" s="1"/>
  <c r="V1237" i="8"/>
  <c r="W1237" i="8" s="1"/>
  <c r="V354" i="8"/>
  <c r="V565" i="8"/>
  <c r="V196" i="8"/>
  <c r="V422" i="8"/>
  <c r="V438" i="8"/>
  <c r="V342" i="8"/>
  <c r="V35" i="8"/>
  <c r="V39" i="8"/>
  <c r="V497" i="8"/>
  <c r="V373" i="8"/>
  <c r="V729" i="8"/>
  <c r="V696" i="8"/>
  <c r="V38" i="8"/>
  <c r="V145" i="8"/>
  <c r="V384" i="8"/>
  <c r="V520" i="8"/>
  <c r="V231" i="8"/>
  <c r="V13" i="8"/>
  <c r="V643" i="8"/>
  <c r="V437" i="8"/>
  <c r="V476" i="8"/>
  <c r="V103" i="8"/>
  <c r="V180" i="8"/>
  <c r="V554" i="8"/>
  <c r="V403" i="8"/>
  <c r="V588" i="8"/>
  <c r="V527" i="8"/>
  <c r="V181" i="8"/>
  <c r="V345" i="8"/>
  <c r="V191" i="8"/>
  <c r="V337" i="8"/>
  <c r="V341" i="8"/>
  <c r="V428" i="8"/>
  <c r="V682" i="8"/>
  <c r="V485" i="8"/>
  <c r="V734" i="8"/>
  <c r="V368" i="8"/>
  <c r="V449" i="8"/>
  <c r="V587" i="8"/>
  <c r="V466" i="8"/>
  <c r="V208" i="8"/>
  <c r="V82" i="8"/>
  <c r="V23" i="8"/>
  <c r="V146" i="8"/>
  <c r="V49" i="8"/>
  <c r="V217" i="8"/>
  <c r="V640" i="8"/>
  <c r="V665" i="8"/>
  <c r="V187" i="8"/>
  <c r="V399" i="8"/>
  <c r="V144" i="8"/>
  <c r="V167" i="8"/>
  <c r="V126" i="8"/>
  <c r="V714" i="8"/>
  <c r="V162" i="8"/>
  <c r="V116" i="8"/>
  <c r="V1301" i="8"/>
  <c r="W1301" i="8" s="1"/>
  <c r="V1405" i="8"/>
  <c r="W1405" i="8" s="1"/>
  <c r="V1420" i="8"/>
  <c r="W1420" i="8" s="1"/>
  <c r="V1380" i="8"/>
  <c r="W1380" i="8" s="1"/>
  <c r="V1461" i="8"/>
  <c r="W1461" i="8" s="1"/>
  <c r="V1411" i="8"/>
  <c r="W1411" i="8" s="1"/>
  <c r="V1429" i="8"/>
  <c r="W1429" i="8" s="1"/>
  <c r="V1413" i="8"/>
  <c r="W1413" i="8" s="1"/>
  <c r="V1434" i="8"/>
  <c r="W1434" i="8" s="1"/>
  <c r="V1323" i="8"/>
  <c r="W1323" i="8" s="1"/>
  <c r="V1486" i="8"/>
  <c r="W1486" i="8" s="1"/>
  <c r="V1302" i="8"/>
  <c r="W1302" i="8" s="1"/>
  <c r="V1319" i="8"/>
  <c r="W1319" i="8" s="1"/>
  <c r="V1344" i="8"/>
  <c r="W1344" i="8" s="1"/>
  <c r="V1337" i="8"/>
  <c r="W1337" i="8" s="1"/>
  <c r="V1482" i="8"/>
  <c r="W1482" i="8" s="1"/>
  <c r="V1367" i="8"/>
  <c r="W1367" i="8" s="1"/>
  <c r="V1467" i="8"/>
  <c r="W1467" i="8" s="1"/>
  <c r="V1505" i="8"/>
  <c r="W1505" i="8" s="1"/>
  <c r="V1318" i="8"/>
  <c r="W1318" i="8" s="1"/>
  <c r="V766" i="8"/>
  <c r="W766" i="8" s="1"/>
  <c r="V784" i="8"/>
  <c r="W784" i="8" s="1"/>
  <c r="V1031" i="8"/>
  <c r="W1031" i="8" s="1"/>
  <c r="V800" i="8"/>
  <c r="W800" i="8" s="1"/>
  <c r="V983" i="8"/>
  <c r="W983" i="8" s="1"/>
  <c r="V966" i="8"/>
  <c r="W966" i="8" s="1"/>
  <c r="V876" i="8"/>
  <c r="W876" i="8" s="1"/>
  <c r="V943" i="8"/>
  <c r="W943" i="8" s="1"/>
  <c r="V918" i="8"/>
  <c r="W918" i="8" s="1"/>
  <c r="V889" i="8"/>
  <c r="W889" i="8" s="1"/>
  <c r="V798" i="8"/>
  <c r="W798" i="8" s="1"/>
  <c r="V817" i="8"/>
  <c r="W817" i="8" s="1"/>
  <c r="V970" i="8"/>
  <c r="W970" i="8" s="1"/>
  <c r="V787" i="8"/>
  <c r="W787" i="8" s="1"/>
  <c r="V1083" i="8"/>
  <c r="W1083" i="8" s="1"/>
  <c r="V1041" i="8"/>
  <c r="W1041" i="8" s="1"/>
  <c r="V1064" i="8"/>
  <c r="W1064" i="8" s="1"/>
  <c r="V788" i="8"/>
  <c r="W788" i="8" s="1"/>
  <c r="V814" i="8"/>
  <c r="W814" i="8" s="1"/>
  <c r="V868" i="8"/>
  <c r="W868" i="8" s="1"/>
  <c r="V933" i="8"/>
  <c r="W933" i="8" s="1"/>
  <c r="V1045" i="8"/>
  <c r="W1045" i="8" s="1"/>
  <c r="V999" i="8"/>
  <c r="W999" i="8" s="1"/>
  <c r="V1108" i="8"/>
  <c r="W1108" i="8" s="1"/>
  <c r="V984" i="8"/>
  <c r="W984" i="8" s="1"/>
  <c r="V806" i="8"/>
  <c r="W806" i="8" s="1"/>
  <c r="V849" i="8"/>
  <c r="W849" i="8" s="1"/>
  <c r="V773" i="8"/>
  <c r="W773" i="8" s="1"/>
  <c r="V862" i="8"/>
  <c r="W862" i="8" s="1"/>
  <c r="V793" i="8"/>
  <c r="W793" i="8" s="1"/>
  <c r="V1079" i="8"/>
  <c r="W1079" i="8" s="1"/>
  <c r="V813" i="8"/>
  <c r="W813" i="8" s="1"/>
  <c r="V908" i="8"/>
  <c r="W908" i="8" s="1"/>
  <c r="V990" i="8"/>
  <c r="W990" i="8" s="1"/>
  <c r="V959" i="8"/>
  <c r="W959" i="8" s="1"/>
  <c r="V816" i="8"/>
  <c r="W816" i="8" s="1"/>
  <c r="V879" i="8"/>
  <c r="W879" i="8" s="1"/>
  <c r="V875" i="8"/>
  <c r="W875" i="8" s="1"/>
  <c r="V866" i="8"/>
  <c r="W866" i="8" s="1"/>
  <c r="V1016" i="8"/>
  <c r="W1016" i="8" s="1"/>
  <c r="V802" i="8"/>
  <c r="W802" i="8" s="1"/>
  <c r="V1024" i="8"/>
  <c r="W1024" i="8" s="1"/>
  <c r="V931" i="8"/>
  <c r="W931" i="8" s="1"/>
  <c r="V919" i="8"/>
  <c r="W919" i="8" s="1"/>
  <c r="V821" i="8"/>
  <c r="W821" i="8" s="1"/>
  <c r="V955" i="8"/>
  <c r="W955" i="8" s="1"/>
  <c r="V811" i="8"/>
  <c r="W811" i="8" s="1"/>
  <c r="V1075" i="8"/>
  <c r="W1075" i="8" s="1"/>
  <c r="V1004" i="8"/>
  <c r="W1004" i="8" s="1"/>
  <c r="V828" i="8"/>
  <c r="W828" i="8" s="1"/>
  <c r="V763" i="8"/>
  <c r="W763" i="8" s="1"/>
  <c r="V179" i="8"/>
  <c r="V161" i="8"/>
  <c r="V526" i="8"/>
  <c r="V464" i="8"/>
  <c r="V1339" i="8"/>
  <c r="W1339" i="8" s="1"/>
  <c r="V1361" i="8"/>
  <c r="W1361" i="8" s="1"/>
  <c r="V1044" i="8"/>
  <c r="W1044" i="8" s="1"/>
  <c r="V783" i="8"/>
  <c r="W783" i="8" s="1"/>
  <c r="V1063" i="8"/>
  <c r="W1063" i="8" s="1"/>
  <c r="V129" i="8"/>
  <c r="V17" i="8"/>
  <c r="V700" i="8"/>
  <c r="V443" i="8"/>
  <c r="V723" i="8"/>
  <c r="V613" i="8"/>
  <c r="V664" i="8"/>
  <c r="V404" i="8"/>
  <c r="V232" i="8"/>
  <c r="V435" i="8"/>
  <c r="V59" i="8"/>
  <c r="V687" i="8"/>
  <c r="V7" i="8"/>
  <c r="V206" i="8"/>
  <c r="V329" i="8"/>
  <c r="V312" i="8"/>
  <c r="V1439" i="8"/>
  <c r="W1439" i="8" s="1"/>
  <c r="V1315" i="8"/>
  <c r="W1315" i="8" s="1"/>
  <c r="V1454" i="8"/>
  <c r="W1454" i="8" s="1"/>
  <c r="V1485" i="8"/>
  <c r="W1485" i="8" s="1"/>
  <c r="V1502" i="8"/>
  <c r="W1502" i="8" s="1"/>
  <c r="V1360" i="8"/>
  <c r="W1360" i="8" s="1"/>
  <c r="V1430" i="8"/>
  <c r="W1430" i="8" s="1"/>
  <c r="V1456" i="8"/>
  <c r="W1456" i="8" s="1"/>
  <c r="V1406" i="8"/>
  <c r="W1406" i="8" s="1"/>
  <c r="V1342" i="8"/>
  <c r="W1342" i="8" s="1"/>
  <c r="V1390" i="8"/>
  <c r="W1390" i="8" s="1"/>
  <c r="V1424" i="8"/>
  <c r="W1424" i="8" s="1"/>
  <c r="V1087" i="8"/>
  <c r="W1087" i="8" s="1"/>
  <c r="V986" i="8"/>
  <c r="W986" i="8" s="1"/>
  <c r="V975" i="8"/>
  <c r="W975" i="8" s="1"/>
  <c r="V779" i="8"/>
  <c r="W779" i="8" s="1"/>
  <c r="V1012" i="8"/>
  <c r="W1012" i="8" s="1"/>
  <c r="V978" i="8"/>
  <c r="W978" i="8" s="1"/>
  <c r="V797" i="8"/>
  <c r="W797" i="8" s="1"/>
  <c r="V1005" i="8"/>
  <c r="W1005" i="8" s="1"/>
  <c r="V852" i="8"/>
  <c r="W852" i="8" s="1"/>
  <c r="V916" i="8"/>
  <c r="W916" i="8" s="1"/>
  <c r="V1104" i="8"/>
  <c r="W1104" i="8" s="1"/>
  <c r="V858" i="8"/>
  <c r="W858" i="8" s="1"/>
  <c r="V907" i="8"/>
  <c r="W907" i="8" s="1"/>
  <c r="V1085" i="8"/>
  <c r="W1085" i="8" s="1"/>
  <c r="V834" i="8"/>
  <c r="W834" i="8" s="1"/>
  <c r="V954" i="8"/>
  <c r="W954" i="8" s="1"/>
  <c r="V1062" i="8"/>
  <c r="W1062" i="8" s="1"/>
  <c r="V867" i="8"/>
  <c r="W867" i="8" s="1"/>
  <c r="V835" i="8"/>
  <c r="W835" i="8" s="1"/>
  <c r="V747" i="8"/>
  <c r="W747" i="8" s="1"/>
  <c r="V136" i="8"/>
  <c r="V1627" i="8"/>
  <c r="W1627" i="8" s="1"/>
  <c r="V1180" i="8"/>
  <c r="W1180" i="8" s="1"/>
  <c r="V172" i="8"/>
  <c r="V505" i="8"/>
  <c r="V364" i="8"/>
  <c r="V230" i="8"/>
  <c r="V545" i="8"/>
  <c r="V741" i="8"/>
  <c r="V427" i="8"/>
  <c r="V742" i="8"/>
  <c r="V429" i="8"/>
  <c r="V610" i="8"/>
  <c r="V578" i="8"/>
  <c r="V636" i="8"/>
  <c r="V323" i="8"/>
  <c r="V473" i="8"/>
  <c r="V209" i="8"/>
  <c r="V314" i="8"/>
  <c r="V245" i="8"/>
  <c r="V365" i="8"/>
  <c r="V303" i="8"/>
  <c r="V1391" i="8"/>
  <c r="W1391" i="8" s="1"/>
  <c r="V1392" i="8"/>
  <c r="W1392" i="8" s="1"/>
  <c r="V1372" i="8"/>
  <c r="W1372" i="8" s="1"/>
  <c r="V1515" i="8"/>
  <c r="W1515" i="8" s="1"/>
  <c r="V1426" i="8"/>
  <c r="W1426" i="8" s="1"/>
  <c r="V870" i="8"/>
  <c r="W870" i="8" s="1"/>
  <c r="V1089" i="8"/>
  <c r="W1089" i="8" s="1"/>
  <c r="V956" i="8"/>
  <c r="W956" i="8" s="1"/>
  <c r="V928" i="8"/>
  <c r="W928" i="8" s="1"/>
  <c r="V818" i="8"/>
  <c r="W818" i="8" s="1"/>
  <c r="V962" i="8"/>
  <c r="W962" i="8" s="1"/>
  <c r="V1068" i="8"/>
  <c r="W1068" i="8" s="1"/>
  <c r="V1039" i="8"/>
  <c r="W1039" i="8" s="1"/>
  <c r="V774" i="8"/>
  <c r="W774" i="8" s="1"/>
  <c r="V863" i="8"/>
  <c r="W863" i="8" s="1"/>
  <c r="V951" i="8"/>
  <c r="W951" i="8" s="1"/>
  <c r="V1053" i="8"/>
  <c r="W1053" i="8" s="1"/>
  <c r="V844" i="8"/>
  <c r="W844" i="8" s="1"/>
  <c r="V1043" i="8"/>
  <c r="W1043" i="8" s="1"/>
  <c r="V973" i="8"/>
  <c r="W973" i="8" s="1"/>
  <c r="V767" i="8"/>
  <c r="W767" i="8" s="1"/>
  <c r="V101" i="8"/>
  <c r="V1038" i="8"/>
  <c r="W1038" i="8" s="1"/>
  <c r="V602" i="8"/>
  <c r="V544" i="8"/>
  <c r="V506" i="8"/>
  <c r="V26" i="8"/>
  <c r="V552" i="8"/>
  <c r="V158" i="8"/>
  <c r="V728" i="8"/>
  <c r="V1605" i="8"/>
  <c r="W1605" i="8" s="1"/>
  <c r="V1525" i="8"/>
  <c r="W1525" i="8" s="1"/>
  <c r="V1587" i="8"/>
  <c r="W1587" i="8" s="1"/>
  <c r="V1150" i="8"/>
  <c r="W1150" i="8" s="1"/>
  <c r="V1184" i="8"/>
  <c r="W1184" i="8" s="1"/>
  <c r="V1199" i="8"/>
  <c r="W1199" i="8" s="1"/>
  <c r="V1208" i="8"/>
  <c r="W1208" i="8" s="1"/>
  <c r="V635" i="8"/>
  <c r="V703" i="8"/>
  <c r="V325" i="8"/>
  <c r="V669" i="8"/>
  <c r="V143" i="8"/>
  <c r="V193" i="8"/>
  <c r="V1588" i="8"/>
  <c r="W1588" i="8" s="1"/>
  <c r="V1275" i="8"/>
  <c r="W1275" i="8" s="1"/>
  <c r="V1240" i="8"/>
  <c r="W1240" i="8" s="1"/>
  <c r="V752" i="8"/>
  <c r="W752" i="8" s="1"/>
  <c r="V166" i="8"/>
  <c r="V426" i="8"/>
  <c r="V249" i="8"/>
  <c r="V458" i="8"/>
  <c r="V178" i="8"/>
  <c r="V686" i="8"/>
  <c r="V1539" i="8"/>
  <c r="W1539" i="8" s="1"/>
  <c r="V1542" i="8"/>
  <c r="W1542" i="8" s="1"/>
  <c r="V1532" i="8"/>
  <c r="W1532" i="8" s="1"/>
  <c r="V1537" i="8"/>
  <c r="W1537" i="8" s="1"/>
  <c r="V1249" i="8"/>
  <c r="W1249" i="8" s="1"/>
  <c r="V1193" i="8"/>
  <c r="W1193" i="8" s="1"/>
  <c r="V1282" i="8"/>
  <c r="W1282" i="8" s="1"/>
  <c r="V1270" i="8"/>
  <c r="W1270" i="8" s="1"/>
  <c r="V1250" i="8"/>
  <c r="W1250" i="8" s="1"/>
  <c r="V213" i="8"/>
  <c r="V450" i="8"/>
  <c r="V11" i="8"/>
  <c r="V31" i="8"/>
  <c r="V448" i="8"/>
  <c r="V498" i="8"/>
  <c r="V1632" i="8"/>
  <c r="W1632" i="8" s="1"/>
  <c r="V1577" i="8"/>
  <c r="W1577" i="8" s="1"/>
  <c r="V1618" i="8"/>
  <c r="W1618" i="8" s="1"/>
  <c r="V1168" i="8"/>
  <c r="W1168" i="8" s="1"/>
  <c r="V1288" i="8"/>
  <c r="W1288" i="8" s="1"/>
  <c r="V592" i="8"/>
  <c r="V260" i="8"/>
  <c r="V529" i="8"/>
  <c r="V265" i="8"/>
  <c r="V235" i="8"/>
  <c r="V655" i="8"/>
  <c r="V134" i="8"/>
  <c r="V1608" i="8"/>
  <c r="W1608" i="8" s="1"/>
  <c r="V1586" i="8"/>
  <c r="W1586" i="8" s="1"/>
  <c r="V1147" i="8"/>
  <c r="W1147" i="8" s="1"/>
  <c r="V1128" i="8"/>
  <c r="W1128" i="8" s="1"/>
  <c r="V1555" i="8"/>
  <c r="W1555" i="8" s="1"/>
  <c r="V1297" i="8"/>
  <c r="W1297" i="8" s="1"/>
  <c r="V535" i="8"/>
  <c r="V739" i="8"/>
  <c r="V474" i="8"/>
  <c r="V621" i="8"/>
  <c r="V248" i="8"/>
  <c r="V523" i="8"/>
  <c r="V1613" i="8"/>
  <c r="W1613" i="8" s="1"/>
  <c r="V1551" i="8"/>
  <c r="W1551" i="8" s="1"/>
  <c r="V1261" i="8"/>
  <c r="W1261" i="8" s="1"/>
  <c r="V1132" i="8"/>
  <c r="W1132" i="8" s="1"/>
  <c r="V1248" i="8"/>
  <c r="W1248" i="8" s="1"/>
  <c r="V1167" i="8"/>
  <c r="W1167" i="8" s="1"/>
  <c r="V54" i="8"/>
  <c r="V1120" i="8"/>
  <c r="W1120" i="8" s="1"/>
  <c r="V454" i="8"/>
  <c r="V709" i="8"/>
  <c r="V137" i="8"/>
  <c r="V313" i="8"/>
  <c r="V417" i="8"/>
  <c r="V1508" i="8"/>
  <c r="W1508" i="8" s="1"/>
  <c r="V1305" i="8"/>
  <c r="W1305" i="8" s="1"/>
  <c r="V1354" i="8"/>
  <c r="W1354" i="8" s="1"/>
  <c r="V982" i="8"/>
  <c r="W982" i="8" s="1"/>
  <c r="V1084" i="8"/>
  <c r="W1084" i="8" s="1"/>
  <c r="V1067" i="8"/>
  <c r="W1067" i="8" s="1"/>
  <c r="V1082" i="8"/>
  <c r="W1082" i="8" s="1"/>
  <c r="V1009" i="8"/>
  <c r="W1009" i="8" s="1"/>
  <c r="V771" i="8"/>
  <c r="W771" i="8" s="1"/>
  <c r="V895" i="8"/>
  <c r="W895" i="8" s="1"/>
  <c r="V1090" i="8"/>
  <c r="W1090" i="8" s="1"/>
  <c r="V735" i="8"/>
  <c r="V731" i="8"/>
  <c r="V296" i="8"/>
  <c r="V1188" i="8"/>
  <c r="W1188" i="8" s="1"/>
  <c r="V1287" i="8"/>
  <c r="W1287" i="8" s="1"/>
  <c r="V70" i="8"/>
  <c r="V183" i="8"/>
  <c r="V626" i="8"/>
  <c r="V83" i="8"/>
  <c r="V361" i="8"/>
  <c r="V198" i="8"/>
  <c r="V631" i="8"/>
  <c r="V302" i="8"/>
  <c r="V221" i="8"/>
  <c r="V445" i="8"/>
  <c r="V513" i="8"/>
  <c r="V547" i="8"/>
  <c r="V566" i="8"/>
  <c r="V557" i="8"/>
  <c r="V269" i="8"/>
  <c r="V121" i="8"/>
  <c r="V388" i="8"/>
  <c r="V597" i="8"/>
  <c r="V646" i="8"/>
  <c r="V228" i="8"/>
  <c r="V580" i="8"/>
  <c r="V401" i="8"/>
  <c r="V1423" i="8"/>
  <c r="W1423" i="8" s="1"/>
  <c r="V1414" i="8"/>
  <c r="W1414" i="8" s="1"/>
  <c r="V1447" i="8"/>
  <c r="W1447" i="8" s="1"/>
  <c r="V1488" i="8"/>
  <c r="W1488" i="8" s="1"/>
  <c r="V1464" i="8"/>
  <c r="W1464" i="8" s="1"/>
  <c r="V1382" i="8"/>
  <c r="W1382" i="8" s="1"/>
  <c r="V1489" i="8"/>
  <c r="W1489" i="8" s="1"/>
  <c r="V1336" i="8"/>
  <c r="W1336" i="8" s="1"/>
  <c r="V1522" i="8"/>
  <c r="W1522" i="8" s="1"/>
  <c r="V1365" i="8"/>
  <c r="W1365" i="8" s="1"/>
  <c r="V781" i="8"/>
  <c r="W781" i="8" s="1"/>
  <c r="V1055" i="8"/>
  <c r="W1055" i="8" s="1"/>
  <c r="V1023" i="8"/>
  <c r="W1023" i="8" s="1"/>
  <c r="V859" i="8"/>
  <c r="W859" i="8" s="1"/>
  <c r="V1070" i="8"/>
  <c r="W1070" i="8" s="1"/>
  <c r="V1040" i="8"/>
  <c r="W1040" i="8" s="1"/>
  <c r="V769" i="8"/>
  <c r="W769" i="8" s="1"/>
  <c r="V768" i="8"/>
  <c r="W768" i="8" s="1"/>
  <c r="V306" i="8"/>
  <c r="V707" i="8"/>
  <c r="V102" i="8"/>
  <c r="V351" i="8"/>
  <c r="V65" i="8"/>
  <c r="V366" i="8"/>
  <c r="V1553" i="8"/>
  <c r="W1553" i="8" s="1"/>
  <c r="V1213" i="8"/>
  <c r="W1213" i="8" s="1"/>
  <c r="V1289" i="8"/>
  <c r="W1289" i="8" s="1"/>
  <c r="V343" i="8"/>
  <c r="V259" i="8"/>
  <c r="V1266" i="8"/>
  <c r="W1266" i="8" s="1"/>
  <c r="V234" i="8"/>
  <c r="V1546" i="8"/>
  <c r="W1546" i="8" s="1"/>
  <c r="V1214" i="8"/>
  <c r="W1214" i="8" s="1"/>
  <c r="V493" i="8"/>
  <c r="V165" i="8"/>
  <c r="V568" i="8"/>
  <c r="V1143" i="8"/>
  <c r="W1143" i="8" s="1"/>
  <c r="V1626" i="8"/>
  <c r="W1626" i="8" s="1"/>
  <c r="V1192" i="8"/>
  <c r="W1192" i="8" s="1"/>
  <c r="V479" i="8"/>
  <c r="V1592" i="8"/>
  <c r="W1592" i="8" s="1"/>
  <c r="V1569" i="8"/>
  <c r="W1569" i="8" s="1"/>
  <c r="V1283" i="8"/>
  <c r="W1283" i="8" s="1"/>
  <c r="V1131" i="8"/>
  <c r="W1131" i="8" s="1"/>
  <c r="V1543" i="8"/>
  <c r="W1543" i="8" s="1"/>
  <c r="V1216" i="8"/>
  <c r="W1216" i="8" s="1"/>
  <c r="V425" i="8"/>
  <c r="V433" i="8"/>
  <c r="V1490" i="8"/>
  <c r="W1490" i="8" s="1"/>
  <c r="V842" i="8"/>
  <c r="W842" i="8" s="1"/>
  <c r="V456" i="8"/>
  <c r="V147" i="8"/>
  <c r="V1191" i="8"/>
  <c r="W1191" i="8" s="1"/>
  <c r="V760" i="8"/>
  <c r="W760" i="8" s="1"/>
  <c r="V176" i="8"/>
  <c r="V531" i="8"/>
  <c r="V656" i="8"/>
  <c r="V78" i="8"/>
  <c r="V459" i="8"/>
  <c r="V75" i="8"/>
  <c r="V530" i="8"/>
  <c r="V220" i="8"/>
  <c r="V1303" i="8"/>
  <c r="W1303" i="8" s="1"/>
  <c r="V1480" i="8"/>
  <c r="W1480" i="8" s="1"/>
  <c r="V1428" i="8"/>
  <c r="W1428" i="8" s="1"/>
  <c r="V1435" i="8"/>
  <c r="W1435" i="8" s="1"/>
  <c r="V1069" i="8"/>
  <c r="W1069" i="8" s="1"/>
  <c r="V1095" i="8"/>
  <c r="W1095" i="8" s="1"/>
  <c r="V823" i="8"/>
  <c r="W823" i="8" s="1"/>
  <c r="V600" i="8"/>
  <c r="V736" i="8"/>
  <c r="V383" i="8"/>
  <c r="V683" i="8"/>
  <c r="V648" i="8"/>
  <c r="V673" i="8"/>
  <c r="V400" i="8"/>
  <c r="V299" i="8"/>
  <c r="V591" i="8"/>
  <c r="V392" i="8"/>
  <c r="V37" i="8"/>
  <c r="V553" i="8"/>
  <c r="V1364" i="8"/>
  <c r="W1364" i="8" s="1"/>
  <c r="V1351" i="8"/>
  <c r="W1351" i="8" s="1"/>
  <c r="V1326" i="8"/>
  <c r="W1326" i="8" s="1"/>
  <c r="V1368" i="8"/>
  <c r="W1368" i="8" s="1"/>
  <c r="V942" i="8"/>
  <c r="W942" i="8" s="1"/>
  <c r="V1042" i="8"/>
  <c r="W1042" i="8" s="1"/>
  <c r="V810" i="8"/>
  <c r="W810" i="8" s="1"/>
  <c r="V888" i="8"/>
  <c r="W888" i="8" s="1"/>
  <c r="V1046" i="8"/>
  <c r="W1046" i="8" s="1"/>
  <c r="V892" i="8"/>
  <c r="W892" i="8" s="1"/>
  <c r="V316" i="8"/>
  <c r="V122" i="8"/>
  <c r="V73" i="8"/>
  <c r="V310" i="8"/>
  <c r="V45" i="8"/>
  <c r="V359" i="8"/>
  <c r="V195" i="8"/>
  <c r="V381" i="8"/>
  <c r="V22" i="8"/>
  <c r="V377" i="8"/>
  <c r="V569" i="8"/>
  <c r="V243" i="8"/>
  <c r="V123" i="8"/>
  <c r="V280" i="8"/>
  <c r="V272" i="8"/>
  <c r="V679" i="8"/>
  <c r="V540" i="8"/>
  <c r="V1531" i="8"/>
  <c r="W1531" i="8" s="1"/>
  <c r="V1544" i="8"/>
  <c r="W1544" i="8" s="1"/>
  <c r="V1612" i="8"/>
  <c r="W1612" i="8" s="1"/>
  <c r="V1597" i="8"/>
  <c r="W1597" i="8" s="1"/>
  <c r="V1623" i="8"/>
  <c r="W1623" i="8" s="1"/>
  <c r="V1596" i="8"/>
  <c r="W1596" i="8" s="1"/>
  <c r="V1159" i="8"/>
  <c r="W1159" i="8" s="1"/>
  <c r="V1279" i="8"/>
  <c r="W1279" i="8" s="1"/>
  <c r="V1233" i="8"/>
  <c r="W1233" i="8" s="1"/>
  <c r="V1247" i="8"/>
  <c r="W1247" i="8" s="1"/>
  <c r="V1181" i="8"/>
  <c r="W1181" i="8" s="1"/>
  <c r="V1239" i="8"/>
  <c r="W1239" i="8" s="1"/>
  <c r="V1221" i="8"/>
  <c r="W1221" i="8" s="1"/>
  <c r="V1252" i="8"/>
  <c r="W1252" i="8" s="1"/>
  <c r="V20" i="8"/>
  <c r="V478" i="8"/>
  <c r="V606" i="8"/>
  <c r="V63" i="8"/>
  <c r="V160" i="8"/>
  <c r="V603" i="8"/>
  <c r="V634" i="8"/>
  <c r="V712" i="8"/>
  <c r="V1600" i="8"/>
  <c r="W1600" i="8" s="1"/>
  <c r="V1129" i="8"/>
  <c r="W1129" i="8" s="1"/>
  <c r="V1176" i="8"/>
  <c r="W1176" i="8" s="1"/>
  <c r="V405" i="8"/>
  <c r="V319" i="8"/>
  <c r="V638" i="8"/>
  <c r="V1399" i="8"/>
  <c r="W1399" i="8" s="1"/>
  <c r="V807" i="8"/>
  <c r="W807" i="8" s="1"/>
  <c r="V822" i="8"/>
  <c r="W822" i="8" s="1"/>
  <c r="V770" i="8"/>
  <c r="W770" i="8" s="1"/>
  <c r="V560" i="8"/>
  <c r="V692" i="8"/>
  <c r="V717" i="8"/>
  <c r="V27" i="8"/>
  <c r="V363" i="8"/>
  <c r="V442" i="8"/>
  <c r="V549" i="8"/>
  <c r="V644" i="8"/>
  <c r="V487" i="8"/>
  <c r="V255" i="8"/>
  <c r="V1523" i="8"/>
  <c r="W1523" i="8" s="1"/>
  <c r="V1462" i="8"/>
  <c r="W1462" i="8" s="1"/>
  <c r="V1433" i="8"/>
  <c r="W1433" i="8" s="1"/>
  <c r="V1330" i="8"/>
  <c r="W1330" i="8" s="1"/>
  <c r="V1328" i="8"/>
  <c r="W1328" i="8" s="1"/>
  <c r="V803" i="8"/>
  <c r="W803" i="8" s="1"/>
  <c r="V1050" i="8"/>
  <c r="W1050" i="8" s="1"/>
  <c r="V843" i="8"/>
  <c r="W843" i="8" s="1"/>
  <c r="V780" i="8"/>
  <c r="W780" i="8" s="1"/>
  <c r="V882" i="8"/>
  <c r="W882" i="8" s="1"/>
  <c r="V1034" i="8"/>
  <c r="W1034" i="8" s="1"/>
  <c r="V1112" i="8"/>
  <c r="W1112" i="8" s="1"/>
  <c r="V836" i="8"/>
  <c r="W836" i="8" s="1"/>
  <c r="V1020" i="8"/>
  <c r="W1020" i="8" s="1"/>
  <c r="V1030" i="8"/>
  <c r="W1030" i="8" s="1"/>
  <c r="V1061" i="8"/>
  <c r="W1061" i="8" s="1"/>
  <c r="V972" i="8"/>
  <c r="W972" i="8" s="1"/>
  <c r="V1072" i="8"/>
  <c r="W1072" i="8" s="1"/>
  <c r="V910" i="8"/>
  <c r="W910" i="8" s="1"/>
  <c r="V756" i="8"/>
  <c r="W756" i="8" s="1"/>
  <c r="V237" i="8"/>
  <c r="V262" i="8"/>
  <c r="V110" i="8"/>
  <c r="V724" i="8"/>
  <c r="V1102" i="8"/>
  <c r="W1102" i="8" s="1"/>
  <c r="V576" i="8"/>
  <c r="V420" i="8"/>
  <c r="V29" i="8"/>
  <c r="V722" i="8"/>
  <c r="V41" i="8"/>
  <c r="V84" i="8"/>
  <c r="V604" i="8"/>
  <c r="V115" i="8"/>
  <c r="V1579" i="8"/>
  <c r="W1579" i="8" s="1"/>
  <c r="V1584" i="8"/>
  <c r="W1584" i="8" s="1"/>
  <c r="V1571" i="8"/>
  <c r="W1571" i="8" s="1"/>
  <c r="V1622" i="8"/>
  <c r="W1622" i="8" s="1"/>
  <c r="V1277" i="8"/>
  <c r="W1277" i="8" s="1"/>
  <c r="V1244" i="8"/>
  <c r="W1244" i="8" s="1"/>
  <c r="V1222" i="8"/>
  <c r="W1222" i="8" s="1"/>
  <c r="V1212" i="8"/>
  <c r="W1212" i="8" s="1"/>
  <c r="V1269" i="8"/>
  <c r="W1269" i="8" s="1"/>
  <c r="V1186" i="8"/>
  <c r="W1186" i="8" s="1"/>
  <c r="V1254" i="8"/>
  <c r="W1254" i="8" s="1"/>
  <c r="V1576" i="8"/>
  <c r="W1576" i="8" s="1"/>
  <c r="V1241" i="8"/>
  <c r="W1241" i="8" s="1"/>
  <c r="V334" i="8"/>
  <c r="V1172" i="8"/>
  <c r="W1172" i="8" s="1"/>
  <c r="V81" i="8"/>
  <c r="V1285" i="8"/>
  <c r="W1285" i="8" s="1"/>
  <c r="V706" i="8"/>
  <c r="V50" i="8"/>
  <c r="V130" i="8"/>
  <c r="V570" i="8"/>
  <c r="V475" i="8"/>
  <c r="V149" i="8"/>
  <c r="V1557" i="8"/>
  <c r="W1557" i="8" s="1"/>
  <c r="V1123" i="8"/>
  <c r="W1123" i="8" s="1"/>
  <c r="V1210" i="8"/>
  <c r="W1210" i="8" s="1"/>
  <c r="V1173" i="8"/>
  <c r="W1173" i="8" s="1"/>
  <c r="V1265" i="8"/>
  <c r="W1265" i="8" s="1"/>
  <c r="V1162" i="8"/>
  <c r="W1162" i="8" s="1"/>
  <c r="V564" i="8"/>
  <c r="V460" i="8"/>
  <c r="V684" i="8"/>
  <c r="V1530" i="8"/>
  <c r="W1530" i="8" s="1"/>
  <c r="V1142" i="8"/>
  <c r="W1142" i="8" s="1"/>
  <c r="V650" i="8"/>
  <c r="V376" i="8"/>
  <c r="V532" i="8"/>
  <c r="V652" i="8"/>
  <c r="V727" i="8"/>
  <c r="V1615" i="8"/>
  <c r="W1615" i="8" s="1"/>
  <c r="V1154" i="8"/>
  <c r="W1154" i="8" s="1"/>
  <c r="V36" i="8"/>
  <c r="V581" i="8"/>
  <c r="V360" i="8"/>
  <c r="V453" i="8"/>
  <c r="V718" i="8"/>
  <c r="V689" i="8"/>
  <c r="V174" i="8"/>
  <c r="V1324" i="8"/>
  <c r="W1324" i="8" s="1"/>
  <c r="V1300" i="8"/>
  <c r="W1300" i="8" s="1"/>
  <c r="V792" i="8"/>
  <c r="W792" i="8" s="1"/>
  <c r="V988" i="8"/>
  <c r="W988" i="8" s="1"/>
  <c r="V801" i="8"/>
  <c r="W801" i="8" s="1"/>
  <c r="V139" i="8"/>
  <c r="V118" i="8"/>
  <c r="V595" i="8"/>
  <c r="V463" i="8"/>
  <c r="V1561" i="8"/>
  <c r="W1561" i="8" s="1"/>
  <c r="V1631" i="8"/>
  <c r="W1631" i="8" s="1"/>
  <c r="V1218" i="8"/>
  <c r="W1218" i="8" s="1"/>
  <c r="V48" i="8"/>
  <c r="V294" i="8"/>
  <c r="V705" i="8"/>
  <c r="V389" i="8"/>
  <c r="V21" i="8"/>
  <c r="V601" i="8"/>
  <c r="V695" i="8"/>
  <c r="V64" i="8"/>
  <c r="V69" i="8"/>
  <c r="V416" i="8"/>
  <c r="V534" i="8"/>
  <c r="V609" i="8"/>
  <c r="V127" i="8"/>
  <c r="V274" i="8"/>
  <c r="V5" i="8"/>
  <c r="V273" i="8"/>
  <c r="V690" i="8"/>
  <c r="V380" i="8"/>
  <c r="V331" i="8"/>
  <c r="V1470" i="8"/>
  <c r="W1470" i="8" s="1"/>
  <c r="V1475" i="8"/>
  <c r="W1475" i="8" s="1"/>
  <c r="V1507" i="8"/>
  <c r="W1507" i="8" s="1"/>
  <c r="V1458" i="8"/>
  <c r="W1458" i="8" s="1"/>
  <c r="V1366" i="8"/>
  <c r="W1366" i="8" s="1"/>
  <c r="V1506" i="8"/>
  <c r="W1506" i="8" s="1"/>
  <c r="V1378" i="8"/>
  <c r="W1378" i="8" s="1"/>
  <c r="V1493" i="8"/>
  <c r="W1493" i="8" s="1"/>
  <c r="V1463" i="8"/>
  <c r="W1463" i="8" s="1"/>
  <c r="V1384" i="8"/>
  <c r="W1384" i="8" s="1"/>
  <c r="V1115" i="8"/>
  <c r="W1115" i="8" s="1"/>
  <c r="V917" i="8"/>
  <c r="W917" i="8" s="1"/>
  <c r="V1071" i="8"/>
  <c r="W1071" i="8" s="1"/>
  <c r="V881" i="8"/>
  <c r="W881" i="8" s="1"/>
  <c r="V873" i="8"/>
  <c r="W873" i="8" s="1"/>
  <c r="V829" i="8"/>
  <c r="W829" i="8" s="1"/>
  <c r="V1003" i="8"/>
  <c r="W1003" i="8" s="1"/>
  <c r="V913" i="8"/>
  <c r="W913" i="8" s="1"/>
  <c r="V755" i="8"/>
  <c r="W755" i="8" s="1"/>
  <c r="V559" i="8"/>
  <c r="V286" i="8"/>
  <c r="V488" i="8"/>
  <c r="V240" i="8"/>
  <c r="V1591" i="8"/>
  <c r="W1591" i="8" s="1"/>
  <c r="V1278" i="8"/>
  <c r="W1278" i="8" s="1"/>
  <c r="V1130" i="8"/>
  <c r="W1130" i="8" s="1"/>
  <c r="V1235" i="8"/>
  <c r="W1235" i="8" s="1"/>
  <c r="V1134" i="8"/>
  <c r="W1134" i="8" s="1"/>
  <c r="V120" i="8"/>
  <c r="V87" i="8"/>
  <c r="V256" i="8"/>
  <c r="V2" i="8"/>
  <c r="V462" i="8"/>
  <c r="V659" i="8"/>
  <c r="V89" i="8"/>
  <c r="V1383" i="8"/>
  <c r="W1383" i="8" s="1"/>
  <c r="V1437" i="8"/>
  <c r="W1437" i="8" s="1"/>
  <c r="V880" i="8"/>
  <c r="W880" i="8" s="1"/>
  <c r="V953" i="8"/>
  <c r="W953" i="8" s="1"/>
  <c r="V1022" i="8"/>
  <c r="W1022" i="8" s="1"/>
  <c r="V987" i="8"/>
  <c r="W987" i="8" s="1"/>
  <c r="V315" i="8"/>
  <c r="V190" i="8"/>
  <c r="V119" i="8"/>
  <c r="V133" i="8"/>
  <c r="V1509" i="8"/>
  <c r="W1509" i="8" s="1"/>
  <c r="V1106" i="8"/>
  <c r="W1106" i="8" s="1"/>
  <c r="V1092" i="8"/>
  <c r="W1092" i="8" s="1"/>
  <c r="V891" i="8"/>
  <c r="W891" i="8" s="1"/>
  <c r="V1549" i="8"/>
  <c r="W1549" i="8" s="1"/>
  <c r="V577" i="8"/>
  <c r="V85" i="8"/>
  <c r="V605" i="8"/>
  <c r="V519" i="8"/>
  <c r="V348" i="8"/>
  <c r="V623" i="8"/>
  <c r="V189" i="8"/>
  <c r="V396" i="8"/>
  <c r="V1436" i="8"/>
  <c r="W1436" i="8" s="1"/>
  <c r="V1438" i="8"/>
  <c r="W1438" i="8" s="1"/>
  <c r="V1408" i="8"/>
  <c r="W1408" i="8" s="1"/>
  <c r="V1416" i="8"/>
  <c r="W1416" i="8" s="1"/>
  <c r="V1481" i="8"/>
  <c r="W1481" i="8" s="1"/>
  <c r="V786" i="8"/>
  <c r="W786" i="8" s="1"/>
  <c r="V1098" i="8"/>
  <c r="W1098" i="8" s="1"/>
  <c r="V1013" i="8"/>
  <c r="W1013" i="8" s="1"/>
  <c r="V896" i="8"/>
  <c r="W896" i="8" s="1"/>
  <c r="V905" i="8"/>
  <c r="W905" i="8" s="1"/>
  <c r="V985" i="8"/>
  <c r="W985" i="8" s="1"/>
  <c r="V749" i="8"/>
  <c r="W749" i="8" s="1"/>
  <c r="V338" i="8"/>
  <c r="V697" i="8"/>
  <c r="V108" i="8"/>
  <c r="V542" i="8"/>
  <c r="V283" i="8"/>
  <c r="V512" i="8"/>
  <c r="V362" i="8"/>
  <c r="V1386" i="8"/>
  <c r="W1386" i="8" s="1"/>
  <c r="V1345" i="8"/>
  <c r="W1345" i="8" s="1"/>
  <c r="V1512" i="8"/>
  <c r="W1512" i="8" s="1"/>
  <c r="V1307" i="8"/>
  <c r="W1307" i="8" s="1"/>
  <c r="V1445" i="8"/>
  <c r="W1445" i="8" s="1"/>
  <c r="V824" i="8"/>
  <c r="W824" i="8" s="1"/>
  <c r="V1080" i="8"/>
  <c r="W1080" i="8" s="1"/>
  <c r="V994" i="8"/>
  <c r="W994" i="8" s="1"/>
  <c r="V833" i="8"/>
  <c r="W833" i="8" s="1"/>
  <c r="V1032" i="8"/>
  <c r="W1032" i="8" s="1"/>
  <c r="V924" i="8"/>
  <c r="W924" i="8" s="1"/>
  <c r="V915" i="8"/>
  <c r="W915" i="8" s="1"/>
  <c r="V1060" i="8"/>
  <c r="W1060" i="8" s="1"/>
  <c r="V95" i="8"/>
  <c r="V1619" i="8"/>
  <c r="W1619" i="8" s="1"/>
  <c r="V1169" i="8"/>
  <c r="W1169" i="8" s="1"/>
  <c r="V271" i="8"/>
  <c r="V358" i="8"/>
  <c r="V204" i="8"/>
  <c r="V555" i="8"/>
  <c r="V430" i="8"/>
  <c r="V238" i="8"/>
  <c r="V625" i="8"/>
  <c r="V543" i="8"/>
  <c r="V421" i="8"/>
  <c r="V387" i="8"/>
  <c r="V589" i="8"/>
  <c r="V226" i="8"/>
  <c r="V495" i="8"/>
  <c r="V1353" i="8"/>
  <c r="W1353" i="8" s="1"/>
  <c r="V1409" i="8"/>
  <c r="W1409" i="8" s="1"/>
  <c r="V1498" i="8"/>
  <c r="W1498" i="8" s="1"/>
  <c r="V1444" i="8"/>
  <c r="W1444" i="8" s="1"/>
  <c r="V1442" i="8"/>
  <c r="W1442" i="8" s="1"/>
  <c r="V1371" i="8"/>
  <c r="W1371" i="8" s="1"/>
  <c r="V832" i="8"/>
  <c r="W832" i="8" s="1"/>
  <c r="V1002" i="8"/>
  <c r="W1002" i="8" s="1"/>
  <c r="V947" i="8"/>
  <c r="W947" i="8" s="1"/>
  <c r="V841" i="8"/>
  <c r="W841" i="8" s="1"/>
  <c r="V1010" i="8"/>
  <c r="W1010" i="8" s="1"/>
  <c r="V1116" i="8"/>
  <c r="W1116" i="8" s="1"/>
  <c r="V958" i="8"/>
  <c r="W958" i="8" s="1"/>
  <c r="V1093" i="8"/>
  <c r="W1093" i="8" s="1"/>
  <c r="V1111" i="8"/>
  <c r="W1111" i="8" s="1"/>
  <c r="V751" i="8"/>
  <c r="W751" i="8" s="1"/>
  <c r="V424" i="8"/>
  <c r="V1296" i="8"/>
  <c r="W1296" i="8" s="1"/>
  <c r="V649" i="8"/>
  <c r="V1157" i="8"/>
  <c r="W1157" i="8" s="1"/>
  <c r="V62" i="8"/>
  <c r="V254" i="8"/>
  <c r="V446" i="8"/>
  <c r="V224" i="8"/>
  <c r="V350" i="8"/>
  <c r="V236" i="8"/>
  <c r="V1573" i="8"/>
  <c r="W1573" i="8" s="1"/>
  <c r="V1558" i="8"/>
  <c r="W1558" i="8" s="1"/>
  <c r="V1273" i="8"/>
  <c r="W1273" i="8" s="1"/>
  <c r="V1163" i="8"/>
  <c r="W1163" i="8" s="1"/>
  <c r="V1135" i="8"/>
  <c r="W1135" i="8" s="1"/>
  <c r="V138" i="8"/>
  <c r="V1541" i="8"/>
  <c r="W1541" i="8" s="1"/>
  <c r="V1231" i="8"/>
  <c r="W1231" i="8" s="1"/>
  <c r="V1227" i="8"/>
  <c r="W1227" i="8" s="1"/>
  <c r="V12" i="8"/>
  <c r="V537" i="8"/>
  <c r="V1575" i="8"/>
  <c r="W1575" i="8" s="1"/>
  <c r="V1223" i="8"/>
  <c r="W1223" i="8" s="1"/>
  <c r="V593" i="8"/>
  <c r="V1190" i="8"/>
  <c r="W1190" i="8" s="1"/>
  <c r="V267" i="8"/>
  <c r="V716" i="8"/>
  <c r="V1234" i="8"/>
  <c r="W1234" i="8" s="1"/>
  <c r="V43" i="8"/>
  <c r="V42" i="8"/>
  <c r="V1165" i="8"/>
  <c r="W1165" i="8" s="1"/>
  <c r="V114" i="8"/>
  <c r="V407" i="8"/>
  <c r="V671" i="8"/>
  <c r="V1376" i="8"/>
  <c r="W1376" i="8" s="1"/>
  <c r="V1476" i="8"/>
  <c r="W1476" i="8" s="1"/>
  <c r="V838" i="8"/>
  <c r="W838" i="8" s="1"/>
  <c r="V1047" i="8"/>
  <c r="W1047" i="8" s="1"/>
  <c r="V451" i="8"/>
  <c r="V56" i="8"/>
  <c r="V558" i="8"/>
  <c r="V423" i="8"/>
  <c r="V1320" i="8"/>
  <c r="W1320" i="8" s="1"/>
  <c r="V1407" i="8"/>
  <c r="W1407" i="8" s="1"/>
  <c r="V1333" i="8"/>
  <c r="W1333" i="8" s="1"/>
  <c r="V1484" i="8"/>
  <c r="W1484" i="8" s="1"/>
  <c r="V1422" i="8"/>
  <c r="W1422" i="8" s="1"/>
  <c r="V925" i="8"/>
  <c r="W925" i="8" s="1"/>
  <c r="V961" i="8"/>
  <c r="W961" i="8" s="1"/>
  <c r="V909" i="8"/>
  <c r="W909" i="8" s="1"/>
  <c r="V772" i="8"/>
  <c r="W772" i="8" s="1"/>
  <c r="V911" i="8"/>
  <c r="W911" i="8" s="1"/>
  <c r="V778" i="8"/>
  <c r="W778" i="8" s="1"/>
  <c r="V1076" i="8"/>
  <c r="W1076" i="8" s="1"/>
  <c r="V457" i="8"/>
  <c r="V676" i="8"/>
  <c r="V701" i="8"/>
  <c r="V244" i="8"/>
  <c r="V579" i="8"/>
  <c r="V74" i="8"/>
  <c r="V536" i="8"/>
  <c r="V1440" i="8"/>
  <c r="W1440" i="8" s="1"/>
  <c r="V1451" i="8"/>
  <c r="W1451" i="8" s="1"/>
  <c r="V1348" i="8"/>
  <c r="W1348" i="8" s="1"/>
  <c r="V1410" i="8"/>
  <c r="W1410" i="8" s="1"/>
  <c r="V856" i="8"/>
  <c r="W856" i="8" s="1"/>
  <c r="V847" i="8"/>
  <c r="W847" i="8" s="1"/>
  <c r="V1107" i="8"/>
  <c r="W1107" i="8" s="1"/>
  <c r="V805" i="8"/>
  <c r="W805" i="8" s="1"/>
  <c r="V837" i="8"/>
  <c r="W837" i="8" s="1"/>
  <c r="V871" i="8"/>
  <c r="W871" i="8" s="1"/>
  <c r="V357" i="8"/>
  <c r="V192" i="8"/>
  <c r="V60" i="8"/>
  <c r="V1373" i="8"/>
  <c r="W1373" i="8" s="1"/>
  <c r="V1453" i="8"/>
  <c r="W1453" i="8" s="1"/>
  <c r="V1449" i="8"/>
  <c r="W1449" i="8" s="1"/>
  <c r="V831" i="8"/>
  <c r="W831" i="8" s="1"/>
  <c r="V976" i="8"/>
  <c r="W976" i="8" s="1"/>
  <c r="V981" i="8"/>
  <c r="W981" i="8" s="1"/>
  <c r="V1101" i="8"/>
  <c r="W1101" i="8" s="1"/>
  <c r="V1019" i="8"/>
  <c r="W1019" i="8" s="1"/>
  <c r="V1015" i="8"/>
  <c r="W1015" i="8" s="1"/>
  <c r="V872" i="8"/>
  <c r="W872" i="8" s="1"/>
  <c r="V820" i="8"/>
  <c r="W820" i="8" s="1"/>
  <c r="V750" i="8"/>
  <c r="W750" i="8" s="1"/>
  <c r="V163" i="8"/>
  <c r="V51" i="8"/>
  <c r="V431" i="8"/>
  <c r="V710" i="8"/>
  <c r="V246" i="8"/>
  <c r="V516" i="8"/>
  <c r="V367" i="8"/>
  <c r="V594" i="8"/>
  <c r="V439" i="8"/>
  <c r="V415" i="8"/>
  <c r="V1311" i="8"/>
  <c r="W1311" i="8" s="1"/>
  <c r="V1465" i="8"/>
  <c r="W1465" i="8" s="1"/>
  <c r="V1396" i="8"/>
  <c r="W1396" i="8" s="1"/>
  <c r="V1314" i="8"/>
  <c r="W1314" i="8" s="1"/>
  <c r="V1514" i="8"/>
  <c r="W1514" i="8" s="1"/>
  <c r="V926" i="8"/>
  <c r="W926" i="8" s="1"/>
  <c r="V886" i="8"/>
  <c r="W886" i="8" s="1"/>
  <c r="V855" i="8"/>
  <c r="W855" i="8" s="1"/>
  <c r="V1001" i="8"/>
  <c r="W1001" i="8" s="1"/>
  <c r="V790" i="8"/>
  <c r="W790" i="8" s="1"/>
  <c r="V840" i="8"/>
  <c r="W840" i="8" s="1"/>
  <c r="V1316" i="8"/>
  <c r="W1316" i="8" s="1"/>
  <c r="V1057" i="8"/>
  <c r="W1057" i="8" s="1"/>
  <c r="V502" i="8"/>
  <c r="V499" i="8"/>
  <c r="V616" i="8"/>
  <c r="V10" i="8"/>
  <c r="V546" i="8"/>
  <c r="V151" i="8"/>
  <c r="V500" i="8"/>
  <c r="V1425" i="8"/>
  <c r="W1425" i="8" s="1"/>
  <c r="V1474" i="8"/>
  <c r="W1474" i="8" s="1"/>
  <c r="V1402" i="8"/>
  <c r="W1402" i="8" s="1"/>
  <c r="V1312" i="8"/>
  <c r="W1312" i="8" s="1"/>
  <c r="V1026" i="8"/>
  <c r="W1026" i="8" s="1"/>
  <c r="V1058" i="8"/>
  <c r="W1058" i="8" s="1"/>
  <c r="V930" i="8"/>
  <c r="W930" i="8" s="1"/>
  <c r="V900" i="8"/>
  <c r="W900" i="8" s="1"/>
  <c r="V827" i="8"/>
  <c r="W827" i="8" s="1"/>
  <c r="V921" i="8"/>
  <c r="W921" i="8" s="1"/>
  <c r="V328" i="8"/>
  <c r="V406" i="8"/>
  <c r="V548" i="8"/>
  <c r="V1472" i="8"/>
  <c r="W1472" i="8" s="1"/>
  <c r="V1431" i="8"/>
  <c r="W1431" i="8" s="1"/>
  <c r="V1357" i="8"/>
  <c r="W1357" i="8" s="1"/>
  <c r="V1077" i="8"/>
  <c r="W1077" i="8" s="1"/>
  <c r="V948" i="8"/>
  <c r="W948" i="8" s="1"/>
  <c r="V1035" i="8"/>
  <c r="W1035" i="8" s="1"/>
  <c r="V1052" i="8"/>
  <c r="W1052" i="8" s="1"/>
  <c r="V830" i="8"/>
  <c r="W830" i="8" s="1"/>
  <c r="V902" i="8"/>
  <c r="W902" i="8" s="1"/>
  <c r="V582" i="8"/>
  <c r="V1246" i="8"/>
  <c r="W1246" i="8" s="1"/>
  <c r="V1660" i="8"/>
  <c r="W1660" i="8" s="1"/>
  <c r="V1670" i="8"/>
  <c r="W1670" i="8" s="1"/>
  <c r="V1716" i="8"/>
  <c r="W1716" i="8" s="1"/>
  <c r="V1779" i="8"/>
  <c r="W1779" i="8" s="1"/>
  <c r="V1689" i="8"/>
  <c r="W1689" i="8" s="1"/>
  <c r="V1754" i="8"/>
  <c r="W1754" i="8" s="1"/>
  <c r="V1673" i="8"/>
  <c r="W1673" i="8" s="1"/>
  <c r="V1712" i="8"/>
  <c r="W1712" i="8" s="1"/>
  <c r="V1727" i="8"/>
  <c r="W1727" i="8" s="1"/>
  <c r="V1669" i="8"/>
  <c r="W1669" i="8" s="1"/>
  <c r="V1684" i="8"/>
  <c r="W1684" i="8" s="1"/>
  <c r="V1680" i="8"/>
  <c r="W1680" i="8" s="1"/>
  <c r="V1643" i="8"/>
  <c r="W1643" i="8" s="1"/>
  <c r="V1666" i="8"/>
  <c r="W1666" i="8" s="1"/>
  <c r="V1641" i="8"/>
  <c r="W1641" i="8" s="1"/>
  <c r="V1805" i="8"/>
  <c r="W1805" i="8" s="1"/>
  <c r="V1685" i="8"/>
  <c r="W1685" i="8" s="1"/>
  <c r="V1659" i="8"/>
  <c r="W1659" i="8" s="1"/>
  <c r="V1700" i="8"/>
  <c r="W1700" i="8" s="1"/>
  <c r="V1790" i="8"/>
  <c r="W1790" i="8" s="1"/>
  <c r="V1676" i="8"/>
  <c r="W1676" i="8" s="1"/>
  <c r="V1699" i="8"/>
  <c r="W1699" i="8" s="1"/>
  <c r="V1763" i="8"/>
  <c r="W1763" i="8" s="1"/>
  <c r="V1781" i="8"/>
  <c r="W1781" i="8" s="1"/>
  <c r="V1762" i="8"/>
  <c r="W1762" i="8" s="1"/>
  <c r="V1706" i="8"/>
  <c r="W1706" i="8" s="1"/>
  <c r="V1795" i="8"/>
  <c r="W1795" i="8" s="1"/>
  <c r="V1803" i="8"/>
  <c r="W1803" i="8" s="1"/>
  <c r="V1804" i="8"/>
  <c r="W1804" i="8" s="1"/>
  <c r="V1744" i="8"/>
  <c r="W1744" i="8" s="1"/>
  <c r="V1739" i="8"/>
  <c r="W1739" i="8" s="1"/>
  <c r="V1664" i="8"/>
  <c r="W1664" i="8" s="1"/>
  <c r="V1658" i="8"/>
  <c r="W1658" i="8" s="1"/>
  <c r="V1765" i="8"/>
  <c r="W1765" i="8" s="1"/>
  <c r="V1656" i="8"/>
  <c r="W1656" i="8" s="1"/>
  <c r="V1653" i="8"/>
  <c r="W1653" i="8" s="1"/>
  <c r="V1740" i="8"/>
  <c r="W1740" i="8" s="1"/>
  <c r="V1768" i="8"/>
  <c r="W1768" i="8" s="1"/>
  <c r="V1662" i="8"/>
  <c r="W1662" i="8" s="1"/>
  <c r="V1679" i="8"/>
  <c r="W1679" i="8" s="1"/>
  <c r="V1667" i="8"/>
  <c r="W1667" i="8" s="1"/>
  <c r="V1801" i="8"/>
  <c r="W1801" i="8" s="1"/>
  <c r="V1782" i="8"/>
  <c r="W1782" i="8" s="1"/>
  <c r="V1681" i="8"/>
  <c r="W1681" i="8" s="1"/>
  <c r="V1693" i="8"/>
  <c r="W1693" i="8" s="1"/>
  <c r="V1735" i="8"/>
  <c r="W1735" i="8" s="1"/>
  <c r="V1634" i="8"/>
  <c r="W1634" i="8" s="1"/>
  <c r="V1788" i="8"/>
  <c r="W1788" i="8" s="1"/>
  <c r="V1718" i="8"/>
  <c r="W1718" i="8" s="1"/>
  <c r="V1751" i="8"/>
  <c r="W1751" i="8" s="1"/>
  <c r="V1732" i="8"/>
  <c r="W1732" i="8" s="1"/>
  <c r="V1770" i="8"/>
  <c r="W1770" i="8" s="1"/>
  <c r="V1671" i="8"/>
  <c r="W1671" i="8" s="1"/>
  <c r="V1694" i="8"/>
  <c r="W1694" i="8" s="1"/>
  <c r="V1686" i="8"/>
  <c r="W1686" i="8" s="1"/>
  <c r="V1715" i="8"/>
  <c r="W1715" i="8" s="1"/>
  <c r="V1714" i="8"/>
  <c r="W1714" i="8" s="1"/>
  <c r="V1719" i="8"/>
  <c r="W1719" i="8" s="1"/>
  <c r="V1772" i="8"/>
  <c r="W1772" i="8" s="1"/>
  <c r="V1784" i="8"/>
  <c r="W1784" i="8" s="1"/>
  <c r="V1746" i="8"/>
  <c r="W1746" i="8" s="1"/>
  <c r="V1650" i="8"/>
  <c r="W1650" i="8" s="1"/>
  <c r="V1731" i="8"/>
  <c r="W1731" i="8" s="1"/>
  <c r="V1638" i="8"/>
  <c r="W1638" i="8" s="1"/>
  <c r="V1682" i="8"/>
  <c r="W1682" i="8" s="1"/>
  <c r="V1734" i="8"/>
  <c r="W1734" i="8" s="1"/>
  <c r="V1702" i="8"/>
  <c r="W1702" i="8" s="1"/>
  <c r="V1783" i="8"/>
  <c r="W1783" i="8" s="1"/>
  <c r="V1651" i="8"/>
  <c r="W1651" i="8" s="1"/>
  <c r="V1649" i="8"/>
  <c r="W1649" i="8" s="1"/>
  <c r="V1778" i="8"/>
  <c r="W1778" i="8" s="1"/>
  <c r="V1644" i="8"/>
  <c r="W1644" i="8" s="1"/>
  <c r="V1648" i="8"/>
  <c r="W1648" i="8" s="1"/>
  <c r="V1678" i="8"/>
  <c r="W1678" i="8" s="1"/>
  <c r="V1758" i="8"/>
  <c r="W1758" i="8" s="1"/>
  <c r="V1800" i="8"/>
  <c r="W1800" i="8" s="1"/>
  <c r="V1724" i="8"/>
  <c r="W1724" i="8" s="1"/>
  <c r="V1657" i="8"/>
  <c r="W1657" i="8" s="1"/>
  <c r="V1640" i="8"/>
  <c r="W1640" i="8" s="1"/>
  <c r="V1725" i="8"/>
  <c r="W1725" i="8" s="1"/>
  <c r="V1786" i="8"/>
  <c r="W1786" i="8" s="1"/>
  <c r="V1741" i="8"/>
  <c r="W1741" i="8" s="1"/>
  <c r="V1747" i="8"/>
  <c r="W1747" i="8" s="1"/>
  <c r="V1722" i="8"/>
  <c r="W1722" i="8" s="1"/>
  <c r="V1767" i="8"/>
  <c r="W1767" i="8" s="1"/>
  <c r="V1729" i="8"/>
  <c r="W1729" i="8" s="1"/>
  <c r="V1749" i="8"/>
  <c r="W1749" i="8" s="1"/>
  <c r="V1711" i="8"/>
  <c r="W1711" i="8" s="1"/>
  <c r="V1785" i="8"/>
  <c r="W1785" i="8" s="1"/>
  <c r="V1793" i="8"/>
  <c r="W1793" i="8" s="1"/>
  <c r="V1636" i="8"/>
  <c r="W1636" i="8" s="1"/>
  <c r="V1787" i="8"/>
  <c r="W1787" i="8" s="1"/>
  <c r="V1717" i="8"/>
  <c r="W1717" i="8" s="1"/>
  <c r="V1654" i="8"/>
  <c r="W1654" i="8" s="1"/>
  <c r="V1775" i="8"/>
  <c r="W1775" i="8" s="1"/>
  <c r="V1668" i="8"/>
  <c r="W1668" i="8" s="1"/>
  <c r="V1773" i="8"/>
  <c r="W1773" i="8" s="1"/>
  <c r="V1796" i="8"/>
  <c r="W1796" i="8" s="1"/>
  <c r="V1691" i="8"/>
  <c r="W1691" i="8" s="1"/>
  <c r="V1777" i="8"/>
  <c r="W1777" i="8" s="1"/>
  <c r="V1642" i="8"/>
  <c r="W1642" i="8" s="1"/>
  <c r="V1802" i="8"/>
  <c r="W1802" i="8" s="1"/>
  <c r="V1687" i="8"/>
  <c r="W1687" i="8" s="1"/>
  <c r="V1792" i="8"/>
  <c r="W1792" i="8" s="1"/>
  <c r="V1705" i="8"/>
  <c r="W1705" i="8" s="1"/>
  <c r="V1766" i="8"/>
  <c r="W1766" i="8" s="1"/>
  <c r="V1713" i="8"/>
  <c r="W1713" i="8" s="1"/>
  <c r="V1647" i="8"/>
  <c r="W1647" i="8" s="1"/>
  <c r="V1789" i="8"/>
  <c r="W1789" i="8" s="1"/>
  <c r="V1730" i="8"/>
  <c r="W1730" i="8" s="1"/>
  <c r="V1698" i="8"/>
  <c r="W1698" i="8" s="1"/>
  <c r="V1672" i="8"/>
  <c r="W1672" i="8" s="1"/>
  <c r="V1720" i="8"/>
  <c r="W1720" i="8" s="1"/>
  <c r="V1697" i="8"/>
  <c r="W1697" i="8" s="1"/>
  <c r="V1661" i="8"/>
  <c r="W1661" i="8" s="1"/>
  <c r="V1695" i="8"/>
  <c r="W1695" i="8" s="1"/>
  <c r="V1645" i="8"/>
  <c r="W1645" i="8" s="1"/>
  <c r="V1688" i="8"/>
  <c r="W1688" i="8" s="1"/>
  <c r="V1677" i="8"/>
  <c r="W1677" i="8" s="1"/>
  <c r="V1798" i="8"/>
  <c r="W1798" i="8" s="1"/>
  <c r="V1794" i="8"/>
  <c r="W1794" i="8" s="1"/>
  <c r="V1797" i="8"/>
  <c r="W1797" i="8" s="1"/>
  <c r="V1771" i="8"/>
  <c r="W1771" i="8" s="1"/>
  <c r="V1733" i="8"/>
  <c r="W1733" i="8" s="1"/>
  <c r="V1692" i="8"/>
  <c r="W1692" i="8" s="1"/>
  <c r="V1690" i="8"/>
  <c r="W1690" i="8" s="1"/>
  <c r="V1710" i="8"/>
  <c r="W1710" i="8" s="1"/>
  <c r="V1759" i="8"/>
  <c r="W1759" i="8" s="1"/>
  <c r="V1637" i="8"/>
  <c r="W1637" i="8" s="1"/>
  <c r="V1683" i="8"/>
  <c r="W1683" i="8" s="1"/>
  <c r="V1769" i="8"/>
  <c r="W1769" i="8" s="1"/>
  <c r="V1745" i="8"/>
  <c r="W1745" i="8" s="1"/>
  <c r="V1755" i="8"/>
  <c r="W1755" i="8" s="1"/>
  <c r="V1704" i="8"/>
  <c r="W1704" i="8" s="1"/>
  <c r="V1737" i="8"/>
  <c r="W1737" i="8" s="1"/>
  <c r="V1675" i="8"/>
  <c r="W1675" i="8" s="1"/>
  <c r="V1738" i="8"/>
  <c r="W1738" i="8" s="1"/>
  <c r="V1646" i="8"/>
  <c r="W1646" i="8" s="1"/>
  <c r="V1799" i="8"/>
  <c r="W1799" i="8" s="1"/>
  <c r="V1753" i="8"/>
  <c r="W1753" i="8" s="1"/>
  <c r="V1791" i="8"/>
  <c r="W1791" i="8" s="1"/>
  <c r="V1665" i="8"/>
  <c r="W1665" i="8" s="1"/>
  <c r="V1764" i="8"/>
  <c r="W1764" i="8" s="1"/>
  <c r="V1701" i="8"/>
  <c r="W1701" i="8" s="1"/>
  <c r="V1655" i="8"/>
  <c r="W1655" i="8" s="1"/>
  <c r="V1707" i="8"/>
  <c r="W1707" i="8" s="1"/>
  <c r="V1743" i="8"/>
  <c r="W1743" i="8" s="1"/>
  <c r="V1703" i="8"/>
  <c r="W1703" i="8" s="1"/>
  <c r="V1774" i="8"/>
  <c r="W1774" i="8" s="1"/>
  <c r="V1761" i="8"/>
  <c r="W1761" i="8" s="1"/>
  <c r="V1750" i="8"/>
  <c r="W1750" i="8" s="1"/>
  <c r="V1776" i="8"/>
  <c r="W1776" i="8" s="1"/>
  <c r="V1736" i="8"/>
  <c r="W1736" i="8" s="1"/>
  <c r="V1674" i="8"/>
  <c r="W1674" i="8" s="1"/>
  <c r="V1752" i="8"/>
  <c r="W1752" i="8" s="1"/>
  <c r="V1652" i="8"/>
  <c r="W1652" i="8" s="1"/>
  <c r="V1639" i="8"/>
  <c r="W1639" i="8" s="1"/>
  <c r="V1635" i="8"/>
  <c r="W1635" i="8" s="1"/>
  <c r="V1726" i="8"/>
  <c r="W1726" i="8" s="1"/>
  <c r="V1723" i="8"/>
  <c r="W1723" i="8" s="1"/>
  <c r="V1663" i="8"/>
  <c r="W1663" i="8" s="1"/>
  <c r="V1709" i="8"/>
  <c r="W1709" i="8" s="1"/>
  <c r="V1748" i="8"/>
  <c r="W1748" i="8" s="1"/>
  <c r="V1728" i="8"/>
  <c r="W1728" i="8" s="1"/>
  <c r="V1756" i="8"/>
  <c r="W1756" i="8" s="1"/>
  <c r="V1780" i="8"/>
  <c r="W1780" i="8" s="1"/>
  <c r="V1721" i="8"/>
  <c r="W1721" i="8" s="1"/>
  <c r="V1708" i="8"/>
  <c r="W1708" i="8" s="1"/>
  <c r="V1696" i="8"/>
  <c r="W1696" i="8" s="1"/>
  <c r="V1742" i="8"/>
  <c r="W1742" i="8" s="1"/>
  <c r="V1760" i="8"/>
  <c r="W1760" i="8" s="1"/>
  <c r="V1757" i="8"/>
  <c r="W1757" i="8" s="1"/>
  <c r="V1973" i="8"/>
  <c r="W1973" i="8" s="1"/>
  <c r="V1840" i="8"/>
  <c r="W1840" i="8" s="1"/>
  <c r="V1954" i="8"/>
  <c r="W1954" i="8" s="1"/>
  <c r="V1876" i="8"/>
  <c r="W1876" i="8" s="1"/>
  <c r="V1952" i="8"/>
  <c r="W1952" i="8" s="1"/>
  <c r="V1810" i="8"/>
  <c r="W1810" i="8" s="1"/>
  <c r="V1834" i="8"/>
  <c r="W1834" i="8" s="1"/>
  <c r="V1861" i="8"/>
  <c r="W1861" i="8" s="1"/>
  <c r="V1891" i="8"/>
  <c r="W1891" i="8" s="1"/>
  <c r="V1976" i="8"/>
  <c r="W1976" i="8" s="1"/>
  <c r="V1924" i="8"/>
  <c r="W1924" i="8" s="1"/>
  <c r="V1990" i="8"/>
  <c r="W1990" i="8" s="1"/>
  <c r="V1859" i="8"/>
  <c r="W1859" i="8" s="1"/>
  <c r="V1915" i="8"/>
  <c r="W1915" i="8" s="1"/>
  <c r="V1825" i="8"/>
  <c r="W1825" i="8" s="1"/>
  <c r="V1942" i="8"/>
  <c r="W1942" i="8" s="1"/>
  <c r="V1871" i="8"/>
  <c r="W1871" i="8" s="1"/>
  <c r="V1994" i="8"/>
  <c r="W1994" i="8" s="1"/>
  <c r="V1938" i="8"/>
  <c r="W1938" i="8" s="1"/>
  <c r="V1808" i="8"/>
  <c r="W1808" i="8" s="1"/>
  <c r="V1939" i="8"/>
  <c r="W1939" i="8" s="1"/>
  <c r="V1867" i="8"/>
  <c r="W1867" i="8" s="1"/>
  <c r="V1966" i="8"/>
  <c r="W1966" i="8" s="1"/>
  <c r="V1980" i="8"/>
  <c r="W1980" i="8" s="1"/>
  <c r="V1811" i="8"/>
  <c r="W1811" i="8" s="1"/>
  <c r="V1951" i="8"/>
  <c r="W1951" i="8" s="1"/>
  <c r="V1978" i="8"/>
  <c r="W1978" i="8" s="1"/>
  <c r="V1907" i="8"/>
  <c r="W1907" i="8" s="1"/>
  <c r="V1981" i="8"/>
  <c r="W1981" i="8" s="1"/>
  <c r="V1847" i="8"/>
  <c r="W1847" i="8" s="1"/>
  <c r="V1905" i="8"/>
  <c r="W1905" i="8" s="1"/>
  <c r="V1977" i="8"/>
  <c r="W1977" i="8" s="1"/>
  <c r="V1964" i="8"/>
  <c r="W1964" i="8" s="1"/>
  <c r="V1858" i="8"/>
  <c r="W1858" i="8" s="1"/>
  <c r="V1910" i="8"/>
  <c r="W1910" i="8" s="1"/>
  <c r="V1958" i="8"/>
  <c r="W1958" i="8" s="1"/>
  <c r="V1822" i="8"/>
  <c r="W1822" i="8" s="1"/>
  <c r="V1829" i="8"/>
  <c r="W1829" i="8" s="1"/>
  <c r="V1828" i="8"/>
  <c r="W1828" i="8" s="1"/>
  <c r="V1906" i="8"/>
  <c r="W1906" i="8" s="1"/>
  <c r="V1849" i="8"/>
  <c r="W1849" i="8" s="1"/>
  <c r="V1820" i="8"/>
  <c r="W1820" i="8" s="1"/>
  <c r="V1903" i="8"/>
  <c r="W1903" i="8" s="1"/>
  <c r="V1919" i="8"/>
  <c r="W1919" i="8" s="1"/>
  <c r="V1985" i="8"/>
  <c r="W1985" i="8" s="1"/>
  <c r="V1962" i="8"/>
  <c r="W1962" i="8" s="1"/>
  <c r="V1864" i="8"/>
  <c r="W1864" i="8" s="1"/>
  <c r="V1826" i="8"/>
  <c r="W1826" i="8" s="1"/>
  <c r="V1838" i="8"/>
  <c r="W1838" i="8" s="1"/>
  <c r="V1857" i="8"/>
  <c r="W1857" i="8" s="1"/>
  <c r="V1872" i="8"/>
  <c r="W1872" i="8" s="1"/>
  <c r="V1873" i="8"/>
  <c r="W1873" i="8" s="1"/>
  <c r="V1844" i="8"/>
  <c r="W1844" i="8" s="1"/>
  <c r="V1896" i="8"/>
  <c r="W1896" i="8" s="1"/>
  <c r="V1894" i="8"/>
  <c r="W1894" i="8" s="1"/>
  <c r="V1975" i="8"/>
  <c r="W1975" i="8" s="1"/>
  <c r="V1914" i="8"/>
  <c r="W1914" i="8" s="1"/>
  <c r="V1902" i="8"/>
  <c r="W1902" i="8" s="1"/>
  <c r="V1991" i="8"/>
  <c r="W1991" i="8" s="1"/>
  <c r="V1960" i="8"/>
  <c r="W1960" i="8" s="1"/>
  <c r="V1909" i="8"/>
  <c r="W1909" i="8" s="1"/>
  <c r="V1869" i="8"/>
  <c r="W1869" i="8" s="1"/>
  <c r="V1851" i="8"/>
  <c r="W1851" i="8" s="1"/>
  <c r="V1956" i="8"/>
  <c r="W1956" i="8" s="1"/>
  <c r="V1926" i="8"/>
  <c r="W1926" i="8" s="1"/>
  <c r="V1953" i="8"/>
  <c r="W1953" i="8" s="1"/>
  <c r="V1818" i="8"/>
  <c r="W1818" i="8" s="1"/>
  <c r="V1848" i="8"/>
  <c r="W1848" i="8" s="1"/>
  <c r="V1948" i="8"/>
  <c r="W1948" i="8" s="1"/>
  <c r="V1928" i="8"/>
  <c r="W1928" i="8" s="1"/>
  <c r="V1897" i="8"/>
  <c r="W1897" i="8" s="1"/>
  <c r="V1870" i="8"/>
  <c r="W1870" i="8" s="1"/>
  <c r="V1879" i="8"/>
  <c r="W1879" i="8" s="1"/>
  <c r="V1874" i="8"/>
  <c r="W1874" i="8" s="1"/>
  <c r="V1988" i="8"/>
  <c r="W1988" i="8" s="1"/>
  <c r="V1904" i="8"/>
  <c r="W1904" i="8" s="1"/>
  <c r="V1881" i="8"/>
  <c r="W1881" i="8" s="1"/>
  <c r="V1842" i="8"/>
  <c r="W1842" i="8" s="1"/>
  <c r="V1936" i="8"/>
  <c r="W1936" i="8" s="1"/>
  <c r="V1846" i="8"/>
  <c r="W1846" i="8" s="1"/>
  <c r="V1947" i="8"/>
  <c r="W1947" i="8" s="1"/>
  <c r="V1963" i="8"/>
  <c r="W1963" i="8" s="1"/>
  <c r="V1995" i="8"/>
  <c r="W1995" i="8" s="1"/>
  <c r="V1883" i="8"/>
  <c r="W1883" i="8" s="1"/>
  <c r="V1863" i="8"/>
  <c r="W1863" i="8" s="1"/>
  <c r="V1959" i="8"/>
  <c r="W1959" i="8" s="1"/>
  <c r="V1814" i="8"/>
  <c r="W1814" i="8" s="1"/>
  <c r="V1989" i="8"/>
  <c r="W1989" i="8" s="1"/>
  <c r="V1908" i="8"/>
  <c r="W1908" i="8" s="1"/>
  <c r="V1841" i="8"/>
  <c r="W1841" i="8" s="1"/>
  <c r="V1830" i="8"/>
  <c r="W1830" i="8" s="1"/>
  <c r="V1833" i="8"/>
  <c r="W1833" i="8" s="1"/>
  <c r="V1946" i="8"/>
  <c r="W1946" i="8" s="1"/>
  <c r="V1852" i="8"/>
  <c r="W1852" i="8" s="1"/>
  <c r="V1824" i="8"/>
  <c r="W1824" i="8" s="1"/>
  <c r="V1987" i="8"/>
  <c r="W1987" i="8" s="1"/>
  <c r="V1812" i="8"/>
  <c r="W1812" i="8" s="1"/>
  <c r="V1961" i="8"/>
  <c r="W1961" i="8" s="1"/>
  <c r="V1986" i="8"/>
  <c r="W1986" i="8" s="1"/>
  <c r="V1839" i="8"/>
  <c r="W1839" i="8" s="1"/>
  <c r="V1877" i="8"/>
  <c r="W1877" i="8" s="1"/>
  <c r="V1892" i="8"/>
  <c r="W1892" i="8" s="1"/>
  <c r="V1832" i="8"/>
  <c r="W1832" i="8" s="1"/>
  <c r="V1899" i="8"/>
  <c r="W1899" i="8" s="1"/>
  <c r="V1813" i="8"/>
  <c r="W1813" i="8" s="1"/>
  <c r="V1868" i="8"/>
  <c r="W1868" i="8" s="1"/>
  <c r="V1878" i="8"/>
  <c r="W1878" i="8" s="1"/>
  <c r="V1940" i="8"/>
  <c r="W1940" i="8" s="1"/>
  <c r="V1982" i="8"/>
  <c r="W1982" i="8" s="1"/>
  <c r="V1920" i="8"/>
  <c r="W1920" i="8" s="1"/>
  <c r="V1996" i="8"/>
  <c r="W1996" i="8" s="1"/>
  <c r="V1866" i="8"/>
  <c r="W1866" i="8" s="1"/>
  <c r="V1922" i="8"/>
  <c r="W1922" i="8" s="1"/>
  <c r="V1935" i="8"/>
  <c r="W1935" i="8" s="1"/>
  <c r="V1911" i="8"/>
  <c r="W1911" i="8" s="1"/>
  <c r="V1949" i="8"/>
  <c r="W1949" i="8" s="1"/>
  <c r="V1972" i="8"/>
  <c r="W1972" i="8" s="1"/>
  <c r="V1900" i="8"/>
  <c r="W1900" i="8" s="1"/>
  <c r="V1950" i="8"/>
  <c r="W1950" i="8" s="1"/>
  <c r="V1831" i="8"/>
  <c r="W1831" i="8" s="1"/>
  <c r="V1888" i="8"/>
  <c r="W1888" i="8" s="1"/>
  <c r="V1865" i="8"/>
  <c r="W1865" i="8" s="1"/>
  <c r="V1943" i="8"/>
  <c r="W1943" i="8" s="1"/>
  <c r="V1945" i="8"/>
  <c r="W1945" i="8" s="1"/>
  <c r="V1827" i="8"/>
  <c r="W1827" i="8" s="1"/>
  <c r="V1835" i="8"/>
  <c r="W1835" i="8" s="1"/>
  <c r="V1853" i="8"/>
  <c r="W1853" i="8" s="1"/>
  <c r="V1983" i="8"/>
  <c r="W1983" i="8" s="1"/>
  <c r="V1890" i="8"/>
  <c r="W1890" i="8" s="1"/>
  <c r="V1882" i="8"/>
  <c r="W1882" i="8" s="1"/>
  <c r="V1854" i="8"/>
  <c r="W1854" i="8" s="1"/>
  <c r="V1884" i="8"/>
  <c r="W1884" i="8" s="1"/>
  <c r="V1901" i="8"/>
  <c r="W1901" i="8" s="1"/>
  <c r="V1937" i="8"/>
  <c r="W1937" i="8" s="1"/>
  <c r="V1895" i="8"/>
  <c r="W1895" i="8" s="1"/>
  <c r="V1967" i="8"/>
  <c r="W1967" i="8" s="1"/>
  <c r="V1968" i="8"/>
  <c r="W1968" i="8" s="1"/>
  <c r="V1965" i="8"/>
  <c r="W1965" i="8" s="1"/>
  <c r="V1850" i="8"/>
  <c r="W1850" i="8" s="1"/>
  <c r="V1843" i="8"/>
  <c r="W1843" i="8" s="1"/>
  <c r="V1875" i="8"/>
  <c r="W1875" i="8" s="1"/>
  <c r="V1860" i="8"/>
  <c r="W1860" i="8" s="1"/>
  <c r="V1969" i="8"/>
  <c r="W1969" i="8" s="1"/>
  <c r="V1993" i="8"/>
  <c r="W1993" i="8" s="1"/>
  <c r="V1845" i="8"/>
  <c r="W1845" i="8" s="1"/>
  <c r="V1927" i="8"/>
  <c r="W1927" i="8" s="1"/>
  <c r="V1925" i="8"/>
  <c r="W1925" i="8" s="1"/>
  <c r="V1819" i="8"/>
  <c r="W1819" i="8" s="1"/>
  <c r="V1921" i="8"/>
  <c r="W1921" i="8" s="1"/>
  <c r="V1807" i="8"/>
  <c r="W1807" i="8" s="1"/>
  <c r="V1815" i="8"/>
  <c r="W1815" i="8" s="1"/>
  <c r="V1933" i="8"/>
  <c r="W1933" i="8" s="1"/>
  <c r="V1979" i="8"/>
  <c r="W1979" i="8" s="1"/>
  <c r="V1916" i="8"/>
  <c r="W1916" i="8" s="1"/>
  <c r="V1886" i="8"/>
  <c r="W1886" i="8" s="1"/>
  <c r="V1885" i="8"/>
  <c r="W1885" i="8" s="1"/>
  <c r="V1970" i="8"/>
  <c r="W1970" i="8" s="1"/>
  <c r="V1930" i="8"/>
  <c r="W1930" i="8" s="1"/>
  <c r="V1917" i="8"/>
  <c r="W1917" i="8" s="1"/>
  <c r="V1918" i="8"/>
  <c r="W1918" i="8" s="1"/>
  <c r="V1836" i="8"/>
  <c r="W1836" i="8" s="1"/>
  <c r="V1984" i="8"/>
  <c r="W1984" i="8" s="1"/>
  <c r="V1898" i="8"/>
  <c r="W1898" i="8" s="1"/>
  <c r="V1855" i="8"/>
  <c r="W1855" i="8" s="1"/>
  <c r="V1893" i="8"/>
  <c r="W1893" i="8" s="1"/>
  <c r="V1856" i="8"/>
  <c r="W1856" i="8" s="1"/>
  <c r="V1913" i="8"/>
  <c r="W1913" i="8" s="1"/>
  <c r="V1955" i="8"/>
  <c r="W1955" i="8" s="1"/>
  <c r="V1821" i="8"/>
  <c r="W1821" i="8" s="1"/>
  <c r="V1862" i="8"/>
  <c r="W1862" i="8" s="1"/>
  <c r="V1971" i="8"/>
  <c r="W1971" i="8" s="1"/>
  <c r="V1837" i="8"/>
  <c r="W1837" i="8" s="1"/>
  <c r="V1889" i="8"/>
  <c r="W1889" i="8" s="1"/>
  <c r="V1816" i="8"/>
  <c r="W1816" i="8" s="1"/>
  <c r="V1941" i="8"/>
  <c r="W1941" i="8" s="1"/>
  <c r="V1806" i="8"/>
  <c r="W1806" i="8" s="1"/>
  <c r="V1929" i="8"/>
  <c r="W1929" i="8" s="1"/>
  <c r="V1823" i="8"/>
  <c r="W1823" i="8" s="1"/>
  <c r="V1923" i="8"/>
  <c r="W1923" i="8" s="1"/>
  <c r="V1974" i="8"/>
  <c r="W1974" i="8" s="1"/>
  <c r="V1912" i="8"/>
  <c r="W1912" i="8" s="1"/>
  <c r="V1944" i="8"/>
  <c r="W1944" i="8" s="1"/>
  <c r="V1957" i="8"/>
  <c r="W1957" i="8" s="1"/>
  <c r="V1992" i="8"/>
  <c r="W1992" i="8" s="1"/>
  <c r="V1880" i="8"/>
  <c r="W1880" i="8" s="1"/>
  <c r="V1932" i="8"/>
  <c r="W1932" i="8" s="1"/>
  <c r="V1931" i="8"/>
  <c r="W1931" i="8" s="1"/>
  <c r="V1887" i="8"/>
  <c r="W1887" i="8" s="1"/>
  <c r="V1934" i="8"/>
  <c r="W1934" i="8" s="1"/>
  <c r="V1817" i="8"/>
  <c r="W1817" i="8" s="1"/>
  <c r="V1809" i="8"/>
  <c r="W1809" i="8" s="1"/>
  <c r="V2122" i="8"/>
  <c r="W2122" i="8" s="1"/>
  <c r="V2220" i="8"/>
  <c r="W2220" i="8" s="1"/>
  <c r="V2047" i="8"/>
  <c r="W2047" i="8" s="1"/>
  <c r="V2017" i="8"/>
  <c r="W2017" i="8" s="1"/>
  <c r="V2211" i="8"/>
  <c r="W2211" i="8" s="1"/>
  <c r="V2108" i="8"/>
  <c r="W2108" i="8" s="1"/>
  <c r="V2129" i="8"/>
  <c r="W2129" i="8" s="1"/>
  <c r="V2186" i="8"/>
  <c r="W2186" i="8" s="1"/>
  <c r="V2099" i="8"/>
  <c r="W2099" i="8" s="1"/>
  <c r="V2159" i="8"/>
  <c r="W2159" i="8" s="1"/>
  <c r="V2120" i="8"/>
  <c r="W2120" i="8" s="1"/>
  <c r="V2168" i="8"/>
  <c r="W2168" i="8" s="1"/>
  <c r="V2044" i="8"/>
  <c r="W2044" i="8" s="1"/>
  <c r="V2115" i="8"/>
  <c r="W2115" i="8" s="1"/>
  <c r="V2101" i="8"/>
  <c r="W2101" i="8" s="1"/>
  <c r="V2175" i="8"/>
  <c r="W2175" i="8" s="1"/>
  <c r="V2041" i="8"/>
  <c r="W2041" i="8" s="1"/>
  <c r="V2107" i="8"/>
  <c r="W2107" i="8" s="1"/>
  <c r="V2229" i="8"/>
  <c r="W2229" i="8" s="1"/>
  <c r="V2103" i="8"/>
  <c r="W2103" i="8" s="1"/>
  <c r="V2114" i="8"/>
  <c r="W2114" i="8" s="1"/>
  <c r="V2184" i="8"/>
  <c r="W2184" i="8" s="1"/>
  <c r="V2111" i="8"/>
  <c r="W2111" i="8" s="1"/>
  <c r="V2105" i="8"/>
  <c r="W2105" i="8" s="1"/>
  <c r="V2224" i="8"/>
  <c r="W2224" i="8" s="1"/>
  <c r="V2210" i="8"/>
  <c r="W2210" i="8" s="1"/>
  <c r="V2030" i="8"/>
  <c r="W2030" i="8" s="1"/>
  <c r="V2049" i="8"/>
  <c r="W2049" i="8" s="1"/>
  <c r="V2043" i="8"/>
  <c r="W2043" i="8" s="1"/>
  <c r="V2212" i="8"/>
  <c r="W2212" i="8" s="1"/>
  <c r="V2143" i="8"/>
  <c r="W2143" i="8" s="1"/>
  <c r="V2160" i="8"/>
  <c r="W2160" i="8" s="1"/>
  <c r="V2088" i="8"/>
  <c r="W2088" i="8" s="1"/>
  <c r="V2173" i="8"/>
  <c r="W2173" i="8" s="1"/>
  <c r="V2026" i="8"/>
  <c r="W2026" i="8" s="1"/>
  <c r="V2063" i="8"/>
  <c r="W2063" i="8" s="1"/>
  <c r="V2067" i="8"/>
  <c r="W2067" i="8" s="1"/>
  <c r="V2069" i="8"/>
  <c r="W2069" i="8" s="1"/>
  <c r="V2012" i="8"/>
  <c r="W2012" i="8" s="1"/>
  <c r="V2169" i="8"/>
  <c r="W2169" i="8" s="1"/>
  <c r="V2134" i="8"/>
  <c r="W2134" i="8" s="1"/>
  <c r="V2164" i="8"/>
  <c r="W2164" i="8" s="1"/>
  <c r="V2117" i="8"/>
  <c r="W2117" i="8" s="1"/>
  <c r="V2072" i="8"/>
  <c r="W2072" i="8" s="1"/>
  <c r="V2151" i="8"/>
  <c r="W2151" i="8" s="1"/>
  <c r="V2081" i="8"/>
  <c r="W2081" i="8" s="1"/>
  <c r="V1999" i="8"/>
  <c r="W1999" i="8" s="1"/>
  <c r="V2148" i="8"/>
  <c r="W2148" i="8" s="1"/>
  <c r="V2016" i="8"/>
  <c r="W2016" i="8" s="1"/>
  <c r="V2058" i="8"/>
  <c r="W2058" i="8" s="1"/>
  <c r="V2104" i="8"/>
  <c r="W2104" i="8" s="1"/>
  <c r="V2200" i="8"/>
  <c r="W2200" i="8" s="1"/>
  <c r="V2093" i="8"/>
  <c r="W2093" i="8" s="1"/>
  <c r="V2221" i="8"/>
  <c r="W2221" i="8" s="1"/>
  <c r="V2191" i="8"/>
  <c r="W2191" i="8" s="1"/>
  <c r="V2033" i="8"/>
  <c r="W2033" i="8" s="1"/>
  <c r="V1997" i="8"/>
  <c r="W1997" i="8" s="1"/>
  <c r="V2153" i="8"/>
  <c r="W2153" i="8" s="1"/>
  <c r="V2078" i="8"/>
  <c r="W2078" i="8" s="1"/>
  <c r="V2218" i="8"/>
  <c r="W2218" i="8" s="1"/>
  <c r="V2135" i="8"/>
  <c r="W2135" i="8" s="1"/>
  <c r="V2176" i="8"/>
  <c r="W2176" i="8" s="1"/>
  <c r="V2194" i="8"/>
  <c r="W2194" i="8" s="1"/>
  <c r="V2064" i="8"/>
  <c r="W2064" i="8" s="1"/>
  <c r="V2024" i="8"/>
  <c r="W2024" i="8" s="1"/>
  <c r="V2002" i="8"/>
  <c r="W2002" i="8" s="1"/>
  <c r="V2177" i="8"/>
  <c r="W2177" i="8" s="1"/>
  <c r="V2137" i="8"/>
  <c r="W2137" i="8" s="1"/>
  <c r="V2014" i="8"/>
  <c r="W2014" i="8" s="1"/>
  <c r="V2001" i="8"/>
  <c r="W2001" i="8" s="1"/>
  <c r="V2028" i="8"/>
  <c r="W2028" i="8" s="1"/>
  <c r="V2140" i="8"/>
  <c r="W2140" i="8" s="1"/>
  <c r="V2149" i="8"/>
  <c r="W2149" i="8" s="1"/>
  <c r="V2089" i="8"/>
  <c r="W2089" i="8" s="1"/>
  <c r="V2167" i="8"/>
  <c r="W2167" i="8" s="1"/>
  <c r="V2008" i="8"/>
  <c r="W2008" i="8" s="1"/>
  <c r="V2171" i="8"/>
  <c r="W2171" i="8" s="1"/>
  <c r="V2125" i="8"/>
  <c r="W2125" i="8" s="1"/>
  <c r="V2139" i="8"/>
  <c r="W2139" i="8" s="1"/>
  <c r="V2126" i="8"/>
  <c r="W2126" i="8" s="1"/>
  <c r="V2009" i="8"/>
  <c r="W2009" i="8" s="1"/>
  <c r="V2216" i="8"/>
  <c r="W2216" i="8" s="1"/>
  <c r="V2095" i="8"/>
  <c r="W2095" i="8" s="1"/>
  <c r="V2083" i="8"/>
  <c r="W2083" i="8" s="1"/>
  <c r="V2045" i="8"/>
  <c r="W2045" i="8" s="1"/>
  <c r="V2213" i="8"/>
  <c r="W2213" i="8" s="1"/>
  <c r="V2055" i="8"/>
  <c r="W2055" i="8" s="1"/>
  <c r="V2206" i="8"/>
  <c r="W2206" i="8" s="1"/>
  <c r="V2162" i="8"/>
  <c r="W2162" i="8" s="1"/>
  <c r="V2179" i="8"/>
  <c r="W2179" i="8" s="1"/>
  <c r="V2080" i="8"/>
  <c r="W2080" i="8" s="1"/>
  <c r="V2217" i="8"/>
  <c r="W2217" i="8" s="1"/>
  <c r="V2123" i="8"/>
  <c r="W2123" i="8" s="1"/>
  <c r="V2225" i="8"/>
  <c r="W2225" i="8" s="1"/>
  <c r="V2003" i="8"/>
  <c r="W2003" i="8" s="1"/>
  <c r="V2113" i="8"/>
  <c r="W2113" i="8" s="1"/>
  <c r="V2074" i="8"/>
  <c r="W2074" i="8" s="1"/>
  <c r="V2018" i="8"/>
  <c r="W2018" i="8" s="1"/>
  <c r="V2092" i="8"/>
  <c r="W2092" i="8" s="1"/>
  <c r="V2061" i="8"/>
  <c r="W2061" i="8" s="1"/>
  <c r="V2121" i="8"/>
  <c r="W2121" i="8" s="1"/>
  <c r="V2203" i="8"/>
  <c r="W2203" i="8" s="1"/>
  <c r="V2226" i="8"/>
  <c r="W2226" i="8" s="1"/>
  <c r="V2138" i="8"/>
  <c r="W2138" i="8" s="1"/>
  <c r="V2013" i="8"/>
  <c r="W2013" i="8" s="1"/>
  <c r="V2032" i="8"/>
  <c r="W2032" i="8" s="1"/>
  <c r="V2097" i="8"/>
  <c r="W2097" i="8" s="1"/>
  <c r="V2021" i="8"/>
  <c r="W2021" i="8" s="1"/>
  <c r="V2207" i="8"/>
  <c r="W2207" i="8" s="1"/>
  <c r="V2106" i="8"/>
  <c r="W2106" i="8" s="1"/>
  <c r="V2053" i="8"/>
  <c r="W2053" i="8" s="1"/>
  <c r="V2112" i="8"/>
  <c r="W2112" i="8" s="1"/>
  <c r="V2196" i="8"/>
  <c r="W2196" i="8" s="1"/>
  <c r="V2040" i="8"/>
  <c r="W2040" i="8" s="1"/>
  <c r="V2048" i="8"/>
  <c r="W2048" i="8" s="1"/>
  <c r="V2094" i="8"/>
  <c r="W2094" i="8" s="1"/>
  <c r="V2182" i="8"/>
  <c r="W2182" i="8" s="1"/>
  <c r="V2075" i="8"/>
  <c r="W2075" i="8" s="1"/>
  <c r="V2183" i="8"/>
  <c r="W2183" i="8" s="1"/>
  <c r="V2219" i="8"/>
  <c r="W2219" i="8" s="1"/>
  <c r="V2059" i="8"/>
  <c r="W2059" i="8" s="1"/>
  <c r="V2037" i="8"/>
  <c r="W2037" i="8" s="1"/>
  <c r="V2158" i="8"/>
  <c r="W2158" i="8" s="1"/>
  <c r="V2170" i="8"/>
  <c r="W2170" i="8" s="1"/>
  <c r="V2054" i="8"/>
  <c r="W2054" i="8" s="1"/>
  <c r="V2071" i="8"/>
  <c r="W2071" i="8" s="1"/>
  <c r="V2189" i="8"/>
  <c r="W2189" i="8" s="1"/>
  <c r="V2065" i="8"/>
  <c r="W2065" i="8" s="1"/>
  <c r="V2110" i="8"/>
  <c r="W2110" i="8" s="1"/>
  <c r="V2133" i="8"/>
  <c r="W2133" i="8" s="1"/>
  <c r="V2127" i="8"/>
  <c r="W2127" i="8" s="1"/>
  <c r="V2036" i="8"/>
  <c r="W2036" i="8" s="1"/>
  <c r="V2172" i="8"/>
  <c r="W2172" i="8" s="1"/>
  <c r="V2100" i="8"/>
  <c r="W2100" i="8" s="1"/>
  <c r="V2174" i="8"/>
  <c r="W2174" i="8" s="1"/>
  <c r="V2187" i="8"/>
  <c r="W2187" i="8" s="1"/>
  <c r="V2098" i="8"/>
  <c r="W2098" i="8" s="1"/>
  <c r="V2146" i="8"/>
  <c r="W2146" i="8" s="1"/>
  <c r="V2214" i="8"/>
  <c r="W2214" i="8" s="1"/>
  <c r="V2109" i="8"/>
  <c r="W2109" i="8" s="1"/>
  <c r="V2124" i="8"/>
  <c r="W2124" i="8" s="1"/>
  <c r="V2208" i="8"/>
  <c r="W2208" i="8" s="1"/>
  <c r="V2198" i="8"/>
  <c r="W2198" i="8" s="1"/>
  <c r="V2193" i="8"/>
  <c r="W2193" i="8" s="1"/>
  <c r="V2230" i="8"/>
  <c r="W2230" i="8" s="1"/>
  <c r="V2004" i="8"/>
  <c r="W2004" i="8" s="1"/>
  <c r="V2091" i="8"/>
  <c r="W2091" i="8" s="1"/>
  <c r="V2102" i="8"/>
  <c r="W2102" i="8" s="1"/>
  <c r="V2166" i="8"/>
  <c r="W2166" i="8" s="1"/>
  <c r="V2086" i="8"/>
  <c r="W2086" i="8" s="1"/>
  <c r="V2180" i="8"/>
  <c r="W2180" i="8" s="1"/>
  <c r="V2022" i="8"/>
  <c r="W2022" i="8" s="1"/>
  <c r="V2132" i="8"/>
  <c r="W2132" i="8" s="1"/>
  <c r="V2051" i="8"/>
  <c r="W2051" i="8" s="1"/>
  <c r="V2188" i="8"/>
  <c r="W2188" i="8" s="1"/>
  <c r="V2118" i="8"/>
  <c r="W2118" i="8" s="1"/>
  <c r="V2070" i="8"/>
  <c r="W2070" i="8" s="1"/>
  <c r="V2019" i="8"/>
  <c r="W2019" i="8" s="1"/>
  <c r="V2201" i="8"/>
  <c r="W2201" i="8" s="1"/>
  <c r="V2147" i="8"/>
  <c r="W2147" i="8" s="1"/>
  <c r="V2131" i="8"/>
  <c r="W2131" i="8" s="1"/>
  <c r="V2185" i="8"/>
  <c r="W2185" i="8" s="1"/>
  <c r="V2209" i="8"/>
  <c r="W2209" i="8" s="1"/>
  <c r="V2087" i="8"/>
  <c r="W2087" i="8" s="1"/>
  <c r="V2050" i="8"/>
  <c r="W2050" i="8" s="1"/>
  <c r="V2020" i="8"/>
  <c r="W2020" i="8" s="1"/>
  <c r="V2060" i="8"/>
  <c r="W2060" i="8" s="1"/>
  <c r="V2007" i="8"/>
  <c r="W2007" i="8" s="1"/>
  <c r="V2202" i="8"/>
  <c r="W2202" i="8" s="1"/>
  <c r="V2073" i="8"/>
  <c r="W2073" i="8" s="1"/>
  <c r="V2031" i="8"/>
  <c r="W2031" i="8" s="1"/>
  <c r="V2181" i="8"/>
  <c r="W2181" i="8" s="1"/>
  <c r="V2057" i="8"/>
  <c r="W2057" i="8" s="1"/>
  <c r="V2163" i="8"/>
  <c r="W2163" i="8" s="1"/>
  <c r="V2062" i="8"/>
  <c r="W2062" i="8" s="1"/>
  <c r="V2015" i="8"/>
  <c r="W2015" i="8" s="1"/>
  <c r="V2227" i="8"/>
  <c r="W2227" i="8" s="1"/>
  <c r="V2090" i="8"/>
  <c r="W2090" i="8" s="1"/>
  <c r="V2068" i="8"/>
  <c r="W2068" i="8" s="1"/>
  <c r="V2228" i="8"/>
  <c r="W2228" i="8" s="1"/>
  <c r="V2042" i="8"/>
  <c r="W2042" i="8" s="1"/>
  <c r="V2156" i="8"/>
  <c r="W2156" i="8" s="1"/>
  <c r="V2197" i="8"/>
  <c r="W2197" i="8" s="1"/>
  <c r="V2192" i="8"/>
  <c r="W2192" i="8" s="1"/>
  <c r="V2199" i="8"/>
  <c r="W2199" i="8" s="1"/>
  <c r="V2034" i="8"/>
  <c r="W2034" i="8" s="1"/>
  <c r="V2079" i="8"/>
  <c r="W2079" i="8" s="1"/>
  <c r="V2205" i="8"/>
  <c r="W2205" i="8" s="1"/>
  <c r="V2000" i="8"/>
  <c r="W2000" i="8" s="1"/>
  <c r="V2190" i="8"/>
  <c r="W2190" i="8" s="1"/>
  <c r="V2142" i="8"/>
  <c r="W2142" i="8" s="1"/>
  <c r="V2056" i="8"/>
  <c r="W2056" i="8" s="1"/>
  <c r="V2178" i="8"/>
  <c r="W2178" i="8" s="1"/>
  <c r="V2157" i="8"/>
  <c r="W2157" i="8" s="1"/>
  <c r="V2023" i="8"/>
  <c r="W2023" i="8" s="1"/>
  <c r="V2161" i="8"/>
  <c r="W2161" i="8" s="1"/>
  <c r="V2027" i="8"/>
  <c r="W2027" i="8" s="1"/>
  <c r="V2006" i="8"/>
  <c r="W2006" i="8" s="1"/>
  <c r="V2035" i="8"/>
  <c r="W2035" i="8" s="1"/>
  <c r="V2223" i="8"/>
  <c r="W2223" i="8" s="1"/>
  <c r="V2029" i="8"/>
  <c r="W2029" i="8" s="1"/>
  <c r="V2119" i="8"/>
  <c r="W2119" i="8" s="1"/>
  <c r="V2005" i="8"/>
  <c r="W2005" i="8" s="1"/>
  <c r="V2195" i="8"/>
  <c r="W2195" i="8" s="1"/>
  <c r="V2215" i="8"/>
  <c r="W2215" i="8" s="1"/>
  <c r="V2066" i="8"/>
  <c r="W2066" i="8" s="1"/>
  <c r="V2011" i="8"/>
  <c r="W2011" i="8" s="1"/>
  <c r="V2046" i="8"/>
  <c r="W2046" i="8" s="1"/>
  <c r="V2130" i="8"/>
  <c r="W2130" i="8" s="1"/>
  <c r="V2152" i="8"/>
  <c r="W2152" i="8" s="1"/>
  <c r="V2128" i="8"/>
  <c r="W2128" i="8" s="1"/>
  <c r="V2077" i="8"/>
  <c r="W2077" i="8" s="1"/>
  <c r="V2038" i="8"/>
  <c r="W2038" i="8" s="1"/>
  <c r="V1998" i="8"/>
  <c r="W1998" i="8" s="1"/>
  <c r="V2010" i="8"/>
  <c r="W2010" i="8" s="1"/>
  <c r="V2155" i="8"/>
  <c r="W2155" i="8" s="1"/>
  <c r="V2076" i="8"/>
  <c r="W2076" i="8" s="1"/>
  <c r="V2116" i="8"/>
  <c r="W2116" i="8" s="1"/>
  <c r="V2085" i="8"/>
  <c r="W2085" i="8" s="1"/>
  <c r="V2165" i="8"/>
  <c r="W2165" i="8" s="1"/>
  <c r="V2154" i="8"/>
  <c r="W2154" i="8" s="1"/>
  <c r="V2082" i="8"/>
  <c r="W2082" i="8" s="1"/>
  <c r="V2136" i="8"/>
  <c r="W2136" i="8" s="1"/>
  <c r="V2025" i="8"/>
  <c r="W2025" i="8" s="1"/>
  <c r="V2204" i="8"/>
  <c r="W2204" i="8" s="1"/>
  <c r="V2141" i="8"/>
  <c r="W2141" i="8" s="1"/>
  <c r="V2150" i="8"/>
  <c r="W2150" i="8" s="1"/>
  <c r="V2096" i="8"/>
  <c r="W2096" i="8" s="1"/>
  <c r="V2052" i="8"/>
  <c r="W2052" i="8" s="1"/>
  <c r="V2084" i="8"/>
  <c r="W2084" i="8" s="1"/>
  <c r="V2039" i="8"/>
  <c r="W2039" i="8" s="1"/>
  <c r="V2144" i="8"/>
  <c r="W2144" i="8" s="1"/>
  <c r="V2222" i="8"/>
  <c r="W2222" i="8" s="1"/>
  <c r="V2145" i="8"/>
  <c r="W2145" i="8" s="1"/>
  <c r="V2317" i="8"/>
  <c r="W2317" i="8" s="1"/>
  <c r="V2277" i="8"/>
  <c r="W2277" i="8" s="1"/>
  <c r="V2309" i="8"/>
  <c r="W2309" i="8" s="1"/>
  <c r="V2299" i="8"/>
  <c r="W2299" i="8" s="1"/>
  <c r="V2360" i="8"/>
  <c r="W2360" i="8" s="1"/>
  <c r="V2303" i="8"/>
  <c r="W2303" i="8" s="1"/>
  <c r="V2368" i="8"/>
  <c r="W2368" i="8" s="1"/>
  <c r="V2390" i="8"/>
  <c r="W2390" i="8" s="1"/>
  <c r="V2367" i="8"/>
  <c r="W2367" i="8" s="1"/>
  <c r="V2344" i="8"/>
  <c r="W2344" i="8" s="1"/>
  <c r="V2256" i="8"/>
  <c r="W2256" i="8" s="1"/>
  <c r="V2294" i="8"/>
  <c r="W2294" i="8" s="1"/>
  <c r="V2327" i="8"/>
  <c r="W2327" i="8" s="1"/>
  <c r="V2382" i="8"/>
  <c r="W2382" i="8" s="1"/>
  <c r="V2321" i="8"/>
  <c r="W2321" i="8" s="1"/>
  <c r="V2232" i="8"/>
  <c r="W2232" i="8" s="1"/>
  <c r="V2366" i="8"/>
  <c r="W2366" i="8" s="1"/>
  <c r="V2325" i="8"/>
  <c r="W2325" i="8" s="1"/>
  <c r="V2347" i="8"/>
  <c r="W2347" i="8" s="1"/>
  <c r="V2240" i="8"/>
  <c r="W2240" i="8" s="1"/>
  <c r="V2375" i="8"/>
  <c r="W2375" i="8" s="1"/>
  <c r="V2334" i="8"/>
  <c r="W2334" i="8" s="1"/>
  <c r="V2308" i="8"/>
  <c r="W2308" i="8" s="1"/>
  <c r="V2246" i="8"/>
  <c r="W2246" i="8" s="1"/>
  <c r="V2258" i="8"/>
  <c r="W2258" i="8" s="1"/>
  <c r="V2276" i="8"/>
  <c r="W2276" i="8" s="1"/>
  <c r="V2336" i="8"/>
  <c r="W2336" i="8" s="1"/>
  <c r="V2274" i="8"/>
  <c r="W2274" i="8" s="1"/>
  <c r="V2408" i="8"/>
  <c r="W2408" i="8" s="1"/>
  <c r="V2283" i="8"/>
  <c r="W2283" i="8" s="1"/>
  <c r="V2244" i="8"/>
  <c r="W2244" i="8" s="1"/>
  <c r="V2247" i="8"/>
  <c r="W2247" i="8" s="1"/>
  <c r="V2398" i="8"/>
  <c r="W2398" i="8" s="1"/>
  <c r="V2348" i="8"/>
  <c r="W2348" i="8" s="1"/>
  <c r="V2329" i="8"/>
  <c r="W2329" i="8" s="1"/>
  <c r="V2376" i="8"/>
  <c r="W2376" i="8" s="1"/>
  <c r="V2365" i="8"/>
  <c r="W2365" i="8" s="1"/>
  <c r="V2364" i="8"/>
  <c r="W2364" i="8" s="1"/>
  <c r="V2262" i="8"/>
  <c r="W2262" i="8" s="1"/>
  <c r="V2341" i="8"/>
  <c r="W2341" i="8" s="1"/>
  <c r="V2406" i="8"/>
  <c r="W2406" i="8" s="1"/>
  <c r="V2345" i="8"/>
  <c r="W2345" i="8" s="1"/>
  <c r="V2350" i="8"/>
  <c r="W2350" i="8" s="1"/>
  <c r="V2285" i="8"/>
  <c r="W2285" i="8" s="1"/>
  <c r="V2332" i="8"/>
  <c r="W2332" i="8" s="1"/>
  <c r="V2322" i="8"/>
  <c r="W2322" i="8" s="1"/>
  <c r="V2278" i="8"/>
  <c r="W2278" i="8" s="1"/>
  <c r="V2310" i="8"/>
  <c r="W2310" i="8" s="1"/>
  <c r="V2358" i="8"/>
  <c r="W2358" i="8" s="1"/>
  <c r="V2355" i="8"/>
  <c r="W2355" i="8" s="1"/>
  <c r="V2281" i="8"/>
  <c r="W2281" i="8" s="1"/>
  <c r="V2242" i="8"/>
  <c r="W2242" i="8" s="1"/>
  <c r="V2377" i="8"/>
  <c r="W2377" i="8" s="1"/>
  <c r="V2338" i="8"/>
  <c r="W2338" i="8" s="1"/>
  <c r="V2396" i="8"/>
  <c r="W2396" i="8" s="1"/>
  <c r="V2337" i="8"/>
  <c r="W2337" i="8" s="1"/>
  <c r="V2269" i="8"/>
  <c r="W2269" i="8" s="1"/>
  <c r="V2239" i="8"/>
  <c r="W2239" i="8" s="1"/>
  <c r="V2292" i="8"/>
  <c r="W2292" i="8" s="1"/>
  <c r="V2386" i="8"/>
  <c r="W2386" i="8" s="1"/>
  <c r="V2394" i="8"/>
  <c r="W2394" i="8" s="1"/>
  <c r="V2381" i="8"/>
  <c r="W2381" i="8" s="1"/>
  <c r="V2297" i="8"/>
  <c r="W2297" i="8" s="1"/>
  <c r="V2374" i="8"/>
  <c r="W2374" i="8" s="1"/>
  <c r="V2352" i="8"/>
  <c r="W2352" i="8" s="1"/>
  <c r="V2370" i="8"/>
  <c r="W2370" i="8" s="1"/>
  <c r="V2268" i="8"/>
  <c r="W2268" i="8" s="1"/>
  <c r="V2266" i="8"/>
  <c r="W2266" i="8" s="1"/>
  <c r="V2349" i="8"/>
  <c r="W2349" i="8" s="1"/>
  <c r="V2397" i="8"/>
  <c r="W2397" i="8" s="1"/>
  <c r="V2402" i="8"/>
  <c r="W2402" i="8" s="1"/>
  <c r="V2385" i="8"/>
  <c r="W2385" i="8" s="1"/>
  <c r="V2411" i="8"/>
  <c r="W2411" i="8" s="1"/>
  <c r="V2399" i="8"/>
  <c r="W2399" i="8" s="1"/>
  <c r="V2267" i="8"/>
  <c r="W2267" i="8" s="1"/>
  <c r="V2279" i="8"/>
  <c r="W2279" i="8" s="1"/>
  <c r="V2315" i="8"/>
  <c r="W2315" i="8" s="1"/>
  <c r="V2409" i="8"/>
  <c r="W2409" i="8" s="1"/>
  <c r="V2284" i="8"/>
  <c r="W2284" i="8" s="1"/>
  <c r="V2255" i="8"/>
  <c r="W2255" i="8" s="1"/>
  <c r="V2346" i="8"/>
  <c r="W2346" i="8" s="1"/>
  <c r="V2369" i="8"/>
  <c r="W2369" i="8" s="1"/>
  <c r="V2249" i="8"/>
  <c r="W2249" i="8" s="1"/>
  <c r="V2248" i="8"/>
  <c r="W2248" i="8" s="1"/>
  <c r="V2272" i="8"/>
  <c r="W2272" i="8" s="1"/>
  <c r="V2287" i="8"/>
  <c r="W2287" i="8" s="1"/>
  <c r="V2410" i="8"/>
  <c r="W2410" i="8" s="1"/>
  <c r="V2305" i="8"/>
  <c r="W2305" i="8" s="1"/>
  <c r="V2330" i="8"/>
  <c r="W2330" i="8" s="1"/>
  <c r="V2389" i="8"/>
  <c r="W2389" i="8" s="1"/>
  <c r="V2361" i="8"/>
  <c r="W2361" i="8" s="1"/>
  <c r="V2328" i="8"/>
  <c r="W2328" i="8" s="1"/>
  <c r="V2295" i="8"/>
  <c r="W2295" i="8" s="1"/>
  <c r="V2372" i="8"/>
  <c r="W2372" i="8" s="1"/>
  <c r="V2378" i="8"/>
  <c r="W2378" i="8" s="1"/>
  <c r="V2351" i="8"/>
  <c r="W2351" i="8" s="1"/>
  <c r="V2316" i="8"/>
  <c r="W2316" i="8" s="1"/>
  <c r="V2291" i="8"/>
  <c r="W2291" i="8" s="1"/>
  <c r="V2400" i="8"/>
  <c r="W2400" i="8" s="1"/>
  <c r="V2275" i="8"/>
  <c r="W2275" i="8" s="1"/>
  <c r="V2343" i="8"/>
  <c r="W2343" i="8" s="1"/>
  <c r="V2288" i="8"/>
  <c r="W2288" i="8" s="1"/>
  <c r="V2254" i="8"/>
  <c r="W2254" i="8" s="1"/>
  <c r="V2407" i="8"/>
  <c r="W2407" i="8" s="1"/>
  <c r="V2296" i="8"/>
  <c r="W2296" i="8" s="1"/>
  <c r="V2318" i="8"/>
  <c r="W2318" i="8" s="1"/>
  <c r="V2270" i="8"/>
  <c r="W2270" i="8" s="1"/>
  <c r="V2300" i="8"/>
  <c r="W2300" i="8" s="1"/>
  <c r="V2392" i="8"/>
  <c r="W2392" i="8" s="1"/>
  <c r="V2302" i="8"/>
  <c r="W2302" i="8" s="1"/>
  <c r="V2340" i="8"/>
  <c r="W2340" i="8" s="1"/>
  <c r="V2251" i="8"/>
  <c r="W2251" i="8" s="1"/>
  <c r="V2353" i="8"/>
  <c r="W2353" i="8" s="1"/>
  <c r="V2263" i="8"/>
  <c r="W2263" i="8" s="1"/>
  <c r="V2383" i="8"/>
  <c r="W2383" i="8" s="1"/>
  <c r="V2286" i="8"/>
  <c r="W2286" i="8" s="1"/>
  <c r="V2313" i="8"/>
  <c r="W2313" i="8" s="1"/>
  <c r="V2380" i="8"/>
  <c r="W2380" i="8" s="1"/>
  <c r="V2314" i="8"/>
  <c r="W2314" i="8" s="1"/>
  <c r="V2391" i="8"/>
  <c r="W2391" i="8" s="1"/>
  <c r="V2237" i="8"/>
  <c r="W2237" i="8" s="1"/>
  <c r="V2401" i="8"/>
  <c r="W2401" i="8" s="1"/>
  <c r="V2384" i="8"/>
  <c r="W2384" i="8" s="1"/>
  <c r="V2306" i="8"/>
  <c r="W2306" i="8" s="1"/>
  <c r="V2245" i="8"/>
  <c r="W2245" i="8" s="1"/>
  <c r="V2403" i="8"/>
  <c r="W2403" i="8" s="1"/>
  <c r="V2257" i="8"/>
  <c r="W2257" i="8" s="1"/>
  <c r="V2301" i="8"/>
  <c r="W2301" i="8" s="1"/>
  <c r="V2404" i="8"/>
  <c r="W2404" i="8" s="1"/>
  <c r="V2238" i="8"/>
  <c r="W2238" i="8" s="1"/>
  <c r="V2339" i="8"/>
  <c r="W2339" i="8" s="1"/>
  <c r="V2264" i="8"/>
  <c r="W2264" i="8" s="1"/>
  <c r="V2252" i="8"/>
  <c r="W2252" i="8" s="1"/>
  <c r="V2387" i="8"/>
  <c r="W2387" i="8" s="1"/>
  <c r="V2231" i="8"/>
  <c r="W2231" i="8" s="1"/>
  <c r="V2354" i="8"/>
  <c r="W2354" i="8" s="1"/>
  <c r="V2273" i="8"/>
  <c r="W2273" i="8" s="1"/>
  <c r="V2260" i="8"/>
  <c r="W2260" i="8" s="1"/>
  <c r="V2379" i="8"/>
  <c r="W2379" i="8" s="1"/>
  <c r="V2289" i="8"/>
  <c r="W2289" i="8" s="1"/>
  <c r="V2250" i="8"/>
  <c r="W2250" i="8" s="1"/>
  <c r="V2241" i="8"/>
  <c r="W2241" i="8" s="1"/>
  <c r="V2290" i="8"/>
  <c r="W2290" i="8" s="1"/>
  <c r="V2331" i="8"/>
  <c r="W2331" i="8" s="1"/>
  <c r="V2371" i="8"/>
  <c r="W2371" i="8" s="1"/>
  <c r="V2405" i="8"/>
  <c r="W2405" i="8" s="1"/>
  <c r="V2282" i="8"/>
  <c r="W2282" i="8" s="1"/>
  <c r="V2298" i="8"/>
  <c r="W2298" i="8" s="1"/>
  <c r="V2324" i="8"/>
  <c r="W2324" i="8" s="1"/>
  <c r="V2357" i="8"/>
  <c r="W2357" i="8" s="1"/>
  <c r="V2304" i="8"/>
  <c r="W2304" i="8" s="1"/>
  <c r="V2333" i="8"/>
  <c r="W2333" i="8" s="1"/>
  <c r="V2319" i="8"/>
  <c r="W2319" i="8" s="1"/>
  <c r="V2234" i="8"/>
  <c r="W2234" i="8" s="1"/>
  <c r="V2388" i="8"/>
  <c r="W2388" i="8" s="1"/>
  <c r="V2359" i="8"/>
  <c r="W2359" i="8" s="1"/>
  <c r="V2236" i="8"/>
  <c r="W2236" i="8" s="1"/>
  <c r="V2243" i="8"/>
  <c r="W2243" i="8" s="1"/>
  <c r="V2233" i="8"/>
  <c r="W2233" i="8" s="1"/>
  <c r="V2393" i="8"/>
  <c r="W2393" i="8" s="1"/>
  <c r="V2342" i="8"/>
  <c r="W2342" i="8" s="1"/>
  <c r="V2293" i="8"/>
  <c r="W2293" i="8" s="1"/>
  <c r="V2326" i="8"/>
  <c r="W2326" i="8" s="1"/>
  <c r="V2320" i="8"/>
  <c r="W2320" i="8" s="1"/>
  <c r="V2363" i="8"/>
  <c r="W2363" i="8" s="1"/>
  <c r="V2271" i="8"/>
  <c r="W2271" i="8" s="1"/>
  <c r="V2311" i="8"/>
  <c r="W2311" i="8" s="1"/>
  <c r="V2395" i="8"/>
  <c r="W2395" i="8" s="1"/>
  <c r="V2373" i="8"/>
  <c r="W2373" i="8" s="1"/>
  <c r="V2307" i="8"/>
  <c r="W2307" i="8" s="1"/>
  <c r="V2362" i="8"/>
  <c r="W2362" i="8" s="1"/>
  <c r="V2323" i="8"/>
  <c r="W2323" i="8" s="1"/>
  <c r="V2253" i="8"/>
  <c r="W2253" i="8" s="1"/>
  <c r="V2312" i="8"/>
  <c r="W2312" i="8" s="1"/>
  <c r="V2235" i="8"/>
  <c r="W2235" i="8" s="1"/>
  <c r="V2335" i="8"/>
  <c r="W2335" i="8" s="1"/>
  <c r="V2261" i="8"/>
  <c r="W2261" i="8" s="1"/>
  <c r="V2265" i="8"/>
  <c r="W2265" i="8" s="1"/>
  <c r="V2259" i="8"/>
  <c r="W2259" i="8" s="1"/>
  <c r="V2356" i="8"/>
  <c r="W2356" i="8" s="1"/>
  <c r="V2280" i="8"/>
  <c r="W2280" i="8" s="1"/>
  <c r="V2516" i="8"/>
  <c r="W2516" i="8" s="1"/>
  <c r="V2580" i="8"/>
  <c r="W2580" i="8" s="1"/>
  <c r="V2442" i="8"/>
  <c r="W2442" i="8" s="1"/>
  <c r="V2531" i="8"/>
  <c r="W2531" i="8" s="1"/>
  <c r="V2471" i="8"/>
  <c r="W2471" i="8" s="1"/>
  <c r="V2586" i="8"/>
  <c r="W2586" i="8" s="1"/>
  <c r="V2490" i="8"/>
  <c r="W2490" i="8" s="1"/>
  <c r="V2413" i="8"/>
  <c r="W2413" i="8" s="1"/>
  <c r="V2583" i="8"/>
  <c r="W2583" i="8" s="1"/>
  <c r="V2553" i="8"/>
  <c r="W2553" i="8" s="1"/>
  <c r="V2576" i="8"/>
  <c r="W2576" i="8" s="1"/>
  <c r="V2462" i="8"/>
  <c r="W2462" i="8" s="1"/>
  <c r="V2419" i="8"/>
  <c r="W2419" i="8" s="1"/>
  <c r="V2561" i="8"/>
  <c r="W2561" i="8" s="1"/>
  <c r="V2545" i="8"/>
  <c r="W2545" i="8" s="1"/>
  <c r="V2436" i="8"/>
  <c r="W2436" i="8" s="1"/>
  <c r="V2447" i="8"/>
  <c r="W2447" i="8" s="1"/>
  <c r="V2594" i="8"/>
  <c r="W2594" i="8" s="1"/>
  <c r="V2610" i="8"/>
  <c r="W2610" i="8" s="1"/>
  <c r="V2541" i="8"/>
  <c r="W2541" i="8" s="1"/>
  <c r="V2611" i="8"/>
  <c r="W2611" i="8" s="1"/>
  <c r="V2598" i="8"/>
  <c r="W2598" i="8" s="1"/>
  <c r="V2454" i="8"/>
  <c r="W2454" i="8" s="1"/>
  <c r="V2468" i="8"/>
  <c r="W2468" i="8" s="1"/>
  <c r="V2625" i="8"/>
  <c r="W2625" i="8" s="1"/>
  <c r="V2557" i="8"/>
  <c r="W2557" i="8" s="1"/>
  <c r="V2593" i="8"/>
  <c r="W2593" i="8" s="1"/>
  <c r="V2429" i="8"/>
  <c r="W2429" i="8" s="1"/>
  <c r="V2435" i="8"/>
  <c r="W2435" i="8" s="1"/>
  <c r="V2425" i="8"/>
  <c r="W2425" i="8" s="1"/>
  <c r="V2475" i="8"/>
  <c r="W2475" i="8" s="1"/>
  <c r="V2420" i="8"/>
  <c r="W2420" i="8" s="1"/>
  <c r="V2550" i="8"/>
  <c r="W2550" i="8" s="1"/>
  <c r="V2537" i="8"/>
  <c r="W2537" i="8" s="1"/>
  <c r="V2523" i="8"/>
  <c r="W2523" i="8" s="1"/>
  <c r="V2463" i="8"/>
  <c r="W2463" i="8" s="1"/>
  <c r="V2613" i="8"/>
  <c r="W2613" i="8" s="1"/>
  <c r="V2521" i="8"/>
  <c r="W2521" i="8" s="1"/>
  <c r="V2618" i="8"/>
  <c r="W2618" i="8" s="1"/>
  <c r="V2470" i="8"/>
  <c r="W2470" i="8" s="1"/>
  <c r="V2578" i="8"/>
  <c r="W2578" i="8" s="1"/>
  <c r="V2483" i="8"/>
  <c r="W2483" i="8" s="1"/>
  <c r="V2588" i="8"/>
  <c r="W2588" i="8" s="1"/>
  <c r="V2554" i="8"/>
  <c r="W2554" i="8" s="1"/>
  <c r="V2439" i="8"/>
  <c r="W2439" i="8" s="1"/>
  <c r="V2571" i="8"/>
  <c r="W2571" i="8" s="1"/>
  <c r="V2529" i="8"/>
  <c r="W2529" i="8" s="1"/>
  <c r="V2519" i="8"/>
  <c r="W2519" i="8" s="1"/>
  <c r="V2487" i="8"/>
  <c r="W2487" i="8" s="1"/>
  <c r="V2530" i="8"/>
  <c r="W2530" i="8" s="1"/>
  <c r="V2597" i="8"/>
  <c r="W2597" i="8" s="1"/>
  <c r="V2507" i="8"/>
  <c r="W2507" i="8" s="1"/>
  <c r="V2506" i="8"/>
  <c r="W2506" i="8" s="1"/>
  <c r="V2505" i="8"/>
  <c r="W2505" i="8" s="1"/>
  <c r="V2602" i="8"/>
  <c r="W2602" i="8" s="1"/>
  <c r="V2542" i="8"/>
  <c r="W2542" i="8" s="1"/>
  <c r="V2485" i="8"/>
  <c r="W2485" i="8" s="1"/>
  <c r="V2543" i="8"/>
  <c r="W2543" i="8" s="1"/>
  <c r="V2448" i="8"/>
  <c r="W2448" i="8" s="1"/>
  <c r="V2568" i="8"/>
  <c r="W2568" i="8" s="1"/>
  <c r="V2520" i="8"/>
  <c r="W2520" i="8" s="1"/>
  <c r="V2430" i="8"/>
  <c r="W2430" i="8" s="1"/>
  <c r="V2481" i="8"/>
  <c r="W2481" i="8" s="1"/>
  <c r="V2595" i="8"/>
  <c r="W2595" i="8" s="1"/>
  <c r="V2416" i="8"/>
  <c r="W2416" i="8" s="1"/>
  <c r="V2449" i="8"/>
  <c r="W2449" i="8" s="1"/>
  <c r="V2527" i="8"/>
  <c r="W2527" i="8" s="1"/>
  <c r="V2581" i="8"/>
  <c r="W2581" i="8" s="1"/>
  <c r="V2566" i="8"/>
  <c r="W2566" i="8" s="1"/>
  <c r="V2461" i="8"/>
  <c r="W2461" i="8" s="1"/>
  <c r="V2563" i="8"/>
  <c r="W2563" i="8" s="1"/>
  <c r="V2524" i="8"/>
  <c r="W2524" i="8" s="1"/>
  <c r="V2569" i="8"/>
  <c r="W2569" i="8" s="1"/>
  <c r="V2440" i="8"/>
  <c r="W2440" i="8" s="1"/>
  <c r="V2517" i="8"/>
  <c r="W2517" i="8" s="1"/>
  <c r="V2616" i="8"/>
  <c r="W2616" i="8" s="1"/>
  <c r="V2488" i="8"/>
  <c r="W2488" i="8" s="1"/>
  <c r="V2623" i="8"/>
  <c r="W2623" i="8" s="1"/>
  <c r="V2457" i="8"/>
  <c r="W2457" i="8" s="1"/>
  <c r="V2455" i="8"/>
  <c r="W2455" i="8" s="1"/>
  <c r="V2412" i="8"/>
  <c r="W2412" i="8" s="1"/>
  <c r="V2467" i="8"/>
  <c r="W2467" i="8" s="1"/>
  <c r="V2591" i="8"/>
  <c r="W2591" i="8" s="1"/>
  <c r="V2538" i="8"/>
  <c r="W2538" i="8" s="1"/>
  <c r="V2522" i="8"/>
  <c r="W2522" i="8" s="1"/>
  <c r="V2617" i="8"/>
  <c r="W2617" i="8" s="1"/>
  <c r="V2621" i="8"/>
  <c r="W2621" i="8" s="1"/>
  <c r="V2511" i="8"/>
  <c r="W2511" i="8" s="1"/>
  <c r="V2558" i="8"/>
  <c r="W2558" i="8" s="1"/>
  <c r="V2512" i="8"/>
  <c r="W2512" i="8" s="1"/>
  <c r="V2427" i="8"/>
  <c r="W2427" i="8" s="1"/>
  <c r="V2417" i="8"/>
  <c r="W2417" i="8" s="1"/>
  <c r="V2532" i="8"/>
  <c r="W2532" i="8" s="1"/>
  <c r="V2546" i="8"/>
  <c r="W2546" i="8" s="1"/>
  <c r="V2472" i="8"/>
  <c r="W2472" i="8" s="1"/>
  <c r="V2614" i="8"/>
  <c r="W2614" i="8" s="1"/>
  <c r="V2446" i="8"/>
  <c r="W2446" i="8" s="1"/>
  <c r="V2582" i="8"/>
  <c r="W2582" i="8" s="1"/>
  <c r="V2622" i="8"/>
  <c r="W2622" i="8" s="1"/>
  <c r="V2418" i="8"/>
  <c r="W2418" i="8" s="1"/>
  <c r="V2486" i="8"/>
  <c r="W2486" i="8" s="1"/>
  <c r="V2494" i="8"/>
  <c r="W2494" i="8" s="1"/>
  <c r="V2445" i="8"/>
  <c r="W2445" i="8" s="1"/>
  <c r="V2560" i="8"/>
  <c r="W2560" i="8" s="1"/>
  <c r="V2459" i="8"/>
  <c r="W2459" i="8" s="1"/>
  <c r="V2414" i="8"/>
  <c r="W2414" i="8" s="1"/>
  <c r="V2508" i="8"/>
  <c r="W2508" i="8" s="1"/>
  <c r="V2620" i="8"/>
  <c r="W2620" i="8" s="1"/>
  <c r="V2458" i="8"/>
  <c r="W2458" i="8" s="1"/>
  <c r="V2526" i="8"/>
  <c r="W2526" i="8" s="1"/>
  <c r="V2584" i="8"/>
  <c r="W2584" i="8" s="1"/>
  <c r="V2428" i="8"/>
  <c r="W2428" i="8" s="1"/>
  <c r="V2599" i="8"/>
  <c r="W2599" i="8" s="1"/>
  <c r="V2497" i="8"/>
  <c r="W2497" i="8" s="1"/>
  <c r="V2525" i="8"/>
  <c r="W2525" i="8" s="1"/>
  <c r="V2590" i="8"/>
  <c r="W2590" i="8" s="1"/>
  <c r="V2615" i="8"/>
  <c r="W2615" i="8" s="1"/>
  <c r="V2451" i="8"/>
  <c r="W2451" i="8" s="1"/>
  <c r="V2592" i="8"/>
  <c r="W2592" i="8" s="1"/>
  <c r="V2473" i="8"/>
  <c r="W2473" i="8" s="1"/>
  <c r="V2441" i="8"/>
  <c r="W2441" i="8" s="1"/>
  <c r="V2423" i="8"/>
  <c r="W2423" i="8" s="1"/>
  <c r="V2444" i="8"/>
  <c r="W2444" i="8" s="1"/>
  <c r="V2464" i="8"/>
  <c r="W2464" i="8" s="1"/>
  <c r="V2434" i="8"/>
  <c r="W2434" i="8" s="1"/>
  <c r="V2482" i="8"/>
  <c r="W2482" i="8" s="1"/>
  <c r="V2415" i="8"/>
  <c r="W2415" i="8" s="1"/>
  <c r="V2548" i="8"/>
  <c r="W2548" i="8" s="1"/>
  <c r="V2539" i="8"/>
  <c r="W2539" i="8" s="1"/>
  <c r="V2573" i="8"/>
  <c r="W2573" i="8" s="1"/>
  <c r="V2489" i="8"/>
  <c r="W2489" i="8" s="1"/>
  <c r="V2421" i="8"/>
  <c r="W2421" i="8" s="1"/>
  <c r="V2534" i="8"/>
  <c r="W2534" i="8" s="1"/>
  <c r="V2513" i="8"/>
  <c r="W2513" i="8" s="1"/>
  <c r="V2607" i="8"/>
  <c r="W2607" i="8" s="1"/>
  <c r="V2565" i="8"/>
  <c r="W2565" i="8" s="1"/>
  <c r="V2493" i="8"/>
  <c r="W2493" i="8" s="1"/>
  <c r="V2564" i="8"/>
  <c r="W2564" i="8" s="1"/>
  <c r="V2606" i="8"/>
  <c r="W2606" i="8" s="1"/>
  <c r="V2626" i="8"/>
  <c r="W2626" i="8" s="1"/>
  <c r="V2476" i="8"/>
  <c r="W2476" i="8" s="1"/>
  <c r="V2549" i="8"/>
  <c r="W2549" i="8" s="1"/>
  <c r="V2552" i="8"/>
  <c r="W2552" i="8" s="1"/>
  <c r="V2509" i="8"/>
  <c r="W2509" i="8" s="1"/>
  <c r="V2484" i="8"/>
  <c r="W2484" i="8" s="1"/>
  <c r="V2596" i="8"/>
  <c r="W2596" i="8" s="1"/>
  <c r="V2562" i="8"/>
  <c r="W2562" i="8" s="1"/>
  <c r="V2466" i="8"/>
  <c r="W2466" i="8" s="1"/>
  <c r="V2422" i="8"/>
  <c r="W2422" i="8" s="1"/>
  <c r="V2518" i="8"/>
  <c r="W2518" i="8" s="1"/>
  <c r="V2501" i="8"/>
  <c r="W2501" i="8" s="1"/>
  <c r="V2603" i="8"/>
  <c r="W2603" i="8" s="1"/>
  <c r="V2477" i="8"/>
  <c r="W2477" i="8" s="1"/>
  <c r="V2540" i="8"/>
  <c r="W2540" i="8" s="1"/>
  <c r="V2575" i="8"/>
  <c r="W2575" i="8" s="1"/>
  <c r="V2570" i="8"/>
  <c r="W2570" i="8" s="1"/>
  <c r="V2535" i="8"/>
  <c r="W2535" i="8" s="1"/>
  <c r="V2579" i="8"/>
  <c r="W2579" i="8" s="1"/>
  <c r="V2480" i="8"/>
  <c r="W2480" i="8" s="1"/>
  <c r="V2612" i="8"/>
  <c r="W2612" i="8" s="1"/>
  <c r="V2452" i="8"/>
  <c r="W2452" i="8" s="1"/>
  <c r="V2544" i="8"/>
  <c r="W2544" i="8" s="1"/>
  <c r="V2432" i="8"/>
  <c r="W2432" i="8" s="1"/>
  <c r="V2555" i="8"/>
  <c r="W2555" i="8" s="1"/>
  <c r="V2605" i="8"/>
  <c r="W2605" i="8" s="1"/>
  <c r="V2502" i="8"/>
  <c r="W2502" i="8" s="1"/>
  <c r="V2577" i="8"/>
  <c r="W2577" i="8" s="1"/>
  <c r="V2572" i="8"/>
  <c r="W2572" i="8" s="1"/>
  <c r="V2469" i="8"/>
  <c r="W2469" i="8" s="1"/>
  <c r="V2589" i="8"/>
  <c r="W2589" i="8" s="1"/>
  <c r="V2424" i="8"/>
  <c r="W2424" i="8" s="1"/>
  <c r="V2495" i="8"/>
  <c r="W2495" i="8" s="1"/>
  <c r="V2503" i="8"/>
  <c r="W2503" i="8" s="1"/>
  <c r="V2608" i="8"/>
  <c r="W2608" i="8" s="1"/>
  <c r="V2450" i="8"/>
  <c r="W2450" i="8" s="1"/>
  <c r="V2515" i="8"/>
  <c r="W2515" i="8" s="1"/>
  <c r="V2492" i="8"/>
  <c r="W2492" i="8" s="1"/>
  <c r="V2431" i="8"/>
  <c r="W2431" i="8" s="1"/>
  <c r="V2443" i="8"/>
  <c r="W2443" i="8" s="1"/>
  <c r="V2500" i="8"/>
  <c r="W2500" i="8" s="1"/>
  <c r="V2619" i="8"/>
  <c r="W2619" i="8" s="1"/>
  <c r="V2460" i="8"/>
  <c r="W2460" i="8" s="1"/>
  <c r="V2510" i="8"/>
  <c r="W2510" i="8" s="1"/>
  <c r="V2559" i="8"/>
  <c r="W2559" i="8" s="1"/>
  <c r="V2574" i="8"/>
  <c r="W2574" i="8" s="1"/>
  <c r="V2491" i="8"/>
  <c r="W2491" i="8" s="1"/>
  <c r="V2438" i="8"/>
  <c r="W2438" i="8" s="1"/>
  <c r="V2601" i="8"/>
  <c r="W2601" i="8" s="1"/>
  <c r="V2528" i="8"/>
  <c r="W2528" i="8" s="1"/>
  <c r="V2556" i="8"/>
  <c r="W2556" i="8" s="1"/>
  <c r="V2496" i="8"/>
  <c r="W2496" i="8" s="1"/>
  <c r="V2433" i="8"/>
  <c r="W2433" i="8" s="1"/>
  <c r="V2426" i="8"/>
  <c r="W2426" i="8" s="1"/>
  <c r="V2551" i="8"/>
  <c r="W2551" i="8" s="1"/>
  <c r="V2514" i="8"/>
  <c r="W2514" i="8" s="1"/>
  <c r="V2479" i="8"/>
  <c r="W2479" i="8" s="1"/>
  <c r="V2474" i="8"/>
  <c r="W2474" i="8" s="1"/>
  <c r="V2585" i="8"/>
  <c r="W2585" i="8" s="1"/>
  <c r="V2453" i="8"/>
  <c r="W2453" i="8" s="1"/>
  <c r="V2504" i="8"/>
  <c r="W2504" i="8" s="1"/>
  <c r="V2437" i="8"/>
  <c r="W2437" i="8" s="1"/>
  <c r="V2499" i="8"/>
  <c r="W2499" i="8" s="1"/>
  <c r="V2478" i="8"/>
  <c r="W2478" i="8" s="1"/>
  <c r="V2547" i="8"/>
  <c r="W2547" i="8" s="1"/>
  <c r="V2465" i="8"/>
  <c r="W2465" i="8" s="1"/>
  <c r="V2533" i="8"/>
  <c r="W2533" i="8" s="1"/>
  <c r="V2536" i="8"/>
  <c r="W2536" i="8" s="1"/>
  <c r="V2624" i="8"/>
  <c r="W2624" i="8" s="1"/>
  <c r="V2587" i="8"/>
  <c r="W2587" i="8" s="1"/>
  <c r="V2456" i="8"/>
  <c r="W2456" i="8" s="1"/>
  <c r="V2567" i="8"/>
  <c r="W2567" i="8" s="1"/>
  <c r="V2498" i="8"/>
  <c r="W2498" i="8" s="1"/>
  <c r="V2600" i="8"/>
  <c r="W2600" i="8" s="1"/>
  <c r="V2604" i="8"/>
  <c r="W2604" i="8" s="1"/>
  <c r="V2609" i="8"/>
  <c r="W2609" i="8" s="1"/>
  <c r="V2658" i="8"/>
  <c r="W2658" i="8" s="1"/>
  <c r="V2634" i="8"/>
  <c r="W2634" i="8" s="1"/>
  <c r="V2646" i="8"/>
  <c r="W2646" i="8" s="1"/>
  <c r="V2669" i="8"/>
  <c r="W2669" i="8" s="1"/>
  <c r="V2680" i="8"/>
  <c r="W2680" i="8" s="1"/>
  <c r="V2637" i="8"/>
  <c r="W2637" i="8" s="1"/>
  <c r="V2631" i="8"/>
  <c r="W2631" i="8" s="1"/>
  <c r="V2671" i="8"/>
  <c r="W2671" i="8" s="1"/>
  <c r="V2664" i="8"/>
  <c r="W2664" i="8" s="1"/>
  <c r="V2662" i="8"/>
  <c r="W2662" i="8" s="1"/>
  <c r="V2639" i="8"/>
  <c r="W2639" i="8" s="1"/>
  <c r="V2652" i="8"/>
  <c r="W2652" i="8" s="1"/>
  <c r="V2651" i="8"/>
  <c r="W2651" i="8" s="1"/>
  <c r="V2638" i="8"/>
  <c r="W2638" i="8" s="1"/>
  <c r="V2640" i="8"/>
  <c r="W2640" i="8" s="1"/>
  <c r="V2627" i="8"/>
  <c r="W2627" i="8" s="1"/>
  <c r="V2643" i="8"/>
  <c r="W2643" i="8" s="1"/>
  <c r="V2674" i="8"/>
  <c r="W2674" i="8" s="1"/>
  <c r="V2657" i="8"/>
  <c r="W2657" i="8" s="1"/>
  <c r="V2642" i="8"/>
  <c r="W2642" i="8" s="1"/>
  <c r="V2661" i="8"/>
  <c r="W2661" i="8" s="1"/>
  <c r="V2672" i="8"/>
  <c r="W2672" i="8" s="1"/>
  <c r="V2678" i="8"/>
  <c r="W2678" i="8" s="1"/>
  <c r="V2630" i="8"/>
  <c r="W2630" i="8" s="1"/>
  <c r="V2648" i="8"/>
  <c r="W2648" i="8" s="1"/>
  <c r="V2629" i="8"/>
  <c r="W2629" i="8" s="1"/>
  <c r="V2644" i="8"/>
  <c r="W2644" i="8" s="1"/>
  <c r="V2645" i="8"/>
  <c r="W2645" i="8" s="1"/>
  <c r="V2681" i="8"/>
  <c r="W2681" i="8" s="1"/>
  <c r="V2636" i="8"/>
  <c r="W2636" i="8" s="1"/>
  <c r="V2647" i="8"/>
  <c r="W2647" i="8" s="1"/>
  <c r="V2641" i="8"/>
  <c r="W2641" i="8" s="1"/>
  <c r="V2653" i="8"/>
  <c r="W2653" i="8" s="1"/>
  <c r="V2675" i="8"/>
  <c r="W2675" i="8" s="1"/>
  <c r="V2656" i="8"/>
  <c r="W2656" i="8" s="1"/>
  <c r="V2676" i="8"/>
  <c r="W2676" i="8" s="1"/>
  <c r="V2682" i="8"/>
  <c r="W2682" i="8" s="1"/>
  <c r="V2683" i="8"/>
  <c r="W2683" i="8" s="1"/>
  <c r="V2668" i="8"/>
  <c r="W2668" i="8" s="1"/>
  <c r="V2663" i="8"/>
  <c r="W2663" i="8" s="1"/>
  <c r="V2633" i="8"/>
  <c r="W2633" i="8" s="1"/>
  <c r="V2666" i="8"/>
  <c r="W2666" i="8" s="1"/>
  <c r="V2649" i="8"/>
  <c r="W2649" i="8" s="1"/>
  <c r="V2660" i="8"/>
  <c r="W2660" i="8" s="1"/>
  <c r="V2628" i="8"/>
  <c r="W2628" i="8" s="1"/>
  <c r="V2655" i="8"/>
  <c r="W2655" i="8" s="1"/>
  <c r="V2665" i="8"/>
  <c r="W2665" i="8" s="1"/>
  <c r="V2667" i="8"/>
  <c r="W2667" i="8" s="1"/>
  <c r="V2679" i="8"/>
  <c r="W2679" i="8" s="1"/>
  <c r="V2659" i="8"/>
  <c r="W2659" i="8" s="1"/>
  <c r="V2670" i="8"/>
  <c r="W2670" i="8" s="1"/>
  <c r="V2650" i="8"/>
  <c r="W2650" i="8" s="1"/>
  <c r="V2673" i="8"/>
  <c r="W2673" i="8" s="1"/>
  <c r="V2635" i="8"/>
  <c r="W2635" i="8" s="1"/>
  <c r="V2654" i="8"/>
  <c r="W2654" i="8" s="1"/>
  <c r="V2632" i="8"/>
  <c r="W2632" i="8" s="1"/>
  <c r="V2677" i="8"/>
  <c r="W2677" i="8" s="1"/>
  <c r="V2741" i="8"/>
  <c r="W2741" i="8" s="1"/>
  <c r="V2755" i="8"/>
  <c r="W2755" i="8" s="1"/>
  <c r="V2753" i="8"/>
  <c r="W2753" i="8" s="1"/>
  <c r="V2734" i="8"/>
  <c r="W2734" i="8" s="1"/>
  <c r="V2722" i="8"/>
  <c r="W2722" i="8" s="1"/>
  <c r="V2761" i="8"/>
  <c r="W2761" i="8" s="1"/>
  <c r="V2695" i="8"/>
  <c r="W2695" i="8" s="1"/>
  <c r="V2732" i="8"/>
  <c r="W2732" i="8" s="1"/>
  <c r="V2710" i="8"/>
  <c r="W2710" i="8" s="1"/>
  <c r="V2746" i="8"/>
  <c r="W2746" i="8" s="1"/>
  <c r="V2740" i="8"/>
  <c r="W2740" i="8" s="1"/>
  <c r="V2712" i="8"/>
  <c r="W2712" i="8" s="1"/>
  <c r="V2731" i="8"/>
  <c r="W2731" i="8" s="1"/>
  <c r="V2768" i="8"/>
  <c r="W2768" i="8" s="1"/>
  <c r="V2693" i="8"/>
  <c r="W2693" i="8" s="1"/>
  <c r="V2742" i="8"/>
  <c r="W2742" i="8" s="1"/>
  <c r="V2766" i="8"/>
  <c r="W2766" i="8" s="1"/>
  <c r="V2707" i="8"/>
  <c r="W2707" i="8" s="1"/>
  <c r="V2700" i="8"/>
  <c r="W2700" i="8" s="1"/>
  <c r="V2739" i="8"/>
  <c r="W2739" i="8" s="1"/>
  <c r="V2750" i="8"/>
  <c r="W2750" i="8" s="1"/>
  <c r="V2686" i="8"/>
  <c r="W2686" i="8" s="1"/>
  <c r="V2690" i="8"/>
  <c r="W2690" i="8" s="1"/>
  <c r="V2698" i="8"/>
  <c r="W2698" i="8" s="1"/>
  <c r="V2747" i="8"/>
  <c r="W2747" i="8" s="1"/>
  <c r="V2770" i="8"/>
  <c r="W2770" i="8" s="1"/>
  <c r="V2727" i="8"/>
  <c r="W2727" i="8" s="1"/>
  <c r="V2721" i="8"/>
  <c r="W2721" i="8" s="1"/>
  <c r="V2684" i="8"/>
  <c r="W2684" i="8" s="1"/>
  <c r="V2756" i="8"/>
  <c r="W2756" i="8" s="1"/>
  <c r="V2769" i="8"/>
  <c r="W2769" i="8" s="1"/>
  <c r="V2714" i="8"/>
  <c r="W2714" i="8" s="1"/>
  <c r="V2718" i="8"/>
  <c r="W2718" i="8" s="1"/>
  <c r="V2737" i="8"/>
  <c r="W2737" i="8" s="1"/>
  <c r="V2744" i="8"/>
  <c r="W2744" i="8" s="1"/>
  <c r="V2724" i="8"/>
  <c r="W2724" i="8" s="1"/>
  <c r="V2743" i="8"/>
  <c r="W2743" i="8" s="1"/>
  <c r="V2762" i="8"/>
  <c r="W2762" i="8" s="1"/>
  <c r="V2763" i="8"/>
  <c r="W2763" i="8" s="1"/>
  <c r="V2749" i="8"/>
  <c r="W2749" i="8" s="1"/>
  <c r="V2716" i="8"/>
  <c r="W2716" i="8" s="1"/>
  <c r="V2704" i="8"/>
  <c r="W2704" i="8" s="1"/>
  <c r="V2711" i="8"/>
  <c r="W2711" i="8" s="1"/>
  <c r="V2713" i="8"/>
  <c r="W2713" i="8" s="1"/>
  <c r="V2701" i="8"/>
  <c r="W2701" i="8" s="1"/>
  <c r="V2738" i="8"/>
  <c r="W2738" i="8" s="1"/>
  <c r="V2745" i="8"/>
  <c r="W2745" i="8" s="1"/>
  <c r="V2688" i="8"/>
  <c r="W2688" i="8" s="1"/>
  <c r="V2757" i="8"/>
  <c r="W2757" i="8" s="1"/>
  <c r="V2687" i="8"/>
  <c r="W2687" i="8" s="1"/>
  <c r="V2706" i="8"/>
  <c r="W2706" i="8" s="1"/>
  <c r="V2723" i="8"/>
  <c r="W2723" i="8" s="1"/>
  <c r="V2708" i="8"/>
  <c r="W2708" i="8" s="1"/>
  <c r="V2767" i="8"/>
  <c r="W2767" i="8" s="1"/>
  <c r="V2736" i="8"/>
  <c r="W2736" i="8" s="1"/>
  <c r="V2699" i="8"/>
  <c r="W2699" i="8" s="1"/>
  <c r="V2764" i="8"/>
  <c r="W2764" i="8" s="1"/>
  <c r="V2726" i="8"/>
  <c r="W2726" i="8" s="1"/>
  <c r="V2697" i="8"/>
  <c r="W2697" i="8" s="1"/>
  <c r="V2692" i="8"/>
  <c r="W2692" i="8" s="1"/>
  <c r="V2759" i="8"/>
  <c r="W2759" i="8" s="1"/>
  <c r="V2748" i="8"/>
  <c r="W2748" i="8" s="1"/>
  <c r="V2696" i="8"/>
  <c r="W2696" i="8" s="1"/>
  <c r="V2719" i="8"/>
  <c r="W2719" i="8" s="1"/>
  <c r="V2717" i="8"/>
  <c r="W2717" i="8" s="1"/>
  <c r="V2705" i="8"/>
  <c r="W2705" i="8" s="1"/>
  <c r="V2758" i="8"/>
  <c r="W2758" i="8" s="1"/>
  <c r="V2689" i="8"/>
  <c r="W2689" i="8" s="1"/>
  <c r="V2702" i="8"/>
  <c r="W2702" i="8" s="1"/>
  <c r="V2735" i="8"/>
  <c r="W2735" i="8" s="1"/>
  <c r="V2725" i="8"/>
  <c r="W2725" i="8" s="1"/>
  <c r="V2715" i="8"/>
  <c r="W2715" i="8" s="1"/>
  <c r="V2728" i="8"/>
  <c r="W2728" i="8" s="1"/>
  <c r="V2703" i="8"/>
  <c r="W2703" i="8" s="1"/>
  <c r="V2730" i="8"/>
  <c r="W2730" i="8" s="1"/>
  <c r="V2720" i="8"/>
  <c r="W2720" i="8" s="1"/>
  <c r="V2765" i="8"/>
  <c r="W2765" i="8" s="1"/>
  <c r="V2751" i="8"/>
  <c r="W2751" i="8" s="1"/>
  <c r="V2752" i="8"/>
  <c r="W2752" i="8" s="1"/>
  <c r="V2691" i="8"/>
  <c r="W2691" i="8" s="1"/>
  <c r="V2685" i="8"/>
  <c r="W2685" i="8" s="1"/>
  <c r="V2733" i="8"/>
  <c r="W2733" i="8" s="1"/>
  <c r="V2709" i="8"/>
  <c r="W2709" i="8" s="1"/>
  <c r="V2754" i="8"/>
  <c r="W2754" i="8" s="1"/>
  <c r="V2760" i="8"/>
  <c r="W2760" i="8" s="1"/>
  <c r="V2729" i="8"/>
  <c r="W2729" i="8" s="1"/>
  <c r="V2694" i="8"/>
  <c r="W2694" i="8" s="1"/>
  <c r="V2865" i="8"/>
  <c r="W2865" i="8" s="1"/>
  <c r="V2851" i="8"/>
  <c r="W2851" i="8" s="1"/>
  <c r="V2829" i="8"/>
  <c r="W2829" i="8" s="1"/>
  <c r="V2804" i="8"/>
  <c r="W2804" i="8" s="1"/>
  <c r="V2774" i="8"/>
  <c r="W2774" i="8" s="1"/>
  <c r="V2826" i="8"/>
  <c r="W2826" i="8" s="1"/>
  <c r="V2864" i="8"/>
  <c r="W2864" i="8" s="1"/>
  <c r="V2868" i="8"/>
  <c r="W2868" i="8" s="1"/>
  <c r="V2779" i="8"/>
  <c r="W2779" i="8" s="1"/>
  <c r="V2777" i="8"/>
  <c r="W2777" i="8" s="1"/>
  <c r="V2818" i="8"/>
  <c r="W2818" i="8" s="1"/>
  <c r="V2786" i="8"/>
  <c r="W2786" i="8" s="1"/>
  <c r="V2863" i="8"/>
  <c r="W2863" i="8" s="1"/>
  <c r="V2771" i="8"/>
  <c r="W2771" i="8" s="1"/>
  <c r="V2816" i="8"/>
  <c r="W2816" i="8" s="1"/>
  <c r="V2814" i="8"/>
  <c r="W2814" i="8" s="1"/>
  <c r="V2773" i="8"/>
  <c r="W2773" i="8" s="1"/>
  <c r="V2813" i="8"/>
  <c r="W2813" i="8" s="1"/>
  <c r="V2861" i="8"/>
  <c r="W2861" i="8" s="1"/>
  <c r="V2785" i="8"/>
  <c r="W2785" i="8" s="1"/>
  <c r="V2794" i="8"/>
  <c r="W2794" i="8" s="1"/>
  <c r="V2852" i="8"/>
  <c r="W2852" i="8" s="1"/>
  <c r="V2817" i="8"/>
  <c r="W2817" i="8" s="1"/>
  <c r="V2805" i="8"/>
  <c r="W2805" i="8" s="1"/>
  <c r="V2845" i="8"/>
  <c r="W2845" i="8" s="1"/>
  <c r="V2783" i="8"/>
  <c r="W2783" i="8" s="1"/>
  <c r="V2819" i="8"/>
  <c r="W2819" i="8" s="1"/>
  <c r="V2858" i="8"/>
  <c r="W2858" i="8" s="1"/>
  <c r="V2835" i="8"/>
  <c r="W2835" i="8" s="1"/>
  <c r="V2848" i="8"/>
  <c r="W2848" i="8" s="1"/>
  <c r="V2824" i="8"/>
  <c r="W2824" i="8" s="1"/>
  <c r="V2828" i="8"/>
  <c r="W2828" i="8" s="1"/>
  <c r="V2808" i="8"/>
  <c r="W2808" i="8" s="1"/>
  <c r="V2823" i="8"/>
  <c r="W2823" i="8" s="1"/>
  <c r="V2798" i="8"/>
  <c r="W2798" i="8" s="1"/>
  <c r="V2790" i="8"/>
  <c r="W2790" i="8" s="1"/>
  <c r="V2839" i="8"/>
  <c r="W2839" i="8" s="1"/>
  <c r="V2784" i="8"/>
  <c r="W2784" i="8" s="1"/>
  <c r="V2820" i="8"/>
  <c r="W2820" i="8" s="1"/>
  <c r="V2837" i="8"/>
  <c r="W2837" i="8" s="1"/>
  <c r="V2776" i="8"/>
  <c r="W2776" i="8" s="1"/>
  <c r="V2854" i="8"/>
  <c r="W2854" i="8" s="1"/>
  <c r="V2827" i="8"/>
  <c r="W2827" i="8" s="1"/>
  <c r="V2772" i="8"/>
  <c r="W2772" i="8" s="1"/>
  <c r="V2797" i="8"/>
  <c r="W2797" i="8" s="1"/>
  <c r="V2871" i="8"/>
  <c r="W2871" i="8" s="1"/>
  <c r="V2840" i="8"/>
  <c r="W2840" i="8" s="1"/>
  <c r="V2856" i="8"/>
  <c r="W2856" i="8" s="1"/>
  <c r="V2796" i="8"/>
  <c r="W2796" i="8" s="1"/>
  <c r="V2810" i="8"/>
  <c r="W2810" i="8" s="1"/>
  <c r="V2780" i="8"/>
  <c r="W2780" i="8" s="1"/>
  <c r="V2842" i="8"/>
  <c r="W2842" i="8" s="1"/>
  <c r="V2778" i="8"/>
  <c r="W2778" i="8" s="1"/>
  <c r="V2867" i="8"/>
  <c r="W2867" i="8" s="1"/>
  <c r="V2853" i="8"/>
  <c r="W2853" i="8" s="1"/>
  <c r="V2812" i="8"/>
  <c r="W2812" i="8" s="1"/>
  <c r="V2793" i="8"/>
  <c r="W2793" i="8" s="1"/>
  <c r="V2802" i="8"/>
  <c r="W2802" i="8" s="1"/>
  <c r="V2789" i="8"/>
  <c r="W2789" i="8" s="1"/>
  <c r="V2860" i="8"/>
  <c r="W2860" i="8" s="1"/>
  <c r="V2869" i="8"/>
  <c r="W2869" i="8" s="1"/>
  <c r="V2859" i="8"/>
  <c r="W2859" i="8" s="1"/>
  <c r="V2788" i="8"/>
  <c r="W2788" i="8" s="1"/>
  <c r="V2792" i="8"/>
  <c r="W2792" i="8" s="1"/>
  <c r="V2832" i="8"/>
  <c r="W2832" i="8" s="1"/>
  <c r="V2795" i="8"/>
  <c r="W2795" i="8" s="1"/>
  <c r="V2775" i="8"/>
  <c r="W2775" i="8" s="1"/>
  <c r="V2806" i="8"/>
  <c r="W2806" i="8" s="1"/>
  <c r="V2811" i="8"/>
  <c r="W2811" i="8" s="1"/>
  <c r="V2846" i="8"/>
  <c r="W2846" i="8" s="1"/>
  <c r="V2866" i="8"/>
  <c r="W2866" i="8" s="1"/>
  <c r="V2843" i="8"/>
  <c r="W2843" i="8" s="1"/>
  <c r="V2862" i="8"/>
  <c r="W2862" i="8" s="1"/>
  <c r="V2809" i="8"/>
  <c r="W2809" i="8" s="1"/>
  <c r="V2791" i="8"/>
  <c r="W2791" i="8" s="1"/>
  <c r="V2803" i="8"/>
  <c r="W2803" i="8" s="1"/>
  <c r="V2821" i="8"/>
  <c r="W2821" i="8" s="1"/>
  <c r="V2872" i="8"/>
  <c r="W2872" i="8" s="1"/>
  <c r="V2838" i="8"/>
  <c r="W2838" i="8" s="1"/>
  <c r="V2799" i="8"/>
  <c r="W2799" i="8" s="1"/>
  <c r="V2831" i="8"/>
  <c r="W2831" i="8" s="1"/>
  <c r="V2849" i="8"/>
  <c r="W2849" i="8" s="1"/>
  <c r="V2822" i="8"/>
  <c r="W2822" i="8" s="1"/>
  <c r="V2841" i="8"/>
  <c r="W2841" i="8" s="1"/>
  <c r="V2833" i="8"/>
  <c r="W2833" i="8" s="1"/>
  <c r="V2870" i="8"/>
  <c r="W2870" i="8" s="1"/>
  <c r="V2855" i="8"/>
  <c r="W2855" i="8" s="1"/>
  <c r="V2844" i="8"/>
  <c r="W2844" i="8" s="1"/>
  <c r="V2847" i="8"/>
  <c r="W2847" i="8" s="1"/>
  <c r="V2807" i="8"/>
  <c r="W2807" i="8" s="1"/>
  <c r="V2834" i="8"/>
  <c r="W2834" i="8" s="1"/>
  <c r="V2782" i="8"/>
  <c r="W2782" i="8" s="1"/>
  <c r="V2850" i="8"/>
  <c r="W2850" i="8" s="1"/>
  <c r="V2815" i="8"/>
  <c r="W2815" i="8" s="1"/>
  <c r="V2830" i="8"/>
  <c r="W2830" i="8" s="1"/>
  <c r="V2825" i="8"/>
  <c r="W2825" i="8" s="1"/>
  <c r="V2857" i="8"/>
  <c r="W2857" i="8" s="1"/>
  <c r="V2801" i="8"/>
  <c r="W2801" i="8" s="1"/>
  <c r="V2787" i="8"/>
  <c r="W2787" i="8" s="1"/>
  <c r="V2836" i="8"/>
  <c r="W2836" i="8" s="1"/>
  <c r="V2800" i="8"/>
  <c r="W2800" i="8" s="1"/>
  <c r="V2781" i="8"/>
  <c r="W2781" i="8" s="1"/>
  <c r="V2970" i="8"/>
  <c r="W2970" i="8" s="1"/>
  <c r="V2943" i="8"/>
  <c r="W2943" i="8" s="1"/>
  <c r="V2965" i="8"/>
  <c r="W2965" i="8" s="1"/>
  <c r="V2963" i="8"/>
  <c r="W2963" i="8" s="1"/>
  <c r="V2877" i="8"/>
  <c r="W2877" i="8" s="1"/>
  <c r="V2957" i="8"/>
  <c r="W2957" i="8" s="1"/>
  <c r="V2961" i="8"/>
  <c r="W2961" i="8" s="1"/>
  <c r="V2972" i="8"/>
  <c r="W2972" i="8" s="1"/>
  <c r="V2874" i="8"/>
  <c r="W2874" i="8" s="1"/>
  <c r="V2893" i="8"/>
  <c r="W2893" i="8" s="1"/>
  <c r="V2883" i="8"/>
  <c r="W2883" i="8" s="1"/>
  <c r="V2898" i="8"/>
  <c r="W2898" i="8" s="1"/>
  <c r="V2946" i="8"/>
  <c r="W2946" i="8" s="1"/>
  <c r="V2896" i="8"/>
  <c r="W2896" i="8" s="1"/>
  <c r="V2908" i="8"/>
  <c r="W2908" i="8" s="1"/>
  <c r="V2889" i="8"/>
  <c r="W2889" i="8" s="1"/>
  <c r="V2891" i="8"/>
  <c r="W2891" i="8" s="1"/>
  <c r="V2925" i="8"/>
  <c r="W2925" i="8" s="1"/>
  <c r="V2911" i="8"/>
  <c r="W2911" i="8" s="1"/>
  <c r="V2952" i="8"/>
  <c r="W2952" i="8" s="1"/>
  <c r="V2935" i="8"/>
  <c r="W2935" i="8" s="1"/>
  <c r="V2949" i="8"/>
  <c r="W2949" i="8" s="1"/>
  <c r="V2921" i="8"/>
  <c r="W2921" i="8" s="1"/>
  <c r="V2892" i="8"/>
  <c r="W2892" i="8" s="1"/>
  <c r="V2901" i="8"/>
  <c r="W2901" i="8" s="1"/>
  <c r="V2979" i="8"/>
  <c r="W2979" i="8" s="1"/>
  <c r="V2973" i="8"/>
  <c r="W2973" i="8" s="1"/>
  <c r="V2902" i="8"/>
  <c r="W2902" i="8" s="1"/>
  <c r="V2966" i="8"/>
  <c r="W2966" i="8" s="1"/>
  <c r="V2920" i="8"/>
  <c r="W2920" i="8" s="1"/>
  <c r="V2907" i="8"/>
  <c r="W2907" i="8" s="1"/>
  <c r="V2958" i="8"/>
  <c r="W2958" i="8" s="1"/>
  <c r="V2884" i="8"/>
  <c r="W2884" i="8" s="1"/>
  <c r="V2942" i="8"/>
  <c r="W2942" i="8" s="1"/>
  <c r="V2976" i="8"/>
  <c r="W2976" i="8" s="1"/>
  <c r="V2882" i="8"/>
  <c r="W2882" i="8" s="1"/>
  <c r="V2906" i="8"/>
  <c r="W2906" i="8" s="1"/>
  <c r="V2881" i="8"/>
  <c r="W2881" i="8" s="1"/>
  <c r="V2941" i="8"/>
  <c r="W2941" i="8" s="1"/>
  <c r="V2945" i="8"/>
  <c r="W2945" i="8" s="1"/>
  <c r="V2899" i="8"/>
  <c r="W2899" i="8" s="1"/>
  <c r="V2955" i="8"/>
  <c r="W2955" i="8" s="1"/>
  <c r="V2878" i="8"/>
  <c r="W2878" i="8" s="1"/>
  <c r="V2910" i="8"/>
  <c r="W2910" i="8" s="1"/>
  <c r="V2932" i="8"/>
  <c r="W2932" i="8" s="1"/>
  <c r="V2954" i="8"/>
  <c r="W2954" i="8" s="1"/>
  <c r="V2962" i="8"/>
  <c r="W2962" i="8" s="1"/>
  <c r="V2875" i="8"/>
  <c r="W2875" i="8" s="1"/>
  <c r="V2940" i="8"/>
  <c r="W2940" i="8" s="1"/>
  <c r="V2904" i="8"/>
  <c r="W2904" i="8" s="1"/>
  <c r="V2930" i="8"/>
  <c r="W2930" i="8" s="1"/>
  <c r="V2967" i="8"/>
  <c r="W2967" i="8" s="1"/>
  <c r="V2968" i="8"/>
  <c r="W2968" i="8" s="1"/>
  <c r="V2959" i="8"/>
  <c r="W2959" i="8" s="1"/>
  <c r="V2880" i="8"/>
  <c r="W2880" i="8" s="1"/>
  <c r="V2974" i="8"/>
  <c r="W2974" i="8" s="1"/>
  <c r="V2947" i="8"/>
  <c r="W2947" i="8" s="1"/>
  <c r="V2956" i="8"/>
  <c r="W2956" i="8" s="1"/>
  <c r="V2937" i="8"/>
  <c r="W2937" i="8" s="1"/>
  <c r="V2915" i="8"/>
  <c r="W2915" i="8" s="1"/>
  <c r="V2953" i="8"/>
  <c r="W2953" i="8" s="1"/>
  <c r="V2917" i="8"/>
  <c r="W2917" i="8" s="1"/>
  <c r="V2923" i="8"/>
  <c r="W2923" i="8" s="1"/>
  <c r="V2929" i="8"/>
  <c r="W2929" i="8" s="1"/>
  <c r="V2975" i="8"/>
  <c r="W2975" i="8" s="1"/>
  <c r="V2924" i="8"/>
  <c r="W2924" i="8" s="1"/>
  <c r="V2912" i="8"/>
  <c r="W2912" i="8" s="1"/>
  <c r="V2934" i="8"/>
  <c r="W2934" i="8" s="1"/>
  <c r="V2918" i="8"/>
  <c r="W2918" i="8" s="1"/>
  <c r="V2978" i="8"/>
  <c r="W2978" i="8" s="1"/>
  <c r="V2927" i="8"/>
  <c r="W2927" i="8" s="1"/>
  <c r="V2936" i="8"/>
  <c r="W2936" i="8" s="1"/>
  <c r="V2914" i="8"/>
  <c r="W2914" i="8" s="1"/>
  <c r="V2885" i="8"/>
  <c r="W2885" i="8" s="1"/>
  <c r="V2916" i="8"/>
  <c r="W2916" i="8" s="1"/>
  <c r="V2951" i="8"/>
  <c r="W2951" i="8" s="1"/>
  <c r="V2938" i="8"/>
  <c r="W2938" i="8" s="1"/>
  <c r="V2939" i="8"/>
  <c r="W2939" i="8" s="1"/>
  <c r="V2887" i="8"/>
  <c r="W2887" i="8" s="1"/>
  <c r="V2948" i="8"/>
  <c r="W2948" i="8" s="1"/>
  <c r="V2971" i="8"/>
  <c r="W2971" i="8" s="1"/>
  <c r="V2900" i="8"/>
  <c r="W2900" i="8" s="1"/>
  <c r="V2903" i="8"/>
  <c r="W2903" i="8" s="1"/>
  <c r="V2909" i="8"/>
  <c r="W2909" i="8" s="1"/>
  <c r="V2964" i="8"/>
  <c r="W2964" i="8" s="1"/>
  <c r="V2886" i="8"/>
  <c r="W2886" i="8" s="1"/>
  <c r="V2928" i="8"/>
  <c r="W2928" i="8" s="1"/>
  <c r="V2944" i="8"/>
  <c r="W2944" i="8" s="1"/>
  <c r="V2873" i="8"/>
  <c r="W2873" i="8" s="1"/>
  <c r="V2980" i="8"/>
  <c r="W2980" i="8" s="1"/>
  <c r="V2894" i="8"/>
  <c r="W2894" i="8" s="1"/>
  <c r="V2950" i="8"/>
  <c r="W2950" i="8" s="1"/>
  <c r="V2913" i="8"/>
  <c r="W2913" i="8" s="1"/>
  <c r="V2890" i="8"/>
  <c r="W2890" i="8" s="1"/>
  <c r="V2981" i="8"/>
  <c r="W2981" i="8" s="1"/>
  <c r="V2977" i="8"/>
  <c r="W2977" i="8" s="1"/>
  <c r="V2905" i="8"/>
  <c r="W2905" i="8" s="1"/>
  <c r="V2876" i="8"/>
  <c r="W2876" i="8" s="1"/>
  <c r="V2933" i="8"/>
  <c r="W2933" i="8" s="1"/>
  <c r="V2931" i="8"/>
  <c r="W2931" i="8" s="1"/>
  <c r="V2888" i="8"/>
  <c r="W2888" i="8" s="1"/>
  <c r="V2895" i="8"/>
  <c r="W2895" i="8" s="1"/>
  <c r="V2969" i="8"/>
  <c r="W2969" i="8" s="1"/>
  <c r="V2960" i="8"/>
  <c r="W2960" i="8" s="1"/>
  <c r="V2879" i="8"/>
  <c r="W2879" i="8" s="1"/>
  <c r="V2922" i="8"/>
  <c r="W2922" i="8" s="1"/>
  <c r="V2897" i="8"/>
  <c r="W2897" i="8" s="1"/>
  <c r="V2919" i="8"/>
  <c r="W2919" i="8" s="1"/>
  <c r="V2926" i="8"/>
  <c r="W2926" i="8" s="1"/>
  <c r="V3092" i="8"/>
  <c r="W3092" i="8" s="1"/>
  <c r="V3102" i="8"/>
  <c r="W3102" i="8" s="1"/>
  <c r="V3035" i="8"/>
  <c r="W3035" i="8" s="1"/>
  <c r="V3011" i="8"/>
  <c r="W3011" i="8" s="1"/>
  <c r="V3043" i="8"/>
  <c r="W3043" i="8" s="1"/>
  <c r="V2998" i="8"/>
  <c r="W2998" i="8" s="1"/>
  <c r="V3007" i="8"/>
  <c r="W3007" i="8" s="1"/>
  <c r="V3017" i="8"/>
  <c r="W3017" i="8" s="1"/>
  <c r="V3090" i="8"/>
  <c r="W3090" i="8" s="1"/>
  <c r="V3093" i="8"/>
  <c r="W3093" i="8" s="1"/>
  <c r="V3056" i="8"/>
  <c r="W3056" i="8" s="1"/>
  <c r="V3001" i="8"/>
  <c r="W3001" i="8" s="1"/>
  <c r="V3023" i="8"/>
  <c r="W3023" i="8" s="1"/>
  <c r="V2994" i="8"/>
  <c r="W2994" i="8" s="1"/>
  <c r="V2995" i="8"/>
  <c r="W2995" i="8" s="1"/>
  <c r="V2988" i="8"/>
  <c r="W2988" i="8" s="1"/>
  <c r="V3106" i="8"/>
  <c r="W3106" i="8" s="1"/>
  <c r="V2993" i="8"/>
  <c r="W2993" i="8" s="1"/>
  <c r="V3104" i="8"/>
  <c r="W3104" i="8" s="1"/>
  <c r="V3015" i="8"/>
  <c r="W3015" i="8" s="1"/>
  <c r="V3030" i="8"/>
  <c r="W3030" i="8" s="1"/>
  <c r="V3002" i="8"/>
  <c r="W3002" i="8" s="1"/>
  <c r="V3039" i="8"/>
  <c r="W3039" i="8" s="1"/>
  <c r="V3008" i="8"/>
  <c r="W3008" i="8" s="1"/>
  <c r="V3050" i="8"/>
  <c r="W3050" i="8" s="1"/>
  <c r="V3024" i="8"/>
  <c r="W3024" i="8" s="1"/>
  <c r="V3027" i="8"/>
  <c r="W3027" i="8" s="1"/>
  <c r="V3084" i="8"/>
  <c r="W3084" i="8" s="1"/>
  <c r="V3033" i="8"/>
  <c r="W3033" i="8" s="1"/>
  <c r="V2996" i="8"/>
  <c r="W2996" i="8" s="1"/>
  <c r="V3095" i="8"/>
  <c r="W3095" i="8" s="1"/>
  <c r="V3031" i="8"/>
  <c r="W3031" i="8" s="1"/>
  <c r="V3051" i="8"/>
  <c r="W3051" i="8" s="1"/>
  <c r="V3004" i="8"/>
  <c r="W3004" i="8" s="1"/>
  <c r="V3075" i="8"/>
  <c r="W3075" i="8" s="1"/>
  <c r="V3014" i="8"/>
  <c r="W3014" i="8" s="1"/>
  <c r="V3003" i="8"/>
  <c r="W3003" i="8" s="1"/>
  <c r="V3010" i="8"/>
  <c r="W3010" i="8" s="1"/>
  <c r="V3076" i="8"/>
  <c r="W3076" i="8" s="1"/>
  <c r="V3048" i="8"/>
  <c r="W3048" i="8" s="1"/>
  <c r="V3114" i="8"/>
  <c r="W3114" i="8" s="1"/>
  <c r="V3111" i="8"/>
  <c r="W3111" i="8" s="1"/>
  <c r="V3108" i="8"/>
  <c r="W3108" i="8" s="1"/>
  <c r="V3103" i="8"/>
  <c r="W3103" i="8" s="1"/>
  <c r="V3028" i="8"/>
  <c r="W3028" i="8" s="1"/>
  <c r="V3098" i="8"/>
  <c r="W3098" i="8" s="1"/>
  <c r="V3000" i="8"/>
  <c r="W3000" i="8" s="1"/>
  <c r="V3046" i="8"/>
  <c r="W3046" i="8" s="1"/>
  <c r="V3077" i="8"/>
  <c r="W3077" i="8" s="1"/>
  <c r="V3101" i="8"/>
  <c r="W3101" i="8" s="1"/>
  <c r="V3080" i="8"/>
  <c r="W3080" i="8" s="1"/>
  <c r="V3055" i="8"/>
  <c r="W3055" i="8" s="1"/>
  <c r="V2986" i="8"/>
  <c r="W2986" i="8" s="1"/>
  <c r="V3020" i="8"/>
  <c r="W3020" i="8" s="1"/>
  <c r="V2987" i="8"/>
  <c r="W2987" i="8" s="1"/>
  <c r="V3082" i="8"/>
  <c r="W3082" i="8" s="1"/>
  <c r="V2989" i="8"/>
  <c r="W2989" i="8" s="1"/>
  <c r="V3045" i="8"/>
  <c r="W3045" i="8" s="1"/>
  <c r="V3053" i="8"/>
  <c r="W3053" i="8" s="1"/>
  <c r="V3061" i="8"/>
  <c r="W3061" i="8" s="1"/>
  <c r="V3029" i="8"/>
  <c r="W3029" i="8" s="1"/>
  <c r="V3049" i="8"/>
  <c r="W3049" i="8" s="1"/>
  <c r="V3006" i="8"/>
  <c r="W3006" i="8" s="1"/>
  <c r="V3064" i="8"/>
  <c r="W3064" i="8" s="1"/>
  <c r="V3112" i="8"/>
  <c r="W3112" i="8" s="1"/>
  <c r="V3070" i="8"/>
  <c r="W3070" i="8" s="1"/>
  <c r="V2992" i="8"/>
  <c r="W2992" i="8" s="1"/>
  <c r="V3099" i="8"/>
  <c r="W3099" i="8" s="1"/>
  <c r="V3072" i="8"/>
  <c r="W3072" i="8" s="1"/>
  <c r="V3036" i="8"/>
  <c r="W3036" i="8" s="1"/>
  <c r="V3078" i="8"/>
  <c r="W3078" i="8" s="1"/>
  <c r="V3081" i="8"/>
  <c r="W3081" i="8" s="1"/>
  <c r="V3037" i="8"/>
  <c r="W3037" i="8" s="1"/>
  <c r="V2982" i="8"/>
  <c r="W2982" i="8" s="1"/>
  <c r="V3040" i="8"/>
  <c r="W3040" i="8" s="1"/>
  <c r="V3016" i="8"/>
  <c r="W3016" i="8" s="1"/>
  <c r="V3071" i="8"/>
  <c r="W3071" i="8" s="1"/>
  <c r="V2985" i="8"/>
  <c r="W2985" i="8" s="1"/>
  <c r="V3089" i="8"/>
  <c r="W3089" i="8" s="1"/>
  <c r="V3062" i="8"/>
  <c r="W3062" i="8" s="1"/>
  <c r="V3060" i="8"/>
  <c r="W3060" i="8" s="1"/>
  <c r="V3047" i="8"/>
  <c r="W3047" i="8" s="1"/>
  <c r="V2991" i="8"/>
  <c r="W2991" i="8" s="1"/>
  <c r="V3019" i="8"/>
  <c r="W3019" i="8" s="1"/>
  <c r="V3100" i="8"/>
  <c r="W3100" i="8" s="1"/>
  <c r="V3109" i="8"/>
  <c r="W3109" i="8" s="1"/>
  <c r="V3054" i="8"/>
  <c r="W3054" i="8" s="1"/>
  <c r="V3021" i="8"/>
  <c r="W3021" i="8" s="1"/>
  <c r="V3117" i="8"/>
  <c r="W3117" i="8" s="1"/>
  <c r="V3044" i="8"/>
  <c r="W3044" i="8" s="1"/>
  <c r="V3105" i="8"/>
  <c r="W3105" i="8" s="1"/>
  <c r="V3073" i="8"/>
  <c r="W3073" i="8" s="1"/>
  <c r="V3107" i="8"/>
  <c r="W3107" i="8" s="1"/>
  <c r="V3083" i="8"/>
  <c r="W3083" i="8" s="1"/>
  <c r="V3088" i="8"/>
  <c r="W3088" i="8" s="1"/>
  <c r="V2997" i="8"/>
  <c r="W2997" i="8" s="1"/>
  <c r="V3034" i="8"/>
  <c r="W3034" i="8" s="1"/>
  <c r="V3115" i="8"/>
  <c r="W3115" i="8" s="1"/>
  <c r="V3087" i="8"/>
  <c r="W3087" i="8" s="1"/>
  <c r="V3026" i="8"/>
  <c r="W3026" i="8" s="1"/>
  <c r="V3005" i="8"/>
  <c r="W3005" i="8" s="1"/>
  <c r="V3085" i="8"/>
  <c r="W3085" i="8" s="1"/>
  <c r="V3012" i="8"/>
  <c r="W3012" i="8" s="1"/>
  <c r="V3096" i="8"/>
  <c r="W3096" i="8" s="1"/>
  <c r="V3013" i="8"/>
  <c r="W3013" i="8" s="1"/>
  <c r="V3038" i="8"/>
  <c r="W3038" i="8" s="1"/>
  <c r="V3110" i="8"/>
  <c r="W3110" i="8" s="1"/>
  <c r="V3052" i="8"/>
  <c r="W3052" i="8" s="1"/>
  <c r="V3069" i="8"/>
  <c r="W3069" i="8" s="1"/>
  <c r="V3025" i="8"/>
  <c r="W3025" i="8" s="1"/>
  <c r="V3022" i="8"/>
  <c r="W3022" i="8" s="1"/>
  <c r="V3065" i="8"/>
  <c r="W3065" i="8" s="1"/>
  <c r="V2999" i="8"/>
  <c r="W2999" i="8" s="1"/>
  <c r="V3116" i="8"/>
  <c r="W3116" i="8" s="1"/>
  <c r="V3091" i="8"/>
  <c r="W3091" i="8" s="1"/>
  <c r="V3041" i="8"/>
  <c r="W3041" i="8" s="1"/>
  <c r="V3079" i="8"/>
  <c r="W3079" i="8" s="1"/>
  <c r="V3059" i="8"/>
  <c r="W3059" i="8" s="1"/>
  <c r="V3057" i="8"/>
  <c r="W3057" i="8" s="1"/>
  <c r="V3018" i="8"/>
  <c r="W3018" i="8" s="1"/>
  <c r="V2984" i="8"/>
  <c r="W2984" i="8" s="1"/>
  <c r="V3009" i="8"/>
  <c r="W3009" i="8" s="1"/>
  <c r="V2990" i="8"/>
  <c r="W2990" i="8" s="1"/>
  <c r="V3066" i="8"/>
  <c r="W3066" i="8" s="1"/>
  <c r="V3032" i="8"/>
  <c r="W3032" i="8" s="1"/>
  <c r="V3068" i="8"/>
  <c r="W3068" i="8" s="1"/>
  <c r="V3094" i="8"/>
  <c r="W3094" i="8" s="1"/>
  <c r="V3042" i="8"/>
  <c r="W3042" i="8" s="1"/>
  <c r="V3074" i="8"/>
  <c r="W3074" i="8" s="1"/>
  <c r="V2983" i="8"/>
  <c r="W2983" i="8" s="1"/>
  <c r="V3086" i="8"/>
  <c r="W3086" i="8" s="1"/>
  <c r="V3097" i="8"/>
  <c r="W3097" i="8" s="1"/>
  <c r="V3113" i="8"/>
  <c r="W3113" i="8" s="1"/>
  <c r="V3058" i="8"/>
  <c r="W3058" i="8" s="1"/>
  <c r="V3063" i="8"/>
  <c r="W3063" i="8" s="1"/>
  <c r="V3067" i="8"/>
  <c r="W3067" i="8" s="1"/>
  <c r="V3146" i="8"/>
  <c r="W3146" i="8" s="1"/>
  <c r="V3156" i="8"/>
  <c r="W3156" i="8" s="1"/>
  <c r="V3184" i="8"/>
  <c r="W3184" i="8" s="1"/>
  <c r="V3164" i="8"/>
  <c r="W3164" i="8" s="1"/>
  <c r="V3124" i="8"/>
  <c r="W3124" i="8" s="1"/>
  <c r="V3119" i="8"/>
  <c r="W3119" i="8" s="1"/>
  <c r="V3159" i="8"/>
  <c r="W3159" i="8" s="1"/>
  <c r="V3155" i="8"/>
  <c r="W3155" i="8" s="1"/>
  <c r="V3199" i="8"/>
  <c r="W3199" i="8" s="1"/>
  <c r="V3170" i="8"/>
  <c r="W3170" i="8" s="1"/>
  <c r="V3193" i="8"/>
  <c r="W3193" i="8" s="1"/>
  <c r="V3209" i="8"/>
  <c r="W3209" i="8" s="1"/>
  <c r="V3192" i="8"/>
  <c r="W3192" i="8" s="1"/>
  <c r="V3130" i="8"/>
  <c r="W3130" i="8" s="1"/>
  <c r="V3134" i="8"/>
  <c r="W3134" i="8" s="1"/>
  <c r="V3186" i="8"/>
  <c r="W3186" i="8" s="1"/>
  <c r="V3204" i="8"/>
  <c r="W3204" i="8" s="1"/>
  <c r="V3198" i="8"/>
  <c r="W3198" i="8" s="1"/>
  <c r="V3128" i="8"/>
  <c r="W3128" i="8" s="1"/>
  <c r="V3118" i="8"/>
  <c r="W3118" i="8" s="1"/>
  <c r="V3150" i="8"/>
  <c r="W3150" i="8" s="1"/>
  <c r="V3125" i="8"/>
  <c r="W3125" i="8" s="1"/>
  <c r="V3120" i="8"/>
  <c r="W3120" i="8" s="1"/>
  <c r="V3205" i="8"/>
  <c r="W3205" i="8" s="1"/>
  <c r="V3162" i="8"/>
  <c r="W3162" i="8" s="1"/>
  <c r="V3138" i="8"/>
  <c r="W3138" i="8" s="1"/>
  <c r="V3185" i="8"/>
  <c r="W3185" i="8" s="1"/>
  <c r="V3168" i="8"/>
  <c r="W3168" i="8" s="1"/>
  <c r="V3135" i="8"/>
  <c r="W3135" i="8" s="1"/>
  <c r="V3126" i="8"/>
  <c r="W3126" i="8" s="1"/>
  <c r="V3144" i="8"/>
  <c r="W3144" i="8" s="1"/>
  <c r="V3200" i="8"/>
  <c r="W3200" i="8" s="1"/>
  <c r="V3149" i="8"/>
  <c r="W3149" i="8" s="1"/>
  <c r="V3201" i="8"/>
  <c r="W3201" i="8" s="1"/>
  <c r="V3175" i="8"/>
  <c r="W3175" i="8" s="1"/>
  <c r="V3172" i="8"/>
  <c r="W3172" i="8" s="1"/>
  <c r="V3188" i="8"/>
  <c r="W3188" i="8" s="1"/>
  <c r="V3220" i="8"/>
  <c r="W3220" i="8" s="1"/>
  <c r="V3194" i="8"/>
  <c r="W3194" i="8" s="1"/>
  <c r="V3219" i="8"/>
  <c r="W3219" i="8" s="1"/>
  <c r="V3160" i="8"/>
  <c r="W3160" i="8" s="1"/>
  <c r="V3203" i="8"/>
  <c r="W3203" i="8" s="1"/>
  <c r="V3147" i="8"/>
  <c r="W3147" i="8" s="1"/>
  <c r="V3132" i="8"/>
  <c r="W3132" i="8" s="1"/>
  <c r="V3171" i="8"/>
  <c r="W3171" i="8" s="1"/>
  <c r="V3165" i="8"/>
  <c r="W3165" i="8" s="1"/>
  <c r="V3148" i="8"/>
  <c r="W3148" i="8" s="1"/>
  <c r="V3195" i="8"/>
  <c r="W3195" i="8" s="1"/>
  <c r="V3140" i="8"/>
  <c r="W3140" i="8" s="1"/>
  <c r="V3189" i="8"/>
  <c r="W3189" i="8" s="1"/>
  <c r="V3191" i="8"/>
  <c r="W3191" i="8" s="1"/>
  <c r="V3187" i="8"/>
  <c r="W3187" i="8" s="1"/>
  <c r="V3173" i="8"/>
  <c r="W3173" i="8" s="1"/>
  <c r="V3123" i="8"/>
  <c r="W3123" i="8" s="1"/>
  <c r="V3207" i="8"/>
  <c r="W3207" i="8" s="1"/>
  <c r="V3190" i="8"/>
  <c r="W3190" i="8" s="1"/>
  <c r="V3206" i="8"/>
  <c r="W3206" i="8" s="1"/>
  <c r="V3178" i="8"/>
  <c r="W3178" i="8" s="1"/>
  <c r="V3137" i="8"/>
  <c r="W3137" i="8" s="1"/>
  <c r="V3151" i="8"/>
  <c r="W3151" i="8" s="1"/>
  <c r="V3121" i="8"/>
  <c r="W3121" i="8" s="1"/>
  <c r="V3213" i="8"/>
  <c r="W3213" i="8" s="1"/>
  <c r="V3122" i="8"/>
  <c r="W3122" i="8" s="1"/>
  <c r="V3196" i="8"/>
  <c r="W3196" i="8" s="1"/>
  <c r="V3169" i="8"/>
  <c r="W3169" i="8" s="1"/>
  <c r="V3166" i="8"/>
  <c r="W3166" i="8" s="1"/>
  <c r="V3211" i="8"/>
  <c r="W3211" i="8" s="1"/>
  <c r="V3180" i="8"/>
  <c r="W3180" i="8" s="1"/>
  <c r="V3216" i="8"/>
  <c r="W3216" i="8" s="1"/>
  <c r="V3208" i="8"/>
  <c r="W3208" i="8" s="1"/>
  <c r="V3131" i="8"/>
  <c r="W3131" i="8" s="1"/>
  <c r="V3133" i="8"/>
  <c r="W3133" i="8" s="1"/>
  <c r="V3221" i="8"/>
  <c r="W3221" i="8" s="1"/>
  <c r="V3215" i="8"/>
  <c r="W3215" i="8" s="1"/>
  <c r="V3141" i="8"/>
  <c r="W3141" i="8" s="1"/>
  <c r="V3142" i="8"/>
  <c r="W3142" i="8" s="1"/>
  <c r="V3161" i="8"/>
  <c r="W3161" i="8" s="1"/>
  <c r="V3177" i="8"/>
  <c r="W3177" i="8" s="1"/>
  <c r="V3167" i="8"/>
  <c r="W3167" i="8" s="1"/>
  <c r="V3127" i="8"/>
  <c r="W3127" i="8" s="1"/>
  <c r="V3182" i="8"/>
  <c r="W3182" i="8" s="1"/>
  <c r="V3212" i="8"/>
  <c r="W3212" i="8" s="1"/>
  <c r="V3218" i="8"/>
  <c r="W3218" i="8" s="1"/>
  <c r="V3143" i="8"/>
  <c r="W3143" i="8" s="1"/>
  <c r="V3163" i="8"/>
  <c r="W3163" i="8" s="1"/>
  <c r="V3158" i="8"/>
  <c r="W3158" i="8" s="1"/>
  <c r="V3183" i="8"/>
  <c r="W3183" i="8" s="1"/>
  <c r="V3139" i="8"/>
  <c r="W3139" i="8" s="1"/>
  <c r="V3145" i="8"/>
  <c r="W3145" i="8" s="1"/>
  <c r="V3153" i="8"/>
  <c r="W3153" i="8" s="1"/>
  <c r="V3176" i="8"/>
  <c r="W3176" i="8" s="1"/>
  <c r="V3197" i="8"/>
  <c r="W3197" i="8" s="1"/>
  <c r="V3154" i="8"/>
  <c r="W3154" i="8" s="1"/>
  <c r="V3129" i="8"/>
  <c r="W3129" i="8" s="1"/>
  <c r="V3174" i="8"/>
  <c r="W3174" i="8" s="1"/>
  <c r="V3210" i="8"/>
  <c r="W3210" i="8" s="1"/>
  <c r="V3202" i="8"/>
  <c r="W3202" i="8" s="1"/>
  <c r="V3214" i="8"/>
  <c r="W3214" i="8" s="1"/>
  <c r="V3152" i="8"/>
  <c r="W3152" i="8" s="1"/>
  <c r="V3179" i="8"/>
  <c r="W3179" i="8" s="1"/>
  <c r="V3136" i="8"/>
  <c r="W3136" i="8" s="1"/>
  <c r="V3217" i="8"/>
  <c r="W3217" i="8" s="1"/>
  <c r="V3181" i="8"/>
  <c r="W3181" i="8" s="1"/>
  <c r="V3157" i="8"/>
  <c r="W3157" i="8" s="1"/>
  <c r="V3226" i="8"/>
  <c r="W3226" i="8" s="1"/>
  <c r="V3243" i="8"/>
  <c r="W3243" i="8" s="1"/>
  <c r="V3248" i="8"/>
  <c r="W3248" i="8" s="1"/>
  <c r="V3264" i="8"/>
  <c r="W3264" i="8" s="1"/>
  <c r="V3237" i="8"/>
  <c r="W3237" i="8" s="1"/>
  <c r="V3228" i="8"/>
  <c r="W3228" i="8" s="1"/>
  <c r="V3238" i="8"/>
  <c r="W3238" i="8" s="1"/>
  <c r="V3261" i="8"/>
  <c r="W3261" i="8" s="1"/>
  <c r="V3229" i="8"/>
  <c r="W3229" i="8" s="1"/>
  <c r="V3236" i="8"/>
  <c r="W3236" i="8" s="1"/>
  <c r="V3252" i="8"/>
  <c r="W3252" i="8" s="1"/>
  <c r="V3246" i="8"/>
  <c r="W3246" i="8" s="1"/>
  <c r="V3255" i="8"/>
  <c r="W3255" i="8" s="1"/>
  <c r="V3232" i="8"/>
  <c r="W3232" i="8" s="1"/>
  <c r="V3268" i="8"/>
  <c r="W3268" i="8" s="1"/>
  <c r="V3223" i="8"/>
  <c r="W3223" i="8" s="1"/>
  <c r="V3267" i="8"/>
  <c r="W3267" i="8" s="1"/>
  <c r="V3253" i="8"/>
  <c r="W3253" i="8" s="1"/>
  <c r="V3244" i="8"/>
  <c r="W3244" i="8" s="1"/>
  <c r="V3233" i="8"/>
  <c r="W3233" i="8" s="1"/>
  <c r="V3258" i="8"/>
  <c r="W3258" i="8" s="1"/>
  <c r="V3257" i="8"/>
  <c r="W3257" i="8" s="1"/>
  <c r="V3242" i="8"/>
  <c r="W3242" i="8" s="1"/>
  <c r="V3235" i="8"/>
  <c r="W3235" i="8" s="1"/>
  <c r="V3266" i="8"/>
  <c r="W3266" i="8" s="1"/>
  <c r="V3240" i="8"/>
  <c r="W3240" i="8" s="1"/>
  <c r="V3249" i="8"/>
  <c r="W3249" i="8" s="1"/>
  <c r="V3269" i="8"/>
  <c r="W3269" i="8" s="1"/>
  <c r="V3250" i="8"/>
  <c r="W3250" i="8" s="1"/>
  <c r="V3241" i="8"/>
  <c r="W3241" i="8" s="1"/>
  <c r="V3239" i="8"/>
  <c r="W3239" i="8" s="1"/>
  <c r="V3231" i="8"/>
  <c r="W3231" i="8" s="1"/>
  <c r="V3259" i="8"/>
  <c r="W3259" i="8" s="1"/>
  <c r="V3234" i="8"/>
  <c r="W3234" i="8" s="1"/>
  <c r="V3247" i="8"/>
  <c r="W3247" i="8" s="1"/>
  <c r="V3222" i="8"/>
  <c r="W3222" i="8" s="1"/>
  <c r="V3225" i="8"/>
  <c r="W3225" i="8" s="1"/>
  <c r="V3262" i="8"/>
  <c r="W3262" i="8" s="1"/>
  <c r="V3251" i="8"/>
  <c r="W3251" i="8" s="1"/>
  <c r="V3256" i="8"/>
  <c r="W3256" i="8" s="1"/>
  <c r="V3263" i="8"/>
  <c r="W3263" i="8" s="1"/>
  <c r="V3230" i="8"/>
  <c r="W3230" i="8" s="1"/>
  <c r="V3265" i="8"/>
  <c r="W3265" i="8" s="1"/>
  <c r="V3245" i="8"/>
  <c r="W3245" i="8" s="1"/>
  <c r="V3260" i="8"/>
  <c r="W3260" i="8" s="1"/>
  <c r="V3254" i="8"/>
  <c r="W3254" i="8" s="1"/>
  <c r="V3224" i="8"/>
  <c r="W3224" i="8" s="1"/>
  <c r="V3227" i="8"/>
  <c r="W3227" i="8" s="1"/>
  <c r="V3301" i="8"/>
  <c r="W3301" i="8" s="1"/>
  <c r="V3288" i="8"/>
  <c r="W3288" i="8" s="1"/>
  <c r="V3277" i="8"/>
  <c r="W3277" i="8" s="1"/>
  <c r="V3278" i="8"/>
  <c r="W3278" i="8" s="1"/>
  <c r="V3285" i="8"/>
  <c r="W3285" i="8" s="1"/>
  <c r="V3270" i="8"/>
  <c r="W3270" i="8" s="1"/>
  <c r="V3298" i="8"/>
  <c r="W3298" i="8" s="1"/>
  <c r="V3293" i="8"/>
  <c r="W3293" i="8" s="1"/>
  <c r="V3300" i="8"/>
  <c r="W3300" i="8" s="1"/>
  <c r="V3286" i="8"/>
  <c r="W3286" i="8" s="1"/>
  <c r="V3295" i="8"/>
  <c r="W3295" i="8" s="1"/>
  <c r="V3274" i="8"/>
  <c r="W3274" i="8" s="1"/>
  <c r="V3284" i="8"/>
  <c r="W3284" i="8" s="1"/>
  <c r="V3271" i="8"/>
  <c r="W3271" i="8" s="1"/>
  <c r="V3283" i="8"/>
  <c r="W3283" i="8" s="1"/>
  <c r="V3281" i="8"/>
  <c r="W3281" i="8" s="1"/>
  <c r="V3276" i="8"/>
  <c r="W3276" i="8" s="1"/>
  <c r="V3282" i="8"/>
  <c r="W3282" i="8" s="1"/>
  <c r="V3275" i="8"/>
  <c r="W3275" i="8" s="1"/>
  <c r="V3296" i="8"/>
  <c r="W3296" i="8" s="1"/>
  <c r="V3291" i="8"/>
  <c r="W3291" i="8" s="1"/>
  <c r="V3294" i="8"/>
  <c r="W3294" i="8" s="1"/>
  <c r="V3280" i="8"/>
  <c r="W3280" i="8" s="1"/>
  <c r="V3297" i="8"/>
  <c r="W3297" i="8" s="1"/>
  <c r="V3290" i="8"/>
  <c r="W3290" i="8" s="1"/>
  <c r="V3279" i="8"/>
  <c r="W3279" i="8" s="1"/>
  <c r="V3292" i="8"/>
  <c r="W3292" i="8" s="1"/>
  <c r="V3272" i="8"/>
  <c r="W3272" i="8" s="1"/>
  <c r="V3287" i="8"/>
  <c r="W3287" i="8" s="1"/>
  <c r="V3299" i="8"/>
  <c r="W3299" i="8" s="1"/>
  <c r="V3289" i="8"/>
  <c r="W3289" i="8" s="1"/>
  <c r="V3273" i="8"/>
  <c r="W3273" i="8" s="1"/>
  <c r="V3304" i="8"/>
  <c r="W3304" i="8" s="1"/>
  <c r="V3302" i="8"/>
  <c r="W3302" i="8" s="1"/>
  <c r="V3340" i="8"/>
  <c r="W3340" i="8" s="1"/>
  <c r="V3311" i="8"/>
  <c r="W3311" i="8" s="1"/>
  <c r="V3317" i="8"/>
  <c r="W3317" i="8" s="1"/>
  <c r="V3345" i="8"/>
  <c r="W3345" i="8" s="1"/>
  <c r="V3334" i="8"/>
  <c r="W3334" i="8" s="1"/>
  <c r="V3313" i="8"/>
  <c r="W3313" i="8" s="1"/>
  <c r="V3327" i="8"/>
  <c r="W3327" i="8" s="1"/>
  <c r="V3342" i="8"/>
  <c r="W3342" i="8" s="1"/>
  <c r="V3325" i="8"/>
  <c r="W3325" i="8" s="1"/>
  <c r="V3333" i="8"/>
  <c r="W3333" i="8" s="1"/>
  <c r="V3322" i="8"/>
  <c r="W3322" i="8" s="1"/>
  <c r="V3344" i="8"/>
  <c r="W3344" i="8" s="1"/>
  <c r="V3336" i="8"/>
  <c r="W3336" i="8" s="1"/>
  <c r="V3314" i="8"/>
  <c r="W3314" i="8" s="1"/>
  <c r="V3329" i="8"/>
  <c r="W3329" i="8" s="1"/>
  <c r="V3307" i="8"/>
  <c r="W3307" i="8" s="1"/>
  <c r="V3328" i="8"/>
  <c r="W3328" i="8" s="1"/>
  <c r="V3330" i="8"/>
  <c r="W3330" i="8" s="1"/>
  <c r="V3332" i="8"/>
  <c r="W3332" i="8" s="1"/>
  <c r="V3310" i="8"/>
  <c r="W3310" i="8" s="1"/>
  <c r="V3305" i="8"/>
  <c r="W3305" i="8" s="1"/>
  <c r="V3316" i="8"/>
  <c r="W3316" i="8" s="1"/>
  <c r="V3341" i="8"/>
  <c r="W3341" i="8" s="1"/>
  <c r="V3339" i="8"/>
  <c r="W3339" i="8" s="1"/>
  <c r="V3303" i="8"/>
  <c r="W3303" i="8" s="1"/>
  <c r="V3338" i="8"/>
  <c r="W3338" i="8" s="1"/>
  <c r="V3323" i="8"/>
  <c r="W3323" i="8" s="1"/>
  <c r="V3335" i="8"/>
  <c r="W3335" i="8" s="1"/>
  <c r="V3319" i="8"/>
  <c r="W3319" i="8" s="1"/>
  <c r="V3318" i="8"/>
  <c r="W3318" i="8" s="1"/>
  <c r="V3306" i="8"/>
  <c r="W3306" i="8" s="1"/>
  <c r="V3331" i="8"/>
  <c r="W3331" i="8" s="1"/>
  <c r="V3309" i="8"/>
  <c r="W3309" i="8" s="1"/>
  <c r="V3308" i="8"/>
  <c r="W3308" i="8" s="1"/>
  <c r="V3315" i="8"/>
  <c r="W3315" i="8" s="1"/>
  <c r="V3343" i="8"/>
  <c r="W3343" i="8" s="1"/>
  <c r="V3321" i="8"/>
  <c r="W3321" i="8" s="1"/>
  <c r="V3326" i="8"/>
  <c r="W3326" i="8" s="1"/>
  <c r="V3320" i="8"/>
  <c r="W3320" i="8" s="1"/>
  <c r="V3324" i="8"/>
  <c r="W3324" i="8" s="1"/>
  <c r="V3312" i="8"/>
  <c r="W3312" i="8" s="1"/>
  <c r="V3337" i="8"/>
  <c r="W3337" i="8" s="1"/>
  <c r="V3385" i="8"/>
  <c r="W3385" i="8" s="1"/>
  <c r="V3356" i="8"/>
  <c r="W3356" i="8" s="1"/>
  <c r="V3407" i="8"/>
  <c r="W3407" i="8" s="1"/>
  <c r="V3386" i="8"/>
  <c r="W3386" i="8" s="1"/>
  <c r="V3442" i="8"/>
  <c r="W3442" i="8" s="1"/>
  <c r="V3421" i="8"/>
  <c r="W3421" i="8" s="1"/>
  <c r="V3433" i="8"/>
  <c r="W3433" i="8" s="1"/>
  <c r="V3389" i="8"/>
  <c r="W3389" i="8" s="1"/>
  <c r="V3445" i="8"/>
  <c r="W3445" i="8" s="1"/>
  <c r="V3443" i="8"/>
  <c r="W3443" i="8" s="1"/>
  <c r="V3346" i="8"/>
  <c r="W3346" i="8" s="1"/>
  <c r="V3403" i="8"/>
  <c r="W3403" i="8" s="1"/>
  <c r="V3422" i="8"/>
  <c r="W3422" i="8" s="1"/>
  <c r="V3432" i="8"/>
  <c r="W3432" i="8" s="1"/>
  <c r="V3455" i="8"/>
  <c r="W3455" i="8" s="1"/>
  <c r="V3408" i="8"/>
  <c r="W3408" i="8" s="1"/>
  <c r="V3364" i="8"/>
  <c r="W3364" i="8" s="1"/>
  <c r="V3379" i="8"/>
  <c r="W3379" i="8" s="1"/>
  <c r="V3449" i="8"/>
  <c r="W3449" i="8" s="1"/>
  <c r="V3395" i="8"/>
  <c r="W3395" i="8" s="1"/>
  <c r="V3428" i="8"/>
  <c r="W3428" i="8" s="1"/>
  <c r="V3434" i="8"/>
  <c r="W3434" i="8" s="1"/>
  <c r="V3456" i="8"/>
  <c r="W3456" i="8" s="1"/>
  <c r="V3352" i="8"/>
  <c r="W3352" i="8" s="1"/>
  <c r="V3383" i="8"/>
  <c r="W3383" i="8" s="1"/>
  <c r="V3401" i="8"/>
  <c r="W3401" i="8" s="1"/>
  <c r="V3429" i="8"/>
  <c r="W3429" i="8" s="1"/>
  <c r="V3381" i="8"/>
  <c r="W3381" i="8" s="1"/>
  <c r="V3452" i="8"/>
  <c r="W3452" i="8" s="1"/>
  <c r="V3430" i="8"/>
  <c r="W3430" i="8" s="1"/>
  <c r="V3459" i="8"/>
  <c r="W3459" i="8" s="1"/>
  <c r="V3553" i="8"/>
  <c r="W3553" i="8" s="1"/>
  <c r="V3556" i="8"/>
  <c r="W3556" i="8" s="1"/>
  <c r="V3486" i="8"/>
  <c r="W3486" i="8" s="1"/>
  <c r="V3506" i="8"/>
  <c r="W3506" i="8" s="1"/>
  <c r="V3475" i="8"/>
  <c r="W3475" i="8" s="1"/>
  <c r="V3466" i="8"/>
  <c r="W3466" i="8" s="1"/>
  <c r="V3541" i="8"/>
  <c r="W3541" i="8" s="1"/>
  <c r="V3542" i="8"/>
  <c r="W3542" i="8" s="1"/>
  <c r="V3526" i="8"/>
  <c r="W3526" i="8" s="1"/>
  <c r="V3496" i="8"/>
  <c r="W3496" i="8" s="1"/>
  <c r="V3478" i="8"/>
  <c r="W3478" i="8" s="1"/>
  <c r="V3544" i="8"/>
  <c r="W3544" i="8" s="1"/>
  <c r="V3520" i="8"/>
  <c r="W3520" i="8" s="1"/>
  <c r="V3467" i="8"/>
  <c r="W3467" i="8" s="1"/>
  <c r="V3529" i="8"/>
  <c r="W3529" i="8" s="1"/>
  <c r="V3483" i="8"/>
  <c r="W3483" i="8" s="1"/>
  <c r="V3525" i="8"/>
  <c r="W3525" i="8" s="1"/>
  <c r="V3548" i="8"/>
  <c r="W3548" i="8" s="1"/>
  <c r="V3530" i="8"/>
  <c r="W3530" i="8" s="1"/>
  <c r="V3382" i="8"/>
  <c r="W3382" i="8" s="1"/>
  <c r="V3402" i="8"/>
  <c r="W3402" i="8" s="1"/>
  <c r="V3392" i="8"/>
  <c r="W3392" i="8" s="1"/>
  <c r="V3446" i="8"/>
  <c r="W3446" i="8" s="1"/>
  <c r="V3390" i="8"/>
  <c r="W3390" i="8" s="1"/>
  <c r="V3350" i="8"/>
  <c r="W3350" i="8" s="1"/>
  <c r="V3375" i="8"/>
  <c r="W3375" i="8" s="1"/>
  <c r="V3448" i="8"/>
  <c r="W3448" i="8" s="1"/>
  <c r="V3451" i="8"/>
  <c r="W3451" i="8" s="1"/>
  <c r="V3396" i="8"/>
  <c r="W3396" i="8" s="1"/>
  <c r="V3359" i="8"/>
  <c r="W3359" i="8" s="1"/>
  <c r="V3439" i="8"/>
  <c r="W3439" i="8" s="1"/>
  <c r="V3363" i="8"/>
  <c r="W3363" i="8" s="1"/>
  <c r="V3410" i="8"/>
  <c r="W3410" i="8" s="1"/>
  <c r="V3368" i="8"/>
  <c r="W3368" i="8" s="1"/>
  <c r="V3418" i="8"/>
  <c r="W3418" i="8" s="1"/>
  <c r="V3349" i="8"/>
  <c r="W3349" i="8" s="1"/>
  <c r="V3377" i="8"/>
  <c r="W3377" i="8" s="1"/>
  <c r="V3436" i="8"/>
  <c r="W3436" i="8" s="1"/>
  <c r="V3441" i="8"/>
  <c r="W3441" i="8" s="1"/>
  <c r="V3367" i="8"/>
  <c r="W3367" i="8" s="1"/>
  <c r="V3387" i="8"/>
  <c r="W3387" i="8" s="1"/>
  <c r="V3404" i="8"/>
  <c r="W3404" i="8" s="1"/>
  <c r="V3361" i="8"/>
  <c r="W3361" i="8" s="1"/>
  <c r="V3419" i="8"/>
  <c r="W3419" i="8" s="1"/>
  <c r="V3417" i="8"/>
  <c r="W3417" i="8" s="1"/>
  <c r="V3585" i="8"/>
  <c r="W3585" i="8" s="1"/>
  <c r="V3622" i="8"/>
  <c r="W3622" i="8" s="1"/>
  <c r="V3578" i="8"/>
  <c r="W3578" i="8" s="1"/>
  <c r="V3581" i="8"/>
  <c r="W3581" i="8" s="1"/>
  <c r="V3599" i="8"/>
  <c r="W3599" i="8" s="1"/>
  <c r="V3604" i="8"/>
  <c r="W3604" i="8" s="1"/>
  <c r="V3620" i="8"/>
  <c r="W3620" i="8" s="1"/>
  <c r="V3572" i="8"/>
  <c r="W3572" i="8" s="1"/>
  <c r="V3582" i="8"/>
  <c r="W3582" i="8" s="1"/>
  <c r="V3597" i="8"/>
  <c r="W3597" i="8" s="1"/>
  <c r="V3579" i="8"/>
  <c r="W3579" i="8" s="1"/>
  <c r="V3593" i="8"/>
  <c r="W3593" i="8" s="1"/>
  <c r="V3576" i="8"/>
  <c r="W3576" i="8" s="1"/>
  <c r="V3617" i="8"/>
  <c r="W3617" i="8" s="1"/>
  <c r="V3573" i="8"/>
  <c r="W3573" i="8" s="1"/>
  <c r="V3592" i="8"/>
  <c r="W3592" i="8" s="1"/>
  <c r="V3616" i="8"/>
  <c r="W3616" i="8" s="1"/>
  <c r="V3590" i="8"/>
  <c r="W3590" i="8" s="1"/>
  <c r="V3566" i="8"/>
  <c r="W3566" i="8" s="1"/>
  <c r="V3600" i="8"/>
  <c r="W3600" i="8" s="1"/>
  <c r="V3588" i="8"/>
  <c r="W3588" i="8" s="1"/>
  <c r="V3605" i="8"/>
  <c r="W3605" i="8" s="1"/>
  <c r="V3609" i="8"/>
  <c r="W3609" i="8" s="1"/>
  <c r="V3611" i="8"/>
  <c r="W3611" i="8" s="1"/>
  <c r="V3618" i="8"/>
  <c r="W3618" i="8" s="1"/>
  <c r="V3602" i="8"/>
  <c r="W3602" i="8" s="1"/>
  <c r="V3607" i="8"/>
  <c r="W3607" i="8" s="1"/>
  <c r="V3594" i="8"/>
  <c r="W3594" i="8" s="1"/>
  <c r="V3606" i="8"/>
  <c r="W3606" i="8" s="1"/>
  <c r="V3603" i="8"/>
  <c r="W3603" i="8" s="1"/>
  <c r="V3619" i="8"/>
  <c r="W3619" i="8" s="1"/>
  <c r="V3598" i="8"/>
  <c r="W3598" i="8" s="1"/>
  <c r="V3614" i="8"/>
  <c r="W3614" i="8" s="1"/>
  <c r="V3591" i="8"/>
  <c r="W3591" i="8" s="1"/>
  <c r="V3612" i="8"/>
  <c r="W3612" i="8" s="1"/>
  <c r="V3613" i="8"/>
  <c r="W3613" i="8" s="1"/>
  <c r="V3568" i="8"/>
  <c r="W3568" i="8" s="1"/>
  <c r="V3570" i="8"/>
  <c r="W3570" i="8" s="1"/>
  <c r="V3571" i="8"/>
  <c r="W3571" i="8" s="1"/>
  <c r="V3577" i="8"/>
  <c r="W3577" i="8" s="1"/>
  <c r="V3623" i="8"/>
  <c r="W3623" i="8" s="1"/>
  <c r="V3565" i="8"/>
  <c r="W3565" i="8" s="1"/>
  <c r="V3601" i="8"/>
  <c r="W3601" i="8" s="1"/>
  <c r="V3610" i="8"/>
  <c r="W3610" i="8" s="1"/>
  <c r="V3575" i="8"/>
  <c r="W3575" i="8" s="1"/>
  <c r="V3584" i="8"/>
  <c r="W3584" i="8" s="1"/>
  <c r="V3608" i="8"/>
  <c r="W3608" i="8" s="1"/>
  <c r="V3587" i="8"/>
  <c r="W3587" i="8" s="1"/>
  <c r="V3596" i="8"/>
  <c r="W3596" i="8" s="1"/>
  <c r="V3567" i="8"/>
  <c r="W3567" i="8" s="1"/>
  <c r="V3574" i="8"/>
  <c r="W3574" i="8" s="1"/>
  <c r="V3615" i="8"/>
  <c r="W3615" i="8" s="1"/>
  <c r="V3621" i="8"/>
  <c r="W3621" i="8" s="1"/>
  <c r="V3583" i="8"/>
  <c r="W3583" i="8" s="1"/>
  <c r="V3595" i="8"/>
  <c r="W3595" i="8" s="1"/>
  <c r="V3580" i="8"/>
  <c r="W3580" i="8" s="1"/>
  <c r="V3589" i="8"/>
  <c r="W3589" i="8" s="1"/>
  <c r="V3624" i="8"/>
  <c r="W3624" i="8" s="1"/>
  <c r="V3586" i="8"/>
  <c r="W3586" i="8" s="1"/>
  <c r="V3569" i="8"/>
  <c r="W3569" i="8" s="1"/>
  <c r="V3733" i="8"/>
  <c r="W3733" i="8" s="1"/>
  <c r="V3646" i="8"/>
  <c r="W3646" i="8" s="1"/>
  <c r="V3698" i="8"/>
  <c r="W3698" i="8" s="1"/>
  <c r="V3708" i="8"/>
  <c r="W3708" i="8" s="1"/>
  <c r="V3697" i="8"/>
  <c r="W3697" i="8" s="1"/>
  <c r="V3629" i="8"/>
  <c r="W3629" i="8" s="1"/>
  <c r="V3683" i="8"/>
  <c r="W3683" i="8" s="1"/>
  <c r="V3662" i="8"/>
  <c r="W3662" i="8" s="1"/>
  <c r="V3710" i="8"/>
  <c r="W3710" i="8" s="1"/>
  <c r="V3749" i="8"/>
  <c r="W3749" i="8" s="1"/>
  <c r="V3736" i="8"/>
  <c r="W3736" i="8" s="1"/>
  <c r="V3755" i="8"/>
  <c r="W3755" i="8" s="1"/>
  <c r="V3725" i="8"/>
  <c r="W3725" i="8" s="1"/>
  <c r="V3669" i="8"/>
  <c r="W3669" i="8" s="1"/>
  <c r="V3721" i="8"/>
  <c r="W3721" i="8" s="1"/>
  <c r="V3690" i="8"/>
  <c r="W3690" i="8" s="1"/>
  <c r="V3658" i="8"/>
  <c r="W3658" i="8" s="1"/>
  <c r="V3637" i="8"/>
  <c r="W3637" i="8" s="1"/>
  <c r="V3707" i="8"/>
  <c r="W3707" i="8" s="1"/>
  <c r="V3659" i="8"/>
  <c r="W3659" i="8" s="1"/>
  <c r="V3687" i="8"/>
  <c r="W3687" i="8" s="1"/>
  <c r="V3695" i="8"/>
  <c r="W3695" i="8" s="1"/>
  <c r="V3743" i="8"/>
  <c r="W3743" i="8" s="1"/>
  <c r="V3657" i="8"/>
  <c r="W3657" i="8" s="1"/>
  <c r="V3728" i="8"/>
  <c r="W3728" i="8" s="1"/>
  <c r="V3654" i="8"/>
  <c r="W3654" i="8" s="1"/>
  <c r="V3765" i="8"/>
  <c r="W3765" i="8" s="1"/>
  <c r="V3632" i="8"/>
  <c r="W3632" i="8" s="1"/>
  <c r="V3719" i="8"/>
  <c r="W3719" i="8" s="1"/>
  <c r="V3716" i="8"/>
  <c r="W3716" i="8" s="1"/>
  <c r="V3652" i="8"/>
  <c r="W3652" i="8" s="1"/>
  <c r="V3628" i="8"/>
  <c r="W3628" i="8" s="1"/>
  <c r="V3742" i="8"/>
  <c r="W3742" i="8" s="1"/>
  <c r="V3671" i="8"/>
  <c r="W3671" i="8" s="1"/>
  <c r="V3642" i="8"/>
  <c r="W3642" i="8" s="1"/>
  <c r="V3726" i="8"/>
  <c r="W3726" i="8" s="1"/>
  <c r="V3643" i="8"/>
  <c r="W3643" i="8" s="1"/>
  <c r="V3734" i="8"/>
  <c r="W3734" i="8" s="1"/>
  <c r="V3731" i="8"/>
  <c r="W3731" i="8" s="1"/>
  <c r="V3757" i="8"/>
  <c r="W3757" i="8" s="1"/>
  <c r="V3727" i="8"/>
  <c r="W3727" i="8" s="1"/>
  <c r="V3748" i="8"/>
  <c r="W3748" i="8" s="1"/>
  <c r="V3686" i="8"/>
  <c r="W3686" i="8" s="1"/>
  <c r="V3766" i="8"/>
  <c r="W3766" i="8" s="1"/>
  <c r="V3673" i="8"/>
  <c r="W3673" i="8" s="1"/>
  <c r="V3720" i="8"/>
  <c r="W3720" i="8" s="1"/>
  <c r="V3630" i="8"/>
  <c r="W3630" i="8" s="1"/>
  <c r="V3761" i="8"/>
  <c r="W3761" i="8" s="1"/>
  <c r="V3656" i="8"/>
  <c r="W3656" i="8" s="1"/>
  <c r="V3706" i="8"/>
  <c r="W3706" i="8" s="1"/>
  <c r="V3688" i="8"/>
  <c r="W3688" i="8" s="1"/>
  <c r="V3625" i="8"/>
  <c r="W3625" i="8" s="1"/>
  <c r="V3702" i="8"/>
  <c r="W3702" i="8" s="1"/>
  <c r="V3764" i="8"/>
  <c r="W3764" i="8" s="1"/>
  <c r="V3666" i="8"/>
  <c r="W3666" i="8" s="1"/>
  <c r="V3717" i="8"/>
  <c r="W3717" i="8" s="1"/>
  <c r="V3635" i="8"/>
  <c r="W3635" i="8" s="1"/>
  <c r="V3737" i="8"/>
  <c r="W3737" i="8" s="1"/>
  <c r="V3685" i="8"/>
  <c r="W3685" i="8" s="1"/>
  <c r="V3772" i="8"/>
  <c r="W3772" i="8" s="1"/>
  <c r="V3677" i="8"/>
  <c r="W3677" i="8" s="1"/>
  <c r="V3775" i="8"/>
  <c r="W3775" i="8" s="1"/>
  <c r="V3763" i="8"/>
  <c r="W3763" i="8" s="1"/>
  <c r="V3753" i="8"/>
  <c r="W3753" i="8" s="1"/>
  <c r="V3718" i="8"/>
  <c r="W3718" i="8" s="1"/>
  <c r="V3631" i="8"/>
  <c r="W3631" i="8" s="1"/>
  <c r="V3745" i="8"/>
  <c r="W3745" i="8" s="1"/>
  <c r="V3700" i="8"/>
  <c r="W3700" i="8" s="1"/>
  <c r="V3773" i="8"/>
  <c r="W3773" i="8" s="1"/>
  <c r="V3752" i="8"/>
  <c r="W3752" i="8" s="1"/>
  <c r="V3732" i="8"/>
  <c r="W3732" i="8" s="1"/>
  <c r="V3769" i="8"/>
  <c r="W3769" i="8" s="1"/>
  <c r="V3681" i="8"/>
  <c r="W3681" i="8" s="1"/>
  <c r="V3648" i="8"/>
  <c r="W3648" i="8" s="1"/>
  <c r="V3709" i="8"/>
  <c r="W3709" i="8" s="1"/>
  <c r="V3640" i="8"/>
  <c r="W3640" i="8" s="1"/>
  <c r="V3729" i="8"/>
  <c r="W3729" i="8" s="1"/>
  <c r="V3711" i="8"/>
  <c r="W3711" i="8" s="1"/>
  <c r="V3770" i="8"/>
  <c r="W3770" i="8" s="1"/>
  <c r="V3660" i="8"/>
  <c r="W3660" i="8" s="1"/>
  <c r="V3679" i="8"/>
  <c r="W3679" i="8" s="1"/>
  <c r="V3722" i="8"/>
  <c r="W3722" i="8" s="1"/>
  <c r="V3634" i="8"/>
  <c r="W3634" i="8" s="1"/>
  <c r="V3682" i="8"/>
  <c r="W3682" i="8" s="1"/>
  <c r="V3676" i="8"/>
  <c r="W3676" i="8" s="1"/>
  <c r="V3650" i="8"/>
  <c r="W3650" i="8" s="1"/>
  <c r="V3633" i="8"/>
  <c r="W3633" i="8" s="1"/>
  <c r="V3739" i="8"/>
  <c r="W3739" i="8" s="1"/>
  <c r="V3767" i="8"/>
  <c r="W3767" i="8" s="1"/>
  <c r="V3713" i="8"/>
  <c r="W3713" i="8" s="1"/>
  <c r="V3678" i="8"/>
  <c r="W3678" i="8" s="1"/>
  <c r="V3724" i="8"/>
  <c r="W3724" i="8" s="1"/>
  <c r="V3740" i="8"/>
  <c r="W3740" i="8" s="1"/>
  <c r="V3701" i="8"/>
  <c r="W3701" i="8" s="1"/>
  <c r="V3667" i="8"/>
  <c r="W3667" i="8" s="1"/>
  <c r="V3649" i="8"/>
  <c r="W3649" i="8" s="1"/>
  <c r="V3741" i="8"/>
  <c r="W3741" i="8" s="1"/>
  <c r="V3651" i="8"/>
  <c r="W3651" i="8" s="1"/>
  <c r="V3714" i="8"/>
  <c r="W3714" i="8" s="1"/>
  <c r="V3715" i="8"/>
  <c r="W3715" i="8" s="1"/>
  <c r="V3760" i="8"/>
  <c r="W3760" i="8" s="1"/>
  <c r="V3735" i="8"/>
  <c r="W3735" i="8" s="1"/>
  <c r="V3670" i="8"/>
  <c r="W3670" i="8" s="1"/>
  <c r="V3699" i="8"/>
  <c r="W3699" i="8" s="1"/>
  <c r="V3738" i="8"/>
  <c r="W3738" i="8" s="1"/>
  <c r="V3636" i="8"/>
  <c r="W3636" i="8" s="1"/>
  <c r="V3771" i="8"/>
  <c r="W3771" i="8" s="1"/>
  <c r="V3665" i="8"/>
  <c r="W3665" i="8" s="1"/>
  <c r="V3756" i="8"/>
  <c r="W3756" i="8" s="1"/>
  <c r="V3744" i="8"/>
  <c r="W3744" i="8" s="1"/>
  <c r="V3680" i="8"/>
  <c r="W3680" i="8" s="1"/>
  <c r="V3694" i="8"/>
  <c r="W3694" i="8" s="1"/>
  <c r="V3758" i="8"/>
  <c r="W3758" i="8" s="1"/>
  <c r="V3762" i="8"/>
  <c r="W3762" i="8" s="1"/>
  <c r="V3705" i="8"/>
  <c r="W3705" i="8" s="1"/>
  <c r="V3712" i="8"/>
  <c r="W3712" i="8" s="1"/>
  <c r="V3645" i="8"/>
  <c r="W3645" i="8" s="1"/>
  <c r="V3704" i="8"/>
  <c r="W3704" i="8" s="1"/>
  <c r="V3746" i="8"/>
  <c r="W3746" i="8" s="1"/>
  <c r="V3627" i="8"/>
  <c r="W3627" i="8" s="1"/>
  <c r="V3684" i="8"/>
  <c r="W3684" i="8" s="1"/>
  <c r="V3754" i="8"/>
  <c r="W3754" i="8" s="1"/>
  <c r="V3641" i="8"/>
  <c r="W3641" i="8" s="1"/>
  <c r="V3730" i="8"/>
  <c r="W3730" i="8" s="1"/>
  <c r="V3644" i="8"/>
  <c r="W3644" i="8" s="1"/>
  <c r="V3691" i="8"/>
  <c r="W3691" i="8" s="1"/>
  <c r="V3723" i="8"/>
  <c r="W3723" i="8" s="1"/>
  <c r="V3675" i="8"/>
  <c r="W3675" i="8" s="1"/>
  <c r="V3647" i="8"/>
  <c r="W3647" i="8" s="1"/>
  <c r="V3672" i="8"/>
  <c r="W3672" i="8" s="1"/>
  <c r="V3689" i="8"/>
  <c r="W3689" i="8" s="1"/>
  <c r="V3639" i="8"/>
  <c r="W3639" i="8" s="1"/>
  <c r="V3692" i="8"/>
  <c r="W3692" i="8" s="1"/>
  <c r="V3774" i="8"/>
  <c r="W3774" i="8" s="1"/>
  <c r="V3747" i="8"/>
  <c r="W3747" i="8" s="1"/>
  <c r="V3759" i="8"/>
  <c r="W3759" i="8" s="1"/>
  <c r="V3696" i="8"/>
  <c r="W3696" i="8" s="1"/>
  <c r="V3653" i="8"/>
  <c r="W3653" i="8" s="1"/>
  <c r="V3703" i="8"/>
  <c r="W3703" i="8" s="1"/>
  <c r="V3655" i="8"/>
  <c r="W3655" i="8" s="1"/>
  <c r="V3664" i="8"/>
  <c r="W3664" i="8" s="1"/>
  <c r="V3750" i="8"/>
  <c r="W3750" i="8" s="1"/>
  <c r="V3663" i="8"/>
  <c r="W3663" i="8" s="1"/>
  <c r="V3668" i="8"/>
  <c r="W3668" i="8" s="1"/>
  <c r="V3638" i="8"/>
  <c r="W3638" i="8" s="1"/>
  <c r="V3626" i="8"/>
  <c r="W3626" i="8" s="1"/>
  <c r="V3674" i="8"/>
  <c r="W3674" i="8" s="1"/>
  <c r="V3693" i="8"/>
  <c r="W3693" i="8" s="1"/>
  <c r="V3768" i="8"/>
  <c r="W3768" i="8" s="1"/>
  <c r="V3751" i="8"/>
  <c r="W3751" i="8" s="1"/>
  <c r="V3661" i="8"/>
  <c r="W3661" i="8" s="1"/>
  <c r="V3795" i="8"/>
  <c r="W3795" i="8" s="1"/>
  <c r="V3797" i="8"/>
  <c r="W3797" i="8" s="1"/>
  <c r="V3812" i="8"/>
  <c r="W3812" i="8" s="1"/>
  <c r="V3777" i="8"/>
  <c r="W3777" i="8" s="1"/>
  <c r="V3809" i="8"/>
  <c r="W3809" i="8" s="1"/>
  <c r="V3782" i="8"/>
  <c r="W3782" i="8" s="1"/>
  <c r="V3820" i="8"/>
  <c r="W3820" i="8" s="1"/>
  <c r="V3817" i="8"/>
  <c r="W3817" i="8" s="1"/>
  <c r="V3805" i="8"/>
  <c r="W3805" i="8" s="1"/>
  <c r="V3814" i="8"/>
  <c r="W3814" i="8" s="1"/>
  <c r="V3818" i="8"/>
  <c r="W3818" i="8" s="1"/>
  <c r="V3791" i="8"/>
  <c r="W3791" i="8" s="1"/>
  <c r="V3806" i="8"/>
  <c r="W3806" i="8" s="1"/>
  <c r="V3781" i="8"/>
  <c r="W3781" i="8" s="1"/>
  <c r="V3783" i="8"/>
  <c r="W3783" i="8" s="1"/>
  <c r="V3807" i="8"/>
  <c r="W3807" i="8" s="1"/>
  <c r="V3796" i="8"/>
  <c r="W3796" i="8" s="1"/>
  <c r="V3798" i="8"/>
  <c r="W3798" i="8" s="1"/>
  <c r="V3779" i="8"/>
  <c r="W3779" i="8" s="1"/>
  <c r="V3819" i="8"/>
  <c r="W3819" i="8" s="1"/>
  <c r="V3816" i="8"/>
  <c r="W3816" i="8" s="1"/>
  <c r="V3786" i="8"/>
  <c r="W3786" i="8" s="1"/>
  <c r="V3794" i="8"/>
  <c r="W3794" i="8" s="1"/>
  <c r="V3789" i="8"/>
  <c r="W3789" i="8" s="1"/>
  <c r="V3804" i="8"/>
  <c r="W3804" i="8" s="1"/>
  <c r="V3823" i="8"/>
  <c r="W3823" i="8" s="1"/>
  <c r="V3802" i="8"/>
  <c r="W3802" i="8" s="1"/>
  <c r="V3780" i="8"/>
  <c r="W3780" i="8" s="1"/>
  <c r="V3788" i="8"/>
  <c r="W3788" i="8" s="1"/>
  <c r="V3790" i="8"/>
  <c r="W3790" i="8" s="1"/>
  <c r="V3792" i="8"/>
  <c r="W3792" i="8" s="1"/>
  <c r="V3776" i="8"/>
  <c r="W3776" i="8" s="1"/>
  <c r="V3793" i="8"/>
  <c r="W3793" i="8" s="1"/>
  <c r="V3785" i="8"/>
  <c r="W3785" i="8" s="1"/>
  <c r="V3813" i="8"/>
  <c r="W3813" i="8" s="1"/>
  <c r="V3801" i="8"/>
  <c r="W3801" i="8" s="1"/>
  <c r="V3822" i="8"/>
  <c r="W3822" i="8" s="1"/>
  <c r="V3778" i="8"/>
  <c r="W3778" i="8" s="1"/>
  <c r="V3803" i="8"/>
  <c r="W3803" i="8" s="1"/>
  <c r="V3811" i="8"/>
  <c r="W3811" i="8" s="1"/>
  <c r="V3800" i="8"/>
  <c r="W3800" i="8" s="1"/>
  <c r="V3808" i="8"/>
  <c r="W3808" i="8" s="1"/>
  <c r="V3787" i="8"/>
  <c r="W3787" i="8" s="1"/>
  <c r="V3799" i="8"/>
  <c r="W3799" i="8" s="1"/>
  <c r="V3810" i="8"/>
  <c r="W3810" i="8" s="1"/>
  <c r="V3821" i="8"/>
  <c r="W3821" i="8" s="1"/>
  <c r="V3815" i="8"/>
  <c r="W3815" i="8" s="1"/>
  <c r="V3784" i="8"/>
  <c r="W3784" i="8" s="1"/>
  <c r="V3549" i="8"/>
  <c r="W3549" i="8" s="1"/>
  <c r="V3539" i="8"/>
  <c r="W3539" i="8" s="1"/>
  <c r="V3522" i="8"/>
  <c r="W3522" i="8" s="1"/>
  <c r="V3559" i="8"/>
  <c r="W3559" i="8" s="1"/>
  <c r="V3524" i="8"/>
  <c r="W3524" i="8" s="1"/>
  <c r="V3501" i="8"/>
  <c r="W3501" i="8" s="1"/>
  <c r="V3557" i="8"/>
  <c r="W3557" i="8" s="1"/>
  <c r="V3505" i="8"/>
  <c r="W3505" i="8" s="1"/>
  <c r="V3493" i="8"/>
  <c r="W3493" i="8" s="1"/>
  <c r="V3499" i="8"/>
  <c r="W3499" i="8" s="1"/>
  <c r="V3552" i="8"/>
  <c r="W3552" i="8" s="1"/>
  <c r="V3519" i="8"/>
  <c r="W3519" i="8" s="1"/>
  <c r="V3504" i="8"/>
  <c r="W3504" i="8" s="1"/>
  <c r="V3480" i="8"/>
  <c r="W3480" i="8" s="1"/>
  <c r="V3543" i="8"/>
  <c r="W3543" i="8" s="1"/>
  <c r="V3479" i="8"/>
  <c r="W3479" i="8" s="1"/>
  <c r="V3490" i="8"/>
  <c r="W3490" i="8" s="1"/>
  <c r="V3551" i="8"/>
  <c r="W3551" i="8" s="1"/>
  <c r="V3528" i="8"/>
  <c r="W3528" i="8" s="1"/>
  <c r="V3540" i="8"/>
  <c r="W3540" i="8" s="1"/>
  <c r="V3527" i="8"/>
  <c r="W3527" i="8" s="1"/>
  <c r="V3507" i="8"/>
  <c r="W3507" i="8" s="1"/>
  <c r="V3560" i="8"/>
  <c r="W3560" i="8" s="1"/>
  <c r="V3523" i="8"/>
  <c r="W3523" i="8" s="1"/>
  <c r="V3550" i="8"/>
  <c r="W3550" i="8" s="1"/>
  <c r="V3532" i="8"/>
  <c r="W3532" i="8" s="1"/>
  <c r="V3468" i="8"/>
  <c r="W3468" i="8" s="1"/>
  <c r="V3564" i="8"/>
  <c r="W3564" i="8" s="1"/>
  <c r="V3509" i="8"/>
  <c r="W3509" i="8" s="1"/>
  <c r="V3514" i="8"/>
  <c r="W3514" i="8" s="1"/>
  <c r="V3517" i="8"/>
  <c r="W3517" i="8" s="1"/>
  <c r="V3492" i="8"/>
  <c r="W3492" i="8" s="1"/>
  <c r="V3547" i="8"/>
  <c r="W3547" i="8" s="1"/>
  <c r="V3497" i="8"/>
  <c r="W3497" i="8" s="1"/>
  <c r="V3462" i="8"/>
  <c r="W3462" i="8" s="1"/>
  <c r="V3482" i="8"/>
  <c r="W3482" i="8" s="1"/>
  <c r="V3515" i="8"/>
  <c r="W3515" i="8" s="1"/>
  <c r="V3535" i="8"/>
  <c r="W3535" i="8" s="1"/>
  <c r="V3489" i="8"/>
  <c r="W3489" i="8" s="1"/>
  <c r="V3460" i="8"/>
  <c r="W3460" i="8" s="1"/>
  <c r="V3513" i="8"/>
  <c r="W3513" i="8" s="1"/>
  <c r="V3488" i="8"/>
  <c r="W3488" i="8" s="1"/>
  <c r="V3461" i="8"/>
  <c r="W3461" i="8" s="1"/>
  <c r="V3495" i="8"/>
  <c r="W3495" i="8" s="1"/>
  <c r="V3558" i="8"/>
  <c r="W3558" i="8" s="1"/>
  <c r="V3511" i="8"/>
  <c r="W3511" i="8" s="1"/>
  <c r="V3485" i="8"/>
  <c r="W3485" i="8" s="1"/>
  <c r="V3512" i="8"/>
  <c r="W3512" i="8" s="1"/>
  <c r="V3491" i="8"/>
  <c r="W3491" i="8" s="1"/>
  <c r="V3521" i="8"/>
  <c r="W3521" i="8" s="1"/>
  <c r="V3518" i="8"/>
  <c r="W3518" i="8" s="1"/>
  <c r="V3516" i="8"/>
  <c r="W3516" i="8" s="1"/>
  <c r="V3473" i="8"/>
  <c r="W3473" i="8" s="1"/>
  <c r="V3465" i="8"/>
  <c r="W3465" i="8" s="1"/>
  <c r="V3494" i="8"/>
  <c r="W3494" i="8" s="1"/>
  <c r="V3538" i="8"/>
  <c r="W3538" i="8" s="1"/>
  <c r="V3484" i="8"/>
  <c r="W3484" i="8" s="1"/>
  <c r="V3561" i="8"/>
  <c r="W3561" i="8" s="1"/>
  <c r="V3469" i="8"/>
  <c r="W3469" i="8" s="1"/>
  <c r="V3555" i="8"/>
  <c r="W3555" i="8" s="1"/>
  <c r="V3533" i="8"/>
  <c r="W3533" i="8" s="1"/>
  <c r="V3472" i="8"/>
  <c r="W3472" i="8" s="1"/>
  <c r="V3463" i="8"/>
  <c r="W3463" i="8" s="1"/>
  <c r="V3498" i="8"/>
  <c r="W3498" i="8" s="1"/>
  <c r="V3477" i="8"/>
  <c r="W3477" i="8" s="1"/>
  <c r="V3471" i="8"/>
  <c r="W3471" i="8" s="1"/>
  <c r="V3554" i="8"/>
  <c r="W3554" i="8" s="1"/>
  <c r="V3470" i="8"/>
  <c r="W3470" i="8" s="1"/>
  <c r="V3481" i="8"/>
  <c r="W3481" i="8" s="1"/>
  <c r="V3562" i="8"/>
  <c r="W3562" i="8" s="1"/>
  <c r="V3476" i="8"/>
  <c r="W3476" i="8" s="1"/>
  <c r="V3546" i="8"/>
  <c r="W3546" i="8" s="1"/>
  <c r="V3502" i="8"/>
  <c r="W3502" i="8" s="1"/>
  <c r="V3536" i="8"/>
  <c r="W3536" i="8" s="1"/>
  <c r="V3464" i="8"/>
  <c r="W3464" i="8" s="1"/>
  <c r="V3545" i="8"/>
  <c r="W3545" i="8" s="1"/>
  <c r="V3563" i="8"/>
  <c r="W3563" i="8" s="1"/>
  <c r="V3537" i="8"/>
  <c r="W3537" i="8" s="1"/>
  <c r="V3534" i="8"/>
  <c r="W3534" i="8" s="1"/>
  <c r="V3503" i="8"/>
  <c r="W3503" i="8" s="1"/>
  <c r="V3531" i="8"/>
  <c r="W3531" i="8" s="1"/>
  <c r="V3474" i="8"/>
  <c r="W3474" i="8" s="1"/>
  <c r="V3487" i="8"/>
  <c r="W3487" i="8" s="1"/>
  <c r="V3500" i="8"/>
  <c r="W3500" i="8" s="1"/>
  <c r="V3510" i="8"/>
  <c r="W3510" i="8" s="1"/>
  <c r="V3508" i="8"/>
  <c r="W3508" i="8" s="1"/>
  <c r="V3391" i="8"/>
  <c r="W3391" i="8" s="1"/>
  <c r="V3394" i="8"/>
  <c r="W3394" i="8" s="1"/>
  <c r="V3374" i="8"/>
  <c r="W3374" i="8" s="1"/>
  <c r="V3427" i="8"/>
  <c r="W3427" i="8" s="1"/>
  <c r="V3425" i="8"/>
  <c r="W3425" i="8" s="1"/>
  <c r="V3380" i="8"/>
  <c r="W3380" i="8" s="1"/>
  <c r="V3373" i="8"/>
  <c r="W3373" i="8" s="1"/>
  <c r="V3400" i="8"/>
  <c r="W3400" i="8" s="1"/>
  <c r="V3369" i="8"/>
  <c r="W3369" i="8" s="1"/>
  <c r="V3409" i="8"/>
  <c r="W3409" i="8" s="1"/>
  <c r="V3351" i="8"/>
  <c r="W3351" i="8" s="1"/>
  <c r="V3372" i="8"/>
  <c r="W3372" i="8" s="1"/>
  <c r="V3371" i="8"/>
  <c r="W3371" i="8" s="1"/>
  <c r="V3355" i="8"/>
  <c r="W3355" i="8" s="1"/>
  <c r="V3437" i="8"/>
  <c r="W3437" i="8" s="1"/>
  <c r="V3370" i="8"/>
  <c r="W3370" i="8" s="1"/>
  <c r="V3365" i="8"/>
  <c r="W3365" i="8" s="1"/>
  <c r="V3420" i="8"/>
  <c r="W3420" i="8" s="1"/>
  <c r="V3450" i="8"/>
  <c r="W3450" i="8" s="1"/>
  <c r="V3447" i="8"/>
  <c r="W3447" i="8" s="1"/>
  <c r="V3438" i="8"/>
  <c r="W3438" i="8" s="1"/>
  <c r="V3398" i="8"/>
  <c r="W3398" i="8" s="1"/>
  <c r="V3353" i="8"/>
  <c r="W3353" i="8" s="1"/>
  <c r="V3453" i="8"/>
  <c r="W3453" i="8" s="1"/>
  <c r="V3397" i="8"/>
  <c r="W3397" i="8" s="1"/>
  <c r="V3357" i="8"/>
  <c r="W3357" i="8" s="1"/>
  <c r="V3378" i="8"/>
  <c r="W3378" i="8" s="1"/>
  <c r="V3406" i="8"/>
  <c r="W3406" i="8" s="1"/>
  <c r="V3354" i="8"/>
  <c r="W3354" i="8" s="1"/>
  <c r="V3358" i="8"/>
  <c r="W3358" i="8" s="1"/>
  <c r="V3366" i="8"/>
  <c r="W3366" i="8" s="1"/>
  <c r="V3360" i="8"/>
  <c r="W3360" i="8" s="1"/>
  <c r="V3416" i="8"/>
  <c r="W3416" i="8" s="1"/>
  <c r="V3412" i="8"/>
  <c r="W3412" i="8" s="1"/>
  <c r="V3457" i="8"/>
  <c r="W3457" i="8" s="1"/>
  <c r="V3362" i="8"/>
  <c r="W3362" i="8" s="1"/>
  <c r="V3440" i="8"/>
  <c r="W3440" i="8" s="1"/>
  <c r="V3399" i="8"/>
  <c r="W3399" i="8" s="1"/>
  <c r="V3415" i="8"/>
  <c r="W3415" i="8" s="1"/>
  <c r="V3413" i="8"/>
  <c r="W3413" i="8" s="1"/>
  <c r="V3393" i="8"/>
  <c r="W3393" i="8" s="1"/>
  <c r="V3348" i="8"/>
  <c r="W3348" i="8" s="1"/>
  <c r="V3458" i="8"/>
  <c r="W3458" i="8" s="1"/>
  <c r="V3444" i="8"/>
  <c r="W3444" i="8" s="1"/>
  <c r="V3431" i="8"/>
  <c r="W3431" i="8" s="1"/>
  <c r="V3424" i="8"/>
  <c r="W3424" i="8" s="1"/>
  <c r="V3384" i="8"/>
  <c r="W3384" i="8" s="1"/>
  <c r="V3454" i="8"/>
  <c r="W3454" i="8" s="1"/>
  <c r="V3423" i="8"/>
  <c r="W3423" i="8" s="1"/>
  <c r="V3414" i="8"/>
  <c r="W3414" i="8" s="1"/>
  <c r="V3405" i="8"/>
  <c r="W3405" i="8" s="1"/>
  <c r="V3411" i="8"/>
  <c r="W3411" i="8" s="1"/>
  <c r="V3426" i="8"/>
  <c r="W3426" i="8" s="1"/>
  <c r="V3376" i="8"/>
  <c r="W3376" i="8" s="1"/>
  <c r="V3347" i="8"/>
  <c r="W3347" i="8" s="1"/>
  <c r="V3435" i="8"/>
  <c r="W3435" i="8" s="1"/>
  <c r="V3388" i="8"/>
  <c r="W3388" i="8" s="1"/>
  <c r="V266" i="8"/>
  <c r="N7" i="9" l="1"/>
  <c r="P7" i="9"/>
  <c r="A3" i="11"/>
  <c r="B3" i="11"/>
  <c r="C3" i="11"/>
  <c r="A4" i="11"/>
  <c r="B4" i="11"/>
  <c r="C4" i="11"/>
  <c r="A5" i="11"/>
  <c r="B5" i="11"/>
  <c r="C5" i="11"/>
  <c r="A6" i="11"/>
  <c r="B6" i="11"/>
  <c r="C6" i="11"/>
  <c r="A7" i="11"/>
  <c r="B7" i="11"/>
  <c r="C7" i="11"/>
  <c r="A8" i="11"/>
  <c r="B8" i="11"/>
  <c r="C8" i="11"/>
  <c r="A9" i="11"/>
  <c r="B9" i="11"/>
  <c r="C9" i="11"/>
  <c r="A10" i="11"/>
  <c r="B10" i="11"/>
  <c r="C10" i="11"/>
  <c r="A11" i="11"/>
  <c r="B11" i="11"/>
  <c r="C11" i="11"/>
  <c r="A12" i="11"/>
  <c r="B12" i="11"/>
  <c r="C12" i="11"/>
  <c r="A13" i="11"/>
  <c r="B13" i="11"/>
  <c r="C13" i="11"/>
  <c r="A14" i="11"/>
  <c r="B14" i="11"/>
  <c r="C14" i="11"/>
  <c r="A15" i="11"/>
  <c r="B15" i="11"/>
  <c r="C15" i="11"/>
  <c r="A16" i="11"/>
  <c r="B16" i="11"/>
  <c r="C16" i="11"/>
  <c r="A17" i="11"/>
  <c r="B17" i="11"/>
  <c r="C17" i="11"/>
  <c r="A18" i="11"/>
  <c r="B18" i="11"/>
  <c r="C18" i="11"/>
  <c r="A19" i="11"/>
  <c r="B19" i="11"/>
  <c r="C19" i="11"/>
  <c r="A20" i="11"/>
  <c r="B20" i="11"/>
  <c r="C20" i="11"/>
  <c r="A21" i="11"/>
  <c r="B21" i="11"/>
  <c r="C21" i="11"/>
  <c r="A22" i="11"/>
  <c r="B22" i="11"/>
  <c r="C22" i="11"/>
  <c r="A23" i="11"/>
  <c r="B23" i="11"/>
  <c r="C23" i="11"/>
  <c r="A24" i="11"/>
  <c r="B24" i="11"/>
  <c r="C24" i="11"/>
  <c r="A25" i="11"/>
  <c r="B25" i="11"/>
  <c r="C25" i="11"/>
  <c r="A26" i="11"/>
  <c r="B26" i="11"/>
  <c r="C26" i="11"/>
  <c r="A27" i="11"/>
  <c r="B27" i="11"/>
  <c r="C27" i="11"/>
  <c r="A28" i="11"/>
  <c r="B28" i="11"/>
  <c r="C28" i="11"/>
  <c r="A29" i="11"/>
  <c r="B29" i="11"/>
  <c r="C29" i="11"/>
  <c r="A30" i="11"/>
  <c r="B30" i="11"/>
  <c r="C30" i="11"/>
  <c r="A31" i="11"/>
  <c r="B31" i="11"/>
  <c r="C31" i="11"/>
  <c r="A32" i="11"/>
  <c r="B32" i="11"/>
  <c r="C32" i="11"/>
  <c r="A33" i="11"/>
  <c r="B33" i="11"/>
  <c r="C33" i="11"/>
  <c r="A34" i="11"/>
  <c r="B34" i="11"/>
  <c r="C34" i="11"/>
  <c r="A35" i="11"/>
  <c r="B35" i="11"/>
  <c r="C35" i="11"/>
  <c r="A36" i="11"/>
  <c r="B36" i="11"/>
  <c r="C36" i="11"/>
  <c r="A37" i="11"/>
  <c r="B37" i="11"/>
  <c r="C37" i="11"/>
  <c r="A38" i="11"/>
  <c r="B38" i="11"/>
  <c r="C38" i="11"/>
  <c r="A39" i="11"/>
  <c r="B39" i="11"/>
  <c r="C39" i="11"/>
  <c r="A40" i="11"/>
  <c r="B40" i="11"/>
  <c r="C40" i="11"/>
  <c r="A41" i="11"/>
  <c r="B41" i="11"/>
  <c r="C41" i="11"/>
  <c r="A42" i="11"/>
  <c r="B42" i="11"/>
  <c r="C42" i="11"/>
  <c r="A43" i="11"/>
  <c r="B43" i="11"/>
  <c r="C43" i="11"/>
  <c r="A44" i="11"/>
  <c r="B44" i="11"/>
  <c r="C44" i="11"/>
  <c r="A45" i="11"/>
  <c r="B45" i="11"/>
  <c r="C45" i="11"/>
  <c r="A46" i="11"/>
  <c r="B46" i="11"/>
  <c r="C46" i="11"/>
  <c r="A47" i="11"/>
  <c r="B47" i="11"/>
  <c r="C47" i="11"/>
  <c r="A48" i="11"/>
  <c r="B48" i="11"/>
  <c r="C48" i="11"/>
  <c r="A49" i="11"/>
  <c r="B49" i="11"/>
  <c r="C49" i="11"/>
  <c r="A50" i="11"/>
  <c r="B50" i="11"/>
  <c r="C50" i="11"/>
  <c r="A51" i="11"/>
  <c r="B51" i="11"/>
  <c r="C51" i="11"/>
  <c r="A52" i="11"/>
  <c r="B52" i="11"/>
  <c r="C52" i="11"/>
  <c r="A53" i="11"/>
  <c r="B53" i="11"/>
  <c r="C53" i="11"/>
  <c r="A54" i="11"/>
  <c r="B54" i="11"/>
  <c r="C54" i="11"/>
  <c r="A55" i="11"/>
  <c r="B55" i="11"/>
  <c r="C55" i="11"/>
  <c r="A56" i="11"/>
  <c r="B56" i="11"/>
  <c r="C56" i="11"/>
  <c r="A57" i="11"/>
  <c r="B57" i="11"/>
  <c r="C57" i="11"/>
  <c r="A58" i="11"/>
  <c r="B58" i="11"/>
  <c r="C58" i="11"/>
  <c r="A59" i="11"/>
  <c r="B59" i="11"/>
  <c r="C59" i="11"/>
  <c r="A60" i="11"/>
  <c r="B60" i="11"/>
  <c r="C60" i="11"/>
  <c r="A61" i="11"/>
  <c r="B61" i="11"/>
  <c r="C61" i="11"/>
  <c r="A62" i="11"/>
  <c r="B62" i="11"/>
  <c r="C62" i="11"/>
  <c r="A63" i="11"/>
  <c r="B63" i="11"/>
  <c r="C63" i="11"/>
  <c r="A64" i="11"/>
  <c r="B64" i="11"/>
  <c r="C64" i="11"/>
  <c r="A65" i="11"/>
  <c r="B65" i="11"/>
  <c r="C65" i="11"/>
  <c r="A66" i="11"/>
  <c r="B66" i="11"/>
  <c r="C66" i="11"/>
  <c r="A67" i="11"/>
  <c r="B67" i="11"/>
  <c r="C67" i="11"/>
  <c r="A68" i="11"/>
  <c r="B68" i="11"/>
  <c r="C68" i="11"/>
  <c r="A69" i="11"/>
  <c r="B69" i="11"/>
  <c r="C69" i="11"/>
  <c r="A70" i="11"/>
  <c r="B70" i="11"/>
  <c r="C70" i="11"/>
  <c r="A71" i="11"/>
  <c r="B71" i="11"/>
  <c r="C71" i="11"/>
  <c r="A72" i="11"/>
  <c r="B72" i="11"/>
  <c r="C72" i="11"/>
  <c r="A73" i="11"/>
  <c r="B73" i="11"/>
  <c r="C73" i="11"/>
  <c r="A74" i="11"/>
  <c r="B74" i="11"/>
  <c r="C74" i="11"/>
  <c r="A75" i="11"/>
  <c r="B75" i="11"/>
  <c r="C75" i="11"/>
  <c r="A76" i="11"/>
  <c r="B76" i="11"/>
  <c r="C76" i="11"/>
  <c r="A77" i="11"/>
  <c r="B77" i="11"/>
  <c r="C77" i="11"/>
  <c r="A78" i="11"/>
  <c r="B78" i="11"/>
  <c r="C78" i="11"/>
  <c r="A79" i="11"/>
  <c r="B79" i="11"/>
  <c r="C79" i="11"/>
  <c r="A80" i="11"/>
  <c r="B80" i="11"/>
  <c r="C80" i="11"/>
  <c r="A81" i="11"/>
  <c r="B81" i="11"/>
  <c r="C81" i="11"/>
  <c r="A82" i="11"/>
  <c r="B82" i="11"/>
  <c r="C82" i="11"/>
  <c r="A83" i="11"/>
  <c r="B83" i="11"/>
  <c r="C83" i="11"/>
  <c r="A84" i="11"/>
  <c r="B84" i="11"/>
  <c r="C84" i="11"/>
  <c r="A85" i="11"/>
  <c r="B85" i="11"/>
  <c r="C85" i="11"/>
  <c r="A86" i="11"/>
  <c r="B86" i="11"/>
  <c r="C86" i="11"/>
  <c r="A87" i="11"/>
  <c r="B87" i="11"/>
  <c r="C87" i="11"/>
  <c r="A88" i="11"/>
  <c r="B88" i="11"/>
  <c r="C88" i="11"/>
  <c r="A89" i="11"/>
  <c r="B89" i="11"/>
  <c r="C89" i="11"/>
  <c r="A90" i="11"/>
  <c r="B90" i="11"/>
  <c r="C90" i="11"/>
  <c r="A91" i="11"/>
  <c r="B91" i="11"/>
  <c r="C91" i="11"/>
  <c r="A92" i="11"/>
  <c r="B92" i="11"/>
  <c r="C92" i="11"/>
  <c r="A93" i="11"/>
  <c r="B93" i="11"/>
  <c r="C93" i="11"/>
  <c r="A94" i="11"/>
  <c r="B94" i="11"/>
  <c r="C94" i="11"/>
  <c r="A95" i="11"/>
  <c r="B95" i="11"/>
  <c r="C95" i="11"/>
  <c r="A96" i="11"/>
  <c r="B96" i="11"/>
  <c r="C96" i="11"/>
  <c r="A97" i="11"/>
  <c r="B97" i="11"/>
  <c r="C97" i="11"/>
  <c r="A98" i="11"/>
  <c r="B98" i="11"/>
  <c r="C98" i="11"/>
  <c r="A99" i="11"/>
  <c r="B99" i="11"/>
  <c r="C99" i="11"/>
  <c r="A100" i="11"/>
  <c r="B100" i="11"/>
  <c r="C100" i="11"/>
  <c r="A101" i="11"/>
  <c r="B101" i="11"/>
  <c r="C101" i="11"/>
  <c r="A102" i="11"/>
  <c r="B102" i="11"/>
  <c r="C102" i="11"/>
  <c r="A103" i="11"/>
  <c r="B103" i="11"/>
  <c r="C103" i="11"/>
  <c r="A104" i="11"/>
  <c r="B104" i="11"/>
  <c r="C104" i="11"/>
  <c r="A105" i="11"/>
  <c r="B105" i="11"/>
  <c r="C105" i="11"/>
  <c r="A106" i="11"/>
  <c r="B106" i="11"/>
  <c r="C106" i="11"/>
  <c r="A107" i="11"/>
  <c r="B107" i="11"/>
  <c r="C107" i="11"/>
  <c r="A108" i="11"/>
  <c r="B108" i="11"/>
  <c r="C108" i="11"/>
  <c r="A109" i="11"/>
  <c r="B109" i="11"/>
  <c r="C109" i="11"/>
  <c r="A110" i="11"/>
  <c r="B110" i="11"/>
  <c r="C110" i="11"/>
  <c r="A111" i="11"/>
  <c r="B111" i="11"/>
  <c r="C111" i="11"/>
  <c r="A112" i="11"/>
  <c r="B112" i="11"/>
  <c r="C112" i="11"/>
  <c r="A113" i="11"/>
  <c r="B113" i="11"/>
  <c r="C113" i="11"/>
  <c r="A114" i="11"/>
  <c r="B114" i="11"/>
  <c r="C114" i="11"/>
  <c r="A115" i="11"/>
  <c r="B115" i="11"/>
  <c r="C115" i="11"/>
  <c r="A116" i="11"/>
  <c r="B116" i="11"/>
  <c r="C116" i="11"/>
  <c r="A117" i="11"/>
  <c r="B117" i="11"/>
  <c r="C117" i="11"/>
  <c r="A118" i="11"/>
  <c r="B118" i="11"/>
  <c r="C118" i="11"/>
  <c r="A119" i="11"/>
  <c r="B119" i="11"/>
  <c r="C119" i="11"/>
  <c r="A120" i="11"/>
  <c r="B120" i="11"/>
  <c r="C120" i="11"/>
  <c r="A121" i="11"/>
  <c r="B121" i="11"/>
  <c r="C121" i="11"/>
  <c r="A122" i="11"/>
  <c r="B122" i="11"/>
  <c r="C122" i="11"/>
  <c r="A123" i="11"/>
  <c r="B123" i="11"/>
  <c r="C123" i="11"/>
  <c r="A124" i="11"/>
  <c r="B124" i="11"/>
  <c r="C124" i="11"/>
  <c r="A125" i="11"/>
  <c r="B125" i="11"/>
  <c r="C125" i="11"/>
  <c r="A126" i="11"/>
  <c r="B126" i="11"/>
  <c r="C126" i="11"/>
  <c r="A127" i="11"/>
  <c r="B127" i="11"/>
  <c r="C127" i="11"/>
  <c r="A128" i="11"/>
  <c r="B128" i="11"/>
  <c r="C128" i="11"/>
  <c r="A129" i="11"/>
  <c r="B129" i="11"/>
  <c r="C129" i="11"/>
  <c r="A130" i="11"/>
  <c r="B130" i="11"/>
  <c r="C130" i="11"/>
  <c r="A131" i="11"/>
  <c r="B131" i="11"/>
  <c r="C131" i="11"/>
  <c r="A132" i="11"/>
  <c r="B132" i="11"/>
  <c r="C132" i="11"/>
  <c r="A133" i="11"/>
  <c r="B133" i="11"/>
  <c r="C133" i="11"/>
  <c r="A134" i="11"/>
  <c r="B134" i="11"/>
  <c r="C134" i="11"/>
  <c r="A135" i="11"/>
  <c r="B135" i="11"/>
  <c r="C135" i="11"/>
  <c r="A136" i="11"/>
  <c r="B136" i="11"/>
  <c r="C136" i="11"/>
  <c r="A137" i="11"/>
  <c r="B137" i="11"/>
  <c r="C137" i="11"/>
  <c r="A138" i="11"/>
  <c r="B138" i="11"/>
  <c r="C138" i="11"/>
  <c r="A139" i="11"/>
  <c r="B139" i="11"/>
  <c r="C139" i="11"/>
  <c r="A140" i="11"/>
  <c r="B140" i="11"/>
  <c r="C140" i="11"/>
  <c r="A141" i="11"/>
  <c r="B141" i="11"/>
  <c r="C141" i="11"/>
  <c r="A142" i="11"/>
  <c r="B142" i="11"/>
  <c r="C142" i="11"/>
  <c r="A143" i="11"/>
  <c r="B143" i="11"/>
  <c r="C143" i="11"/>
  <c r="A144" i="11"/>
  <c r="B144" i="11"/>
  <c r="C144" i="11"/>
  <c r="A145" i="11"/>
  <c r="B145" i="11"/>
  <c r="C145" i="11"/>
  <c r="A146" i="11"/>
  <c r="B146" i="11"/>
  <c r="C146" i="11"/>
  <c r="A147" i="11"/>
  <c r="B147" i="11"/>
  <c r="C147" i="11"/>
  <c r="A148" i="11"/>
  <c r="B148" i="11"/>
  <c r="C148" i="11"/>
  <c r="A149" i="11"/>
  <c r="B149" i="11"/>
  <c r="C149" i="11"/>
  <c r="A150" i="11"/>
  <c r="B150" i="11"/>
  <c r="C150" i="11"/>
  <c r="A151" i="11"/>
  <c r="B151" i="11"/>
  <c r="C151" i="11"/>
  <c r="A152" i="11"/>
  <c r="B152" i="11"/>
  <c r="C152" i="11"/>
  <c r="A153" i="11"/>
  <c r="B153" i="11"/>
  <c r="C153" i="11"/>
  <c r="A154" i="11"/>
  <c r="B154" i="11"/>
  <c r="C154" i="11"/>
  <c r="A155" i="11"/>
  <c r="B155" i="11"/>
  <c r="C155" i="11"/>
  <c r="A156" i="11"/>
  <c r="B156" i="11"/>
  <c r="C156" i="11"/>
  <c r="A157" i="11"/>
  <c r="B157" i="11"/>
  <c r="C157" i="11"/>
  <c r="A158" i="11"/>
  <c r="B158" i="11"/>
  <c r="C158" i="11"/>
  <c r="A159" i="11"/>
  <c r="B159" i="11"/>
  <c r="C159" i="11"/>
  <c r="A160" i="11"/>
  <c r="B160" i="11"/>
  <c r="C160" i="11"/>
  <c r="A161" i="11"/>
  <c r="B161" i="11"/>
  <c r="C161" i="11"/>
  <c r="A162" i="11"/>
  <c r="B162" i="11"/>
  <c r="C162" i="11"/>
  <c r="A163" i="11"/>
  <c r="B163" i="11"/>
  <c r="C163" i="11"/>
  <c r="A164" i="11"/>
  <c r="B164" i="11"/>
  <c r="C164" i="11"/>
  <c r="A165" i="11"/>
  <c r="B165" i="11"/>
  <c r="C165" i="11"/>
  <c r="A166" i="11"/>
  <c r="B166" i="11"/>
  <c r="C166" i="11"/>
  <c r="A167" i="11"/>
  <c r="B167" i="11"/>
  <c r="C167" i="11"/>
  <c r="A168" i="11"/>
  <c r="B168" i="11"/>
  <c r="C168" i="11"/>
  <c r="A169" i="11"/>
  <c r="B169" i="11"/>
  <c r="C169" i="11"/>
  <c r="A170" i="11"/>
  <c r="B170" i="11"/>
  <c r="C170" i="11"/>
  <c r="A171" i="11"/>
  <c r="B171" i="11"/>
  <c r="C171" i="11"/>
  <c r="A172" i="11"/>
  <c r="B172" i="11"/>
  <c r="C172" i="11"/>
  <c r="A173" i="11"/>
  <c r="B173" i="11"/>
  <c r="C173" i="11"/>
  <c r="A174" i="11"/>
  <c r="B174" i="11"/>
  <c r="C174" i="11"/>
  <c r="A175" i="11"/>
  <c r="B175" i="11"/>
  <c r="C175" i="11"/>
  <c r="A176" i="11"/>
  <c r="B176" i="11"/>
  <c r="C176" i="11"/>
  <c r="A177" i="11"/>
  <c r="B177" i="11"/>
  <c r="C177" i="11"/>
  <c r="A178" i="11"/>
  <c r="B178" i="11"/>
  <c r="C178" i="11"/>
  <c r="A179" i="11"/>
  <c r="B179" i="11"/>
  <c r="C179" i="11"/>
  <c r="A180" i="11"/>
  <c r="B180" i="11"/>
  <c r="C180" i="11"/>
  <c r="A181" i="11"/>
  <c r="B181" i="11"/>
  <c r="C181" i="11"/>
  <c r="A182" i="11"/>
  <c r="B182" i="11"/>
  <c r="C182" i="11"/>
  <c r="A183" i="11"/>
  <c r="B183" i="11"/>
  <c r="C183" i="11"/>
  <c r="A184" i="11"/>
  <c r="B184" i="11"/>
  <c r="C184" i="11"/>
  <c r="A185" i="11"/>
  <c r="B185" i="11"/>
  <c r="C185" i="11"/>
  <c r="A186" i="11"/>
  <c r="B186" i="11"/>
  <c r="C186" i="11"/>
  <c r="A187" i="11"/>
  <c r="B187" i="11"/>
  <c r="C187" i="11"/>
  <c r="A188" i="11"/>
  <c r="B188" i="11"/>
  <c r="C188" i="11"/>
  <c r="A189" i="11"/>
  <c r="B189" i="11"/>
  <c r="C189" i="11"/>
  <c r="A190" i="11"/>
  <c r="B190" i="11"/>
  <c r="C190" i="11"/>
  <c r="A191" i="11"/>
  <c r="B191" i="11"/>
  <c r="C191" i="11"/>
  <c r="A192" i="11"/>
  <c r="B192" i="11"/>
  <c r="C192" i="11"/>
  <c r="A193" i="11"/>
  <c r="B193" i="11"/>
  <c r="C193" i="11"/>
  <c r="A194" i="11"/>
  <c r="B194" i="11"/>
  <c r="C194" i="11"/>
  <c r="A195" i="11"/>
  <c r="B195" i="11"/>
  <c r="C195" i="11"/>
  <c r="A196" i="11"/>
  <c r="B196" i="11"/>
  <c r="C196" i="11"/>
  <c r="A197" i="11"/>
  <c r="B197" i="11"/>
  <c r="C197" i="11"/>
  <c r="A198" i="11"/>
  <c r="B198" i="11"/>
  <c r="C198" i="11"/>
  <c r="A199" i="11"/>
  <c r="B199" i="11"/>
  <c r="C199" i="11"/>
  <c r="A200" i="11"/>
  <c r="B200" i="11"/>
  <c r="C200" i="11"/>
  <c r="A201" i="11"/>
  <c r="B201" i="11"/>
  <c r="C201" i="11"/>
  <c r="A202" i="11"/>
  <c r="B202" i="11"/>
  <c r="C202" i="11"/>
  <c r="A203" i="11"/>
  <c r="B203" i="11"/>
  <c r="C203" i="11"/>
  <c r="A204" i="11"/>
  <c r="B204" i="11"/>
  <c r="C204" i="11"/>
  <c r="A205" i="11"/>
  <c r="B205" i="11"/>
  <c r="C205" i="11"/>
  <c r="A206" i="11"/>
  <c r="B206" i="11"/>
  <c r="C206" i="11"/>
  <c r="A207" i="11"/>
  <c r="B207" i="11"/>
  <c r="C207" i="11"/>
  <c r="A208" i="11"/>
  <c r="B208" i="11"/>
  <c r="C208" i="11"/>
  <c r="A209" i="11"/>
  <c r="B209" i="11"/>
  <c r="C209" i="11"/>
  <c r="A210" i="11"/>
  <c r="B210" i="11"/>
  <c r="C210" i="11"/>
  <c r="A211" i="11"/>
  <c r="B211" i="11"/>
  <c r="C211" i="11"/>
  <c r="A212" i="11"/>
  <c r="B212" i="11"/>
  <c r="C212" i="11"/>
  <c r="A213" i="11"/>
  <c r="B213" i="11"/>
  <c r="C213" i="11"/>
  <c r="A214" i="11"/>
  <c r="B214" i="11"/>
  <c r="C214" i="11"/>
  <c r="A215" i="11"/>
  <c r="B215" i="11"/>
  <c r="C215" i="11"/>
  <c r="A216" i="11"/>
  <c r="B216" i="11"/>
  <c r="C216" i="11"/>
  <c r="A217" i="11"/>
  <c r="B217" i="11"/>
  <c r="C217" i="11"/>
  <c r="A218" i="11"/>
  <c r="B218" i="11"/>
  <c r="C218" i="11"/>
  <c r="A219" i="11"/>
  <c r="B219" i="11"/>
  <c r="C219" i="11"/>
  <c r="A220" i="11"/>
  <c r="B220" i="11"/>
  <c r="C220" i="11"/>
  <c r="A221" i="11"/>
  <c r="B221" i="11"/>
  <c r="C221" i="11"/>
  <c r="A222" i="11"/>
  <c r="B222" i="11"/>
  <c r="C222" i="11"/>
  <c r="A223" i="11"/>
  <c r="B223" i="11"/>
  <c r="C223" i="11"/>
  <c r="A224" i="11"/>
  <c r="B224" i="11"/>
  <c r="C224" i="11"/>
  <c r="A225" i="11"/>
  <c r="B225" i="11"/>
  <c r="C225" i="11"/>
  <c r="A226" i="11"/>
  <c r="B226" i="11"/>
  <c r="C226" i="11"/>
  <c r="A227" i="11"/>
  <c r="B227" i="11"/>
  <c r="C227" i="11"/>
  <c r="A228" i="11"/>
  <c r="B228" i="11"/>
  <c r="C228" i="11"/>
  <c r="A229" i="11"/>
  <c r="B229" i="11"/>
  <c r="C229" i="11"/>
  <c r="A230" i="11"/>
  <c r="B230" i="11"/>
  <c r="C230" i="11"/>
  <c r="A231" i="11"/>
  <c r="B231" i="11"/>
  <c r="C231" i="11"/>
  <c r="A232" i="11"/>
  <c r="B232" i="11"/>
  <c r="C232" i="11"/>
  <c r="A233" i="11"/>
  <c r="B233" i="11"/>
  <c r="C233" i="11"/>
  <c r="A234" i="11"/>
  <c r="B234" i="11"/>
  <c r="C234" i="11"/>
  <c r="A235" i="11"/>
  <c r="B235" i="11"/>
  <c r="C235" i="11"/>
  <c r="A236" i="11"/>
  <c r="B236" i="11"/>
  <c r="C236" i="11"/>
  <c r="A237" i="11"/>
  <c r="B237" i="11"/>
  <c r="C237" i="11"/>
  <c r="A238" i="11"/>
  <c r="B238" i="11"/>
  <c r="C238" i="11"/>
  <c r="A239" i="11"/>
  <c r="B239" i="11"/>
  <c r="C239" i="11"/>
  <c r="A240" i="11"/>
  <c r="B240" i="11"/>
  <c r="C240" i="11"/>
  <c r="A241" i="11"/>
  <c r="B241" i="11"/>
  <c r="C241" i="11"/>
  <c r="A242" i="11"/>
  <c r="B242" i="11"/>
  <c r="C242" i="11"/>
  <c r="A243" i="11"/>
  <c r="B243" i="11"/>
  <c r="C243" i="11"/>
  <c r="A244" i="11"/>
  <c r="B244" i="11"/>
  <c r="C244" i="11"/>
  <c r="A245" i="11"/>
  <c r="B245" i="11"/>
  <c r="C245" i="11"/>
  <c r="A246" i="11"/>
  <c r="B246" i="11"/>
  <c r="C246" i="11"/>
  <c r="A247" i="11"/>
  <c r="B247" i="11"/>
  <c r="C247" i="11"/>
  <c r="A248" i="11"/>
  <c r="B248" i="11"/>
  <c r="C248" i="11"/>
  <c r="A249" i="11"/>
  <c r="B249" i="11"/>
  <c r="C249" i="11"/>
  <c r="A250" i="11"/>
  <c r="B250" i="11"/>
  <c r="C250" i="11"/>
  <c r="A251" i="11"/>
  <c r="B251" i="11"/>
  <c r="C251" i="11"/>
  <c r="A252" i="11"/>
  <c r="B252" i="11"/>
  <c r="C252" i="11"/>
  <c r="A253" i="11"/>
  <c r="B253" i="11"/>
  <c r="C253" i="11"/>
  <c r="A254" i="11"/>
  <c r="B254" i="11"/>
  <c r="C254" i="11"/>
  <c r="A255" i="11"/>
  <c r="B255" i="11"/>
  <c r="C255" i="11"/>
  <c r="A256" i="11"/>
  <c r="B256" i="11"/>
  <c r="C256" i="11"/>
  <c r="A257" i="11"/>
  <c r="B257" i="11"/>
  <c r="C257" i="11"/>
  <c r="A258" i="11"/>
  <c r="B258" i="11"/>
  <c r="C258" i="11"/>
  <c r="A259" i="11"/>
  <c r="B259" i="11"/>
  <c r="C259" i="11"/>
  <c r="A260" i="11"/>
  <c r="B260" i="11"/>
  <c r="C260" i="11"/>
  <c r="A261" i="11"/>
  <c r="B261" i="11"/>
  <c r="C261" i="11"/>
  <c r="A262" i="11"/>
  <c r="B262" i="11"/>
  <c r="C262" i="11"/>
  <c r="A263" i="11"/>
  <c r="B263" i="11"/>
  <c r="C263" i="11"/>
  <c r="A264" i="11"/>
  <c r="B264" i="11"/>
  <c r="C264" i="11"/>
  <c r="A265" i="11"/>
  <c r="B265" i="11"/>
  <c r="C265" i="11"/>
  <c r="A266" i="11"/>
  <c r="B266" i="11"/>
  <c r="C266" i="11"/>
  <c r="A267" i="11"/>
  <c r="B267" i="11"/>
  <c r="C267" i="11"/>
  <c r="A268" i="11"/>
  <c r="B268" i="11"/>
  <c r="C268" i="11"/>
  <c r="A269" i="11"/>
  <c r="B269" i="11"/>
  <c r="C269" i="11"/>
  <c r="A270" i="11"/>
  <c r="B270" i="11"/>
  <c r="C270" i="11"/>
  <c r="A271" i="11"/>
  <c r="B271" i="11"/>
  <c r="C271" i="11"/>
  <c r="A272" i="11"/>
  <c r="B272" i="11"/>
  <c r="C272" i="11"/>
  <c r="A273" i="11"/>
  <c r="B273" i="11"/>
  <c r="C273" i="11"/>
  <c r="A274" i="11"/>
  <c r="B274" i="11"/>
  <c r="C274" i="11"/>
  <c r="A275" i="11"/>
  <c r="B275" i="11"/>
  <c r="C275" i="11"/>
  <c r="A276" i="11"/>
  <c r="B276" i="11"/>
  <c r="C276" i="11"/>
  <c r="A277" i="11"/>
  <c r="B277" i="11"/>
  <c r="C277" i="11"/>
  <c r="A278" i="11"/>
  <c r="B278" i="11"/>
  <c r="C278" i="11"/>
  <c r="A279" i="11"/>
  <c r="B279" i="11"/>
  <c r="C279" i="11"/>
  <c r="A280" i="11"/>
  <c r="B280" i="11"/>
  <c r="C280" i="11"/>
  <c r="A281" i="11"/>
  <c r="B281" i="11"/>
  <c r="C281" i="11"/>
  <c r="A282" i="11"/>
  <c r="B282" i="11"/>
  <c r="C282" i="11"/>
  <c r="A283" i="11"/>
  <c r="B283" i="11"/>
  <c r="C283" i="11"/>
  <c r="A284" i="11"/>
  <c r="B284" i="11"/>
  <c r="C284" i="11"/>
  <c r="A285" i="11"/>
  <c r="B285" i="11"/>
  <c r="C285" i="11"/>
  <c r="A286" i="11"/>
  <c r="B286" i="11"/>
  <c r="C286" i="11"/>
  <c r="A287" i="11"/>
  <c r="B287" i="11"/>
  <c r="C287" i="11"/>
  <c r="A288" i="11"/>
  <c r="B288" i="11"/>
  <c r="C288" i="11"/>
  <c r="A289" i="11"/>
  <c r="B289" i="11"/>
  <c r="C289" i="11"/>
  <c r="A290" i="11"/>
  <c r="B290" i="11"/>
  <c r="C290" i="11"/>
  <c r="A291" i="11"/>
  <c r="B291" i="11"/>
  <c r="C291" i="11"/>
  <c r="A292" i="11"/>
  <c r="B292" i="11"/>
  <c r="C292" i="11"/>
  <c r="A293" i="11"/>
  <c r="B293" i="11"/>
  <c r="C293" i="11"/>
  <c r="A294" i="11"/>
  <c r="B294" i="11"/>
  <c r="C294" i="11"/>
  <c r="A295" i="11"/>
  <c r="B295" i="11"/>
  <c r="C295" i="11"/>
  <c r="A296" i="11"/>
  <c r="B296" i="11"/>
  <c r="C296" i="11"/>
  <c r="A297" i="11"/>
  <c r="B297" i="11"/>
  <c r="C297" i="11"/>
  <c r="A298" i="11"/>
  <c r="B298" i="11"/>
  <c r="C298" i="11"/>
  <c r="A299" i="11"/>
  <c r="B299" i="11"/>
  <c r="C299" i="11"/>
  <c r="A300" i="11"/>
  <c r="B300" i="11"/>
  <c r="C300" i="11"/>
  <c r="A301" i="11"/>
  <c r="B301" i="11"/>
  <c r="C301" i="11"/>
  <c r="A302" i="11"/>
  <c r="B302" i="11"/>
  <c r="C302" i="11"/>
  <c r="A303" i="11"/>
  <c r="B303" i="11"/>
  <c r="C303" i="11"/>
  <c r="A304" i="11"/>
  <c r="B304" i="11"/>
  <c r="C304" i="11"/>
  <c r="A305" i="11"/>
  <c r="B305" i="11"/>
  <c r="C305" i="11"/>
  <c r="A306" i="11"/>
  <c r="B306" i="11"/>
  <c r="C306" i="11"/>
  <c r="A307" i="11"/>
  <c r="B307" i="11"/>
  <c r="C307" i="11"/>
  <c r="A308" i="11"/>
  <c r="B308" i="11"/>
  <c r="C308" i="11"/>
  <c r="A309" i="11"/>
  <c r="B309" i="11"/>
  <c r="C309" i="11"/>
  <c r="A310" i="11"/>
  <c r="B310" i="11"/>
  <c r="C310" i="11"/>
  <c r="A311" i="11"/>
  <c r="B311" i="11"/>
  <c r="C311" i="11"/>
  <c r="A312" i="11"/>
  <c r="B312" i="11"/>
  <c r="C312" i="11"/>
  <c r="A313" i="11"/>
  <c r="B313" i="11"/>
  <c r="C313" i="11"/>
  <c r="A314" i="11"/>
  <c r="B314" i="11"/>
  <c r="C314" i="11"/>
  <c r="A315" i="11"/>
  <c r="B315" i="11"/>
  <c r="C315" i="11"/>
  <c r="A316" i="11"/>
  <c r="B316" i="11"/>
  <c r="C316" i="11"/>
  <c r="A317" i="11"/>
  <c r="B317" i="11"/>
  <c r="C317" i="11"/>
  <c r="A318" i="11"/>
  <c r="B318" i="11"/>
  <c r="C318" i="11"/>
  <c r="A319" i="11"/>
  <c r="B319" i="11"/>
  <c r="C319" i="11"/>
  <c r="A320" i="11"/>
  <c r="B320" i="11"/>
  <c r="C320" i="11"/>
  <c r="A321" i="11"/>
  <c r="B321" i="11"/>
  <c r="C321" i="11"/>
  <c r="A322" i="11"/>
  <c r="B322" i="11"/>
  <c r="C322" i="11"/>
  <c r="A323" i="11"/>
  <c r="B323" i="11"/>
  <c r="C323" i="11"/>
  <c r="A324" i="11"/>
  <c r="B324" i="11"/>
  <c r="C324" i="11"/>
  <c r="A325" i="11"/>
  <c r="B325" i="11"/>
  <c r="C325" i="11"/>
  <c r="A326" i="11"/>
  <c r="B326" i="11"/>
  <c r="C326" i="11"/>
  <c r="A327" i="11"/>
  <c r="B327" i="11"/>
  <c r="C327" i="11"/>
  <c r="A328" i="11"/>
  <c r="B328" i="11"/>
  <c r="C328" i="11"/>
  <c r="A329" i="11"/>
  <c r="B329" i="11"/>
  <c r="C329" i="11"/>
  <c r="A330" i="11"/>
  <c r="B330" i="11"/>
  <c r="C330" i="11"/>
  <c r="A331" i="11"/>
  <c r="B331" i="11"/>
  <c r="C331" i="11"/>
  <c r="A332" i="11"/>
  <c r="B332" i="11"/>
  <c r="C332" i="11"/>
  <c r="A333" i="11"/>
  <c r="B333" i="11"/>
  <c r="C333" i="11"/>
  <c r="A334" i="11"/>
  <c r="B334" i="11"/>
  <c r="C334" i="11"/>
  <c r="A335" i="11"/>
  <c r="B335" i="11"/>
  <c r="C335" i="11"/>
  <c r="A336" i="11"/>
  <c r="B336" i="11"/>
  <c r="C336" i="11"/>
  <c r="A337" i="11"/>
  <c r="B337" i="11"/>
  <c r="C337" i="11"/>
  <c r="A338" i="11"/>
  <c r="B338" i="11"/>
  <c r="C338" i="11"/>
  <c r="A339" i="11"/>
  <c r="B339" i="11"/>
  <c r="C339" i="11"/>
  <c r="A340" i="11"/>
  <c r="B340" i="11"/>
  <c r="C340" i="11"/>
  <c r="A341" i="11"/>
  <c r="B341" i="11"/>
  <c r="C341" i="11"/>
  <c r="A342" i="11"/>
  <c r="B342" i="11"/>
  <c r="C342" i="11"/>
  <c r="A343" i="11"/>
  <c r="B343" i="11"/>
  <c r="C343" i="11"/>
  <c r="A344" i="11"/>
  <c r="B344" i="11"/>
  <c r="C344" i="11"/>
  <c r="A345" i="11"/>
  <c r="B345" i="11"/>
  <c r="C345" i="11"/>
  <c r="A346" i="11"/>
  <c r="B346" i="11"/>
  <c r="C346" i="11"/>
  <c r="A347" i="11"/>
  <c r="B347" i="11"/>
  <c r="C347" i="11"/>
  <c r="A348" i="11"/>
  <c r="B348" i="11"/>
  <c r="C348" i="11"/>
  <c r="A349" i="11"/>
  <c r="B349" i="11"/>
  <c r="C349" i="11"/>
  <c r="A350" i="11"/>
  <c r="B350" i="11"/>
  <c r="C350" i="11"/>
  <c r="A351" i="11"/>
  <c r="B351" i="11"/>
  <c r="C351" i="11"/>
  <c r="A352" i="11"/>
  <c r="B352" i="11"/>
  <c r="C352" i="11"/>
  <c r="A353" i="11"/>
  <c r="B353" i="11"/>
  <c r="C353" i="11"/>
  <c r="A354" i="11"/>
  <c r="B354" i="11"/>
  <c r="C354" i="11"/>
  <c r="A355" i="11"/>
  <c r="B355" i="11"/>
  <c r="C355" i="11"/>
  <c r="A356" i="11"/>
  <c r="B356" i="11"/>
  <c r="C356" i="11"/>
  <c r="A357" i="11"/>
  <c r="B357" i="11"/>
  <c r="C357" i="11"/>
  <c r="A358" i="11"/>
  <c r="B358" i="11"/>
  <c r="C358" i="11"/>
  <c r="A359" i="11"/>
  <c r="B359" i="11"/>
  <c r="C359" i="11"/>
  <c r="A360" i="11"/>
  <c r="B360" i="11"/>
  <c r="C360" i="11"/>
  <c r="A361" i="11"/>
  <c r="B361" i="11"/>
  <c r="C361" i="11"/>
  <c r="A362" i="11"/>
  <c r="B362" i="11"/>
  <c r="C362" i="11"/>
  <c r="A363" i="11"/>
  <c r="B363" i="11"/>
  <c r="C363" i="11"/>
  <c r="A364" i="11"/>
  <c r="B364" i="11"/>
  <c r="C364" i="11"/>
  <c r="A365" i="11"/>
  <c r="B365" i="11"/>
  <c r="C365" i="11"/>
  <c r="A366" i="11"/>
  <c r="B366" i="11"/>
  <c r="C366" i="11"/>
  <c r="A367" i="11"/>
  <c r="B367" i="11"/>
  <c r="C367" i="11"/>
  <c r="A368" i="11"/>
  <c r="B368" i="11"/>
  <c r="C368" i="11"/>
  <c r="A369" i="11"/>
  <c r="B369" i="11"/>
  <c r="C369" i="11"/>
  <c r="A370" i="11"/>
  <c r="B370" i="11"/>
  <c r="C370" i="11"/>
  <c r="A371" i="11"/>
  <c r="B371" i="11"/>
  <c r="C371" i="11"/>
  <c r="A372" i="11"/>
  <c r="B372" i="11"/>
  <c r="C372" i="11"/>
  <c r="A373" i="11"/>
  <c r="B373" i="11"/>
  <c r="C373" i="11"/>
  <c r="A374" i="11"/>
  <c r="B374" i="11"/>
  <c r="C374" i="11"/>
  <c r="A375" i="11"/>
  <c r="B375" i="11"/>
  <c r="C375" i="11"/>
  <c r="A376" i="11"/>
  <c r="B376" i="11"/>
  <c r="C376" i="11"/>
  <c r="A377" i="11"/>
  <c r="B377" i="11"/>
  <c r="C377" i="11"/>
  <c r="A378" i="11"/>
  <c r="B378" i="11"/>
  <c r="C378" i="11"/>
  <c r="A379" i="11"/>
  <c r="B379" i="11"/>
  <c r="C379" i="11"/>
  <c r="A380" i="11"/>
  <c r="B380" i="11"/>
  <c r="C380" i="11"/>
  <c r="A381" i="11"/>
  <c r="B381" i="11"/>
  <c r="C381" i="11"/>
  <c r="A382" i="11"/>
  <c r="B382" i="11"/>
  <c r="C382" i="11"/>
  <c r="A383" i="11"/>
  <c r="B383" i="11"/>
  <c r="C383" i="11"/>
  <c r="A384" i="11"/>
  <c r="B384" i="11"/>
  <c r="C384" i="11"/>
  <c r="A385" i="11"/>
  <c r="B385" i="11"/>
  <c r="C385" i="11"/>
  <c r="A386" i="11"/>
  <c r="B386" i="11"/>
  <c r="C386" i="11"/>
  <c r="A387" i="11"/>
  <c r="B387" i="11"/>
  <c r="C387" i="11"/>
  <c r="A388" i="11"/>
  <c r="B388" i="11"/>
  <c r="C388" i="11"/>
  <c r="A389" i="11"/>
  <c r="B389" i="11"/>
  <c r="C389" i="11"/>
  <c r="A390" i="11"/>
  <c r="B390" i="11"/>
  <c r="C390" i="11"/>
  <c r="A391" i="11"/>
  <c r="B391" i="11"/>
  <c r="C391" i="11"/>
  <c r="A392" i="11"/>
  <c r="B392" i="11"/>
  <c r="C392" i="11"/>
  <c r="A393" i="11"/>
  <c r="B393" i="11"/>
  <c r="C393" i="11"/>
  <c r="A394" i="11"/>
  <c r="B394" i="11"/>
  <c r="C394" i="11"/>
  <c r="A395" i="11"/>
  <c r="B395" i="11"/>
  <c r="C395" i="11"/>
  <c r="A396" i="11"/>
  <c r="B396" i="11"/>
  <c r="C396" i="11"/>
  <c r="A397" i="11"/>
  <c r="B397" i="11"/>
  <c r="C397" i="11"/>
  <c r="A398" i="11"/>
  <c r="B398" i="11"/>
  <c r="C398" i="11"/>
  <c r="A399" i="11"/>
  <c r="B399" i="11"/>
  <c r="C399" i="11"/>
  <c r="A400" i="11"/>
  <c r="B400" i="11"/>
  <c r="C400" i="11"/>
  <c r="A401" i="11"/>
  <c r="B401" i="11"/>
  <c r="C401" i="11"/>
  <c r="A402" i="11"/>
  <c r="B402" i="11"/>
  <c r="C402" i="11"/>
  <c r="A403" i="11"/>
  <c r="B403" i="11"/>
  <c r="C403" i="11"/>
  <c r="A404" i="11"/>
  <c r="B404" i="11"/>
  <c r="C404" i="11"/>
  <c r="A405" i="11"/>
  <c r="B405" i="11"/>
  <c r="C405" i="11"/>
  <c r="A406" i="11"/>
  <c r="B406" i="11"/>
  <c r="C406" i="11"/>
  <c r="A407" i="11"/>
  <c r="B407" i="11"/>
  <c r="C407" i="11"/>
  <c r="A408" i="11"/>
  <c r="B408" i="11"/>
  <c r="C408" i="11"/>
  <c r="A409" i="11"/>
  <c r="B409" i="11"/>
  <c r="C409" i="11"/>
  <c r="A410" i="11"/>
  <c r="B410" i="11"/>
  <c r="C410" i="11"/>
  <c r="A411" i="11"/>
  <c r="B411" i="11"/>
  <c r="C411" i="11"/>
  <c r="A412" i="11"/>
  <c r="B412" i="11"/>
  <c r="C412" i="11"/>
  <c r="A413" i="11"/>
  <c r="B413" i="11"/>
  <c r="C413" i="11"/>
  <c r="A414" i="11"/>
  <c r="B414" i="11"/>
  <c r="C414" i="11"/>
  <c r="A415" i="11"/>
  <c r="B415" i="11"/>
  <c r="C415" i="11"/>
  <c r="A416" i="11"/>
  <c r="B416" i="11"/>
  <c r="C416" i="11"/>
  <c r="A417" i="11"/>
  <c r="B417" i="11"/>
  <c r="C417" i="11"/>
  <c r="A418" i="11"/>
  <c r="B418" i="11"/>
  <c r="C418" i="11"/>
  <c r="A419" i="11"/>
  <c r="B419" i="11"/>
  <c r="C419" i="11"/>
  <c r="A420" i="11"/>
  <c r="B420" i="11"/>
  <c r="C420" i="11"/>
  <c r="A421" i="11"/>
  <c r="B421" i="11"/>
  <c r="C421" i="11"/>
  <c r="A422" i="11"/>
  <c r="B422" i="11"/>
  <c r="C422" i="11"/>
  <c r="A423" i="11"/>
  <c r="B423" i="11"/>
  <c r="C423" i="11"/>
  <c r="A424" i="11"/>
  <c r="B424" i="11"/>
  <c r="C424" i="11"/>
  <c r="A425" i="11"/>
  <c r="B425" i="11"/>
  <c r="C425" i="11"/>
  <c r="A426" i="11"/>
  <c r="B426" i="11"/>
  <c r="C426" i="11"/>
  <c r="A427" i="11"/>
  <c r="B427" i="11"/>
  <c r="C427" i="11"/>
  <c r="A428" i="11"/>
  <c r="B428" i="11"/>
  <c r="C428" i="11"/>
  <c r="A429" i="11"/>
  <c r="B429" i="11"/>
  <c r="C429" i="11"/>
  <c r="A430" i="11"/>
  <c r="B430" i="11"/>
  <c r="C430" i="11"/>
  <c r="A431" i="11"/>
  <c r="B431" i="11"/>
  <c r="C431" i="11"/>
  <c r="A432" i="11"/>
  <c r="B432" i="11"/>
  <c r="C432" i="11"/>
  <c r="A433" i="11"/>
  <c r="B433" i="11"/>
  <c r="C433" i="11"/>
  <c r="A434" i="11"/>
  <c r="B434" i="11"/>
  <c r="C434" i="11"/>
  <c r="A435" i="11"/>
  <c r="B435" i="11"/>
  <c r="C435" i="11"/>
  <c r="A436" i="11"/>
  <c r="B436" i="11"/>
  <c r="C436" i="11"/>
  <c r="A437" i="11"/>
  <c r="B437" i="11"/>
  <c r="C437" i="11"/>
  <c r="A438" i="11"/>
  <c r="B438" i="11"/>
  <c r="C438" i="11"/>
  <c r="A439" i="11"/>
  <c r="B439" i="11"/>
  <c r="C439" i="11"/>
  <c r="A440" i="11"/>
  <c r="B440" i="11"/>
  <c r="C440" i="11"/>
  <c r="A441" i="11"/>
  <c r="B441" i="11"/>
  <c r="C441" i="11"/>
  <c r="A442" i="11"/>
  <c r="B442" i="11"/>
  <c r="C442" i="11"/>
  <c r="A443" i="11"/>
  <c r="B443" i="11"/>
  <c r="C443" i="11"/>
  <c r="A444" i="11"/>
  <c r="B444" i="11"/>
  <c r="C444" i="11"/>
  <c r="A445" i="11"/>
  <c r="B445" i="11"/>
  <c r="C445" i="11"/>
  <c r="A446" i="11"/>
  <c r="B446" i="11"/>
  <c r="C446" i="11"/>
  <c r="A447" i="11"/>
  <c r="B447" i="11"/>
  <c r="C447" i="11"/>
  <c r="A448" i="11"/>
  <c r="B448" i="11"/>
  <c r="C448" i="11"/>
  <c r="A449" i="11"/>
  <c r="B449" i="11"/>
  <c r="C449" i="11"/>
  <c r="A450" i="11"/>
  <c r="B450" i="11"/>
  <c r="C450" i="11"/>
  <c r="A451" i="11"/>
  <c r="B451" i="11"/>
  <c r="C451" i="11"/>
  <c r="A452" i="11"/>
  <c r="B452" i="11"/>
  <c r="C452" i="11"/>
  <c r="A453" i="11"/>
  <c r="B453" i="11"/>
  <c r="C453" i="11"/>
  <c r="A454" i="11"/>
  <c r="B454" i="11"/>
  <c r="C454" i="11"/>
  <c r="A455" i="11"/>
  <c r="B455" i="11"/>
  <c r="C455" i="11"/>
  <c r="A456" i="11"/>
  <c r="B456" i="11"/>
  <c r="C456" i="11"/>
  <c r="A457" i="11"/>
  <c r="B457" i="11"/>
  <c r="C457" i="11"/>
  <c r="A458" i="11"/>
  <c r="B458" i="11"/>
  <c r="C458" i="11"/>
  <c r="A459" i="11"/>
  <c r="B459" i="11"/>
  <c r="C459" i="11"/>
  <c r="A460" i="11"/>
  <c r="B460" i="11"/>
  <c r="C460" i="11"/>
  <c r="A461" i="11"/>
  <c r="B461" i="11"/>
  <c r="C461" i="11"/>
  <c r="A462" i="11"/>
  <c r="B462" i="11"/>
  <c r="C462" i="11"/>
  <c r="A463" i="11"/>
  <c r="B463" i="11"/>
  <c r="C463" i="11"/>
  <c r="A464" i="11"/>
  <c r="B464" i="11"/>
  <c r="C464" i="11"/>
  <c r="A465" i="11"/>
  <c r="B465" i="11"/>
  <c r="C465" i="11"/>
  <c r="A466" i="11"/>
  <c r="B466" i="11"/>
  <c r="C466" i="11"/>
  <c r="A467" i="11"/>
  <c r="B467" i="11"/>
  <c r="C467" i="11"/>
  <c r="A468" i="11"/>
  <c r="B468" i="11"/>
  <c r="C468" i="11"/>
  <c r="A469" i="11"/>
  <c r="B469" i="11"/>
  <c r="C469" i="11"/>
  <c r="A470" i="11"/>
  <c r="B470" i="11"/>
  <c r="C470" i="11"/>
  <c r="A471" i="11"/>
  <c r="B471" i="11"/>
  <c r="C471" i="11"/>
  <c r="A472" i="11"/>
  <c r="B472" i="11"/>
  <c r="C472" i="11"/>
  <c r="A473" i="11"/>
  <c r="B473" i="11"/>
  <c r="C473" i="11"/>
  <c r="A474" i="11"/>
  <c r="B474" i="11"/>
  <c r="C474" i="11"/>
  <c r="A475" i="11"/>
  <c r="B475" i="11"/>
  <c r="C475" i="11"/>
  <c r="A476" i="11"/>
  <c r="B476" i="11"/>
  <c r="C476" i="11"/>
  <c r="A477" i="11"/>
  <c r="B477" i="11"/>
  <c r="C477" i="11"/>
  <c r="A478" i="11"/>
  <c r="B478" i="11"/>
  <c r="C478" i="11"/>
  <c r="A479" i="11"/>
  <c r="B479" i="11"/>
  <c r="C479" i="11"/>
  <c r="A480" i="11"/>
  <c r="B480" i="11"/>
  <c r="C480" i="11"/>
  <c r="A481" i="11"/>
  <c r="B481" i="11"/>
  <c r="C481" i="11"/>
  <c r="A482" i="11"/>
  <c r="B482" i="11"/>
  <c r="C482" i="11"/>
  <c r="A483" i="11"/>
  <c r="B483" i="11"/>
  <c r="C483" i="11"/>
  <c r="A484" i="11"/>
  <c r="B484" i="11"/>
  <c r="C484" i="11"/>
  <c r="A485" i="11"/>
  <c r="B485" i="11"/>
  <c r="C485" i="11"/>
  <c r="A486" i="11"/>
  <c r="B486" i="11"/>
  <c r="C486" i="11"/>
  <c r="A487" i="11"/>
  <c r="B487" i="11"/>
  <c r="C487" i="11"/>
  <c r="A488" i="11"/>
  <c r="B488" i="11"/>
  <c r="C488" i="11"/>
  <c r="A489" i="11"/>
  <c r="B489" i="11"/>
  <c r="C489" i="11"/>
  <c r="A490" i="11"/>
  <c r="B490" i="11"/>
  <c r="C490" i="11"/>
  <c r="A491" i="11"/>
  <c r="B491" i="11"/>
  <c r="C491" i="11"/>
  <c r="A492" i="11"/>
  <c r="B492" i="11"/>
  <c r="C492" i="11"/>
  <c r="A493" i="11"/>
  <c r="B493" i="11"/>
  <c r="C493" i="11"/>
  <c r="A494" i="11"/>
  <c r="B494" i="11"/>
  <c r="C494" i="11"/>
  <c r="A495" i="11"/>
  <c r="B495" i="11"/>
  <c r="C495" i="11"/>
  <c r="A496" i="11"/>
  <c r="B496" i="11"/>
  <c r="C496" i="11"/>
  <c r="A497" i="11"/>
  <c r="B497" i="11"/>
  <c r="C497" i="11"/>
  <c r="A498" i="11"/>
  <c r="B498" i="11"/>
  <c r="C498" i="11"/>
  <c r="A499" i="11"/>
  <c r="B499" i="11"/>
  <c r="C499" i="11"/>
  <c r="A500" i="11"/>
  <c r="B500" i="11"/>
  <c r="C500" i="11"/>
  <c r="A501" i="11"/>
  <c r="B501" i="11"/>
  <c r="C501" i="11"/>
  <c r="A502" i="11"/>
  <c r="B502" i="11"/>
  <c r="C502" i="11"/>
  <c r="A503" i="11"/>
  <c r="B503" i="11"/>
  <c r="C503" i="11"/>
  <c r="A504" i="11"/>
  <c r="B504" i="11"/>
  <c r="C504" i="11"/>
  <c r="A505" i="11"/>
  <c r="B505" i="11"/>
  <c r="C505" i="11"/>
  <c r="A506" i="11"/>
  <c r="B506" i="11"/>
  <c r="C506" i="11"/>
  <c r="A507" i="11"/>
  <c r="B507" i="11"/>
  <c r="C507" i="11"/>
  <c r="A508" i="11"/>
  <c r="B508" i="11"/>
  <c r="C508" i="11"/>
  <c r="A509" i="11"/>
  <c r="B509" i="11"/>
  <c r="C509" i="11"/>
  <c r="A510" i="11"/>
  <c r="B510" i="11"/>
  <c r="C510" i="11"/>
  <c r="A511" i="11"/>
  <c r="B511" i="11"/>
  <c r="C511" i="11"/>
  <c r="A512" i="11"/>
  <c r="B512" i="11"/>
  <c r="C512" i="11"/>
  <c r="A513" i="11"/>
  <c r="B513" i="11"/>
  <c r="C513" i="11"/>
  <c r="A514" i="11"/>
  <c r="B514" i="11"/>
  <c r="C514" i="11"/>
  <c r="A515" i="11"/>
  <c r="B515" i="11"/>
  <c r="C515" i="11"/>
  <c r="A516" i="11"/>
  <c r="B516" i="11"/>
  <c r="C516" i="11"/>
  <c r="A517" i="11"/>
  <c r="B517" i="11"/>
  <c r="C517" i="11"/>
  <c r="A518" i="11"/>
  <c r="B518" i="11"/>
  <c r="C518" i="11"/>
  <c r="A519" i="11"/>
  <c r="B519" i="11"/>
  <c r="C519" i="11"/>
  <c r="A520" i="11"/>
  <c r="B520" i="11"/>
  <c r="C520" i="11"/>
  <c r="A521" i="11"/>
  <c r="B521" i="11"/>
  <c r="C521" i="11"/>
  <c r="A522" i="11"/>
  <c r="B522" i="11"/>
  <c r="C522" i="11"/>
  <c r="A523" i="11"/>
  <c r="B523" i="11"/>
  <c r="C523" i="11"/>
  <c r="A524" i="11"/>
  <c r="B524" i="11"/>
  <c r="C524" i="11"/>
  <c r="A525" i="11"/>
  <c r="B525" i="11"/>
  <c r="C525" i="11"/>
  <c r="A526" i="11"/>
  <c r="B526" i="11"/>
  <c r="C526" i="11"/>
  <c r="A527" i="11"/>
  <c r="B527" i="11"/>
  <c r="C527" i="11"/>
  <c r="A528" i="11"/>
  <c r="B528" i="11"/>
  <c r="C528" i="11"/>
  <c r="A529" i="11"/>
  <c r="B529" i="11"/>
  <c r="C529" i="11"/>
  <c r="A530" i="11"/>
  <c r="B530" i="11"/>
  <c r="C530" i="11"/>
  <c r="A531" i="11"/>
  <c r="B531" i="11"/>
  <c r="C531" i="11"/>
  <c r="A532" i="11"/>
  <c r="B532" i="11"/>
  <c r="C532" i="11"/>
  <c r="A533" i="11"/>
  <c r="B533" i="11"/>
  <c r="C533" i="11"/>
  <c r="A534" i="11"/>
  <c r="B534" i="11"/>
  <c r="C534" i="11"/>
  <c r="A535" i="11"/>
  <c r="B535" i="11"/>
  <c r="C535" i="11"/>
  <c r="A536" i="11"/>
  <c r="B536" i="11"/>
  <c r="C536" i="11"/>
  <c r="A537" i="11"/>
  <c r="B537" i="11"/>
  <c r="C537" i="11"/>
  <c r="A538" i="11"/>
  <c r="B538" i="11"/>
  <c r="C538" i="11"/>
  <c r="A539" i="11"/>
  <c r="B539" i="11"/>
  <c r="C539" i="11"/>
  <c r="A540" i="11"/>
  <c r="B540" i="11"/>
  <c r="C540" i="11"/>
  <c r="A541" i="11"/>
  <c r="B541" i="11"/>
  <c r="C541" i="11"/>
  <c r="A542" i="11"/>
  <c r="B542" i="11"/>
  <c r="C542" i="11"/>
  <c r="A543" i="11"/>
  <c r="B543" i="11"/>
  <c r="C543" i="11"/>
  <c r="A544" i="11"/>
  <c r="B544" i="11"/>
  <c r="C544" i="11"/>
  <c r="A545" i="11"/>
  <c r="B545" i="11"/>
  <c r="C545" i="11"/>
  <c r="A546" i="11"/>
  <c r="B546" i="11"/>
  <c r="C546" i="11"/>
  <c r="A547" i="11"/>
  <c r="B547" i="11"/>
  <c r="C547" i="11"/>
  <c r="A548" i="11"/>
  <c r="B548" i="11"/>
  <c r="C548" i="11"/>
  <c r="A549" i="11"/>
  <c r="B549" i="11"/>
  <c r="C549" i="11"/>
  <c r="A550" i="11"/>
  <c r="B550" i="11"/>
  <c r="C550" i="11"/>
  <c r="A551" i="11"/>
  <c r="B551" i="11"/>
  <c r="C551" i="11"/>
  <c r="A552" i="11"/>
  <c r="B552" i="11"/>
  <c r="C552" i="11"/>
  <c r="A553" i="11"/>
  <c r="B553" i="11"/>
  <c r="C553" i="11"/>
  <c r="A554" i="11"/>
  <c r="B554" i="11"/>
  <c r="C554" i="11"/>
  <c r="A555" i="11"/>
  <c r="B555" i="11"/>
  <c r="C555" i="11"/>
  <c r="A556" i="11"/>
  <c r="B556" i="11"/>
  <c r="C556" i="11"/>
  <c r="A557" i="11"/>
  <c r="B557" i="11"/>
  <c r="C557" i="11"/>
  <c r="A558" i="11"/>
  <c r="B558" i="11"/>
  <c r="C558" i="11"/>
  <c r="A559" i="11"/>
  <c r="B559" i="11"/>
  <c r="C559" i="11"/>
  <c r="A560" i="11"/>
  <c r="B560" i="11"/>
  <c r="C560" i="11"/>
  <c r="A561" i="11"/>
  <c r="B561" i="11"/>
  <c r="C561" i="11"/>
  <c r="A562" i="11"/>
  <c r="B562" i="11"/>
  <c r="C562" i="11"/>
  <c r="A563" i="11"/>
  <c r="B563" i="11"/>
  <c r="C563" i="11"/>
  <c r="A564" i="11"/>
  <c r="B564" i="11"/>
  <c r="C564" i="11"/>
  <c r="A565" i="11"/>
  <c r="B565" i="11"/>
  <c r="C565" i="11"/>
  <c r="A566" i="11"/>
  <c r="B566" i="11"/>
  <c r="C566" i="11"/>
  <c r="A567" i="11"/>
  <c r="B567" i="11"/>
  <c r="C567" i="11"/>
  <c r="A568" i="11"/>
  <c r="B568" i="11"/>
  <c r="C568" i="11"/>
  <c r="A569" i="11"/>
  <c r="B569" i="11"/>
  <c r="C569" i="11"/>
  <c r="A570" i="11"/>
  <c r="B570" i="11"/>
  <c r="C570" i="11"/>
  <c r="A571" i="11"/>
  <c r="B571" i="11"/>
  <c r="C571" i="11"/>
  <c r="A572" i="11"/>
  <c r="B572" i="11"/>
  <c r="C572" i="11"/>
  <c r="A573" i="11"/>
  <c r="B573" i="11"/>
  <c r="C573" i="11"/>
  <c r="A574" i="11"/>
  <c r="B574" i="11"/>
  <c r="C574" i="11"/>
  <c r="A575" i="11"/>
  <c r="B575" i="11"/>
  <c r="C575" i="11"/>
  <c r="A576" i="11"/>
  <c r="B576" i="11"/>
  <c r="C576" i="11"/>
  <c r="A577" i="11"/>
  <c r="B577" i="11"/>
  <c r="C577" i="11"/>
  <c r="A578" i="11"/>
  <c r="B578" i="11"/>
  <c r="C578" i="11"/>
  <c r="A579" i="11"/>
  <c r="B579" i="11"/>
  <c r="C579" i="11"/>
  <c r="A580" i="11"/>
  <c r="B580" i="11"/>
  <c r="C580" i="11"/>
  <c r="A581" i="11"/>
  <c r="B581" i="11"/>
  <c r="C581" i="11"/>
  <c r="A582" i="11"/>
  <c r="B582" i="11"/>
  <c r="C582" i="11"/>
  <c r="A583" i="11"/>
  <c r="B583" i="11"/>
  <c r="C583" i="11"/>
  <c r="A584" i="11"/>
  <c r="B584" i="11"/>
  <c r="C584" i="11"/>
  <c r="A585" i="11"/>
  <c r="B585" i="11"/>
  <c r="C585" i="11"/>
  <c r="A586" i="11"/>
  <c r="B586" i="11"/>
  <c r="C586" i="11"/>
  <c r="A587" i="11"/>
  <c r="B587" i="11"/>
  <c r="C587" i="11"/>
  <c r="A588" i="11"/>
  <c r="B588" i="11"/>
  <c r="C588" i="11"/>
  <c r="A589" i="11"/>
  <c r="B589" i="11"/>
  <c r="C589" i="11"/>
  <c r="A590" i="11"/>
  <c r="B590" i="11"/>
  <c r="C590" i="11"/>
  <c r="A591" i="11"/>
  <c r="B591" i="11"/>
  <c r="C591" i="11"/>
  <c r="A592" i="11"/>
  <c r="B592" i="11"/>
  <c r="C592" i="11"/>
  <c r="A593" i="11"/>
  <c r="B593" i="11"/>
  <c r="C593" i="11"/>
  <c r="A594" i="11"/>
  <c r="B594" i="11"/>
  <c r="C594" i="11"/>
  <c r="A595" i="11"/>
  <c r="B595" i="11"/>
  <c r="C595" i="11"/>
  <c r="A596" i="11"/>
  <c r="B596" i="11"/>
  <c r="C596" i="11"/>
  <c r="A597" i="11"/>
  <c r="B597" i="11"/>
  <c r="C597" i="11"/>
  <c r="A598" i="11"/>
  <c r="B598" i="11"/>
  <c r="C598" i="11"/>
  <c r="A599" i="11"/>
  <c r="B599" i="11"/>
  <c r="C599" i="11"/>
  <c r="A600" i="11"/>
  <c r="B600" i="11"/>
  <c r="C600" i="11"/>
  <c r="A601" i="11"/>
  <c r="B601" i="11"/>
  <c r="C601" i="11"/>
  <c r="A602" i="11"/>
  <c r="B602" i="11"/>
  <c r="C602" i="11"/>
  <c r="A603" i="11"/>
  <c r="B603" i="11"/>
  <c r="C603" i="11"/>
  <c r="A604" i="11"/>
  <c r="B604" i="11"/>
  <c r="C604" i="11"/>
  <c r="A605" i="11"/>
  <c r="B605" i="11"/>
  <c r="C605" i="11"/>
  <c r="A606" i="11"/>
  <c r="B606" i="11"/>
  <c r="C606" i="11"/>
  <c r="A607" i="11"/>
  <c r="B607" i="11"/>
  <c r="C607" i="11"/>
  <c r="A608" i="11"/>
  <c r="B608" i="11"/>
  <c r="C608" i="11"/>
  <c r="A609" i="11"/>
  <c r="B609" i="11"/>
  <c r="C609" i="11"/>
  <c r="A610" i="11"/>
  <c r="B610" i="11"/>
  <c r="C610" i="11"/>
  <c r="A611" i="11"/>
  <c r="B611" i="11"/>
  <c r="C611" i="11"/>
  <c r="A612" i="11"/>
  <c r="B612" i="11"/>
  <c r="C612" i="11"/>
  <c r="A613" i="11"/>
  <c r="B613" i="11"/>
  <c r="C613" i="11"/>
  <c r="A614" i="11"/>
  <c r="B614" i="11"/>
  <c r="C614" i="11"/>
  <c r="A615" i="11"/>
  <c r="B615" i="11"/>
  <c r="C615" i="11"/>
  <c r="A616" i="11"/>
  <c r="B616" i="11"/>
  <c r="C616" i="11"/>
  <c r="A617" i="11"/>
  <c r="B617" i="11"/>
  <c r="C617" i="11"/>
  <c r="A618" i="11"/>
  <c r="B618" i="11"/>
  <c r="C618" i="11"/>
  <c r="A619" i="11"/>
  <c r="B619" i="11"/>
  <c r="C619" i="11"/>
  <c r="A620" i="11"/>
  <c r="B620" i="11"/>
  <c r="C620" i="11"/>
  <c r="A621" i="11"/>
  <c r="B621" i="11"/>
  <c r="C621" i="11"/>
  <c r="A622" i="11"/>
  <c r="B622" i="11"/>
  <c r="C622" i="11"/>
  <c r="A623" i="11"/>
  <c r="B623" i="11"/>
  <c r="C623" i="11"/>
  <c r="A624" i="11"/>
  <c r="B624" i="11"/>
  <c r="C624" i="11"/>
  <c r="A625" i="11"/>
  <c r="B625" i="11"/>
  <c r="C625" i="11"/>
  <c r="A626" i="11"/>
  <c r="B626" i="11"/>
  <c r="C626" i="11"/>
  <c r="A627" i="11"/>
  <c r="B627" i="11"/>
  <c r="C627" i="11"/>
  <c r="A628" i="11"/>
  <c r="B628" i="11"/>
  <c r="C628" i="11"/>
  <c r="A629" i="11"/>
  <c r="B629" i="11"/>
  <c r="C629" i="11"/>
  <c r="A630" i="11"/>
  <c r="B630" i="11"/>
  <c r="C630" i="11"/>
  <c r="A631" i="11"/>
  <c r="B631" i="11"/>
  <c r="C631" i="11"/>
  <c r="A632" i="11"/>
  <c r="B632" i="11"/>
  <c r="C632" i="11"/>
  <c r="A633" i="11"/>
  <c r="B633" i="11"/>
  <c r="C633" i="11"/>
  <c r="A634" i="11"/>
  <c r="B634" i="11"/>
  <c r="C634" i="11"/>
  <c r="A635" i="11"/>
  <c r="B635" i="11"/>
  <c r="C635" i="11"/>
  <c r="A636" i="11"/>
  <c r="B636" i="11"/>
  <c r="C636" i="11"/>
  <c r="A637" i="11"/>
  <c r="B637" i="11"/>
  <c r="C637" i="11"/>
  <c r="A638" i="11"/>
  <c r="B638" i="11"/>
  <c r="C638" i="11"/>
  <c r="A639" i="11"/>
  <c r="B639" i="11"/>
  <c r="C639" i="11"/>
  <c r="A640" i="11"/>
  <c r="B640" i="11"/>
  <c r="C640" i="11"/>
  <c r="A641" i="11"/>
  <c r="B641" i="11"/>
  <c r="C641" i="11"/>
  <c r="A642" i="11"/>
  <c r="B642" i="11"/>
  <c r="C642" i="11"/>
  <c r="A643" i="11"/>
  <c r="B643" i="11"/>
  <c r="C643" i="11"/>
  <c r="A644" i="11"/>
  <c r="B644" i="11"/>
  <c r="C644" i="11"/>
  <c r="A645" i="11"/>
  <c r="B645" i="11"/>
  <c r="C645" i="11"/>
  <c r="A646" i="11"/>
  <c r="B646" i="11"/>
  <c r="C646" i="11"/>
  <c r="A647" i="11"/>
  <c r="B647" i="11"/>
  <c r="C647" i="11"/>
  <c r="A648" i="11"/>
  <c r="B648" i="11"/>
  <c r="C648" i="11"/>
  <c r="A649" i="11"/>
  <c r="B649" i="11"/>
  <c r="C649" i="11"/>
  <c r="A650" i="11"/>
  <c r="B650" i="11"/>
  <c r="C650" i="11"/>
  <c r="A651" i="11"/>
  <c r="B651" i="11"/>
  <c r="C651" i="11"/>
  <c r="A652" i="11"/>
  <c r="B652" i="11"/>
  <c r="C652" i="11"/>
  <c r="A653" i="11"/>
  <c r="B653" i="11"/>
  <c r="C653" i="11"/>
  <c r="A654" i="11"/>
  <c r="B654" i="11"/>
  <c r="C654" i="11"/>
  <c r="A655" i="11"/>
  <c r="B655" i="11"/>
  <c r="C655" i="11"/>
  <c r="A656" i="11"/>
  <c r="B656" i="11"/>
  <c r="C656" i="11"/>
  <c r="A657" i="11"/>
  <c r="B657" i="11"/>
  <c r="C657" i="11"/>
  <c r="A658" i="11"/>
  <c r="B658" i="11"/>
  <c r="C658" i="11"/>
  <c r="A659" i="11"/>
  <c r="B659" i="11"/>
  <c r="C659" i="11"/>
  <c r="A660" i="11"/>
  <c r="B660" i="11"/>
  <c r="C660" i="11"/>
  <c r="A661" i="11"/>
  <c r="B661" i="11"/>
  <c r="C661" i="11"/>
  <c r="A662" i="11"/>
  <c r="B662" i="11"/>
  <c r="C662" i="11"/>
  <c r="A663" i="11"/>
  <c r="B663" i="11"/>
  <c r="C663" i="11"/>
  <c r="A664" i="11"/>
  <c r="B664" i="11"/>
  <c r="C664" i="11"/>
  <c r="A665" i="11"/>
  <c r="B665" i="11"/>
  <c r="C665" i="11"/>
  <c r="A666" i="11"/>
  <c r="B666" i="11"/>
  <c r="C666" i="11"/>
  <c r="A667" i="11"/>
  <c r="B667" i="11"/>
  <c r="C667" i="11"/>
  <c r="A668" i="11"/>
  <c r="B668" i="11"/>
  <c r="C668" i="11"/>
  <c r="A669" i="11"/>
  <c r="B669" i="11"/>
  <c r="C669" i="11"/>
  <c r="A670" i="11"/>
  <c r="B670" i="11"/>
  <c r="C670" i="11"/>
  <c r="A671" i="11"/>
  <c r="B671" i="11"/>
  <c r="C671" i="11"/>
  <c r="A672" i="11"/>
  <c r="B672" i="11"/>
  <c r="C672" i="11"/>
  <c r="A673" i="11"/>
  <c r="B673" i="11"/>
  <c r="C673" i="11"/>
  <c r="A674" i="11"/>
  <c r="B674" i="11"/>
  <c r="C674" i="11"/>
  <c r="A675" i="11"/>
  <c r="B675" i="11"/>
  <c r="C675" i="11"/>
  <c r="A676" i="11"/>
  <c r="B676" i="11"/>
  <c r="C676" i="11"/>
  <c r="A677" i="11"/>
  <c r="B677" i="11"/>
  <c r="C677" i="11"/>
  <c r="A678" i="11"/>
  <c r="B678" i="11"/>
  <c r="C678" i="11"/>
  <c r="A679" i="11"/>
  <c r="B679" i="11"/>
  <c r="C679" i="11"/>
  <c r="A680" i="11"/>
  <c r="B680" i="11"/>
  <c r="C680" i="11"/>
  <c r="A681" i="11"/>
  <c r="B681" i="11"/>
  <c r="C681" i="11"/>
  <c r="A682" i="11"/>
  <c r="B682" i="11"/>
  <c r="C682" i="11"/>
  <c r="A683" i="11"/>
  <c r="B683" i="11"/>
  <c r="C683" i="11"/>
  <c r="A684" i="11"/>
  <c r="B684" i="11"/>
  <c r="C684" i="11"/>
  <c r="A685" i="11"/>
  <c r="B685" i="11"/>
  <c r="C685" i="11"/>
  <c r="A686" i="11"/>
  <c r="B686" i="11"/>
  <c r="C686" i="11"/>
  <c r="A687" i="11"/>
  <c r="B687" i="11"/>
  <c r="C687" i="11"/>
  <c r="A688" i="11"/>
  <c r="B688" i="11"/>
  <c r="C688" i="11"/>
  <c r="A689" i="11"/>
  <c r="B689" i="11"/>
  <c r="C689" i="11"/>
  <c r="A690" i="11"/>
  <c r="B690" i="11"/>
  <c r="C690" i="11"/>
  <c r="A691" i="11"/>
  <c r="B691" i="11"/>
  <c r="C691" i="11"/>
  <c r="A692" i="11"/>
  <c r="B692" i="11"/>
  <c r="C692" i="11"/>
  <c r="A693" i="11"/>
  <c r="B693" i="11"/>
  <c r="C693" i="11"/>
  <c r="A694" i="11"/>
  <c r="B694" i="11"/>
  <c r="C694" i="11"/>
  <c r="A695" i="11"/>
  <c r="B695" i="11"/>
  <c r="C695" i="11"/>
  <c r="A696" i="11"/>
  <c r="B696" i="11"/>
  <c r="C696" i="11"/>
  <c r="A697" i="11"/>
  <c r="B697" i="11"/>
  <c r="C697" i="11"/>
  <c r="A698" i="11"/>
  <c r="B698" i="11"/>
  <c r="C698" i="11"/>
  <c r="A699" i="11"/>
  <c r="B699" i="11"/>
  <c r="C699" i="11"/>
  <c r="A700" i="11"/>
  <c r="B700" i="11"/>
  <c r="C700" i="11"/>
  <c r="A701" i="11"/>
  <c r="B701" i="11"/>
  <c r="C701" i="11"/>
  <c r="A702" i="11"/>
  <c r="B702" i="11"/>
  <c r="C702" i="11"/>
  <c r="A703" i="11"/>
  <c r="B703" i="11"/>
  <c r="C703" i="11"/>
  <c r="A704" i="11"/>
  <c r="B704" i="11"/>
  <c r="C704" i="11"/>
  <c r="A705" i="11"/>
  <c r="B705" i="11"/>
  <c r="C705" i="11"/>
  <c r="A706" i="11"/>
  <c r="B706" i="11"/>
  <c r="C706" i="11"/>
  <c r="A707" i="11"/>
  <c r="B707" i="11"/>
  <c r="C707" i="11"/>
  <c r="A708" i="11"/>
  <c r="B708" i="11"/>
  <c r="C708" i="11"/>
  <c r="A709" i="11"/>
  <c r="B709" i="11"/>
  <c r="C709" i="11"/>
  <c r="A710" i="11"/>
  <c r="B710" i="11"/>
  <c r="C710" i="11"/>
  <c r="A711" i="11"/>
  <c r="B711" i="11"/>
  <c r="C711" i="11"/>
  <c r="A712" i="11"/>
  <c r="B712" i="11"/>
  <c r="C712" i="11"/>
  <c r="A713" i="11"/>
  <c r="B713" i="11"/>
  <c r="C713" i="11"/>
  <c r="A714" i="11"/>
  <c r="B714" i="11"/>
  <c r="C714" i="11"/>
  <c r="A715" i="11"/>
  <c r="B715" i="11"/>
  <c r="C715" i="11"/>
  <c r="A716" i="11"/>
  <c r="B716" i="11"/>
  <c r="C716" i="11"/>
  <c r="A717" i="11"/>
  <c r="B717" i="11"/>
  <c r="C717" i="11"/>
  <c r="A718" i="11"/>
  <c r="B718" i="11"/>
  <c r="C718" i="11"/>
  <c r="A719" i="11"/>
  <c r="B719" i="11"/>
  <c r="C719" i="11"/>
  <c r="A720" i="11"/>
  <c r="B720" i="11"/>
  <c r="C720" i="11"/>
  <c r="A721" i="11"/>
  <c r="B721" i="11"/>
  <c r="C721" i="11"/>
  <c r="A722" i="11"/>
  <c r="B722" i="11"/>
  <c r="C722" i="11"/>
  <c r="A723" i="11"/>
  <c r="B723" i="11"/>
  <c r="C723" i="11"/>
  <c r="A724" i="11"/>
  <c r="B724" i="11"/>
  <c r="C724" i="11"/>
  <c r="A725" i="11"/>
  <c r="B725" i="11"/>
  <c r="C725" i="11"/>
  <c r="A726" i="11"/>
  <c r="B726" i="11"/>
  <c r="C726" i="11"/>
  <c r="A727" i="11"/>
  <c r="B727" i="11"/>
  <c r="C727" i="11"/>
  <c r="A728" i="11"/>
  <c r="B728" i="11"/>
  <c r="C728" i="11"/>
  <c r="A729" i="11"/>
  <c r="B729" i="11"/>
  <c r="C729" i="11"/>
  <c r="A730" i="11"/>
  <c r="B730" i="11"/>
  <c r="C730" i="11"/>
  <c r="A731" i="11"/>
  <c r="B731" i="11"/>
  <c r="C731" i="11"/>
  <c r="A732" i="11"/>
  <c r="B732" i="11"/>
  <c r="C732" i="11"/>
  <c r="A733" i="11"/>
  <c r="B733" i="11"/>
  <c r="C733" i="11"/>
  <c r="A734" i="11"/>
  <c r="B734" i="11"/>
  <c r="C734" i="11"/>
  <c r="A735" i="11"/>
  <c r="B735" i="11"/>
  <c r="C735" i="11"/>
  <c r="A736" i="11"/>
  <c r="B736" i="11"/>
  <c r="C736" i="11"/>
  <c r="A737" i="11"/>
  <c r="B737" i="11"/>
  <c r="C737" i="11"/>
  <c r="A738" i="11"/>
  <c r="B738" i="11"/>
  <c r="C738" i="11"/>
  <c r="A739" i="11"/>
  <c r="B739" i="11"/>
  <c r="C739" i="11"/>
  <c r="A740" i="11"/>
  <c r="B740" i="11"/>
  <c r="C740" i="11"/>
  <c r="A741" i="11"/>
  <c r="B741" i="11"/>
  <c r="C741" i="11"/>
  <c r="A742" i="11"/>
  <c r="B742" i="11"/>
  <c r="C742" i="11"/>
  <c r="A743" i="11"/>
  <c r="B743" i="11"/>
  <c r="C743" i="11"/>
  <c r="A744" i="11"/>
  <c r="B744" i="11"/>
  <c r="C744" i="11"/>
  <c r="A745" i="11"/>
  <c r="B745" i="11"/>
  <c r="C745" i="11"/>
  <c r="A746" i="11"/>
  <c r="B746" i="11"/>
  <c r="C746" i="11"/>
  <c r="A747" i="11"/>
  <c r="B747" i="11"/>
  <c r="C747" i="11"/>
  <c r="A748" i="11"/>
  <c r="B748" i="11"/>
  <c r="C748" i="11"/>
  <c r="A749" i="11"/>
  <c r="B749" i="11"/>
  <c r="C749" i="11"/>
  <c r="A750" i="11"/>
  <c r="B750" i="11"/>
  <c r="C750" i="11"/>
  <c r="A751" i="11"/>
  <c r="B751" i="11"/>
  <c r="C751" i="11"/>
  <c r="A752" i="11"/>
  <c r="B752" i="11"/>
  <c r="C752" i="11"/>
  <c r="A753" i="11"/>
  <c r="B753" i="11"/>
  <c r="C753" i="11"/>
  <c r="A754" i="11"/>
  <c r="B754" i="11"/>
  <c r="C754" i="11"/>
  <c r="A755" i="11"/>
  <c r="B755" i="11"/>
  <c r="C755" i="11"/>
  <c r="A756" i="11"/>
  <c r="B756" i="11"/>
  <c r="C756" i="11"/>
  <c r="A757" i="11"/>
  <c r="B757" i="11"/>
  <c r="C757" i="11"/>
  <c r="A758" i="11"/>
  <c r="B758" i="11"/>
  <c r="C758" i="11"/>
  <c r="A759" i="11"/>
  <c r="B759" i="11"/>
  <c r="C759" i="11"/>
  <c r="A760" i="11"/>
  <c r="B760" i="11"/>
  <c r="C760" i="11"/>
  <c r="A761" i="11"/>
  <c r="B761" i="11"/>
  <c r="C761" i="11"/>
  <c r="A762" i="11"/>
  <c r="B762" i="11"/>
  <c r="C762" i="11"/>
  <c r="A763" i="11"/>
  <c r="B763" i="11"/>
  <c r="C763" i="11"/>
  <c r="A764" i="11"/>
  <c r="B764" i="11"/>
  <c r="C764" i="11"/>
  <c r="A765" i="11"/>
  <c r="B765" i="11"/>
  <c r="C765" i="11"/>
  <c r="A766" i="11"/>
  <c r="B766" i="11"/>
  <c r="C766" i="11"/>
  <c r="A767" i="11"/>
  <c r="B767" i="11"/>
  <c r="C767" i="11"/>
  <c r="A768" i="11"/>
  <c r="B768" i="11"/>
  <c r="C768" i="11"/>
  <c r="A769" i="11"/>
  <c r="B769" i="11"/>
  <c r="C769" i="11"/>
  <c r="A770" i="11"/>
  <c r="B770" i="11"/>
  <c r="C770" i="11"/>
  <c r="A771" i="11"/>
  <c r="B771" i="11"/>
  <c r="C771" i="11"/>
  <c r="A772" i="11"/>
  <c r="B772" i="11"/>
  <c r="C772" i="11"/>
  <c r="A773" i="11"/>
  <c r="B773" i="11"/>
  <c r="C773" i="11"/>
  <c r="A774" i="11"/>
  <c r="B774" i="11"/>
  <c r="C774" i="11"/>
  <c r="A775" i="11"/>
  <c r="B775" i="11"/>
  <c r="C775" i="11"/>
  <c r="A776" i="11"/>
  <c r="B776" i="11"/>
  <c r="C776" i="11"/>
  <c r="A777" i="11"/>
  <c r="B777" i="11"/>
  <c r="C777" i="11"/>
  <c r="A778" i="11"/>
  <c r="B778" i="11"/>
  <c r="C778" i="11"/>
  <c r="A779" i="11"/>
  <c r="B779" i="11"/>
  <c r="C779" i="11"/>
  <c r="A780" i="11"/>
  <c r="B780" i="11"/>
  <c r="C780" i="11"/>
  <c r="A781" i="11"/>
  <c r="B781" i="11"/>
  <c r="C781" i="11"/>
  <c r="A782" i="11"/>
  <c r="B782" i="11"/>
  <c r="C782" i="11"/>
  <c r="A783" i="11"/>
  <c r="B783" i="11"/>
  <c r="C783" i="11"/>
  <c r="A784" i="11"/>
  <c r="B784" i="11"/>
  <c r="C784" i="11"/>
  <c r="A785" i="11"/>
  <c r="B785" i="11"/>
  <c r="C785" i="11"/>
  <c r="A786" i="11"/>
  <c r="B786" i="11"/>
  <c r="C786" i="11"/>
  <c r="A787" i="11"/>
  <c r="B787" i="11"/>
  <c r="C787" i="11"/>
  <c r="A788" i="11"/>
  <c r="B788" i="11"/>
  <c r="C788" i="11"/>
  <c r="A789" i="11"/>
  <c r="B789" i="11"/>
  <c r="C789" i="11"/>
  <c r="A790" i="11"/>
  <c r="B790" i="11"/>
  <c r="C790" i="11"/>
  <c r="A791" i="11"/>
  <c r="B791" i="11"/>
  <c r="C791" i="11"/>
  <c r="A792" i="11"/>
  <c r="B792" i="11"/>
  <c r="C792" i="11"/>
  <c r="A793" i="11"/>
  <c r="B793" i="11"/>
  <c r="C793" i="11"/>
  <c r="A794" i="11"/>
  <c r="B794" i="11"/>
  <c r="C794" i="11"/>
  <c r="A795" i="11"/>
  <c r="B795" i="11"/>
  <c r="C795" i="11"/>
  <c r="A796" i="11"/>
  <c r="B796" i="11"/>
  <c r="C796" i="11"/>
  <c r="A797" i="11"/>
  <c r="B797" i="11"/>
  <c r="C797" i="11"/>
  <c r="A798" i="11"/>
  <c r="B798" i="11"/>
  <c r="C798" i="11"/>
  <c r="A799" i="11"/>
  <c r="B799" i="11"/>
  <c r="C799" i="11"/>
  <c r="A800" i="11"/>
  <c r="B800" i="11"/>
  <c r="C800" i="11"/>
  <c r="A801" i="11"/>
  <c r="B801" i="11"/>
  <c r="C801" i="11"/>
  <c r="A802" i="11"/>
  <c r="B802" i="11"/>
  <c r="C802" i="11"/>
  <c r="A803" i="11"/>
  <c r="B803" i="11"/>
  <c r="C803" i="11"/>
  <c r="A804" i="11"/>
  <c r="B804" i="11"/>
  <c r="C804" i="11"/>
  <c r="A805" i="11"/>
  <c r="B805" i="11"/>
  <c r="C805" i="11"/>
  <c r="A806" i="11"/>
  <c r="B806" i="11"/>
  <c r="C806" i="11"/>
  <c r="A807" i="11"/>
  <c r="B807" i="11"/>
  <c r="C807" i="11"/>
  <c r="A808" i="11"/>
  <c r="B808" i="11"/>
  <c r="C808" i="11"/>
  <c r="A809" i="11"/>
  <c r="B809" i="11"/>
  <c r="C809" i="11"/>
  <c r="A810" i="11"/>
  <c r="B810" i="11"/>
  <c r="C810" i="11"/>
  <c r="A811" i="11"/>
  <c r="B811" i="11"/>
  <c r="C811" i="11"/>
  <c r="A812" i="11"/>
  <c r="B812" i="11"/>
  <c r="C812" i="11"/>
  <c r="A813" i="11"/>
  <c r="B813" i="11"/>
  <c r="C813" i="11"/>
  <c r="A814" i="11"/>
  <c r="B814" i="11"/>
  <c r="C814" i="11"/>
  <c r="A815" i="11"/>
  <c r="B815" i="11"/>
  <c r="C815" i="11"/>
  <c r="A816" i="11"/>
  <c r="B816" i="11"/>
  <c r="C816" i="11"/>
  <c r="A817" i="11"/>
  <c r="B817" i="11"/>
  <c r="C817" i="11"/>
  <c r="A818" i="11"/>
  <c r="B818" i="11"/>
  <c r="C818" i="11"/>
  <c r="A819" i="11"/>
  <c r="B819" i="11"/>
  <c r="C819" i="11"/>
  <c r="A820" i="11"/>
  <c r="B820" i="11"/>
  <c r="C820" i="11"/>
  <c r="A821" i="11"/>
  <c r="B821" i="11"/>
  <c r="C821" i="11"/>
  <c r="A822" i="11"/>
  <c r="B822" i="11"/>
  <c r="C822" i="11"/>
  <c r="A823" i="11"/>
  <c r="B823" i="11"/>
  <c r="C823" i="11"/>
  <c r="A824" i="11"/>
  <c r="B824" i="11"/>
  <c r="C824" i="11"/>
  <c r="A825" i="11"/>
  <c r="B825" i="11"/>
  <c r="C825" i="11"/>
  <c r="A826" i="11"/>
  <c r="B826" i="11"/>
  <c r="C826" i="11"/>
  <c r="A827" i="11"/>
  <c r="B827" i="11"/>
  <c r="C827" i="11"/>
  <c r="A828" i="11"/>
  <c r="B828" i="11"/>
  <c r="C828" i="11"/>
  <c r="A829" i="11"/>
  <c r="B829" i="11"/>
  <c r="C829" i="11"/>
  <c r="A830" i="11"/>
  <c r="B830" i="11"/>
  <c r="C830" i="11"/>
  <c r="A831" i="11"/>
  <c r="B831" i="11"/>
  <c r="C831" i="11"/>
  <c r="A832" i="11"/>
  <c r="B832" i="11"/>
  <c r="C832" i="11"/>
  <c r="A833" i="11"/>
  <c r="B833" i="11"/>
  <c r="C833" i="11"/>
  <c r="A834" i="11"/>
  <c r="B834" i="11"/>
  <c r="C834" i="11"/>
  <c r="A835" i="11"/>
  <c r="B835" i="11"/>
  <c r="C835" i="11"/>
  <c r="A836" i="11"/>
  <c r="B836" i="11"/>
  <c r="C836" i="11"/>
  <c r="A837" i="11"/>
  <c r="B837" i="11"/>
  <c r="C837" i="11"/>
  <c r="A838" i="11"/>
  <c r="B838" i="11"/>
  <c r="C838" i="11"/>
  <c r="A839" i="11"/>
  <c r="B839" i="11"/>
  <c r="C839" i="11"/>
  <c r="A840" i="11"/>
  <c r="B840" i="11"/>
  <c r="C840" i="11"/>
  <c r="A841" i="11"/>
  <c r="B841" i="11"/>
  <c r="C841" i="11"/>
  <c r="A842" i="11"/>
  <c r="B842" i="11"/>
  <c r="C842" i="11"/>
  <c r="A843" i="11"/>
  <c r="B843" i="11"/>
  <c r="C843" i="11"/>
  <c r="A844" i="11"/>
  <c r="B844" i="11"/>
  <c r="C844" i="11"/>
  <c r="A845" i="11"/>
  <c r="B845" i="11"/>
  <c r="C845" i="11"/>
  <c r="A846" i="11"/>
  <c r="B846" i="11"/>
  <c r="C846" i="11"/>
  <c r="A847" i="11"/>
  <c r="B847" i="11"/>
  <c r="C847" i="11"/>
  <c r="A848" i="11"/>
  <c r="B848" i="11"/>
  <c r="C848" i="11"/>
  <c r="A849" i="11"/>
  <c r="B849" i="11"/>
  <c r="C849" i="11"/>
  <c r="A850" i="11"/>
  <c r="B850" i="11"/>
  <c r="C850" i="11"/>
  <c r="A851" i="11"/>
  <c r="B851" i="11"/>
  <c r="C851" i="11"/>
  <c r="A852" i="11"/>
  <c r="B852" i="11"/>
  <c r="C852" i="11"/>
  <c r="A853" i="11"/>
  <c r="B853" i="11"/>
  <c r="C853" i="11"/>
  <c r="A854" i="11"/>
  <c r="B854" i="11"/>
  <c r="C854" i="11"/>
  <c r="A855" i="11"/>
  <c r="B855" i="11"/>
  <c r="C855" i="11"/>
  <c r="A856" i="11"/>
  <c r="B856" i="11"/>
  <c r="C856" i="11"/>
  <c r="A857" i="11"/>
  <c r="B857" i="11"/>
  <c r="C857" i="11"/>
  <c r="A858" i="11"/>
  <c r="B858" i="11"/>
  <c r="C858" i="11"/>
  <c r="A859" i="11"/>
  <c r="B859" i="11"/>
  <c r="C859" i="11"/>
  <c r="A860" i="11"/>
  <c r="B860" i="11"/>
  <c r="C860" i="11"/>
  <c r="A861" i="11"/>
  <c r="B861" i="11"/>
  <c r="C861" i="11"/>
  <c r="A862" i="11"/>
  <c r="B862" i="11"/>
  <c r="C862" i="11"/>
  <c r="A863" i="11"/>
  <c r="B863" i="11"/>
  <c r="C863" i="11"/>
  <c r="A864" i="11"/>
  <c r="B864" i="11"/>
  <c r="C864" i="11"/>
  <c r="A865" i="11"/>
  <c r="B865" i="11"/>
  <c r="C865" i="11"/>
  <c r="A866" i="11"/>
  <c r="B866" i="11"/>
  <c r="C866" i="11"/>
  <c r="A867" i="11"/>
  <c r="B867" i="11"/>
  <c r="C867" i="11"/>
  <c r="A868" i="11"/>
  <c r="B868" i="11"/>
  <c r="C868" i="11"/>
  <c r="A869" i="11"/>
  <c r="B869" i="11"/>
  <c r="C869" i="11"/>
  <c r="A870" i="11"/>
  <c r="B870" i="11"/>
  <c r="C870" i="11"/>
  <c r="A871" i="11"/>
  <c r="B871" i="11"/>
  <c r="C871" i="11"/>
  <c r="A872" i="11"/>
  <c r="B872" i="11"/>
  <c r="C872" i="11"/>
  <c r="A873" i="11"/>
  <c r="B873" i="11"/>
  <c r="C873" i="11"/>
  <c r="A874" i="11"/>
  <c r="B874" i="11"/>
  <c r="C874" i="11"/>
  <c r="A875" i="11"/>
  <c r="B875" i="11"/>
  <c r="C875" i="11"/>
  <c r="A876" i="11"/>
  <c r="B876" i="11"/>
  <c r="C876" i="11"/>
  <c r="A877" i="11"/>
  <c r="B877" i="11"/>
  <c r="C877" i="11"/>
  <c r="A878" i="11"/>
  <c r="B878" i="11"/>
  <c r="C878" i="11"/>
  <c r="A879" i="11"/>
  <c r="B879" i="11"/>
  <c r="C879" i="11"/>
  <c r="A880" i="11"/>
  <c r="B880" i="11"/>
  <c r="C880" i="11"/>
  <c r="A881" i="11"/>
  <c r="B881" i="11"/>
  <c r="C881" i="11"/>
  <c r="A882" i="11"/>
  <c r="B882" i="11"/>
  <c r="C882" i="11"/>
  <c r="A883" i="11"/>
  <c r="B883" i="11"/>
  <c r="C883" i="11"/>
  <c r="A884" i="11"/>
  <c r="B884" i="11"/>
  <c r="C884" i="11"/>
  <c r="A885" i="11"/>
  <c r="B885" i="11"/>
  <c r="C885" i="11"/>
  <c r="A886" i="11"/>
  <c r="B886" i="11"/>
  <c r="C886" i="11"/>
  <c r="A887" i="11"/>
  <c r="B887" i="11"/>
  <c r="C887" i="11"/>
  <c r="A888" i="11"/>
  <c r="B888" i="11"/>
  <c r="C888" i="11"/>
  <c r="A889" i="11"/>
  <c r="B889" i="11"/>
  <c r="C889" i="11"/>
  <c r="A890" i="11"/>
  <c r="B890" i="11"/>
  <c r="C890" i="11"/>
  <c r="A891" i="11"/>
  <c r="B891" i="11"/>
  <c r="C891" i="11"/>
  <c r="A892" i="11"/>
  <c r="B892" i="11"/>
  <c r="C892" i="11"/>
  <c r="A893" i="11"/>
  <c r="B893" i="11"/>
  <c r="C893" i="11"/>
  <c r="A894" i="11"/>
  <c r="B894" i="11"/>
  <c r="C894" i="11"/>
  <c r="A895" i="11"/>
  <c r="B895" i="11"/>
  <c r="C895" i="11"/>
  <c r="A896" i="11"/>
  <c r="B896" i="11"/>
  <c r="C896" i="11"/>
  <c r="A897" i="11"/>
  <c r="B897" i="11"/>
  <c r="C897" i="11"/>
  <c r="A898" i="11"/>
  <c r="B898" i="11"/>
  <c r="C898" i="11"/>
  <c r="A899" i="11"/>
  <c r="B899" i="11"/>
  <c r="C899" i="11"/>
  <c r="A900" i="11"/>
  <c r="B900" i="11"/>
  <c r="C900" i="11"/>
  <c r="A901" i="11"/>
  <c r="B901" i="11"/>
  <c r="C901" i="11"/>
  <c r="A902" i="11"/>
  <c r="B902" i="11"/>
  <c r="C902" i="11"/>
  <c r="A903" i="11"/>
  <c r="B903" i="11"/>
  <c r="C903" i="11"/>
  <c r="A904" i="11"/>
  <c r="B904" i="11"/>
  <c r="C904" i="11"/>
  <c r="A905" i="11"/>
  <c r="B905" i="11"/>
  <c r="C905" i="11"/>
  <c r="A906" i="11"/>
  <c r="B906" i="11"/>
  <c r="C906" i="11"/>
  <c r="A907" i="11"/>
  <c r="B907" i="11"/>
  <c r="C907" i="11"/>
  <c r="A908" i="11"/>
  <c r="B908" i="11"/>
  <c r="C908" i="11"/>
  <c r="A909" i="11"/>
  <c r="B909" i="11"/>
  <c r="C909" i="11"/>
  <c r="A910" i="11"/>
  <c r="B910" i="11"/>
  <c r="C910" i="11"/>
  <c r="A911" i="11"/>
  <c r="B911" i="11"/>
  <c r="C911" i="11"/>
  <c r="A912" i="11"/>
  <c r="B912" i="11"/>
  <c r="C912" i="11"/>
  <c r="A913" i="11"/>
  <c r="B913" i="11"/>
  <c r="C913" i="11"/>
  <c r="A914" i="11"/>
  <c r="B914" i="11"/>
  <c r="C914" i="11"/>
  <c r="A915" i="11"/>
  <c r="B915" i="11"/>
  <c r="C915" i="11"/>
  <c r="A916" i="11"/>
  <c r="B916" i="11"/>
  <c r="C916" i="11"/>
  <c r="A917" i="11"/>
  <c r="B917" i="11"/>
  <c r="C917" i="11"/>
  <c r="A918" i="11"/>
  <c r="B918" i="11"/>
  <c r="C918" i="11"/>
  <c r="A919" i="11"/>
  <c r="B919" i="11"/>
  <c r="C919" i="11"/>
  <c r="A920" i="11"/>
  <c r="B920" i="11"/>
  <c r="C920" i="11"/>
  <c r="A921" i="11"/>
  <c r="B921" i="11"/>
  <c r="C921" i="11"/>
  <c r="A922" i="11"/>
  <c r="B922" i="11"/>
  <c r="C922" i="11"/>
  <c r="A923" i="11"/>
  <c r="B923" i="11"/>
  <c r="C923" i="11"/>
  <c r="A924" i="11"/>
  <c r="B924" i="11"/>
  <c r="C924" i="11"/>
  <c r="A925" i="11"/>
  <c r="B925" i="11"/>
  <c r="C925" i="11"/>
  <c r="A926" i="11"/>
  <c r="B926" i="11"/>
  <c r="C926" i="11"/>
  <c r="A927" i="11"/>
  <c r="B927" i="11"/>
  <c r="C927" i="11"/>
  <c r="A928" i="11"/>
  <c r="B928" i="11"/>
  <c r="C928" i="11"/>
  <c r="A929" i="11"/>
  <c r="B929" i="11"/>
  <c r="C929" i="11"/>
  <c r="A930" i="11"/>
  <c r="B930" i="11"/>
  <c r="C930" i="11"/>
  <c r="A931" i="11"/>
  <c r="B931" i="11"/>
  <c r="C931" i="11"/>
  <c r="A932" i="11"/>
  <c r="B932" i="11"/>
  <c r="C932" i="11"/>
  <c r="A933" i="11"/>
  <c r="B933" i="11"/>
  <c r="C933" i="11"/>
  <c r="A934" i="11"/>
  <c r="B934" i="11"/>
  <c r="C934" i="11"/>
  <c r="A935" i="11"/>
  <c r="B935" i="11"/>
  <c r="C935" i="11"/>
  <c r="A936" i="11"/>
  <c r="B936" i="11"/>
  <c r="C936" i="11"/>
  <c r="A937" i="11"/>
  <c r="B937" i="11"/>
  <c r="C937" i="11"/>
  <c r="A938" i="11"/>
  <c r="B938" i="11"/>
  <c r="C938" i="11"/>
  <c r="A939" i="11"/>
  <c r="B939" i="11"/>
  <c r="C939" i="11"/>
  <c r="A940" i="11"/>
  <c r="B940" i="11"/>
  <c r="C940" i="11"/>
  <c r="A941" i="11"/>
  <c r="B941" i="11"/>
  <c r="C941" i="11"/>
  <c r="A942" i="11"/>
  <c r="B942" i="11"/>
  <c r="C942" i="11"/>
  <c r="A943" i="11"/>
  <c r="B943" i="11"/>
  <c r="C943" i="11"/>
  <c r="A944" i="11"/>
  <c r="B944" i="11"/>
  <c r="C944" i="11"/>
  <c r="A945" i="11"/>
  <c r="B945" i="11"/>
  <c r="C945" i="11"/>
  <c r="A946" i="11"/>
  <c r="B946" i="11"/>
  <c r="C946" i="11"/>
  <c r="A947" i="11"/>
  <c r="B947" i="11"/>
  <c r="C947" i="11"/>
  <c r="A948" i="11"/>
  <c r="B948" i="11"/>
  <c r="C948" i="11"/>
  <c r="A949" i="11"/>
  <c r="B949" i="11"/>
  <c r="C949" i="11"/>
  <c r="A950" i="11"/>
  <c r="B950" i="11"/>
  <c r="C950" i="11"/>
  <c r="A951" i="11"/>
  <c r="B951" i="11"/>
  <c r="C951" i="11"/>
  <c r="A952" i="11"/>
  <c r="B952" i="11"/>
  <c r="C952" i="11"/>
  <c r="A953" i="11"/>
  <c r="B953" i="11"/>
  <c r="C953" i="11"/>
  <c r="A954" i="11"/>
  <c r="B954" i="11"/>
  <c r="C954" i="11"/>
  <c r="A955" i="11"/>
  <c r="B955" i="11"/>
  <c r="C955" i="11"/>
  <c r="A956" i="11"/>
  <c r="B956" i="11"/>
  <c r="C956" i="11"/>
  <c r="A957" i="11"/>
  <c r="B957" i="11"/>
  <c r="C957" i="11"/>
  <c r="A958" i="11"/>
  <c r="B958" i="11"/>
  <c r="C958" i="11"/>
  <c r="A959" i="11"/>
  <c r="B959" i="11"/>
  <c r="C959" i="11"/>
  <c r="A960" i="11"/>
  <c r="B960" i="11"/>
  <c r="C960" i="11"/>
  <c r="A961" i="11"/>
  <c r="B961" i="11"/>
  <c r="C961" i="11"/>
  <c r="A962" i="11"/>
  <c r="B962" i="11"/>
  <c r="C962" i="11"/>
  <c r="A963" i="11"/>
  <c r="B963" i="11"/>
  <c r="C963" i="11"/>
  <c r="A964" i="11"/>
  <c r="B964" i="11"/>
  <c r="C964" i="11"/>
  <c r="A965" i="11"/>
  <c r="B965" i="11"/>
  <c r="C965" i="11"/>
  <c r="A966" i="11"/>
  <c r="B966" i="11"/>
  <c r="C966" i="11"/>
  <c r="A967" i="11"/>
  <c r="B967" i="11"/>
  <c r="C967" i="11"/>
  <c r="A968" i="11"/>
  <c r="B968" i="11"/>
  <c r="C968" i="11"/>
  <c r="A969" i="11"/>
  <c r="B969" i="11"/>
  <c r="C969" i="11"/>
  <c r="A970" i="11"/>
  <c r="B970" i="11"/>
  <c r="C970" i="11"/>
  <c r="A971" i="11"/>
  <c r="B971" i="11"/>
  <c r="C971" i="11"/>
  <c r="A972" i="11"/>
  <c r="B972" i="11"/>
  <c r="C972" i="11"/>
  <c r="A973" i="11"/>
  <c r="B973" i="11"/>
  <c r="C973" i="11"/>
  <c r="A974" i="11"/>
  <c r="B974" i="11"/>
  <c r="C974" i="11"/>
  <c r="A975" i="11"/>
  <c r="B975" i="11"/>
  <c r="C975" i="11"/>
  <c r="A976" i="11"/>
  <c r="B976" i="11"/>
  <c r="C976" i="11"/>
  <c r="A977" i="11"/>
  <c r="B977" i="11"/>
  <c r="C977" i="11"/>
  <c r="A978" i="11"/>
  <c r="B978" i="11"/>
  <c r="C978" i="11"/>
  <c r="A979" i="11"/>
  <c r="B979" i="11"/>
  <c r="C979" i="11"/>
  <c r="A980" i="11"/>
  <c r="B980" i="11"/>
  <c r="C980" i="11"/>
  <c r="A981" i="11"/>
  <c r="B981" i="11"/>
  <c r="C981" i="11"/>
  <c r="A982" i="11"/>
  <c r="B982" i="11"/>
  <c r="C982" i="11"/>
  <c r="A983" i="11"/>
  <c r="B983" i="11"/>
  <c r="C983" i="11"/>
  <c r="A984" i="11"/>
  <c r="B984" i="11"/>
  <c r="C984" i="11"/>
  <c r="A985" i="11"/>
  <c r="B985" i="11"/>
  <c r="C985" i="11"/>
  <c r="A986" i="11"/>
  <c r="B986" i="11"/>
  <c r="C986" i="11"/>
  <c r="A987" i="11"/>
  <c r="B987" i="11"/>
  <c r="C987" i="11"/>
  <c r="A988" i="11"/>
  <c r="B988" i="11"/>
  <c r="C988" i="11"/>
  <c r="A989" i="11"/>
  <c r="B989" i="11"/>
  <c r="C989" i="11"/>
  <c r="A990" i="11"/>
  <c r="B990" i="11"/>
  <c r="C990" i="11"/>
  <c r="A991" i="11"/>
  <c r="B991" i="11"/>
  <c r="C991" i="11"/>
  <c r="A992" i="11"/>
  <c r="B992" i="11"/>
  <c r="C992" i="11"/>
  <c r="A993" i="11"/>
  <c r="B993" i="11"/>
  <c r="C993" i="11"/>
  <c r="A994" i="11"/>
  <c r="B994" i="11"/>
  <c r="C994" i="11"/>
  <c r="A995" i="11"/>
  <c r="B995" i="11"/>
  <c r="C995" i="11"/>
  <c r="A996" i="11"/>
  <c r="B996" i="11"/>
  <c r="C996" i="11"/>
  <c r="A997" i="11"/>
  <c r="B997" i="11"/>
  <c r="C997" i="11"/>
  <c r="A998" i="11"/>
  <c r="B998" i="11"/>
  <c r="C998" i="11"/>
  <c r="A999" i="11"/>
  <c r="B999" i="11"/>
  <c r="C999" i="11"/>
  <c r="A1000" i="11"/>
  <c r="B1000" i="11"/>
  <c r="C1000" i="11"/>
  <c r="A1001" i="11"/>
  <c r="B1001" i="11"/>
  <c r="C1001" i="11"/>
  <c r="A1002" i="11"/>
  <c r="B1002" i="11"/>
  <c r="C1002" i="11"/>
  <c r="A1003" i="11"/>
  <c r="B1003" i="11"/>
  <c r="C1003" i="11"/>
  <c r="A1004" i="11"/>
  <c r="B1004" i="11"/>
  <c r="C1004" i="11"/>
  <c r="A1005" i="11"/>
  <c r="B1005" i="11"/>
  <c r="C1005" i="11"/>
  <c r="A1006" i="11"/>
  <c r="B1006" i="11"/>
  <c r="C1006" i="11"/>
  <c r="A1007" i="11"/>
  <c r="B1007" i="11"/>
  <c r="C1007" i="11"/>
  <c r="A1008" i="11"/>
  <c r="B1008" i="11"/>
  <c r="C1008" i="11"/>
  <c r="A1009" i="11"/>
  <c r="B1009" i="11"/>
  <c r="C1009" i="11"/>
  <c r="A1010" i="11"/>
  <c r="B1010" i="11"/>
  <c r="C1010" i="11"/>
  <c r="A1011" i="11"/>
  <c r="B1011" i="11"/>
  <c r="C1011" i="11"/>
  <c r="A1012" i="11"/>
  <c r="B1012" i="11"/>
  <c r="C1012" i="11"/>
  <c r="A1013" i="11"/>
  <c r="B1013" i="11"/>
  <c r="C1013" i="11"/>
  <c r="A1014" i="11"/>
  <c r="B1014" i="11"/>
  <c r="C1014" i="11"/>
  <c r="A1015" i="11"/>
  <c r="B1015" i="11"/>
  <c r="C1015" i="11"/>
  <c r="A1016" i="11"/>
  <c r="B1016" i="11"/>
  <c r="C1016" i="11"/>
  <c r="A1017" i="11"/>
  <c r="B1017" i="11"/>
  <c r="C1017" i="11"/>
  <c r="A1018" i="11"/>
  <c r="B1018" i="11"/>
  <c r="C1018" i="11"/>
  <c r="A1019" i="11"/>
  <c r="B1019" i="11"/>
  <c r="C1019" i="11"/>
  <c r="A1020" i="11"/>
  <c r="B1020" i="11"/>
  <c r="C1020" i="11"/>
  <c r="A1021" i="11"/>
  <c r="B1021" i="11"/>
  <c r="C1021" i="11"/>
  <c r="A1022" i="11"/>
  <c r="B1022" i="11"/>
  <c r="C1022" i="11"/>
  <c r="A1023" i="11"/>
  <c r="B1023" i="11"/>
  <c r="C1023" i="11"/>
  <c r="A1024" i="11"/>
  <c r="B1024" i="11"/>
  <c r="C1024" i="11"/>
  <c r="A1025" i="11"/>
  <c r="B1025" i="11"/>
  <c r="C1025" i="11"/>
  <c r="A1026" i="11"/>
  <c r="B1026" i="11"/>
  <c r="C1026" i="11"/>
  <c r="A1027" i="11"/>
  <c r="B1027" i="11"/>
  <c r="C1027" i="11"/>
  <c r="A1028" i="11"/>
  <c r="B1028" i="11"/>
  <c r="C1028" i="11"/>
  <c r="A1029" i="11"/>
  <c r="B1029" i="11"/>
  <c r="C1029" i="11"/>
  <c r="A1030" i="11"/>
  <c r="B1030" i="11"/>
  <c r="C1030" i="11"/>
  <c r="A1031" i="11"/>
  <c r="B1031" i="11"/>
  <c r="C1031" i="11"/>
  <c r="A1032" i="11"/>
  <c r="B1032" i="11"/>
  <c r="C1032" i="11"/>
  <c r="A1033" i="11"/>
  <c r="B1033" i="11"/>
  <c r="C1033" i="11"/>
  <c r="A1034" i="11"/>
  <c r="B1034" i="11"/>
  <c r="C1034" i="11"/>
  <c r="A1035" i="11"/>
  <c r="B1035" i="11"/>
  <c r="C1035" i="11"/>
  <c r="A1036" i="11"/>
  <c r="B1036" i="11"/>
  <c r="C1036" i="11"/>
  <c r="A1037" i="11"/>
  <c r="B1037" i="11"/>
  <c r="C1037" i="11"/>
  <c r="A1038" i="11"/>
  <c r="B1038" i="11"/>
  <c r="C1038" i="11"/>
  <c r="A1039" i="11"/>
  <c r="B1039" i="11"/>
  <c r="C1039" i="11"/>
  <c r="A1040" i="11"/>
  <c r="B1040" i="11"/>
  <c r="C1040" i="11"/>
  <c r="A1041" i="11"/>
  <c r="B1041" i="11"/>
  <c r="C1041" i="11"/>
  <c r="A1042" i="11"/>
  <c r="B1042" i="11"/>
  <c r="C1042" i="11"/>
  <c r="A1043" i="11"/>
  <c r="B1043" i="11"/>
  <c r="C1043" i="11"/>
  <c r="A1044" i="11"/>
  <c r="B1044" i="11"/>
  <c r="C1044" i="11"/>
  <c r="A1045" i="11"/>
  <c r="B1045" i="11"/>
  <c r="C1045" i="11"/>
  <c r="A1046" i="11"/>
  <c r="B1046" i="11"/>
  <c r="C1046" i="11"/>
  <c r="A1047" i="11"/>
  <c r="B1047" i="11"/>
  <c r="C1047" i="11"/>
  <c r="A1048" i="11"/>
  <c r="B1048" i="11"/>
  <c r="C1048" i="11"/>
  <c r="A1049" i="11"/>
  <c r="B1049" i="11"/>
  <c r="C1049" i="11"/>
  <c r="A1050" i="11"/>
  <c r="B1050" i="11"/>
  <c r="C1050" i="11"/>
  <c r="A1051" i="11"/>
  <c r="B1051" i="11"/>
  <c r="C1051" i="11"/>
  <c r="A1052" i="11"/>
  <c r="B1052" i="11"/>
  <c r="C1052" i="11"/>
  <c r="A1053" i="11"/>
  <c r="B1053" i="11"/>
  <c r="C1053" i="11"/>
  <c r="A1054" i="11"/>
  <c r="B1054" i="11"/>
  <c r="C1054" i="11"/>
  <c r="A1055" i="11"/>
  <c r="B1055" i="11"/>
  <c r="C1055" i="11"/>
  <c r="A1056" i="11"/>
  <c r="B1056" i="11"/>
  <c r="C1056" i="11"/>
  <c r="A1057" i="11"/>
  <c r="B1057" i="11"/>
  <c r="C1057" i="11"/>
  <c r="A1058" i="11"/>
  <c r="B1058" i="11"/>
  <c r="C1058" i="11"/>
  <c r="A1059" i="11"/>
  <c r="B1059" i="11"/>
  <c r="C1059" i="11"/>
  <c r="A1060" i="11"/>
  <c r="B1060" i="11"/>
  <c r="C1060" i="11"/>
  <c r="A1061" i="11"/>
  <c r="B1061" i="11"/>
  <c r="C1061" i="11"/>
  <c r="A1062" i="11"/>
  <c r="B1062" i="11"/>
  <c r="C1062" i="11"/>
  <c r="A1063" i="11"/>
  <c r="B1063" i="11"/>
  <c r="C1063" i="11"/>
  <c r="A1064" i="11"/>
  <c r="B1064" i="11"/>
  <c r="C1064" i="11"/>
  <c r="A1065" i="11"/>
  <c r="B1065" i="11"/>
  <c r="C1065" i="11"/>
  <c r="A1066" i="11"/>
  <c r="B1066" i="11"/>
  <c r="C1066" i="11"/>
  <c r="A1067" i="11"/>
  <c r="B1067" i="11"/>
  <c r="C1067" i="11"/>
  <c r="A1068" i="11"/>
  <c r="B1068" i="11"/>
  <c r="C1068" i="11"/>
  <c r="A1069" i="11"/>
  <c r="B1069" i="11"/>
  <c r="C1069" i="11"/>
  <c r="A1070" i="11"/>
  <c r="B1070" i="11"/>
  <c r="C1070" i="11"/>
  <c r="A1071" i="11"/>
  <c r="B1071" i="11"/>
  <c r="C1071" i="11"/>
  <c r="A1072" i="11"/>
  <c r="B1072" i="11"/>
  <c r="C1072" i="11"/>
  <c r="A1073" i="11"/>
  <c r="B1073" i="11"/>
  <c r="C1073" i="11"/>
  <c r="A1074" i="11"/>
  <c r="B1074" i="11"/>
  <c r="C1074" i="11"/>
  <c r="A1075" i="11"/>
  <c r="B1075" i="11"/>
  <c r="C1075" i="11"/>
  <c r="A1076" i="11"/>
  <c r="B1076" i="11"/>
  <c r="C1076" i="11"/>
  <c r="A1077" i="11"/>
  <c r="B1077" i="11"/>
  <c r="C1077" i="11"/>
  <c r="A1078" i="11"/>
  <c r="B1078" i="11"/>
  <c r="C1078" i="11"/>
  <c r="A1079" i="11"/>
  <c r="B1079" i="11"/>
  <c r="C1079" i="11"/>
  <c r="A1080" i="11"/>
  <c r="B1080" i="11"/>
  <c r="C1080" i="11"/>
  <c r="A1081" i="11"/>
  <c r="B1081" i="11"/>
  <c r="C1081" i="11"/>
  <c r="A1082" i="11"/>
  <c r="B1082" i="11"/>
  <c r="C1082" i="11"/>
  <c r="A1083" i="11"/>
  <c r="B1083" i="11"/>
  <c r="C1083" i="11"/>
  <c r="A1084" i="11"/>
  <c r="B1084" i="11"/>
  <c r="C1084" i="11"/>
  <c r="A1085" i="11"/>
  <c r="B1085" i="11"/>
  <c r="C1085" i="11"/>
  <c r="A1086" i="11"/>
  <c r="B1086" i="11"/>
  <c r="C1086" i="11"/>
  <c r="A1087" i="11"/>
  <c r="B1087" i="11"/>
  <c r="C1087" i="11"/>
  <c r="A1088" i="11"/>
  <c r="B1088" i="11"/>
  <c r="C1088" i="11"/>
  <c r="A1089" i="11"/>
  <c r="B1089" i="11"/>
  <c r="C1089" i="11"/>
  <c r="A1090" i="11"/>
  <c r="B1090" i="11"/>
  <c r="C1090" i="11"/>
  <c r="A1091" i="11"/>
  <c r="B1091" i="11"/>
  <c r="C1091" i="11"/>
  <c r="A1092" i="11"/>
  <c r="B1092" i="11"/>
  <c r="C1092" i="11"/>
  <c r="A1093" i="11"/>
  <c r="B1093" i="11"/>
  <c r="C1093" i="11"/>
  <c r="A1094" i="11"/>
  <c r="B1094" i="11"/>
  <c r="C1094" i="11"/>
  <c r="A1095" i="11"/>
  <c r="B1095" i="11"/>
  <c r="C1095" i="11"/>
  <c r="A1096" i="11"/>
  <c r="B1096" i="11"/>
  <c r="C1096" i="11"/>
  <c r="A1097" i="11"/>
  <c r="B1097" i="11"/>
  <c r="C1097" i="11"/>
  <c r="A1098" i="11"/>
  <c r="B1098" i="11"/>
  <c r="C1098" i="11"/>
  <c r="A1099" i="11"/>
  <c r="B1099" i="11"/>
  <c r="C1099" i="11"/>
  <c r="A1100" i="11"/>
  <c r="B1100" i="11"/>
  <c r="C1100" i="11"/>
  <c r="A1101" i="11"/>
  <c r="B1101" i="11"/>
  <c r="C1101" i="11"/>
  <c r="A1102" i="11"/>
  <c r="B1102" i="11"/>
  <c r="C1102" i="11"/>
  <c r="A1103" i="11"/>
  <c r="B1103" i="11"/>
  <c r="C1103" i="11"/>
  <c r="A1104" i="11"/>
  <c r="B1104" i="11"/>
  <c r="C1104" i="11"/>
  <c r="A1105" i="11"/>
  <c r="B1105" i="11"/>
  <c r="C1105" i="11"/>
  <c r="A1106" i="11"/>
  <c r="B1106" i="11"/>
  <c r="C1106" i="11"/>
  <c r="A1107" i="11"/>
  <c r="B1107" i="11"/>
  <c r="C1107" i="11"/>
  <c r="A1108" i="11"/>
  <c r="B1108" i="11"/>
  <c r="C1108" i="11"/>
  <c r="A1109" i="11"/>
  <c r="B1109" i="11"/>
  <c r="C1109" i="11"/>
  <c r="A1110" i="11"/>
  <c r="B1110" i="11"/>
  <c r="C1110" i="11"/>
  <c r="A1111" i="11"/>
  <c r="B1111" i="11"/>
  <c r="C1111" i="11"/>
  <c r="A1112" i="11"/>
  <c r="B1112" i="11"/>
  <c r="C1112" i="11"/>
  <c r="A1113" i="11"/>
  <c r="B1113" i="11"/>
  <c r="C1113" i="11"/>
  <c r="A1114" i="11"/>
  <c r="B1114" i="11"/>
  <c r="C1114" i="11"/>
  <c r="A1115" i="11"/>
  <c r="B1115" i="11"/>
  <c r="C1115" i="11"/>
  <c r="A1116" i="11"/>
  <c r="B1116" i="11"/>
  <c r="C1116" i="11"/>
  <c r="A1117" i="11"/>
  <c r="B1117" i="11"/>
  <c r="C1117" i="11"/>
  <c r="A1118" i="11"/>
  <c r="B1118" i="11"/>
  <c r="C1118" i="11"/>
  <c r="A1119" i="11"/>
  <c r="B1119" i="11"/>
  <c r="C1119" i="11"/>
  <c r="A1120" i="11"/>
  <c r="B1120" i="11"/>
  <c r="C1120" i="11"/>
  <c r="A1121" i="11"/>
  <c r="B1121" i="11"/>
  <c r="C1121" i="11"/>
  <c r="A1122" i="11"/>
  <c r="B1122" i="11"/>
  <c r="C1122" i="11"/>
  <c r="A1123" i="11"/>
  <c r="B1123" i="11"/>
  <c r="C1123" i="11"/>
  <c r="A1124" i="11"/>
  <c r="B1124" i="11"/>
  <c r="C1124" i="11"/>
  <c r="A1125" i="11"/>
  <c r="B1125" i="11"/>
  <c r="C1125" i="11"/>
  <c r="A1126" i="11"/>
  <c r="B1126" i="11"/>
  <c r="C1126" i="11"/>
  <c r="A1127" i="11"/>
  <c r="B1127" i="11"/>
  <c r="C1127" i="11"/>
  <c r="A1128" i="11"/>
  <c r="B1128" i="11"/>
  <c r="C1128" i="11"/>
  <c r="A1129" i="11"/>
  <c r="B1129" i="11"/>
  <c r="C1129" i="11"/>
  <c r="A1130" i="11"/>
  <c r="B1130" i="11"/>
  <c r="C1130" i="11"/>
  <c r="A1131" i="11"/>
  <c r="B1131" i="11"/>
  <c r="C1131" i="11"/>
  <c r="A1132" i="11"/>
  <c r="B1132" i="11"/>
  <c r="C1132" i="11"/>
  <c r="A1133" i="11"/>
  <c r="B1133" i="11"/>
  <c r="C1133" i="11"/>
  <c r="A1134" i="11"/>
  <c r="B1134" i="11"/>
  <c r="C1134" i="11"/>
  <c r="A1135" i="11"/>
  <c r="B1135" i="11"/>
  <c r="C1135" i="11"/>
  <c r="A1136" i="11"/>
  <c r="B1136" i="11"/>
  <c r="C1136" i="11"/>
  <c r="A1137" i="11"/>
  <c r="B1137" i="11"/>
  <c r="C1137" i="11"/>
  <c r="A1138" i="11"/>
  <c r="B1138" i="11"/>
  <c r="C1138" i="11"/>
  <c r="A1139" i="11"/>
  <c r="B1139" i="11"/>
  <c r="C1139" i="11"/>
  <c r="A1140" i="11"/>
  <c r="B1140" i="11"/>
  <c r="C1140" i="11"/>
  <c r="A1141" i="11"/>
  <c r="B1141" i="11"/>
  <c r="C1141" i="11"/>
  <c r="A1142" i="11"/>
  <c r="B1142" i="11"/>
  <c r="C1142" i="11"/>
  <c r="A1143" i="11"/>
  <c r="B1143" i="11"/>
  <c r="C1143" i="11"/>
  <c r="A1144" i="11"/>
  <c r="B1144" i="11"/>
  <c r="C1144" i="11"/>
  <c r="A1145" i="11"/>
  <c r="B1145" i="11"/>
  <c r="C1145" i="11"/>
  <c r="A1146" i="11"/>
  <c r="B1146" i="11"/>
  <c r="C1146" i="11"/>
  <c r="A1147" i="11"/>
  <c r="B1147" i="11"/>
  <c r="C1147" i="11"/>
  <c r="A1148" i="11"/>
  <c r="B1148" i="11"/>
  <c r="C1148" i="11"/>
  <c r="A1149" i="11"/>
  <c r="B1149" i="11"/>
  <c r="C1149" i="11"/>
  <c r="A1150" i="11"/>
  <c r="B1150" i="11"/>
  <c r="C1150" i="11"/>
  <c r="A1151" i="11"/>
  <c r="B1151" i="11"/>
  <c r="C1151" i="11"/>
  <c r="A1152" i="11"/>
  <c r="B1152" i="11"/>
  <c r="C1152" i="11"/>
  <c r="A1153" i="11"/>
  <c r="B1153" i="11"/>
  <c r="C1153" i="11"/>
  <c r="A1154" i="11"/>
  <c r="B1154" i="11"/>
  <c r="C1154" i="11"/>
  <c r="A1155" i="11"/>
  <c r="B1155" i="11"/>
  <c r="C1155" i="11"/>
  <c r="A1156" i="11"/>
  <c r="B1156" i="11"/>
  <c r="C1156" i="11"/>
  <c r="A1157" i="11"/>
  <c r="B1157" i="11"/>
  <c r="C1157" i="11"/>
  <c r="A1158" i="11"/>
  <c r="B1158" i="11"/>
  <c r="C1158" i="11"/>
  <c r="A1159" i="11"/>
  <c r="B1159" i="11"/>
  <c r="C1159" i="11"/>
  <c r="A1160" i="11"/>
  <c r="B1160" i="11"/>
  <c r="C1160" i="11"/>
  <c r="A1161" i="11"/>
  <c r="B1161" i="11"/>
  <c r="C1161" i="11"/>
  <c r="A1162" i="11"/>
  <c r="B1162" i="11"/>
  <c r="C1162" i="11"/>
  <c r="A1163" i="11"/>
  <c r="B1163" i="11"/>
  <c r="C1163" i="11"/>
  <c r="A1164" i="11"/>
  <c r="B1164" i="11"/>
  <c r="C1164" i="11"/>
  <c r="A1165" i="11"/>
  <c r="B1165" i="11"/>
  <c r="C1165" i="11"/>
  <c r="A1166" i="11"/>
  <c r="B1166" i="11"/>
  <c r="C1166" i="11"/>
  <c r="A1167" i="11"/>
  <c r="B1167" i="11"/>
  <c r="C1167" i="11"/>
  <c r="A1168" i="11"/>
  <c r="B1168" i="11"/>
  <c r="C1168" i="11"/>
  <c r="A1169" i="11"/>
  <c r="B1169" i="11"/>
  <c r="C1169" i="11"/>
  <c r="A1170" i="11"/>
  <c r="B1170" i="11"/>
  <c r="C1170" i="11"/>
  <c r="A1171" i="11"/>
  <c r="B1171" i="11"/>
  <c r="C1171" i="11"/>
  <c r="A1172" i="11"/>
  <c r="B1172" i="11"/>
  <c r="C1172" i="11"/>
  <c r="A1173" i="11"/>
  <c r="B1173" i="11"/>
  <c r="C1173" i="11"/>
  <c r="A1174" i="11"/>
  <c r="B1174" i="11"/>
  <c r="C1174" i="11"/>
  <c r="A1175" i="11"/>
  <c r="B1175" i="11"/>
  <c r="C1175" i="11"/>
  <c r="A1176" i="11"/>
  <c r="B1176" i="11"/>
  <c r="C1176" i="11"/>
  <c r="A1177" i="11"/>
  <c r="B1177" i="11"/>
  <c r="C1177" i="11"/>
  <c r="A1178" i="11"/>
  <c r="B1178" i="11"/>
  <c r="C1178" i="11"/>
  <c r="A1179" i="11"/>
  <c r="B1179" i="11"/>
  <c r="C1179" i="11"/>
  <c r="A1180" i="11"/>
  <c r="B1180" i="11"/>
  <c r="C1180" i="11"/>
  <c r="A1181" i="11"/>
  <c r="B1181" i="11"/>
  <c r="C1181" i="11"/>
  <c r="A1182" i="11"/>
  <c r="B1182" i="11"/>
  <c r="C1182" i="11"/>
  <c r="A1183" i="11"/>
  <c r="B1183" i="11"/>
  <c r="C1183" i="11"/>
  <c r="A1184" i="11"/>
  <c r="B1184" i="11"/>
  <c r="C1184" i="11"/>
  <c r="A1185" i="11"/>
  <c r="B1185" i="11"/>
  <c r="C1185" i="11"/>
  <c r="A1186" i="11"/>
  <c r="B1186" i="11"/>
  <c r="C1186" i="11"/>
  <c r="A1187" i="11"/>
  <c r="B1187" i="11"/>
  <c r="C1187" i="11"/>
  <c r="A1188" i="11"/>
  <c r="B1188" i="11"/>
  <c r="C1188" i="11"/>
  <c r="A1189" i="11"/>
  <c r="B1189" i="11"/>
  <c r="C1189" i="11"/>
  <c r="A1190" i="11"/>
  <c r="B1190" i="11"/>
  <c r="C1190" i="11"/>
  <c r="A1191" i="11"/>
  <c r="B1191" i="11"/>
  <c r="C1191" i="11"/>
  <c r="A1192" i="11"/>
  <c r="B1192" i="11"/>
  <c r="C1192" i="11"/>
  <c r="A1193" i="11"/>
  <c r="B1193" i="11"/>
  <c r="C1193" i="11"/>
  <c r="A1194" i="11"/>
  <c r="B1194" i="11"/>
  <c r="C1194" i="11"/>
  <c r="A1195" i="11"/>
  <c r="B1195" i="11"/>
  <c r="C1195" i="11"/>
  <c r="A1196" i="11"/>
  <c r="B1196" i="11"/>
  <c r="C1196" i="11"/>
  <c r="A1197" i="11"/>
  <c r="B1197" i="11"/>
  <c r="C1197" i="11"/>
  <c r="A1198" i="11"/>
  <c r="B1198" i="11"/>
  <c r="C1198" i="11"/>
  <c r="A1199" i="11"/>
  <c r="B1199" i="11"/>
  <c r="C1199" i="11"/>
  <c r="A1200" i="11"/>
  <c r="B1200" i="11"/>
  <c r="C1200" i="11"/>
  <c r="A1201" i="11"/>
  <c r="B1201" i="11"/>
  <c r="C1201" i="11"/>
  <c r="A1202" i="11"/>
  <c r="B1202" i="11"/>
  <c r="C1202" i="11"/>
  <c r="A1203" i="11"/>
  <c r="B1203" i="11"/>
  <c r="C1203" i="11"/>
  <c r="A1204" i="11"/>
  <c r="B1204" i="11"/>
  <c r="C1204" i="11"/>
  <c r="A1205" i="11"/>
  <c r="B1205" i="11"/>
  <c r="C1205" i="11"/>
  <c r="A1206" i="11"/>
  <c r="B1206" i="11"/>
  <c r="C1206" i="11"/>
  <c r="A1207" i="11"/>
  <c r="B1207" i="11"/>
  <c r="C1207" i="11"/>
  <c r="A1208" i="11"/>
  <c r="B1208" i="11"/>
  <c r="C1208" i="11"/>
  <c r="A1209" i="11"/>
  <c r="B1209" i="11"/>
  <c r="C1209" i="11"/>
  <c r="A1210" i="11"/>
  <c r="B1210" i="11"/>
  <c r="C1210" i="11"/>
  <c r="A1211" i="11"/>
  <c r="B1211" i="11"/>
  <c r="C1211" i="11"/>
  <c r="A1212" i="11"/>
  <c r="B1212" i="11"/>
  <c r="C1212" i="11"/>
  <c r="A1213" i="11"/>
  <c r="B1213" i="11"/>
  <c r="C1213" i="11"/>
  <c r="A1214" i="11"/>
  <c r="B1214" i="11"/>
  <c r="C1214" i="11"/>
  <c r="A1215" i="11"/>
  <c r="B1215" i="11"/>
  <c r="C1215" i="11"/>
  <c r="A1216" i="11"/>
  <c r="B1216" i="11"/>
  <c r="C1216" i="11"/>
  <c r="A1217" i="11"/>
  <c r="B1217" i="11"/>
  <c r="C1217" i="11"/>
  <c r="A1218" i="11"/>
  <c r="B1218" i="11"/>
  <c r="C1218" i="11"/>
  <c r="A1219" i="11"/>
  <c r="B1219" i="11"/>
  <c r="C1219" i="11"/>
  <c r="A1220" i="11"/>
  <c r="B1220" i="11"/>
  <c r="C1220" i="11"/>
  <c r="A1221" i="11"/>
  <c r="B1221" i="11"/>
  <c r="C1221" i="11"/>
  <c r="A1222" i="11"/>
  <c r="B1222" i="11"/>
  <c r="C1222" i="11"/>
  <c r="A1223" i="11"/>
  <c r="B1223" i="11"/>
  <c r="C1223" i="11"/>
  <c r="A1224" i="11"/>
  <c r="B1224" i="11"/>
  <c r="C1224" i="11"/>
  <c r="A1225" i="11"/>
  <c r="B1225" i="11"/>
  <c r="C1225" i="11"/>
  <c r="A1226" i="11"/>
  <c r="B1226" i="11"/>
  <c r="C1226" i="11"/>
  <c r="A1227" i="11"/>
  <c r="B1227" i="11"/>
  <c r="C1227" i="11"/>
  <c r="A1228" i="11"/>
  <c r="B1228" i="11"/>
  <c r="C1228" i="11"/>
  <c r="A1229" i="11"/>
  <c r="B1229" i="11"/>
  <c r="C1229" i="11"/>
  <c r="A1230" i="11"/>
  <c r="B1230" i="11"/>
  <c r="C1230" i="11"/>
  <c r="A1231" i="11"/>
  <c r="B1231" i="11"/>
  <c r="C1231" i="11"/>
  <c r="A1232" i="11"/>
  <c r="B1232" i="11"/>
  <c r="C1232" i="11"/>
  <c r="A1233" i="11"/>
  <c r="B1233" i="11"/>
  <c r="C1233" i="11"/>
  <c r="A1234" i="11"/>
  <c r="B1234" i="11"/>
  <c r="C1234" i="11"/>
  <c r="A1235" i="11"/>
  <c r="B1235" i="11"/>
  <c r="C1235" i="11"/>
  <c r="A1236" i="11"/>
  <c r="B1236" i="11"/>
  <c r="C1236" i="11"/>
  <c r="A1237" i="11"/>
  <c r="B1237" i="11"/>
  <c r="C1237" i="11"/>
  <c r="A1238" i="11"/>
  <c r="B1238" i="11"/>
  <c r="C1238" i="11"/>
  <c r="A1239" i="11"/>
  <c r="B1239" i="11"/>
  <c r="C1239" i="11"/>
  <c r="A1240" i="11"/>
  <c r="B1240" i="11"/>
  <c r="C1240" i="11"/>
  <c r="A1241" i="11"/>
  <c r="B1241" i="11"/>
  <c r="C1241" i="11"/>
  <c r="A1242" i="11"/>
  <c r="B1242" i="11"/>
  <c r="C1242" i="11"/>
  <c r="A1243" i="11"/>
  <c r="B1243" i="11"/>
  <c r="C1243" i="11"/>
  <c r="A1244" i="11"/>
  <c r="B1244" i="11"/>
  <c r="C1244" i="11"/>
  <c r="A1245" i="11"/>
  <c r="B1245" i="11"/>
  <c r="C1245" i="11"/>
  <c r="A1246" i="11"/>
  <c r="B1246" i="11"/>
  <c r="C1246" i="11"/>
  <c r="A1247" i="11"/>
  <c r="B1247" i="11"/>
  <c r="C1247" i="11"/>
  <c r="A1248" i="11"/>
  <c r="B1248" i="11"/>
  <c r="C1248" i="11"/>
  <c r="A1249" i="11"/>
  <c r="B1249" i="11"/>
  <c r="C1249" i="11"/>
  <c r="A1250" i="11"/>
  <c r="B1250" i="11"/>
  <c r="C1250" i="11"/>
  <c r="A1251" i="11"/>
  <c r="B1251" i="11"/>
  <c r="C1251" i="11"/>
  <c r="A1252" i="11"/>
  <c r="B1252" i="11"/>
  <c r="C1252" i="11"/>
  <c r="A1253" i="11"/>
  <c r="B1253" i="11"/>
  <c r="C1253" i="11"/>
  <c r="A1254" i="11"/>
  <c r="B1254" i="11"/>
  <c r="C1254" i="11"/>
  <c r="A1255" i="11"/>
  <c r="B1255" i="11"/>
  <c r="C1255" i="11"/>
  <c r="A1256" i="11"/>
  <c r="B1256" i="11"/>
  <c r="C1256" i="11"/>
  <c r="A1257" i="11"/>
  <c r="B1257" i="11"/>
  <c r="C1257" i="11"/>
  <c r="A1258" i="11"/>
  <c r="B1258" i="11"/>
  <c r="C1258" i="11"/>
  <c r="A1259" i="11"/>
  <c r="B1259" i="11"/>
  <c r="C1259" i="11"/>
  <c r="A1260" i="11"/>
  <c r="B1260" i="11"/>
  <c r="C1260" i="11"/>
  <c r="A1261" i="11"/>
  <c r="B1261" i="11"/>
  <c r="C1261" i="11"/>
  <c r="A1262" i="11"/>
  <c r="B1262" i="11"/>
  <c r="C1262" i="11"/>
  <c r="A1263" i="11"/>
  <c r="B1263" i="11"/>
  <c r="C1263" i="11"/>
  <c r="A1264" i="11"/>
  <c r="B1264" i="11"/>
  <c r="C1264" i="11"/>
  <c r="A1265" i="11"/>
  <c r="B1265" i="11"/>
  <c r="C1265" i="11"/>
  <c r="A1266" i="11"/>
  <c r="B1266" i="11"/>
  <c r="C1266" i="11"/>
  <c r="A1267" i="11"/>
  <c r="B1267" i="11"/>
  <c r="C1267" i="11"/>
  <c r="A1268" i="11"/>
  <c r="B1268" i="11"/>
  <c r="C1268" i="11"/>
  <c r="A1269" i="11"/>
  <c r="B1269" i="11"/>
  <c r="C1269" i="11"/>
  <c r="A1270" i="11"/>
  <c r="B1270" i="11"/>
  <c r="C1270" i="11"/>
  <c r="A1271" i="11"/>
  <c r="B1271" i="11"/>
  <c r="C1271" i="11"/>
  <c r="A1272" i="11"/>
  <c r="B1272" i="11"/>
  <c r="C1272" i="11"/>
  <c r="A1273" i="11"/>
  <c r="B1273" i="11"/>
  <c r="C1273" i="11"/>
  <c r="A1274" i="11"/>
  <c r="B1274" i="11"/>
  <c r="C1274" i="11"/>
  <c r="A1275" i="11"/>
  <c r="B1275" i="11"/>
  <c r="C1275" i="11"/>
  <c r="A1276" i="11"/>
  <c r="B1276" i="11"/>
  <c r="C1276" i="11"/>
  <c r="A1277" i="11"/>
  <c r="B1277" i="11"/>
  <c r="C1277" i="11"/>
  <c r="A1278" i="11"/>
  <c r="B1278" i="11"/>
  <c r="C1278" i="11"/>
  <c r="A1279" i="11"/>
  <c r="B1279" i="11"/>
  <c r="C1279" i="11"/>
  <c r="A1280" i="11"/>
  <c r="B1280" i="11"/>
  <c r="C1280" i="11"/>
  <c r="A1281" i="11"/>
  <c r="B1281" i="11"/>
  <c r="C1281" i="11"/>
  <c r="A1282" i="11"/>
  <c r="B1282" i="11"/>
  <c r="C1282" i="11"/>
  <c r="A1283" i="11"/>
  <c r="B1283" i="11"/>
  <c r="C1283" i="11"/>
  <c r="A1284" i="11"/>
  <c r="B1284" i="11"/>
  <c r="C1284" i="11"/>
  <c r="A1285" i="11"/>
  <c r="B1285" i="11"/>
  <c r="C1285" i="11"/>
  <c r="A1286" i="11"/>
  <c r="B1286" i="11"/>
  <c r="C1286" i="11"/>
  <c r="A1287" i="11"/>
  <c r="B1287" i="11"/>
  <c r="C1287" i="11"/>
  <c r="A1288" i="11"/>
  <c r="B1288" i="11"/>
  <c r="C1288" i="11"/>
  <c r="A1289" i="11"/>
  <c r="B1289" i="11"/>
  <c r="C1289" i="11"/>
  <c r="A1290" i="11"/>
  <c r="B1290" i="11"/>
  <c r="C1290" i="11"/>
  <c r="A1291" i="11"/>
  <c r="B1291" i="11"/>
  <c r="C1291" i="11"/>
  <c r="A1292" i="11"/>
  <c r="B1292" i="11"/>
  <c r="C1292" i="11"/>
  <c r="A1293" i="11"/>
  <c r="B1293" i="11"/>
  <c r="C1293" i="11"/>
  <c r="A1294" i="11"/>
  <c r="B1294" i="11"/>
  <c r="C1294" i="11"/>
  <c r="A1295" i="11"/>
  <c r="B1295" i="11"/>
  <c r="C1295" i="11"/>
  <c r="A1296" i="11"/>
  <c r="B1296" i="11"/>
  <c r="C1296" i="11"/>
  <c r="A1297" i="11"/>
  <c r="B1297" i="11"/>
  <c r="C1297" i="11"/>
  <c r="A1298" i="11"/>
  <c r="B1298" i="11"/>
  <c r="C1298" i="11"/>
  <c r="A1299" i="11"/>
  <c r="B1299" i="11"/>
  <c r="C1299" i="11"/>
  <c r="A1300" i="11"/>
  <c r="B1300" i="11"/>
  <c r="C1300" i="11"/>
  <c r="A1301" i="11"/>
  <c r="B1301" i="11"/>
  <c r="C1301" i="11"/>
  <c r="A1302" i="11"/>
  <c r="B1302" i="11"/>
  <c r="C1302" i="11"/>
  <c r="A1303" i="11"/>
  <c r="B1303" i="11"/>
  <c r="C1303" i="11"/>
  <c r="A1304" i="11"/>
  <c r="B1304" i="11"/>
  <c r="C1304" i="11"/>
  <c r="A1305" i="11"/>
  <c r="B1305" i="11"/>
  <c r="C1305" i="11"/>
  <c r="A1306" i="11"/>
  <c r="B1306" i="11"/>
  <c r="C1306" i="11"/>
  <c r="A1307" i="11"/>
  <c r="B1307" i="11"/>
  <c r="C1307" i="11"/>
  <c r="A1308" i="11"/>
  <c r="B1308" i="11"/>
  <c r="C1308" i="11"/>
  <c r="A1309" i="11"/>
  <c r="B1309" i="11"/>
  <c r="C1309" i="11"/>
  <c r="A1310" i="11"/>
  <c r="B1310" i="11"/>
  <c r="C1310" i="11"/>
  <c r="A1311" i="11"/>
  <c r="B1311" i="11"/>
  <c r="C1311" i="11"/>
  <c r="A1312" i="11"/>
  <c r="B1312" i="11"/>
  <c r="C1312" i="11"/>
  <c r="A1313" i="11"/>
  <c r="B1313" i="11"/>
  <c r="C1313" i="11"/>
  <c r="A1314" i="11"/>
  <c r="B1314" i="11"/>
  <c r="C1314" i="11"/>
  <c r="A1315" i="11"/>
  <c r="B1315" i="11"/>
  <c r="C1315" i="11"/>
  <c r="A1316" i="11"/>
  <c r="B1316" i="11"/>
  <c r="C1316" i="11"/>
  <c r="A1317" i="11"/>
  <c r="B1317" i="11"/>
  <c r="C1317" i="11"/>
  <c r="A1318" i="11"/>
  <c r="B1318" i="11"/>
  <c r="C1318" i="11"/>
  <c r="A1319" i="11"/>
  <c r="B1319" i="11"/>
  <c r="C1319" i="11"/>
  <c r="A1320" i="11"/>
  <c r="B1320" i="11"/>
  <c r="C1320" i="11"/>
  <c r="A1321" i="11"/>
  <c r="B1321" i="11"/>
  <c r="C1321" i="11"/>
  <c r="A1322" i="11"/>
  <c r="B1322" i="11"/>
  <c r="C1322" i="11"/>
  <c r="A1323" i="11"/>
  <c r="B1323" i="11"/>
  <c r="C1323" i="11"/>
  <c r="A1324" i="11"/>
  <c r="B1324" i="11"/>
  <c r="C1324" i="11"/>
  <c r="A1325" i="11"/>
  <c r="B1325" i="11"/>
  <c r="C1325" i="11"/>
  <c r="A1326" i="11"/>
  <c r="B1326" i="11"/>
  <c r="C1326" i="11"/>
  <c r="A1327" i="11"/>
  <c r="B1327" i="11"/>
  <c r="C1327" i="11"/>
  <c r="A1328" i="11"/>
  <c r="B1328" i="11"/>
  <c r="C1328" i="11"/>
  <c r="A1329" i="11"/>
  <c r="B1329" i="11"/>
  <c r="C1329" i="11"/>
  <c r="A1330" i="11"/>
  <c r="B1330" i="11"/>
  <c r="C1330" i="11"/>
  <c r="A1331" i="11"/>
  <c r="B1331" i="11"/>
  <c r="C1331" i="11"/>
  <c r="A1332" i="11"/>
  <c r="B1332" i="11"/>
  <c r="C1332" i="11"/>
  <c r="A1333" i="11"/>
  <c r="B1333" i="11"/>
  <c r="C1333" i="11"/>
  <c r="A1334" i="11"/>
  <c r="B1334" i="11"/>
  <c r="C1334" i="11"/>
  <c r="A1335" i="11"/>
  <c r="B1335" i="11"/>
  <c r="C1335" i="11"/>
  <c r="A1336" i="11"/>
  <c r="B1336" i="11"/>
  <c r="C1336" i="11"/>
  <c r="A1337" i="11"/>
  <c r="B1337" i="11"/>
  <c r="C1337" i="11"/>
  <c r="A1338" i="11"/>
  <c r="B1338" i="11"/>
  <c r="C1338" i="11"/>
  <c r="A1339" i="11"/>
  <c r="B1339" i="11"/>
  <c r="C1339" i="11"/>
  <c r="A1340" i="11"/>
  <c r="B1340" i="11"/>
  <c r="C1340" i="11"/>
  <c r="A1341" i="11"/>
  <c r="B1341" i="11"/>
  <c r="C1341" i="11"/>
  <c r="A1342" i="11"/>
  <c r="B1342" i="11"/>
  <c r="C1342" i="11"/>
  <c r="A1343" i="11"/>
  <c r="B1343" i="11"/>
  <c r="C1343" i="11"/>
  <c r="A1344" i="11"/>
  <c r="B1344" i="11"/>
  <c r="C1344" i="11"/>
  <c r="A1345" i="11"/>
  <c r="B1345" i="11"/>
  <c r="C1345" i="11"/>
  <c r="A1346" i="11"/>
  <c r="B1346" i="11"/>
  <c r="C1346" i="11"/>
  <c r="A1347" i="11"/>
  <c r="B1347" i="11"/>
  <c r="C1347" i="11"/>
  <c r="A1348" i="11"/>
  <c r="B1348" i="11"/>
  <c r="C1348" i="11"/>
  <c r="A1349" i="11"/>
  <c r="B1349" i="11"/>
  <c r="C1349" i="11"/>
  <c r="A1350" i="11"/>
  <c r="B1350" i="11"/>
  <c r="C1350" i="11"/>
  <c r="A1351" i="11"/>
  <c r="B1351" i="11"/>
  <c r="C1351" i="11"/>
  <c r="A1352" i="11"/>
  <c r="B1352" i="11"/>
  <c r="C1352" i="11"/>
  <c r="A1353" i="11"/>
  <c r="B1353" i="11"/>
  <c r="C1353" i="11"/>
  <c r="A1354" i="11"/>
  <c r="B1354" i="11"/>
  <c r="C1354" i="11"/>
  <c r="A1355" i="11"/>
  <c r="B1355" i="11"/>
  <c r="C1355" i="11"/>
  <c r="A1356" i="11"/>
  <c r="B1356" i="11"/>
  <c r="C1356" i="11"/>
  <c r="A1357" i="11"/>
  <c r="B1357" i="11"/>
  <c r="C1357" i="11"/>
  <c r="A1358" i="11"/>
  <c r="B1358" i="11"/>
  <c r="C1358" i="11"/>
  <c r="A1359" i="11"/>
  <c r="B1359" i="11"/>
  <c r="C1359" i="11"/>
  <c r="A1360" i="11"/>
  <c r="B1360" i="11"/>
  <c r="C1360" i="11"/>
  <c r="A1361" i="11"/>
  <c r="B1361" i="11"/>
  <c r="C1361" i="11"/>
  <c r="A1362" i="11"/>
  <c r="B1362" i="11"/>
  <c r="C1362" i="11"/>
  <c r="A1363" i="11"/>
  <c r="B1363" i="11"/>
  <c r="C1363" i="11"/>
  <c r="A1364" i="11"/>
  <c r="B1364" i="11"/>
  <c r="C1364" i="11"/>
  <c r="A1365" i="11"/>
  <c r="B1365" i="11"/>
  <c r="C1365" i="11"/>
  <c r="A1366" i="11"/>
  <c r="B1366" i="11"/>
  <c r="C1366" i="11"/>
  <c r="A1367" i="11"/>
  <c r="B1367" i="11"/>
  <c r="C1367" i="11"/>
  <c r="A1368" i="11"/>
  <c r="B1368" i="11"/>
  <c r="C1368" i="11"/>
  <c r="A1369" i="11"/>
  <c r="B1369" i="11"/>
  <c r="C1369" i="11"/>
  <c r="A1370" i="11"/>
  <c r="B1370" i="11"/>
  <c r="C1370" i="11"/>
  <c r="A1371" i="11"/>
  <c r="B1371" i="11"/>
  <c r="C1371" i="11"/>
  <c r="A1372" i="11"/>
  <c r="B1372" i="11"/>
  <c r="C1372" i="11"/>
  <c r="A1373" i="11"/>
  <c r="B1373" i="11"/>
  <c r="C1373" i="11"/>
  <c r="A1374" i="11"/>
  <c r="B1374" i="11"/>
  <c r="C1374" i="11"/>
  <c r="A1375" i="11"/>
  <c r="B1375" i="11"/>
  <c r="C1375" i="11"/>
  <c r="A1376" i="11"/>
  <c r="B1376" i="11"/>
  <c r="C1376" i="11"/>
  <c r="A1377" i="11"/>
  <c r="B1377" i="11"/>
  <c r="C1377" i="11"/>
  <c r="A1378" i="11"/>
  <c r="B1378" i="11"/>
  <c r="C1378" i="11"/>
  <c r="A1379" i="11"/>
  <c r="B1379" i="11"/>
  <c r="C1379" i="11"/>
  <c r="A1380" i="11"/>
  <c r="B1380" i="11"/>
  <c r="C1380" i="11"/>
  <c r="A1381" i="11"/>
  <c r="B1381" i="11"/>
  <c r="C1381" i="11"/>
  <c r="A1382" i="11"/>
  <c r="B1382" i="11"/>
  <c r="C1382" i="11"/>
  <c r="A1383" i="11"/>
  <c r="B1383" i="11"/>
  <c r="C1383" i="11"/>
  <c r="A1384" i="11"/>
  <c r="B1384" i="11"/>
  <c r="C1384" i="11"/>
  <c r="A1385" i="11"/>
  <c r="B1385" i="11"/>
  <c r="C1385" i="11"/>
  <c r="A1386" i="11"/>
  <c r="B1386" i="11"/>
  <c r="C1386" i="11"/>
  <c r="A1387" i="11"/>
  <c r="B1387" i="11"/>
  <c r="C1387" i="11"/>
  <c r="A1388" i="11"/>
  <c r="B1388" i="11"/>
  <c r="C1388" i="11"/>
  <c r="A1389" i="11"/>
  <c r="B1389" i="11"/>
  <c r="C1389" i="11"/>
  <c r="A1390" i="11"/>
  <c r="B1390" i="11"/>
  <c r="C1390" i="11"/>
  <c r="A1391" i="11"/>
  <c r="B1391" i="11"/>
  <c r="C1391" i="11"/>
  <c r="A1392" i="11"/>
  <c r="B1392" i="11"/>
  <c r="C1392" i="11"/>
  <c r="A1393" i="11"/>
  <c r="B1393" i="11"/>
  <c r="C1393" i="11"/>
  <c r="A1394" i="11"/>
  <c r="B1394" i="11"/>
  <c r="C1394" i="11"/>
  <c r="A1395" i="11"/>
  <c r="B1395" i="11"/>
  <c r="C1395" i="11"/>
  <c r="A1396" i="11"/>
  <c r="B1396" i="11"/>
  <c r="C1396" i="11"/>
  <c r="A1397" i="11"/>
  <c r="B1397" i="11"/>
  <c r="C1397" i="11"/>
  <c r="A1398" i="11"/>
  <c r="B1398" i="11"/>
  <c r="C1398" i="11"/>
  <c r="A1399" i="11"/>
  <c r="B1399" i="11"/>
  <c r="C1399" i="11"/>
  <c r="A1400" i="11"/>
  <c r="B1400" i="11"/>
  <c r="C1400" i="11"/>
  <c r="A1401" i="11"/>
  <c r="B1401" i="11"/>
  <c r="C1401" i="11"/>
  <c r="A1402" i="11"/>
  <c r="B1402" i="11"/>
  <c r="C1402" i="11"/>
  <c r="A1403" i="11"/>
  <c r="B1403" i="11"/>
  <c r="C1403" i="11"/>
  <c r="A1404" i="11"/>
  <c r="B1404" i="11"/>
  <c r="C1404" i="11"/>
  <c r="A1405" i="11"/>
  <c r="B1405" i="11"/>
  <c r="C1405" i="11"/>
  <c r="A1406" i="11"/>
  <c r="B1406" i="11"/>
  <c r="C1406" i="11"/>
  <c r="A1407" i="11"/>
  <c r="B1407" i="11"/>
  <c r="C1407" i="11"/>
  <c r="A1408" i="11"/>
  <c r="B1408" i="11"/>
  <c r="C1408" i="11"/>
  <c r="A1409" i="11"/>
  <c r="B1409" i="11"/>
  <c r="C1409" i="11"/>
  <c r="A1410" i="11"/>
  <c r="B1410" i="11"/>
  <c r="C1410" i="11"/>
  <c r="A1411" i="11"/>
  <c r="B1411" i="11"/>
  <c r="C1411" i="11"/>
  <c r="A1412" i="11"/>
  <c r="B1412" i="11"/>
  <c r="C1412" i="11"/>
  <c r="A1413" i="11"/>
  <c r="B1413" i="11"/>
  <c r="C1413" i="11"/>
  <c r="A1414" i="11"/>
  <c r="B1414" i="11"/>
  <c r="C1414" i="11"/>
  <c r="A1415" i="11"/>
  <c r="B1415" i="11"/>
  <c r="C1415" i="11"/>
  <c r="A1416" i="11"/>
  <c r="B1416" i="11"/>
  <c r="C1416" i="11"/>
  <c r="A1417" i="11"/>
  <c r="B1417" i="11"/>
  <c r="C1417" i="11"/>
  <c r="A1418" i="11"/>
  <c r="B1418" i="11"/>
  <c r="C1418" i="11"/>
  <c r="A1419" i="11"/>
  <c r="B1419" i="11"/>
  <c r="C1419" i="11"/>
  <c r="A1420" i="11"/>
  <c r="B1420" i="11"/>
  <c r="C1420" i="11"/>
  <c r="A1421" i="11"/>
  <c r="B1421" i="11"/>
  <c r="C1421" i="11"/>
  <c r="A1422" i="11"/>
  <c r="B1422" i="11"/>
  <c r="C1422" i="11"/>
  <c r="A1423" i="11"/>
  <c r="B1423" i="11"/>
  <c r="C1423" i="11"/>
  <c r="A1424" i="11"/>
  <c r="B1424" i="11"/>
  <c r="C1424" i="11"/>
  <c r="A1425" i="11"/>
  <c r="B1425" i="11"/>
  <c r="C1425" i="11"/>
  <c r="A1426" i="11"/>
  <c r="B1426" i="11"/>
  <c r="C1426" i="11"/>
  <c r="A1427" i="11"/>
  <c r="B1427" i="11"/>
  <c r="C1427" i="11"/>
  <c r="A1428" i="11"/>
  <c r="B1428" i="11"/>
  <c r="C1428" i="11"/>
  <c r="A1429" i="11"/>
  <c r="B1429" i="11"/>
  <c r="C1429" i="11"/>
  <c r="A1430" i="11"/>
  <c r="B1430" i="11"/>
  <c r="C1430" i="11"/>
  <c r="A1431" i="11"/>
  <c r="B1431" i="11"/>
  <c r="C1431" i="11"/>
  <c r="A1432" i="11"/>
  <c r="B1432" i="11"/>
  <c r="C1432" i="11"/>
  <c r="A1433" i="11"/>
  <c r="B1433" i="11"/>
  <c r="C1433" i="11"/>
  <c r="A1434" i="11"/>
  <c r="B1434" i="11"/>
  <c r="C1434" i="11"/>
  <c r="A1435" i="11"/>
  <c r="B1435" i="11"/>
  <c r="C1435" i="11"/>
  <c r="A1436" i="11"/>
  <c r="B1436" i="11"/>
  <c r="C1436" i="11"/>
  <c r="A1437" i="11"/>
  <c r="B1437" i="11"/>
  <c r="C1437" i="11"/>
  <c r="A1438" i="11"/>
  <c r="B1438" i="11"/>
  <c r="C1438" i="11"/>
  <c r="A1439" i="11"/>
  <c r="B1439" i="11"/>
  <c r="C1439" i="11"/>
  <c r="A1440" i="11"/>
  <c r="B1440" i="11"/>
  <c r="C1440" i="11"/>
  <c r="A1441" i="11"/>
  <c r="B1441" i="11"/>
  <c r="C1441" i="11"/>
  <c r="A1442" i="11"/>
  <c r="B1442" i="11"/>
  <c r="C1442" i="11"/>
  <c r="A1443" i="11"/>
  <c r="B1443" i="11"/>
  <c r="C1443" i="11"/>
  <c r="A1444" i="11"/>
  <c r="B1444" i="11"/>
  <c r="C1444" i="11"/>
  <c r="A1445" i="11"/>
  <c r="B1445" i="11"/>
  <c r="C1445" i="11"/>
  <c r="A1446" i="11"/>
  <c r="B1446" i="11"/>
  <c r="C1446" i="11"/>
  <c r="A1447" i="11"/>
  <c r="B1447" i="11"/>
  <c r="C1447" i="11"/>
  <c r="A1448" i="11"/>
  <c r="B1448" i="11"/>
  <c r="C1448" i="11"/>
  <c r="A1449" i="11"/>
  <c r="B1449" i="11"/>
  <c r="C1449" i="11"/>
  <c r="A1450" i="11"/>
  <c r="B1450" i="11"/>
  <c r="C1450" i="11"/>
  <c r="A1451" i="11"/>
  <c r="B1451" i="11"/>
  <c r="C1451" i="11"/>
  <c r="A1452" i="11"/>
  <c r="B1452" i="11"/>
  <c r="C1452" i="11"/>
  <c r="A1453" i="11"/>
  <c r="B1453" i="11"/>
  <c r="C1453" i="11"/>
  <c r="A1454" i="11"/>
  <c r="B1454" i="11"/>
  <c r="C1454" i="11"/>
  <c r="A1455" i="11"/>
  <c r="B1455" i="11"/>
  <c r="C1455" i="11"/>
  <c r="A1456" i="11"/>
  <c r="B1456" i="11"/>
  <c r="C1456" i="11"/>
  <c r="A1457" i="11"/>
  <c r="B1457" i="11"/>
  <c r="C1457" i="11"/>
  <c r="A1458" i="11"/>
  <c r="B1458" i="11"/>
  <c r="C1458" i="11"/>
  <c r="A1459" i="11"/>
  <c r="B1459" i="11"/>
  <c r="C1459" i="11"/>
  <c r="A1460" i="11"/>
  <c r="B1460" i="11"/>
  <c r="C1460" i="11"/>
  <c r="A1461" i="11"/>
  <c r="B1461" i="11"/>
  <c r="C1461" i="11"/>
  <c r="A1462" i="11"/>
  <c r="B1462" i="11"/>
  <c r="C1462" i="11"/>
  <c r="A1463" i="11"/>
  <c r="B1463" i="11"/>
  <c r="C1463" i="11"/>
  <c r="A1464" i="11"/>
  <c r="B1464" i="11"/>
  <c r="C1464" i="11"/>
  <c r="A1465" i="11"/>
  <c r="B1465" i="11"/>
  <c r="C1465" i="11"/>
  <c r="A1466" i="11"/>
  <c r="B1466" i="11"/>
  <c r="C1466" i="11"/>
  <c r="A1467" i="11"/>
  <c r="B1467" i="11"/>
  <c r="C1467" i="11"/>
  <c r="A1468" i="11"/>
  <c r="B1468" i="11"/>
  <c r="C1468" i="11"/>
  <c r="A1469" i="11"/>
  <c r="B1469" i="11"/>
  <c r="C1469" i="11"/>
  <c r="A1470" i="11"/>
  <c r="B1470" i="11"/>
  <c r="C1470" i="11"/>
  <c r="A1471" i="11"/>
  <c r="B1471" i="11"/>
  <c r="C1471" i="11"/>
  <c r="A1472" i="11"/>
  <c r="B1472" i="11"/>
  <c r="C1472" i="11"/>
  <c r="A1473" i="11"/>
  <c r="B1473" i="11"/>
  <c r="C1473" i="11"/>
  <c r="A1474" i="11"/>
  <c r="B1474" i="11"/>
  <c r="C1474" i="11"/>
  <c r="A1475" i="11"/>
  <c r="B1475" i="11"/>
  <c r="C1475" i="11"/>
  <c r="A1476" i="11"/>
  <c r="B1476" i="11"/>
  <c r="C1476" i="11"/>
  <c r="A1477" i="11"/>
  <c r="B1477" i="11"/>
  <c r="C1477" i="11"/>
  <c r="A1478" i="11"/>
  <c r="B1478" i="11"/>
  <c r="C1478" i="11"/>
  <c r="A1479" i="11"/>
  <c r="B1479" i="11"/>
  <c r="C1479" i="11"/>
  <c r="A1480" i="11"/>
  <c r="B1480" i="11"/>
  <c r="C1480" i="11"/>
  <c r="A1481" i="11"/>
  <c r="B1481" i="11"/>
  <c r="C1481" i="11"/>
  <c r="A1482" i="11"/>
  <c r="B1482" i="11"/>
  <c r="C1482" i="11"/>
  <c r="A1483" i="11"/>
  <c r="B1483" i="11"/>
  <c r="C1483" i="11"/>
  <c r="A1484" i="11"/>
  <c r="B1484" i="11"/>
  <c r="C1484" i="11"/>
  <c r="A1485" i="11"/>
  <c r="B1485" i="11"/>
  <c r="C1485" i="11"/>
  <c r="A1486" i="11"/>
  <c r="B1486" i="11"/>
  <c r="C1486" i="11"/>
  <c r="A1487" i="11"/>
  <c r="B1487" i="11"/>
  <c r="C1487" i="11"/>
  <c r="A1488" i="11"/>
  <c r="B1488" i="11"/>
  <c r="C1488" i="11"/>
  <c r="A1489" i="11"/>
  <c r="B1489" i="11"/>
  <c r="C1489" i="11"/>
  <c r="A1490" i="11"/>
  <c r="B1490" i="11"/>
  <c r="C1490" i="11"/>
  <c r="A1491" i="11"/>
  <c r="B1491" i="11"/>
  <c r="C1491" i="11"/>
  <c r="A1492" i="11"/>
  <c r="B1492" i="11"/>
  <c r="C1492" i="11"/>
  <c r="A1493" i="11"/>
  <c r="B1493" i="11"/>
  <c r="C1493" i="11"/>
  <c r="A1494" i="11"/>
  <c r="B1494" i="11"/>
  <c r="C1494" i="11"/>
  <c r="A1495" i="11"/>
  <c r="B1495" i="11"/>
  <c r="C1495" i="11"/>
  <c r="A1496" i="11"/>
  <c r="B1496" i="11"/>
  <c r="C1496" i="11"/>
  <c r="A1497" i="11"/>
  <c r="B1497" i="11"/>
  <c r="C1497" i="11"/>
  <c r="A1498" i="11"/>
  <c r="B1498" i="11"/>
  <c r="C1498" i="11"/>
  <c r="A1499" i="11"/>
  <c r="B1499" i="11"/>
  <c r="C1499" i="11"/>
  <c r="A1500" i="11"/>
  <c r="B1500" i="11"/>
  <c r="C1500" i="11"/>
  <c r="A1501" i="11"/>
  <c r="B1501" i="11"/>
  <c r="C1501" i="11"/>
  <c r="A1502" i="11"/>
  <c r="B1502" i="11"/>
  <c r="C1502" i="11"/>
  <c r="A1503" i="11"/>
  <c r="B1503" i="11"/>
  <c r="C1503" i="11"/>
  <c r="A1504" i="11"/>
  <c r="B1504" i="11"/>
  <c r="C1504" i="11"/>
  <c r="A1505" i="11"/>
  <c r="B1505" i="11"/>
  <c r="C1505" i="11"/>
  <c r="A1506" i="11"/>
  <c r="B1506" i="11"/>
  <c r="C1506" i="11"/>
  <c r="A1507" i="11"/>
  <c r="B1507" i="11"/>
  <c r="C1507" i="11"/>
  <c r="A1508" i="11"/>
  <c r="B1508" i="11"/>
  <c r="C1508" i="11"/>
  <c r="A1509" i="11"/>
  <c r="B1509" i="11"/>
  <c r="C1509" i="11"/>
  <c r="A1510" i="11"/>
  <c r="B1510" i="11"/>
  <c r="C1510" i="11"/>
  <c r="A1511" i="11"/>
  <c r="B1511" i="11"/>
  <c r="C1511" i="11"/>
  <c r="A1512" i="11"/>
  <c r="B1512" i="11"/>
  <c r="C1512" i="11"/>
  <c r="A1513" i="11"/>
  <c r="B1513" i="11"/>
  <c r="C1513" i="11"/>
  <c r="A1514" i="11"/>
  <c r="B1514" i="11"/>
  <c r="C1514" i="11"/>
  <c r="A1515" i="11"/>
  <c r="B1515" i="11"/>
  <c r="C1515" i="11"/>
  <c r="A1516" i="11"/>
  <c r="B1516" i="11"/>
  <c r="C1516" i="11"/>
  <c r="A1517" i="11"/>
  <c r="B1517" i="11"/>
  <c r="C1517" i="11"/>
  <c r="A1518" i="11"/>
  <c r="B1518" i="11"/>
  <c r="C1518" i="11"/>
  <c r="A1519" i="11"/>
  <c r="B1519" i="11"/>
  <c r="C1519" i="11"/>
  <c r="A1520" i="11"/>
  <c r="B1520" i="11"/>
  <c r="C1520" i="11"/>
  <c r="A1521" i="11"/>
  <c r="B1521" i="11"/>
  <c r="C1521" i="11"/>
  <c r="A1522" i="11"/>
  <c r="B1522" i="11"/>
  <c r="C1522" i="11"/>
  <c r="A1523" i="11"/>
  <c r="B1523" i="11"/>
  <c r="C1523" i="11"/>
  <c r="A1524" i="11"/>
  <c r="B1524" i="11"/>
  <c r="C1524" i="11"/>
  <c r="A1525" i="11"/>
  <c r="B1525" i="11"/>
  <c r="C1525" i="11"/>
  <c r="A1526" i="11"/>
  <c r="B1526" i="11"/>
  <c r="C1526" i="11"/>
  <c r="A1527" i="11"/>
  <c r="B1527" i="11"/>
  <c r="C1527" i="11"/>
  <c r="A1528" i="11"/>
  <c r="B1528" i="11"/>
  <c r="C1528" i="11"/>
  <c r="A1529" i="11"/>
  <c r="B1529" i="11"/>
  <c r="C1529" i="11"/>
  <c r="A1530" i="11"/>
  <c r="B1530" i="11"/>
  <c r="C1530" i="11"/>
  <c r="A1531" i="11"/>
  <c r="B1531" i="11"/>
  <c r="C1531" i="11"/>
  <c r="A1532" i="11"/>
  <c r="B1532" i="11"/>
  <c r="C1532" i="11"/>
  <c r="A1533" i="11"/>
  <c r="B1533" i="11"/>
  <c r="C1533" i="11"/>
  <c r="A1534" i="11"/>
  <c r="B1534" i="11"/>
  <c r="C1534" i="11"/>
  <c r="A1535" i="11"/>
  <c r="B1535" i="11"/>
  <c r="C1535" i="11"/>
  <c r="A1536" i="11"/>
  <c r="B1536" i="11"/>
  <c r="C1536" i="11"/>
  <c r="A1537" i="11"/>
  <c r="B1537" i="11"/>
  <c r="C1537" i="11"/>
  <c r="A1538" i="11"/>
  <c r="B1538" i="11"/>
  <c r="C1538" i="11"/>
  <c r="A1539" i="11"/>
  <c r="B1539" i="11"/>
  <c r="C1539" i="11"/>
  <c r="A1540" i="11"/>
  <c r="B1540" i="11"/>
  <c r="C1540" i="11"/>
  <c r="A1541" i="11"/>
  <c r="B1541" i="11"/>
  <c r="C1541" i="11"/>
  <c r="A1542" i="11"/>
  <c r="B1542" i="11"/>
  <c r="C1542" i="11"/>
  <c r="A1543" i="11"/>
  <c r="B1543" i="11"/>
  <c r="C1543" i="11"/>
  <c r="A1544" i="11"/>
  <c r="B1544" i="11"/>
  <c r="C1544" i="11"/>
  <c r="A1545" i="11"/>
  <c r="B1545" i="11"/>
  <c r="C1545" i="11"/>
  <c r="A1546" i="11"/>
  <c r="B1546" i="11"/>
  <c r="C1546" i="11"/>
  <c r="A1547" i="11"/>
  <c r="B1547" i="11"/>
  <c r="C1547" i="11"/>
  <c r="A1548" i="11"/>
  <c r="B1548" i="11"/>
  <c r="C1548" i="11"/>
  <c r="A1549" i="11"/>
  <c r="B1549" i="11"/>
  <c r="C1549" i="11"/>
  <c r="A1550" i="11"/>
  <c r="B1550" i="11"/>
  <c r="C1550" i="11"/>
  <c r="A1551" i="11"/>
  <c r="B1551" i="11"/>
  <c r="C1551" i="11"/>
  <c r="A1552" i="11"/>
  <c r="B1552" i="11"/>
  <c r="C1552" i="11"/>
  <c r="A1553" i="11"/>
  <c r="B1553" i="11"/>
  <c r="C1553" i="11"/>
  <c r="A1554" i="11"/>
  <c r="B1554" i="11"/>
  <c r="C1554" i="11"/>
  <c r="A1555" i="11"/>
  <c r="B1555" i="11"/>
  <c r="C1555" i="11"/>
  <c r="A1556" i="11"/>
  <c r="B1556" i="11"/>
  <c r="C1556" i="11"/>
  <c r="A1557" i="11"/>
  <c r="B1557" i="11"/>
  <c r="C1557" i="11"/>
  <c r="A1558" i="11"/>
  <c r="B1558" i="11"/>
  <c r="C1558" i="11"/>
  <c r="A1559" i="11"/>
  <c r="B1559" i="11"/>
  <c r="C1559" i="11"/>
  <c r="A1560" i="11"/>
  <c r="B1560" i="11"/>
  <c r="C1560" i="11"/>
  <c r="A1561" i="11"/>
  <c r="B1561" i="11"/>
  <c r="C1561" i="11"/>
  <c r="A1562" i="11"/>
  <c r="B1562" i="11"/>
  <c r="C1562" i="11"/>
  <c r="A1563" i="11"/>
  <c r="B1563" i="11"/>
  <c r="C1563" i="11"/>
  <c r="A1564" i="11"/>
  <c r="B1564" i="11"/>
  <c r="C1564" i="11"/>
  <c r="A1565" i="11"/>
  <c r="B1565" i="11"/>
  <c r="C1565" i="11"/>
  <c r="A1566" i="11"/>
  <c r="B1566" i="11"/>
  <c r="C1566" i="11"/>
  <c r="A1567" i="11"/>
  <c r="B1567" i="11"/>
  <c r="C1567" i="11"/>
  <c r="A1568" i="11"/>
  <c r="B1568" i="11"/>
  <c r="C1568" i="11"/>
  <c r="A1569" i="11"/>
  <c r="B1569" i="11"/>
  <c r="C1569" i="11"/>
  <c r="A1570" i="11"/>
  <c r="B1570" i="11"/>
  <c r="C1570" i="11"/>
  <c r="A1571" i="11"/>
  <c r="B1571" i="11"/>
  <c r="C1571" i="11"/>
  <c r="A1572" i="11"/>
  <c r="B1572" i="11"/>
  <c r="C1572" i="11"/>
  <c r="A1573" i="11"/>
  <c r="B1573" i="11"/>
  <c r="C1573" i="11"/>
  <c r="A1574" i="11"/>
  <c r="B1574" i="11"/>
  <c r="C1574" i="11"/>
  <c r="A1575" i="11"/>
  <c r="B1575" i="11"/>
  <c r="C1575" i="11"/>
  <c r="A1576" i="11"/>
  <c r="B1576" i="11"/>
  <c r="C1576" i="11"/>
  <c r="A1577" i="11"/>
  <c r="B1577" i="11"/>
  <c r="C1577" i="11"/>
  <c r="A1578" i="11"/>
  <c r="B1578" i="11"/>
  <c r="C1578" i="11"/>
  <c r="A1579" i="11"/>
  <c r="B1579" i="11"/>
  <c r="C1579" i="11"/>
  <c r="A1580" i="11"/>
  <c r="B1580" i="11"/>
  <c r="C1580" i="11"/>
  <c r="A1581" i="11"/>
  <c r="B1581" i="11"/>
  <c r="C1581" i="11"/>
  <c r="A1582" i="11"/>
  <c r="B1582" i="11"/>
  <c r="C1582" i="11"/>
  <c r="A1583" i="11"/>
  <c r="B1583" i="11"/>
  <c r="C1583" i="11"/>
  <c r="A1584" i="11"/>
  <c r="B1584" i="11"/>
  <c r="C1584" i="11"/>
  <c r="A1585" i="11"/>
  <c r="B1585" i="11"/>
  <c r="C1585" i="11"/>
  <c r="A1586" i="11"/>
  <c r="B1586" i="11"/>
  <c r="C1586" i="11"/>
  <c r="A1587" i="11"/>
  <c r="B1587" i="11"/>
  <c r="C1587" i="11"/>
  <c r="A1588" i="11"/>
  <c r="B1588" i="11"/>
  <c r="C1588" i="11"/>
  <c r="A1589" i="11"/>
  <c r="B1589" i="11"/>
  <c r="C1589" i="11"/>
  <c r="A1590" i="11"/>
  <c r="B1590" i="11"/>
  <c r="C1590" i="11"/>
  <c r="A1591" i="11"/>
  <c r="B1591" i="11"/>
  <c r="C1591" i="11"/>
  <c r="A1592" i="11"/>
  <c r="B1592" i="11"/>
  <c r="C1592" i="11"/>
  <c r="A1593" i="11"/>
  <c r="B1593" i="11"/>
  <c r="C1593" i="11"/>
  <c r="A1594" i="11"/>
  <c r="B1594" i="11"/>
  <c r="C1594" i="11"/>
  <c r="A1595" i="11"/>
  <c r="B1595" i="11"/>
  <c r="C1595" i="11"/>
  <c r="A1596" i="11"/>
  <c r="B1596" i="11"/>
  <c r="C1596" i="11"/>
  <c r="A1597" i="11"/>
  <c r="B1597" i="11"/>
  <c r="C1597" i="11"/>
  <c r="A1598" i="11"/>
  <c r="B1598" i="11"/>
  <c r="C1598" i="11"/>
  <c r="A1599" i="11"/>
  <c r="B1599" i="11"/>
  <c r="C1599" i="11"/>
  <c r="A1600" i="11"/>
  <c r="B1600" i="11"/>
  <c r="C1600" i="11"/>
  <c r="A1601" i="11"/>
  <c r="B1601" i="11"/>
  <c r="C1601" i="11"/>
  <c r="A1602" i="11"/>
  <c r="B1602" i="11"/>
  <c r="C1602" i="11"/>
  <c r="A1603" i="11"/>
  <c r="B1603" i="11"/>
  <c r="C1603" i="11"/>
  <c r="A1604" i="11"/>
  <c r="B1604" i="11"/>
  <c r="C1604" i="11"/>
  <c r="A1605" i="11"/>
  <c r="B1605" i="11"/>
  <c r="C1605" i="11"/>
  <c r="A1606" i="11"/>
  <c r="B1606" i="11"/>
  <c r="C1606" i="11"/>
  <c r="A1607" i="11"/>
  <c r="B1607" i="11"/>
  <c r="C1607" i="11"/>
  <c r="A1608" i="11"/>
  <c r="B1608" i="11"/>
  <c r="C1608" i="11"/>
  <c r="A1609" i="11"/>
  <c r="B1609" i="11"/>
  <c r="C1609" i="11"/>
  <c r="A1610" i="11"/>
  <c r="B1610" i="11"/>
  <c r="C1610" i="11"/>
  <c r="A1611" i="11"/>
  <c r="B1611" i="11"/>
  <c r="C1611" i="11"/>
  <c r="A1612" i="11"/>
  <c r="B1612" i="11"/>
  <c r="C1612" i="11"/>
  <c r="A1613" i="11"/>
  <c r="B1613" i="11"/>
  <c r="C1613" i="11"/>
  <c r="A1614" i="11"/>
  <c r="B1614" i="11"/>
  <c r="C1614" i="11"/>
  <c r="A1615" i="11"/>
  <c r="B1615" i="11"/>
  <c r="C1615" i="11"/>
  <c r="A1616" i="11"/>
  <c r="B1616" i="11"/>
  <c r="C1616" i="11"/>
  <c r="A1617" i="11"/>
  <c r="B1617" i="11"/>
  <c r="C1617" i="11"/>
  <c r="A1618" i="11"/>
  <c r="B1618" i="11"/>
  <c r="C1618" i="11"/>
  <c r="A1619" i="11"/>
  <c r="B1619" i="11"/>
  <c r="C1619" i="11"/>
  <c r="A1620" i="11"/>
  <c r="B1620" i="11"/>
  <c r="C1620" i="11"/>
  <c r="A1621" i="11"/>
  <c r="B1621" i="11"/>
  <c r="C1621" i="11"/>
  <c r="A1622" i="11"/>
  <c r="B1622" i="11"/>
  <c r="C1622" i="11"/>
  <c r="A1623" i="11"/>
  <c r="B1623" i="11"/>
  <c r="C1623" i="11"/>
  <c r="A1624" i="11"/>
  <c r="B1624" i="11"/>
  <c r="C1624" i="11"/>
  <c r="A1625" i="11"/>
  <c r="B1625" i="11"/>
  <c r="C1625" i="11"/>
  <c r="A1626" i="11"/>
  <c r="B1626" i="11"/>
  <c r="C1626" i="11"/>
  <c r="A1627" i="11"/>
  <c r="B1627" i="11"/>
  <c r="C1627" i="11"/>
  <c r="A1628" i="11"/>
  <c r="B1628" i="11"/>
  <c r="C1628" i="11"/>
  <c r="A1629" i="11"/>
  <c r="B1629" i="11"/>
  <c r="C1629" i="11"/>
  <c r="A1630" i="11"/>
  <c r="B1630" i="11"/>
  <c r="C1630" i="11"/>
  <c r="A1631" i="11"/>
  <c r="B1631" i="11"/>
  <c r="C1631" i="11"/>
  <c r="A1632" i="11"/>
  <c r="B1632" i="11"/>
  <c r="C1632" i="11"/>
  <c r="A1633" i="11"/>
  <c r="B1633" i="11"/>
  <c r="C1633" i="11"/>
  <c r="A1634" i="11"/>
  <c r="B1634" i="11"/>
  <c r="C1634" i="11"/>
  <c r="A1635" i="11"/>
  <c r="B1635" i="11"/>
  <c r="C1635" i="11"/>
  <c r="A1636" i="11"/>
  <c r="B1636" i="11"/>
  <c r="C1636" i="11"/>
  <c r="A1637" i="11"/>
  <c r="B1637" i="11"/>
  <c r="C1637" i="11"/>
  <c r="A1638" i="11"/>
  <c r="B1638" i="11"/>
  <c r="C1638" i="11"/>
  <c r="A1639" i="11"/>
  <c r="B1639" i="11"/>
  <c r="C1639" i="11"/>
  <c r="A1640" i="11"/>
  <c r="B1640" i="11"/>
  <c r="C1640" i="11"/>
  <c r="A1641" i="11"/>
  <c r="B1641" i="11"/>
  <c r="C1641" i="11"/>
  <c r="A1642" i="11"/>
  <c r="B1642" i="11"/>
  <c r="C1642" i="11"/>
  <c r="A1643" i="11"/>
  <c r="B1643" i="11"/>
  <c r="C1643" i="11"/>
  <c r="A1644" i="11"/>
  <c r="B1644" i="11"/>
  <c r="C1644" i="11"/>
  <c r="A1645" i="11"/>
  <c r="B1645" i="11"/>
  <c r="C1645" i="11"/>
  <c r="A1646" i="11"/>
  <c r="B1646" i="11"/>
  <c r="C1646" i="11"/>
  <c r="A1647" i="11"/>
  <c r="B1647" i="11"/>
  <c r="C1647" i="11"/>
  <c r="A1648" i="11"/>
  <c r="B1648" i="11"/>
  <c r="C1648" i="11"/>
  <c r="A1649" i="11"/>
  <c r="B1649" i="11"/>
  <c r="C1649" i="11"/>
  <c r="A1650" i="11"/>
  <c r="B1650" i="11"/>
  <c r="C1650" i="11"/>
  <c r="A1651" i="11"/>
  <c r="B1651" i="11"/>
  <c r="C1651" i="11"/>
  <c r="A1652" i="11"/>
  <c r="B1652" i="11"/>
  <c r="C1652" i="11"/>
  <c r="A1653" i="11"/>
  <c r="B1653" i="11"/>
  <c r="C1653" i="11"/>
  <c r="A1654" i="11"/>
  <c r="B1654" i="11"/>
  <c r="C1654" i="11"/>
  <c r="A1655" i="11"/>
  <c r="B1655" i="11"/>
  <c r="C1655" i="11"/>
  <c r="A1656" i="11"/>
  <c r="B1656" i="11"/>
  <c r="C1656" i="11"/>
  <c r="A1657" i="11"/>
  <c r="B1657" i="11"/>
  <c r="C1657" i="11"/>
  <c r="A1658" i="11"/>
  <c r="B1658" i="11"/>
  <c r="C1658" i="11"/>
  <c r="A1659" i="11"/>
  <c r="B1659" i="11"/>
  <c r="C1659" i="11"/>
  <c r="A1660" i="11"/>
  <c r="B1660" i="11"/>
  <c r="C1660" i="11"/>
  <c r="A1661" i="11"/>
  <c r="B1661" i="11"/>
  <c r="C1661" i="11"/>
  <c r="A1662" i="11"/>
  <c r="B1662" i="11"/>
  <c r="C1662" i="11"/>
  <c r="A1663" i="11"/>
  <c r="B1663" i="11"/>
  <c r="C1663" i="11"/>
  <c r="A1664" i="11"/>
  <c r="B1664" i="11"/>
  <c r="C1664" i="11"/>
  <c r="A1665" i="11"/>
  <c r="B1665" i="11"/>
  <c r="C1665" i="11"/>
  <c r="A1666" i="11"/>
  <c r="B1666" i="11"/>
  <c r="C1666" i="11"/>
  <c r="A1667" i="11"/>
  <c r="B1667" i="11"/>
  <c r="C1667" i="11"/>
  <c r="A1668" i="11"/>
  <c r="B1668" i="11"/>
  <c r="C1668" i="11"/>
  <c r="A1669" i="11"/>
  <c r="B1669" i="11"/>
  <c r="C1669" i="11"/>
  <c r="A1670" i="11"/>
  <c r="B1670" i="11"/>
  <c r="C1670" i="11"/>
  <c r="A1671" i="11"/>
  <c r="B1671" i="11"/>
  <c r="C1671" i="11"/>
  <c r="A1672" i="11"/>
  <c r="B1672" i="11"/>
  <c r="C1672" i="11"/>
  <c r="A1673" i="11"/>
  <c r="B1673" i="11"/>
  <c r="C1673" i="11"/>
  <c r="A1674" i="11"/>
  <c r="B1674" i="11"/>
  <c r="C1674" i="11"/>
  <c r="A1675" i="11"/>
  <c r="B1675" i="11"/>
  <c r="C1675" i="11"/>
  <c r="A1676" i="11"/>
  <c r="B1676" i="11"/>
  <c r="C1676" i="11"/>
  <c r="A1677" i="11"/>
  <c r="B1677" i="11"/>
  <c r="C1677" i="11"/>
  <c r="A1678" i="11"/>
  <c r="B1678" i="11"/>
  <c r="C1678" i="11"/>
  <c r="A1679" i="11"/>
  <c r="B1679" i="11"/>
  <c r="C1679" i="11"/>
  <c r="A1680" i="11"/>
  <c r="B1680" i="11"/>
  <c r="C1680" i="11"/>
  <c r="A1681" i="11"/>
  <c r="B1681" i="11"/>
  <c r="C1681" i="11"/>
  <c r="A1682" i="11"/>
  <c r="B1682" i="11"/>
  <c r="C1682" i="11"/>
  <c r="A1683" i="11"/>
  <c r="B1683" i="11"/>
  <c r="C1683" i="11"/>
  <c r="A1684" i="11"/>
  <c r="B1684" i="11"/>
  <c r="C1684" i="11"/>
  <c r="A1685" i="11"/>
  <c r="B1685" i="11"/>
  <c r="C1685" i="11"/>
  <c r="A1686" i="11"/>
  <c r="B1686" i="11"/>
  <c r="C1686" i="11"/>
  <c r="A1687" i="11"/>
  <c r="B1687" i="11"/>
  <c r="C1687" i="11"/>
  <c r="A1688" i="11"/>
  <c r="B1688" i="11"/>
  <c r="C1688" i="11"/>
  <c r="A1689" i="11"/>
  <c r="B1689" i="11"/>
  <c r="C1689" i="11"/>
  <c r="A1690" i="11"/>
  <c r="B1690" i="11"/>
  <c r="C1690" i="11"/>
  <c r="A1691" i="11"/>
  <c r="B1691" i="11"/>
  <c r="C1691" i="11"/>
  <c r="A1692" i="11"/>
  <c r="B1692" i="11"/>
  <c r="C1692" i="11"/>
  <c r="A1693" i="11"/>
  <c r="B1693" i="11"/>
  <c r="C1693" i="11"/>
  <c r="A1694" i="11"/>
  <c r="B1694" i="11"/>
  <c r="C1694" i="11"/>
  <c r="A1695" i="11"/>
  <c r="B1695" i="11"/>
  <c r="C1695" i="11"/>
  <c r="A1696" i="11"/>
  <c r="B1696" i="11"/>
  <c r="C1696" i="11"/>
  <c r="A1697" i="11"/>
  <c r="B1697" i="11"/>
  <c r="C1697" i="11"/>
  <c r="A1698" i="11"/>
  <c r="B1698" i="11"/>
  <c r="C1698" i="11"/>
  <c r="A1699" i="11"/>
  <c r="B1699" i="11"/>
  <c r="C1699" i="11"/>
  <c r="A1700" i="11"/>
  <c r="B1700" i="11"/>
  <c r="C1700" i="11"/>
  <c r="A1701" i="11"/>
  <c r="B1701" i="11"/>
  <c r="C1701" i="11"/>
  <c r="A1702" i="11"/>
  <c r="B1702" i="11"/>
  <c r="C1702" i="11"/>
  <c r="A1703" i="11"/>
  <c r="B1703" i="11"/>
  <c r="C1703" i="11"/>
  <c r="A1704" i="11"/>
  <c r="B1704" i="11"/>
  <c r="C1704" i="11"/>
  <c r="A1705" i="11"/>
  <c r="B1705" i="11"/>
  <c r="C1705" i="11"/>
  <c r="A1706" i="11"/>
  <c r="B1706" i="11"/>
  <c r="C1706" i="11"/>
  <c r="A1707" i="11"/>
  <c r="B1707" i="11"/>
  <c r="C1707" i="11"/>
  <c r="A1708" i="11"/>
  <c r="B1708" i="11"/>
  <c r="C1708" i="11"/>
  <c r="A1709" i="11"/>
  <c r="B1709" i="11"/>
  <c r="C1709" i="11"/>
  <c r="A1710" i="11"/>
  <c r="B1710" i="11"/>
  <c r="C1710" i="11"/>
  <c r="A1711" i="11"/>
  <c r="B1711" i="11"/>
  <c r="C1711" i="11"/>
  <c r="A1712" i="11"/>
  <c r="B1712" i="11"/>
  <c r="C1712" i="11"/>
  <c r="A1713" i="11"/>
  <c r="B1713" i="11"/>
  <c r="C1713" i="11"/>
  <c r="A1714" i="11"/>
  <c r="B1714" i="11"/>
  <c r="C1714" i="11"/>
  <c r="A1715" i="11"/>
  <c r="B1715" i="11"/>
  <c r="C1715" i="11"/>
  <c r="A1716" i="11"/>
  <c r="B1716" i="11"/>
  <c r="C1716" i="11"/>
  <c r="A1717" i="11"/>
  <c r="B1717" i="11"/>
  <c r="C1717" i="11"/>
  <c r="A1718" i="11"/>
  <c r="B1718" i="11"/>
  <c r="C1718" i="11"/>
  <c r="A1719" i="11"/>
  <c r="B1719" i="11"/>
  <c r="C1719" i="11"/>
  <c r="A1720" i="11"/>
  <c r="B1720" i="11"/>
  <c r="C1720" i="11"/>
  <c r="A1721" i="11"/>
  <c r="B1721" i="11"/>
  <c r="C1721" i="11"/>
  <c r="A1722" i="11"/>
  <c r="B1722" i="11"/>
  <c r="C1722" i="11"/>
  <c r="A1723" i="11"/>
  <c r="B1723" i="11"/>
  <c r="C1723" i="11"/>
  <c r="A1724" i="11"/>
  <c r="B1724" i="11"/>
  <c r="C1724" i="11"/>
  <c r="A1725" i="11"/>
  <c r="B1725" i="11"/>
  <c r="C1725" i="11"/>
  <c r="A1726" i="11"/>
  <c r="B1726" i="11"/>
  <c r="C1726" i="11"/>
  <c r="A1727" i="11"/>
  <c r="B1727" i="11"/>
  <c r="C1727" i="11"/>
  <c r="A1728" i="11"/>
  <c r="B1728" i="11"/>
  <c r="C1728" i="11"/>
  <c r="A1729" i="11"/>
  <c r="B1729" i="11"/>
  <c r="C1729" i="11"/>
  <c r="A1730" i="11"/>
  <c r="B1730" i="11"/>
  <c r="C1730" i="11"/>
  <c r="A1731" i="11"/>
  <c r="B1731" i="11"/>
  <c r="C1731" i="11"/>
  <c r="A1732" i="11"/>
  <c r="B1732" i="11"/>
  <c r="C1732" i="11"/>
  <c r="A1733" i="11"/>
  <c r="B1733" i="11"/>
  <c r="C1733" i="11"/>
  <c r="A1734" i="11"/>
  <c r="B1734" i="11"/>
  <c r="C1734" i="11"/>
  <c r="A1735" i="11"/>
  <c r="B1735" i="11"/>
  <c r="C1735" i="11"/>
  <c r="A1736" i="11"/>
  <c r="B1736" i="11"/>
  <c r="C1736" i="11"/>
  <c r="A1737" i="11"/>
  <c r="B1737" i="11"/>
  <c r="C1737" i="11"/>
  <c r="A1738" i="11"/>
  <c r="B1738" i="11"/>
  <c r="C1738" i="11"/>
  <c r="A1739" i="11"/>
  <c r="B1739" i="11"/>
  <c r="C1739" i="11"/>
  <c r="A1740" i="11"/>
  <c r="B1740" i="11"/>
  <c r="C1740" i="11"/>
  <c r="A1741" i="11"/>
  <c r="B1741" i="11"/>
  <c r="C1741" i="11"/>
  <c r="A1742" i="11"/>
  <c r="B1742" i="11"/>
  <c r="C1742" i="11"/>
  <c r="A1743" i="11"/>
  <c r="B1743" i="11"/>
  <c r="C1743" i="11"/>
  <c r="A1744" i="11"/>
  <c r="B1744" i="11"/>
  <c r="C1744" i="11"/>
  <c r="A1745" i="11"/>
  <c r="B1745" i="11"/>
  <c r="C1745" i="11"/>
  <c r="A1746" i="11"/>
  <c r="B1746" i="11"/>
  <c r="C1746" i="11"/>
  <c r="A1747" i="11"/>
  <c r="B1747" i="11"/>
  <c r="C1747" i="11"/>
  <c r="A1748" i="11"/>
  <c r="B1748" i="11"/>
  <c r="C1748" i="11"/>
  <c r="A1749" i="11"/>
  <c r="B1749" i="11"/>
  <c r="C1749" i="11"/>
  <c r="A1750" i="11"/>
  <c r="B1750" i="11"/>
  <c r="C1750" i="11"/>
  <c r="A1751" i="11"/>
  <c r="B1751" i="11"/>
  <c r="C1751" i="11"/>
  <c r="A1752" i="11"/>
  <c r="B1752" i="11"/>
  <c r="C1752" i="11"/>
  <c r="A1753" i="11"/>
  <c r="B1753" i="11"/>
  <c r="C1753" i="11"/>
  <c r="A1754" i="11"/>
  <c r="B1754" i="11"/>
  <c r="C1754" i="11"/>
  <c r="A1755" i="11"/>
  <c r="B1755" i="11"/>
  <c r="C1755" i="11"/>
  <c r="A1756" i="11"/>
  <c r="B1756" i="11"/>
  <c r="C1756" i="11"/>
  <c r="A1757" i="11"/>
  <c r="B1757" i="11"/>
  <c r="C1757" i="11"/>
  <c r="A1758" i="11"/>
  <c r="B1758" i="11"/>
  <c r="C1758" i="11"/>
  <c r="A1759" i="11"/>
  <c r="B1759" i="11"/>
  <c r="C1759" i="11"/>
  <c r="A1760" i="11"/>
  <c r="B1760" i="11"/>
  <c r="C1760" i="11"/>
  <c r="A1761" i="11"/>
  <c r="B1761" i="11"/>
  <c r="C1761" i="11"/>
  <c r="A1762" i="11"/>
  <c r="B1762" i="11"/>
  <c r="C1762" i="11"/>
  <c r="A1763" i="11"/>
  <c r="B1763" i="11"/>
  <c r="C1763" i="11"/>
  <c r="A1764" i="11"/>
  <c r="B1764" i="11"/>
  <c r="C1764" i="11"/>
  <c r="A1765" i="11"/>
  <c r="B1765" i="11"/>
  <c r="C1765" i="11"/>
  <c r="A1766" i="11"/>
  <c r="B1766" i="11"/>
  <c r="C1766" i="11"/>
  <c r="A1767" i="11"/>
  <c r="B1767" i="11"/>
  <c r="C1767" i="11"/>
  <c r="A1768" i="11"/>
  <c r="B1768" i="11"/>
  <c r="C1768" i="11"/>
  <c r="A1769" i="11"/>
  <c r="B1769" i="11"/>
  <c r="C1769" i="11"/>
  <c r="A1770" i="11"/>
  <c r="B1770" i="11"/>
  <c r="C1770" i="11"/>
  <c r="A1771" i="11"/>
  <c r="B1771" i="11"/>
  <c r="C1771" i="11"/>
  <c r="A1772" i="11"/>
  <c r="B1772" i="11"/>
  <c r="C1772" i="11"/>
  <c r="A1773" i="11"/>
  <c r="B1773" i="11"/>
  <c r="C1773" i="11"/>
  <c r="A1774" i="11"/>
  <c r="B1774" i="11"/>
  <c r="C1774" i="11"/>
  <c r="A1775" i="11"/>
  <c r="B1775" i="11"/>
  <c r="C1775" i="11"/>
  <c r="A1776" i="11"/>
  <c r="B1776" i="11"/>
  <c r="C1776" i="11"/>
  <c r="A1777" i="11"/>
  <c r="B1777" i="11"/>
  <c r="C1777" i="11"/>
  <c r="A1778" i="11"/>
  <c r="B1778" i="11"/>
  <c r="C1778" i="11"/>
  <c r="A1779" i="11"/>
  <c r="B1779" i="11"/>
  <c r="C1779" i="11"/>
  <c r="A1780" i="11"/>
  <c r="B1780" i="11"/>
  <c r="C1780" i="11"/>
  <c r="A1781" i="11"/>
  <c r="B1781" i="11"/>
  <c r="C1781" i="11"/>
  <c r="A1782" i="11"/>
  <c r="B1782" i="11"/>
  <c r="C1782" i="11"/>
  <c r="A1783" i="11"/>
  <c r="B1783" i="11"/>
  <c r="C1783" i="11"/>
  <c r="A1784" i="11"/>
  <c r="B1784" i="11"/>
  <c r="C1784" i="11"/>
  <c r="A1785" i="11"/>
  <c r="B1785" i="11"/>
  <c r="C1785" i="11"/>
  <c r="A1786" i="11"/>
  <c r="B1786" i="11"/>
  <c r="C1786" i="11"/>
  <c r="A1787" i="11"/>
  <c r="B1787" i="11"/>
  <c r="C1787" i="11"/>
  <c r="A1788" i="11"/>
  <c r="B1788" i="11"/>
  <c r="C1788" i="11"/>
  <c r="A1789" i="11"/>
  <c r="B1789" i="11"/>
  <c r="C1789" i="11"/>
  <c r="A1790" i="11"/>
  <c r="B1790" i="11"/>
  <c r="C1790" i="11"/>
  <c r="A1791" i="11"/>
  <c r="B1791" i="11"/>
  <c r="C1791" i="11"/>
  <c r="A1792" i="11"/>
  <c r="B1792" i="11"/>
  <c r="C1792" i="11"/>
  <c r="A1793" i="11"/>
  <c r="B1793" i="11"/>
  <c r="C1793" i="11"/>
  <c r="A1794" i="11"/>
  <c r="B1794" i="11"/>
  <c r="C1794" i="11"/>
  <c r="A1795" i="11"/>
  <c r="B1795" i="11"/>
  <c r="C1795" i="11"/>
  <c r="A1796" i="11"/>
  <c r="B1796" i="11"/>
  <c r="C1796" i="11"/>
  <c r="A1797" i="11"/>
  <c r="B1797" i="11"/>
  <c r="C1797" i="11"/>
  <c r="A1798" i="11"/>
  <c r="B1798" i="11"/>
  <c r="C1798" i="11"/>
  <c r="A1799" i="11"/>
  <c r="B1799" i="11"/>
  <c r="C1799" i="11"/>
  <c r="A1800" i="11"/>
  <c r="B1800" i="11"/>
  <c r="C1800" i="11"/>
  <c r="A1801" i="11"/>
  <c r="B1801" i="11"/>
  <c r="C1801" i="11"/>
  <c r="A1802" i="11"/>
  <c r="B1802" i="11"/>
  <c r="C1802" i="11"/>
  <c r="A1803" i="11"/>
  <c r="B1803" i="11"/>
  <c r="C1803" i="11"/>
  <c r="A1804" i="11"/>
  <c r="B1804" i="11"/>
  <c r="C1804" i="11"/>
  <c r="A1805" i="11"/>
  <c r="B1805" i="11"/>
  <c r="C1805" i="11"/>
  <c r="A1806" i="11"/>
  <c r="B1806" i="11"/>
  <c r="C1806" i="11"/>
  <c r="A1807" i="11"/>
  <c r="B1807" i="11"/>
  <c r="C1807" i="11"/>
  <c r="A1808" i="11"/>
  <c r="B1808" i="11"/>
  <c r="C1808" i="11"/>
  <c r="A1809" i="11"/>
  <c r="B1809" i="11"/>
  <c r="C1809" i="11"/>
  <c r="A1810" i="11"/>
  <c r="B1810" i="11"/>
  <c r="C1810" i="11"/>
  <c r="A1811" i="11"/>
  <c r="B1811" i="11"/>
  <c r="C1811" i="11"/>
  <c r="A1812" i="11"/>
  <c r="B1812" i="11"/>
  <c r="C1812" i="11"/>
  <c r="A1813" i="11"/>
  <c r="B1813" i="11"/>
  <c r="C1813" i="11"/>
  <c r="A1814" i="11"/>
  <c r="B1814" i="11"/>
  <c r="C1814" i="11"/>
  <c r="A1815" i="11"/>
  <c r="B1815" i="11"/>
  <c r="C1815" i="11"/>
  <c r="A1816" i="11"/>
  <c r="B1816" i="11"/>
  <c r="C1816" i="11"/>
  <c r="A1817" i="11"/>
  <c r="B1817" i="11"/>
  <c r="C1817" i="11"/>
  <c r="A1818" i="11"/>
  <c r="B1818" i="11"/>
  <c r="C1818" i="11"/>
  <c r="A1819" i="11"/>
  <c r="B1819" i="11"/>
  <c r="C1819" i="11"/>
  <c r="A1820" i="11"/>
  <c r="B1820" i="11"/>
  <c r="C1820" i="11"/>
  <c r="A1821" i="11"/>
  <c r="B1821" i="11"/>
  <c r="C1821" i="11"/>
  <c r="A1822" i="11"/>
  <c r="B1822" i="11"/>
  <c r="C1822" i="11"/>
  <c r="A1823" i="11"/>
  <c r="B1823" i="11"/>
  <c r="C1823" i="11"/>
  <c r="A1824" i="11"/>
  <c r="B1824" i="11"/>
  <c r="C1824" i="11"/>
  <c r="A1825" i="11"/>
  <c r="B1825" i="11"/>
  <c r="C1825" i="11"/>
  <c r="A1826" i="11"/>
  <c r="B1826" i="11"/>
  <c r="C1826" i="11"/>
  <c r="A1827" i="11"/>
  <c r="B1827" i="11"/>
  <c r="C1827" i="11"/>
  <c r="A1828" i="11"/>
  <c r="B1828" i="11"/>
  <c r="C1828" i="11"/>
  <c r="A1829" i="11"/>
  <c r="B1829" i="11"/>
  <c r="C1829" i="11"/>
  <c r="A1830" i="11"/>
  <c r="B1830" i="11"/>
  <c r="C1830" i="11"/>
  <c r="A1831" i="11"/>
  <c r="B1831" i="11"/>
  <c r="C1831" i="11"/>
  <c r="A1832" i="11"/>
  <c r="B1832" i="11"/>
  <c r="C1832" i="11"/>
  <c r="A1833" i="11"/>
  <c r="B1833" i="11"/>
  <c r="C1833" i="11"/>
  <c r="A1834" i="11"/>
  <c r="B1834" i="11"/>
  <c r="C1834" i="11"/>
  <c r="A1835" i="11"/>
  <c r="B1835" i="11"/>
  <c r="C1835" i="11"/>
  <c r="A1836" i="11"/>
  <c r="B1836" i="11"/>
  <c r="C1836" i="11"/>
  <c r="A1837" i="11"/>
  <c r="B1837" i="11"/>
  <c r="C1837" i="11"/>
  <c r="A1838" i="11"/>
  <c r="B1838" i="11"/>
  <c r="C1838" i="11"/>
  <c r="A1839" i="11"/>
  <c r="B1839" i="11"/>
  <c r="C1839" i="11"/>
  <c r="A1840" i="11"/>
  <c r="B1840" i="11"/>
  <c r="C1840" i="11"/>
  <c r="A1841" i="11"/>
  <c r="B1841" i="11"/>
  <c r="C1841" i="11"/>
  <c r="A1842" i="11"/>
  <c r="B1842" i="11"/>
  <c r="C1842" i="11"/>
  <c r="A1843" i="11"/>
  <c r="B1843" i="11"/>
  <c r="C1843" i="11"/>
  <c r="A1844" i="11"/>
  <c r="B1844" i="11"/>
  <c r="C1844" i="11"/>
  <c r="A1845" i="11"/>
  <c r="B1845" i="11"/>
  <c r="C1845" i="11"/>
  <c r="A1846" i="11"/>
  <c r="B1846" i="11"/>
  <c r="C1846" i="11"/>
  <c r="A1847" i="11"/>
  <c r="B1847" i="11"/>
  <c r="C1847" i="11"/>
  <c r="A1848" i="11"/>
  <c r="B1848" i="11"/>
  <c r="C1848" i="11"/>
  <c r="A1849" i="11"/>
  <c r="B1849" i="11"/>
  <c r="C1849" i="11"/>
  <c r="A1850" i="11"/>
  <c r="B1850" i="11"/>
  <c r="C1850" i="11"/>
  <c r="A1851" i="11"/>
  <c r="B1851" i="11"/>
  <c r="C1851" i="11"/>
  <c r="A1852" i="11"/>
  <c r="B1852" i="11"/>
  <c r="C1852" i="11"/>
  <c r="A1853" i="11"/>
  <c r="B1853" i="11"/>
  <c r="C1853" i="11"/>
  <c r="A1854" i="11"/>
  <c r="B1854" i="11"/>
  <c r="C1854" i="11"/>
  <c r="A1855" i="11"/>
  <c r="B1855" i="11"/>
  <c r="C1855" i="11"/>
  <c r="A1856" i="11"/>
  <c r="B1856" i="11"/>
  <c r="C1856" i="11"/>
  <c r="A1857" i="11"/>
  <c r="B1857" i="11"/>
  <c r="C1857" i="11"/>
  <c r="A1858" i="11"/>
  <c r="B1858" i="11"/>
  <c r="C1858" i="11"/>
  <c r="A1859" i="11"/>
  <c r="B1859" i="11"/>
  <c r="C1859" i="11"/>
  <c r="A1860" i="11"/>
  <c r="B1860" i="11"/>
  <c r="C1860" i="11"/>
  <c r="A1861" i="11"/>
  <c r="B1861" i="11"/>
  <c r="C1861" i="11"/>
  <c r="A1862" i="11"/>
  <c r="B1862" i="11"/>
  <c r="C1862" i="11"/>
  <c r="A1863" i="11"/>
  <c r="B1863" i="11"/>
  <c r="C1863" i="11"/>
  <c r="A1864" i="11"/>
  <c r="B1864" i="11"/>
  <c r="C1864" i="11"/>
  <c r="A1865" i="11"/>
  <c r="B1865" i="11"/>
  <c r="C1865" i="11"/>
  <c r="A1866" i="11"/>
  <c r="B1866" i="11"/>
  <c r="C1866" i="11"/>
  <c r="A1867" i="11"/>
  <c r="B1867" i="11"/>
  <c r="C1867" i="11"/>
  <c r="A1868" i="11"/>
  <c r="B1868" i="11"/>
  <c r="C1868" i="11"/>
  <c r="A1869" i="11"/>
  <c r="B1869" i="11"/>
  <c r="C1869" i="11"/>
  <c r="A1870" i="11"/>
  <c r="B1870" i="11"/>
  <c r="C1870" i="11"/>
  <c r="A1871" i="11"/>
  <c r="B1871" i="11"/>
  <c r="C1871" i="11"/>
  <c r="A1872" i="11"/>
  <c r="B1872" i="11"/>
  <c r="C1872" i="11"/>
  <c r="A1873" i="11"/>
  <c r="B1873" i="11"/>
  <c r="C1873" i="11"/>
  <c r="A1874" i="11"/>
  <c r="B1874" i="11"/>
  <c r="C1874" i="11"/>
  <c r="A1875" i="11"/>
  <c r="B1875" i="11"/>
  <c r="C1875" i="11"/>
  <c r="A1876" i="11"/>
  <c r="B1876" i="11"/>
  <c r="C1876" i="11"/>
  <c r="A1877" i="11"/>
  <c r="B1877" i="11"/>
  <c r="C1877" i="11"/>
  <c r="A1878" i="11"/>
  <c r="B1878" i="11"/>
  <c r="C1878" i="11"/>
  <c r="A1879" i="11"/>
  <c r="B1879" i="11"/>
  <c r="C1879" i="11"/>
  <c r="A1880" i="11"/>
  <c r="B1880" i="11"/>
  <c r="C1880" i="11"/>
  <c r="A1881" i="11"/>
  <c r="B1881" i="11"/>
  <c r="C1881" i="11"/>
  <c r="A1882" i="11"/>
  <c r="B1882" i="11"/>
  <c r="C1882" i="11"/>
  <c r="A1883" i="11"/>
  <c r="B1883" i="11"/>
  <c r="C1883" i="11"/>
  <c r="A1884" i="11"/>
  <c r="B1884" i="11"/>
  <c r="C1884" i="11"/>
  <c r="A1885" i="11"/>
  <c r="B1885" i="11"/>
  <c r="C1885" i="11"/>
  <c r="A1886" i="11"/>
  <c r="B1886" i="11"/>
  <c r="C1886" i="11"/>
  <c r="A1887" i="11"/>
  <c r="B1887" i="11"/>
  <c r="C1887" i="11"/>
  <c r="A1888" i="11"/>
  <c r="B1888" i="11"/>
  <c r="C1888" i="11"/>
  <c r="A1889" i="11"/>
  <c r="B1889" i="11"/>
  <c r="C1889" i="11"/>
  <c r="A1890" i="11"/>
  <c r="B1890" i="11"/>
  <c r="C1890" i="11"/>
  <c r="A1891" i="11"/>
  <c r="B1891" i="11"/>
  <c r="C1891" i="11"/>
  <c r="A1892" i="11"/>
  <c r="B1892" i="11"/>
  <c r="C1892" i="11"/>
  <c r="A1893" i="11"/>
  <c r="B1893" i="11"/>
  <c r="C1893" i="11"/>
  <c r="A1894" i="11"/>
  <c r="B1894" i="11"/>
  <c r="C1894" i="11"/>
  <c r="A1895" i="11"/>
  <c r="B1895" i="11"/>
  <c r="C1895" i="11"/>
  <c r="A1896" i="11"/>
  <c r="B1896" i="11"/>
  <c r="C1896" i="11"/>
  <c r="A1897" i="11"/>
  <c r="B1897" i="11"/>
  <c r="C1897" i="11"/>
  <c r="A1898" i="11"/>
  <c r="B1898" i="11"/>
  <c r="C1898" i="11"/>
  <c r="A1899" i="11"/>
  <c r="B1899" i="11"/>
  <c r="C1899" i="11"/>
  <c r="A1900" i="11"/>
  <c r="B1900" i="11"/>
  <c r="C1900" i="11"/>
  <c r="A1901" i="11"/>
  <c r="B1901" i="11"/>
  <c r="C1901" i="11"/>
  <c r="A1902" i="11"/>
  <c r="B1902" i="11"/>
  <c r="C1902" i="11"/>
  <c r="A1903" i="11"/>
  <c r="B1903" i="11"/>
  <c r="C1903" i="11"/>
  <c r="A1904" i="11"/>
  <c r="B1904" i="11"/>
  <c r="C1904" i="11"/>
  <c r="A1905" i="11"/>
  <c r="B1905" i="11"/>
  <c r="C1905" i="11"/>
  <c r="A1906" i="11"/>
  <c r="B1906" i="11"/>
  <c r="C1906" i="11"/>
  <c r="A1907" i="11"/>
  <c r="B1907" i="11"/>
  <c r="C1907" i="11"/>
  <c r="A1908" i="11"/>
  <c r="B1908" i="11"/>
  <c r="C1908" i="11"/>
  <c r="A1909" i="11"/>
  <c r="B1909" i="11"/>
  <c r="C1909" i="11"/>
  <c r="A1910" i="11"/>
  <c r="B1910" i="11"/>
  <c r="C1910" i="11"/>
  <c r="A1911" i="11"/>
  <c r="B1911" i="11"/>
  <c r="C1911" i="11"/>
  <c r="A1912" i="11"/>
  <c r="B1912" i="11"/>
  <c r="C1912" i="11"/>
  <c r="A1913" i="11"/>
  <c r="B1913" i="11"/>
  <c r="C1913" i="11"/>
  <c r="A1914" i="11"/>
  <c r="B1914" i="11"/>
  <c r="C1914" i="11"/>
  <c r="A1915" i="11"/>
  <c r="B1915" i="11"/>
  <c r="C1915" i="11"/>
  <c r="A1916" i="11"/>
  <c r="B1916" i="11"/>
  <c r="C1916" i="11"/>
  <c r="A1917" i="11"/>
  <c r="B1917" i="11"/>
  <c r="C1917" i="11"/>
  <c r="A1918" i="11"/>
  <c r="B1918" i="11"/>
  <c r="C1918" i="11"/>
  <c r="A1919" i="11"/>
  <c r="B1919" i="11"/>
  <c r="C1919" i="11"/>
  <c r="A1920" i="11"/>
  <c r="B1920" i="11"/>
  <c r="C1920" i="11"/>
  <c r="A1921" i="11"/>
  <c r="B1921" i="11"/>
  <c r="C1921" i="11"/>
  <c r="A1922" i="11"/>
  <c r="B1922" i="11"/>
  <c r="C1922" i="11"/>
  <c r="A1923" i="11"/>
  <c r="B1923" i="11"/>
  <c r="C1923" i="11"/>
  <c r="A1924" i="11"/>
  <c r="B1924" i="11"/>
  <c r="C1924" i="11"/>
  <c r="A1925" i="11"/>
  <c r="B1925" i="11"/>
  <c r="C1925" i="11"/>
  <c r="A1926" i="11"/>
  <c r="B1926" i="11"/>
  <c r="C1926" i="11"/>
  <c r="A1927" i="11"/>
  <c r="B1927" i="11"/>
  <c r="C1927" i="11"/>
  <c r="A1928" i="11"/>
  <c r="B1928" i="11"/>
  <c r="C1928" i="11"/>
  <c r="A1929" i="11"/>
  <c r="B1929" i="11"/>
  <c r="C1929" i="11"/>
  <c r="A1930" i="11"/>
  <c r="B1930" i="11"/>
  <c r="C1930" i="11"/>
  <c r="A1931" i="11"/>
  <c r="B1931" i="11"/>
  <c r="C1931" i="11"/>
  <c r="A1932" i="11"/>
  <c r="B1932" i="11"/>
  <c r="C1932" i="11"/>
  <c r="A1933" i="11"/>
  <c r="B1933" i="11"/>
  <c r="C1933" i="11"/>
  <c r="A1934" i="11"/>
  <c r="B1934" i="11"/>
  <c r="C1934" i="11"/>
  <c r="A1935" i="11"/>
  <c r="B1935" i="11"/>
  <c r="C1935" i="11"/>
  <c r="A1936" i="11"/>
  <c r="B1936" i="11"/>
  <c r="C1936" i="11"/>
  <c r="A1937" i="11"/>
  <c r="B1937" i="11"/>
  <c r="C1937" i="11"/>
  <c r="A1938" i="11"/>
  <c r="B1938" i="11"/>
  <c r="C1938" i="11"/>
  <c r="A1939" i="11"/>
  <c r="B1939" i="11"/>
  <c r="C1939" i="11"/>
  <c r="A1940" i="11"/>
  <c r="B1940" i="11"/>
  <c r="C1940" i="11"/>
  <c r="A1941" i="11"/>
  <c r="B1941" i="11"/>
  <c r="C1941" i="11"/>
  <c r="A1942" i="11"/>
  <c r="B1942" i="11"/>
  <c r="C1942" i="11"/>
  <c r="A1943" i="11"/>
  <c r="B1943" i="11"/>
  <c r="C1943" i="11"/>
  <c r="A1944" i="11"/>
  <c r="B1944" i="11"/>
  <c r="C1944" i="11"/>
  <c r="A1945" i="11"/>
  <c r="B1945" i="11"/>
  <c r="C1945" i="11"/>
  <c r="A1946" i="11"/>
  <c r="B1946" i="11"/>
  <c r="C1946" i="11"/>
  <c r="A1947" i="11"/>
  <c r="B1947" i="11"/>
  <c r="C1947" i="11"/>
  <c r="A1948" i="11"/>
  <c r="B1948" i="11"/>
  <c r="C1948" i="11"/>
  <c r="A1949" i="11"/>
  <c r="B1949" i="11"/>
  <c r="C1949" i="11"/>
  <c r="A1950" i="11"/>
  <c r="B1950" i="11"/>
  <c r="C1950" i="11"/>
  <c r="A1951" i="11"/>
  <c r="B1951" i="11"/>
  <c r="C1951" i="11"/>
  <c r="A1952" i="11"/>
  <c r="B1952" i="11"/>
  <c r="C1952" i="11"/>
  <c r="A1953" i="11"/>
  <c r="B1953" i="11"/>
  <c r="C1953" i="11"/>
  <c r="A1954" i="11"/>
  <c r="B1954" i="11"/>
  <c r="C1954" i="11"/>
  <c r="A1955" i="11"/>
  <c r="B1955" i="11"/>
  <c r="C1955" i="11"/>
  <c r="A1956" i="11"/>
  <c r="B1956" i="11"/>
  <c r="C1956" i="11"/>
  <c r="A1957" i="11"/>
  <c r="B1957" i="11"/>
  <c r="C1957" i="11"/>
  <c r="A1958" i="11"/>
  <c r="B1958" i="11"/>
  <c r="C1958" i="11"/>
  <c r="A1959" i="11"/>
  <c r="B1959" i="11"/>
  <c r="C1959" i="11"/>
  <c r="A1960" i="11"/>
  <c r="B1960" i="11"/>
  <c r="C1960" i="11"/>
  <c r="A1961" i="11"/>
  <c r="B1961" i="11"/>
  <c r="C1961" i="11"/>
  <c r="A1962" i="11"/>
  <c r="B1962" i="11"/>
  <c r="C1962" i="11"/>
  <c r="A1963" i="11"/>
  <c r="B1963" i="11"/>
  <c r="C1963" i="11"/>
  <c r="A1964" i="11"/>
  <c r="B1964" i="11"/>
  <c r="C1964" i="11"/>
  <c r="A1965" i="11"/>
  <c r="B1965" i="11"/>
  <c r="C1965" i="11"/>
  <c r="A1966" i="11"/>
  <c r="B1966" i="11"/>
  <c r="C1966" i="11"/>
  <c r="A1967" i="11"/>
  <c r="B1967" i="11"/>
  <c r="C1967" i="11"/>
  <c r="A1968" i="11"/>
  <c r="B1968" i="11"/>
  <c r="C1968" i="11"/>
  <c r="A1969" i="11"/>
  <c r="B1969" i="11"/>
  <c r="C1969" i="11"/>
  <c r="A1970" i="11"/>
  <c r="B1970" i="11"/>
  <c r="C1970" i="11"/>
  <c r="A1971" i="11"/>
  <c r="B1971" i="11"/>
  <c r="C1971" i="11"/>
  <c r="A1972" i="11"/>
  <c r="B1972" i="11"/>
  <c r="C1972" i="11"/>
  <c r="A1973" i="11"/>
  <c r="B1973" i="11"/>
  <c r="C1973" i="11"/>
  <c r="A1974" i="11"/>
  <c r="B1974" i="11"/>
  <c r="C1974" i="11"/>
  <c r="A1975" i="11"/>
  <c r="B1975" i="11"/>
  <c r="C1975" i="11"/>
  <c r="A1976" i="11"/>
  <c r="B1976" i="11"/>
  <c r="C1976" i="11"/>
  <c r="A1977" i="11"/>
  <c r="B1977" i="11"/>
  <c r="C1977" i="11"/>
  <c r="A1978" i="11"/>
  <c r="B1978" i="11"/>
  <c r="C1978" i="11"/>
  <c r="A1979" i="11"/>
  <c r="B1979" i="11"/>
  <c r="C1979" i="11"/>
  <c r="A1980" i="11"/>
  <c r="B1980" i="11"/>
  <c r="C1980" i="11"/>
  <c r="A1981" i="11"/>
  <c r="B1981" i="11"/>
  <c r="C1981" i="11"/>
  <c r="A1982" i="11"/>
  <c r="B1982" i="11"/>
  <c r="C1982" i="11"/>
  <c r="A1983" i="11"/>
  <c r="B1983" i="11"/>
  <c r="C1983" i="11"/>
  <c r="A1984" i="11"/>
  <c r="B1984" i="11"/>
  <c r="C1984" i="11"/>
  <c r="A1985" i="11"/>
  <c r="B1985" i="11"/>
  <c r="C1985" i="11"/>
  <c r="A1986" i="11"/>
  <c r="B1986" i="11"/>
  <c r="C1986" i="11"/>
  <c r="A1987" i="11"/>
  <c r="B1987" i="11"/>
  <c r="C1987" i="11"/>
  <c r="A1988" i="11"/>
  <c r="B1988" i="11"/>
  <c r="C1988" i="11"/>
  <c r="A1989" i="11"/>
  <c r="B1989" i="11"/>
  <c r="C1989" i="11"/>
  <c r="A1990" i="11"/>
  <c r="B1990" i="11"/>
  <c r="C1990" i="11"/>
  <c r="A1991" i="11"/>
  <c r="B1991" i="11"/>
  <c r="C1991" i="11"/>
  <c r="A1992" i="11"/>
  <c r="B1992" i="11"/>
  <c r="C1992" i="11"/>
  <c r="A1993" i="11"/>
  <c r="B1993" i="11"/>
  <c r="C1993" i="11"/>
  <c r="A1994" i="11"/>
  <c r="B1994" i="11"/>
  <c r="C1994" i="11"/>
  <c r="A1995" i="11"/>
  <c r="B1995" i="11"/>
  <c r="C1995" i="11"/>
  <c r="A1996" i="11"/>
  <c r="B1996" i="11"/>
  <c r="C1996" i="11"/>
  <c r="A1997" i="11"/>
  <c r="B1997" i="11"/>
  <c r="C1997" i="11"/>
  <c r="A1998" i="11"/>
  <c r="B1998" i="11"/>
  <c r="C1998" i="11"/>
  <c r="A1999" i="11"/>
  <c r="B1999" i="11"/>
  <c r="C1999" i="11"/>
  <c r="A2000" i="11"/>
  <c r="B2000" i="11"/>
  <c r="C2000" i="11"/>
  <c r="A2001" i="11"/>
  <c r="B2001" i="11"/>
  <c r="C2001" i="11"/>
  <c r="A2002" i="11"/>
  <c r="B2002" i="11"/>
  <c r="C2002" i="11"/>
  <c r="A2003" i="11"/>
  <c r="B2003" i="11"/>
  <c r="C2003" i="11"/>
  <c r="A2004" i="11"/>
  <c r="B2004" i="11"/>
  <c r="C2004" i="11"/>
  <c r="A2005" i="11"/>
  <c r="B2005" i="11"/>
  <c r="C2005" i="11"/>
  <c r="A2006" i="11"/>
  <c r="B2006" i="11"/>
  <c r="C2006" i="11"/>
  <c r="A2007" i="11"/>
  <c r="B2007" i="11"/>
  <c r="C2007" i="11"/>
  <c r="A2008" i="11"/>
  <c r="B2008" i="11"/>
  <c r="C2008" i="11"/>
  <c r="A2009" i="11"/>
  <c r="B2009" i="11"/>
  <c r="C2009" i="11"/>
  <c r="A2010" i="11"/>
  <c r="B2010" i="11"/>
  <c r="C2010" i="11"/>
  <c r="A2011" i="11"/>
  <c r="B2011" i="11"/>
  <c r="C2011" i="11"/>
  <c r="A2012" i="11"/>
  <c r="B2012" i="11"/>
  <c r="C2012" i="11"/>
  <c r="A2013" i="11"/>
  <c r="B2013" i="11"/>
  <c r="C2013" i="11"/>
  <c r="A2014" i="11"/>
  <c r="B2014" i="11"/>
  <c r="C2014" i="11"/>
  <c r="A2015" i="11"/>
  <c r="B2015" i="11"/>
  <c r="C2015" i="11"/>
  <c r="A2016" i="11"/>
  <c r="B2016" i="11"/>
  <c r="C2016" i="11"/>
  <c r="A2017" i="11"/>
  <c r="B2017" i="11"/>
  <c r="C2017" i="11"/>
  <c r="A2018" i="11"/>
  <c r="B2018" i="11"/>
  <c r="C2018" i="11"/>
  <c r="A2019" i="11"/>
  <c r="B2019" i="11"/>
  <c r="C2019" i="11"/>
  <c r="A2020" i="11"/>
  <c r="B2020" i="11"/>
  <c r="C2020" i="11"/>
  <c r="A2021" i="11"/>
  <c r="B2021" i="11"/>
  <c r="C2021" i="11"/>
  <c r="A2022" i="11"/>
  <c r="B2022" i="11"/>
  <c r="C2022" i="11"/>
  <c r="A2023" i="11"/>
  <c r="B2023" i="11"/>
  <c r="C2023" i="11"/>
  <c r="A2024" i="11"/>
  <c r="B2024" i="11"/>
  <c r="C2024" i="11"/>
  <c r="A2025" i="11"/>
  <c r="B2025" i="11"/>
  <c r="C2025" i="11"/>
  <c r="A2026" i="11"/>
  <c r="B2026" i="11"/>
  <c r="C2026" i="11"/>
  <c r="A2027" i="11"/>
  <c r="B2027" i="11"/>
  <c r="C2027" i="11"/>
  <c r="A2028" i="11"/>
  <c r="B2028" i="11"/>
  <c r="C2028" i="11"/>
  <c r="A2029" i="11"/>
  <c r="B2029" i="11"/>
  <c r="C2029" i="11"/>
  <c r="A2030" i="11"/>
  <c r="B2030" i="11"/>
  <c r="C2030" i="11"/>
  <c r="A2031" i="11"/>
  <c r="B2031" i="11"/>
  <c r="C2031" i="11"/>
  <c r="A2032" i="11"/>
  <c r="B2032" i="11"/>
  <c r="C2032" i="11"/>
  <c r="A2033" i="11"/>
  <c r="B2033" i="11"/>
  <c r="C2033" i="11"/>
  <c r="A2034" i="11"/>
  <c r="B2034" i="11"/>
  <c r="C2034" i="11"/>
  <c r="A2035" i="11"/>
  <c r="B2035" i="11"/>
  <c r="C2035" i="11"/>
  <c r="A2036" i="11"/>
  <c r="B2036" i="11"/>
  <c r="C2036" i="11"/>
  <c r="A2037" i="11"/>
  <c r="B2037" i="11"/>
  <c r="C2037" i="11"/>
  <c r="A2038" i="11"/>
  <c r="B2038" i="11"/>
  <c r="C2038" i="11"/>
  <c r="A2039" i="11"/>
  <c r="B2039" i="11"/>
  <c r="C2039" i="11"/>
  <c r="A2040" i="11"/>
  <c r="B2040" i="11"/>
  <c r="C2040" i="11"/>
  <c r="A2041" i="11"/>
  <c r="B2041" i="11"/>
  <c r="C2041" i="11"/>
  <c r="A2042" i="11"/>
  <c r="B2042" i="11"/>
  <c r="C2042" i="11"/>
  <c r="A2043" i="11"/>
  <c r="B2043" i="11"/>
  <c r="C2043" i="11"/>
  <c r="A2044" i="11"/>
  <c r="B2044" i="11"/>
  <c r="C2044" i="11"/>
  <c r="A2045" i="11"/>
  <c r="B2045" i="11"/>
  <c r="C2045" i="11"/>
  <c r="A2046" i="11"/>
  <c r="B2046" i="11"/>
  <c r="C2046" i="11"/>
  <c r="A2047" i="11"/>
  <c r="B2047" i="11"/>
  <c r="C2047" i="11"/>
  <c r="A2048" i="11"/>
  <c r="B2048" i="11"/>
  <c r="C2048" i="11"/>
  <c r="A2049" i="11"/>
  <c r="B2049" i="11"/>
  <c r="C2049" i="11"/>
  <c r="A2050" i="11"/>
  <c r="B2050" i="11"/>
  <c r="C2050" i="11"/>
  <c r="A2051" i="11"/>
  <c r="B2051" i="11"/>
  <c r="C2051" i="11"/>
  <c r="A2052" i="11"/>
  <c r="B2052" i="11"/>
  <c r="C2052" i="11"/>
  <c r="A2053" i="11"/>
  <c r="B2053" i="11"/>
  <c r="C2053" i="11"/>
  <c r="A2054" i="11"/>
  <c r="B2054" i="11"/>
  <c r="C2054" i="11"/>
  <c r="A2055" i="11"/>
  <c r="B2055" i="11"/>
  <c r="C2055" i="11"/>
  <c r="A2056" i="11"/>
  <c r="B2056" i="11"/>
  <c r="C2056" i="11"/>
  <c r="A2057" i="11"/>
  <c r="B2057" i="11"/>
  <c r="C2057" i="11"/>
  <c r="A2058" i="11"/>
  <c r="B2058" i="11"/>
  <c r="C2058" i="11"/>
  <c r="A2059" i="11"/>
  <c r="B2059" i="11"/>
  <c r="C2059" i="11"/>
  <c r="A2060" i="11"/>
  <c r="B2060" i="11"/>
  <c r="C2060" i="11"/>
  <c r="A2061" i="11"/>
  <c r="B2061" i="11"/>
  <c r="C2061" i="11"/>
  <c r="A2062" i="11"/>
  <c r="B2062" i="11"/>
  <c r="C2062" i="11"/>
  <c r="A2063" i="11"/>
  <c r="B2063" i="11"/>
  <c r="C2063" i="11"/>
  <c r="A2064" i="11"/>
  <c r="B2064" i="11"/>
  <c r="C2064" i="11"/>
  <c r="A2065" i="11"/>
  <c r="B2065" i="11"/>
  <c r="C2065" i="11"/>
  <c r="A2066" i="11"/>
  <c r="B2066" i="11"/>
  <c r="C2066" i="11"/>
  <c r="A2067" i="11"/>
  <c r="B2067" i="11"/>
  <c r="C2067" i="11"/>
  <c r="A2068" i="11"/>
  <c r="B2068" i="11"/>
  <c r="C2068" i="11"/>
  <c r="A2069" i="11"/>
  <c r="B2069" i="11"/>
  <c r="C2069" i="11"/>
  <c r="A2070" i="11"/>
  <c r="B2070" i="11"/>
  <c r="C2070" i="11"/>
  <c r="A2071" i="11"/>
  <c r="B2071" i="11"/>
  <c r="C2071" i="11"/>
  <c r="A2072" i="11"/>
  <c r="B2072" i="11"/>
  <c r="C2072" i="11"/>
  <c r="A2073" i="11"/>
  <c r="B2073" i="11"/>
  <c r="C2073" i="11"/>
  <c r="A2074" i="11"/>
  <c r="B2074" i="11"/>
  <c r="C2074" i="11"/>
  <c r="A2075" i="11"/>
  <c r="B2075" i="11"/>
  <c r="C2075" i="11"/>
  <c r="A2076" i="11"/>
  <c r="B2076" i="11"/>
  <c r="C2076" i="11"/>
  <c r="A2077" i="11"/>
  <c r="B2077" i="11"/>
  <c r="C2077" i="11"/>
  <c r="A2078" i="11"/>
  <c r="B2078" i="11"/>
  <c r="C2078" i="11"/>
  <c r="A2079" i="11"/>
  <c r="B2079" i="11"/>
  <c r="C2079" i="11"/>
  <c r="A2080" i="11"/>
  <c r="B2080" i="11"/>
  <c r="C2080" i="11"/>
  <c r="A2081" i="11"/>
  <c r="B2081" i="11"/>
  <c r="C2081" i="11"/>
  <c r="A2082" i="11"/>
  <c r="B2082" i="11"/>
  <c r="C2082" i="11"/>
  <c r="A2083" i="11"/>
  <c r="B2083" i="11"/>
  <c r="C2083" i="11"/>
  <c r="A2084" i="11"/>
  <c r="B2084" i="11"/>
  <c r="C2084" i="11"/>
  <c r="A2085" i="11"/>
  <c r="B2085" i="11"/>
  <c r="C2085" i="11"/>
  <c r="A2086" i="11"/>
  <c r="B2086" i="11"/>
  <c r="C2086" i="11"/>
  <c r="A2087" i="11"/>
  <c r="B2087" i="11"/>
  <c r="C2087" i="11"/>
  <c r="A2088" i="11"/>
  <c r="B2088" i="11"/>
  <c r="C2088" i="11"/>
  <c r="A2089" i="11"/>
  <c r="B2089" i="11"/>
  <c r="C2089" i="11"/>
  <c r="A2090" i="11"/>
  <c r="B2090" i="11"/>
  <c r="C2090" i="11"/>
  <c r="A2091" i="11"/>
  <c r="B2091" i="11"/>
  <c r="C2091" i="11"/>
  <c r="A2092" i="11"/>
  <c r="B2092" i="11"/>
  <c r="C2092" i="11"/>
  <c r="A2093" i="11"/>
  <c r="B2093" i="11"/>
  <c r="C2093" i="11"/>
  <c r="A2094" i="11"/>
  <c r="B2094" i="11"/>
  <c r="C2094" i="11"/>
  <c r="A2095" i="11"/>
  <c r="B2095" i="11"/>
  <c r="C2095" i="11"/>
  <c r="A2096" i="11"/>
  <c r="B2096" i="11"/>
  <c r="C2096" i="11"/>
  <c r="A2097" i="11"/>
  <c r="B2097" i="11"/>
  <c r="C2097" i="11"/>
  <c r="A2098" i="11"/>
  <c r="B2098" i="11"/>
  <c r="C2098" i="11"/>
  <c r="A2099" i="11"/>
  <c r="B2099" i="11"/>
  <c r="C2099" i="11"/>
  <c r="A2100" i="11"/>
  <c r="B2100" i="11"/>
  <c r="C2100" i="11"/>
  <c r="A2101" i="11"/>
  <c r="B2101" i="11"/>
  <c r="C2101" i="11"/>
  <c r="A2102" i="11"/>
  <c r="B2102" i="11"/>
  <c r="C2102" i="11"/>
  <c r="A2103" i="11"/>
  <c r="B2103" i="11"/>
  <c r="C2103" i="11"/>
  <c r="A2104" i="11"/>
  <c r="B2104" i="11"/>
  <c r="C2104" i="11"/>
  <c r="A2105" i="11"/>
  <c r="B2105" i="11"/>
  <c r="C2105" i="11"/>
  <c r="A2106" i="11"/>
  <c r="B2106" i="11"/>
  <c r="C2106" i="11"/>
  <c r="A2107" i="11"/>
  <c r="B2107" i="11"/>
  <c r="C2107" i="11"/>
  <c r="A2108" i="11"/>
  <c r="B2108" i="11"/>
  <c r="C2108" i="11"/>
  <c r="A2109" i="11"/>
  <c r="B2109" i="11"/>
  <c r="C2109" i="11"/>
  <c r="A2110" i="11"/>
  <c r="B2110" i="11"/>
  <c r="C2110" i="11"/>
  <c r="A2111" i="11"/>
  <c r="B2111" i="11"/>
  <c r="C2111" i="11"/>
  <c r="A2112" i="11"/>
  <c r="B2112" i="11"/>
  <c r="C2112" i="11"/>
  <c r="A2113" i="11"/>
  <c r="B2113" i="11"/>
  <c r="C2113" i="11"/>
  <c r="A2114" i="11"/>
  <c r="B2114" i="11"/>
  <c r="C2114" i="11"/>
  <c r="A2115" i="11"/>
  <c r="B2115" i="11"/>
  <c r="C2115" i="11"/>
  <c r="A2116" i="11"/>
  <c r="B2116" i="11"/>
  <c r="C2116" i="11"/>
  <c r="A2117" i="11"/>
  <c r="B2117" i="11"/>
  <c r="C2117" i="11"/>
  <c r="A2118" i="11"/>
  <c r="B2118" i="11"/>
  <c r="C2118" i="11"/>
  <c r="A2119" i="11"/>
  <c r="B2119" i="11"/>
  <c r="C2119" i="11"/>
  <c r="A2120" i="11"/>
  <c r="B2120" i="11"/>
  <c r="C2120" i="11"/>
  <c r="A2121" i="11"/>
  <c r="B2121" i="11"/>
  <c r="C2121" i="11"/>
  <c r="A2122" i="11"/>
  <c r="B2122" i="11"/>
  <c r="C2122" i="11"/>
  <c r="A2123" i="11"/>
  <c r="B2123" i="11"/>
  <c r="C2123" i="11"/>
  <c r="A2124" i="11"/>
  <c r="B2124" i="11"/>
  <c r="C2124" i="11"/>
  <c r="A2125" i="11"/>
  <c r="B2125" i="11"/>
  <c r="C2125" i="11"/>
  <c r="A2126" i="11"/>
  <c r="B2126" i="11"/>
  <c r="C2126" i="11"/>
  <c r="A2127" i="11"/>
  <c r="B2127" i="11"/>
  <c r="C2127" i="11"/>
  <c r="A2128" i="11"/>
  <c r="B2128" i="11"/>
  <c r="C2128" i="11"/>
  <c r="A2129" i="11"/>
  <c r="B2129" i="11"/>
  <c r="C2129" i="11"/>
  <c r="A2130" i="11"/>
  <c r="B2130" i="11"/>
  <c r="C2130" i="11"/>
  <c r="A2131" i="11"/>
  <c r="B2131" i="11"/>
  <c r="C2131" i="11"/>
  <c r="A2132" i="11"/>
  <c r="B2132" i="11"/>
  <c r="C2132" i="11"/>
  <c r="A2133" i="11"/>
  <c r="B2133" i="11"/>
  <c r="C2133" i="11"/>
  <c r="A2134" i="11"/>
  <c r="B2134" i="11"/>
  <c r="C2134" i="11"/>
  <c r="A2135" i="11"/>
  <c r="B2135" i="11"/>
  <c r="C2135" i="11"/>
  <c r="A2136" i="11"/>
  <c r="B2136" i="11"/>
  <c r="C2136" i="11"/>
  <c r="A2137" i="11"/>
  <c r="B2137" i="11"/>
  <c r="C2137" i="11"/>
  <c r="A2138" i="11"/>
  <c r="B2138" i="11"/>
  <c r="C2138" i="11"/>
  <c r="A2139" i="11"/>
  <c r="B2139" i="11"/>
  <c r="C2139" i="11"/>
  <c r="A2140" i="11"/>
  <c r="B2140" i="11"/>
  <c r="C2140" i="11"/>
  <c r="A2141" i="11"/>
  <c r="B2141" i="11"/>
  <c r="C2141" i="11"/>
  <c r="A2142" i="11"/>
  <c r="B2142" i="11"/>
  <c r="C2142" i="11"/>
  <c r="A2143" i="11"/>
  <c r="B2143" i="11"/>
  <c r="C2143" i="11"/>
  <c r="A2144" i="11"/>
  <c r="B2144" i="11"/>
  <c r="C2144" i="11"/>
  <c r="A2145" i="11"/>
  <c r="B2145" i="11"/>
  <c r="C2145" i="11"/>
  <c r="A2146" i="11"/>
  <c r="B2146" i="11"/>
  <c r="C2146" i="11"/>
  <c r="A2147" i="11"/>
  <c r="B2147" i="11"/>
  <c r="C2147" i="11"/>
  <c r="A2148" i="11"/>
  <c r="B2148" i="11"/>
  <c r="C2148" i="11"/>
  <c r="A2149" i="11"/>
  <c r="B2149" i="11"/>
  <c r="C2149" i="11"/>
  <c r="A2150" i="11"/>
  <c r="B2150" i="11"/>
  <c r="C2150" i="11"/>
  <c r="A2151" i="11"/>
  <c r="B2151" i="11"/>
  <c r="C2151" i="11"/>
  <c r="A2152" i="11"/>
  <c r="B2152" i="11"/>
  <c r="C2152" i="11"/>
  <c r="A2153" i="11"/>
  <c r="B2153" i="11"/>
  <c r="C2153" i="11"/>
  <c r="A2154" i="11"/>
  <c r="B2154" i="11"/>
  <c r="C2154" i="11"/>
  <c r="A2155" i="11"/>
  <c r="B2155" i="11"/>
  <c r="C2155" i="11"/>
  <c r="A2156" i="11"/>
  <c r="B2156" i="11"/>
  <c r="C2156" i="11"/>
  <c r="A2157" i="11"/>
  <c r="B2157" i="11"/>
  <c r="C2157" i="11"/>
  <c r="A2158" i="11"/>
  <c r="B2158" i="11"/>
  <c r="C2158" i="11"/>
  <c r="A2159" i="11"/>
  <c r="B2159" i="11"/>
  <c r="C2159" i="11"/>
  <c r="A2160" i="11"/>
  <c r="B2160" i="11"/>
  <c r="C2160" i="11"/>
  <c r="A2161" i="11"/>
  <c r="B2161" i="11"/>
  <c r="C2161" i="11"/>
  <c r="A2162" i="11"/>
  <c r="B2162" i="11"/>
  <c r="C2162" i="11"/>
  <c r="A2163" i="11"/>
  <c r="B2163" i="11"/>
  <c r="C2163" i="11"/>
  <c r="A2164" i="11"/>
  <c r="B2164" i="11"/>
  <c r="C2164" i="11"/>
  <c r="A2165" i="11"/>
  <c r="B2165" i="11"/>
  <c r="C2165" i="11"/>
  <c r="A2166" i="11"/>
  <c r="B2166" i="11"/>
  <c r="C2166" i="11"/>
  <c r="A2167" i="11"/>
  <c r="B2167" i="11"/>
  <c r="C2167" i="11"/>
  <c r="A2168" i="11"/>
  <c r="B2168" i="11"/>
  <c r="C2168" i="11"/>
  <c r="A2169" i="11"/>
  <c r="B2169" i="11"/>
  <c r="C2169" i="11"/>
  <c r="A2170" i="11"/>
  <c r="B2170" i="11"/>
  <c r="C2170" i="11"/>
  <c r="A2171" i="11"/>
  <c r="B2171" i="11"/>
  <c r="C2171" i="11"/>
  <c r="A2172" i="11"/>
  <c r="B2172" i="11"/>
  <c r="C2172" i="11"/>
  <c r="A2173" i="11"/>
  <c r="B2173" i="11"/>
  <c r="C2173" i="11"/>
  <c r="A2174" i="11"/>
  <c r="B2174" i="11"/>
  <c r="C2174" i="11"/>
  <c r="A2175" i="11"/>
  <c r="B2175" i="11"/>
  <c r="C2175" i="11"/>
  <c r="A2176" i="11"/>
  <c r="B2176" i="11"/>
  <c r="C2176" i="11"/>
  <c r="A2177" i="11"/>
  <c r="B2177" i="11"/>
  <c r="C2177" i="11"/>
  <c r="A2178" i="11"/>
  <c r="B2178" i="11"/>
  <c r="C2178" i="11"/>
  <c r="A2179" i="11"/>
  <c r="B2179" i="11"/>
  <c r="C2179" i="11"/>
  <c r="A2180" i="11"/>
  <c r="B2180" i="11"/>
  <c r="C2180" i="11"/>
  <c r="A2181" i="11"/>
  <c r="B2181" i="11"/>
  <c r="C2181" i="11"/>
  <c r="A2182" i="11"/>
  <c r="B2182" i="11"/>
  <c r="C2182" i="11"/>
  <c r="A2183" i="11"/>
  <c r="B2183" i="11"/>
  <c r="C2183" i="11"/>
  <c r="A2184" i="11"/>
  <c r="B2184" i="11"/>
  <c r="C2184" i="11"/>
  <c r="A2185" i="11"/>
  <c r="B2185" i="11"/>
  <c r="C2185" i="11"/>
  <c r="A2186" i="11"/>
  <c r="B2186" i="11"/>
  <c r="C2186" i="11"/>
  <c r="A2187" i="11"/>
  <c r="B2187" i="11"/>
  <c r="C2187" i="11"/>
  <c r="A2188" i="11"/>
  <c r="B2188" i="11"/>
  <c r="C2188" i="11"/>
  <c r="A2189" i="11"/>
  <c r="B2189" i="11"/>
  <c r="C2189" i="11"/>
  <c r="A2190" i="11"/>
  <c r="B2190" i="11"/>
  <c r="C2190" i="11"/>
  <c r="A2191" i="11"/>
  <c r="B2191" i="11"/>
  <c r="C2191" i="11"/>
  <c r="C2" i="11"/>
  <c r="B2" i="11"/>
  <c r="A2" i="11"/>
  <c r="D8" i="9" l="1"/>
  <c r="D16" i="9"/>
  <c r="D9" i="9"/>
  <c r="D17" i="9"/>
  <c r="D22" i="9"/>
  <c r="D10" i="9"/>
  <c r="D18" i="9"/>
  <c r="D23" i="9"/>
  <c r="D11" i="9"/>
  <c r="D19" i="9"/>
  <c r="D24" i="9"/>
  <c r="D12" i="9"/>
  <c r="D20" i="9"/>
  <c r="D25" i="9"/>
  <c r="D13" i="9"/>
  <c r="D21" i="9"/>
  <c r="D26" i="9"/>
  <c r="D14" i="9"/>
  <c r="D15" i="9"/>
  <c r="C9" i="9"/>
  <c r="C17" i="9"/>
  <c r="C22" i="9"/>
  <c r="C3" i="9"/>
  <c r="B6" i="9"/>
  <c r="B14" i="9"/>
  <c r="C10" i="9"/>
  <c r="C18" i="9"/>
  <c r="C23" i="9"/>
  <c r="D3" i="9"/>
  <c r="B7" i="9"/>
  <c r="B15" i="9"/>
  <c r="C8" i="9"/>
  <c r="B26" i="9"/>
  <c r="C11" i="9"/>
  <c r="C19" i="9"/>
  <c r="C24" i="9"/>
  <c r="D4" i="9"/>
  <c r="B8" i="9"/>
  <c r="B16" i="9"/>
  <c r="C16" i="9"/>
  <c r="C4" i="9"/>
  <c r="C12" i="9"/>
  <c r="C20" i="9"/>
  <c r="C25" i="9"/>
  <c r="D5" i="9"/>
  <c r="B9" i="9"/>
  <c r="B17" i="9"/>
  <c r="B22" i="9"/>
  <c r="B3" i="9"/>
  <c r="B21" i="9"/>
  <c r="C5" i="9"/>
  <c r="C13" i="9"/>
  <c r="C21" i="9"/>
  <c r="C26" i="9"/>
  <c r="D6" i="9"/>
  <c r="B10" i="9"/>
  <c r="B18" i="9"/>
  <c r="B23" i="9"/>
  <c r="C6" i="9"/>
  <c r="C14" i="9"/>
  <c r="D7" i="9"/>
  <c r="B11" i="9"/>
  <c r="B19" i="9"/>
  <c r="B24" i="9"/>
  <c r="B5" i="9"/>
  <c r="C7" i="9"/>
  <c r="C15" i="9"/>
  <c r="B4" i="9"/>
  <c r="B12" i="9"/>
  <c r="B20" i="9"/>
  <c r="B25" i="9"/>
  <c r="B13" i="9"/>
  <c r="I21" i="9" l="1"/>
  <c r="G21" i="9" s="1"/>
  <c r="H21" i="9" s="1"/>
  <c r="I23" i="9"/>
  <c r="G23" i="9" s="1"/>
  <c r="H23" i="9" s="1"/>
  <c r="I6" i="9"/>
  <c r="I13" i="9"/>
  <c r="G13" i="9" s="1"/>
  <c r="H13" i="9" s="1"/>
  <c r="I18" i="9"/>
  <c r="G18" i="9" s="1"/>
  <c r="H18" i="9" s="1"/>
  <c r="I25" i="9"/>
  <c r="G25" i="9" s="1"/>
  <c r="H25" i="9" s="1"/>
  <c r="I10" i="9"/>
  <c r="G10" i="9" s="1"/>
  <c r="H10" i="9" s="1"/>
  <c r="I7" i="9"/>
  <c r="G7" i="9" s="1"/>
  <c r="H7" i="9" s="1"/>
  <c r="I5" i="9"/>
  <c r="S4" i="9" s="1"/>
  <c r="I4" i="9"/>
  <c r="G4" i="9" s="1"/>
  <c r="H4" i="9" s="1"/>
  <c r="I3" i="9"/>
  <c r="I20" i="9"/>
  <c r="G20" i="9" s="1"/>
  <c r="H20" i="9" s="1"/>
  <c r="I22" i="9"/>
  <c r="G22" i="9" s="1"/>
  <c r="H22" i="9" s="1"/>
  <c r="I12" i="9"/>
  <c r="G12" i="9" s="1"/>
  <c r="H12" i="9" s="1"/>
  <c r="I17" i="9"/>
  <c r="G17" i="9" s="1"/>
  <c r="H17" i="9" s="1"/>
  <c r="I15" i="9"/>
  <c r="G15" i="9" s="1"/>
  <c r="H15" i="9" s="1"/>
  <c r="I24" i="9"/>
  <c r="G24" i="9" s="1"/>
  <c r="H24" i="9" s="1"/>
  <c r="I9" i="9"/>
  <c r="G9" i="9" s="1"/>
  <c r="H9" i="9" s="1"/>
  <c r="I14" i="9"/>
  <c r="G14" i="9" s="1"/>
  <c r="I19" i="9"/>
  <c r="G19" i="9" s="1"/>
  <c r="H19" i="9" s="1"/>
  <c r="I16" i="9"/>
  <c r="G16" i="9" s="1"/>
  <c r="H16" i="9" s="1"/>
  <c r="I26" i="9"/>
  <c r="G26" i="9" s="1"/>
  <c r="H26" i="9" s="1"/>
  <c r="I11" i="9"/>
  <c r="G11" i="9" s="1"/>
  <c r="H11" i="9" s="1"/>
  <c r="I8" i="9"/>
  <c r="S6" i="9" l="1"/>
  <c r="G3" i="9"/>
  <c r="H3" i="9" s="1"/>
  <c r="Q3" i="9" s="1"/>
  <c r="S3" i="9"/>
  <c r="G6" i="9"/>
  <c r="R5" i="9" s="1"/>
  <c r="S5" i="9"/>
  <c r="G5" i="9"/>
  <c r="G8" i="9"/>
  <c r="H8" i="9" s="1"/>
  <c r="H14" i="9"/>
  <c r="Q6" i="9" l="1"/>
  <c r="R3" i="9"/>
  <c r="H6" i="9"/>
  <c r="Q5" i="9" s="1"/>
  <c r="S7" i="9"/>
  <c r="R6" i="9"/>
  <c r="H5" i="9"/>
  <c r="Q4" i="9" s="1"/>
  <c r="R4" i="9"/>
  <c r="Q7" i="9" l="1"/>
  <c r="R7" i="9"/>
</calcChain>
</file>

<file path=xl/sharedStrings.xml><?xml version="1.0" encoding="utf-8"?>
<sst xmlns="http://schemas.openxmlformats.org/spreadsheetml/2006/main" count="63450" uniqueCount="5112">
  <si>
    <t>Código Distrito
 DGCyE</t>
  </si>
  <si>
    <t>Nombre de 
Distrito - Partido</t>
  </si>
  <si>
    <t>Región Educativa</t>
  </si>
  <si>
    <t>CUE</t>
  </si>
  <si>
    <t>Anexo</t>
  </si>
  <si>
    <t>Clave Provincial</t>
  </si>
  <si>
    <t>Dependencia</t>
  </si>
  <si>
    <t>Tipo de Organización</t>
  </si>
  <si>
    <t>Sede  Anexo Extensión</t>
  </si>
  <si>
    <t>Escuela Sede</t>
  </si>
  <si>
    <t>Nombre del Establecimiento</t>
  </si>
  <si>
    <t>Ámbito Geográfico</t>
  </si>
  <si>
    <t>Matrícula Estimada</t>
  </si>
  <si>
    <t>Modalidad</t>
  </si>
  <si>
    <t>Nivel</t>
  </si>
  <si>
    <t>Matricula Total</t>
  </si>
  <si>
    <t>Secciones</t>
  </si>
  <si>
    <t>001</t>
  </si>
  <si>
    <t>La Plata</t>
  </si>
  <si>
    <t>01</t>
  </si>
  <si>
    <t>Oficial</t>
  </si>
  <si>
    <t>SEDE</t>
  </si>
  <si>
    <t>Urbano</t>
  </si>
  <si>
    <t>No</t>
  </si>
  <si>
    <t>0001DA0004</t>
  </si>
  <si>
    <t>CENTRO DE ALFABETIZACIÓN</t>
  </si>
  <si>
    <t>CENTRO DE ALFABETIZACIÓN Nº4</t>
  </si>
  <si>
    <t>Educación de Jóvenes y Adultos</t>
  </si>
  <si>
    <t>Nivel Primario</t>
  </si>
  <si>
    <t>0001DA0010</t>
  </si>
  <si>
    <t>CENTRO DE ALFABETIZACIÓN Nº10</t>
  </si>
  <si>
    <t>0001DA0021</t>
  </si>
  <si>
    <t>CENTRO DE ALFABETIZACIÓN Nº`21 "HÉROES DE MALVINAS"</t>
  </si>
  <si>
    <t>0001DA0045</t>
  </si>
  <si>
    <t>CENTRO DE ALFABETIZACION Nº45</t>
  </si>
  <si>
    <t>0001DA0046</t>
  </si>
  <si>
    <t>CENTRO DE ALFABETIZACION Nº46</t>
  </si>
  <si>
    <t>0001DA0168</t>
  </si>
  <si>
    <t>CENTRO DE ALFABETIZACIÓN Nº168</t>
  </si>
  <si>
    <t>0001DA0169</t>
  </si>
  <si>
    <t>CENTRO DE ALFABETIZACIÓN Nº169</t>
  </si>
  <si>
    <t>0001DA0173</t>
  </si>
  <si>
    <t>CENTRO DE ALFABETIZACIÓN Nº173</t>
  </si>
  <si>
    <t>0001DA0174</t>
  </si>
  <si>
    <t>CENTRO DE ALFABETIZACION Nº799/174</t>
  </si>
  <si>
    <t>0001DA0175</t>
  </si>
  <si>
    <t>CENTRO DE ALFABETIZACION Nº799/175 "RESIDENTES SANTIAGUEÑOS"</t>
  </si>
  <si>
    <t>0001DA0176</t>
  </si>
  <si>
    <t>CENTRO DE ALFABETIZACIÓN Nº176</t>
  </si>
  <si>
    <t>0001DC0705</t>
  </si>
  <si>
    <t>CENTRO DE EDUCACIÓN PRIMARIA DE ADULTOS</t>
  </si>
  <si>
    <t>EXTENSION</t>
  </si>
  <si>
    <t>0001DE0712</t>
  </si>
  <si>
    <t>CENTRO DE ADULTOS Nº705/12 "CORONEL MANUEL DORREGO"</t>
  </si>
  <si>
    <t>0001DC0707</t>
  </si>
  <si>
    <t>0001DE0710</t>
  </si>
  <si>
    <t>CENTRO DE ADULTOS Nº707/10 "ADOLFO SENEL"</t>
  </si>
  <si>
    <t>0001DC0711</t>
  </si>
  <si>
    <t>CENTRO DE ADULTOS Nº711/10 "SOLDADO DE LA INDEPENDENCIA"</t>
  </si>
  <si>
    <t>0001DC0714</t>
  </si>
  <si>
    <t>CENTRO DE ADULTOS Nº714 "FRANCISCO BRUNET"</t>
  </si>
  <si>
    <t>0001DC0715</t>
  </si>
  <si>
    <t>0001DE0703</t>
  </si>
  <si>
    <t>CENTRO DE ADULTOS Nº715/03</t>
  </si>
  <si>
    <t>0001DC0716</t>
  </si>
  <si>
    <t>0001DE0713</t>
  </si>
  <si>
    <t>CENTRO DE ADULTOS Nº716/13</t>
  </si>
  <si>
    <t>0001DC0720</t>
  </si>
  <si>
    <t>CENTRO DE ADULTOS Nº720/13</t>
  </si>
  <si>
    <t>0001DC0722</t>
  </si>
  <si>
    <t>0001DE0706</t>
  </si>
  <si>
    <t>CENTRO DE ADULTOS Nº722/06</t>
  </si>
  <si>
    <t>0001DC0723</t>
  </si>
  <si>
    <t>CENTRO DE ADULTOS Nº723/06</t>
  </si>
  <si>
    <t>0001DC0725</t>
  </si>
  <si>
    <t>CENTRO DE ADULTOS Nº725</t>
  </si>
  <si>
    <t>0001DC0726</t>
  </si>
  <si>
    <t>CENTRO DE ADULTOS Nº726</t>
  </si>
  <si>
    <t>0001DC0727</t>
  </si>
  <si>
    <t>0001DE0718</t>
  </si>
  <si>
    <t>CENTRO DE ADULTOS Nº 727/18</t>
  </si>
  <si>
    <t>0001DC0728</t>
  </si>
  <si>
    <t>0001DE0704</t>
  </si>
  <si>
    <t>CENTRO DE ADULTOS Nº728/04</t>
  </si>
  <si>
    <t>0001DC0733</t>
  </si>
  <si>
    <t>CENTRO DE ADULTOS Nº733/12 "JUANA ZORILLA DE SAN MARTÍN"</t>
  </si>
  <si>
    <t>0001DC0735</t>
  </si>
  <si>
    <t>0001DE0709</t>
  </si>
  <si>
    <t>CENTRO DE ADULTOS Nº735/09</t>
  </si>
  <si>
    <t>0001DC0736</t>
  </si>
  <si>
    <t>CENTRO DE ADULTOS Nº736</t>
  </si>
  <si>
    <t>0001DC0737</t>
  </si>
  <si>
    <t>CENTRO DE ADULTOS Nº 737/09</t>
  </si>
  <si>
    <t>0001DC0738</t>
  </si>
  <si>
    <t>CENTRO DE ADULTOS Nº738/06</t>
  </si>
  <si>
    <t>0001DC0739</t>
  </si>
  <si>
    <t>CENTRO DE ADULTOS Nº739/04</t>
  </si>
  <si>
    <t>0001DC0740</t>
  </si>
  <si>
    <t>CENTRO DE ADULTOS Nº740/04</t>
  </si>
  <si>
    <t>0001DC0741</t>
  </si>
  <si>
    <t>CENTRO DE ADULTOS Nº741/03</t>
  </si>
  <si>
    <t>0001DC0742</t>
  </si>
  <si>
    <t>CENTRO DE ADULTOS Nº742/12 "PEDRO BENOIT"</t>
  </si>
  <si>
    <t>0001DC0743</t>
  </si>
  <si>
    <t>CENTRO DE ADULTOS Nº743</t>
  </si>
  <si>
    <t>0001DC0744</t>
  </si>
  <si>
    <t>CENTRO DE ADULTOS Nº744/13</t>
  </si>
  <si>
    <t>0001DC0749</t>
  </si>
  <si>
    <t>CENTRO DE ADULTOS Nº749/10</t>
  </si>
  <si>
    <t>0001DE0701</t>
  </si>
  <si>
    <t>ESCUELA DE EDUCACIÓN PRIMARIA DE ADULTOS</t>
  </si>
  <si>
    <t>ESCUELA DE ADULTOS Nº701</t>
  </si>
  <si>
    <t>0001DE0702</t>
  </si>
  <si>
    <t>ESCUELA PRIMARIA DE ADULTOS Nº702 "EVITA"</t>
  </si>
  <si>
    <t>ESCUELA DE ADULTOS Nº703 "VICENTE RASCIO"</t>
  </si>
  <si>
    <t>ESCUELA DE ADULTOS Nº704 "ING. LUIS MONTEVERDE"</t>
  </si>
  <si>
    <t>ESCUELA DE ADULTOS Nº706 "CARLOS TOMAS SOURIGUES"</t>
  </si>
  <si>
    <t>ESCUELA DE ADULTOS Nº709 "BENITO LYNCH"</t>
  </si>
  <si>
    <t>ESCUELA DE ADULTOS Nº710 "DR. MARIAMO MORENO"</t>
  </si>
  <si>
    <t>ESCUELA DE ADULTOS Nº712 "REPÚBLICA DE HAITI"</t>
  </si>
  <si>
    <t>ESCUELA DE ADULTOS Nº713 "DR. CAMILO SALINAS"</t>
  </si>
  <si>
    <t>0001DE0717</t>
  </si>
  <si>
    <t>ESCUELA DE EDUCACIÓN PRIMARIA DE ADULTOS N°717</t>
  </si>
  <si>
    <t>ESCUELA DE ADULTOS Nº718</t>
  </si>
  <si>
    <t>0001DE0721</t>
  </si>
  <si>
    <t>ESCUELA DE ADULTOS Nº721</t>
  </si>
  <si>
    <t>0001DE0724</t>
  </si>
  <si>
    <t>ESCUELA DE ADULTOS Nº724</t>
  </si>
  <si>
    <t>0001DE0731</t>
  </si>
  <si>
    <t>ESCUELA DE ADULTOS Nº731</t>
  </si>
  <si>
    <t>0001DE0746</t>
  </si>
  <si>
    <t>ESCUELA DE ADULTOS Nº746</t>
  </si>
  <si>
    <t>0001DE0750</t>
  </si>
  <si>
    <t>ESCUELA DE EDUCACIÓN DE ADULTOS N°750</t>
  </si>
  <si>
    <t>Sí</t>
  </si>
  <si>
    <t>14</t>
  </si>
  <si>
    <t>011</t>
  </si>
  <si>
    <t>117</t>
  </si>
  <si>
    <t>10</t>
  </si>
  <si>
    <t>ANEXO</t>
  </si>
  <si>
    <t>12</t>
  </si>
  <si>
    <t>0001DM0452</t>
  </si>
  <si>
    <t>CENTRO EDUCATIVO DE NIVEL SECUNDARIO (C.E.N.S.)</t>
  </si>
  <si>
    <t>CENTRO EDUCATIVO NIVEL SECUNDARIO Nº452</t>
  </si>
  <si>
    <t>Nivel Secundario</t>
  </si>
  <si>
    <t>0001DM0453</t>
  </si>
  <si>
    <t>CENTRO EDUCATIVO NIVEL SECUNDARIO Nº453</t>
  </si>
  <si>
    <t>0001DM0454</t>
  </si>
  <si>
    <t>CENTRO EDUCATIVO NIVEL SECUNDARIO Nº454</t>
  </si>
  <si>
    <t>0001DM0456</t>
  </si>
  <si>
    <t>CENTRO EDUCATIVO NIVEL SECUNDARIO Nº456</t>
  </si>
  <si>
    <t>0001DM0457</t>
  </si>
  <si>
    <t>CENTRO EDUCATIVO DE NIVEL SECUNDARIO Nº457</t>
  </si>
  <si>
    <t>0001DM0458</t>
  </si>
  <si>
    <t>CENTRO EDUCATIVO DE NIVEL SECUNDARIO Nº458</t>
  </si>
  <si>
    <t>0001DM0459</t>
  </si>
  <si>
    <t>CENTRO EDUCATIVO DE NIVEL SECUNDARIO Nº459</t>
  </si>
  <si>
    <t>0001DM0460</t>
  </si>
  <si>
    <t>CENTRO EDUCATIVO DE NIVEL SECUNDARIO Nº460</t>
  </si>
  <si>
    <t>0001DM0461</t>
  </si>
  <si>
    <t>CENTRO EDUCATIVO DE NIVEL SECUNDARIO Nº461</t>
  </si>
  <si>
    <t>0001DM0462</t>
  </si>
  <si>
    <t>CENTRO EDUCATIVO DE NIVEL SECUNDARIO Nº 462 "MARIANO MORENO"</t>
  </si>
  <si>
    <t>0001DM0463</t>
  </si>
  <si>
    <t>CENTRO EDUCATIVO DE NIVEL SECUNDARIO Nº463</t>
  </si>
  <si>
    <t>0001DM0464</t>
  </si>
  <si>
    <t>CENTRO EDUCATIVO DE NIVEL SECUNDARIO Nº464</t>
  </si>
  <si>
    <t>0001DM0465</t>
  </si>
  <si>
    <t>CENTRO EDUCATIVO DE NIVEL SECUNDARIO Nº465</t>
  </si>
  <si>
    <t>0001DM0466</t>
  </si>
  <si>
    <t>CENTRO EDUCATIVO DE NIVEL SECUNDARIO Nº466</t>
  </si>
  <si>
    <t>0001DM0467</t>
  </si>
  <si>
    <t>CENTRO EDUCATIVO DE NIVEL SECUNDARIO Nº467</t>
  </si>
  <si>
    <t>0001DM0468</t>
  </si>
  <si>
    <t>CENTRO EDUCATIVO DE NIVEL SECUNDARIO Nº468</t>
  </si>
  <si>
    <t>0001DM0469</t>
  </si>
  <si>
    <t>CENTRO EDUCATIVO DE NIVEL SECUNDARIO Nº 469 "ALICIA MOREAU DE JUSTO"</t>
  </si>
  <si>
    <t>0001DM0470</t>
  </si>
  <si>
    <t>CENTRO EDUCATIVO DE NIVEL SECUNDARIO N°470</t>
  </si>
  <si>
    <t>0001DM0471</t>
  </si>
  <si>
    <t>CENTRO EDUCATIVO DE NIVEL SECUNDARIO N°471</t>
  </si>
  <si>
    <t>0001DM0472</t>
  </si>
  <si>
    <t>CENTRO EDUCATIVO DE NIVEL SECUNDARIO N° 472 "TERESA DE CALCUTA"</t>
  </si>
  <si>
    <t>0001DM0473</t>
  </si>
  <si>
    <t>CENTRO EDUCATIVO DE NIVEL SECUNDARIO N°473</t>
  </si>
  <si>
    <t>0001DM0474</t>
  </si>
  <si>
    <t>CENTRO EDUCATIVO DE NIVEL SECUNDARIO N°474</t>
  </si>
  <si>
    <t>0001DM0476</t>
  </si>
  <si>
    <t>CENTRO EDUCATIVO DE NIVEL SECUNDARIO N°476</t>
  </si>
  <si>
    <t>0001DM3561</t>
  </si>
  <si>
    <t>ANEXO N°1 DEL CENTRO EDUCATIVO NIVEL SECUNDARIO PARA ADULTOS N°456</t>
  </si>
  <si>
    <t>0001DS0001</t>
  </si>
  <si>
    <t>CENTRO ESPECIALIZADO PARA ADULTOS CON ORIENTACIÓN EN SALUD (CEBAS)</t>
  </si>
  <si>
    <t>C.E.B.A.S. Nº1 "FLOREAL FERRARA"</t>
  </si>
  <si>
    <t>0001DS0048</t>
  </si>
  <si>
    <t>C.E.B.A.S. Nº48 "DR. RENÉ FAVALORO"</t>
  </si>
  <si>
    <t>0001DS2480</t>
  </si>
  <si>
    <t>C.E.B.A.S. Nº48 - EXTENSIÓN Nº2480</t>
  </si>
  <si>
    <t>-</t>
  </si>
  <si>
    <t>Rural Disperso</t>
  </si>
  <si>
    <t>Rural Agrupado</t>
  </si>
  <si>
    <t>ESCUELA DE EDUCACIÓN MEDIA</t>
  </si>
  <si>
    <t>ESCUELA DE EDUCACIÓN SECUNDARIA</t>
  </si>
  <si>
    <t>22</t>
  </si>
  <si>
    <t>07</t>
  </si>
  <si>
    <t>15</t>
  </si>
  <si>
    <t>17</t>
  </si>
  <si>
    <t>Nacional</t>
  </si>
  <si>
    <t>Municipal</t>
  </si>
  <si>
    <t>4001DE0037</t>
  </si>
  <si>
    <t>Privada</t>
  </si>
  <si>
    <t>COLEGIO INMACULADO CORAZON DE MARIA</t>
  </si>
  <si>
    <t>4001DM1887</t>
  </si>
  <si>
    <t>CENS LA ANUNCIACIÓN DE LA SANTÍSIMA VIRGEN</t>
  </si>
  <si>
    <t>4001DM2790</t>
  </si>
  <si>
    <t>CENTRO EDUCATIVO NIVEL SECUNDARIO SANTA MARÍA DE LOS ÁNGELES</t>
  </si>
  <si>
    <t>115</t>
  </si>
  <si>
    <t>13</t>
  </si>
  <si>
    <t>120</t>
  </si>
  <si>
    <t>135</t>
  </si>
  <si>
    <t>16</t>
  </si>
  <si>
    <t>25</t>
  </si>
  <si>
    <t>11</t>
  </si>
  <si>
    <t>23</t>
  </si>
  <si>
    <t>133</t>
  </si>
  <si>
    <t>19</t>
  </si>
  <si>
    <t>SAN AGUSTIN</t>
  </si>
  <si>
    <t>116</t>
  </si>
  <si>
    <t>118</t>
  </si>
  <si>
    <t>002</t>
  </si>
  <si>
    <t>007</t>
  </si>
  <si>
    <t>Adolfo Alsina</t>
  </si>
  <si>
    <t>0002DC0701</t>
  </si>
  <si>
    <t>CENTRO DE EDUCACIÓN DE ADULTOS Nº701 "OLGA COSSETTINI"</t>
  </si>
  <si>
    <t>0002DC0702</t>
  </si>
  <si>
    <t>CENTRO DE ADULTOS Nº702</t>
  </si>
  <si>
    <t>0002DC0703</t>
  </si>
  <si>
    <t>CENTRO DE ADULTOS Nº703 "ALFONSINA STORNI"</t>
  </si>
  <si>
    <t>136</t>
  </si>
  <si>
    <t>0002DM0451</t>
  </si>
  <si>
    <t>CENTRO EDUCATIVO DE NIVEL SECUNDARIO N°451</t>
  </si>
  <si>
    <t>0002DM2510</t>
  </si>
  <si>
    <t>CENTRO EDUCATIVO DE NIVEL SECUNDARIO N°451 - EXTENSIÓN I</t>
  </si>
  <si>
    <t>003</t>
  </si>
  <si>
    <t>021</t>
  </si>
  <si>
    <t>Alberti</t>
  </si>
  <si>
    <t>0003DA0138</t>
  </si>
  <si>
    <t>CENTRO DE ALFABETIZACION Nº138</t>
  </si>
  <si>
    <t>0003DE0701</t>
  </si>
  <si>
    <t>ESCUELA DE EDUCACIÓN PRIMARIA DE ADULTOS N°701</t>
  </si>
  <si>
    <t>0003DM0451</t>
  </si>
  <si>
    <t>CENTRO EDUCATIVO DE NIVEL SECUNDARIO Nº451</t>
  </si>
  <si>
    <t>113</t>
  </si>
  <si>
    <t>129</t>
  </si>
  <si>
    <t>004</t>
  </si>
  <si>
    <t>028</t>
  </si>
  <si>
    <t>Almirante Brown</t>
  </si>
  <si>
    <t>05</t>
  </si>
  <si>
    <t>0004DC0712</t>
  </si>
  <si>
    <t>0004DE0702</t>
  </si>
  <si>
    <t>CENTRO DE ADULTOS Nº712/02</t>
  </si>
  <si>
    <t>0004DC0713</t>
  </si>
  <si>
    <t>CENTRO DE ADULTOS Nº713/02</t>
  </si>
  <si>
    <t>0004DC0715</t>
  </si>
  <si>
    <t>0004DE0703</t>
  </si>
  <si>
    <t>0004DC0716</t>
  </si>
  <si>
    <t>0004DE0714</t>
  </si>
  <si>
    <t>CENTRO DE ADULTOS Nº716/14</t>
  </si>
  <si>
    <t>0004DC0717</t>
  </si>
  <si>
    <t>CENTRO DE ADULTOS Nº717/03</t>
  </si>
  <si>
    <t>0004DC0718</t>
  </si>
  <si>
    <t>0004DE0704</t>
  </si>
  <si>
    <t>CENTRO DE ADULTOS Nº718/04</t>
  </si>
  <si>
    <t>0004DC0720</t>
  </si>
  <si>
    <t>0004DE0706</t>
  </si>
  <si>
    <t>CENTRO DE ADULTOS Nº720/06</t>
  </si>
  <si>
    <t>0004DC0721</t>
  </si>
  <si>
    <t>CENTRO DE ADULTOS Nº721/06</t>
  </si>
  <si>
    <t>0004DC0722</t>
  </si>
  <si>
    <t>0004DE0707</t>
  </si>
  <si>
    <t>CENTRO DE ADULTOS Nº722/07</t>
  </si>
  <si>
    <t>0004DC0723</t>
  </si>
  <si>
    <t>CENTRO DE ADULTOS Nº723/07</t>
  </si>
  <si>
    <t>0004DC0724</t>
  </si>
  <si>
    <t>0004DE0708</t>
  </si>
  <si>
    <t>CENTRO DE ADULTOS Nº724/08</t>
  </si>
  <si>
    <t>0004DC0725</t>
  </si>
  <si>
    <t>0004DE0709</t>
  </si>
  <si>
    <t>CENTRO DE ADULTOS Nº725/09</t>
  </si>
  <si>
    <t>0004DC0726</t>
  </si>
  <si>
    <t>0004DE0710</t>
  </si>
  <si>
    <t>CENTRO DE ADULTOS Nº726/10</t>
  </si>
  <si>
    <t>0004DC0727</t>
  </si>
  <si>
    <t>CENTRO DE ADULTOS Nº727/10</t>
  </si>
  <si>
    <t>0004DC0729</t>
  </si>
  <si>
    <t>0004DE0701</t>
  </si>
  <si>
    <t>CENTRO DE ADULTOS Nº729/01</t>
  </si>
  <si>
    <t>0004DC0730</t>
  </si>
  <si>
    <t>CENTRO DE ADULTOS Nº730/04</t>
  </si>
  <si>
    <t>0004DC0731</t>
  </si>
  <si>
    <t>CENTRO DE ADULTOS Nº731/10</t>
  </si>
  <si>
    <t>0004DC0732</t>
  </si>
  <si>
    <t>0004DE0705</t>
  </si>
  <si>
    <t>CENTRO DE ADULTOS Nº732/05</t>
  </si>
  <si>
    <t>0004DC0733</t>
  </si>
  <si>
    <t>CENTRO DE ADULTOS Nº733/14</t>
  </si>
  <si>
    <t>0004DC0735</t>
  </si>
  <si>
    <t>CENTRO DE ADULTOS Nº735/01</t>
  </si>
  <si>
    <t>0004DC0736</t>
  </si>
  <si>
    <t>CENTRO DE ADULTOS Nº736/08</t>
  </si>
  <si>
    <t>0004DC0737</t>
  </si>
  <si>
    <t>CENTRO DE ADULTOS Nº737/09</t>
  </si>
  <si>
    <t>0004DC0738</t>
  </si>
  <si>
    <t>CENTRO DE ADULTOS Nº738/01</t>
  </si>
  <si>
    <t>0004DC0740</t>
  </si>
  <si>
    <t>CENTRO DE ADULTOS Nº740/03</t>
  </si>
  <si>
    <t>0004DC0741</t>
  </si>
  <si>
    <t>CENTRO DE ADULTOS Nº741/06</t>
  </si>
  <si>
    <t>ESCUELA DE ADULTOS Nº701 "CECILIA BORJA"</t>
  </si>
  <si>
    <t>ESCUELA DE ADULTOS Nº702 "MAESTRO EDUARDO TORRES"</t>
  </si>
  <si>
    <t>ESCUELA DE ADULTOS Nº703 "PATRICIAS MENDOCINAS"</t>
  </si>
  <si>
    <t>ESCUELA DE ADULTOS Nº704</t>
  </si>
  <si>
    <t>ESCUELA DE ADULTOS Nº705 "ITATÍ"</t>
  </si>
  <si>
    <t>ESCUELA DE ADULTOS Nº706</t>
  </si>
  <si>
    <t>ESCUELA DE ADULTOS Nº707 "DR. JUAN CARLOS SALABERRY"</t>
  </si>
  <si>
    <t>ESCUELA DE ADULTOS Nº708</t>
  </si>
  <si>
    <t>ESCUELA DE ADULTOS Nº709</t>
  </si>
  <si>
    <t>ESCUELA DE ADULTOS Nº710 "SOLDADO RAMON ALDO MORENO"</t>
  </si>
  <si>
    <t>ESCUELA DE ADULTOS Nº714</t>
  </si>
  <si>
    <t>0004DE0739</t>
  </si>
  <si>
    <t>ESCUELA DE EDUCACIÓN DE ADULTOS N° 739</t>
  </si>
  <si>
    <t>110</t>
  </si>
  <si>
    <t>0004DM0451</t>
  </si>
  <si>
    <t>CENTRO EDUCATIVO NIVEL SECUNDARIO Nº451 "RENÉ FAVALORO"</t>
  </si>
  <si>
    <t>0004DM0452</t>
  </si>
  <si>
    <t>CENTRO EDUCATIVO DE NIVEL SECUNDARIO Nº452</t>
  </si>
  <si>
    <t>0004DM0453</t>
  </si>
  <si>
    <t>CENTRO EDUCATIVO DE NIVEL SECUNDARIO Nº453</t>
  </si>
  <si>
    <t>0004DM0454</t>
  </si>
  <si>
    <t>CENTRO EDUCATIVO DE NIVEL SECUNDARIO N°454</t>
  </si>
  <si>
    <t>0004DM0456</t>
  </si>
  <si>
    <t>CENTRO EDUCATIVO DE NIVEL SECUNDARIO Nº456</t>
  </si>
  <si>
    <t>0004DM0457</t>
  </si>
  <si>
    <t>CENTRO EDUCATIVO DE NIVEL SECUNDARIO N°457</t>
  </si>
  <si>
    <t>0004DM0458</t>
  </si>
  <si>
    <t>0004DM0459</t>
  </si>
  <si>
    <t>CENTRO EDUCATIVO DE NIVEL SECUNDARIO N°459</t>
  </si>
  <si>
    <t>0004DM0460</t>
  </si>
  <si>
    <t>CENTRO EDUCATIVO DE NIVEL SECUNDARIO N°460</t>
  </si>
  <si>
    <t>102</t>
  </si>
  <si>
    <t>4004DE0066</t>
  </si>
  <si>
    <t>ESCUELA DE ADULTOS CEFERINO NAMUNCURA</t>
  </si>
  <si>
    <t>20</t>
  </si>
  <si>
    <t>005</t>
  </si>
  <si>
    <t>035</t>
  </si>
  <si>
    <t>Avellaneda</t>
  </si>
  <si>
    <t>02</t>
  </si>
  <si>
    <t>0005DC0709</t>
  </si>
  <si>
    <t>0005DE0705</t>
  </si>
  <si>
    <t>CENTRO DE ADULTOS Nº709/05</t>
  </si>
  <si>
    <t>0005DC0710</t>
  </si>
  <si>
    <t>CENTRO DE ADULTOS Nº710/05</t>
  </si>
  <si>
    <t>0005DC0711</t>
  </si>
  <si>
    <t>0005DE0708</t>
  </si>
  <si>
    <t>CENTRO DE ADULTOS Nº711/08</t>
  </si>
  <si>
    <t>0005DC0712</t>
  </si>
  <si>
    <t>0005DE0702</t>
  </si>
  <si>
    <t>0005DC0713</t>
  </si>
  <si>
    <t>0005DE0701</t>
  </si>
  <si>
    <t>CENTRO DE ADULTOS Nº713/01</t>
  </si>
  <si>
    <t>0005DC0714</t>
  </si>
  <si>
    <t>0005DE0703</t>
  </si>
  <si>
    <t>CENTRO DE ADULTOS Nº714/03</t>
  </si>
  <si>
    <t>0005DC0716</t>
  </si>
  <si>
    <t>0005DE0704</t>
  </si>
  <si>
    <t>CENTRO DE ADULTOS Nº716/04</t>
  </si>
  <si>
    <t>0005DC0717</t>
  </si>
  <si>
    <t>CENTRO DE ADULTOS Nº717/05</t>
  </si>
  <si>
    <t>0005DC0718</t>
  </si>
  <si>
    <t>CENTRO DE ADULTOS Nº718/02</t>
  </si>
  <si>
    <t>0005DC0719</t>
  </si>
  <si>
    <t>0005DE0706</t>
  </si>
  <si>
    <t>CENTRO DE ADULTOS Nº719/06</t>
  </si>
  <si>
    <t>0005DC0721</t>
  </si>
  <si>
    <t>CENTRO DE ADULTOS Nº721/04</t>
  </si>
  <si>
    <t>0005DC0722</t>
  </si>
  <si>
    <t>CENTRO DE ADULTOS Nº722/01</t>
  </si>
  <si>
    <t>0005DC0723</t>
  </si>
  <si>
    <t>CENTRO DE ADULTOS Nº723/01</t>
  </si>
  <si>
    <t>0005DC0724</t>
  </si>
  <si>
    <t>CENTRO DE ADULTOS Nº724/03</t>
  </si>
  <si>
    <t>ESCUELA DE ADULTOS Nº702</t>
  </si>
  <si>
    <t>ESCUELA DE ADULTOS Nº703 "DR. EDUARDO WILDE"</t>
  </si>
  <si>
    <t>ESCUELA DE ADULTOS Nº705 "FRAY MAMERTO ESQUIÚ"</t>
  </si>
  <si>
    <t>ESCUELA DE ADULTOS Nº706 "JOSÉ HERNANDEZ"</t>
  </si>
  <si>
    <t>0005DE0707</t>
  </si>
  <si>
    <t>ESCUELA DE ADULTOS Nº707</t>
  </si>
  <si>
    <t>ESCUELA DE ADULTOS Nº708 "NICOLAS AVELLANEDA"</t>
  </si>
  <si>
    <t>ESTEBAN ECHEVERRÍA</t>
  </si>
  <si>
    <t>0005DM0451</t>
  </si>
  <si>
    <t>CENTRO EDUCATIVO NIVEL SECUNDARIO Nº451</t>
  </si>
  <si>
    <t>0005DM0452</t>
  </si>
  <si>
    <t>0005DM0453</t>
  </si>
  <si>
    <t>0005DM0456</t>
  </si>
  <si>
    <t>0005DM0457</t>
  </si>
  <si>
    <t>CENTROEDUCATIVO DE NIVEL SECUNDARIO N°457  "DR. ROBERTO NOBLE"</t>
  </si>
  <si>
    <t>0005DM0458</t>
  </si>
  <si>
    <t>CENTROEDUCATIVO DE NIVEL SECUNDARIO N°458</t>
  </si>
  <si>
    <t>0005DS0010</t>
  </si>
  <si>
    <t>C.E.B.A.S. Nº10</t>
  </si>
  <si>
    <t>18</t>
  </si>
  <si>
    <t>131</t>
  </si>
  <si>
    <t>121</t>
  </si>
  <si>
    <t>2005DM9000</t>
  </si>
  <si>
    <t>ESCUELA SECUNDARIA DE JÓVENES Y ADULTOS DE LA UNIVERSIDAD NACIONAL DE AVELLANEDA</t>
  </si>
  <si>
    <t>130</t>
  </si>
  <si>
    <t>INSTITUTO EDUCATIVO ARGENTINO</t>
  </si>
  <si>
    <t>125</t>
  </si>
  <si>
    <t>4005MM5957</t>
  </si>
  <si>
    <t>INSTITUTO NICOLAS AVELLANEDA</t>
  </si>
  <si>
    <t>4005MM7430</t>
  </si>
  <si>
    <t>BACHILLERATO POPULAR ARBOLITO</t>
  </si>
  <si>
    <t>4005MM7738</t>
  </si>
  <si>
    <t>006</t>
  </si>
  <si>
    <t>042</t>
  </si>
  <si>
    <t>Ayacucho</t>
  </si>
  <si>
    <t>0006DC0702</t>
  </si>
  <si>
    <t>0006DE0701</t>
  </si>
  <si>
    <t>CENTRO DE ADULTOS Nº702/01</t>
  </si>
  <si>
    <t>ESCUELA DE ADULTOS Nº701 "ALMAFUERTE"</t>
  </si>
  <si>
    <t>0006DM0451</t>
  </si>
  <si>
    <t>049</t>
  </si>
  <si>
    <t>Azul</t>
  </si>
  <si>
    <t>0007DC0703</t>
  </si>
  <si>
    <t>0007DE0702</t>
  </si>
  <si>
    <t>CENTRO DE EDUCACIÓN DE ADULTOS Nº 703/02</t>
  </si>
  <si>
    <t>044</t>
  </si>
  <si>
    <t>0007DC0708</t>
  </si>
  <si>
    <t>CENTRO DE ADULTOS Nº708/02</t>
  </si>
  <si>
    <t>0007DC0709</t>
  </si>
  <si>
    <t>CENTRO DE ADULTOS Nº709/02</t>
  </si>
  <si>
    <t>0007DC0710</t>
  </si>
  <si>
    <t>CENTRO DE EDUCACIÓN DE ADULTOS Nº 710/02</t>
  </si>
  <si>
    <t>0007DE0701</t>
  </si>
  <si>
    <t>ESCUELA DE ADULTOS Nº701 "ISLAS MALVINAS"</t>
  </si>
  <si>
    <t>ESCUELA DE EDUCACIÓN PRIMARIA DE ADULTOS Nº702 "SÓCRATES AUGUSTO LUCIANO MAYET"</t>
  </si>
  <si>
    <t>0007DM0451</t>
  </si>
  <si>
    <t>0007DM0452</t>
  </si>
  <si>
    <t>CENTRO EDUCATIVO DE NIVEL SECUNDARIO N°452</t>
  </si>
  <si>
    <t>114</t>
  </si>
  <si>
    <t>008</t>
  </si>
  <si>
    <t>056</t>
  </si>
  <si>
    <t>Bahía Blanca</t>
  </si>
  <si>
    <t>0008DC0703</t>
  </si>
  <si>
    <t>0008DC0721</t>
  </si>
  <si>
    <t>CENTRO DE ADULTOS Nº703 "CNEL. MARTÍN J. THOMPSON"</t>
  </si>
  <si>
    <t>0008DC0707</t>
  </si>
  <si>
    <t>0008DE0710</t>
  </si>
  <si>
    <t>CENTRO DE ADULTOS Nº707/10</t>
  </si>
  <si>
    <t>0008DC0708</t>
  </si>
  <si>
    <t>CENTRO DE ADULTOS Nº708/10 "RICARDO FERNANDO SÁNCHEZ"</t>
  </si>
  <si>
    <t>0008DC0709</t>
  </si>
  <si>
    <t>CENTRO DE ADULTOS Nº709 "PASO DE LOS CUATREROS"</t>
  </si>
  <si>
    <t>0008DC0711</t>
  </si>
  <si>
    <t>0008DE0702</t>
  </si>
  <si>
    <t>CENTRO DE ADULTOS Nº711/02</t>
  </si>
  <si>
    <t>0008DC0712</t>
  </si>
  <si>
    <t>0008DC0713</t>
  </si>
  <si>
    <t>CENTRO DE ADULTOS Nº713/10</t>
  </si>
  <si>
    <t>0008DC0714</t>
  </si>
  <si>
    <t>0008DE0704</t>
  </si>
  <si>
    <t>CENTRO DE ADULTOS Nº714/04</t>
  </si>
  <si>
    <t>0008DC0715</t>
  </si>
  <si>
    <t>CENTRO DE ADULTOS Nº715/02</t>
  </si>
  <si>
    <t>0008DC0717</t>
  </si>
  <si>
    <t>CENTRO DE ADULTOS Nº717</t>
  </si>
  <si>
    <t>0008DC0718</t>
  </si>
  <si>
    <t>0008DE0705</t>
  </si>
  <si>
    <t>CENTRO DE ADULTOS Nº718/05</t>
  </si>
  <si>
    <t>0008DC0719</t>
  </si>
  <si>
    <t>CENTRO DE ADULTOS Nº719/05</t>
  </si>
  <si>
    <t>CENTRO DE ADULTOS Nº721</t>
  </si>
  <si>
    <t>0008DC0722</t>
  </si>
  <si>
    <t>CENTRO DE ADULTOS Nº722 "BARRIOS DEL SUR"</t>
  </si>
  <si>
    <t>0008DC0725</t>
  </si>
  <si>
    <t>CENTRO DE ADULTOS Nº725/04</t>
  </si>
  <si>
    <t>0008DC0726</t>
  </si>
  <si>
    <t>CENTRO DE ADULTOS Nº726/05</t>
  </si>
  <si>
    <t>0008DE0701</t>
  </si>
  <si>
    <t>ESCUELA DE ADULTOS Nº702 "MARIANO MORENO"</t>
  </si>
  <si>
    <t>ESCUELA DE ADULTOS Nº704 "JUSTO J. DE URQUIZA"</t>
  </si>
  <si>
    <t>ESCUELA DE ADULTOS Nº705 "BIBLIOTECARIO D. AGUIRRE"</t>
  </si>
  <si>
    <t>ESCUELA DE EDUCACIÓN PRIMARIA DE ADULTOS Nº 710 "LAS FORTINERAS"</t>
  </si>
  <si>
    <t>0008DM0451</t>
  </si>
  <si>
    <t>0008DM0452</t>
  </si>
  <si>
    <t>CENTRO EDUCATIVO DE NIVEL SECUNDARIO Nº452 "HAYDEE ALICIA MARTINET DE PRADO"</t>
  </si>
  <si>
    <t>0008DM0453</t>
  </si>
  <si>
    <t>CENTRO EDUCATIVO DE NIVEL SECUNDARIO Nº453 "EZEQUIEL CRISOL"</t>
  </si>
  <si>
    <t>0008DM0454</t>
  </si>
  <si>
    <t>CENTRO EDUCATIVO NIVEL SECUNDARIO Nº 454 "NELA AGESTA"</t>
  </si>
  <si>
    <t>0008DM0455</t>
  </si>
  <si>
    <t>CENTRO EDUCATIVO NIVEL SECUNDARIO Nº455</t>
  </si>
  <si>
    <t>0008DM0456</t>
  </si>
  <si>
    <t>0008DM0457</t>
  </si>
  <si>
    <t>0008DM0458</t>
  </si>
  <si>
    <t>0008DM0459</t>
  </si>
  <si>
    <t>0008DM0460</t>
  </si>
  <si>
    <t>0008DM0461</t>
  </si>
  <si>
    <t>CENTRO EDUCATIVO DE NIVEL SECUNDARIO Nº 461 "JUANA MANSO"</t>
  </si>
  <si>
    <t>0008DM0462</t>
  </si>
  <si>
    <t>CENTRO EDUCATIVO DE NIVEL SECUNDARIO Nº462</t>
  </si>
  <si>
    <t>0008DM0463</t>
  </si>
  <si>
    <t>CENTRO EDUCATIVO DE NIVEL SECUNDARIO N°463</t>
  </si>
  <si>
    <t>0008DM0464</t>
  </si>
  <si>
    <t>0008DS0030</t>
  </si>
  <si>
    <t>C.E.B.A.S. Nº 30 "ENFERMERAS 1982 POR MALVINAS"</t>
  </si>
  <si>
    <t>24</t>
  </si>
  <si>
    <t>2008MM9001</t>
  </si>
  <si>
    <t>ESCUELA SUPERIOR DE COMERCIO "PROFESOR PRUDENCIO CORNEJO"</t>
  </si>
  <si>
    <t>109</t>
  </si>
  <si>
    <t>126</t>
  </si>
  <si>
    <t>009</t>
  </si>
  <si>
    <t>063</t>
  </si>
  <si>
    <t>Balcarce</t>
  </si>
  <si>
    <t>0009DC0704</t>
  </si>
  <si>
    <t>0009DE0701</t>
  </si>
  <si>
    <t>CENTRO DE ADULTOS Nº704/01</t>
  </si>
  <si>
    <t>0009DC0705</t>
  </si>
  <si>
    <t>CENTRO DE ADULTOS Nº705/01</t>
  </si>
  <si>
    <t>0009DC0706</t>
  </si>
  <si>
    <t>CENTRO DE ADULTOS Nº706/01</t>
  </si>
  <si>
    <t>0009DC0707</t>
  </si>
  <si>
    <t>0009DE0702</t>
  </si>
  <si>
    <t>CENTRO DE ADULTOS Nº707</t>
  </si>
  <si>
    <t>0009DC0708</t>
  </si>
  <si>
    <t>ESCUELA DE ADULTOS Nº701 "DON JOSÉ DE LA CUADRA"</t>
  </si>
  <si>
    <t>ESCUELA DE ADULTOS Nº702 "PERITO MORENO"</t>
  </si>
  <si>
    <t>0009DM0451</t>
  </si>
  <si>
    <t>CENTRO EDUCATIVO DE NIVEL SECUNDARIO Nº451 "EL PUENTE A TUS SUEÑOS"</t>
  </si>
  <si>
    <t>010</t>
  </si>
  <si>
    <t>070</t>
  </si>
  <si>
    <t>Baradero</t>
  </si>
  <si>
    <t>0010DC0701</t>
  </si>
  <si>
    <t>CENTRO DE ADULTOS Nº701</t>
  </si>
  <si>
    <t>0010DC0703</t>
  </si>
  <si>
    <t>CENTRO DE ADULTOS Nº703</t>
  </si>
  <si>
    <t>0010DC0704</t>
  </si>
  <si>
    <t>CENTRO DE ADULTOS Nº704 "GABRIELA BAGALÚ"</t>
  </si>
  <si>
    <t>0010DC0705</t>
  </si>
  <si>
    <t>CENTRO DE EDUCACIÓN DE ADULTOS N°705</t>
  </si>
  <si>
    <t>0010DM0451</t>
  </si>
  <si>
    <t>CENTRO EDUCATIVO DE NIVEL SECUNDARIO PARA ADULTOS</t>
  </si>
  <si>
    <t>0010DM0452</t>
  </si>
  <si>
    <t>0010DM0453</t>
  </si>
  <si>
    <t>0010DM0454</t>
  </si>
  <si>
    <t>101</t>
  </si>
  <si>
    <t>4010DM4137</t>
  </si>
  <si>
    <t>CENTRO DE EDUCATIVO DE NIVEL SECUNDARIO INSTITUTO VICTORIA DE ASPRELLA</t>
  </si>
  <si>
    <t>077</t>
  </si>
  <si>
    <t>Arrecifes</t>
  </si>
  <si>
    <t>0011DC0702</t>
  </si>
  <si>
    <t>0011DE0701</t>
  </si>
  <si>
    <t>CENTRO DE ADULTOS Nº 702</t>
  </si>
  <si>
    <t>0011DC0703</t>
  </si>
  <si>
    <t>CENTRO DE ADULTOS Nº 703</t>
  </si>
  <si>
    <t>0011DC0704</t>
  </si>
  <si>
    <t>CENTRO DE ADULTOS Nº 704</t>
  </si>
  <si>
    <t>ESCUELA PRIMARIA DE ADULTOS Nº 701 "DOMINGO F. SARMIENTO"</t>
  </si>
  <si>
    <t>0011DM0451</t>
  </si>
  <si>
    <t>CENTRO EDUCATIVO DE NIVEL SECUNDARIO Nº 451</t>
  </si>
  <si>
    <t>123</t>
  </si>
  <si>
    <t>012</t>
  </si>
  <si>
    <t>105</t>
  </si>
  <si>
    <t>Bolívar</t>
  </si>
  <si>
    <t>0012DC0702</t>
  </si>
  <si>
    <t>CENTRO DE ADULTOS Nº702 "MIGUEL CANE"</t>
  </si>
  <si>
    <t>0012DC0703</t>
  </si>
  <si>
    <t>CENTRO DE EDUCACIÓN DE ADULTOS Nº703</t>
  </si>
  <si>
    <t>0012DC0704</t>
  </si>
  <si>
    <t>0012DE0701</t>
  </si>
  <si>
    <t>ESCUELA PRIMARIA DE ADULTOS Nº701 "BARTOLOMÉ MITRE"</t>
  </si>
  <si>
    <t>0012DE0705</t>
  </si>
  <si>
    <t>ESCUELA DE EDUCACIÓN ADULTOS Nº705</t>
  </si>
  <si>
    <t>0012DM0451</t>
  </si>
  <si>
    <t>CENTRO EDUCATIVO NIVEL SECUNDARIO Nº 451 "ALCIRA MIGUEL"</t>
  </si>
  <si>
    <t>0012DM0452</t>
  </si>
  <si>
    <t>0012DM0453</t>
  </si>
  <si>
    <t>CENTRO EDUCATIVO DE NIVEL SECUNDARIO N°453</t>
  </si>
  <si>
    <t>JUAN MANUEL DE ROSAS</t>
  </si>
  <si>
    <t>013</t>
  </si>
  <si>
    <t>112</t>
  </si>
  <si>
    <t>Bragado</t>
  </si>
  <si>
    <t>0013DC0703</t>
  </si>
  <si>
    <t>0013DE0701</t>
  </si>
  <si>
    <t>ESCUELA DE ADULTOS Nº701 "FRAY LUIS BELTRAN"</t>
  </si>
  <si>
    <t>0013DM0452</t>
  </si>
  <si>
    <t>CENTRO EDUCATIVO DE NIVEL SECUNDARIO Nº 452</t>
  </si>
  <si>
    <t>0013DM0453</t>
  </si>
  <si>
    <t>21</t>
  </si>
  <si>
    <t>014</t>
  </si>
  <si>
    <t>119</t>
  </si>
  <si>
    <t>Brandsen</t>
  </si>
  <si>
    <t>0014DC0702</t>
  </si>
  <si>
    <t>CENTRO DE ADULTOS Nº702 "TOMAS ESPORA"</t>
  </si>
  <si>
    <t>0014DC0704</t>
  </si>
  <si>
    <t>0014DE0701</t>
  </si>
  <si>
    <t>ESCUELA DE ADULTOS Nº701 "TORIBIO DE LUZURIAGA"</t>
  </si>
  <si>
    <t>0014DM0451</t>
  </si>
  <si>
    <t>0014DM0452</t>
  </si>
  <si>
    <t>0014DM0453</t>
  </si>
  <si>
    <t>015</t>
  </si>
  <si>
    <t>Campana</t>
  </si>
  <si>
    <t>0015DC0703</t>
  </si>
  <si>
    <t>0015DE0701</t>
  </si>
  <si>
    <t>CENTRO DE ADULTOS Nº703/01 "RAFAEL OBLIGADO"</t>
  </si>
  <si>
    <t>0015DC0705</t>
  </si>
  <si>
    <t>0015DE0702</t>
  </si>
  <si>
    <t>CENTRO DE ADULTOS Nº705/02</t>
  </si>
  <si>
    <t>0015DC0706</t>
  </si>
  <si>
    <t>CENTRO DE ADULTOS Nº706/02</t>
  </si>
  <si>
    <t>0015DC0707</t>
  </si>
  <si>
    <t>CENTRO DE ADULTOS Nº707/02</t>
  </si>
  <si>
    <t>0015DC0708</t>
  </si>
  <si>
    <t>CENTRO DE ADULTOS Nº708/01 "RAFAEL OBLIGADO"</t>
  </si>
  <si>
    <t>0015DC0709</t>
  </si>
  <si>
    <t>CENTRO DE ADULTOS Nº709/01 "RAFAEL OBLIGADO"</t>
  </si>
  <si>
    <t>ESCUELA DE ADULTOS Nº701 "RAFAEL OBLIGADO"</t>
  </si>
  <si>
    <t>ESCUELA DE ADULTOS Nº702 "BERNARDINO RIVADAVIA"</t>
  </si>
  <si>
    <t>0015DE0710</t>
  </si>
  <si>
    <t>ESCUELA DE EDUCACIÓN PRIMARIA PARA ADULTOS N°710</t>
  </si>
  <si>
    <t>0015DM0451</t>
  </si>
  <si>
    <t>CENTRO EDUCATIVO DE NIVEL SECUNDARIO Nº451 "JORGE GERMÁN CALVO"</t>
  </si>
  <si>
    <t>0015DM0452</t>
  </si>
  <si>
    <t>0015DM0453</t>
  </si>
  <si>
    <t>CENTRO EDUCATIVO DE NIVEL SECUNDARIO Nº453 "AGUSTÍN RIZZO"</t>
  </si>
  <si>
    <t>0015DM0454</t>
  </si>
  <si>
    <t>CENTRO EDUCATIVO DE NIVEL SECUNDARIO Nº454</t>
  </si>
  <si>
    <t>0015DM0455</t>
  </si>
  <si>
    <t>CENTRO EDUCATIVO DE NIVEL SECUNDARIO N°455</t>
  </si>
  <si>
    <t>0015DM0456</t>
  </si>
  <si>
    <t>CENTRO EDUCATIVO DE NIVEL SECUNDARIO N°456 "NELSON MANDELA"</t>
  </si>
  <si>
    <t>4015MM6062</t>
  </si>
  <si>
    <t>INSTITUTO CAPACITARE</t>
  </si>
  <si>
    <t>016</t>
  </si>
  <si>
    <t>134</t>
  </si>
  <si>
    <t>Cañuelas</t>
  </si>
  <si>
    <t>0016DC0702</t>
  </si>
  <si>
    <t>0016DC0703</t>
  </si>
  <si>
    <t>0016DE0701</t>
  </si>
  <si>
    <t>0016DC0705</t>
  </si>
  <si>
    <t>CENTRO DE ADULTOS Nº705</t>
  </si>
  <si>
    <t>ESCUELA DE ADULTOS Nº701 "JOSÉ MANUEL ESTRADA"</t>
  </si>
  <si>
    <t>0016DM0451</t>
  </si>
  <si>
    <t>BARRIO BELGRANO</t>
  </si>
  <si>
    <t>017</t>
  </si>
  <si>
    <t>Carlos Casares</t>
  </si>
  <si>
    <t>0017DC0702</t>
  </si>
  <si>
    <t>0017DE0701</t>
  </si>
  <si>
    <t>0017DC0703</t>
  </si>
  <si>
    <t>CENTRO DE ADULTOS Nº703 "CENTRO DE DÍA"</t>
  </si>
  <si>
    <t>0017DC0704</t>
  </si>
  <si>
    <t>0017DC0705</t>
  </si>
  <si>
    <t>0017DM0451</t>
  </si>
  <si>
    <t>CENTRO EDUCATIVO DE NIVEL SECUNDARIO N°451 “MARTA BEATRIZ ISCOFF”</t>
  </si>
  <si>
    <t>127</t>
  </si>
  <si>
    <t>018</t>
  </si>
  <si>
    <t>Carlos Tejedor</t>
  </si>
  <si>
    <t>0018DC0701</t>
  </si>
  <si>
    <t>CENTRO DE ADULTOS Nº701 "RICARDO GÜIRALDES"</t>
  </si>
  <si>
    <t>0018DC0702</t>
  </si>
  <si>
    <t>CENTRO DE ADULTOS Nº702 "JOSÉ MANUEL ESTRADA"</t>
  </si>
  <si>
    <t>0018DC0704</t>
  </si>
  <si>
    <t>CENTRO DE ADULTOS Nº704</t>
  </si>
  <si>
    <t>0018DM0451</t>
  </si>
  <si>
    <t>019</t>
  </si>
  <si>
    <t>Carmen de Areco</t>
  </si>
  <si>
    <t>0019DC0702</t>
  </si>
  <si>
    <t>0019DE0701</t>
  </si>
  <si>
    <t>CENTRO DE EDUCACIÓN DE ADULTOS Nº702/01 "DOMINGO FAUSTINO SARMIENTO"</t>
  </si>
  <si>
    <t>0019DC0703</t>
  </si>
  <si>
    <t>CENTRO DE EDUCACIÓN DE ADULTOS Nº703/01</t>
  </si>
  <si>
    <t>ESCUELA DE EDUCACIÓN PRIMARIA DE ADULTOS Nº701</t>
  </si>
  <si>
    <t>0019DM0451</t>
  </si>
  <si>
    <t>020</t>
  </si>
  <si>
    <t>Daireaux</t>
  </si>
  <si>
    <t>0020DE0701</t>
  </si>
  <si>
    <t>0020DM0451</t>
  </si>
  <si>
    <t>CENTRO EDUCATIVO DE NIVEL SECUNDARIO N°451 "RENÉ FAVALORO"</t>
  </si>
  <si>
    <t>LA PROSPERIDAD</t>
  </si>
  <si>
    <t>Castelli</t>
  </si>
  <si>
    <t>0021DE0701</t>
  </si>
  <si>
    <t>ESCUELA PRIMARIA DE ADULTOS Nº701 "JOSÉ HERNÁNDEZ"</t>
  </si>
  <si>
    <t>0021DM0451</t>
  </si>
  <si>
    <t>022</t>
  </si>
  <si>
    <t>Colón</t>
  </si>
  <si>
    <t>0022DC0704</t>
  </si>
  <si>
    <t>0022DE0701</t>
  </si>
  <si>
    <t>0022DC0706</t>
  </si>
  <si>
    <t>ESCUELA DE ADULTOS Nº701 "CESAR BARISONE"</t>
  </si>
  <si>
    <t>0022DM0451</t>
  </si>
  <si>
    <t>023</t>
  </si>
  <si>
    <t>Coronel Dorrego</t>
  </si>
  <si>
    <t>0023DC0703</t>
  </si>
  <si>
    <t>0023DE0701</t>
  </si>
  <si>
    <t>ESCUELA DE EDUCACIÓN PRIMARIA DE ADULTOS Nº 701</t>
  </si>
  <si>
    <t>0023DM0451</t>
  </si>
  <si>
    <t>CENTRO EDUCATIVO NIVEL SECUNDARIO PARA ADULTOS N°451</t>
  </si>
  <si>
    <t>0023DM2511</t>
  </si>
  <si>
    <t>CENTRO EDUCATIVO DE NIVEL SECUNDARIO N°451 - EXTENSIÓN N°1</t>
  </si>
  <si>
    <t>024</t>
  </si>
  <si>
    <t>Coronel Pringles</t>
  </si>
  <si>
    <t>0024DC0702</t>
  </si>
  <si>
    <t>0024DE0701</t>
  </si>
  <si>
    <t>0024DM0451</t>
  </si>
  <si>
    <t>025</t>
  </si>
  <si>
    <t>Coronel Suárez</t>
  </si>
  <si>
    <t>0025DC0701</t>
  </si>
  <si>
    <t>CENTRO DE ADULTOS Nº701 "MANUEL ISIDORO SUAREZ"</t>
  </si>
  <si>
    <t>0025DC0702</t>
  </si>
  <si>
    <t>CENTRO DE EDUCACION DE ADULTOS Nº702</t>
  </si>
  <si>
    <t>0025DC0703</t>
  </si>
  <si>
    <t>CENTRO DE EDUCACION DE ADULTOS Nº703</t>
  </si>
  <si>
    <t>0025DC0720</t>
  </si>
  <si>
    <t>CENTRO DE EDUCACION DE ADULTOS Nº720</t>
  </si>
  <si>
    <t>0025DM0452</t>
  </si>
  <si>
    <t>0025DM0453</t>
  </si>
  <si>
    <t>106</t>
  </si>
  <si>
    <t>026</t>
  </si>
  <si>
    <t>Chacabuco</t>
  </si>
  <si>
    <t>0026DC0702</t>
  </si>
  <si>
    <t>0026DC0703</t>
  </si>
  <si>
    <t>0026DE0701</t>
  </si>
  <si>
    <t>0026DC0705</t>
  </si>
  <si>
    <t>0026DC0706</t>
  </si>
  <si>
    <t>CENTRO DE ADULTOS Nº706 "BARTOLOMÉ MITRE"</t>
  </si>
  <si>
    <t>ESCUELA DE ADULTOS Nº701 "BARTOLOMÉ MITRE"</t>
  </si>
  <si>
    <t>0026DM0451</t>
  </si>
  <si>
    <t>103</t>
  </si>
  <si>
    <t>PAULO FREIRE</t>
  </si>
  <si>
    <t>027</t>
  </si>
  <si>
    <t>Chascomús</t>
  </si>
  <si>
    <t>0027DC0703</t>
  </si>
  <si>
    <t>0027DE0702</t>
  </si>
  <si>
    <t>CENTRO DE ADULTOS Nº703/02</t>
  </si>
  <si>
    <t>0027DC0705</t>
  </si>
  <si>
    <t>0027DC0706</t>
  </si>
  <si>
    <t>ESCUELA DE ADULTOS Nº702 "SOLDADO ARGENTINO"</t>
  </si>
  <si>
    <t>0027DM0451</t>
  </si>
  <si>
    <t>107</t>
  </si>
  <si>
    <t>137</t>
  </si>
  <si>
    <t>Chivilcoy</t>
  </si>
  <si>
    <t>0028DC0702</t>
  </si>
  <si>
    <t>0028DE0701</t>
  </si>
  <si>
    <t>0028DC0703</t>
  </si>
  <si>
    <t>CENTRO DE ADULTOS Nº703/01</t>
  </si>
  <si>
    <t>0028DC0704</t>
  </si>
  <si>
    <t>0028DC0705</t>
  </si>
  <si>
    <t>ESCUELA DE ADULTOS Nº701 "ANTARTIDA ARGENTINA"</t>
  </si>
  <si>
    <t>0028DM0451</t>
  </si>
  <si>
    <t>0028DM0452</t>
  </si>
  <si>
    <t>029</t>
  </si>
  <si>
    <t>Dolores</t>
  </si>
  <si>
    <t>0029DC0703</t>
  </si>
  <si>
    <t>0029DE0702</t>
  </si>
  <si>
    <t>0029DC0704</t>
  </si>
  <si>
    <t>CENTRO DE ADULTOS Nº704/02</t>
  </si>
  <si>
    <t>0029DE0701</t>
  </si>
  <si>
    <t>ESCUELA DE ADULTOS Nº701 "JOSÉ F. BOGADO"</t>
  </si>
  <si>
    <t>ESCUELA DE ADULTOS Nº702 "PAULA ALBARRACIN"</t>
  </si>
  <si>
    <t>0029DM0451</t>
  </si>
  <si>
    <t>CENTRO EDUCATIVO DE NIVEL SECUNDARIO PARA ADULTOS Nº451</t>
  </si>
  <si>
    <t>0029DM0452</t>
  </si>
  <si>
    <t>030</t>
  </si>
  <si>
    <t>Esteban Echeverría</t>
  </si>
  <si>
    <t>0030DC0705</t>
  </si>
  <si>
    <t>0030DE0701</t>
  </si>
  <si>
    <t>0030DC0706</t>
  </si>
  <si>
    <t>0030DC0707</t>
  </si>
  <si>
    <t>CENTRO DE ADULTOS Nº707/01</t>
  </si>
  <si>
    <t>0030DC0708</t>
  </si>
  <si>
    <t>0030DE0702</t>
  </si>
  <si>
    <t>0030DC0709</t>
  </si>
  <si>
    <t>0030DC0710</t>
  </si>
  <si>
    <t>CENTRO DE ADULTOS Nº710/02</t>
  </si>
  <si>
    <t>0030DC0711</t>
  </si>
  <si>
    <t>0030DE0703</t>
  </si>
  <si>
    <t>CENTRO DE ADULTOS Nº711/03</t>
  </si>
  <si>
    <t>0030DC0712</t>
  </si>
  <si>
    <t>0030DE0704</t>
  </si>
  <si>
    <t>CENTRO DE ADULTOS Nº712/04</t>
  </si>
  <si>
    <t>0030DC0713</t>
  </si>
  <si>
    <t>CENTRO DE ADULTOS Nº713/03</t>
  </si>
  <si>
    <t>0030DC0714</t>
  </si>
  <si>
    <t>0030DC0715</t>
  </si>
  <si>
    <t>CENTRO DE ADULTOS Nº715/04</t>
  </si>
  <si>
    <t>ESCUELA DE ADULTOS Nº701 "ESTANISLAO DEL CAMPO"</t>
  </si>
  <si>
    <t>ESCUELA DE ADULTOS Nº703</t>
  </si>
  <si>
    <t>0030DM0451</t>
  </si>
  <si>
    <t>0030DM0452</t>
  </si>
  <si>
    <t>0030DM0453</t>
  </si>
  <si>
    <t>0030DM0454</t>
  </si>
  <si>
    <t>0030DM0455</t>
  </si>
  <si>
    <t>CENTRO EDUCATIVO D ENIVEL SECUNDARIO Nº455</t>
  </si>
  <si>
    <t>0030DS0041</t>
  </si>
  <si>
    <t>C.E.B.A.S. Nº41</t>
  </si>
  <si>
    <t>111</t>
  </si>
  <si>
    <t>NUESTRA SEÑORA DE LA PAZ</t>
  </si>
  <si>
    <t>031</t>
  </si>
  <si>
    <t>Exaltación de la Cruz</t>
  </si>
  <si>
    <t>0031DC0701</t>
  </si>
  <si>
    <t>CENTRO DE EDUCACION DE ADULTOS Nº701 "JOSÉ FELICIANO CRUZ"</t>
  </si>
  <si>
    <t>0031DC0703</t>
  </si>
  <si>
    <t>0031DM0451</t>
  </si>
  <si>
    <t>CENTRO EDUCATIVO NIVEL SECUNDARIO Nº 451 "FELIX LUNA"</t>
  </si>
  <si>
    <t>0031DM0452</t>
  </si>
  <si>
    <t>032</t>
  </si>
  <si>
    <t>Florencio Varela</t>
  </si>
  <si>
    <t>04</t>
  </si>
  <si>
    <t>0032DC0707</t>
  </si>
  <si>
    <t>0032DE0724</t>
  </si>
  <si>
    <t>CENTRO DE ADULTOS Nº707/24</t>
  </si>
  <si>
    <t>0032DC0710</t>
  </si>
  <si>
    <t>0032DE0702</t>
  </si>
  <si>
    <t>0032DC0712</t>
  </si>
  <si>
    <t>0032DE0703</t>
  </si>
  <si>
    <t>CENTRO DE ADULTOS Nº712/03</t>
  </si>
  <si>
    <t>0032DC0713</t>
  </si>
  <si>
    <t>0032DC0714</t>
  </si>
  <si>
    <t>0032DE0704</t>
  </si>
  <si>
    <t>0032DC0715</t>
  </si>
  <si>
    <t>0032DC0716</t>
  </si>
  <si>
    <t>0032DC0717</t>
  </si>
  <si>
    <t>0032DE0721</t>
  </si>
  <si>
    <t>CENTRO DE ADULTOS Nº717/21</t>
  </si>
  <si>
    <t>0032DC0718</t>
  </si>
  <si>
    <t>CENTRO DE ADULTOS Nº718/21</t>
  </si>
  <si>
    <t>0032DC0720</t>
  </si>
  <si>
    <t>0032DE0701</t>
  </si>
  <si>
    <t>CENTRO DE ADULTOS Nº720/01</t>
  </si>
  <si>
    <t>0032DC0723</t>
  </si>
  <si>
    <t>CENTRO DE ADULTOS Nº723/02</t>
  </si>
  <si>
    <t>0032DC0726</t>
  </si>
  <si>
    <t>CENTRO DE ADULTOS Nº726/02</t>
  </si>
  <si>
    <t>ESCUELA DE ADULTOS Nº701 "ALMIRANTE GUILLERMO BROWN"</t>
  </si>
  <si>
    <t>ESCUELA DE ADULTOS Nº702 "LEANDRO N. ALEM"</t>
  </si>
  <si>
    <t>ESCUELA DE ADULTOS Nº703 "REPUBLICA DEL JAPON"</t>
  </si>
  <si>
    <t>0032DE0705</t>
  </si>
  <si>
    <t>ESCUELA DE ADULTOS Nº705 "PATRICIAS ARGENTINAS"</t>
  </si>
  <si>
    <t>0032DE0706</t>
  </si>
  <si>
    <t>ESCUELA DE EDUCACIÓN DE ADULTOS Nº706</t>
  </si>
  <si>
    <t>0032DE0709</t>
  </si>
  <si>
    <t>ESCUELA DE ADULTOS Nº709 "BENITO LINCH"</t>
  </si>
  <si>
    <t>ESCUELA PRIMARIA DE ADULTOS Nº 721 "MALVINAS ARGENTINAS"</t>
  </si>
  <si>
    <t>0032DE0751</t>
  </si>
  <si>
    <t>ESCUELA DE ADULTOS Nº751 "MANUEL BELGRANO"</t>
  </si>
  <si>
    <t>0032DM0451</t>
  </si>
  <si>
    <t>CENTRO EDUCATIVO NIVEL SECUNDARIO Nº 451 "OBISPO JORGE NOVAK"</t>
  </si>
  <si>
    <t>0032DM0452</t>
  </si>
  <si>
    <t>CENTRO EDUCATIVO NIVEL SECUNDARIO Nº 452  "MARÍA LUISA RAMIS"</t>
  </si>
  <si>
    <t>0032DM0453</t>
  </si>
  <si>
    <t>0032DM0454</t>
  </si>
  <si>
    <t>CENTRO EDUCATIVO NIVEL SECUNDARIO Nº 454  "MARÍA EVA DUARTE"</t>
  </si>
  <si>
    <t>0032DM0455</t>
  </si>
  <si>
    <t>CENTRO EDUCATIVO DE NIVEL SECUNDARIO Nº 455 "CECILIA GRIERSON"</t>
  </si>
  <si>
    <t>0032DM0456</t>
  </si>
  <si>
    <t>CENTRO EDUCATIVO DE NIVEL SECUNDARIO Nº 456 "PAULO FREIRE"</t>
  </si>
  <si>
    <t>0032DM0457</t>
  </si>
  <si>
    <t>CENTRO EDUCATIVO DE NIVEL SECUNDARIO Nº 457 "JOSÉ FRANCISCO DE SAN MARTÍN"</t>
  </si>
  <si>
    <t>0032DM0458</t>
  </si>
  <si>
    <t>0032DM0459</t>
  </si>
  <si>
    <t>CENTRO EDUCATIVO DE NIVEL SECUNDARIO Nº 459 "ARA SAN JUAN"</t>
  </si>
  <si>
    <t>0032DM0460</t>
  </si>
  <si>
    <t>0032DS0013</t>
  </si>
  <si>
    <t>C.E.B.A.S. Nº13</t>
  </si>
  <si>
    <t>SER ESPECIAL</t>
  </si>
  <si>
    <t>132</t>
  </si>
  <si>
    <t>033</t>
  </si>
  <si>
    <t>General Alvarado</t>
  </si>
  <si>
    <t>0033DC0702</t>
  </si>
  <si>
    <t>0033DC0703</t>
  </si>
  <si>
    <t>0033DE0701</t>
  </si>
  <si>
    <t>CENTRO DE ADULTOS Nº703 "DR. EMILIO GALLINA"</t>
  </si>
  <si>
    <t>0033DC0704</t>
  </si>
  <si>
    <t>0033DC0705</t>
  </si>
  <si>
    <t>0033DC0707</t>
  </si>
  <si>
    <t>0033DC0708</t>
  </si>
  <si>
    <t>CENTRO DE ADULTOS Nº708/01</t>
  </si>
  <si>
    <t>0033DM0451</t>
  </si>
  <si>
    <t>0033DM0452</t>
  </si>
  <si>
    <t>108</t>
  </si>
  <si>
    <t>034</t>
  </si>
  <si>
    <t>General Alvear</t>
  </si>
  <si>
    <t>0034DC0701</t>
  </si>
  <si>
    <t>CENTRO DE ADULTOS Nº701 "MARIANO MORENO"</t>
  </si>
  <si>
    <t>0034DE0703</t>
  </si>
  <si>
    <t>ESCUELA DE ADULTOS Nº703 "PAULO FREIRE"</t>
  </si>
  <si>
    <t>0034DM0451</t>
  </si>
  <si>
    <t>General Arenales</t>
  </si>
  <si>
    <t>0035DC0701</t>
  </si>
  <si>
    <t>0035DC0702</t>
  </si>
  <si>
    <t>0035DC0703</t>
  </si>
  <si>
    <t>0035DM0451</t>
  </si>
  <si>
    <t>128</t>
  </si>
  <si>
    <t>036</t>
  </si>
  <si>
    <t>General Belgrano</t>
  </si>
  <si>
    <t>0036DC0701</t>
  </si>
  <si>
    <t>CENTRO DE ADULTOS Nº701 "SARMIENTO" AERONÁUTICA ARGENTINA</t>
  </si>
  <si>
    <t>0036DM0451</t>
  </si>
  <si>
    <t>037</t>
  </si>
  <si>
    <t>General Guido</t>
  </si>
  <si>
    <t>0037DE0701</t>
  </si>
  <si>
    <t>0037DM0451</t>
  </si>
  <si>
    <t>CENTRO EDUCATIVO NIVEL SECUNDARIO N°451</t>
  </si>
  <si>
    <t>038</t>
  </si>
  <si>
    <t>General La Madrid</t>
  </si>
  <si>
    <t>0038DC0701</t>
  </si>
  <si>
    <t>0038DC0702</t>
  </si>
  <si>
    <t>0038DM0451</t>
  </si>
  <si>
    <t>039</t>
  </si>
  <si>
    <t>General Lavalle</t>
  </si>
  <si>
    <t>0039DC0701</t>
  </si>
  <si>
    <t>0039DC0702</t>
  </si>
  <si>
    <t>0039DM0451</t>
  </si>
  <si>
    <t>LA VICTORIA</t>
  </si>
  <si>
    <t>040</t>
  </si>
  <si>
    <t>General Juan Madariaga</t>
  </si>
  <si>
    <t>0040DC0702</t>
  </si>
  <si>
    <t>0040DE0701</t>
  </si>
  <si>
    <t>0040DC0703</t>
  </si>
  <si>
    <t>0040DM0451</t>
  </si>
  <si>
    <t>041</t>
  </si>
  <si>
    <t>General Paz</t>
  </si>
  <si>
    <t>0041DC0702</t>
  </si>
  <si>
    <t>0041DE0701</t>
  </si>
  <si>
    <t>CENTRO DE ADULTOS Nº 702/01 "MARÍA ÁNGELA CASTROMARÍA"</t>
  </si>
  <si>
    <t>ESCUELA DE EDUCACIÓN DE ADULTOS Nº 701 "ROSA M. J. CAAMAÑO"</t>
  </si>
  <si>
    <t>0041DM0451</t>
  </si>
  <si>
    <t>General Pinto</t>
  </si>
  <si>
    <t>0042DC0703</t>
  </si>
  <si>
    <t>0042DE0701</t>
  </si>
  <si>
    <t>ESCUELA DE ADULTOS Nº701 "FUERTE ANCALOO"</t>
  </si>
  <si>
    <t>0042DM0451</t>
  </si>
  <si>
    <t>043</t>
  </si>
  <si>
    <t>General Pueyrredón</t>
  </si>
  <si>
    <t>0043DA0183</t>
  </si>
  <si>
    <t>CENTRO DE ALFABETIZACION Nº183</t>
  </si>
  <si>
    <t>0043DA0184</t>
  </si>
  <si>
    <t>CENTRO DE ALFABETIZACION Nº184</t>
  </si>
  <si>
    <t>0043DA0185</t>
  </si>
  <si>
    <t>CENTRO DE ALFABETIZACION Nº185</t>
  </si>
  <si>
    <t>0043DC0707</t>
  </si>
  <si>
    <t>0043DE0706</t>
  </si>
  <si>
    <t>CENTRO DE ADULTOS Nº707/06</t>
  </si>
  <si>
    <t>0043DC0708</t>
  </si>
  <si>
    <t>0043DE0742</t>
  </si>
  <si>
    <t>CENTRO DE ADULTOS Nº708</t>
  </si>
  <si>
    <t>0043DC0709</t>
  </si>
  <si>
    <t>CENTRO DE ADULTOS Nº709/06</t>
  </si>
  <si>
    <t>0043DC0711</t>
  </si>
  <si>
    <t>0043DE0710</t>
  </si>
  <si>
    <t>CENTRO DE ADULTOS Nº711/10</t>
  </si>
  <si>
    <t>0043DC0712</t>
  </si>
  <si>
    <t>0043DE0701</t>
  </si>
  <si>
    <t>CENTRO DE ADULTOS Nº 712/01</t>
  </si>
  <si>
    <t>0043DC0713</t>
  </si>
  <si>
    <t>0043DC0714</t>
  </si>
  <si>
    <t>0043DE0729</t>
  </si>
  <si>
    <t>CENTRO DE ADULTOS Nº714/29</t>
  </si>
  <si>
    <t>0043DC0715</t>
  </si>
  <si>
    <t>CENTRO DE ADULTOS Nº715</t>
  </si>
  <si>
    <t>0043DC0716</t>
  </si>
  <si>
    <t>0043DE0702</t>
  </si>
  <si>
    <t>CENTRO DE ADULTOS Nº716/02</t>
  </si>
  <si>
    <t>0043DC0718</t>
  </si>
  <si>
    <t>CENTRO DE ADULTOS Nº718</t>
  </si>
  <si>
    <t>0043DC0719</t>
  </si>
  <si>
    <t>CENTRO DE ADULTOS Nº719/02</t>
  </si>
  <si>
    <t>0043DC0720</t>
  </si>
  <si>
    <t>0043DE0705</t>
  </si>
  <si>
    <t>CENTRO DE ADULTOS Nº720/05</t>
  </si>
  <si>
    <t>0043DC0722</t>
  </si>
  <si>
    <t>0043DE0721</t>
  </si>
  <si>
    <t>CENTRO DE ADULTOS Nº722/21</t>
  </si>
  <si>
    <t>0043DC0723</t>
  </si>
  <si>
    <t>0043DC0724</t>
  </si>
  <si>
    <t>0043DE0704</t>
  </si>
  <si>
    <t>CENTRO DE ADULTOS Nº724/04</t>
  </si>
  <si>
    <t>0043DC0725</t>
  </si>
  <si>
    <t>0043DC0726</t>
  </si>
  <si>
    <t>CENTRO DE ADULTOS Nº726/04</t>
  </si>
  <si>
    <t>0043DC0727</t>
  </si>
  <si>
    <t>CENTRO DE ADULTOS Nº727/05</t>
  </si>
  <si>
    <t>0043DC0728</t>
  </si>
  <si>
    <t>CENTRO DE ADULTOS Nº728/29</t>
  </si>
  <si>
    <t>0043DC0731</t>
  </si>
  <si>
    <t>0043DE0703</t>
  </si>
  <si>
    <t>CENTRO DE ADULTOS Nº731/03</t>
  </si>
  <si>
    <t>0043DC0732</t>
  </si>
  <si>
    <t>0043DC0733</t>
  </si>
  <si>
    <t>CENTRO DE ADULTOS Nº733/03</t>
  </si>
  <si>
    <t>0043DC0735</t>
  </si>
  <si>
    <t>0043DC0736</t>
  </si>
  <si>
    <t>CENTRO DE ADULTOS Nº736/021</t>
  </si>
  <si>
    <t>0043DC0737</t>
  </si>
  <si>
    <t>CENTRO DE ADULTOS Nº737/9</t>
  </si>
  <si>
    <t>0043DC0738</t>
  </si>
  <si>
    <t>CENTRO DE ADULTOS Nº738/03</t>
  </si>
  <si>
    <t>0043DC0739</t>
  </si>
  <si>
    <t>0043DE0743</t>
  </si>
  <si>
    <t>CENTRO DE ADULTOS Nº739/06</t>
  </si>
  <si>
    <t>0043DC0740</t>
  </si>
  <si>
    <t>CENTRO DE ADULTOS Nº740/21</t>
  </si>
  <si>
    <t>ESCUELA DE ADULTOS Nº701 "THOMAS ESPORA"</t>
  </si>
  <si>
    <t>ESCUELA DE ADULTOS Nº702 "WILLIAM MORRIS"</t>
  </si>
  <si>
    <t>ESCUELA DE ADULTOS Nº703 "FRANKLIN ROOSEVELT"</t>
  </si>
  <si>
    <t>ESCUELA DE ADULTOS Nº704 "BERNARDO DE O'HIGGINS"</t>
  </si>
  <si>
    <t>ESCUELA DE ADULTOS Nº705 "JUAN XXIII"</t>
  </si>
  <si>
    <t>ESCUELA DE ADULTOS Nº706 "MARÍA EVA DUARTE"</t>
  </si>
  <si>
    <t>ESCUELA DE ADULTOS Nº710</t>
  </si>
  <si>
    <t>ESCUELA DE ADULTOS Nº721 "HÉROES DE MALVINAS"</t>
  </si>
  <si>
    <t>ESCUELA DE ADULTOS Nº729 "DR. ESTEBAN LAUREANO MARADONA"</t>
  </si>
  <si>
    <t>0043DE0734</t>
  </si>
  <si>
    <t>ESCUELA DE EDUCACIÓN PRIMARIA DE ADULTOS Nº734 "DR. RAÚL ALFONSIN"</t>
  </si>
  <si>
    <t>0043DE0741</t>
  </si>
  <si>
    <t>ESCUELA DE ADULTOS Nº741 "ALAS ARGENTINAS"</t>
  </si>
  <si>
    <t>ESCUELA DE EDUCACIÓN PRIMARIA DE ADULTOS Nº742 "LOS HORNOS"</t>
  </si>
  <si>
    <t>ESCUELA DE EDUCACIÓN PRIMARIA DE ADULTOS Nº743 "ATAHUALPA YUPANQUI"</t>
  </si>
  <si>
    <t>0043DM0451</t>
  </si>
  <si>
    <t>CENTRO EDUCATIVO NIVEL SECUNDARIO Nº451 "ELVIRA RAWSON"</t>
  </si>
  <si>
    <t>0043DM0452</t>
  </si>
  <si>
    <t>CENTRO EDUCATIVO NIVEL SECUNDARIO Nº452 "DR. RENÉ FAVALORO"</t>
  </si>
  <si>
    <t>0043DM0453</t>
  </si>
  <si>
    <t>CENTRO EDUCATIVO NIVEL SECUNDARIO Nº453 "PESQUERO NARWALL"</t>
  </si>
  <si>
    <t>0043DM0454</t>
  </si>
  <si>
    <t>CENTRO EDUCATIVO DE NIVEL SECUNDARIO Nº454 "EMPLEADOS DE COMERCIO DE MAR DEL PLATA"</t>
  </si>
  <si>
    <t>0043DM0457</t>
  </si>
  <si>
    <t>CENTRO EDUCATIVO NIVEL SECUNDARIO Nº457</t>
  </si>
  <si>
    <t>0043DM0458</t>
  </si>
  <si>
    <t>CENTRO EDUCATIVO NIVEL SECUNDARIO PARA ADULTOS Nº458</t>
  </si>
  <si>
    <t>0043DM0459</t>
  </si>
  <si>
    <t>0043DM0460</t>
  </si>
  <si>
    <t>0043DM0461</t>
  </si>
  <si>
    <t>CENTRO EDUCATIVO DE NIVEL SECUNDARIO Nº 461 "MARTÍN MIGUEL DE GÜEMES"</t>
  </si>
  <si>
    <t>0043DM0462</t>
  </si>
  <si>
    <t>0043DM0463</t>
  </si>
  <si>
    <t>CENTRO EDUCATIVO DE NIVEL SECUNDARIO Nº463 "PAULO FREIRE"</t>
  </si>
  <si>
    <t>0043DM0464</t>
  </si>
  <si>
    <t>CENTRO EDUCATIVO DE NIVEL SECUNDARIO Nº464 "SUBMARINO ARA SAN JUAN"</t>
  </si>
  <si>
    <t>0043DM0465</t>
  </si>
  <si>
    <t>CENTRO EDUCATIVO DE NIVEL SECUNDARIO Nº 465 "ASTOR PIAZZOLLA"</t>
  </si>
  <si>
    <t>0043DM0466</t>
  </si>
  <si>
    <t>CENTRO EDUCATIVO DE NIVEL SECUNDARIO Nº 466 "SOL DE MAYO"</t>
  </si>
  <si>
    <t>0043DM0467</t>
  </si>
  <si>
    <t>CENTRO EDUCATIVO DE NIVEL SECUNDARIO Nº467 "MARÍA ELENA WALSH"</t>
  </si>
  <si>
    <t>0043DM0468</t>
  </si>
  <si>
    <t>CENTRO EDUCATIVO DE NIVEL SECUNDARIO Nº468 "MARÍA REMEDIOS DEL VALLE"</t>
  </si>
  <si>
    <t>0043DM0469</t>
  </si>
  <si>
    <t>CENTRO EDUCATIVO DE NIVEL SECUNDARIO Nº469 "SOLDADO CAÍDO EN MALVINAS OSCAR DIARTE"</t>
  </si>
  <si>
    <t>0043DM0470</t>
  </si>
  <si>
    <t>0043DM0471</t>
  </si>
  <si>
    <t>0043DS0011</t>
  </si>
  <si>
    <t>C.E.B.A.S. Nº11</t>
  </si>
  <si>
    <t>3043DM6366</t>
  </si>
  <si>
    <t>CENS Nº 1 - MUNICIPAL</t>
  </si>
  <si>
    <t>3043DM6367</t>
  </si>
  <si>
    <t>CENS Nº 2 - MUNICIPAL</t>
  </si>
  <si>
    <t>VIOLETA PARRA</t>
  </si>
  <si>
    <t>General Rodríguez</t>
  </si>
  <si>
    <t>0044DC0702</t>
  </si>
  <si>
    <t>0044DE0701</t>
  </si>
  <si>
    <t>0044DC0703</t>
  </si>
  <si>
    <t>0044DC0704</t>
  </si>
  <si>
    <t>0044DC0705</t>
  </si>
  <si>
    <t>0044DE0705</t>
  </si>
  <si>
    <t>CENTRO DE ADULTOS Nº705/05</t>
  </si>
  <si>
    <t>0044DC0706</t>
  </si>
  <si>
    <t>CENTRO DE EDUCACION DE ADULTOS Nº706/01</t>
  </si>
  <si>
    <t>0044DC0707</t>
  </si>
  <si>
    <t>CENTRO DE ADULTOS Nº707/05</t>
  </si>
  <si>
    <t>0044DC0708</t>
  </si>
  <si>
    <t>CENTRO DE ADULTOS Nº708/05</t>
  </si>
  <si>
    <t>ESCUELA DE EDUCACIÓN PRIMARIA PARA ADULTOS N°705</t>
  </si>
  <si>
    <t>0044DM0451</t>
  </si>
  <si>
    <t>CENTRO EDUCATIVO NIVEL SECUNDARIO Nº451 "ALFONSINA STORNI"</t>
  </si>
  <si>
    <t>045</t>
  </si>
  <si>
    <t>General San Martín</t>
  </si>
  <si>
    <t>0045DA0013</t>
  </si>
  <si>
    <t>CENTRO DE ALFABETIZACION Nº13 (UNIDAD SANITARIA Nº16)</t>
  </si>
  <si>
    <t>0045DC0706</t>
  </si>
  <si>
    <t>0045DE0701</t>
  </si>
  <si>
    <t>0045DC0708</t>
  </si>
  <si>
    <t>0045DC0709</t>
  </si>
  <si>
    <t>0045DE0704</t>
  </si>
  <si>
    <t>CENTRO DE ADULTOS Nº709/04</t>
  </si>
  <si>
    <t>0045DC0710</t>
  </si>
  <si>
    <t>0045DE0702</t>
  </si>
  <si>
    <t>0045DC0711</t>
  </si>
  <si>
    <t>CENTRO DE ADULTOS Nº711/04</t>
  </si>
  <si>
    <t>0045DC0712</t>
  </si>
  <si>
    <t>0045DE0703</t>
  </si>
  <si>
    <t>0045DC0713</t>
  </si>
  <si>
    <t>0045DC0715</t>
  </si>
  <si>
    <t>0045DC0716</t>
  </si>
  <si>
    <t>0045DE0705</t>
  </si>
  <si>
    <t>CENTRO DE ADULTOS Nº716</t>
  </si>
  <si>
    <t>0045DC0717</t>
  </si>
  <si>
    <t>0045DC0718</t>
  </si>
  <si>
    <t>0045DC0719</t>
  </si>
  <si>
    <t>CENTRO DE ADULTOS Nº719/03</t>
  </si>
  <si>
    <t>0045DC0720</t>
  </si>
  <si>
    <t>0045DE0707</t>
  </si>
  <si>
    <t>CENTRO DE ADULTOS Nº720/07</t>
  </si>
  <si>
    <t>0045DC0721</t>
  </si>
  <si>
    <t>CENTRO DE ADULTOS Nº721/02</t>
  </si>
  <si>
    <t>ESCUELA DE ADULTOS Nº701 "ANIBAL MORELLO"</t>
  </si>
  <si>
    <t>ESCUELA DE ADULTOS Nº703 "CORONEL MARTÍN JACOBO THOMPSON"</t>
  </si>
  <si>
    <t>ESCUELA DE ADULTOS Nº704 "EJERCITO DE LOS ANDES"</t>
  </si>
  <si>
    <t>ESCUELA DE ADULTOS Nº705</t>
  </si>
  <si>
    <t>0045DE0721</t>
  </si>
  <si>
    <t>0045DM0451</t>
  </si>
  <si>
    <t>CENTRO EDUCATIVO NIVEL SECUNDARIO Nº451 "SOLDADOS CONSCRIPTOS DE MALVINAS"</t>
  </si>
  <si>
    <t>0045DM0452</t>
  </si>
  <si>
    <t>0045DM0453</t>
  </si>
  <si>
    <t>CENTRO EDUCATIVO NIVEL SECUNDARIO Nº 453 "CRUCERO GENERAL BELGRANO"</t>
  </si>
  <si>
    <t>0045DM0454</t>
  </si>
  <si>
    <t>CENTRO EDUCATIVO NIVEL SECUNDARIO Nº454 "CORONEL PERÓN"</t>
  </si>
  <si>
    <t>0045DM0455</t>
  </si>
  <si>
    <t>CENTRO EDUCATIVO NIVEL SECUNDARIO Nº455 "ROBERTO CLEMENTE"</t>
  </si>
  <si>
    <t>0045DM0456</t>
  </si>
  <si>
    <t>CENTRO EDUCATIVO NIVEL SECUNDARIO Nº456 "ALICIA MOREAU DE JUSTO"</t>
  </si>
  <si>
    <t>0045DM0457</t>
  </si>
  <si>
    <t>CENTRO EDUCATIVO NIVEL SECUNDARIO Nº 457</t>
  </si>
  <si>
    <t>0045DM0458</t>
  </si>
  <si>
    <t>CENTRO EDUCATIVO DE NIVEL SECUNDARIO Nº458 "PROFESOR RAMÓN CARRILLO"</t>
  </si>
  <si>
    <t>0045DM0459</t>
  </si>
  <si>
    <t>CENTRO EDUCATIVO NIVEL SECUNDARIO Nº459</t>
  </si>
  <si>
    <t>0045DM0460</t>
  </si>
  <si>
    <t>CENTRO EDUCATIVO NIVEL SECUNDARIO Nº460</t>
  </si>
  <si>
    <t>0045DM0461</t>
  </si>
  <si>
    <t>CENTRO EDUCATIVO NIVEL SECUNDARIO Nº461</t>
  </si>
  <si>
    <t>0045DM0462</t>
  </si>
  <si>
    <t>0045DM0463</t>
  </si>
  <si>
    <t>0045DM0464</t>
  </si>
  <si>
    <t>0045DM0465</t>
  </si>
  <si>
    <t>0045DM0466</t>
  </si>
  <si>
    <t>0045DM0467</t>
  </si>
  <si>
    <t>0045DM0468</t>
  </si>
  <si>
    <t>CENTRO EDUCATIVO DE NIVEL SECUNDARIO N°468</t>
  </si>
  <si>
    <t>0045DS0002</t>
  </si>
  <si>
    <t>C.E.B.A.S. Nº2 "EDUCADOR PAULO FREIRE"</t>
  </si>
  <si>
    <t>4045MS2625</t>
  </si>
  <si>
    <t>INSTITUTO SAN MARTÍN DE PORRES</t>
  </si>
  <si>
    <t>4045MS8423</t>
  </si>
  <si>
    <t>TALLER ESCUELA MARÍA ASUNCIÓN GUGLIELMI</t>
  </si>
  <si>
    <t>047</t>
  </si>
  <si>
    <t>Zárate</t>
  </si>
  <si>
    <t>0047DC0704</t>
  </si>
  <si>
    <t>0047DE0702</t>
  </si>
  <si>
    <t>0047DC0706</t>
  </si>
  <si>
    <t>0047DE0705</t>
  </si>
  <si>
    <t>CENTRO DE ADULTOS Nº706/05</t>
  </si>
  <si>
    <t>0047DC0707</t>
  </si>
  <si>
    <t>0047DC0708</t>
  </si>
  <si>
    <t>0047DE0703</t>
  </si>
  <si>
    <t>CENTRO DE ADULTOS Nº708/03</t>
  </si>
  <si>
    <t>0047DC0709</t>
  </si>
  <si>
    <t>0047DC0710</t>
  </si>
  <si>
    <t>CENTRO DE ADULTOS Nº710/03</t>
  </si>
  <si>
    <t>0047DC0712</t>
  </si>
  <si>
    <t>ESCUELA DE ADULTOS Nº702 "ISLAS MALVINAS"</t>
  </si>
  <si>
    <t>ESCUELA DE ADULTOS Nº703 "PABLO ANTONIO PIZZURNO"</t>
  </si>
  <si>
    <t>0047DM0451</t>
  </si>
  <si>
    <t>CENTRO EDUCATIVO NIVEL SECUNDARIO Nº451 "BERNARDO HOUSSAY"</t>
  </si>
  <si>
    <t>0047DM0452</t>
  </si>
  <si>
    <t>0047DM0453</t>
  </si>
  <si>
    <t>CENTRO EDUCATIVO DE NIVEL SECUNDARIO Nº 453 "MARÍA REMEDIOS DEL VALLE"</t>
  </si>
  <si>
    <t>0047DM0454</t>
  </si>
  <si>
    <t>CENTRO EDUCATIVO DE NIVEL SECUNDARIO Nº 454 "ARA SAN JUAN"</t>
  </si>
  <si>
    <t>ESCALADA</t>
  </si>
  <si>
    <t>048</t>
  </si>
  <si>
    <t>General Viamonte</t>
  </si>
  <si>
    <t>0048DE0701</t>
  </si>
  <si>
    <t>0048DM0451</t>
  </si>
  <si>
    <t>CENTRO EDUCATIVO NIVEL SECUNDARIO Nº451 "AURELIO ZANASSI"</t>
  </si>
  <si>
    <t>General Villegas</t>
  </si>
  <si>
    <t>0049DC0702</t>
  </si>
  <si>
    <t>0049DC0703</t>
  </si>
  <si>
    <t>0049DE0701</t>
  </si>
  <si>
    <t>ESCUELA DE ADULTOS Nº701 "MARTÍN MIGUEL DE GÜEMES"</t>
  </si>
  <si>
    <t>0049DM0451</t>
  </si>
  <si>
    <t>050</t>
  </si>
  <si>
    <t>Adolfo Gonzales Chaves</t>
  </si>
  <si>
    <t>0050DC0701</t>
  </si>
  <si>
    <t>CENTRO DE ADULTOS Nº701 "GEORGINA VALDEZ DE LAPARGUE"</t>
  </si>
  <si>
    <t>0050DM0451</t>
  </si>
  <si>
    <t>051</t>
  </si>
  <si>
    <t>Guaminí</t>
  </si>
  <si>
    <t>0051DC0701</t>
  </si>
  <si>
    <t>CENTRO DE ADULTOS Nº701 "ALFONSINA STORNI"</t>
  </si>
  <si>
    <t>0051DC0702</t>
  </si>
  <si>
    <t>CENTRO DE EDUCACIÓN DE ADULTOS Nº702 "JORGE LUIS BORGES"</t>
  </si>
  <si>
    <t>0051DC0703</t>
  </si>
  <si>
    <t>CENTRO DE ADULTOS Nº703 "LUIS BERNASCONI"</t>
  </si>
  <si>
    <t>0051DM0451</t>
  </si>
  <si>
    <t>052</t>
  </si>
  <si>
    <t>084</t>
  </si>
  <si>
    <t>Benito Juárez</t>
  </si>
  <si>
    <t>0052DC0704</t>
  </si>
  <si>
    <t>BARKER</t>
  </si>
  <si>
    <t>0052DE0701</t>
  </si>
  <si>
    <t>ESCUELA DE ADULTOS Nº701 "GRAL. JUAN MANUEL DE ROSAS"</t>
  </si>
  <si>
    <t>0052DE0702</t>
  </si>
  <si>
    <t>ESCUELA DE EDUCACIÓN PRIMARIA DE ADULTOS N°702 "NELSON MANDELA"</t>
  </si>
  <si>
    <t>0052DM0451</t>
  </si>
  <si>
    <t>CENTRO EDUCATIVO NIVEL SECUNDARIO Nº 451 "JUANA AZURDUY"</t>
  </si>
  <si>
    <t>0052DM0452</t>
  </si>
  <si>
    <t>DESPERTARES</t>
  </si>
  <si>
    <t>053</t>
  </si>
  <si>
    <t>Junín</t>
  </si>
  <si>
    <t>0053DC0702</t>
  </si>
  <si>
    <t>0053DE0701</t>
  </si>
  <si>
    <t>CENTRO DE EDUCACIÓN DE ADULTOS Nº 702/01</t>
  </si>
  <si>
    <t>0053DC0703</t>
  </si>
  <si>
    <t>CENTRO DE EDUCACIÓN DE ADULTOS Nº 703/01</t>
  </si>
  <si>
    <t>0053DC0704</t>
  </si>
  <si>
    <t>0053DC0706</t>
  </si>
  <si>
    <t>CENTRO DE ADULTOS Nº706</t>
  </si>
  <si>
    <t>0053DC0707</t>
  </si>
  <si>
    <t>CENTRO DE EDUCACIÓN DE ADULTOS Nº 707/01</t>
  </si>
  <si>
    <t>0053DC0710</t>
  </si>
  <si>
    <t>CENTRO DE ADULTOS Nº710/01</t>
  </si>
  <si>
    <t>ESCUELA DE ADULTOS Nº701 "FRAGATA SARMIENTO"</t>
  </si>
  <si>
    <t>0053DE0705</t>
  </si>
  <si>
    <t>ESCUELA DE ADULTOS Nº705 "JUANA AZURDUY"</t>
  </si>
  <si>
    <t>0053DE0711</t>
  </si>
  <si>
    <t>ESCUELA DE EDUCACIÓN PRIMARIA DE ADULTOS N° 711 "MALVINAS ARGENTINAS"</t>
  </si>
  <si>
    <t>0053DM0451</t>
  </si>
  <si>
    <t>CENTRO EDUCATIVO NIVEL SECUNDARIO Nº 451</t>
  </si>
  <si>
    <t>0053DM0452</t>
  </si>
  <si>
    <t>0053DM0453</t>
  </si>
  <si>
    <t>0053DM0454</t>
  </si>
  <si>
    <t>0053DM0455</t>
  </si>
  <si>
    <t>CENTRO EDUCATIVO DE NIVEL SECUNDARIO N°455 "PROF. PÍO SOBERANO"</t>
  </si>
  <si>
    <t>0053DM2520</t>
  </si>
  <si>
    <t>CENTRO EDUCATIVO DE NIVEL SECUNDARIO N°452 - EXTENSIÓN 1</t>
  </si>
  <si>
    <t>0053DM2521</t>
  </si>
  <si>
    <t>CENTRO EDUCATIVO DE NIVEL SECUNDARIO N°452 - EXTENSIÓN 2</t>
  </si>
  <si>
    <t>124</t>
  </si>
  <si>
    <t>100</t>
  </si>
  <si>
    <t>054</t>
  </si>
  <si>
    <t>Laprida</t>
  </si>
  <si>
    <t>0054DC0702</t>
  </si>
  <si>
    <t>0054DE0701</t>
  </si>
  <si>
    <t>ESCUELA DE ADULTOS Nº701 "CONSTANCIO C. VIGIL"</t>
  </si>
  <si>
    <t>0054DM0451</t>
  </si>
  <si>
    <t>055</t>
  </si>
  <si>
    <t>Tigre</t>
  </si>
  <si>
    <t>06</t>
  </si>
  <si>
    <t>0055DC0705</t>
  </si>
  <si>
    <t>0055DE0747</t>
  </si>
  <si>
    <t>0055DC0706</t>
  </si>
  <si>
    <t>0055DE0707</t>
  </si>
  <si>
    <t>CENTRO DE ADULTOS Nº706/07</t>
  </si>
  <si>
    <t>0055DC0708</t>
  </si>
  <si>
    <t>0055DE0702</t>
  </si>
  <si>
    <t>FREIRE</t>
  </si>
  <si>
    <t>0055DC0710</t>
  </si>
  <si>
    <t>0055DE0701</t>
  </si>
  <si>
    <t>0055DC0711</t>
  </si>
  <si>
    <t>CENTRO DE ADULTOS Nº711/01</t>
  </si>
  <si>
    <t>0055DC0715</t>
  </si>
  <si>
    <t>0055DE0704</t>
  </si>
  <si>
    <t>0055DC0716</t>
  </si>
  <si>
    <t>CENTRO DE ADULTOS Nº716 "AMADO BONPLAND"</t>
  </si>
  <si>
    <t>0055DC0717</t>
  </si>
  <si>
    <t>0055DE0714</t>
  </si>
  <si>
    <t>CENTRO DE ADULTOS Nº717/14</t>
  </si>
  <si>
    <t>0055DC0718</t>
  </si>
  <si>
    <t>0055DC0748</t>
  </si>
  <si>
    <t>CENTRO DE ADULTOS Nº748/14</t>
  </si>
  <si>
    <t>0055DC0749</t>
  </si>
  <si>
    <t>CENTRO DE ADULTOS Nº749/47</t>
  </si>
  <si>
    <t>ESCUELA DE ADULTOS Nº701 "SARGENTO MANUEL DIAZ"</t>
  </si>
  <si>
    <t>ESCUELA DE ADULTOS Nº702 "ALFREDO L. PALACIOS"</t>
  </si>
  <si>
    <t>0055DE0703</t>
  </si>
  <si>
    <t>ESCUELA DE ADULTOS Nº703 "FRAGATA PRESIDENTE SARMIENTO"</t>
  </si>
  <si>
    <t>ESCUELA DE ADULTOS Nº704 "JOSÉ MANUEL ESTRADA"</t>
  </si>
  <si>
    <t>ESCUELA DE ADULTOS Nº714 "PUEBLOS ORIGINARIOS"</t>
  </si>
  <si>
    <t>ESCUELA DE ADULTOS Nº747</t>
  </si>
  <si>
    <t>0055DM0451</t>
  </si>
  <si>
    <t>0055DM0452</t>
  </si>
  <si>
    <t>CENTRO EDUCATIVO NIVEL SECUNDARIO Nº 452 "YAGUARETÉ"</t>
  </si>
  <si>
    <t>0055DM0453</t>
  </si>
  <si>
    <t>CENTRO EDUCATIVO NIVEL SECUNDARIO Nº453 "BACHILLER POPULAR SIMÓN RODRIGUEZ"</t>
  </si>
  <si>
    <t>0055DM0454</t>
  </si>
  <si>
    <t>CENTRO EDUCATIVO NIVEL SECUNDARIO Nº454 "BACHILLERATO POPULAR RAICES"</t>
  </si>
  <si>
    <t>0055DM0455</t>
  </si>
  <si>
    <t>CENTRO EDUCATIVO NIVEL SECUNDARIO Nº455 "BACHILLER POP. CTRO CULTURAL DE LOS TRABAJADORES"</t>
  </si>
  <si>
    <t>0055DM0456</t>
  </si>
  <si>
    <t>CENTRO EDUCATIVO DE NIVEL SECUNDARIO</t>
  </si>
  <si>
    <t>0055DM0457</t>
  </si>
  <si>
    <t>0055DM0458</t>
  </si>
  <si>
    <t>0055DM0459</t>
  </si>
  <si>
    <t>0055DM0460</t>
  </si>
  <si>
    <t>0055DM0461</t>
  </si>
  <si>
    <t>0055DM0462</t>
  </si>
  <si>
    <t>0055DM0463</t>
  </si>
  <si>
    <t>0055DM0464</t>
  </si>
  <si>
    <t>0055DM2550</t>
  </si>
  <si>
    <t>CENTRO EDUCATIVO DE NIVEL SECUNDARIO Nº455 - EXTENSIÓN Nº1</t>
  </si>
  <si>
    <t>0055DS2370</t>
  </si>
  <si>
    <t>0116DS0037</t>
  </si>
  <si>
    <t>CENTRO ESPECIALIZADO DE BACHILLERATO DE ADULTOS CON ORIENTACIÓN EN SALUD PÚBLICA N°37 - EXTENSIÓN</t>
  </si>
  <si>
    <t>4055MM6065</t>
  </si>
  <si>
    <t>INSTITUTO EL TELAR</t>
  </si>
  <si>
    <t>Las Flores</t>
  </si>
  <si>
    <t>0056DC0702</t>
  </si>
  <si>
    <t>0056DE0701</t>
  </si>
  <si>
    <t>CENTRO DE ADULTOS Nº 702/01 "OSVALDO JORGE CATTORINI"</t>
  </si>
  <si>
    <t>ESCUELA DE ADULTOS Nº701 "ANA MARÍA RISSO"</t>
  </si>
  <si>
    <t>0056DM0451</t>
  </si>
  <si>
    <t>057</t>
  </si>
  <si>
    <t>General Las Heras</t>
  </si>
  <si>
    <t>0057DC0701</t>
  </si>
  <si>
    <t>0057DM0451</t>
  </si>
  <si>
    <t>058</t>
  </si>
  <si>
    <t>Leandro N. Alem</t>
  </si>
  <si>
    <t>0058DE0701</t>
  </si>
  <si>
    <t>ESCUELA DE EDUCACIÓN PRIMARIA DE ADULTOS N°701 "JOSÉ BERRUTTI"</t>
  </si>
  <si>
    <t>0058DM0451</t>
  </si>
  <si>
    <t>059</t>
  </si>
  <si>
    <t>Lincoln</t>
  </si>
  <si>
    <t>0059DC0702</t>
  </si>
  <si>
    <t>0059DC0703</t>
  </si>
  <si>
    <t>0059DE0701</t>
  </si>
  <si>
    <t>0059DC0705</t>
  </si>
  <si>
    <t>0059DC0707</t>
  </si>
  <si>
    <t>0059DM0451</t>
  </si>
  <si>
    <t>060</t>
  </si>
  <si>
    <t>Lobería</t>
  </si>
  <si>
    <t>0060DC0703</t>
  </si>
  <si>
    <t>CENTRO DE ADULTOS Nº703 "VILLA ERCILIA"</t>
  </si>
  <si>
    <t>0060DC0704</t>
  </si>
  <si>
    <t>0060DC0705</t>
  </si>
  <si>
    <t>CENTRO DE ADULTOS Nº705 "HIPOLITO YRIGOYEN"</t>
  </si>
  <si>
    <t>0060DE0701</t>
  </si>
  <si>
    <t>ESCUELA DE ADULTOS Nº701 "BICENTENARIO DE LA PATRIA"</t>
  </si>
  <si>
    <t>0060DM0451</t>
  </si>
  <si>
    <t>061</t>
  </si>
  <si>
    <t>Lobos</t>
  </si>
  <si>
    <t>0061DC0702</t>
  </si>
  <si>
    <t>0061DE0701</t>
  </si>
  <si>
    <t>0061DC0703</t>
  </si>
  <si>
    <t>0061DC0704</t>
  </si>
  <si>
    <t>0061DC0705</t>
  </si>
  <si>
    <t>CENTRO DE EDUCACION DE ADULTOS Nº705</t>
  </si>
  <si>
    <t>ESCUELA DE ADULTOS Nº701 "MAGDALENA NOEMI ALVAREZ DE ZUGASTI COCA"</t>
  </si>
  <si>
    <t>0061DM0451</t>
  </si>
  <si>
    <t>R</t>
  </si>
  <si>
    <t>062</t>
  </si>
  <si>
    <t>Lomas de Zamora</t>
  </si>
  <si>
    <t>0062DC0711</t>
  </si>
  <si>
    <t>0062DE0701</t>
  </si>
  <si>
    <t>CENTRO DE ADULTOS Nº711/01 "FERNANDO R. DOMINGUEZ"</t>
  </si>
  <si>
    <t>0062DC0712</t>
  </si>
  <si>
    <t>0062DE0704</t>
  </si>
  <si>
    <t>0062DC0713</t>
  </si>
  <si>
    <t>0062DE0705</t>
  </si>
  <si>
    <t>CENTRO DE ADULTOS Nº713/05</t>
  </si>
  <si>
    <t>0062DC0714</t>
  </si>
  <si>
    <t>CENTRO DE ADULTOS Nº714/05</t>
  </si>
  <si>
    <t>0062DC0715</t>
  </si>
  <si>
    <t>0062DC0716</t>
  </si>
  <si>
    <t>0062DE0703</t>
  </si>
  <si>
    <t>CENTRO DE ADULTOS Nº716/03 "FAUSTINO N. SANTOMAURO"</t>
  </si>
  <si>
    <t>0062DC0717</t>
  </si>
  <si>
    <t>C.E.A. Nº 717/03 "INSPECTORA LYDIA ISABEL FISCHER DE SARMIENTO"</t>
  </si>
  <si>
    <t>0062DC0723</t>
  </si>
  <si>
    <t>0062DE0707</t>
  </si>
  <si>
    <t>CENTRO DE ADULTOS Nº723/07 "JUANA AZURDUY DE PADILLA"</t>
  </si>
  <si>
    <t>0062DC0724</t>
  </si>
  <si>
    <t>CENTRO DE ADULTOS Nº724/07 "MARÍA REMEDIOS DEL VALLE"</t>
  </si>
  <si>
    <t>0062DC0728</t>
  </si>
  <si>
    <t>0062DE0702</t>
  </si>
  <si>
    <t>CENTRO DE ADULTOS Nº728/02 "DR. RENÉ GERÓNIMO FAVALORO"</t>
  </si>
  <si>
    <t>0062DC0729</t>
  </si>
  <si>
    <t>CENTRO DE ADULTOS Nº729/02 "MARIANO MORENO"</t>
  </si>
  <si>
    <t>0062DC0730</t>
  </si>
  <si>
    <t>0062DE0709</t>
  </si>
  <si>
    <t>CENTRO DE ADULTOS Nº730/09 "BARTOLOME CAAMAÑO"</t>
  </si>
  <si>
    <t>0062DC0731</t>
  </si>
  <si>
    <t>CENTRO DE ADULTOS Nº731/02</t>
  </si>
  <si>
    <t>0062DC0732</t>
  </si>
  <si>
    <t>0062DE0706</t>
  </si>
  <si>
    <t>CENTRO DE ADULTOS Nº732/06 "DIVERSIDAD CULTURAL"</t>
  </si>
  <si>
    <t>0062DC0733</t>
  </si>
  <si>
    <t>CENTRO DE ADULTOS Nº733/05</t>
  </si>
  <si>
    <t>0062DC0734</t>
  </si>
  <si>
    <t>0062DE0726</t>
  </si>
  <si>
    <t>CENTRO DE ADULTOS Nº734/26 "ERNESTO GUEVARA"</t>
  </si>
  <si>
    <t>ESCUELA DE ADULTOS Nº701 "FRANCISCO DE VICTORIA"</t>
  </si>
  <si>
    <t>ESCUELA DE ADULTOS Nº702 "FRAY LUIS BELTRAN"</t>
  </si>
  <si>
    <t>ESCUELA DE ADULTOS Nº703 "RICARDO ROJAS"</t>
  </si>
  <si>
    <t>ESCUELA DE ADULTOS Nº705 "CONGRESO DE TUCUMAN"</t>
  </si>
  <si>
    <t>ESCUELA DE ADULTOS Nº706 "CACIQUE TELOMIAN CONDIE"</t>
  </si>
  <si>
    <t>ESCUELA DE ADULTOS Nº707 "HÉROES DE MALVINAS"</t>
  </si>
  <si>
    <t>0062DE0708</t>
  </si>
  <si>
    <t>ESCUELA DE ADULTOS Nº708  "EMILIO MENETRIER"</t>
  </si>
  <si>
    <t>ESCUELA DE ADULTOS Nº709 "DR. JORGE FEDERICO MELBER"</t>
  </si>
  <si>
    <t>0062DE0718</t>
  </si>
  <si>
    <t>ESCUELA DE ADULTOS Nº718 "ALFONSINA STORNI"</t>
  </si>
  <si>
    <t>0062DE0725</t>
  </si>
  <si>
    <t>ESCUELA DE ADULTOS Nº725</t>
  </si>
  <si>
    <t>ESCUELA DE ADULTOS Nº726 "PAULO FREIRE"</t>
  </si>
  <si>
    <t>0062DE0727</t>
  </si>
  <si>
    <t>ESCUELA PRIMARIA DE ADULTOS Nº 727 "JULIO CORTÁZAR"</t>
  </si>
  <si>
    <t>0062DE0736</t>
  </si>
  <si>
    <t>ESCUELA DE ADULTOS Nº736</t>
  </si>
  <si>
    <t>0062DE0737</t>
  </si>
  <si>
    <t>ESCUELA DE EDUCACIÓN PRIMARIA DE ADULTOS N°737</t>
  </si>
  <si>
    <t>0062DE0738</t>
  </si>
  <si>
    <t>ESCUELA DE EDUCACIÓN PRIMARIA DE ADULTOS N°738</t>
  </si>
  <si>
    <t>0062DE0739</t>
  </si>
  <si>
    <t>ESCUELA DE EDUCACIÓN PRIMARIA DE ADULTOS N°739  "MANUELA PEDRAZA"</t>
  </si>
  <si>
    <t>0062DM0451</t>
  </si>
  <si>
    <t>CENTRO EDUCATIVO NIVEL SECUNDARIO Nº451 "VILLA CENTENARIO"</t>
  </si>
  <si>
    <t>0062DM0452</t>
  </si>
  <si>
    <t>0062DM0453</t>
  </si>
  <si>
    <t>0062DM0454</t>
  </si>
  <si>
    <t>CENTRO EDUCATIVO NIVEL SECUNDARIO Nº454 "MARTÍN MIGUEL DE GÜEMES"</t>
  </si>
  <si>
    <t>0062DM0455</t>
  </si>
  <si>
    <t>CENTRO EDUCATIVO DE NIVEL SECUNDARIO Nº455 "PROF. FRANCISCO JAVIER ZIMEI"</t>
  </si>
  <si>
    <t>0062DM0456</t>
  </si>
  <si>
    <t>0062DM0458</t>
  </si>
  <si>
    <t>CENTRO EDUCATIVO NIVEL SECUNDARIO Nº458</t>
  </si>
  <si>
    <t>0062DM0459</t>
  </si>
  <si>
    <t>0062DM0461</t>
  </si>
  <si>
    <t>CENTRO EDUCATIVO DE NIVEL SECUNDARIO PARA ADULTOS Nº461</t>
  </si>
  <si>
    <t>0062DM0462</t>
  </si>
  <si>
    <t>CENTRO EDUCATIVO NIVEL SECUNDARIO Nº462</t>
  </si>
  <si>
    <t>0062DM0463</t>
  </si>
  <si>
    <t>0062DM0464</t>
  </si>
  <si>
    <t>0062DM0465</t>
  </si>
  <si>
    <t>0062DM0466</t>
  </si>
  <si>
    <t>0062DM0467</t>
  </si>
  <si>
    <t>0062DM0468</t>
  </si>
  <si>
    <t>0062DM0469</t>
  </si>
  <si>
    <t>CENTRO EDUCATIVO DE NIVEL SECUNDARIO Nº469</t>
  </si>
  <si>
    <t>0062DM0470</t>
  </si>
  <si>
    <t>0062DM0471</t>
  </si>
  <si>
    <t>0062DM0472</t>
  </si>
  <si>
    <t>CENTRO EDUCATIVO DE NIVEL SECUNDARIO N°472</t>
  </si>
  <si>
    <t>0062DM3721</t>
  </si>
  <si>
    <t>CENTRO EDUCATIVO NIVEL SECUNDARIO N°472 - ANEXO 1</t>
  </si>
  <si>
    <t>0062DM3722</t>
  </si>
  <si>
    <t>CENTRO EDUCATIVO NIVEL SECUNDARIO N°472 - ANEXO 2</t>
  </si>
  <si>
    <t>0062DM3723</t>
  </si>
  <si>
    <t>CENTRO EDUCATIVO NIVEL SECUNDARIO N°472 - ANEXO 3</t>
  </si>
  <si>
    <t>0062DM3724</t>
  </si>
  <si>
    <t>CENTRO EDUCATIVO NIVEL SECUNDARIO N°472 - ANEXO 4</t>
  </si>
  <si>
    <t>0062DM3725</t>
  </si>
  <si>
    <t>CENTRO EDUCATIVO NIVEL SECUNDARIO N°472 - ANEXO 5</t>
  </si>
  <si>
    <t>0062DS0016</t>
  </si>
  <si>
    <t>C.E.B.A.S Nº16</t>
  </si>
  <si>
    <t>PRINCIPE DE PAZ</t>
  </si>
  <si>
    <t>ABRIENDO CAMINOS</t>
  </si>
  <si>
    <t>4062MS4710</t>
  </si>
  <si>
    <t>INSTITUTO LOMAS DE ZAMORA</t>
  </si>
  <si>
    <t>Luján</t>
  </si>
  <si>
    <t>0063DC0702</t>
  </si>
  <si>
    <t>0063DE0701</t>
  </si>
  <si>
    <t>0063DC0703</t>
  </si>
  <si>
    <t>0063DC0705</t>
  </si>
  <si>
    <t>CENTRO DE ADULTOS Nº705 "MARTÍN MIGUEL DE GÜEMES"</t>
  </si>
  <si>
    <t>0063DC0708</t>
  </si>
  <si>
    <t>0063DE0702</t>
  </si>
  <si>
    <t>ESCUELA DE EDUCACIÓN PRIMARIA DE ADULTOS N° 702</t>
  </si>
  <si>
    <t>0063DM0451</t>
  </si>
  <si>
    <t>0063DM0452</t>
  </si>
  <si>
    <t>0063DM0453</t>
  </si>
  <si>
    <t>064</t>
  </si>
  <si>
    <t>Magdalena</t>
  </si>
  <si>
    <t>0064DC0702</t>
  </si>
  <si>
    <t>0064DE0701</t>
  </si>
  <si>
    <t>0064DC0703</t>
  </si>
  <si>
    <t>0064DE0706</t>
  </si>
  <si>
    <t>ESCUELA DE ADULTOS Nº706 (ANEXA I. P. F. F. A. A.)</t>
  </si>
  <si>
    <t>0064DE0708</t>
  </si>
  <si>
    <t>ESCUELA PRIMARIA DE ADULTOS N°708</t>
  </si>
  <si>
    <t>0064DM0451</t>
  </si>
  <si>
    <t>0064DM0452</t>
  </si>
  <si>
    <t>CENTRO EDUCATIVO DE NIVEL SECUNDARIO N° 452 "ABUELAS DE PLAZA DE MAYO"</t>
  </si>
  <si>
    <t>0064DM0453</t>
  </si>
  <si>
    <t>065</t>
  </si>
  <si>
    <t>Maipú</t>
  </si>
  <si>
    <t>0065DC0702</t>
  </si>
  <si>
    <t>CENTRO DE ADULTOS Nº702"CECILIA MARCHETTI DE BASUALDO SILVA"</t>
  </si>
  <si>
    <t>0065DE0701</t>
  </si>
  <si>
    <t>0065DM0451</t>
  </si>
  <si>
    <t>066</t>
  </si>
  <si>
    <t>Salto</t>
  </si>
  <si>
    <t>0066DC0702</t>
  </si>
  <si>
    <t>0066DE0701</t>
  </si>
  <si>
    <t>0066DC0703</t>
  </si>
  <si>
    <t>0066DC0704</t>
  </si>
  <si>
    <t>ESCUELA DE ADULTOS Nº701 "PAULA ALBARRACIN"</t>
  </si>
  <si>
    <t>0066DM0451</t>
  </si>
  <si>
    <t>067</t>
  </si>
  <si>
    <t>Marcos Paz</t>
  </si>
  <si>
    <t>0067DC0701</t>
  </si>
  <si>
    <t>0067DE0702</t>
  </si>
  <si>
    <t>CENTRO DE ADULTOS Nº701/02 "PROVINCIA DE CATAMARCA"</t>
  </si>
  <si>
    <t>0067DC0703</t>
  </si>
  <si>
    <t>ESCUELA DE ADULTOS Nº702 "PROVINCIA DE CATAMARCA"</t>
  </si>
  <si>
    <t>0067DE0704</t>
  </si>
  <si>
    <t>ESCUELA DE ADULTOS Nº704 "MALVINAS ARGENTINAS"</t>
  </si>
  <si>
    <t>0067DE0705</t>
  </si>
  <si>
    <t>0067DE0706</t>
  </si>
  <si>
    <t>ESCUELA DE EDUCACIÓN PRIMARIA DE ADULTOS N°706</t>
  </si>
  <si>
    <t>0067DM0451</t>
  </si>
  <si>
    <t>0067DM0452</t>
  </si>
  <si>
    <t>068</t>
  </si>
  <si>
    <t>Mar Chiquita</t>
  </si>
  <si>
    <t>0068DC0702</t>
  </si>
  <si>
    <t>0068DE0701</t>
  </si>
  <si>
    <t>0068DC0703</t>
  </si>
  <si>
    <t>0068DC0704</t>
  </si>
  <si>
    <t>ESCUELA DE ADULTOS Nº701 "DR. RENÉ FAVALORO"</t>
  </si>
  <si>
    <t>0068DM0451</t>
  </si>
  <si>
    <t>0068DM0452</t>
  </si>
  <si>
    <t>069</t>
  </si>
  <si>
    <t>La Matanza</t>
  </si>
  <si>
    <t>03</t>
  </si>
  <si>
    <t>0069DA0047</t>
  </si>
  <si>
    <t>CENTRO DE ALFABETIZACION Nº47</t>
  </si>
  <si>
    <t>0069DA0051</t>
  </si>
  <si>
    <t>CENTRO DE ALFABETIZACION Nº51</t>
  </si>
  <si>
    <t>0069DA0053</t>
  </si>
  <si>
    <t>CENTRO DE ALFABETIZACIÓN Nº53</t>
  </si>
  <si>
    <t>0069DA0055</t>
  </si>
  <si>
    <t>CENTRO DE ALFABETIZACIÓN Nº55</t>
  </si>
  <si>
    <t>0069DA0057</t>
  </si>
  <si>
    <t>CENTRO DE ALFABETIZACION Nº57</t>
  </si>
  <si>
    <t>0069DA0059</t>
  </si>
  <si>
    <t>CENTRO DE ALFABETIZACION Nº59</t>
  </si>
  <si>
    <t>0069DA0064</t>
  </si>
  <si>
    <t>CENTRO DE ALFABETIZACION Nº64</t>
  </si>
  <si>
    <t>0069DA0066</t>
  </si>
  <si>
    <t>CENTRO DE ALFABETIZACION Nº66</t>
  </si>
  <si>
    <t>0069DA0068</t>
  </si>
  <si>
    <t>CENTRO DE ALFABETIZACIÓN Nº68</t>
  </si>
  <si>
    <t>0069DA0070</t>
  </si>
  <si>
    <t>CENTRO DE ALFABETIZACION Nº70</t>
  </si>
  <si>
    <t>0069DA0073</t>
  </si>
  <si>
    <t>CENTRO DE ALFABETIZACION Nº73</t>
  </si>
  <si>
    <t>0069DA0139</t>
  </si>
  <si>
    <t>CENTRO DE ALFABETIZACION Nº139</t>
  </si>
  <si>
    <t>0069DC0701</t>
  </si>
  <si>
    <t>0069DE0717</t>
  </si>
  <si>
    <t>CENTRO DE ADULTOS Nº701/17</t>
  </si>
  <si>
    <t>0069DC0707</t>
  </si>
  <si>
    <t>0069DE0724</t>
  </si>
  <si>
    <t>0069DC0709</t>
  </si>
  <si>
    <t>0069DE0711</t>
  </si>
  <si>
    <t>CENTRO DE ADULTOS Nº709/11</t>
  </si>
  <si>
    <t>0069DC0712</t>
  </si>
  <si>
    <t>0069DE0754</t>
  </si>
  <si>
    <t>CENTRO DE ADULTOS Nº712/54</t>
  </si>
  <si>
    <t>0069DC0713</t>
  </si>
  <si>
    <t>0069DE0706</t>
  </si>
  <si>
    <t>CENTRO DE ADULTOS Nº713/06</t>
  </si>
  <si>
    <t>0069DC0715</t>
  </si>
  <si>
    <t>0069DE0716</t>
  </si>
  <si>
    <t>CENTRO DE ADULTOS Nº715/16</t>
  </si>
  <si>
    <t>0069DC0718</t>
  </si>
  <si>
    <t>0069DE0744</t>
  </si>
  <si>
    <t>CENTRO DE ADULTOS Nº718/44 "CAPITÁN JUSTO G.BERMUDEZ"</t>
  </si>
  <si>
    <t>0069DC0719</t>
  </si>
  <si>
    <t>0069DE0704</t>
  </si>
  <si>
    <t>CENTRO DE ADULTOS Nº719</t>
  </si>
  <si>
    <t>0069DC0722</t>
  </si>
  <si>
    <t>CENTRO DE ADULTOS Nº722/54</t>
  </si>
  <si>
    <t>0069DC0723</t>
  </si>
  <si>
    <t>0069DE0752</t>
  </si>
  <si>
    <t>CENTRO DE ADULTOS Nº723/52</t>
  </si>
  <si>
    <t>0069DC0725</t>
  </si>
  <si>
    <t>0069DC0726</t>
  </si>
  <si>
    <t>0069DE0720</t>
  </si>
  <si>
    <t>CENTRO DE ADULTOS Nº726/20</t>
  </si>
  <si>
    <t>0069DC0730</t>
  </si>
  <si>
    <t>CENTRO DE ADULTOS Nº730</t>
  </si>
  <si>
    <t>0069DC0732</t>
  </si>
  <si>
    <t>CENTRO DE ADULTOS Nº732/04</t>
  </si>
  <si>
    <t>0069DC0733</t>
  </si>
  <si>
    <t>CENTRO DE ADULTOS Nº733/24</t>
  </si>
  <si>
    <t>0069DC0734</t>
  </si>
  <si>
    <t>CENTRO DE ADULTOS Nº734</t>
  </si>
  <si>
    <t>0069DC0735</t>
  </si>
  <si>
    <t>CENTRO DE ADULTOS Nº735/06</t>
  </si>
  <si>
    <t>0069DC0736</t>
  </si>
  <si>
    <t>0069DC0737</t>
  </si>
  <si>
    <t>CENTRO DE ADULTOS Nº737/06</t>
  </si>
  <si>
    <t>0069DC0738</t>
  </si>
  <si>
    <t>0069DE0710</t>
  </si>
  <si>
    <t>CENTRO DE ADULTOS Nº738</t>
  </si>
  <si>
    <t>0069DC0739</t>
  </si>
  <si>
    <t>0069DE0703</t>
  </si>
  <si>
    <t>CENTRO DE ADULTOS Nº739/03</t>
  </si>
  <si>
    <t>0069DC0740</t>
  </si>
  <si>
    <t>0069DE0721</t>
  </si>
  <si>
    <t>0069DC0741</t>
  </si>
  <si>
    <t>CENTRO DE ADULTOS Nº741/04</t>
  </si>
  <si>
    <t>0069DC0742</t>
  </si>
  <si>
    <t>CENTRO DE ADULTOS Nº742/52</t>
  </si>
  <si>
    <t>0069DC0743</t>
  </si>
  <si>
    <t>0069DE0705</t>
  </si>
  <si>
    <t>CENTRO DE ADULTOS Nº743/05</t>
  </si>
  <si>
    <t>0069DC0745</t>
  </si>
  <si>
    <t>CENTRO DE ADULTOS Nº745</t>
  </si>
  <si>
    <t>0069DC0746</t>
  </si>
  <si>
    <t>CENTRO DE ADULTOS Nº746</t>
  </si>
  <si>
    <t>0069DC0748</t>
  </si>
  <si>
    <t>0069DE0708</t>
  </si>
  <si>
    <t>CENTRO DE ADULTOS Nº748/08</t>
  </si>
  <si>
    <t>0069DC0749</t>
  </si>
  <si>
    <t>CENTRO DE ADULTOS Nº749/08</t>
  </si>
  <si>
    <t>0069DC0750</t>
  </si>
  <si>
    <t>CENTRO DE ADULTOS Nº750/24</t>
  </si>
  <si>
    <t>0069DC0751</t>
  </si>
  <si>
    <t>CENTRO DE ADULTOS Nº751/05</t>
  </si>
  <si>
    <t>0069DC0753</t>
  </si>
  <si>
    <t>CENTRO DE ADULTOS Nº753</t>
  </si>
  <si>
    <t>0069DC0755</t>
  </si>
  <si>
    <t>CENTRO DE ADULTOS Nº755/04</t>
  </si>
  <si>
    <t>0069DC0756</t>
  </si>
  <si>
    <t>CENTRO DE ADULTOS Nº756/11</t>
  </si>
  <si>
    <t>0069DC0757</t>
  </si>
  <si>
    <t>CENTRO DE ADULTOS Nº757</t>
  </si>
  <si>
    <t>0069DC0758</t>
  </si>
  <si>
    <t>CENTRO DE ADULTOS Nº758/16</t>
  </si>
  <si>
    <t>0069DC0759</t>
  </si>
  <si>
    <t>CENTRO DE ADULTOS Nº759/21</t>
  </si>
  <si>
    <t>0069DC0760</t>
  </si>
  <si>
    <t>0069DE0714</t>
  </si>
  <si>
    <t>CENTRO DE ADULTOS Nº760/14</t>
  </si>
  <si>
    <t>0069DC0761</t>
  </si>
  <si>
    <t>CENTRO DE ADULTOS Nº761/21</t>
  </si>
  <si>
    <t>0069DC0762</t>
  </si>
  <si>
    <t>CENTRO DE ADULTOS Nº762/16</t>
  </si>
  <si>
    <t>0069DC0765</t>
  </si>
  <si>
    <t>CENTRO DE ADULTOS Nº765/14</t>
  </si>
  <si>
    <t>0069DC0766</t>
  </si>
  <si>
    <t>CENTRO DE ADULTOS Nº766</t>
  </si>
  <si>
    <t>0069DC0767</t>
  </si>
  <si>
    <t>CENTRO DE ADULTOS Nº767</t>
  </si>
  <si>
    <t>0069DC0768</t>
  </si>
  <si>
    <t>CENTRO DE ADULTOS Nº768/44</t>
  </si>
  <si>
    <t>0069DE0702</t>
  </si>
  <si>
    <t>ESCUELA DE ADULTOS Nº702 "NACIONES UNIDAS"</t>
  </si>
  <si>
    <t>ESCUELA DE ADULTOS Nº703 "JORGE NEWBERY"</t>
  </si>
  <si>
    <t>ESCUELA DE ADULTOS Nº704 "HAYDEÉ ECHAVE DE MOGGIO"</t>
  </si>
  <si>
    <t>ESCUELA DE ADULTOS Nº705 "USHUAIA"</t>
  </si>
  <si>
    <t>ESCUELA DE ADULTOS Nº711</t>
  </si>
  <si>
    <t>ESCUELA DE ADULTOS Nº716</t>
  </si>
  <si>
    <t>ESCUELA DE ADULTOS Nº717</t>
  </si>
  <si>
    <t>ESCUELA DE ADULTOS Nº720 "INDEPENDENCIA"</t>
  </si>
  <si>
    <t>ESCUELA DE ADULTOS Nº744 "JUSTO GERMÁN BERMUDEZ"</t>
  </si>
  <si>
    <t>ESCUELA DE ADULTOS Nº752</t>
  </si>
  <si>
    <t>ESCUELA DE ADULTOS Nº754</t>
  </si>
  <si>
    <t>0069DE0769</t>
  </si>
  <si>
    <t>ESCUELA DE ADULTOS Nº769</t>
  </si>
  <si>
    <t>0069DE0770</t>
  </si>
  <si>
    <t>ESCUELA DE EDUCACIÓN DE ADULTOS Nº770 "2 DE ABRIL"</t>
  </si>
  <si>
    <t>0069DE0772</t>
  </si>
  <si>
    <t>ESCUELA DE EDUCACIÓN PRIMARIA DE ADULTOS N°772</t>
  </si>
  <si>
    <t>0069DM0451</t>
  </si>
  <si>
    <t>0069DM0452</t>
  </si>
  <si>
    <t>CENTRO EDUCATIVO NIVEL SECUNDARIO Nº 452 "HÉROES DE MALVINAS"</t>
  </si>
  <si>
    <t>0069DM0453</t>
  </si>
  <si>
    <t>CENTRO EDUCATIVO DE NIVEL SECUNDARIO Nº453 "FLORENCIO PASCUAL VERÓN"</t>
  </si>
  <si>
    <t>0069DM0454</t>
  </si>
  <si>
    <t>CENTRO EDUCATIVO NIVEL SECUNDARIO Nº454 "FLORENCIO MEZZACASA"</t>
  </si>
  <si>
    <t>0069DM0455</t>
  </si>
  <si>
    <t>0069DM0456</t>
  </si>
  <si>
    <t>CENTRO EDUCATIVO DE NIVEL SECUNDARIO Nº456 "MARÍA CRISTINA PRIETO"</t>
  </si>
  <si>
    <t>0069DM0457</t>
  </si>
  <si>
    <t>0069DM0458</t>
  </si>
  <si>
    <t>0069DM0459</t>
  </si>
  <si>
    <t>0069DM0460</t>
  </si>
  <si>
    <t>0069DM0461</t>
  </si>
  <si>
    <t>0069DM0462</t>
  </si>
  <si>
    <t>CENTRO EDUCATIVO DE NIVEL SECUNDARIO Nº462 "SARA LILIEDAL"</t>
  </si>
  <si>
    <t>0069DM0463</t>
  </si>
  <si>
    <t>0069DM0464</t>
  </si>
  <si>
    <t>0069DM0465</t>
  </si>
  <si>
    <t>0069DM0466</t>
  </si>
  <si>
    <t>0069DM0467</t>
  </si>
  <si>
    <t>CENTRO EDUCATIVO DE NIVEL SECUNDARIO Nº467 "LUCIANO ARRUGA"</t>
  </si>
  <si>
    <t>0069DM0468</t>
  </si>
  <si>
    <t>0069DM0469</t>
  </si>
  <si>
    <t>0069DM0470</t>
  </si>
  <si>
    <t>CENTRO EDUCATIVO DE NIVEL SECUNDARIO Nº470</t>
  </si>
  <si>
    <t>0069DM0471</t>
  </si>
  <si>
    <t>CENTRO EDUCATIVO DE NIVEL SECUNDARIO Nº471</t>
  </si>
  <si>
    <t>0069DM0472</t>
  </si>
  <si>
    <t>CENTRO EDUCATIVO DE NIVEL SECUNDARIO Nº472</t>
  </si>
  <si>
    <t>0069DM0473</t>
  </si>
  <si>
    <t>CENTRO EDUCATIVO DE NIVEL SECUNDARIO Nº473</t>
  </si>
  <si>
    <t>0069DM0474</t>
  </si>
  <si>
    <t>CENTRO EDUCATIVO DE NIVEL SECUNDARIO Nº474</t>
  </si>
  <si>
    <t>0069DM0475</t>
  </si>
  <si>
    <t>CENTRO EDUCATIVO DE NIVEL SECUNDARIO Nº475</t>
  </si>
  <si>
    <t>0069DM0476</t>
  </si>
  <si>
    <t>CENTRO EDUCATIVO DE NIVEL SECUNDARIO Nº476</t>
  </si>
  <si>
    <t>0069DM0477</t>
  </si>
  <si>
    <t>CENTRO EDUCATIVO DE NIVEL SECUNDARIO Nº477</t>
  </si>
  <si>
    <t>0069DM0478</t>
  </si>
  <si>
    <t>CENTRO EDUCATIVO DE NIVEL SECUNDARIO Nº478</t>
  </si>
  <si>
    <t>0069DM0479</t>
  </si>
  <si>
    <t>CENTRO EDUCATIVO DE NIVEL SECUNDARIO Nº479</t>
  </si>
  <si>
    <t>0069DM0480</t>
  </si>
  <si>
    <t>CENTRO EDUCATIVO DE NIVEL SECUNDARIO Nº480</t>
  </si>
  <si>
    <t>0069DM0481</t>
  </si>
  <si>
    <t>CENTRO EDUCATIVO DE NIVEL SECUNDARIO Nº481</t>
  </si>
  <si>
    <t>0069DM0482</t>
  </si>
  <si>
    <t>CENTRO EDUCATIVO DE NIVEL SECUNDARIO Nº482</t>
  </si>
  <si>
    <t>0069DM0483</t>
  </si>
  <si>
    <t>CENTRO EDUCATIVO DE NIVEL SECUNDARIO Nº483</t>
  </si>
  <si>
    <t>0069DM0484</t>
  </si>
  <si>
    <t>CENTRO EDUCATIVO DE NIVEL SECUNDARIO Nº484</t>
  </si>
  <si>
    <t>0069DM0485</t>
  </si>
  <si>
    <t>CENTRO EDUCATIVO DE NIVEL SECUNDARIO Nº485 "CLAUDIA FALCONE"</t>
  </si>
  <si>
    <t>0069DM0486</t>
  </si>
  <si>
    <t>CENTRO EDUCATIVO DE NIVEL SECUNDARIO Nº486</t>
  </si>
  <si>
    <t>0069DM0487</t>
  </si>
  <si>
    <t>CENTRO EDUCATIVO DE NIVEL SECUNDARIO Nº487</t>
  </si>
  <si>
    <t>0069DM0488</t>
  </si>
  <si>
    <t>CENTRO EDUCATIVO DE NIVEL SECUNDARIO Nº488</t>
  </si>
  <si>
    <t>0069DM0489</t>
  </si>
  <si>
    <t>CENTRO EDUCATIVO DE NIVEL SECUNDARIO Nº489</t>
  </si>
  <si>
    <t>0069DM0490</t>
  </si>
  <si>
    <t>CENTRO EDUCATIVO DE NIVEL SECUNDARIO Nº490</t>
  </si>
  <si>
    <t>0069DM0491</t>
  </si>
  <si>
    <t>CENTRO EDUCATIVO DE NIVEL SECUNDARIO Nº491</t>
  </si>
  <si>
    <t>0069DM0492</t>
  </si>
  <si>
    <t>CENTRO EDUCATIVO DE NIVEL SECUNDARIO N°492</t>
  </si>
  <si>
    <t>0069DM0493</t>
  </si>
  <si>
    <t>CENTRO EDUCATIVO DE NIVEL SECUNDARIO N°493</t>
  </si>
  <si>
    <t>0069DM0494</t>
  </si>
  <si>
    <t>CENTRO EDUCATIVO DE NIVEL SECUNDARIO N°494 "ROBERTO PETTINATO"</t>
  </si>
  <si>
    <t>0069DM0495</t>
  </si>
  <si>
    <t>CENTRO EDUCATIVO DE NIVEL SECUNDARIO N°495</t>
  </si>
  <si>
    <t>0069DM0496</t>
  </si>
  <si>
    <t>CENTRO EDUCATIVO DE NIVEL SECUNDARIO Nº496</t>
  </si>
  <si>
    <t>0069DM0497</t>
  </si>
  <si>
    <t>CENTRO EDUCATIVO DE NIVEL SECUNDARIO Nº497</t>
  </si>
  <si>
    <t>0069DM2602</t>
  </si>
  <si>
    <t>CENTRO EDUCATIVO NIVEL SECUNDARIO Nº460 - EXTENSIÓN Nº3</t>
  </si>
  <si>
    <t>0069DM3521</t>
  </si>
  <si>
    <t>CENTRO EDUCATIVO NIVEL SECUNDARIO N°452 - ANEXO I</t>
  </si>
  <si>
    <t>0069DM3522</t>
  </si>
  <si>
    <t>CENTRO EDUCATIVO NIVEL SECUNDARIO N°452 - ANEXO II</t>
  </si>
  <si>
    <t>0069DS0004</t>
  </si>
  <si>
    <t>C.E.B.A.S. Nº 4 "IRMA LACIAR"</t>
  </si>
  <si>
    <t>4069MS4467</t>
  </si>
  <si>
    <t>INSTITUTO SARMIENTO</t>
  </si>
  <si>
    <t>Mercedes</t>
  </si>
  <si>
    <t>0070DC0704</t>
  </si>
  <si>
    <t>0070DE0702</t>
  </si>
  <si>
    <t>0070DC0705</t>
  </si>
  <si>
    <t>0070DC0706</t>
  </si>
  <si>
    <t>0070DE0701</t>
  </si>
  <si>
    <t>ESCUELA DE ADULTOS Nº701 "GENERAL JOSÉ DE SAN MARTÍN"</t>
  </si>
  <si>
    <t>ESCUELA DE EDUCACIÓN DE ADULTOS Nº702</t>
  </si>
  <si>
    <t>0070DM0451</t>
  </si>
  <si>
    <t>CENTRO EDUCATIVO DE NIVEL SECUNDARIO Nº451 "PROF. JUAN A. CANGELOSI"</t>
  </si>
  <si>
    <t>0070DM0452</t>
  </si>
  <si>
    <t>0070DM0453</t>
  </si>
  <si>
    <t>071</t>
  </si>
  <si>
    <t>Merlo</t>
  </si>
  <si>
    <t>08</t>
  </si>
  <si>
    <t>0071DA0089</t>
  </si>
  <si>
    <t>CENTRO DE ALFABETIZACION Nº799/89- 4 DE MAYO</t>
  </si>
  <si>
    <t>0071DA0099</t>
  </si>
  <si>
    <t>CENTRO DE ALFABETIZACION Nº799/99</t>
  </si>
  <si>
    <t>0071DA0101</t>
  </si>
  <si>
    <t>CENTRO DE ALFABETIZACION Nº799/101</t>
  </si>
  <si>
    <t>0071DA0104</t>
  </si>
  <si>
    <t>CENTRO DE ALFABETIZACION Nº799/104</t>
  </si>
  <si>
    <t>0071DA0105</t>
  </si>
  <si>
    <t>CENTRO DE ALFABETIZACION Nº799/105 (PARROQUIA SAN JOSE)</t>
  </si>
  <si>
    <t>0071DA0107</t>
  </si>
  <si>
    <t>CENTRO DE ALFABETIZACIÓN Nº799/107 (PARROQUIA SAN JOSE)</t>
  </si>
  <si>
    <t>0071DC0705</t>
  </si>
  <si>
    <t>0071DE0701</t>
  </si>
  <si>
    <t>0071DC0707</t>
  </si>
  <si>
    <t>0071DE0709</t>
  </si>
  <si>
    <t>CENTRO DE ADULTOS Nº707/09</t>
  </si>
  <si>
    <t>0071DC0708</t>
  </si>
  <si>
    <t>0071DE0712</t>
  </si>
  <si>
    <t>CENTRO DE ADULTOS Nº708/12</t>
  </si>
  <si>
    <t>0071DC0710</t>
  </si>
  <si>
    <t>0071DE0702</t>
  </si>
  <si>
    <t>0071DC0711</t>
  </si>
  <si>
    <t>0071DE0703</t>
  </si>
  <si>
    <t>0071DC0713</t>
  </si>
  <si>
    <t>0071DC0714</t>
  </si>
  <si>
    <t>0071DC0715</t>
  </si>
  <si>
    <t>0071DC0720</t>
  </si>
  <si>
    <t>0071DE0718</t>
  </si>
  <si>
    <t>CENTRO DE ADULTOS Nº720/18</t>
  </si>
  <si>
    <t>0071DC0721</t>
  </si>
  <si>
    <t>CENTRO DE ADULTOS Nº721/18</t>
  </si>
  <si>
    <t>ESCUELA DE ADULTOS Nº701 "JOSÉ HERNANDEZ"</t>
  </si>
  <si>
    <t>ESCUELA DE ADULTOS Nº702 "PUEBLOS ORIGINARIOS"</t>
  </si>
  <si>
    <t>0071DE0704</t>
  </si>
  <si>
    <t>ESCUELA DE ADULTOS Nº704 "CEFERINO NAMUNCURA"</t>
  </si>
  <si>
    <t>ESCUELA DE ADULTOS Nº709 "RIO NEGRO"</t>
  </si>
  <si>
    <t>ESCUELA DE ADULTOS Nº712</t>
  </si>
  <si>
    <t>0071DE0716</t>
  </si>
  <si>
    <t>0071DE0717</t>
  </si>
  <si>
    <t>ESCUELA DE ADULTOS Nº718 "VETERANOS DE MALVINAS"</t>
  </si>
  <si>
    <t>0071DE0719</t>
  </si>
  <si>
    <t>ESCUELA DE ADULTOS Nº719</t>
  </si>
  <si>
    <t>0071DE0722</t>
  </si>
  <si>
    <t>ESCUELA DE EDUCACIÓN PRIMARIA DE ADULTOS N°722</t>
  </si>
  <si>
    <t>0071DE0723</t>
  </si>
  <si>
    <t>ESCUELA DE EDUCACIÓN PRIMARIA DE ADULTOS N°723</t>
  </si>
  <si>
    <t>0071DM0451</t>
  </si>
  <si>
    <t>0071DM0452</t>
  </si>
  <si>
    <t>0071DM0453</t>
  </si>
  <si>
    <t>0071DM0454</t>
  </si>
  <si>
    <t>0071DM0455</t>
  </si>
  <si>
    <t>0071DM0456</t>
  </si>
  <si>
    <t>0071DM0457</t>
  </si>
  <si>
    <t>0071DM0458</t>
  </si>
  <si>
    <t>0071DM0459</t>
  </si>
  <si>
    <t>0071DM0460</t>
  </si>
  <si>
    <t>0071DM0461</t>
  </si>
  <si>
    <t>0071DM0462</t>
  </si>
  <si>
    <t>0071DM0463</t>
  </si>
  <si>
    <t>0071DM0464</t>
  </si>
  <si>
    <t>0071DM0465</t>
  </si>
  <si>
    <t>0071DM0466</t>
  </si>
  <si>
    <t>0071DM0467</t>
  </si>
  <si>
    <t>0071DM0468</t>
  </si>
  <si>
    <t>0071DM0469</t>
  </si>
  <si>
    <t>CENTRO EDUCATIVO DE NIVEL SECUNDARIO N°469</t>
  </si>
  <si>
    <t>0071DS0029</t>
  </si>
  <si>
    <t>C.E.B.A.S. Nº29</t>
  </si>
  <si>
    <t>072</t>
  </si>
  <si>
    <t>Monte</t>
  </si>
  <si>
    <t>0072DC0702</t>
  </si>
  <si>
    <t>CENTRO DE ADULTOS Nº702 "MARIANO MORENO"</t>
  </si>
  <si>
    <t>0072DE0701</t>
  </si>
  <si>
    <t>ESCUELA DE EDUCACIÓN DE ADULTOS Nº701 "ANTÁRTIDA ARGENTINA"</t>
  </si>
  <si>
    <t>0072DM0451</t>
  </si>
  <si>
    <t>CENTRO EDUCATIVO DE NIVEL SECUNDARIO Nº 451 "MARTA GIULIANO"</t>
  </si>
  <si>
    <t>073</t>
  </si>
  <si>
    <t>Moreno</t>
  </si>
  <si>
    <t>09</t>
  </si>
  <si>
    <t>0073DA0110</t>
  </si>
  <si>
    <t>CENTRO DE ALFABETIZACION Nº110</t>
  </si>
  <si>
    <t>0073DA0112</t>
  </si>
  <si>
    <t>CENTRO DE ALFABETIZACION Nº112 "CAPILLA BEATO JUAN DIEGO"</t>
  </si>
  <si>
    <t>0073DA0114</t>
  </si>
  <si>
    <t>CENTRO DE ALFABETIZACION Nº114</t>
  </si>
  <si>
    <t>0073DA0128</t>
  </si>
  <si>
    <t>PARROQUIA NTRA. SRA. DE LOURDES</t>
  </si>
  <si>
    <t>0073DC0705</t>
  </si>
  <si>
    <t>0073DE0701</t>
  </si>
  <si>
    <t>0073DC0706</t>
  </si>
  <si>
    <t>0073DE0704</t>
  </si>
  <si>
    <t>0073DC0707</t>
  </si>
  <si>
    <t>0073DE0702</t>
  </si>
  <si>
    <t>0073DC0708</t>
  </si>
  <si>
    <t>0073DC0709</t>
  </si>
  <si>
    <t>0073DC0710</t>
  </si>
  <si>
    <t>0073DE0703</t>
  </si>
  <si>
    <t>0073DC0711</t>
  </si>
  <si>
    <t>0073DC0713</t>
  </si>
  <si>
    <t>CENTRO DE ADULTOS Nº713</t>
  </si>
  <si>
    <t>0073DC0714</t>
  </si>
  <si>
    <t>CENTRO DE ADULTOS Nº714/01</t>
  </si>
  <si>
    <t>0073DC0715</t>
  </si>
  <si>
    <t>CENTRO DE ADULTOS Nº715/01</t>
  </si>
  <si>
    <t>0073DC0716</t>
  </si>
  <si>
    <t>0073DC0717</t>
  </si>
  <si>
    <t>CENTRO DE ADULTOS Nº717/04</t>
  </si>
  <si>
    <t>0073DC0719</t>
  </si>
  <si>
    <t>CENTRO DE ADULTOS Nº719/01</t>
  </si>
  <si>
    <t>0073DC0720</t>
  </si>
  <si>
    <t>CENTRO DE ADULTOS Nº720/03</t>
  </si>
  <si>
    <t>0073DC0721</t>
  </si>
  <si>
    <t>ESCUELA DE ADULTOS Nº701 "AERONAUTICA ARGENTINA"</t>
  </si>
  <si>
    <t>ESCUELA DE ADULTOS Nº702 "RIO DE LA PLATA"</t>
  </si>
  <si>
    <t>0073DE0718</t>
  </si>
  <si>
    <t>ESCUELA DE EDUCACIÓN PRIMARIA DE ADULTOS Nº 718 "FRANCISCO ISAURO ARANCIBIA"</t>
  </si>
  <si>
    <t>0073DM0451</t>
  </si>
  <si>
    <t>0073DM0452</t>
  </si>
  <si>
    <t>0073DM0453</t>
  </si>
  <si>
    <t>CENTRO EDUCATIVO DE NIVEL SECUNDARIO Nº453 "ERNESTO CHE GUEVARA"</t>
  </si>
  <si>
    <t>0073DM0454</t>
  </si>
  <si>
    <t>CENTRO EDUCATIVO NIVEL SECUNDARIO Nº454 "REPÚBLICA ARGENTINA"</t>
  </si>
  <si>
    <t>0073DM0455</t>
  </si>
  <si>
    <t>CENTRO EDUCATIVO DE NIVEL SECUNDARIO PARA ADULTOS Nº455</t>
  </si>
  <si>
    <t>0073DM0456</t>
  </si>
  <si>
    <t>0073DM0457</t>
  </si>
  <si>
    <t>0073DM0458</t>
  </si>
  <si>
    <t>0073DM0459</t>
  </si>
  <si>
    <t>0073DM0460</t>
  </si>
  <si>
    <t>0073DM0461</t>
  </si>
  <si>
    <t>CENTRO EDUCATIVO DE NIVEL SECUNDARIO Nº461 "HÉROES Y HEROÍNAS DE MALVINAS"</t>
  </si>
  <si>
    <t>0073DM0462</t>
  </si>
  <si>
    <t>0073DM0463</t>
  </si>
  <si>
    <t>0073DM0464</t>
  </si>
  <si>
    <t>0073DM0465</t>
  </si>
  <si>
    <t>CENTRO EDUCATIVO DE NIVEL SECUNDARIO N°465</t>
  </si>
  <si>
    <t>0073DM2540</t>
  </si>
  <si>
    <t>CENTRO EDUCATIVO DE NIVEL SECUNDARIO Nº454 - EXTENSIÓN I</t>
  </si>
  <si>
    <t>074</t>
  </si>
  <si>
    <t>Navarro</t>
  </si>
  <si>
    <t>0074DC0701</t>
  </si>
  <si>
    <t>0074DM0451</t>
  </si>
  <si>
    <t>075</t>
  </si>
  <si>
    <t>Necochea</t>
  </si>
  <si>
    <t>0075DC0705</t>
  </si>
  <si>
    <t>0075DE0703</t>
  </si>
  <si>
    <t>CENTRO DE ADULTOS Nº705/03</t>
  </si>
  <si>
    <t>0075DC0706</t>
  </si>
  <si>
    <t>0075DE0701</t>
  </si>
  <si>
    <t>0075DC0707</t>
  </si>
  <si>
    <t>0075DE0702</t>
  </si>
  <si>
    <t>0075DC0708</t>
  </si>
  <si>
    <t>0075DC0709</t>
  </si>
  <si>
    <t>0075DC0710</t>
  </si>
  <si>
    <t>CENTRO DE EDUCACION DE ADULTOS Nº710 "EVA PERÓN"</t>
  </si>
  <si>
    <t>0075DC0711</t>
  </si>
  <si>
    <t>ESCUELA DE EDUCACIÓN DE ADULTOS Nº701 "REPÚBLICA DEL PERÚ"</t>
  </si>
  <si>
    <t>ESCUELA DE ADULTOS Nº702 "RENE FAVOLORO"</t>
  </si>
  <si>
    <t>ESCUELA PRIMARIA DE ADULTOS Nº703 "FLORENCIO MOLINA CAMPOS"</t>
  </si>
  <si>
    <t>0075DM0451</t>
  </si>
  <si>
    <t>CENTRO EDUCATIVO NIVEL SECUNDARIO Nº451 "EDUCACIÓN Y DESARROLLO"</t>
  </si>
  <si>
    <t>0075DM0452</t>
  </si>
  <si>
    <t>0075DM0453</t>
  </si>
  <si>
    <t>0075DM0454</t>
  </si>
  <si>
    <t>076</t>
  </si>
  <si>
    <t>9 de Julio</t>
  </si>
  <si>
    <t>0076DC0702</t>
  </si>
  <si>
    <t>0076DC0703</t>
  </si>
  <si>
    <t>0076DC0704</t>
  </si>
  <si>
    <t>0076DE0701</t>
  </si>
  <si>
    <t>0076DC0706</t>
  </si>
  <si>
    <t>0076DC0707</t>
  </si>
  <si>
    <t>0076DC0708</t>
  </si>
  <si>
    <t>0076DM0451</t>
  </si>
  <si>
    <t>CENTRO EDUCATIVO DE NIVEL SECUNDARIO Nº451 “PAULO FREIRE”</t>
  </si>
  <si>
    <t>0076DM0452</t>
  </si>
  <si>
    <t>0076DS0019</t>
  </si>
  <si>
    <t>C.E.B.A.S. Nº19</t>
  </si>
  <si>
    <t>Olavarría</t>
  </si>
  <si>
    <t>0077DC0704</t>
  </si>
  <si>
    <t>0077DE0702</t>
  </si>
  <si>
    <t>CENTRO DE EDUCACIÓN DE ADULTOS Nº704/02</t>
  </si>
  <si>
    <t>0077DC0705</t>
  </si>
  <si>
    <t>0077DC0707</t>
  </si>
  <si>
    <t>CENTRO DE EDUCACIÓN DE ADULTOS Nº707</t>
  </si>
  <si>
    <t>0077DC0708</t>
  </si>
  <si>
    <t>0077DE0715</t>
  </si>
  <si>
    <t>CENTRO DE EDUCACIÓN DE ADULTOS Nº708</t>
  </si>
  <si>
    <t>0077DC0716</t>
  </si>
  <si>
    <t>CENTRO DE EDUCACIÓN DE ADULTOS Nº716/15</t>
  </si>
  <si>
    <t>0077DC0717</t>
  </si>
  <si>
    <t>CENTRO DE EDUCACIÓN DE ADULTOS Nº717/15</t>
  </si>
  <si>
    <t>0077DE0701</t>
  </si>
  <si>
    <t>ESCUELA DE ADULTOS Nº701 "MADRE TERESA DE CALCUTA"</t>
  </si>
  <si>
    <t>ESCUELA PRIMARIA DE ADULTOS Nº702 "AMÉRICA"</t>
  </si>
  <si>
    <t>0077DE0703</t>
  </si>
  <si>
    <t>ESCUELA PRIMARIA DE ADULTOS Nº703 "VICENTE LÓPEZ Y PLANES"</t>
  </si>
  <si>
    <t>ESCUELA PRIMARIA DE ADULTOS Nº715 "PAULO FREIRE"</t>
  </si>
  <si>
    <t>0077DM0451</t>
  </si>
  <si>
    <t>CENTRO EDUCATIVO NIVEL SECUNDARIO Nº 451 "HÉROES DE MALVINAS"</t>
  </si>
  <si>
    <t>0077DM0452</t>
  </si>
  <si>
    <t>0077DM0453</t>
  </si>
  <si>
    <t>0077DM0454</t>
  </si>
  <si>
    <t>0077DM0455</t>
  </si>
  <si>
    <t>078</t>
  </si>
  <si>
    <t>Patagones</t>
  </si>
  <si>
    <t>0078DC0702</t>
  </si>
  <si>
    <t>0078DE0701</t>
  </si>
  <si>
    <t>0078DC0703</t>
  </si>
  <si>
    <t>0078DC0704</t>
  </si>
  <si>
    <t>0078DC0707</t>
  </si>
  <si>
    <t>0078DE0709</t>
  </si>
  <si>
    <t>0078DC0708</t>
  </si>
  <si>
    <t>CENTRO DE ADULTOS Nº708/09</t>
  </si>
  <si>
    <t>0078DC0710</t>
  </si>
  <si>
    <t>0078DE0705</t>
  </si>
  <si>
    <t>ESCUELA DE EDUCACIÓN PRIMARIA DE ADULTOS N°705</t>
  </si>
  <si>
    <t>ESCUELA DE EDUCACIÓN PRIMARIA DE ADULTOS Nº 709</t>
  </si>
  <si>
    <t>0078DM0451</t>
  </si>
  <si>
    <t>0078DM0452</t>
  </si>
  <si>
    <t>079</t>
  </si>
  <si>
    <t>Pehuajó</t>
  </si>
  <si>
    <t>0079DC0702</t>
  </si>
  <si>
    <t>CENTRO DE ADULTOS Nº702 "CELEDONIO CORONEL"</t>
  </si>
  <si>
    <t>0079DC0704</t>
  </si>
  <si>
    <t>0079DE0701</t>
  </si>
  <si>
    <t>0079DC0705</t>
  </si>
  <si>
    <t>0079DC0706</t>
  </si>
  <si>
    <t>0079DC0708</t>
  </si>
  <si>
    <t>CENTRO DE ADULTOS Nº708 "MARÍA VERA"</t>
  </si>
  <si>
    <t>0079DC0709</t>
  </si>
  <si>
    <t>CENTRO DE ADULTOS Nº709</t>
  </si>
  <si>
    <t>0079DC0710</t>
  </si>
  <si>
    <t>CENTRO DE ADULTOS Nº710 "MANUEL BELGRANO"</t>
  </si>
  <si>
    <t>ESCUELA DE ADULTOS Nº701 "ROSARIO VERA PEÑALOZA"</t>
  </si>
  <si>
    <t>0079DE0702</t>
  </si>
  <si>
    <t>ESCUELA DE EDUCACIÓN PRIMARIA DE ADULTOS Nº702</t>
  </si>
  <si>
    <t>0079DM0451</t>
  </si>
  <si>
    <t>0079DM0452</t>
  </si>
  <si>
    <t>080</t>
  </si>
  <si>
    <t>Pellegrini</t>
  </si>
  <si>
    <t>0080DE0701</t>
  </si>
  <si>
    <t>ESCUELA DE ADULTOS Nº701 "BERNARDINO RIVADAVIA"</t>
  </si>
  <si>
    <t>0080DM0451</t>
  </si>
  <si>
    <t>CENTRO EDUCATIVO NIVEL SECUNDARIO PARA ADULTOS N° 451</t>
  </si>
  <si>
    <t>081</t>
  </si>
  <si>
    <t>Pergamino</t>
  </si>
  <si>
    <t>0081DC0703</t>
  </si>
  <si>
    <t>0081DE0701</t>
  </si>
  <si>
    <t>0081DC0704</t>
  </si>
  <si>
    <t>0081DC0707</t>
  </si>
  <si>
    <t>0081DC0708</t>
  </si>
  <si>
    <t>0081DE0702</t>
  </si>
  <si>
    <t>0081DC0709</t>
  </si>
  <si>
    <t>0081DC0711</t>
  </si>
  <si>
    <t>ESCUELA DE ADULTOS Nº701 "JUAN MARTÍN DE PUEYRREDON"</t>
  </si>
  <si>
    <t>ESCUELA DE ADULTOS Nº702 "DR. RENÉ GERÓNIMO FAVALORO"</t>
  </si>
  <si>
    <t>0081DM0451</t>
  </si>
  <si>
    <t>0081DM0452</t>
  </si>
  <si>
    <t>0081DM0453</t>
  </si>
  <si>
    <t>0081DM0454</t>
  </si>
  <si>
    <t>082</t>
  </si>
  <si>
    <t>Pila</t>
  </si>
  <si>
    <t>0082DC0701</t>
  </si>
  <si>
    <t>0082DM0451</t>
  </si>
  <si>
    <t>083</t>
  </si>
  <si>
    <t>Pilar</t>
  </si>
  <si>
    <t>0083DC0702</t>
  </si>
  <si>
    <t>0083DE0701</t>
  </si>
  <si>
    <t>0083DC0704</t>
  </si>
  <si>
    <t>0083DC0706</t>
  </si>
  <si>
    <t>0083DC0707</t>
  </si>
  <si>
    <t>0083DC0709</t>
  </si>
  <si>
    <t>CENTRO DE ADULTOS Nº709/01</t>
  </si>
  <si>
    <t>0083DE0703</t>
  </si>
  <si>
    <t>0083DE0705</t>
  </si>
  <si>
    <t>LAS MARGARITAS</t>
  </si>
  <si>
    <t>0083DM0451</t>
  </si>
  <si>
    <t>0083DM0452</t>
  </si>
  <si>
    <t>CENTRO EDUCATIVO DE NIVEL SECUNDARIO Nº452 "RENÉ FAVALORO"</t>
  </si>
  <si>
    <t>0083DM0453</t>
  </si>
  <si>
    <t>CENTRO EDUCATIVO DE NIVEL SECUNDARIO Nº453 "DOMINGO FAUSTINO SARMIENTO"</t>
  </si>
  <si>
    <t>0083DM0454</t>
  </si>
  <si>
    <t>0083DM0455</t>
  </si>
  <si>
    <t>0083DM0456</t>
  </si>
  <si>
    <t>CENTRO EDUCATIVO DE NIVEL SECUNDARIO N°456</t>
  </si>
  <si>
    <t>0083DM0457</t>
  </si>
  <si>
    <t>CENTRO EDUCATIVO DE NIVEL SECUNDARIO N°457 "PRESIDENTE RAÚL RICARDO ALFONSÍN"</t>
  </si>
  <si>
    <t>0083DM0458</t>
  </si>
  <si>
    <t>CENTRO EDUCATIVO DE NIVEL SECUNDARIO N°458</t>
  </si>
  <si>
    <t>NUESTRA SEÑORA DEL PILAR</t>
  </si>
  <si>
    <t>4083MS7646</t>
  </si>
  <si>
    <t>INSTITUTO DE PROMOCIÓN EDUCATIVA DEL ADULTO</t>
  </si>
  <si>
    <t>Puan</t>
  </si>
  <si>
    <t>0084DC0701</t>
  </si>
  <si>
    <t>0084DC0702</t>
  </si>
  <si>
    <t>0084DM0451</t>
  </si>
  <si>
    <t>0084DM0452</t>
  </si>
  <si>
    <t>085</t>
  </si>
  <si>
    <t>Quilmes</t>
  </si>
  <si>
    <t>0085DA0152</t>
  </si>
  <si>
    <t>CENTRO DE ALFABETIZACIÓN N°152 SOCIEDAD DE FOMENTO PEDRO NEGRUSSI</t>
  </si>
  <si>
    <t>0085DC0709</t>
  </si>
  <si>
    <t>0085DE0725</t>
  </si>
  <si>
    <t>CENTRO DE ADULTOS Nº709/25</t>
  </si>
  <si>
    <t>0085DC0710</t>
  </si>
  <si>
    <t>CENTRO DE ADULTOS Nº710/25</t>
  </si>
  <si>
    <t>0085DC0711</t>
  </si>
  <si>
    <t>0085DE0707</t>
  </si>
  <si>
    <t>CENTRO DE ADULTOS Nº711/07</t>
  </si>
  <si>
    <t>0085DC0712</t>
  </si>
  <si>
    <t>0085DE0702</t>
  </si>
  <si>
    <t>0085DC0713</t>
  </si>
  <si>
    <t>0085DE0703</t>
  </si>
  <si>
    <t>0085DC0714</t>
  </si>
  <si>
    <t>CENTRO DE ADULTOS Nº714/07</t>
  </si>
  <si>
    <t>0085DC0716</t>
  </si>
  <si>
    <t>0085DE0701</t>
  </si>
  <si>
    <t>CENTRO DE ADULTOS Nº716/01</t>
  </si>
  <si>
    <t>0085DC0717</t>
  </si>
  <si>
    <t>0085DE0704</t>
  </si>
  <si>
    <t>0085DC0718</t>
  </si>
  <si>
    <t>CENTRO DE ADULTOS Nº718/03</t>
  </si>
  <si>
    <t>0085DC0719</t>
  </si>
  <si>
    <t>0085DC0720</t>
  </si>
  <si>
    <t>0085DE0705</t>
  </si>
  <si>
    <t>0085DC0721</t>
  </si>
  <si>
    <t>0085DE0706</t>
  </si>
  <si>
    <t>0085DC0722</t>
  </si>
  <si>
    <t>0085DE0708</t>
  </si>
  <si>
    <t>CENTRO DE ADULTOS Nº722/08</t>
  </si>
  <si>
    <t>0085DC0723</t>
  </si>
  <si>
    <t>0085DC0724</t>
  </si>
  <si>
    <t>CENTRO DE ADULTOS Nº724/07</t>
  </si>
  <si>
    <t>0085DC0726</t>
  </si>
  <si>
    <t>0085DE0715</t>
  </si>
  <si>
    <t>CENTRO DE ADULTOS Nº726/15</t>
  </si>
  <si>
    <t>0085DC0727</t>
  </si>
  <si>
    <t>CENTRO DE ADULTOS Nº727/02</t>
  </si>
  <si>
    <t>0085DC0728</t>
  </si>
  <si>
    <t>CENTRO DE ADULTOS Nº728/25</t>
  </si>
  <si>
    <t>0085DC0729</t>
  </si>
  <si>
    <t>CENTRO DE ADULTOS Nº729/08</t>
  </si>
  <si>
    <t>0085DC0730</t>
  </si>
  <si>
    <t>CENTRO DE ADULTOS Nº730/08</t>
  </si>
  <si>
    <t>0085DC0731</t>
  </si>
  <si>
    <t>CENTRO DE ADULTOS Nº731/04</t>
  </si>
  <si>
    <t>ESCUELA DE ADULTOS Nº701 "BERNARDO DE O'HIGGINS"</t>
  </si>
  <si>
    <t>ESCUELA DE ADULTOS Nº702 "JULIETA LANTERI"</t>
  </si>
  <si>
    <t>ESCUELA DE ADULTOS Nº703 "SANTOS VEGA"</t>
  </si>
  <si>
    <t>ESCUELA DE ADULTOS Nº706 "PABLO ANTONIO PIZZURNO"</t>
  </si>
  <si>
    <t>ESCUELA DE ADULTOS Nº707 "EVARISTO IGLESIAS"</t>
  </si>
  <si>
    <t>ESCUELA DE ADULTOS Nº708 "JOSE TEDESCHI"</t>
  </si>
  <si>
    <t>ESCUELA DE ADULTOS Nº715</t>
  </si>
  <si>
    <t>ESCUELA DE ADULTOS Nº725 "EVA DUARTE"</t>
  </si>
  <si>
    <t>0085DM0451</t>
  </si>
  <si>
    <t>0085DM0452</t>
  </si>
  <si>
    <t>0085DM0453</t>
  </si>
  <si>
    <t>0085DM0454</t>
  </si>
  <si>
    <t>0085DM0455</t>
  </si>
  <si>
    <t>CENTRO EDUCATIVO DE NIVEL SECUNDARIO Nº455</t>
  </si>
  <si>
    <t>0085DM0456</t>
  </si>
  <si>
    <t>0085DM0457</t>
  </si>
  <si>
    <t>0085DM0458</t>
  </si>
  <si>
    <t>CENTRO EDUCATIVO DE NIVEL SECUNDARIO Nº458 "MARIELA MUÑOZ"</t>
  </si>
  <si>
    <t>4085MM7427</t>
  </si>
  <si>
    <t>INSTITUTO DR. MARIANO MORENO</t>
  </si>
  <si>
    <t>086</t>
  </si>
  <si>
    <t>Ramallo</t>
  </si>
  <si>
    <t>0086DC0702</t>
  </si>
  <si>
    <t>0086DC0703</t>
  </si>
  <si>
    <t>0086DE0701</t>
  </si>
  <si>
    <t>0086DC0705</t>
  </si>
  <si>
    <t>0086DC0706</t>
  </si>
  <si>
    <t>0086DC0707</t>
  </si>
  <si>
    <t>0086DM0451</t>
  </si>
  <si>
    <t>CENTRO EDUCATIVO DE NIVEL SECUNDARIO Nº451  "RENÉ GERÓNIMO FAVALORO"</t>
  </si>
  <si>
    <t>0086DM0452</t>
  </si>
  <si>
    <t>087</t>
  </si>
  <si>
    <t>Rauch</t>
  </si>
  <si>
    <t>0087DC0701</t>
  </si>
  <si>
    <t>0087DC0702</t>
  </si>
  <si>
    <t>0087DM0451</t>
  </si>
  <si>
    <t>088</t>
  </si>
  <si>
    <t>Rivadavia</t>
  </si>
  <si>
    <t>0088DC0702</t>
  </si>
  <si>
    <t>0088DE0701</t>
  </si>
  <si>
    <t>ESCUELA DE ADULTOS Nº701 "JOAQUÍN VICTOR GONZALEZ"</t>
  </si>
  <si>
    <t>0088DM0451</t>
  </si>
  <si>
    <t>089</t>
  </si>
  <si>
    <t>Rojas</t>
  </si>
  <si>
    <t>0089DC0701</t>
  </si>
  <si>
    <t>CENTRO DE ADULTOS Nº701 "JOAQUIN V. GONZALEZ"</t>
  </si>
  <si>
    <t>0089DC0702</t>
  </si>
  <si>
    <t>CENTRO DE EDUCACIÓN DE ADULTOS Nº702</t>
  </si>
  <si>
    <t>0089DC0705</t>
  </si>
  <si>
    <t>0089DM0451</t>
  </si>
  <si>
    <t>090</t>
  </si>
  <si>
    <t>Roque Pérez</t>
  </si>
  <si>
    <t>0090DE0701</t>
  </si>
  <si>
    <t>ESCUELA DE ADULTOS Nº701 "MARIA DE VELAZCO"</t>
  </si>
  <si>
    <t>0090DM0451</t>
  </si>
  <si>
    <t>091</t>
  </si>
  <si>
    <t>Saavedra</t>
  </si>
  <si>
    <t>0091DC0701</t>
  </si>
  <si>
    <t>CENTRO DE ADULTOS Nº701 "MIGUEL CANE"</t>
  </si>
  <si>
    <t>0091DE0702</t>
  </si>
  <si>
    <t>ESCUELA DE ADULTOS Nº702 "PAULO FREIRE"</t>
  </si>
  <si>
    <t>0091DE0703</t>
  </si>
  <si>
    <t>ESCUELA DE ADULTOS Nº703 "ALAS DE LIBERTAD"</t>
  </si>
  <si>
    <t>0091DM0451</t>
  </si>
  <si>
    <t>CENTRO EDUCATIVO DE NIVEL SECUNDARIO Nº451 "GENERAL JOSÉ DE SAN MARTÍN"</t>
  </si>
  <si>
    <t>0091DM0452</t>
  </si>
  <si>
    <t>092</t>
  </si>
  <si>
    <t>Saladillo</t>
  </si>
  <si>
    <t>0092DE0701</t>
  </si>
  <si>
    <t>0092DM0451</t>
  </si>
  <si>
    <t>093</t>
  </si>
  <si>
    <t>San Andrés de Giles</t>
  </si>
  <si>
    <t>0093DC0703</t>
  </si>
  <si>
    <t>0093DE0702</t>
  </si>
  <si>
    <t>0093DC0704</t>
  </si>
  <si>
    <t>0093DM0451</t>
  </si>
  <si>
    <t>CUCULLU</t>
  </si>
  <si>
    <t>094</t>
  </si>
  <si>
    <t>San Antonio de Areco</t>
  </si>
  <si>
    <t>0094DC0701</t>
  </si>
  <si>
    <t>0094DC0702</t>
  </si>
  <si>
    <t>0094DM0451</t>
  </si>
  <si>
    <t>0094DS0047</t>
  </si>
  <si>
    <t>C.E.B.A.S. Nº47</t>
  </si>
  <si>
    <t>095</t>
  </si>
  <si>
    <t>San Fernando</t>
  </si>
  <si>
    <t>0095DA0007</t>
  </si>
  <si>
    <t>CENTRO DE ALFABETIZACION Nº7</t>
  </si>
  <si>
    <t>0095DC0704</t>
  </si>
  <si>
    <t>0095DE0701</t>
  </si>
  <si>
    <t>0095DC0706</t>
  </si>
  <si>
    <t>0095DE0702</t>
  </si>
  <si>
    <t>0095DC0707</t>
  </si>
  <si>
    <t>CENTRO DE ADULTOS Nº707/04</t>
  </si>
  <si>
    <t>0095DC0709</t>
  </si>
  <si>
    <t>0095DE0703</t>
  </si>
  <si>
    <t>CENTRO DE ADULTOS Nº709/03</t>
  </si>
  <si>
    <t>0095DC0710</t>
  </si>
  <si>
    <t>0095DC0711</t>
  </si>
  <si>
    <t>0095DC0712</t>
  </si>
  <si>
    <t>0095DE0708</t>
  </si>
  <si>
    <t>CENTRO DE ADULTOS Nº712/08</t>
  </si>
  <si>
    <t>ESCUELA DE ADULTOS Nº702 "JUANA AZURDUY"</t>
  </si>
  <si>
    <t>ESCUELA DE ADULTOS Nº703 "ALFEREZ JOSÉ MARIA SOBRAL"</t>
  </si>
  <si>
    <t>ESCUELA DE ADULTOS Nº708 "PAULA ALBARRACIN"</t>
  </si>
  <si>
    <t>0095DM0451</t>
  </si>
  <si>
    <t>0095DM0452</t>
  </si>
  <si>
    <t>0095DM0453</t>
  </si>
  <si>
    <t>096</t>
  </si>
  <si>
    <t>San Isidro</t>
  </si>
  <si>
    <t>0096DA0005</t>
  </si>
  <si>
    <t>CENTRO DE ALFABETIZACIÓN Nº5</t>
  </si>
  <si>
    <t>0096DA0009</t>
  </si>
  <si>
    <t>CENTRO DE ALFABETIZACION Nº9</t>
  </si>
  <si>
    <t>0096DA0032</t>
  </si>
  <si>
    <t>CENTRO DE ALFABETIZACION Nº32</t>
  </si>
  <si>
    <t>0096DA0036</t>
  </si>
  <si>
    <t>CENTRO DE ALFABETIZACION Nº36</t>
  </si>
  <si>
    <t>0096DC0704</t>
  </si>
  <si>
    <t>0096DE0702</t>
  </si>
  <si>
    <t>0096DC0706</t>
  </si>
  <si>
    <t>0096DE0703</t>
  </si>
  <si>
    <t>CENTRO DE ADULTOS Nº706/03</t>
  </si>
  <si>
    <t>0096DC0707</t>
  </si>
  <si>
    <t>0096DE0701</t>
  </si>
  <si>
    <t>0096DC0708</t>
  </si>
  <si>
    <t>0096DC0709</t>
  </si>
  <si>
    <t>0096DC0710</t>
  </si>
  <si>
    <t>0096DC0712</t>
  </si>
  <si>
    <t>0096DC0713</t>
  </si>
  <si>
    <t>ESCUELA DE ADULTOS Nº701 "PEDRO BONIFACIO PALACIOS"</t>
  </si>
  <si>
    <t>ESCUELA DE ADULTOS Nº703 "VICTORIA OCAMPO"</t>
  </si>
  <si>
    <t>0096DE0714</t>
  </si>
  <si>
    <t>ESCUELA PRIMARIA DE ADULTOS Nº 714 "HÉROES DE MALVINAS"</t>
  </si>
  <si>
    <t>0096DM0451</t>
  </si>
  <si>
    <t>CENTRO EDUCATIVO NIVEL SECUNDARIO Nº451 "DR. RENÉ FAVALORO"</t>
  </si>
  <si>
    <t>0096DM0452</t>
  </si>
  <si>
    <t>CENTRO EDUCATIVO NIVEL SECUNDARIO Nº452 "DR. RAÚL RICARDO ALFONSÍN"</t>
  </si>
  <si>
    <t>0096DM0453</t>
  </si>
  <si>
    <t>CENTRO EDUCATIVO NIVEL SECUNDARIO Nº453 "VICTORIA OCAMPO"</t>
  </si>
  <si>
    <t>0096DM0456</t>
  </si>
  <si>
    <t>0096DM0457</t>
  </si>
  <si>
    <t>0096DM0458</t>
  </si>
  <si>
    <t>4096MM6002</t>
  </si>
  <si>
    <t>ESCUELA DE EDUCACIÓN MEDIA PARA ADULTOS SANTA MARÍA DEL CAMINO</t>
  </si>
  <si>
    <t>4096MM7646</t>
  </si>
  <si>
    <t>INSTITUTO DE PROMOCION EDUCATIVA DEL ADULTO</t>
  </si>
  <si>
    <t>CEFERINO NAMUNCURA</t>
  </si>
  <si>
    <t>097</t>
  </si>
  <si>
    <t>San Nicolás</t>
  </si>
  <si>
    <t>0097DC0705</t>
  </si>
  <si>
    <t>0097DE0703</t>
  </si>
  <si>
    <t>0097DC0706</t>
  </si>
  <si>
    <t>0097DE0723</t>
  </si>
  <si>
    <t>0097DC0707</t>
  </si>
  <si>
    <t>0097DE0714</t>
  </si>
  <si>
    <t>CENTRO DE ADULTOS Nº707/14</t>
  </si>
  <si>
    <t>0097DC0708</t>
  </si>
  <si>
    <t>CENTRO DE ADULTOS Nº708/14</t>
  </si>
  <si>
    <t>0097DC0709</t>
  </si>
  <si>
    <t>0097DC0710</t>
  </si>
  <si>
    <t>0097DE0702</t>
  </si>
  <si>
    <t>0097DC0711</t>
  </si>
  <si>
    <t>0097DE0704</t>
  </si>
  <si>
    <t>0097DC0712</t>
  </si>
  <si>
    <t>0097DC0713</t>
  </si>
  <si>
    <t>0097DC0715</t>
  </si>
  <si>
    <t>CENTRO DE ADULTOS Nº715/23</t>
  </si>
  <si>
    <t>0097DC0716</t>
  </si>
  <si>
    <t>0097DC0717</t>
  </si>
  <si>
    <t>0097DC0720</t>
  </si>
  <si>
    <t>CENTRO DE ADULTOS Nº720/23</t>
  </si>
  <si>
    <t>0097DC0721</t>
  </si>
  <si>
    <t>0097DC0722</t>
  </si>
  <si>
    <t>CENTRO DE ADULTOS Nº722/02</t>
  </si>
  <si>
    <t>0097DE0701</t>
  </si>
  <si>
    <t>ESCUELA DE ADULTOS Nº701 "PAULO FREIRE"</t>
  </si>
  <si>
    <t>ESCUELA DE EDUCACIÓN DE ADULTOS Nº 702 "SOLDADO RICARDO OMAR MERAVIGLIA"</t>
  </si>
  <si>
    <t>ESCUELA DE ADULTOS Nº703 "BEATRIZ AÑAÑOS"</t>
  </si>
  <si>
    <t>ESCUELA DE ADULTOS Nº704 "JUANA M. COURETOT DE GÜELLA"</t>
  </si>
  <si>
    <t>ESCUELA DE ADULTOS Nº714 "COMBATE DE SAN LORENZO"</t>
  </si>
  <si>
    <t>ESCUELA DE ADULTOS Nº723 "HEROES DE MALVINAS"</t>
  </si>
  <si>
    <t>0097DM0451</t>
  </si>
  <si>
    <t>CENTRO EDUCATIVO DE NIVEL SECUNDARIO Nº451 "NUESTRA SEÑORA DE LUJÁN"</t>
  </si>
  <si>
    <t>0097DM0452</t>
  </si>
  <si>
    <t>0097DM0453</t>
  </si>
  <si>
    <t>0097DM0454</t>
  </si>
  <si>
    <t>0097DM0455</t>
  </si>
  <si>
    <t>0097DM0456</t>
  </si>
  <si>
    <t>0097DM0457</t>
  </si>
  <si>
    <t>0097DM2550</t>
  </si>
  <si>
    <t>CENTRO EDUCATIVO DE NIVEL SECUNDARIO Nº455 - EXTENSIÓN I</t>
  </si>
  <si>
    <t>CLUB BELGRANO</t>
  </si>
  <si>
    <t>098</t>
  </si>
  <si>
    <t>San Pedro</t>
  </si>
  <si>
    <t>0098DC0702</t>
  </si>
  <si>
    <t>0098DC0703</t>
  </si>
  <si>
    <t>0098DC0704</t>
  </si>
  <si>
    <t>0098DC0705</t>
  </si>
  <si>
    <t>0098DE0701</t>
  </si>
  <si>
    <t>0098DC0706</t>
  </si>
  <si>
    <t>0098DC0707</t>
  </si>
  <si>
    <t>0098DC0709</t>
  </si>
  <si>
    <t>0098DC0710</t>
  </si>
  <si>
    <t>CENTRO DE ADULTOS Nº710</t>
  </si>
  <si>
    <t>ESCUELA DE ADULTOS Nº701 "MANUEL ALBERTI"</t>
  </si>
  <si>
    <t>0098DM0451</t>
  </si>
  <si>
    <t>0098DM0452</t>
  </si>
  <si>
    <t>099</t>
  </si>
  <si>
    <t>San Vicente</t>
  </si>
  <si>
    <t>0099DC0702</t>
  </si>
  <si>
    <t>0099DE0701</t>
  </si>
  <si>
    <t>0099DC0703</t>
  </si>
  <si>
    <t>0099DC0704</t>
  </si>
  <si>
    <t>ESCUELA DE ADULTOS Nº701 "GABRIELA MISTRAL"</t>
  </si>
  <si>
    <t>0099DM0451</t>
  </si>
  <si>
    <t>0099DM0452</t>
  </si>
  <si>
    <t>CENTRO EDUCATIVO DE NIVEL SECUNDARIO Nº452 "BOMBEROS VOLUNTARIOS ARGENTINOS"</t>
  </si>
  <si>
    <t>0099DM0453</t>
  </si>
  <si>
    <t>Morón</t>
  </si>
  <si>
    <t>0100DC0706</t>
  </si>
  <si>
    <t>0100DE0703</t>
  </si>
  <si>
    <t>0100DC0707</t>
  </si>
  <si>
    <t>0100DE0701</t>
  </si>
  <si>
    <t>0100DC0708</t>
  </si>
  <si>
    <t>0100DE0702</t>
  </si>
  <si>
    <t>0100DC0709</t>
  </si>
  <si>
    <t>0100DC0710</t>
  </si>
  <si>
    <t>0100DE0704</t>
  </si>
  <si>
    <t>CENTRO DE ADULTOS Nº710/04</t>
  </si>
  <si>
    <t>0100DC0711</t>
  </si>
  <si>
    <t>0100DC0712</t>
  </si>
  <si>
    <t>0100DC0714</t>
  </si>
  <si>
    <t>0100DC0715</t>
  </si>
  <si>
    <t>CENTRO DE ADULTOS Nº715 "CRISTO REY"</t>
  </si>
  <si>
    <t>0100DC0716</t>
  </si>
  <si>
    <t>CENTRO DE ADULTOS Nº716/03</t>
  </si>
  <si>
    <t>ESCUELA DE ADULTOS Nº701 "COMODORO PEDRO ZANNI"</t>
  </si>
  <si>
    <t>ESCUELA DE ADULTOS Nº703 "FLORENTINO AMEGHINO"</t>
  </si>
  <si>
    <t>ESCUELA DE ADULTOS Nº704 "VICENTA CASTRO CAMBON"</t>
  </si>
  <si>
    <t>0100DE0705</t>
  </si>
  <si>
    <t>0100DM0451</t>
  </si>
  <si>
    <t>0100DM0452</t>
  </si>
  <si>
    <t>0100DM0453</t>
  </si>
  <si>
    <t>0100DM0454</t>
  </si>
  <si>
    <t>0100DM0455</t>
  </si>
  <si>
    <t>CENTRO EDUCATIVO NIVEL SECUNDARIO Nº455 "LA CANTÁBRICA"</t>
  </si>
  <si>
    <t>0100DM0456</t>
  </si>
  <si>
    <t>0100DM0457</t>
  </si>
  <si>
    <t>0100DM0458</t>
  </si>
  <si>
    <t>0100DM0459</t>
  </si>
  <si>
    <t>0100DM0460</t>
  </si>
  <si>
    <t>0100DM0461</t>
  </si>
  <si>
    <t>0100DM0462</t>
  </si>
  <si>
    <t>CENTRO EDUCATIVO DE NIVEL SECUNDARIO N°462</t>
  </si>
  <si>
    <t>0100DM0463</t>
  </si>
  <si>
    <t>0100DM0464</t>
  </si>
  <si>
    <t>0100DS0028</t>
  </si>
  <si>
    <t>C.E.B.A.S. Nº28</t>
  </si>
  <si>
    <t>COLEGIO WARD</t>
  </si>
  <si>
    <t>4100MM4736</t>
  </si>
  <si>
    <t>4100MM4787</t>
  </si>
  <si>
    <t>INSTITUTO COLEGIO GRANADEROS</t>
  </si>
  <si>
    <t>Suipacha</t>
  </si>
  <si>
    <t>0101DC0701</t>
  </si>
  <si>
    <t>0101DC0702</t>
  </si>
  <si>
    <t>CENTRO DE ADULTOS Nº702 "DR. ANTONIO BARONI"</t>
  </si>
  <si>
    <t>0101DM0451</t>
  </si>
  <si>
    <t>Tandil</t>
  </si>
  <si>
    <t>0102DC0703</t>
  </si>
  <si>
    <t>0102DE0701</t>
  </si>
  <si>
    <t>0102DC0706</t>
  </si>
  <si>
    <t>0102DE0702</t>
  </si>
  <si>
    <t>0102DC0707</t>
  </si>
  <si>
    <t>0102DC0708</t>
  </si>
  <si>
    <t>0102DC0709</t>
  </si>
  <si>
    <t>0102DE0704</t>
  </si>
  <si>
    <t>0102DC0710</t>
  </si>
  <si>
    <t>0102DC0713</t>
  </si>
  <si>
    <t>0102DC0714</t>
  </si>
  <si>
    <t>CENTRO DE ADULTOS Nº714</t>
  </si>
  <si>
    <t>ESCUELA DE ADULTOS Nº701 "MAESTRO PAULO FREIRE"</t>
  </si>
  <si>
    <t>0102DE0705</t>
  </si>
  <si>
    <t>ESCUELA DE EDUCACIÓN PRIMARIA  DE ADULTOS Nº705</t>
  </si>
  <si>
    <t>0102DM0451</t>
  </si>
  <si>
    <t>0102DM0452</t>
  </si>
  <si>
    <t>0102DM0453</t>
  </si>
  <si>
    <t>0102DM0454</t>
  </si>
  <si>
    <t>0102DM0455</t>
  </si>
  <si>
    <t>0102DM0456</t>
  </si>
  <si>
    <t>0102DM0457</t>
  </si>
  <si>
    <t>GARDEY</t>
  </si>
  <si>
    <t>ARCO IRIS</t>
  </si>
  <si>
    <t>Tapalqué</t>
  </si>
  <si>
    <t>0103DE0701</t>
  </si>
  <si>
    <t>ESCUELA DE ADULTOS Nº701 "CANTON TAPALQUE"</t>
  </si>
  <si>
    <t>0103DM0451</t>
  </si>
  <si>
    <t>104</t>
  </si>
  <si>
    <t>Tordillo</t>
  </si>
  <si>
    <t>0104DC0701</t>
  </si>
  <si>
    <t>0104DM0451</t>
  </si>
  <si>
    <t>Tornquist</t>
  </si>
  <si>
    <t>0105DC0701</t>
  </si>
  <si>
    <t>CENTRO DE ADULTOS Nº701 "FRAGATA SARMIENTO"</t>
  </si>
  <si>
    <t>0105DM0451</t>
  </si>
  <si>
    <t>Trenque Lauquen</t>
  </si>
  <si>
    <t>0106DC0702</t>
  </si>
  <si>
    <t>0106DE0701</t>
  </si>
  <si>
    <t>0106DC0703</t>
  </si>
  <si>
    <t>0106DC0704</t>
  </si>
  <si>
    <t>0106DC0705</t>
  </si>
  <si>
    <t>0106DC0706</t>
  </si>
  <si>
    <t>0106DC0707</t>
  </si>
  <si>
    <t>ESCUELA DE ADULTOS Nº701 "LUCIA J. B. PASTOR"</t>
  </si>
  <si>
    <t>0106DM0451</t>
  </si>
  <si>
    <t>CENTRO EDUCATIVO NIVEL SECUNDARIO PARA ADULTOS Nº451</t>
  </si>
  <si>
    <t>0106DM0452</t>
  </si>
  <si>
    <t>0106DM0453</t>
  </si>
  <si>
    <t>0106DM0454</t>
  </si>
  <si>
    <t>CENTRO EDUCATIVO DE NIVEL SECUNDARIO Nº454 "GENERALA JUANA AZURDUY"</t>
  </si>
  <si>
    <t>0106DM0455</t>
  </si>
  <si>
    <t>CENTRO EDUCATIVO DE NIVEL SECUNDARIO N° 455 "ERNESTO SÁBATO"</t>
  </si>
  <si>
    <t>LAS VIOLETAS</t>
  </si>
  <si>
    <t>Tres Arroyos</t>
  </si>
  <si>
    <t>0107DC0702</t>
  </si>
  <si>
    <t>0107DE0701</t>
  </si>
  <si>
    <t>0107DC0704</t>
  </si>
  <si>
    <t>0107DC0705</t>
  </si>
  <si>
    <t>0107DM0451</t>
  </si>
  <si>
    <t>25 de Mayo</t>
  </si>
  <si>
    <t>0108DC0702</t>
  </si>
  <si>
    <t>CENTRO DE ADULTOS Nº702 "ISLAS MALVINAS"</t>
  </si>
  <si>
    <t>0108DC0703</t>
  </si>
  <si>
    <t>0108DE0701</t>
  </si>
  <si>
    <t>0108DC0705</t>
  </si>
  <si>
    <t>0108DC0706</t>
  </si>
  <si>
    <t>0108DC0707</t>
  </si>
  <si>
    <t>CENTRO DE ADULTOS Nº707 "RAFAEL OBLIGADO"</t>
  </si>
  <si>
    <t>ESCUELA DE ADULTOS Nº701 "MARTÍN FIERRO"</t>
  </si>
  <si>
    <t>0108DM0451</t>
  </si>
  <si>
    <t>LAS MERCEDES</t>
  </si>
  <si>
    <t>Vicente López</t>
  </si>
  <si>
    <t>0109DA0043</t>
  </si>
  <si>
    <t>CENTRO DE ALFABETIZACIÓN Nº 43</t>
  </si>
  <si>
    <t>0109DC0703</t>
  </si>
  <si>
    <t>0109DE0701</t>
  </si>
  <si>
    <t>0109DC0704</t>
  </si>
  <si>
    <t>0109DC0706</t>
  </si>
  <si>
    <t>0109DE0702</t>
  </si>
  <si>
    <t>0109DC0707</t>
  </si>
  <si>
    <t>0109DC0708</t>
  </si>
  <si>
    <t>0109DC0709</t>
  </si>
  <si>
    <t>ESCUELA DE ADULTOS Nº701 "JORGE NEWBERY"</t>
  </si>
  <si>
    <t>ESCUELA DE ADULTOS Nº702 "SAN JOSÉ DE CALASANZ"</t>
  </si>
  <si>
    <t>0109DM0451</t>
  </si>
  <si>
    <t>0109DM0452</t>
  </si>
  <si>
    <t>CENTRO EDUCATIVO DE NIVEL SECUNDARIO Nº452 "JORGE ALBERTO TAIANA"</t>
  </si>
  <si>
    <t>0109DM0454</t>
  </si>
  <si>
    <t>4109DM9236</t>
  </si>
  <si>
    <t>4109MM6278</t>
  </si>
  <si>
    <t>BACHILLERATO DE ADULTOS ESBA. FLORIDA</t>
  </si>
  <si>
    <t>VIRGEN DEL CARMEN</t>
  </si>
  <si>
    <t>Villarino</t>
  </si>
  <si>
    <t>0110DC0704</t>
  </si>
  <si>
    <t>CENTRO DE ADULTOS Nº704 "JUAN COUSTE"</t>
  </si>
  <si>
    <t>0110DC0706</t>
  </si>
  <si>
    <t>0110DE0702</t>
  </si>
  <si>
    <t>CENTRO DE ADULTOS Nº706 "AMELIA DEHENEN"</t>
  </si>
  <si>
    <t>0110DE0703</t>
  </si>
  <si>
    <t>ESCUELA DE ADULTOS Nº703 "COMANDANTE LUIS PIEDRABUENA"</t>
  </si>
  <si>
    <t>0110DM0451</t>
  </si>
  <si>
    <t>Lanús</t>
  </si>
  <si>
    <t>0111DC0709</t>
  </si>
  <si>
    <t>0111DE0701</t>
  </si>
  <si>
    <t>0111DC0711</t>
  </si>
  <si>
    <t>0111DE0710</t>
  </si>
  <si>
    <t>0111DC0713</t>
  </si>
  <si>
    <t>0111DE0707</t>
  </si>
  <si>
    <t>CENTRO DE ADULTOS Nº713/07</t>
  </si>
  <si>
    <t>0111DC0714</t>
  </si>
  <si>
    <t>0111DC0715</t>
  </si>
  <si>
    <t>0111DE0712</t>
  </si>
  <si>
    <t>CENTRO DE ADULTOS Nº715/12</t>
  </si>
  <si>
    <t>0111DC0716</t>
  </si>
  <si>
    <t>0111DE0703</t>
  </si>
  <si>
    <t>0111DC0718</t>
  </si>
  <si>
    <t>0111DE0705</t>
  </si>
  <si>
    <t>0111DC0719</t>
  </si>
  <si>
    <t>0111DE0706</t>
  </si>
  <si>
    <t>0111DC0721</t>
  </si>
  <si>
    <t>0111DE0702</t>
  </si>
  <si>
    <t>0111DC0722</t>
  </si>
  <si>
    <t>0111DC0723</t>
  </si>
  <si>
    <t>0111DE0704</t>
  </si>
  <si>
    <t>CENTRO DE ADULTOS Nº723/04</t>
  </si>
  <si>
    <t>0111DC0724</t>
  </si>
  <si>
    <t>0111DE0708</t>
  </si>
  <si>
    <t>0111DC0725</t>
  </si>
  <si>
    <t>CENTRO DE ADULTOS Nº725/08</t>
  </si>
  <si>
    <t>0111DC0726</t>
  </si>
  <si>
    <t>0111DC0727</t>
  </si>
  <si>
    <t>CENTRO DE ADULTOS Nº727/12</t>
  </si>
  <si>
    <t>0111DC0728</t>
  </si>
  <si>
    <t>CENTRO DE ADULTOS Nº728/12</t>
  </si>
  <si>
    <t>0111DC0729</t>
  </si>
  <si>
    <t>CENTRO DE ADULTOS Nº729/02 "CLUB IDEAL"</t>
  </si>
  <si>
    <t>0111DC0730</t>
  </si>
  <si>
    <t>CENTRO DE ADULTOS Nº730/05</t>
  </si>
  <si>
    <t>0111DC0731</t>
  </si>
  <si>
    <t>CENTRO DE ADULTOS Nº731/05</t>
  </si>
  <si>
    <t>ESCUELA DE ADULTOS Nº703 "COMBATE DE SAN LORENZO"</t>
  </si>
  <si>
    <t>ESCUELA DE ADULTOS Nº708 "BERNARDO DUGGAN"</t>
  </si>
  <si>
    <t>0111DM0451</t>
  </si>
  <si>
    <t>0111DM0452</t>
  </si>
  <si>
    <t>0111DM0453</t>
  </si>
  <si>
    <t>0111DM0454</t>
  </si>
  <si>
    <t>0111DM0455</t>
  </si>
  <si>
    <t>0111DM0456</t>
  </si>
  <si>
    <t>0111DM0457</t>
  </si>
  <si>
    <t>CENTRO EDUCATIVO DE NIVEL SECUNDARIO Nº457 "MARY SÁNCHEZ"</t>
  </si>
  <si>
    <t>0111DM0458</t>
  </si>
  <si>
    <t>0111DS0049</t>
  </si>
  <si>
    <t>C.E.B.A.S. Nº49</t>
  </si>
  <si>
    <t>INSTITUTO ELIM</t>
  </si>
  <si>
    <t>Coronel de Marina L. Rosales</t>
  </si>
  <si>
    <t>0112DC0702</t>
  </si>
  <si>
    <t>0112DE0701</t>
  </si>
  <si>
    <t>CENTRO DE EDUCACIÓN DE ADULTOS Nº702/01</t>
  </si>
  <si>
    <t>0112DC0703</t>
  </si>
  <si>
    <t>0112DC0704</t>
  </si>
  <si>
    <t>0112DC0705</t>
  </si>
  <si>
    <t>CENTRO DE EDUCACIÓN DE ADULTOS Nº 705/01</t>
  </si>
  <si>
    <t>0112DM0451</t>
  </si>
  <si>
    <t>0112DM0452</t>
  </si>
  <si>
    <t>0112DM0453</t>
  </si>
  <si>
    <t>CENTRO EDUCATIVO DE NIVEL SECUNDARIO Nº453 "CONSCRIPTO ANACLETO BERNARDI"</t>
  </si>
  <si>
    <t>0112DM0454</t>
  </si>
  <si>
    <t>Berisso</t>
  </si>
  <si>
    <t>BERISSO</t>
  </si>
  <si>
    <t>0113DC0704</t>
  </si>
  <si>
    <t>0113DE0701</t>
  </si>
  <si>
    <t>CENTRO DE EDUCACIÓN DE ADULTOS Nº704/01</t>
  </si>
  <si>
    <t>0113DC0706</t>
  </si>
  <si>
    <t>0113DC0707</t>
  </si>
  <si>
    <t>0113DE0703</t>
  </si>
  <si>
    <t>CENTRO DE ADULTOS Nº707/03 "MARTÍN MIGUEL DE GÜEMES"</t>
  </si>
  <si>
    <t>0113DC0708</t>
  </si>
  <si>
    <t>CENTRO DE ADULTOS Nº708/03 "DARDO ROCHA"</t>
  </si>
  <si>
    <t>0113DC0710</t>
  </si>
  <si>
    <t>0113DC0711</t>
  </si>
  <si>
    <t>CENTRO DE ADULTOS Nº711</t>
  </si>
  <si>
    <t>0113DC0712</t>
  </si>
  <si>
    <t>CENTRO DE ADULTOS Nº712</t>
  </si>
  <si>
    <t>ESCUELA DE ADULTOS Nº701 "MARRUECOS"</t>
  </si>
  <si>
    <t>ESCUELA DE ADULTOS Nº703 "JUAN BERISSO"</t>
  </si>
  <si>
    <t>0113DM0451</t>
  </si>
  <si>
    <t>0113DM0452</t>
  </si>
  <si>
    <t>0113DM0453</t>
  </si>
  <si>
    <t>0113DM2760</t>
  </si>
  <si>
    <t>CENTRO EDUCATIVO NIVEL SECUNDARIO N°476 EXTENSIÓN I - BERISSO</t>
  </si>
  <si>
    <t>VILLA SAN CARLOS</t>
  </si>
  <si>
    <t>Ensenada</t>
  </si>
  <si>
    <t>0114DC0703</t>
  </si>
  <si>
    <t>0114DC0704</t>
  </si>
  <si>
    <t>0114DC0707</t>
  </si>
  <si>
    <t>0114DE0701</t>
  </si>
  <si>
    <t>0114DC0708</t>
  </si>
  <si>
    <t>ESCUELA DE ADULTOS Nº701 "HIPOLITO BOUCHARD"</t>
  </si>
  <si>
    <t>0114DM0451</t>
  </si>
  <si>
    <t>0114DM0452</t>
  </si>
  <si>
    <t>0114DM0453</t>
  </si>
  <si>
    <t>San Cayetano</t>
  </si>
  <si>
    <t>0115DE0701</t>
  </si>
  <si>
    <t>ESCUELA DE EDUCACIÓN DE ADULTOS Nº701 "FRANCISCO P. MORENO"</t>
  </si>
  <si>
    <t>Escobar</t>
  </si>
  <si>
    <t>0116DC0703</t>
  </si>
  <si>
    <t>0116DE0707</t>
  </si>
  <si>
    <t>CENTRO DE ADULTOS Nº703/07</t>
  </si>
  <si>
    <t>0116DC0704</t>
  </si>
  <si>
    <t>0116DE0705</t>
  </si>
  <si>
    <t>0116DC0706</t>
  </si>
  <si>
    <t>0116DE0701</t>
  </si>
  <si>
    <t>0116DC0709</t>
  </si>
  <si>
    <t>0116DC0710</t>
  </si>
  <si>
    <t>CENTRO DE ADULTOS Nº710/07</t>
  </si>
  <si>
    <t>0116DC0711</t>
  </si>
  <si>
    <t>0116DE0708</t>
  </si>
  <si>
    <t>0116DC0712</t>
  </si>
  <si>
    <t>CENTRO DE ADULTOS Nº712/5</t>
  </si>
  <si>
    <t>0116DC0713</t>
  </si>
  <si>
    <t>CENTRO DE ADULTOS Nº713/1</t>
  </si>
  <si>
    <t>0116DE0702</t>
  </si>
  <si>
    <t>ESCUELA DE ADULTOS Nº702 "PEDRO B. PALACIO"</t>
  </si>
  <si>
    <t>0116DM0451</t>
  </si>
  <si>
    <t>0116DM0452</t>
  </si>
  <si>
    <t>0116DM0453</t>
  </si>
  <si>
    <t>0116DM0454</t>
  </si>
  <si>
    <t>0116DM0455</t>
  </si>
  <si>
    <t>0116DM0456</t>
  </si>
  <si>
    <t>C.E.B.A.S. Nº37</t>
  </si>
  <si>
    <t>Tres de Febrero</t>
  </si>
  <si>
    <t>0117DC0705</t>
  </si>
  <si>
    <t>0117DE0704</t>
  </si>
  <si>
    <t>CENTRO DE ADULTOS Nº705/04</t>
  </si>
  <si>
    <t>0117DC0707</t>
  </si>
  <si>
    <t>0117DE0701</t>
  </si>
  <si>
    <t>0117DC0708</t>
  </si>
  <si>
    <t>0117DC0709</t>
  </si>
  <si>
    <t>0117DE0703</t>
  </si>
  <si>
    <t>0117DC0710</t>
  </si>
  <si>
    <t>0117DC0712</t>
  </si>
  <si>
    <t>CENTRO DE ADULTOS Nº712/01</t>
  </si>
  <si>
    <t>0117DC0713</t>
  </si>
  <si>
    <t>0117DE0702</t>
  </si>
  <si>
    <t>ESCUELA DE ADULTOS Nº701 "CAP. DE FRAG. HECTOR R. RATTO"</t>
  </si>
  <si>
    <t>ESCUELA DE ADULTOS Nº703 "FELIPE PEREYRA DE LUCENA"</t>
  </si>
  <si>
    <t>0117DE0711</t>
  </si>
  <si>
    <t>0117DM0451</t>
  </si>
  <si>
    <t>CENTRO EDUCATIVO DE NIVEL SECUNDARIO Nº451 "HÉROES Y HEROÍNAS DE MALVINAS"</t>
  </si>
  <si>
    <t>0117DM0452</t>
  </si>
  <si>
    <t>0117DM0453</t>
  </si>
  <si>
    <t>0117DM0454</t>
  </si>
  <si>
    <t>CENTRO EDUCATIVO DE NIVEL SECUNDARIO Nº454 "CRUCE DE LOS ANDES"</t>
  </si>
  <si>
    <t>0117DM0455</t>
  </si>
  <si>
    <t>0117DM0456</t>
  </si>
  <si>
    <t>0117DM0457</t>
  </si>
  <si>
    <t>0117DM0458</t>
  </si>
  <si>
    <t>4117MS4923</t>
  </si>
  <si>
    <t>INSTITUTO SECUNDARIO MARTÍN CORONADO</t>
  </si>
  <si>
    <t>Hipólito Yrigoyen</t>
  </si>
  <si>
    <t>0118DE0701</t>
  </si>
  <si>
    <t>0118DM0451</t>
  </si>
  <si>
    <t>Berazategui</t>
  </si>
  <si>
    <t>0119DC0704</t>
  </si>
  <si>
    <t>0119DE0701</t>
  </si>
  <si>
    <t>CENTRO DE ADULTOS Nº704/01 "MIGUEL BENANCIO SÁNCHEZ"</t>
  </si>
  <si>
    <t>0119DC0705</t>
  </si>
  <si>
    <t>CENTRO DE ADULTOS Nº705/01 "BLANCA ORTÍZ DE MURUA"</t>
  </si>
  <si>
    <t>0119DC0708</t>
  </si>
  <si>
    <t>0119DE0703</t>
  </si>
  <si>
    <t>CENTRO DE ADULTOS Nº708/03 "JOSE"PEPE" BIONDI"</t>
  </si>
  <si>
    <t>0119DC0709</t>
  </si>
  <si>
    <t>0119DE0707</t>
  </si>
  <si>
    <t>CENTRO DE ADULTOS Nº709/07 "JORGE LUIS BORGES"</t>
  </si>
  <si>
    <t>0119DC0710</t>
  </si>
  <si>
    <t>0119DE0702</t>
  </si>
  <si>
    <t>CENTRO DE EDUCACIÓN DE ADULTOS Nº 710/02 "EVA DUARTE DE  PERÓN"</t>
  </si>
  <si>
    <t>0119DC0711</t>
  </si>
  <si>
    <t>CENTRO DE ADULTOS Nº711/07 "CESAR BUSTILLO"</t>
  </si>
  <si>
    <t>0119DC0712</t>
  </si>
  <si>
    <t>CENTRO DE ADULTOS Nº712/03 "ALFONSINA STORNI"</t>
  </si>
  <si>
    <t>0119DC0713</t>
  </si>
  <si>
    <t>CENTRO DE ADULTOS Nº713/03 "DR. RENÉ FAVALORO"</t>
  </si>
  <si>
    <t>0119DC0714</t>
  </si>
  <si>
    <t>0119DE0706</t>
  </si>
  <si>
    <t>CENTRO DE ADULTOS Nº714/06 "ERNESTO GUEVARA"</t>
  </si>
  <si>
    <t>0119DC0715</t>
  </si>
  <si>
    <t>CENTRO DE EDUCACIÓN DE ADULTOS Nº 715/07 "GREGORIO SERVENTI"</t>
  </si>
  <si>
    <t>0119DC0716</t>
  </si>
  <si>
    <t>0119DC0717</t>
  </si>
  <si>
    <t>CENTRO DE ADULTOS Nº717/06 "ROSARIO VERA PEÑALOZA"</t>
  </si>
  <si>
    <t>0119DC0718</t>
  </si>
  <si>
    <t>CENTRO DE ADULTOS Nº718/06 "MARTÍN MIGUEL DE GÜEMES"</t>
  </si>
  <si>
    <t>ESCUELA DE ADULTOS Nº701 "CORONEL DE MARINA TOMAS ESPORA"</t>
  </si>
  <si>
    <t>ESCUELA DE ADULTOS Nº702 "TRABAJADOR MARÍTIMO"</t>
  </si>
  <si>
    <t>ESCUELA DE ADULTOS Nº703 "MADRE TERESA DE CALCUTA"</t>
  </si>
  <si>
    <t>ESCUELA DE ADULTOS Nº706 "PAULO FREIRE"</t>
  </si>
  <si>
    <t>ESCUELA DE ADULTOS Nº707 (YFP) "JUAN MANTOVANI"</t>
  </si>
  <si>
    <t>0119DE0708</t>
  </si>
  <si>
    <t>ESCUELA DE EDUCACIÓN PRIMARIA DE ADULTOS N°708</t>
  </si>
  <si>
    <t>0119DM0451</t>
  </si>
  <si>
    <t>0119DM0452</t>
  </si>
  <si>
    <t>0119DM0453</t>
  </si>
  <si>
    <t>0119DM0454</t>
  </si>
  <si>
    <t>0119DM0455</t>
  </si>
  <si>
    <t>0119DM0456</t>
  </si>
  <si>
    <t>0119DM0457</t>
  </si>
  <si>
    <t>0119DM0458</t>
  </si>
  <si>
    <t>0119DM0460</t>
  </si>
  <si>
    <t>CENTRO EDUCATIVO NIVEL SECUNDARIO N°460</t>
  </si>
  <si>
    <t>0119DS0017</t>
  </si>
  <si>
    <t>C.E.B.A.S. Nº17</t>
  </si>
  <si>
    <t>Salliqueló</t>
  </si>
  <si>
    <t>0120DC0703</t>
  </si>
  <si>
    <t>0120DM0451</t>
  </si>
  <si>
    <t>Capitán Sarmiento</t>
  </si>
  <si>
    <t>0121DC0701</t>
  </si>
  <si>
    <t>0121DM0451</t>
  </si>
  <si>
    <t>La Costa</t>
  </si>
  <si>
    <t>0123DC0702</t>
  </si>
  <si>
    <t>0123DC0704</t>
  </si>
  <si>
    <t>0123DE0703</t>
  </si>
  <si>
    <t>CENTRO DE ADULTOS Nº704/03</t>
  </si>
  <si>
    <t>0123DC0705</t>
  </si>
  <si>
    <t>0123DC0706</t>
  </si>
  <si>
    <t>0123DE0701</t>
  </si>
  <si>
    <t>0123DC0707</t>
  </si>
  <si>
    <t>CENTRO DE ADULTOS Nº707/03</t>
  </si>
  <si>
    <t>0123DC0708</t>
  </si>
  <si>
    <t>ESCUELA DE ADULTOS Nº701 "REMEDIOS DE ESCALADA"</t>
  </si>
  <si>
    <t>ESCUELA DE ADULTOS Nº703 "MALVINAS ARGENTINAS"</t>
  </si>
  <si>
    <t>0123DM0451</t>
  </si>
  <si>
    <t>0123DM0452</t>
  </si>
  <si>
    <t>0123DM0453</t>
  </si>
  <si>
    <t>Pinamar</t>
  </si>
  <si>
    <t>0124DC0702</t>
  </si>
  <si>
    <t>0124DE0701</t>
  </si>
  <si>
    <t>0124DM0451</t>
  </si>
  <si>
    <t>0124DM0452</t>
  </si>
  <si>
    <t>CENTRO EDUCATIVO NIVEL SECUNDARIO PARA ADULTOS N°452</t>
  </si>
  <si>
    <t>Villa Gesell</t>
  </si>
  <si>
    <t>0125DC0702</t>
  </si>
  <si>
    <t>0125DE0701</t>
  </si>
  <si>
    <t>0125DC0703</t>
  </si>
  <si>
    <t>ESCUELA DE ADULTOS Nº701 "BENJAMIN ZUBIAURRE"</t>
  </si>
  <si>
    <t>0125DM0451</t>
  </si>
  <si>
    <t>Monte Hermoso</t>
  </si>
  <si>
    <t>0126DC0701</t>
  </si>
  <si>
    <t>CENTRO DE EDUCACION DE ADULTOS Nº701 "FLORENTINO AMEGHINO"</t>
  </si>
  <si>
    <t>0126DM0451</t>
  </si>
  <si>
    <t>Tres Lomas</t>
  </si>
  <si>
    <t>0127DC0701</t>
  </si>
  <si>
    <t>CENTRO DE ADULTOS Nº701 "VICENTE LOPEZ Y PLANES"</t>
  </si>
  <si>
    <t>0127DC0702</t>
  </si>
  <si>
    <t>0127DM0451</t>
  </si>
  <si>
    <t>Florentino Ameghino</t>
  </si>
  <si>
    <t>0128DC0701</t>
  </si>
  <si>
    <t>0128DC0702</t>
  </si>
  <si>
    <t>CENTRO DE ADULTOS Nº702 "LOHANA BERKINS"</t>
  </si>
  <si>
    <t>0128DM0451</t>
  </si>
  <si>
    <t>Presidente Perón</t>
  </si>
  <si>
    <t>0129DC0703</t>
  </si>
  <si>
    <t>0129DE0701</t>
  </si>
  <si>
    <t>0129DC0704</t>
  </si>
  <si>
    <t>0129DC0705</t>
  </si>
  <si>
    <t>0129DE0702</t>
  </si>
  <si>
    <t>CENTRO DE EDUCACIÓN DE ADULTOS Nº705/02</t>
  </si>
  <si>
    <t>ESCUELA DE ADULTOS Nº702 "MATHILDE DÍAZ VÉLEZ"</t>
  </si>
  <si>
    <t>0129DM0451</t>
  </si>
  <si>
    <t>0129DM0452</t>
  </si>
  <si>
    <t>CENTRO EDUCATIVO D ENIVEL SECUNDARIO Nº452</t>
  </si>
  <si>
    <t>Ezeiza</t>
  </si>
  <si>
    <t>0130DC0704</t>
  </si>
  <si>
    <t>0130DE0701</t>
  </si>
  <si>
    <t>0130DC0705</t>
  </si>
  <si>
    <t>0130DC0706</t>
  </si>
  <si>
    <t>0130DE0702</t>
  </si>
  <si>
    <t>0130DC0707</t>
  </si>
  <si>
    <t>0130DE0703</t>
  </si>
  <si>
    <t>0130DE0708</t>
  </si>
  <si>
    <t>0130DE0709</t>
  </si>
  <si>
    <t>ESCUELA DE EDUCACIÓN PRIMARIA DE ADULTOS N°709</t>
  </si>
  <si>
    <t>0130DM0451</t>
  </si>
  <si>
    <t>0130DM0452</t>
  </si>
  <si>
    <t>0130DM0453</t>
  </si>
  <si>
    <t>CENTRO EDUCATIVO D ENIVEL SECUNDARIO Nº453</t>
  </si>
  <si>
    <t>0130DM0454</t>
  </si>
  <si>
    <t>0130DM0455</t>
  </si>
  <si>
    <t>0130DM0456</t>
  </si>
  <si>
    <t>0130DM0457</t>
  </si>
  <si>
    <t>2130MM9001</t>
  </si>
  <si>
    <t>ESCUELA DE SUBOFICIALES “SUBDIRECTOR NACIONAL JUAN CARLOS GARCÍA BASALO”</t>
  </si>
  <si>
    <t>San Miguel</t>
  </si>
  <si>
    <t>0131DC0705</t>
  </si>
  <si>
    <t>0131DE0702</t>
  </si>
  <si>
    <t>0131DC0706</t>
  </si>
  <si>
    <t>0131DC0707</t>
  </si>
  <si>
    <t>0131DC0708</t>
  </si>
  <si>
    <t>0131DE0703</t>
  </si>
  <si>
    <t>CENTRO DE ADULTOS Nº708/3 "DR. JUAN MADERA"</t>
  </si>
  <si>
    <t>0131DC0709</t>
  </si>
  <si>
    <t>0131DE0704</t>
  </si>
  <si>
    <t>0131DC0710</t>
  </si>
  <si>
    <t>0131DE0701</t>
  </si>
  <si>
    <t>ESCUELA DE ADULTOS Nº701 "EDUARDO E FERREYRA"</t>
  </si>
  <si>
    <t>ESCUELA DE ADULTOS Nº702 "DR. ALBERT SCHWEITZER"</t>
  </si>
  <si>
    <t>ESCUELA DE ADULTOS Nº703 "DR. JUAN MADERA"</t>
  </si>
  <si>
    <t>ESCUELA DE ADULTOS Nº704 "EVA DUARTE DE PERON"</t>
  </si>
  <si>
    <t>0131DM0451</t>
  </si>
  <si>
    <t>0131DM0452</t>
  </si>
  <si>
    <t>CENTRO EDUCATIVO DE NIVEL SECUNDARIO Nº452 "PROFESOR DELFOR CANDIA MARC"</t>
  </si>
  <si>
    <t>0131DM0453</t>
  </si>
  <si>
    <t>CENTRO EDUCATIVO NIVEL SECUNDARIO Nº453 "RAFAEL OBLIGADO"</t>
  </si>
  <si>
    <t>0131DM0454</t>
  </si>
  <si>
    <t>0131DM0455</t>
  </si>
  <si>
    <t>CENTRO EDUCATIVO DE NIVEL SECUNDARIO Nº 455 "PUERTO ARGENTINO"</t>
  </si>
  <si>
    <t>0131DM0456</t>
  </si>
  <si>
    <t>José C. Paz</t>
  </si>
  <si>
    <t>0132DC0704</t>
  </si>
  <si>
    <t>0132DE0702</t>
  </si>
  <si>
    <t>0132DC0705</t>
  </si>
  <si>
    <t>0132DC0706</t>
  </si>
  <si>
    <t>0132DE0701</t>
  </si>
  <si>
    <t>ESCUELA DE ADULTOS Nº701 "FLORENTINO AMEGHINO"</t>
  </si>
  <si>
    <t>0132DE0703</t>
  </si>
  <si>
    <t>0132DM0451</t>
  </si>
  <si>
    <t>CENTRO EDUCATIVO DE NIVEL SECUNDARIO Nº 451 "MÓNICA LEMOS"</t>
  </si>
  <si>
    <t>0132DM0452</t>
  </si>
  <si>
    <t>0132DM0453</t>
  </si>
  <si>
    <t>0132DM0454</t>
  </si>
  <si>
    <t>0132DM0455</t>
  </si>
  <si>
    <t>CENTRO EDUCATIVO DE NIVEL SECUDNARIO Nº455</t>
  </si>
  <si>
    <t>0132DM0456</t>
  </si>
  <si>
    <t>0132DM0457</t>
  </si>
  <si>
    <t>0132DM0458</t>
  </si>
  <si>
    <t>0132DS0039</t>
  </si>
  <si>
    <t>C.E.B.A.S. Nº39</t>
  </si>
  <si>
    <t>SANTA MARTA</t>
  </si>
  <si>
    <t>Malvinas Argentinas</t>
  </si>
  <si>
    <t>0133DC0705</t>
  </si>
  <si>
    <t>0133DE0701</t>
  </si>
  <si>
    <t>0133DC0706</t>
  </si>
  <si>
    <t>0133DC0707</t>
  </si>
  <si>
    <t>0133DE0702</t>
  </si>
  <si>
    <t>0133DC0708</t>
  </si>
  <si>
    <t>0133DC0709</t>
  </si>
  <si>
    <t>0133DC0710</t>
  </si>
  <si>
    <t>0133DE0703</t>
  </si>
  <si>
    <t>0133DC0711</t>
  </si>
  <si>
    <t>0133DC0712</t>
  </si>
  <si>
    <t>0133DE0704</t>
  </si>
  <si>
    <t>0133DC0713</t>
  </si>
  <si>
    <t>CENTRO DE ADULTOS Nº713/04</t>
  </si>
  <si>
    <t>0133DC0714</t>
  </si>
  <si>
    <t>ESCUELA DE EDUCACIÓN DE ADULTOS Nº701 "PERITO F. MORENO"</t>
  </si>
  <si>
    <t>ESCUELA DE ADULTOS Nº704 "LOS GAUCHOS DE GÜEMES"</t>
  </si>
  <si>
    <t>0133DE0716</t>
  </si>
  <si>
    <t>0133DM0451</t>
  </si>
  <si>
    <t>0133DM0452</t>
  </si>
  <si>
    <t>0133DM0453</t>
  </si>
  <si>
    <t>0133DM0454</t>
  </si>
  <si>
    <t>0133DM0455</t>
  </si>
  <si>
    <t>0133DM0456</t>
  </si>
  <si>
    <t>Punta Indio</t>
  </si>
  <si>
    <t>0134DE0701</t>
  </si>
  <si>
    <t>0134DM0451</t>
  </si>
  <si>
    <t>Hurlingham</t>
  </si>
  <si>
    <t>0135DC0704</t>
  </si>
  <si>
    <t>0135DE0701</t>
  </si>
  <si>
    <t>0135DC0705</t>
  </si>
  <si>
    <t>0135DE0703</t>
  </si>
  <si>
    <t>CENTRO DE EDUCACIÓN DE ADULTOS Nº 705/03 "AVIADOR PABLO TEODORO FELS"</t>
  </si>
  <si>
    <t>0135DC0706</t>
  </si>
  <si>
    <t>0135DE0702</t>
  </si>
  <si>
    <t>0135DC0707</t>
  </si>
  <si>
    <t>0135DC0708</t>
  </si>
  <si>
    <t>0135DC0709</t>
  </si>
  <si>
    <t>0135DC0710</t>
  </si>
  <si>
    <t>ESCUELA DE EDUCACIÓN PRIMARIA DE ADULTOS Nº 703 "DR. RENÉ FAVALORO"</t>
  </si>
  <si>
    <t>0135DE0711</t>
  </si>
  <si>
    <t>0135DM0451</t>
  </si>
  <si>
    <t>CENTRO EDUCATIVO NIVEL SECUNDARIO Nº451 "MANUEL BELGRANO"</t>
  </si>
  <si>
    <t>0135DM0452</t>
  </si>
  <si>
    <t>0135DM0453</t>
  </si>
  <si>
    <t>0135DM0454</t>
  </si>
  <si>
    <t>CENTRO EDUCATIVO DE NIVEL SECUNDARIO Nº454 "8 DE SEPTIEMBRE"</t>
  </si>
  <si>
    <t>0135DM0455</t>
  </si>
  <si>
    <t>0135DM0456</t>
  </si>
  <si>
    <t>Ituzaingó</t>
  </si>
  <si>
    <t>0136DC0703</t>
  </si>
  <si>
    <t>0136DE0701</t>
  </si>
  <si>
    <t>0136DC0704</t>
  </si>
  <si>
    <t>0136DC0705</t>
  </si>
  <si>
    <t>CENTRO DE ADULTOS Nº705/O1</t>
  </si>
  <si>
    <t>ESCUELA DE ADULTOS Nº701 "JOSÉ JACINTO BERRUTT"</t>
  </si>
  <si>
    <t>0136DE0702</t>
  </si>
  <si>
    <t>ESCUELA DE ADULTOS Nº702 "RENE FAVALORO"</t>
  </si>
  <si>
    <t>0136DE0706</t>
  </si>
  <si>
    <t>0136DM0451</t>
  </si>
  <si>
    <t>0136DM0452</t>
  </si>
  <si>
    <t>CENTRO EDUCATIVO DE NIVEL SECUNDARIO Nº452 "AIMÉ PAINÉ"</t>
  </si>
  <si>
    <t>0136DM0453</t>
  </si>
  <si>
    <t>0136DM0454</t>
  </si>
  <si>
    <t>0136DM0455</t>
  </si>
  <si>
    <t>0136DM0456</t>
  </si>
  <si>
    <t>CENTRO EDUCATIVO DE NIVEL SECUNDARIO N° 456 "AGUSTÍN TOSCO"</t>
  </si>
  <si>
    <t>Lezama</t>
  </si>
  <si>
    <t>0137DC0701</t>
  </si>
  <si>
    <t>0137DM0451</t>
  </si>
  <si>
    <t>Universo</t>
  </si>
  <si>
    <t>No Oficial</t>
  </si>
  <si>
    <t>Prim. NO EPA</t>
  </si>
  <si>
    <t>Universo_Excl.</t>
  </si>
  <si>
    <t>EPA</t>
  </si>
  <si>
    <t>CENS</t>
  </si>
  <si>
    <t>CEBAS</t>
  </si>
  <si>
    <t>Tipo</t>
  </si>
  <si>
    <t>Un.Serv.</t>
  </si>
  <si>
    <t>Oferta</t>
  </si>
  <si>
    <t>Estrato_Oferta</t>
  </si>
  <si>
    <t>Estrato_GEO</t>
  </si>
  <si>
    <t>Estrato</t>
  </si>
  <si>
    <t>CEBAS_UNICO</t>
  </si>
  <si>
    <t>CENS_AMBA</t>
  </si>
  <si>
    <t>CENS_INTERIOR</t>
  </si>
  <si>
    <t>EPA_AMBA</t>
  </si>
  <si>
    <t>EPA_INTERIOR</t>
  </si>
  <si>
    <t>FINES_R01</t>
  </si>
  <si>
    <t>FINES_R02</t>
  </si>
  <si>
    <t>FINES_R03</t>
  </si>
  <si>
    <t>FINES_R04</t>
  </si>
  <si>
    <t>FINES_R05</t>
  </si>
  <si>
    <t>FINES_R06</t>
  </si>
  <si>
    <t>FINES_R07</t>
  </si>
  <si>
    <t>FINES_R08</t>
  </si>
  <si>
    <t>FINES_R09</t>
  </si>
  <si>
    <t>FINES_R10</t>
  </si>
  <si>
    <t>FINES_R11</t>
  </si>
  <si>
    <t>FINES_R12</t>
  </si>
  <si>
    <t>FINES_R13</t>
  </si>
  <si>
    <t>FINES_R14</t>
  </si>
  <si>
    <t>FINES_R18</t>
  </si>
  <si>
    <t>FINES_R19</t>
  </si>
  <si>
    <t>FINES_R20</t>
  </si>
  <si>
    <t>unidades</t>
  </si>
  <si>
    <t>matrícula</t>
  </si>
  <si>
    <t>secciones</t>
  </si>
  <si>
    <t>error_%</t>
  </si>
  <si>
    <t>tamaño muestra
(z=90%, p=50%, deff=2)</t>
  </si>
  <si>
    <t>secciones
(5 ExS)</t>
  </si>
  <si>
    <t>x Zona (2)</t>
  </si>
  <si>
    <t>Único</t>
  </si>
  <si>
    <t>FINES</t>
  </si>
  <si>
    <t>Total</t>
  </si>
  <si>
    <t>Unidades de Servicio</t>
  </si>
  <si>
    <t>Distrito</t>
  </si>
  <si>
    <t>Sede</t>
  </si>
  <si>
    <t>COMISIONES</t>
  </si>
  <si>
    <t>ESTUDIANTES</t>
  </si>
  <si>
    <t>AGRUPACIÓN MARÍA ROLDÁN</t>
  </si>
  <si>
    <t>C.Cultural y Polideportvo Papa Francisco S/N Berisso</t>
  </si>
  <si>
    <t>Casa Nuestra Patria</t>
  </si>
  <si>
    <t>CENTRO CULTURAL LA 163</t>
  </si>
  <si>
    <t>CIC Barrio Obrero</t>
  </si>
  <si>
    <t>Club El Carmen</t>
  </si>
  <si>
    <t>Club Villa Nueva</t>
  </si>
  <si>
    <t>Club Villa Paula s/n Berisso</t>
  </si>
  <si>
    <t>CLUB VILLA PROGRESO</t>
  </si>
  <si>
    <t>COMEDOR LOS PEQUES S/N Berisso</t>
  </si>
  <si>
    <t>Comedor Rayito de Luz</t>
  </si>
  <si>
    <t>Construyendo Futuro</t>
  </si>
  <si>
    <t>EES nº 4</t>
  </si>
  <si>
    <t>HEROINAS DE LA PATRIA</t>
  </si>
  <si>
    <t>ISAURO ARANCIBIA BSSO</t>
  </si>
  <si>
    <t>ISAURO ARANCIBIA BSSO S/N Berisso</t>
  </si>
  <si>
    <t>Pañol de Construcción MTE</t>
  </si>
  <si>
    <t>RAMÓN CARRILLO</t>
  </si>
  <si>
    <t>SUM DE LA COMUNIDAD</t>
  </si>
  <si>
    <t>UB La Justicialista</t>
  </si>
  <si>
    <t>Coronel Brandsen</t>
  </si>
  <si>
    <t>BIBLIOTECA POPULAR DR. FRUTOS ENRIQUE ORTIZ</t>
  </si>
  <si>
    <t>DELEGACION DE GOMEZ SIN NUMERO BRANDSEN GOMEZ</t>
  </si>
  <si>
    <t>ESCUELA PRIMARIA DE ADULTOS N° 701</t>
  </si>
  <si>
    <t>ESCUELA SECUNDARIA N° 11 S/N coronel brandsen LAS ACACIAS</t>
  </si>
  <si>
    <t>ESCUELA SECUNDARIA N° 6 SIN NUMERO CORONEL BRANDSEN LA Posada</t>
  </si>
  <si>
    <t>ESCUELA SECUNDARIA N°5 S/N CORONEL BRANDSEN OLIDEN</t>
  </si>
  <si>
    <t>EXTENSION DEL CENTRO EDUCATIVO 801</t>
  </si>
  <si>
    <t>PRIMARIA N° 18 S/N CORONEL BRANDSEN LA PARADA</t>
  </si>
  <si>
    <t>PRIMARIA N°8</t>
  </si>
  <si>
    <t>SOCIEDAD DE FOMENTO BARRIO LOS PINOS</t>
  </si>
  <si>
    <t>BARQUITOS DE PAPEL S/N ENSENADA PUNTA LARA</t>
  </si>
  <si>
    <t>CAMPING UTEP</t>
  </si>
  <si>
    <t>Capilla Jesus Misericordioso</t>
  </si>
  <si>
    <t>casa Alaye -Mosconi</t>
  </si>
  <si>
    <t>CASA SAN MARTIN</t>
  </si>
  <si>
    <t>CENTRO CULTURAL LO DE ANGELITA</t>
  </si>
  <si>
    <t>CENTRO CULTURAL NATO ANDREUCCI</t>
  </si>
  <si>
    <t>CENTRO DE FOMENTO Y BIBLIOTECA POPULAR MARIANO MOR</t>
  </si>
  <si>
    <t>Centro Político y Cultural "Lo de Angelita"</t>
  </si>
  <si>
    <t>CLUB ASTILLERO RIO SANTIAGO</t>
  </si>
  <si>
    <t>CLUB ATENEO JUVENIL</t>
  </si>
  <si>
    <t>CLUB DEFENSORES DE PUNTA LARA</t>
  </si>
  <si>
    <t>CLUB NACIONAL EVITA</t>
  </si>
  <si>
    <t>CLUB PROGRESO</t>
  </si>
  <si>
    <t>E.E.P.A N° 701</t>
  </si>
  <si>
    <t>SALÓN MUNICIPAL CENTRO</t>
  </si>
  <si>
    <t>SEDRONAR</t>
  </si>
  <si>
    <t>SINDICATO SUPEH</t>
  </si>
  <si>
    <t>ADELINA ALAYE</t>
  </si>
  <si>
    <t>AMET LA PLATA (SINDICATO AMET)</t>
  </si>
  <si>
    <t>AMET LA PLATA (SINDICATO AMET) 1048 La Plata La Plata</t>
  </si>
  <si>
    <t>ARGENTINA HUMANA 362 La Plata Tolosa</t>
  </si>
  <si>
    <t>ASOCIACION CIVIL LOS MIMOSOS DEL CENTINELA</t>
  </si>
  <si>
    <t>ASOCIACION CIVILES VOLUNTARIOS DE VILLA ELISA</t>
  </si>
  <si>
    <t>ASOCIACIÓN VECINAL LA BOYERA</t>
  </si>
  <si>
    <t>BACHILLERATO POPULAR LETRA LIBRE - ARROYITO OLMOS</t>
  </si>
  <si>
    <t>BACHILLERATO POPULAR LETRA LIBRE FUTURO</t>
  </si>
  <si>
    <t>BACHILLERATO POPULAR LETRA LIBRE HORNOS</t>
  </si>
  <si>
    <t>Base Malvinas S/N La Plata San Carlos</t>
  </si>
  <si>
    <t>BIBLIOTECA POPULAR ERNESTO GUEVARA</t>
  </si>
  <si>
    <t>CALLE 12 1331 LA PLATA CENTRO</t>
  </si>
  <si>
    <t>CARLON PEREYRA ROSSI (MOVIMIENTO EVITA)</t>
  </si>
  <si>
    <t>CARLON PEREYRA ROSSI (MOVIMIENTO EVITA) S/N La Plata Melchor Romero</t>
  </si>
  <si>
    <t>CASA ARCOIRIS/CHICXS DEL PUEBLO</t>
  </si>
  <si>
    <t>CASA NUESTRAMERICA</t>
  </si>
  <si>
    <t>CENTRO CULTURAL COMUNITARIO ZONA OESTE</t>
  </si>
  <si>
    <t>CENTRO CULTURAL JEI</t>
  </si>
  <si>
    <t>CENTRO DE AYUDA AL VECINO TOLOSA</t>
  </si>
  <si>
    <t>Centro de Formación Profesional N 411</t>
  </si>
  <si>
    <t>Centro de Formación Profesional N 411 S/N La Plata Melchor Romero</t>
  </si>
  <si>
    <t>CENTRO EDUCATIVO COMUNITARIO MARISTA HERMANO MIGUE</t>
  </si>
  <si>
    <t>CENTRO INTEGRADOR ZONAL RINGUELET S/N La Plata Ringuelet</t>
  </si>
  <si>
    <t>CENTRO LOS HORNOS</t>
  </si>
  <si>
    <t>Centro Sicardi</t>
  </si>
  <si>
    <t>Centro Sicardi S/N La Plata Parque Sicardi</t>
  </si>
  <si>
    <t>CFL 428</t>
  </si>
  <si>
    <t>CFL N°424 S/N LA PLATA CENTRO</t>
  </si>
  <si>
    <t>CFP 428 (Centro de Formación Profesional 428)</t>
  </si>
  <si>
    <t>CIC El Retiro</t>
  </si>
  <si>
    <t>Club Corazones del Retiro S/N La Plata Olmos</t>
  </si>
  <si>
    <t>CLUB DEPORTIVO Y BIBLIOTECA POPULAR ROMERENSE</t>
  </si>
  <si>
    <t>CLUB LAS QUINTAS</t>
  </si>
  <si>
    <t>CLUB LOS ABUELOS</t>
  </si>
  <si>
    <t>Club Provincia</t>
  </si>
  <si>
    <t>COLECTIVO LA CASA</t>
  </si>
  <si>
    <t>COMEDOR CORAZONES CONTENTOS DEL KM 52</t>
  </si>
  <si>
    <t>COMEDOR LOS PIRULINES</t>
  </si>
  <si>
    <t>COMEDOR PAN DE VIDA</t>
  </si>
  <si>
    <t>Comedor Sor María Ludovica</t>
  </si>
  <si>
    <t>COMUNIDAD FERROVIARIA</t>
  </si>
  <si>
    <t>COMUNIDAD QOM (MIVIMIENTO EVITA) S/N La Plata Melchor Romero</t>
  </si>
  <si>
    <t>CORAZONES UNIDOS DE TOLOSA</t>
  </si>
  <si>
    <t>COSMIKO SHIRLEY LA BOMBON S/N La Plata La Plata</t>
  </si>
  <si>
    <t>COWORKING LIFE</t>
  </si>
  <si>
    <t>CTA ABASTO</t>
  </si>
  <si>
    <t>CTAT (FINES MOVIMIENTO MAYO)</t>
  </si>
  <si>
    <t>Cuidadores de la Casa Comun Arturo Segui/Chicxs de</t>
  </si>
  <si>
    <t>Cuidadores de la Casa Comun Arturo Segui/Chicxs de S/N La Plata Arturo Segui</t>
  </si>
  <si>
    <t>ECCLESIA JOVEN 157 LA PLATA CENTRO</t>
  </si>
  <si>
    <t>EDUCACIÓN NACIONAL Y POPULAR</t>
  </si>
  <si>
    <t>EL GALPON S/N La Plata Olmos</t>
  </si>
  <si>
    <t>EL SUBSUELO</t>
  </si>
  <si>
    <t>EL SUBSUELO 441 LA PLATA CENTRO</t>
  </si>
  <si>
    <t>ESCUELA MEDIA N°22</t>
  </si>
  <si>
    <t>ESCUELA POPULAR TINKU</t>
  </si>
  <si>
    <t>ESCUELA SECUNDARIA N° 78</t>
  </si>
  <si>
    <t>Escuela Secundaria N°45</t>
  </si>
  <si>
    <t>FACULTAD DE PERIODISMO</t>
  </si>
  <si>
    <t>FELIPE VALLESE (ex OLIMPIA, UNIDAD BASICA)</t>
  </si>
  <si>
    <t>Fundación Edén</t>
  </si>
  <si>
    <t>FUNDACION EMMANUEL S/N La Plata Melchor Romero</t>
  </si>
  <si>
    <t>Fundación pro comunidad - La casita de los pibes</t>
  </si>
  <si>
    <t>GIMNASIA Y ESGRIMA LA PLATA</t>
  </si>
  <si>
    <t>HOSPITAL REENCUENTRO</t>
  </si>
  <si>
    <t>JIRONES DE MI BARRIO - CLUB PARAGUAYO</t>
  </si>
  <si>
    <t>LA CASITA</t>
  </si>
  <si>
    <t>LA HERMOSURA S/N La Plata La Hermosura</t>
  </si>
  <si>
    <t>LA LIBERTAD FUTURA MOVIMIENTO UNIDAD POPULAR (MUP)</t>
  </si>
  <si>
    <t>LA MILITANTE</t>
  </si>
  <si>
    <t>LOS LIBROS NO MUERDEN</t>
  </si>
  <si>
    <t>MALVINAS ARGENTINAS S/N La Plata Los Hornos</t>
  </si>
  <si>
    <t>Mary Sanchez</t>
  </si>
  <si>
    <t>Mary Sanchez S/N La Plata El Rincón</t>
  </si>
  <si>
    <t>ME VERÁS VOLVER</t>
  </si>
  <si>
    <t>Néstor y Cristina</t>
  </si>
  <si>
    <t>NIÑO JESUS (C.C.C)</t>
  </si>
  <si>
    <t>OGA GUAZU</t>
  </si>
  <si>
    <t>PANTALÓN CORTITO</t>
  </si>
  <si>
    <t>PANTALÓN CORTITO S/N La Plata San Carlos</t>
  </si>
  <si>
    <t>PARROQUIA SAN FRANCISCO</t>
  </si>
  <si>
    <t>PATRIA COMPAÑERA</t>
  </si>
  <si>
    <t>PATRIA COMPAÑERA anexo Villa Montoro</t>
  </si>
  <si>
    <t>Paulo Freire</t>
  </si>
  <si>
    <t>Polideportivo Los Hornos</t>
  </si>
  <si>
    <t>POR UN FUTURO MEJOR</t>
  </si>
  <si>
    <t>Primero la Patria</t>
  </si>
  <si>
    <t>Resistencia Cultural Barrio Los Robles (Rodol Demi</t>
  </si>
  <si>
    <t>SAVOIA</t>
  </si>
  <si>
    <t>Sitio de la Memoria Arana</t>
  </si>
  <si>
    <t>TIEMPO PERFECTO</t>
  </si>
  <si>
    <t>UB MALVINAS</t>
  </si>
  <si>
    <t>UDA ETCHEVERRY S/N La Plata Angel Etcheverry</t>
  </si>
  <si>
    <t>UTT OLMOS</t>
  </si>
  <si>
    <t>AMFAB S/N MAGDALENA MAGDALENA</t>
  </si>
  <si>
    <t>BIBLOTECA AMOR AL ARTE ATALAYA 000 ATALAYA ATALAYA</t>
  </si>
  <si>
    <t>CEPT N°29</t>
  </si>
  <si>
    <t>ESCUELA N° 12</t>
  </si>
  <si>
    <t>ESCUELA N° 16</t>
  </si>
  <si>
    <t>ESCUELA N° 24 RURAL</t>
  </si>
  <si>
    <t>Escuela N° 27</t>
  </si>
  <si>
    <t>ESCUELA N° 40</t>
  </si>
  <si>
    <t>ESCUELA N°3</t>
  </si>
  <si>
    <t>ESTACION DE TRENES DE VIEYTES S/N VIEYTES VIEYTES</t>
  </si>
  <si>
    <t>IGLESIA EVANGELICA EMANUEL</t>
  </si>
  <si>
    <t>IGLESIA EVANGELICA EMANUEL S/N MAGDALENA LA ESTACION</t>
  </si>
  <si>
    <t>IGLESIA EVANGELICA UN ESTILO DE VIDA</t>
  </si>
  <si>
    <t>J.B.S</t>
  </si>
  <si>
    <t>LAS QUINTAS</t>
  </si>
  <si>
    <t>RC TAN 8</t>
  </si>
  <si>
    <t>SOCIEDAD DE FOMENTO EMPALME 000 MAGDALENA SOCIEDAD DE FOMENTO EMPALME</t>
  </si>
  <si>
    <t>SPORT CLUB</t>
  </si>
  <si>
    <t>Arco Iris 1581 VERÓNICA</t>
  </si>
  <si>
    <t>Casa del Niño s/N VERÓNICA</t>
  </si>
  <si>
    <t>Club Juventud Unida Verónica esq. 29 VERÓNICA</t>
  </si>
  <si>
    <t>Delegación Municipal</t>
  </si>
  <si>
    <t>Frente Grande Punta Indio S/N VERÓNICA</t>
  </si>
  <si>
    <t>Iglesia Rey de Salvación</t>
  </si>
  <si>
    <t>La Viruta zona rural La Viruta</t>
  </si>
  <si>
    <t>Sociedad de Fomento Punta Indio s/n PUNTA INDIO</t>
  </si>
  <si>
    <t>Agrupación Juvenil</t>
  </si>
  <si>
    <t>Agrupación Juvenil 1905 Avellaneda Piñeyro</t>
  </si>
  <si>
    <t>ATE</t>
  </si>
  <si>
    <t>Ateneo "Cristina Conduccion"</t>
  </si>
  <si>
    <t>BIBLIOTECA AZUCENA VILLAFLOR</t>
  </si>
  <si>
    <t>Biblioteca Hugo Chavez</t>
  </si>
  <si>
    <t>CC CORAZON DE ALICIA</t>
  </si>
  <si>
    <t>CENS n° 458</t>
  </si>
  <si>
    <t>Centro Aime Paine</t>
  </si>
  <si>
    <t>Centro Comunitario ARCO IRIS</t>
  </si>
  <si>
    <t>Centro comunitario Eva Peron</t>
  </si>
  <si>
    <t>Centro Comunitario Hebe Bonafini</t>
  </si>
  <si>
    <t>Centro Comunitario Juana Azurduy</t>
  </si>
  <si>
    <t>CENTRO CULTURAL DOCK SUD</t>
  </si>
  <si>
    <t>Centro Cultural Washington</t>
  </si>
  <si>
    <t>CENTRO IRENE MARTINEZ</t>
  </si>
  <si>
    <t>Centro Juvenil "Hilda Cabrera"</t>
  </si>
  <si>
    <t>Centro Vecinal Mary Sanchez</t>
  </si>
  <si>
    <t>CEPSyC Palabra Viva</t>
  </si>
  <si>
    <t>CFI ALAS</t>
  </si>
  <si>
    <t>CIC SAN LORENZO</t>
  </si>
  <si>
    <t>CIC SAN LORENZO S/N Wilde Wilde Oeste</t>
  </si>
  <si>
    <t>Cic Santo Domingo</t>
  </si>
  <si>
    <t>Cine Wilde</t>
  </si>
  <si>
    <t>CLUB 1RO DE MARZO 844 Dock Sud Dock Sud</t>
  </si>
  <si>
    <t>CLUB ALBION</t>
  </si>
  <si>
    <t>CLUB LEVALLE</t>
  </si>
  <si>
    <t>CLUB RECONQUISTA</t>
  </si>
  <si>
    <t>Club Sarmiento de Entre Vias</t>
  </si>
  <si>
    <t>CORAZON DE EVITA</t>
  </si>
  <si>
    <t>EES N°22 JULIETA LANTIERI</t>
  </si>
  <si>
    <t>EES Nº 35</t>
  </si>
  <si>
    <t>EP 32</t>
  </si>
  <si>
    <t>EP 32 4655 Avellaneda Villa Corina</t>
  </si>
  <si>
    <t>EP 6</t>
  </si>
  <si>
    <t>EP 67</t>
  </si>
  <si>
    <t>EP N° 35</t>
  </si>
  <si>
    <t>EPA 705</t>
  </si>
  <si>
    <t>ESCUELA PRIMARIA DE ADULTOS Nº 702</t>
  </si>
  <si>
    <t>ESPACIO DE LA MEMORIA</t>
  </si>
  <si>
    <t>FECUTA</t>
  </si>
  <si>
    <t>FUNDACIÓN ISLA MACIEL</t>
  </si>
  <si>
    <t>GALPON CULTURA MERCEDES SOSA</t>
  </si>
  <si>
    <t>Hogares la Paz</t>
  </si>
  <si>
    <t>HOSPITAL PERON</t>
  </si>
  <si>
    <t>LA COSTA 0 Villa Dominico</t>
  </si>
  <si>
    <t>Local Eva Peron</t>
  </si>
  <si>
    <t>Nosotros somos ellos</t>
  </si>
  <si>
    <t>Polideportivo Barrio Azul</t>
  </si>
  <si>
    <t>Polo Productivo Dock Sud</t>
  </si>
  <si>
    <t>Polo Textil Mandarinas</t>
  </si>
  <si>
    <t>Soc. De Fom. Pico</t>
  </si>
  <si>
    <t>Soc. de Fomento Villa Nuñez</t>
  </si>
  <si>
    <t>SOCIEDAD DE FOMENTO FLORENTINO AMEGHINO</t>
  </si>
  <si>
    <t>SOCIEDAD DE FOMENTO IBERLUCEA</t>
  </si>
  <si>
    <t>SUM EVA PERON 0 Wilde Barrio Azul</t>
  </si>
  <si>
    <t>SUM ISLA MACIEL</t>
  </si>
  <si>
    <t>SUM LA SALADITA</t>
  </si>
  <si>
    <t>SUM PINZON</t>
  </si>
  <si>
    <t>SUM RELAMPAGO</t>
  </si>
  <si>
    <t>Suteba Avellaneda</t>
  </si>
  <si>
    <t>TABLERO DE OPORTUNIDADES</t>
  </si>
  <si>
    <t>ub berrozpe</t>
  </si>
  <si>
    <t>UB Graciela Pane</t>
  </si>
  <si>
    <t>UB LEALTAD</t>
  </si>
  <si>
    <t>UTN</t>
  </si>
  <si>
    <t>Argentina humana</t>
  </si>
  <si>
    <t>ATENEO</t>
  </si>
  <si>
    <t>AZUCENA VILLAFLOR S/N LANUS MONTE CHINGOLO</t>
  </si>
  <si>
    <t>BIBLIOTECA AMEGHINO</t>
  </si>
  <si>
    <t>CASA LA AMISTAD</t>
  </si>
  <si>
    <t>CENTRO COMUNITARIO ASUMIR</t>
  </si>
  <si>
    <t>CENTRO DE ATENCIÓN VECINAL REMEDIOS DE ESCALADA</t>
  </si>
  <si>
    <t>CLUB ELEVACION 2056 LANUS VALENTIN ALSINA</t>
  </si>
  <si>
    <t>CLUB SOCIAL Y DEPORTIVO ESTRELLA DE LUJAN</t>
  </si>
  <si>
    <t>CLUB UNION PORA</t>
  </si>
  <si>
    <t>EL NIDO</t>
  </si>
  <si>
    <t>Entre todos ONG</t>
  </si>
  <si>
    <t>EP N °53</t>
  </si>
  <si>
    <t>EPA 703 (EP 35)</t>
  </si>
  <si>
    <t>ESCUELA DE EDUCACION ESPECIAL N° 501</t>
  </si>
  <si>
    <t>IGLESIA CONEXION</t>
  </si>
  <si>
    <t>IGLESIA DEL REENCUENTRO PILCOMAYO</t>
  </si>
  <si>
    <t>LA MAQUINITA</t>
  </si>
  <si>
    <t>MUNICIPIO</t>
  </si>
  <si>
    <t>NIDO JARDIN</t>
  </si>
  <si>
    <t>ONG POR SIEMPRE EVA</t>
  </si>
  <si>
    <t>ONG POR SIEMPRE EVA (2° sede)</t>
  </si>
  <si>
    <t>POLIDEPORTIVO PARQUE BELGRANO 4400 LANUS MONTE CHINGOLO</t>
  </si>
  <si>
    <t>PUPI</t>
  </si>
  <si>
    <t>SEDE BIBLIOTECA 25 DE MAYO ISAURO ARANCIBIA</t>
  </si>
  <si>
    <t>SMATA</t>
  </si>
  <si>
    <t>SOCIEDAD DE FOMENTO VILLA CONSTITUCIÓN</t>
  </si>
  <si>
    <t>TRANSFORMAMOS</t>
  </si>
  <si>
    <t>TransFormAr</t>
  </si>
  <si>
    <t>UB 4 DE FEBRERO 4400 LANUS MONTE CHINGOLO</t>
  </si>
  <si>
    <t>UNIDAD BASICA JULIAN HERRERA</t>
  </si>
  <si>
    <t>UNLA</t>
  </si>
  <si>
    <t>VILLA LOB</t>
  </si>
  <si>
    <t>ALIENTO DE VIDA</t>
  </si>
  <si>
    <t>ANEXO ES 23</t>
  </si>
  <si>
    <t>ARCO IRIS CTA</t>
  </si>
  <si>
    <t>ASOCIACION CIVIL FALUCHO</t>
  </si>
  <si>
    <t>Aula Abierta 1080 Lomas de Zamora Villa Centenario</t>
  </si>
  <si>
    <t>BARRIOS DE PIE 1866 Lomas de Zamora Ingeniero Budge</t>
  </si>
  <si>
    <t>BARTOLINA XIXA</t>
  </si>
  <si>
    <t>BASES PARA LA ACCION</t>
  </si>
  <si>
    <t>BASES PARA LA ACCION 2548 Lomas de Zamora Ingeniero Budge</t>
  </si>
  <si>
    <t>BIBLIOTECA HUGO CHAVEZ</t>
  </si>
  <si>
    <t>BIBLIOTECA POPULAR ESCRITORES ARGENTINOS</t>
  </si>
  <si>
    <t>BIBLIOTECA POPULAR NUESTRO BARRIO</t>
  </si>
  <si>
    <t>C.C. CONTRUYENDO BARRIO ADENTRO</t>
  </si>
  <si>
    <t>C.C. CONTRUYENDO BARRIO ADENTRO 2860 Lomas de Zamora Lomas de Zamora</t>
  </si>
  <si>
    <t>CAPILLA CEFERINO</t>
  </si>
  <si>
    <t>CASA ISAURO ARANCIBIA 2776 Lomas de Zamora Ingeniero Budge</t>
  </si>
  <si>
    <t>CENTRO BARRIAL MAGDALENA</t>
  </si>
  <si>
    <t>CENTRO BARRIAL MAGDALENA 33 Lomas de Zamora Lavallol Sur</t>
  </si>
  <si>
    <t>CENTRO COMUNITARIO DENISE 402 Lomas de Zamora Fiorito</t>
  </si>
  <si>
    <t>CENTRO CULTURAL GERMAN GOMEZ</t>
  </si>
  <si>
    <t>CENTRO CULTURAL LAMADRID</t>
  </si>
  <si>
    <t>Centro Cultural y Educativo "Gusanito Feliz"</t>
  </si>
  <si>
    <t>CENTRO PARAGUAYO</t>
  </si>
  <si>
    <t>CENTRO PARAGUAYO 1962 Lomas de Zamora Ingeniero Budge</t>
  </si>
  <si>
    <t>CENTRO SOCIOEDUCATIVO Y COMUNITARIO SANTA CATALINA 2000 Lomas de Zamora Santa Catalina</t>
  </si>
  <si>
    <t>CEPIDRA</t>
  </si>
  <si>
    <t>CGM ALBERTINA</t>
  </si>
  <si>
    <t>CIRCULO CATOLICO DE OBREROS</t>
  </si>
  <si>
    <t>CIRCULO CATOLICO DE OBREROS 454 Lomas de Zamora Turdera</t>
  </si>
  <si>
    <t>CLUB BANFIELD</t>
  </si>
  <si>
    <t>CLUB BANFIELD 1635 Lomas de Zamora Banfield</t>
  </si>
  <si>
    <t>CLUB CACHEYRA</t>
  </si>
  <si>
    <t>CLUB SOCIAL Y DEPORTIVO SARMIENTO</t>
  </si>
  <si>
    <t>CLUDIAS 900 Lomas de Zamora Banfield</t>
  </si>
  <si>
    <t>Codo a Codo Barrial Vientos de Libertad</t>
  </si>
  <si>
    <t>COMEDOR Y MERENDERO LOS BAJITOS 1477 Lomas de Zamora Fiorito</t>
  </si>
  <si>
    <t>COMPROMISO VECINAL</t>
  </si>
  <si>
    <t>COOPERATIVA TEXTIL MIRO</t>
  </si>
  <si>
    <t>CSD SAMPDORIA</t>
  </si>
  <si>
    <t>DELEGACION MUNICIPAL INGENIERO BUDGE</t>
  </si>
  <si>
    <t>DELEGACION MUNICIPAL VILLA ALBERTINA</t>
  </si>
  <si>
    <t>Dios, patria y familia</t>
  </si>
  <si>
    <t>DIVERSIDAD DE GENERO</t>
  </si>
  <si>
    <t>E.S N°32</t>
  </si>
  <si>
    <t>E.S N°32 3280 Lomas de Zamora Ingeniero Budge</t>
  </si>
  <si>
    <t>EL PATIO DE LAS ROSAS</t>
  </si>
  <si>
    <t>EL PUENTE 2</t>
  </si>
  <si>
    <t>ENTE MAYO SOLES</t>
  </si>
  <si>
    <t>ES N°64 CHACO CHICO</t>
  </si>
  <si>
    <t>ESPACIO PARA LA MEMORIA Y LA PROMOCION DE LOS DDHH</t>
  </si>
  <si>
    <t>ESTACION FIORITO</t>
  </si>
  <si>
    <t>FACULTAD DE SOCIALES</t>
  </si>
  <si>
    <t>FUNDACION SUEÑOS CELESTES</t>
  </si>
  <si>
    <t>FUNDACION SUEÑOS CELESTES 1098 Lomas de Zamora Lomas de Zamora</t>
  </si>
  <si>
    <t>Hogar un Encuentro con Dios</t>
  </si>
  <si>
    <t>JeeS Villa Albertina 2128 Lomas de Zamora Lomas de Zamora</t>
  </si>
  <si>
    <t>JUVENTUD UNIDA</t>
  </si>
  <si>
    <t>LA ESCUELITA</t>
  </si>
  <si>
    <t>LA GLORIOSA</t>
  </si>
  <si>
    <t>Local Laprida 867 Lomas de Zamora Lomas de Zamora</t>
  </si>
  <si>
    <t>MANOS QUE AYUDAN</t>
  </si>
  <si>
    <t>MUTUAL SAN JOSE DE VILLA URBANA</t>
  </si>
  <si>
    <t>NUEVO ENCUENTRO BAJO BUDGE</t>
  </si>
  <si>
    <t>NUEVO TIEMPO S/N Lomas de Zamora Villa Lamadrid</t>
  </si>
  <si>
    <t>ONG DE HIJOS Y PADRES</t>
  </si>
  <si>
    <t>PERONISMO 26 DE JULIO 676 Lomas de Zamora Lomas de Zamora</t>
  </si>
  <si>
    <t>PROVINCIAS UNIDAS 291 Lomas de Zamora Ingeniero Budge</t>
  </si>
  <si>
    <t>QUINCHO JUSTICIALISTA 731 Lomas de Zamora Lomas de Zamora</t>
  </si>
  <si>
    <t>RAYITO DE SOL 2869 Lomas de Zamora Lomas de Zamora</t>
  </si>
  <si>
    <t>REMEDIOS DEL VALLE 540 Lomas de Zamora Villa Centenario</t>
  </si>
  <si>
    <t>REY JESUS</t>
  </si>
  <si>
    <t>Sede 471</t>
  </si>
  <si>
    <t>SEDE GINEBRA</t>
  </si>
  <si>
    <t>SINDI-ISAURO ARANCIBIA</t>
  </si>
  <si>
    <t>SOC.DE FOM. OESTE TURDERA 1235 Lomas de Zamora Lomas de Zamora</t>
  </si>
  <si>
    <t>SOCIEDAD DE FOMENTO DARWIN</t>
  </si>
  <si>
    <t>SOCIEDAD DE FOMENTO JUAN MANUEL DE ROSAS</t>
  </si>
  <si>
    <t>SOCIEDAD DE FOMENTO RECREATIVO Y SOCIAL DOMINGO FA</t>
  </si>
  <si>
    <t>SUEÑOS DE MARY SÁNCHEZ</t>
  </si>
  <si>
    <t>UNIENDO FUERZAS</t>
  </si>
  <si>
    <t>VICENTA TINTE</t>
  </si>
  <si>
    <t>VIDA NUEVA</t>
  </si>
  <si>
    <t>VILLA AMELIA</t>
  </si>
  <si>
    <t>VILLA INDEPENDENCIA</t>
  </si>
  <si>
    <t>VILLA INDEPENDENCIA 777 Lomas de Zamora Lomas de Zamora</t>
  </si>
  <si>
    <t>La Matanza 1</t>
  </si>
  <si>
    <t>ASAMBLEA PERMANENTE DE LOS DERECHOS 3780 san justo san justo</t>
  </si>
  <si>
    <t>CAPILLA SAN CAYETANO 1601 lomas del mirador lomas del mirador</t>
  </si>
  <si>
    <t>CARITAS</t>
  </si>
  <si>
    <t>CATEDRAL DE LA FE 2857 san justo san justo</t>
  </si>
  <si>
    <t>CENTRO CULTURAL MI ESPERANZA</t>
  </si>
  <si>
    <t>CENTRO CULTURAL NESTOR KIRCHNER</t>
  </si>
  <si>
    <t>CENTRO CULTURAL PIERINA DEALLESSI</t>
  </si>
  <si>
    <t>CIRCULO ITALIANO</t>
  </si>
  <si>
    <t>CLUB DEPORTIVO SOCIAL Y DEFENSORES DE QUERANDI</t>
  </si>
  <si>
    <t>CLUB PEDRO CASCO</t>
  </si>
  <si>
    <t>Colonia mi Esperanza</t>
  </si>
  <si>
    <t>CONSTRUCTORA</t>
  </si>
  <si>
    <t>DELEGACION SUB COMANDO</t>
  </si>
  <si>
    <t>EP 82</t>
  </si>
  <si>
    <t>ESCUELA 186</t>
  </si>
  <si>
    <t>ESCUELA 39</t>
  </si>
  <si>
    <t>ESCUELA PRIMARIA 137</t>
  </si>
  <si>
    <t>ESCUELA PRIMARIA 53</t>
  </si>
  <si>
    <t>ESCUELA PRIMARIA 58</t>
  </si>
  <si>
    <t>ESCUELA SECUNDARIA 69</t>
  </si>
  <si>
    <t>ESCUELA TECNICA 9</t>
  </si>
  <si>
    <t>Godoy Cruz</t>
  </si>
  <si>
    <t>GUERREROS DE LA VIDA</t>
  </si>
  <si>
    <t>HOGAR SAN MIGUEL</t>
  </si>
  <si>
    <t>IDEAL MATANZA</t>
  </si>
  <si>
    <t>IDENTIDAD CULTURAL</t>
  </si>
  <si>
    <t>IGLESIA EFREN</t>
  </si>
  <si>
    <t>LOS CALLEJEROS MTE</t>
  </si>
  <si>
    <t>LOS MUCHACHOS 876 villa madero villa madero</t>
  </si>
  <si>
    <t>MERCADO CENTRAL S/N villa celina villa celina</t>
  </si>
  <si>
    <t>MI PRESENTE ES MI FUTURO</t>
  </si>
  <si>
    <t>NUESTRA SRA. DE LA GUARDIA</t>
  </si>
  <si>
    <t>NUESTRA SRA. DE LA PAZ</t>
  </si>
  <si>
    <t>OBRADOR VILLA CONSTRUCTORA</t>
  </si>
  <si>
    <t>PARROQUIA ITATI</t>
  </si>
  <si>
    <t>PARROQUIA ITATI 4174 san justo san justo</t>
  </si>
  <si>
    <t>PARROQUIA SAGRADO CORAZON</t>
  </si>
  <si>
    <t>PARROQUIA SAN JOSÉ</t>
  </si>
  <si>
    <t>parroquia stella maris</t>
  </si>
  <si>
    <t>POLO PRODUCTIVO LA TABLADA</t>
  </si>
  <si>
    <t>REGION DESCENTRALIZADA RAMOS MEJIA</t>
  </si>
  <si>
    <t>ROSAS 4332 lomas del mirador lomas del mirador</t>
  </si>
  <si>
    <t>SAN JOSE OBRERO</t>
  </si>
  <si>
    <t>SOCIEDAD DE FOMENTO VILLA LUZURIAGA</t>
  </si>
  <si>
    <t>VILLA SAHORES</t>
  </si>
  <si>
    <t>WALTER BULACCIO</t>
  </si>
  <si>
    <t>La Matanza 2</t>
  </si>
  <si>
    <t>11 CORAZONES LAFERRERE-470</t>
  </si>
  <si>
    <t>ANEXO BRUA-COMEDOR NIÑO JESUS 470</t>
  </si>
  <si>
    <t>ASOCIACIÓN RIENDO POR NO LLORAR</t>
  </si>
  <si>
    <t>C.C.S. NO ME OLVIDES - CENS 461</t>
  </si>
  <si>
    <t>C.F.P. N°417 - 461</t>
  </si>
  <si>
    <t>CAACUPE</t>
  </si>
  <si>
    <t>Capilla Don Bosco</t>
  </si>
  <si>
    <t>CAPILLA INMACULADA CONCEPCION - 470</t>
  </si>
  <si>
    <t>CAPILLA NSTRA SRA DE LOURDES</t>
  </si>
  <si>
    <t>CAPILLA NTRA SRA DE GUADALUPE</t>
  </si>
  <si>
    <t>CASA DE DIANA SACAYAN</t>
  </si>
  <si>
    <t>CASA DE LA IGUALDAD</t>
  </si>
  <si>
    <t>CASA DEL PUEBLO</t>
  </si>
  <si>
    <t>CENTRO CULTURAL "NADA ES IMPOSIBLE"-460</t>
  </si>
  <si>
    <t>CENTRO CULTURAL 128-460</t>
  </si>
  <si>
    <t>Centro Cultural No me olvides</t>
  </si>
  <si>
    <t>CENTRO CULTURAL VICKY WALSH - 470</t>
  </si>
  <si>
    <t>CFP Nº410 - 470</t>
  </si>
  <si>
    <t>Club social y deportivo villa mosquito (ex EP 32)</t>
  </si>
  <si>
    <t>COCA SOSA - 470</t>
  </si>
  <si>
    <t>CODESEH (EES 75) CENS 456</t>
  </si>
  <si>
    <t>CODESEH JUANA AZURDUY (EX 12 DE OCTUBRE)</t>
  </si>
  <si>
    <t>Coop. de trabajo MIELCITAS ARGENTINAS 295 Rafael Castillo</t>
  </si>
  <si>
    <t>CRISTO OBRERO</t>
  </si>
  <si>
    <t>CSYD BARRIO CENTRAL</t>
  </si>
  <si>
    <t>CSYD EL FORTIN</t>
  </si>
  <si>
    <t>DIVERSIDAD TRANSFORMAR 170</t>
  </si>
  <si>
    <t>E.P 91</t>
  </si>
  <si>
    <t>E.P 93 Santa Rosa</t>
  </si>
  <si>
    <t>E.P. N° 32 JULIO RUBEN CAO</t>
  </si>
  <si>
    <t>E.P. N65</t>
  </si>
  <si>
    <t>E.S 161</t>
  </si>
  <si>
    <t>E.S N° 146</t>
  </si>
  <si>
    <t>E.S Nº137/146 - 470</t>
  </si>
  <si>
    <t>E.S Nº166 - 470</t>
  </si>
  <si>
    <t>E.S. N° 104</t>
  </si>
  <si>
    <t>EEPA N° 754</t>
  </si>
  <si>
    <t>EEPA Nº754 - 470</t>
  </si>
  <si>
    <t>EES 104 SAN ALBERTO</t>
  </si>
  <si>
    <t>EES 75- 456</t>
  </si>
  <si>
    <t>EL PUENTE</t>
  </si>
  <si>
    <t>EP 112</t>
  </si>
  <si>
    <t>EP 96</t>
  </si>
  <si>
    <t>EP N° 191</t>
  </si>
  <si>
    <t>EP N° 72 477</t>
  </si>
  <si>
    <t>EP N° 83</t>
  </si>
  <si>
    <t>EP N°83</t>
  </si>
  <si>
    <t>EP N°94</t>
  </si>
  <si>
    <t>EP Nº72 - 470</t>
  </si>
  <si>
    <t>ES N°146 - 470</t>
  </si>
  <si>
    <t>ES N°166 - 470</t>
  </si>
  <si>
    <t>ESPACIO CREATIVO DE ARTE</t>
  </si>
  <si>
    <t>ESS N° 155</t>
  </si>
  <si>
    <t>Fines La Candela Diego Frias y Sandro Castillo Cap</t>
  </si>
  <si>
    <t>FORMARTE</t>
  </si>
  <si>
    <t>GENEROS Y DIVERSIDAD SIN FRONTERAS</t>
  </si>
  <si>
    <t>GUADALUPE</t>
  </si>
  <si>
    <t>IDENTIDAD VECINAL KM27</t>
  </si>
  <si>
    <t>IGLESIA JEA - 461</t>
  </si>
  <si>
    <t>JOVENES POR JOVENES</t>
  </si>
  <si>
    <t>Jóvenes por Jóvenes</t>
  </si>
  <si>
    <t>Jóvenes por Jóvenes 24 DE FEBRERO</t>
  </si>
  <si>
    <t>JUANA AZURDUY 456</t>
  </si>
  <si>
    <t>Juntxs a la Par</t>
  </si>
  <si>
    <t>KIOSKO JUVENIL SAN JOSÉ OBRERO - 461</t>
  </si>
  <si>
    <t>MERENDERO MILAGROS</t>
  </si>
  <si>
    <t>OBRADOR DESARROLLO SOCIAL DE LAFERRERE (AEROCLUB)</t>
  </si>
  <si>
    <t>Parroquia CRISTO OBRERO</t>
  </si>
  <si>
    <t>PARROQUIA NUESTRA SEÑORA DE ITATI-470</t>
  </si>
  <si>
    <t>Parroquia Nuestra señora de Lujan - 456</t>
  </si>
  <si>
    <t>Parroquia Nuestra señora de Lujan - 479</t>
  </si>
  <si>
    <t>PELOTAS DE TRAPO</t>
  </si>
  <si>
    <t>Polo Prod. R. Castillo</t>
  </si>
  <si>
    <t>PROYECTO NACIONAL</t>
  </si>
  <si>
    <t>S F 17 de agosto</t>
  </si>
  <si>
    <t>SAN FRANCISCO - 470</t>
  </si>
  <si>
    <t>SAN GERARDO</t>
  </si>
  <si>
    <t>SANTA TERESITA - 456</t>
  </si>
  <si>
    <t>Sociedad de Fomento 25 de Mayo</t>
  </si>
  <si>
    <t>SOCIEDAD DE FOMENTO CULTURAL Y DEPORTIVA SAN CARLO</t>
  </si>
  <si>
    <t>SOCIEDAD DE FOMENTO LA GABITA</t>
  </si>
  <si>
    <t>SUBCOMANDO ATALAYA</t>
  </si>
  <si>
    <t>SUBCOMANDO BORGWARD</t>
  </si>
  <si>
    <t>UNIDAD EJECUTORA - MUNICIPALIDAD DE LA MATANZA</t>
  </si>
  <si>
    <t>UNIDOS (JXJ)</t>
  </si>
  <si>
    <t>UPCN SANTA MARTA (456)</t>
  </si>
  <si>
    <t>La Matanza 3</t>
  </si>
  <si>
    <t>ABUELOS FELICES</t>
  </si>
  <si>
    <t>ASOCIACION C.R.E.E.R.</t>
  </si>
  <si>
    <t>Asociacion civil</t>
  </si>
  <si>
    <t>ASOCIACIÓN CIVIL CIRUJAS</t>
  </si>
  <si>
    <t>ASOCIACION CIVIL SAN MARIANO 5238 VIRREY DEL PINO</t>
  </si>
  <si>
    <t>ASOCIACION DE FOMENTO 20 DE JUNIO 1428 VEINTE DE JUNIO</t>
  </si>
  <si>
    <t>BIBLIOTECA CEFERINO NAMUNCURÁ</t>
  </si>
  <si>
    <t>BIBLIOTECA POPULAR MADRE TERESA</t>
  </si>
  <si>
    <t>C.R.E.E.R.</t>
  </si>
  <si>
    <t>CAPILLA JESUS MISERICORDIOSO S/N VIRREY DEL PINO</t>
  </si>
  <si>
    <t>CAPILLA MARIA DE LUJAN</t>
  </si>
  <si>
    <t>CAPILLA MEDALLA MILAGROSA</t>
  </si>
  <si>
    <t>CAPILLA REINA DEL CIELO</t>
  </si>
  <si>
    <t>CAPILLA SAN ENRIQUE</t>
  </si>
  <si>
    <t>CAPILLA SAN FRANCISCO JAVIER</t>
  </si>
  <si>
    <t>CAPILLA VIRGEN DEL VALLE</t>
  </si>
  <si>
    <t>CASA COMPAÑERA</t>
  </si>
  <si>
    <t>CASA DORREGO</t>
  </si>
  <si>
    <t>Casita San Jose</t>
  </si>
  <si>
    <t>CATEDRAL DE LA FE</t>
  </si>
  <si>
    <t>CEC-IDENTIDAD VECINAL</t>
  </si>
  <si>
    <t>CENTRO COMUNITARIO POR NUESTROS HIJOS</t>
  </si>
  <si>
    <t>CENTRO COMUNITARIO VIEJOS AMIGOS</t>
  </si>
  <si>
    <t>CENTRO CULTURAL COMPAÑERA MARIA EVA</t>
  </si>
  <si>
    <t>CENTRO CULTURAL NÉSTOR KIRCHNER</t>
  </si>
  <si>
    <t>CENTRO DE JUBILADOS "VIVIR"</t>
  </si>
  <si>
    <t>CENTRO DE REHABILITACION ELECCION DE VIDA LAS JUAN</t>
  </si>
  <si>
    <t>CENTRO DE REHABILITACION ELECCION DE VIDA LAS JUAN S/N VIRREY DEL PINO</t>
  </si>
  <si>
    <t>CENTRO JOVEN ALEGRÍA</t>
  </si>
  <si>
    <t>CENTRO RAMON CARRILLO</t>
  </si>
  <si>
    <t>CENTRO TODOS POR LXS CHICXS</t>
  </si>
  <si>
    <t>CLUB INDEPENDENCIA</t>
  </si>
  <si>
    <t>CLUB SOCIAL Y DEP PIONEROS DE ATALCO</t>
  </si>
  <si>
    <t>CLUB SOCIAL Y DEPORTIVO GONZALEZ CATAN</t>
  </si>
  <si>
    <t>COMEDOR LA HORA FELIZ</t>
  </si>
  <si>
    <t>COMEDOR LA MOROCHA KM 38</t>
  </si>
  <si>
    <t>DEPORTIVO PARAGUAYO</t>
  </si>
  <si>
    <t>DIEGO ARMANDO MARADONA (ESCUELA 22)</t>
  </si>
  <si>
    <t>E.E.S N°68</t>
  </si>
  <si>
    <t>E.E.S.Nº 77</t>
  </si>
  <si>
    <t>E.P N°88</t>
  </si>
  <si>
    <t>EES N°163</t>
  </si>
  <si>
    <t>EES N°173</t>
  </si>
  <si>
    <t>EES N°74</t>
  </si>
  <si>
    <t>EES N°77</t>
  </si>
  <si>
    <t>EL PLAYÓN CENTRO COMUNITARIO</t>
  </si>
  <si>
    <t>El Rincón de la Tosquera 3541 GONZALEZ CATAN</t>
  </si>
  <si>
    <t>ENVION EL DORADO</t>
  </si>
  <si>
    <t>EP 103</t>
  </si>
  <si>
    <t>EP 108</t>
  </si>
  <si>
    <t>EP 113</t>
  </si>
  <si>
    <t>EP N° 130</t>
  </si>
  <si>
    <t>EP N° 133</t>
  </si>
  <si>
    <t>EP N° 198</t>
  </si>
  <si>
    <t>EP N° 204</t>
  </si>
  <si>
    <t>EP N° 209</t>
  </si>
  <si>
    <t>EP N° 67</t>
  </si>
  <si>
    <t>EP N° 88</t>
  </si>
  <si>
    <t>EP N°126</t>
  </si>
  <si>
    <t>EP N°217</t>
  </si>
  <si>
    <t>ES TIEMPO DE ADORAR A DIOS</t>
  </si>
  <si>
    <t>Esc. 84</t>
  </si>
  <si>
    <t>ESCUELA DE EDUCACION PRIMARIA N°202</t>
  </si>
  <si>
    <t>ESCUELA SECUNDARIA N° 67</t>
  </si>
  <si>
    <t>IDENTIDAD VECINAL ORO VERDE</t>
  </si>
  <si>
    <t>IGLESIA CRISTO ES LA ESPERANZA</t>
  </si>
  <si>
    <t>IGLESIA FATIMA S/N GONZALEZ CATAN</t>
  </si>
  <si>
    <t>IGLESIA PALABRA FIEL</t>
  </si>
  <si>
    <t>IGLESIA PRESENCIA DEL REY</t>
  </si>
  <si>
    <t>IGLESIA REMANENTE SANTO</t>
  </si>
  <si>
    <t>JARDÍN COMUNITARIO ABEJITAS DEL TIZÓN</t>
  </si>
  <si>
    <t>JESUCRISTO REY A LAS NACIONES</t>
  </si>
  <si>
    <t>JUNTA VECINAL VECINOS COMPROMETIDOS</t>
  </si>
  <si>
    <t>La academia de Virrey del Pino</t>
  </si>
  <si>
    <t>LA CASA DEL NIÑO</t>
  </si>
  <si>
    <t>LOS ANGELITOS DE SAN PEDRO</t>
  </si>
  <si>
    <t>LOS LAPICES SIGUEN ESCRIBIENDO</t>
  </si>
  <si>
    <t>MERENDERO CHISPA POPULAR</t>
  </si>
  <si>
    <t>Merendero Violeta Parra</t>
  </si>
  <si>
    <t>MINISTERIO CRISTIANO RESTAURACIÓN DE LAS ALMAS 1260 VIRREY DEL PINO</t>
  </si>
  <si>
    <t>MUJERES DE BARRO</t>
  </si>
  <si>
    <t>MUJERES DE BARRO 6131 GONZALEZ CATAN</t>
  </si>
  <si>
    <t>OBRADOR ACUARIO</t>
  </si>
  <si>
    <t>PAÑOL PEDRO LUQUE</t>
  </si>
  <si>
    <t>PARAÍSO DE DIOS</t>
  </si>
  <si>
    <t>PARROQUIA SAN JOSE</t>
  </si>
  <si>
    <t>PRESENCIA DEL REY</t>
  </si>
  <si>
    <t>PUERTAS DEL CIELO</t>
  </si>
  <si>
    <t>PURO CORAZON</t>
  </si>
  <si>
    <t>RECOLETA AVANZA</t>
  </si>
  <si>
    <t>ROBERTO ARLT 11489 VIRREY DEL PINO</t>
  </si>
  <si>
    <t>Rodolfo Walsh</t>
  </si>
  <si>
    <t>SAN CARLOS BORROMEO</t>
  </si>
  <si>
    <t>SOCIEDAD DE FOMENTO SAN PEDRO</t>
  </si>
  <si>
    <t>UB BARRIO INDEPENDENCIA</t>
  </si>
  <si>
    <t>UNIDAD PENITENCIARIA Nº43</t>
  </si>
  <si>
    <t>UNIDAD PENITENCIARIA Nº43 5100 GONZALEZ CATAN</t>
  </si>
  <si>
    <t>VOLUNTAD JOVEN</t>
  </si>
  <si>
    <t>AOT</t>
  </si>
  <si>
    <t>ASOCIACION COLECTIVIDADES BERAZATEGUI</t>
  </si>
  <si>
    <t>ATTTA</t>
  </si>
  <si>
    <t>CAAC</t>
  </si>
  <si>
    <t>CAPILLA SAN PEDRO</t>
  </si>
  <si>
    <t>CARITAS S/N VILLA ESPAÑA VILLA ESPAÑA</t>
  </si>
  <si>
    <t>CASA DEL NIÑO RUCALHUE</t>
  </si>
  <si>
    <t>CIC N°33</t>
  </si>
  <si>
    <t>CJ VILLA MITRE</t>
  </si>
  <si>
    <t>CREER ES CREAR ANEXO S/N Berazategui Oeste</t>
  </si>
  <si>
    <t>CREER ES CREAR HUDSON 6450 HUDSON HUDSON</t>
  </si>
  <si>
    <t>CREER ES CREAR HUDSON CALLE 73 n° 6450 HUDSON</t>
  </si>
  <si>
    <t>DTC</t>
  </si>
  <si>
    <t>EP 19 PARQUE PEREYRA S/N BERAZATEGUI</t>
  </si>
  <si>
    <t>ESCUELA PRIMARIA 22</t>
  </si>
  <si>
    <t>ESCUELA PRIMARIA 34</t>
  </si>
  <si>
    <t>ESCUELA PRIMARIA N 53</t>
  </si>
  <si>
    <t>ESCUELA SECUNDARIA 26</t>
  </si>
  <si>
    <t>HOGAR PARAGUAYO</t>
  </si>
  <si>
    <t>IGLESIA CAACUPE</t>
  </si>
  <si>
    <t>IGLESIA DEL PEREGRINO</t>
  </si>
  <si>
    <t>IGLESIA SANTA JUANA ANTIDA</t>
  </si>
  <si>
    <t>LA MOLINA</t>
  </si>
  <si>
    <t>MTU</t>
  </si>
  <si>
    <t>PADRE NOVAK</t>
  </si>
  <si>
    <t>POLIDEPORTIVO 6</t>
  </si>
  <si>
    <t>POLIDEPORTIVO 7</t>
  </si>
  <si>
    <t>RETO A LA VIDA 2690 BERAZATEGUI OESTE</t>
  </si>
  <si>
    <t>Sede River</t>
  </si>
  <si>
    <t>SENDEROS DE VIDA 299 RANELAGH RANELAGH</t>
  </si>
  <si>
    <t>SF 20 DE JUNIO</t>
  </si>
  <si>
    <t>SF 3 DE JUNIO</t>
  </si>
  <si>
    <t>SF 6 DE ENERO</t>
  </si>
  <si>
    <t>SF ALBERDI</t>
  </si>
  <si>
    <t>SF ALDANA</t>
  </si>
  <si>
    <t>SF BARRIO LUZ</t>
  </si>
  <si>
    <t>SF BARRIO ONCE S/N BERAZATEGUI EL PATO</t>
  </si>
  <si>
    <t>SF EL CHELIN</t>
  </si>
  <si>
    <t>SF EL PARAISO</t>
  </si>
  <si>
    <t>SF EL SOL</t>
  </si>
  <si>
    <t>SF GENTE DE TRABAJO</t>
  </si>
  <si>
    <t>SF HUDSON 6357 HUDSON HUDSON</t>
  </si>
  <si>
    <t>SF JUAN JOSE PASO</t>
  </si>
  <si>
    <t>SF LA MERCED</t>
  </si>
  <si>
    <t>SF LA SERRANITA</t>
  </si>
  <si>
    <t>SF MARIA ANGELICA</t>
  </si>
  <si>
    <t>SF MOSCONI</t>
  </si>
  <si>
    <t>SF OMBU</t>
  </si>
  <si>
    <t>SF PLATANOS NORTE</t>
  </si>
  <si>
    <t>SF PROVINCIAS UNIDAS</t>
  </si>
  <si>
    <t>SF SAN BLAS</t>
  </si>
  <si>
    <t>SF SAN MARTIN - KENNEDY</t>
  </si>
  <si>
    <t>SF SARMIENTO</t>
  </si>
  <si>
    <t>SF SEVILLA</t>
  </si>
  <si>
    <t>SF SOURIGUES</t>
  </si>
  <si>
    <t>SF VILLA ESPAÑA</t>
  </si>
  <si>
    <t>SUETRA</t>
  </si>
  <si>
    <t>SUM PRIMERO LOS NIÑOS</t>
  </si>
  <si>
    <t>SUTEBA MARITIMO</t>
  </si>
  <si>
    <t>UNIDAD BASICA GUTIERREZ</t>
  </si>
  <si>
    <t>UNIDOS POR LA DIVERSIDAD N° 2743 BERAZATEGUI OESTE</t>
  </si>
  <si>
    <t>ASOCIACION 17 DE NOVIEMBRE S/N Florencio Varela</t>
  </si>
  <si>
    <t>BIBLIOTECA ALFONSINA</t>
  </si>
  <si>
    <t>BIBLIOTECA EL OBRADOR</t>
  </si>
  <si>
    <t>CAPILLA MARIA QUE DESATA LOS NUDOS</t>
  </si>
  <si>
    <t>CAPILLA MARIA QUE DESATA LOS NUDOS 170 Florencio Varela</t>
  </si>
  <si>
    <t>Capilla Santa Rita</t>
  </si>
  <si>
    <t>Capilla Santa Rita 345 Florencio Varela</t>
  </si>
  <si>
    <t>CEF 192</t>
  </si>
  <si>
    <t>Centro Cultural El faro</t>
  </si>
  <si>
    <t>CENTRO CULTURAL Y BIBLIOTECA POPULAR EL LABERINTO</t>
  </si>
  <si>
    <t>CFP N° 403</t>
  </si>
  <si>
    <t>CIC Ing Allan</t>
  </si>
  <si>
    <t>CIC SAN FRANCISCO</t>
  </si>
  <si>
    <t>Club 25 de Mayo</t>
  </si>
  <si>
    <t>Comedor Capilla Caacupe de los Quinchos</t>
  </si>
  <si>
    <t>CTA</t>
  </si>
  <si>
    <t>EES 14</t>
  </si>
  <si>
    <t>El faro la esperanza</t>
  </si>
  <si>
    <t>EP 19</t>
  </si>
  <si>
    <t>EP 36</t>
  </si>
  <si>
    <t>EP 55</t>
  </si>
  <si>
    <t>EPA 706 Y 1150 Florencio Varela</t>
  </si>
  <si>
    <t>FE.COO.TRA.UN</t>
  </si>
  <si>
    <t>FE.COO.TRA.UN 1555 Florencio Varela</t>
  </si>
  <si>
    <t>Frente Darío Santillán</t>
  </si>
  <si>
    <t>HORIZONTE SANTA INES</t>
  </si>
  <si>
    <t>IGLESIA ANDALUM</t>
  </si>
  <si>
    <t>IGLESIA CIUDAD DE DAVID/ MI.PRO.FI.NA</t>
  </si>
  <si>
    <t>Iglesia Lirios de los Valles 1712 Florencio Varela</t>
  </si>
  <si>
    <t>Iglesia restaurando vidas</t>
  </si>
  <si>
    <t>INST.PSICOSOCIAL S/N Florencio Varela</t>
  </si>
  <si>
    <t>INSTITUTO DE EDUCACIÓN POPULAR EVA PERON</t>
  </si>
  <si>
    <t>LA CASONA</t>
  </si>
  <si>
    <t>La Nazarena</t>
  </si>
  <si>
    <t>LAS MARGARITAS 2343 Florencio Varela</t>
  </si>
  <si>
    <t>Local Miles</t>
  </si>
  <si>
    <t>Local Movimiento Evita</t>
  </si>
  <si>
    <t>LUZ DEL ALMA</t>
  </si>
  <si>
    <t>MEDALLA MILAGROSA</t>
  </si>
  <si>
    <t>MEDALLA MILAGROSA 948 Florencio Varela</t>
  </si>
  <si>
    <t>Merendero 19 de septiembre</t>
  </si>
  <si>
    <t>Merendero Evita Madre de los Humildes</t>
  </si>
  <si>
    <t>Merendero Los mismos de siempre</t>
  </si>
  <si>
    <t>Merendero Mis pequeños Niños</t>
  </si>
  <si>
    <t>POLO PRODUCTIVO BARRIOS DE PIE</t>
  </si>
  <si>
    <t>POLO SOCIAL Y EDUCATIVO PEDRO CORIA S/N INGENIERO ALLAN Florencio Varela</t>
  </si>
  <si>
    <t>SDF 20 DE SEPTIEMBRE</t>
  </si>
  <si>
    <t>SDF MARTIN FIERRO</t>
  </si>
  <si>
    <t>SDF SANTA ROSA</t>
  </si>
  <si>
    <t>SDF VILLA HUDSON</t>
  </si>
  <si>
    <t>Servicio Penitenciario Bonaerense Unidad Académica</t>
  </si>
  <si>
    <t>SOC. DE FTO "SANTO TOMAS"</t>
  </si>
  <si>
    <t>Sociedad de fomento Villa Argentina</t>
  </si>
  <si>
    <t>SOCIEDAD TRADICIONAL . LA TROPILLA S/N Florencio Varela</t>
  </si>
  <si>
    <t>SUM Los Tronquitos</t>
  </si>
  <si>
    <t>TALLER INTEGRAME 1780 Florencio Varela</t>
  </si>
  <si>
    <t>UNAJ</t>
  </si>
  <si>
    <t>UNAJ (Ingenieron Allan)</t>
  </si>
  <si>
    <t>UNIDAD PENITENCIARIA 24 S/N Florencio Varela</t>
  </si>
  <si>
    <t>Unidad Productiva UTEP</t>
  </si>
  <si>
    <t>UNIDAD PRODUCTIVA Y CENTRO CULTURAL MICAELA GARCIA</t>
  </si>
  <si>
    <t>ASOCIACION CIVIL 30 MIL SUEÑOS FLORECEN</t>
  </si>
  <si>
    <t>ASOCIACION CIVIL EL GARELLI 420 QUILMES BERNAL OESTE</t>
  </si>
  <si>
    <t>ASOCIACIÓN SIN FRONTERAS A LA DISCAPACIDAD 1420 VILLA LA FLORIDA</t>
  </si>
  <si>
    <t>ASOCIACION SORDOS QUILMES</t>
  </si>
  <si>
    <t>CAPILLA EXALTACIÓN DE LA CRUZ</t>
  </si>
  <si>
    <t>CASA PARAGUAYA DE QUILMES "NATALICIO TALAVERA"</t>
  </si>
  <si>
    <t>CENTRO COMUNITARIO 24 DE DICIEMBRE</t>
  </si>
  <si>
    <t>CENTRO CULTURAL "SOMOS EL MUNDO"</t>
  </si>
  <si>
    <t>CENTRO CULTURAL EL GALPON</t>
  </si>
  <si>
    <t>CENTRO CULTURAL MERCEDES SOSA 1902 QUILMES OESTE</t>
  </si>
  <si>
    <t>centro de capacitaciòn y entrenamiento profesional</t>
  </si>
  <si>
    <t>CENTRO DE FORMACION PROFESIONAL U.O.M. 6000 QUILMES. QUILMES.</t>
  </si>
  <si>
    <t>CENTRO DE JUBILADOS NUESTROS DERECHOS</t>
  </si>
  <si>
    <t>CENTRO JUVENIL LUZ DEL ALMA</t>
  </si>
  <si>
    <t>CENTRO LOS JUNQUITOS S/N BERNAL OESTE</t>
  </si>
  <si>
    <t>CENTRO SOCIO COMUNITARIO CARITA FELIZ S/N QUILMES OESTE</t>
  </si>
  <si>
    <t>CIC "LA RIBERA"</t>
  </si>
  <si>
    <t>CIC AGUSTIN RAMIREZ</t>
  </si>
  <si>
    <t>CIC LA MATERA</t>
  </si>
  <si>
    <t>CIC SANTO DOMINGO</t>
  </si>
  <si>
    <t>CLUB VILLA ALCIRA S/N BERNAL ESTE</t>
  </si>
  <si>
    <t>COOPERATIVA METALÚRGICA EITEC LTDEA</t>
  </si>
  <si>
    <t>ESCUELA DE ARTE Y OFICIOS "SOLANO VIVE"</t>
  </si>
  <si>
    <t>ESCUELA PRIMARIA DE ADULTOS N°706 (EP 14)</t>
  </si>
  <si>
    <t>ESCUELA PRIMARIA N° 31</t>
  </si>
  <si>
    <t>ESCUELA SECUNDARIA N°65</t>
  </si>
  <si>
    <t>ESCUELA SECUNDARIA N°7</t>
  </si>
  <si>
    <t>FUNDACION MAS VIDA</t>
  </si>
  <si>
    <t>HABLEMOS DE AUTISMO QUILMES 1240 QUILMES. QUILMES.</t>
  </si>
  <si>
    <t>HOGAR INFANTIL SAN FRANCISCO</t>
  </si>
  <si>
    <t>IGLESIA DE DIOS VISION VIDA</t>
  </si>
  <si>
    <t>IGLESIA SANTA LUCIA</t>
  </si>
  <si>
    <t>INSTITUTO SUPERIOR N°83</t>
  </si>
  <si>
    <t>MARY SANCHEZ-EES28</t>
  </si>
  <si>
    <t>PARROQUIA NUESTRA SEÑORA DE ITATI</t>
  </si>
  <si>
    <t>PERONISMO MILITANTE BONAERENSE DE LA RIBERA DE BER S/N QUILMES QUILMES RIBERA DE BERNAL</t>
  </si>
  <si>
    <t>POLIDEPORTIVO DIEGO ARMANDO MARADONA S/N QUILMES OESTE</t>
  </si>
  <si>
    <t>PROMEBA</t>
  </si>
  <si>
    <t>PTP SOLANO</t>
  </si>
  <si>
    <t>SAN FRANCISCO ASIS - IAPI</t>
  </si>
  <si>
    <t>SOCIEDAD DE FOMENTO "BARRIO ARRIETA"</t>
  </si>
  <si>
    <t>SOCIEDAD DE FOMENTO "EL JALON"</t>
  </si>
  <si>
    <t>SOCIEDAD DE FOMENTO "GABY 1°"</t>
  </si>
  <si>
    <t>SOCIEDAD DE FOMENTO "SAN FRANCISCO"</t>
  </si>
  <si>
    <t>SOCIEDAD DE FOMENTO 20 DE JUNIO</t>
  </si>
  <si>
    <t>SOCIEDAD DE FOMENTO BALNEARIO DE QUILMES</t>
  </si>
  <si>
    <t>SOCIEDAD DE FOMENTO BARRIO LAS ROSAS</t>
  </si>
  <si>
    <t>SOCIEDAD DE FOMENTO ENRIQUE MUIÑO</t>
  </si>
  <si>
    <t>SOCIEDAD DE FOMENTO LA FLORIDA</t>
  </si>
  <si>
    <t>SOCIEDAD DE FOMENTO SAN ANTONIO</t>
  </si>
  <si>
    <t>SOCIEDAD DE FOMENTO SANTO DOMINGO</t>
  </si>
  <si>
    <t>SOCIEDAD DE FOMENTO SANTO DOMINGO 2502 EZPELETA OESTE</t>
  </si>
  <si>
    <t>SOCIEDAD DE FOMENTO TOMAS TORRES</t>
  </si>
  <si>
    <t>TINKUNACO</t>
  </si>
  <si>
    <t>TRANSFORMAR (MUNICIPALIDAD DE QUILMES)</t>
  </si>
  <si>
    <t>ASOC JUB Y PENS MALVINAS ARGENTINAS</t>
  </si>
  <si>
    <t>ASOCIACION CIVIL TE AYUDAMOS A CRECER</t>
  </si>
  <si>
    <t>AVIADORES ARGENTINOS 78 GLEW GLEW</t>
  </si>
  <si>
    <t>BARBIERI 1382 BURZACO BURZACO</t>
  </si>
  <si>
    <t>BARRIO EL ENCUENTRO</t>
  </si>
  <si>
    <t>CAMINO DE LAS FLORES</t>
  </si>
  <si>
    <t>CAMPO KITA 2300 MINISTRO RIVADAVIA MINISTRO RIVADAVIA</t>
  </si>
  <si>
    <t>CASA DE LA CULTURA</t>
  </si>
  <si>
    <t>CASA DEL ENCUENTRO</t>
  </si>
  <si>
    <t>CASA DEL NIÑO VILLA PARIS</t>
  </si>
  <si>
    <t>CASA MUNICIPAL DE LA CULTURA DON ORIONE "LUIS SAND</t>
  </si>
  <si>
    <t>CAT COMEDOR PATITO FEO</t>
  </si>
  <si>
    <t>CEA 713</t>
  </si>
  <si>
    <t>CEA713</t>
  </si>
  <si>
    <t>CENTRO BARRIAL LA DUARTE</t>
  </si>
  <si>
    <t>Centro comunitario Francisco de Paula</t>
  </si>
  <si>
    <t>CENTRO COMUNITARIO MITAI</t>
  </si>
  <si>
    <t>CENTRO COMUNITARIO SOMOS BARRIOS DE PIE</t>
  </si>
  <si>
    <t>CENTRO COMUNITARIO Y SOCIAL EL GENDARME</t>
  </si>
  <si>
    <t>CENTRO CULTURAL MARY SANCHEZ 3731 CLAYPOLE CLAYPOLE</t>
  </si>
  <si>
    <t>CENTRO CULTURAL SANTA CLARA</t>
  </si>
  <si>
    <t>CENTRO CULTURAL SOC Y COMUNITARIO "LA UNIDAD"</t>
  </si>
  <si>
    <t>CENTRO CULTURAL Y SOCIAL CRO.MIGUEL A.CAPASSO</t>
  </si>
  <si>
    <t>CENTRO DE ACCESO A DERECHOS PARA MUJERES Y DISIDEN</t>
  </si>
  <si>
    <t>CIC DON ORIONE</t>
  </si>
  <si>
    <t>CLUB 8 DE DICIEMBRE</t>
  </si>
  <si>
    <t>CLUB ATLETICO Y SOCIAL VILLA CALZADA</t>
  </si>
  <si>
    <t>COMPROMISO CIUDADANO</t>
  </si>
  <si>
    <t>COMUNITARIO ALBERTO DIAZ</t>
  </si>
  <si>
    <t>CPA</t>
  </si>
  <si>
    <t>CPC EL ARCO</t>
  </si>
  <si>
    <t>DANONE 50 LONGCHAMPS LONGCHAMPS</t>
  </si>
  <si>
    <t>DELEGACION DON ORIONE 2648 DON ORIONE DON ORIONE</t>
  </si>
  <si>
    <t>DELEGACION GLEW 2871 GLEW GLEW</t>
  </si>
  <si>
    <t>DELEGACION LONGCHAMPAS FERRIOVIARIA 1242 LONGCHAMPS LONGCHAMPS</t>
  </si>
  <si>
    <t>DELEGACION MINISTRO RIVADAVIA 1000 MINISTRO RIVADAVIA MINISTRO RIVADAVIA</t>
  </si>
  <si>
    <t>E.P N° 9</t>
  </si>
  <si>
    <t>E.P.A N° 714</t>
  </si>
  <si>
    <t>EDUCANDO ARMONIA</t>
  </si>
  <si>
    <t>EEPA 701 710 ADROGUE ADROGUE</t>
  </si>
  <si>
    <t>EEPA 709 ESC N°57</t>
  </si>
  <si>
    <t>EEPPA714</t>
  </si>
  <si>
    <t>EES 61</t>
  </si>
  <si>
    <t>EL HORNERITO</t>
  </si>
  <si>
    <t>EP 33</t>
  </si>
  <si>
    <t>EP 36- SOCIEDAD DE FOMENTO BARRIO LA GLORIA</t>
  </si>
  <si>
    <t>EPA 703</t>
  </si>
  <si>
    <t>EPPA 704 ESCUELA N° 3</t>
  </si>
  <si>
    <t>EPPA 705</t>
  </si>
  <si>
    <t>EPPA 710 ESCUELA N°17 SOLDADO RAMON MORENO</t>
  </si>
  <si>
    <t>ESCUELA 12</t>
  </si>
  <si>
    <t>ESCUELA 40</t>
  </si>
  <si>
    <t>ESCUELA 46</t>
  </si>
  <si>
    <t>ESCUELA 61</t>
  </si>
  <si>
    <t>ESCUELA 72</t>
  </si>
  <si>
    <t>ESCUELA N°21</t>
  </si>
  <si>
    <t>ESCUELA N°52 FLORENTINO AMEGHINO</t>
  </si>
  <si>
    <t>ESCUELA N°78</t>
  </si>
  <si>
    <t>ESCUELA N1</t>
  </si>
  <si>
    <t>FELIPE VALLESE</t>
  </si>
  <si>
    <t>FRIDA KAHLO</t>
  </si>
  <si>
    <t>FUEGUITOS BROWN</t>
  </si>
  <si>
    <t>GINO STRAFORINI</t>
  </si>
  <si>
    <t>HOGAR EL ALBA</t>
  </si>
  <si>
    <t>HOGAR EL ALBA 803 MINISTRO RIVADAVIA MINISTRO RIVADAVIA</t>
  </si>
  <si>
    <t>HOGAR EL MAESTRO</t>
  </si>
  <si>
    <t>HONORABLE CONSEJO DELIBERANTE</t>
  </si>
  <si>
    <t>HONORABLE CONSEJO DELIBERANTE 778 ADROGUE ADROGUE</t>
  </si>
  <si>
    <t>HOSPITAL DR. ARTURO OÑATIVIA</t>
  </si>
  <si>
    <t>IGLESIA DE JESUCRISTO DE LOS ULTIMOS DIAS</t>
  </si>
  <si>
    <t>INTEGRACIÓN Y CULTURA</t>
  </si>
  <si>
    <t>ISAURO ARANCIBIA- EEPA 710</t>
  </si>
  <si>
    <t>JESUS ES EL PRIMER PASO</t>
  </si>
  <si>
    <t>LA ARBOLADA 350 LONGCHAMPS RAYO DE SOL</t>
  </si>
  <si>
    <t>LA CAMPOPRA-LA HERMOSA/ SONRISITAS</t>
  </si>
  <si>
    <t>LA CASITA DE MARIS 1332 MINISTRO RIVADAVIA MINISTRO RIVADAVIA</t>
  </si>
  <si>
    <t>LA FAROLA</t>
  </si>
  <si>
    <t>LA VOZ QUE CLAMA EN EL DESIERTO</t>
  </si>
  <si>
    <t>LAS LILAS 208 LONGCHAMPS LONGCHAMPS</t>
  </si>
  <si>
    <t>LOS CHICOS DE BETHERRAM</t>
  </si>
  <si>
    <t>LOS DESCAMISADOS</t>
  </si>
  <si>
    <t>LOS MAESTROS</t>
  </si>
  <si>
    <t>MADRES DE PLAZA</t>
  </si>
  <si>
    <t>MERENDERO 3 DE FEBRERO</t>
  </si>
  <si>
    <t>MERENDERO ARCO IRIS</t>
  </si>
  <si>
    <t>MERENDERO SANTA ROSA</t>
  </si>
  <si>
    <t>MUJERES EMPODERADAS</t>
  </si>
  <si>
    <t>MUNDO FELIZ</t>
  </si>
  <si>
    <t>Nidito de Cecilia</t>
  </si>
  <si>
    <t>NO FUE MAGIA</t>
  </si>
  <si>
    <t>NO FUE MAGIA E.P N°23</t>
  </si>
  <si>
    <t>NO ME OLVIDES</t>
  </si>
  <si>
    <t>NUNCA BAJEN LAS BANDERAS E.P N° 77</t>
  </si>
  <si>
    <t>PERONISMO MILITANTE 1050 BURZACO BURZACO</t>
  </si>
  <si>
    <t>POCHO LEPRATTI</t>
  </si>
  <si>
    <t>SOC DE FOMENTO BARRIO IPONA</t>
  </si>
  <si>
    <t>SOCIEDAD DE FOMENTO 17 DE AGOSTO</t>
  </si>
  <si>
    <t>SOCIEDAD DE FOMENTO BOUCHARD</t>
  </si>
  <si>
    <t>SOCIEDAD DE FOMENTO INTEGRACIÓN Y CULTURA</t>
  </si>
  <si>
    <t>SOCIEDAD DE FOMENTO LA ESTHER</t>
  </si>
  <si>
    <t>SOCIEDAD DE FOMENTO LOMAS DE BURZACO</t>
  </si>
  <si>
    <t>SOCIEDAD DE FOMENTO MANZANA 30</t>
  </si>
  <si>
    <t>SOL Y LUNA</t>
  </si>
  <si>
    <t>TIERRA DE BENDICIONES</t>
  </si>
  <si>
    <t>TITO TAVERNA</t>
  </si>
  <si>
    <t>UOCRA</t>
  </si>
  <si>
    <t>AGRUPACION ECHEVERRIA ACTIVA</t>
  </si>
  <si>
    <t>ASOCIACION CIVIL LATINOAMERICANA</t>
  </si>
  <si>
    <t>ASOCIACION CIVIL LATINOAMERICANA 1115 9 DE ABRIL</t>
  </si>
  <si>
    <t>ASOCIACION CIVIL SONRISAS</t>
  </si>
  <si>
    <t>BARRIO SAN CARLOS</t>
  </si>
  <si>
    <t>CENTRO COMUNITARIO NESTOR KIRCHNER</t>
  </si>
  <si>
    <t>COMEDOR LA QUINTA 4657 9 DE ABRIL</t>
  </si>
  <si>
    <t>COMEDOR LOS COLIBRIES 1200 MONTE GRANDE EL TRIUNFO</t>
  </si>
  <si>
    <t>comunidad organizada</t>
  </si>
  <si>
    <t>E.E.S. Nº 27</t>
  </si>
  <si>
    <t>EP Nº 1</t>
  </si>
  <si>
    <t>EP Nº 11</t>
  </si>
  <si>
    <t>EP Nº 14</t>
  </si>
  <si>
    <t>EP Nº 15</t>
  </si>
  <si>
    <t>EP Nº 17</t>
  </si>
  <si>
    <t>EP Nº 26</t>
  </si>
  <si>
    <t>EP Nº 27</t>
  </si>
  <si>
    <t>EP Nº 27 74 MONTE GRANDE</t>
  </si>
  <si>
    <t>EP Nº 41</t>
  </si>
  <si>
    <t>IGLESIA CRISTIANA NUEVA VISION</t>
  </si>
  <si>
    <t>IGLESIA CRISTIANA UN NUEVO TIEMPO 1883 9 DE ABRIL TRANSRADIO</t>
  </si>
  <si>
    <t>LOS ALTOS</t>
  </si>
  <si>
    <t>LOS SIN TECHO</t>
  </si>
  <si>
    <t>MERENDERO LOS PEKES- BARRIO LA PAZ 1839 9 DE ABRIL TRANSRADIO</t>
  </si>
  <si>
    <t>MERENDERO PEQUEÑOS TRAVIESOS</t>
  </si>
  <si>
    <t>MERENDERO REINO DEL REVES</t>
  </si>
  <si>
    <t>NORMA CARRILLO</t>
  </si>
  <si>
    <t>PEQUEÑOS GIGANTES</t>
  </si>
  <si>
    <t>RED PUENTES</t>
  </si>
  <si>
    <t>SOCIEDAD DE FOMENTO EL ZAIZAR</t>
  </si>
  <si>
    <t>SOCIEDAD DE FOMENTO LA CAMPANA</t>
  </si>
  <si>
    <t>SOCIEDAD DE FOMENTO LA MORITA 1379 EL JAGÜEL LA MORITA</t>
  </si>
  <si>
    <t>Sociedad de Fomento LAS FLORES 4635 CANNING LAS FLORES</t>
  </si>
  <si>
    <t>SOCIEDAD DE FOMENTO SAN MARTIN</t>
  </si>
  <si>
    <t>SOCIEDAD DE FOMENTO SANTA ISABEL</t>
  </si>
  <si>
    <t>Suteba</t>
  </si>
  <si>
    <t>UB OSVALDO ZAPATA</t>
  </si>
  <si>
    <t>UB OSVALDO ZAPATA S/N 9 DE ABRIL TRANSRADIO</t>
  </si>
  <si>
    <t>UNIDOS POR PARISH ROBERTSON 2191 LUIS GUILLON PARIS ROBERTSON</t>
  </si>
  <si>
    <t>ATOMICA DE EZEIZA</t>
  </si>
  <si>
    <t>BARRIO DEL PLATA</t>
  </si>
  <si>
    <t>BIBLIOTECA LA UNION 695 EZEIZA LA UNION</t>
  </si>
  <si>
    <t>BIBLIOTECA UTOPIA</t>
  </si>
  <si>
    <t>CAMINO DE VIDA 358 TRISTAN SUAREZ TRISTAN SUAREZ</t>
  </si>
  <si>
    <t>CENTRO DE PERSONAS SORDAS 834 EZEIZA EZEIZA</t>
  </si>
  <si>
    <t>CLUB ALTOS DE TRISTAN SUAREZ</t>
  </si>
  <si>
    <t>CLUB ATE</t>
  </si>
  <si>
    <t>CLUB VISTA ALEGRE</t>
  </si>
  <si>
    <t>CLUB VISTA ALEGRE 250 TRISTAN SUAREZ TRISTAN SUAREZ</t>
  </si>
  <si>
    <t>EL PORVENIR S/N TRISTAN SUAREZ TRISTAN SUAREZ</t>
  </si>
  <si>
    <t>EP 13</t>
  </si>
  <si>
    <t>EP 16</t>
  </si>
  <si>
    <t>EP 20</t>
  </si>
  <si>
    <t>EP 21</t>
  </si>
  <si>
    <t>EP 22</t>
  </si>
  <si>
    <t>EP 5</t>
  </si>
  <si>
    <t>EP 7</t>
  </si>
  <si>
    <t>ESCUELA CANALE</t>
  </si>
  <si>
    <t>ESCUELA FRENCH</t>
  </si>
  <si>
    <t>FINES EZEIZA</t>
  </si>
  <si>
    <t>POLO PRODUCTIVO</t>
  </si>
  <si>
    <t>SECRETARIA DE LA MUJER</t>
  </si>
  <si>
    <t>SOCIEDAD DE FOMENTO EL PINAR LA CELIA 2299 EZEIZA EZEIZA</t>
  </si>
  <si>
    <t>SOL DE ORO S/N LA UNION SOL DE ORO</t>
  </si>
  <si>
    <t>UTEDIC</t>
  </si>
  <si>
    <t>BARRIOS DE PIE</t>
  </si>
  <si>
    <t>CASA DE LOS ABUELOS</t>
  </si>
  <si>
    <t>CORAZONES SOLIDARIOS</t>
  </si>
  <si>
    <t>EEPA 702 - SOCIEDAD DE FOMENTO MARIANO MORENO</t>
  </si>
  <si>
    <t>EEPA 702 - UNIÓN VECINAL PARQUE AMERICANO</t>
  </si>
  <si>
    <t>EP N° 10</t>
  </si>
  <si>
    <t>EP N° 12</t>
  </si>
  <si>
    <t>EP N° 3</t>
  </si>
  <si>
    <t>EP N° 5</t>
  </si>
  <si>
    <t>EP N° 9</t>
  </si>
  <si>
    <t>EP N°11</t>
  </si>
  <si>
    <t>EP N°14</t>
  </si>
  <si>
    <t>EP N°2</t>
  </si>
  <si>
    <t>IGLESIA HAY VIDA EN JESUS</t>
  </si>
  <si>
    <t>MUNICIPALIDAD - AGRUP. 17 DE OCTUBRE - LA YAYA</t>
  </si>
  <si>
    <t>MUNICIPALIDAD - AGRUP. 17 DE OCTUBRE - NUMANCIA</t>
  </si>
  <si>
    <t>MUNICIPALIDAD - AGRUP. 17 DE OCTUBRE - NUMANCIA SU</t>
  </si>
  <si>
    <t>NUEVO ENCUENTRO</t>
  </si>
  <si>
    <t>UNA MIRADA DIFERENTE - JUNIOR MARQUEZ</t>
  </si>
  <si>
    <t>ASOCIACIÓN PROTECTORA DE NIÑOS</t>
  </si>
  <si>
    <t>E.E.S. N° 14</t>
  </si>
  <si>
    <t>E.P. N°23</t>
  </si>
  <si>
    <t>E.P. N°27</t>
  </si>
  <si>
    <t>E.P. N°29</t>
  </si>
  <si>
    <t>E.P. N°31</t>
  </si>
  <si>
    <t>E.P. N°4</t>
  </si>
  <si>
    <t>E.P. N°9</t>
  </si>
  <si>
    <t>E.P. Nº15</t>
  </si>
  <si>
    <t>E.S. N°7</t>
  </si>
  <si>
    <t>IGLESIA EL ARCA DE LA SALVACION</t>
  </si>
  <si>
    <t>IGLESIA EVANGELICA PENTECOSTAL</t>
  </si>
  <si>
    <t>LOCAL INSAURO ARANCIBIA</t>
  </si>
  <si>
    <t>PATRICIA ZACARIAS</t>
  </si>
  <si>
    <t>SUTEBA</t>
  </si>
  <si>
    <t>SUTEBA MOVIMIENTO MAYO</t>
  </si>
  <si>
    <t>TRES BANDERAS</t>
  </si>
  <si>
    <t>UNSAV</t>
  </si>
  <si>
    <t>BARRIO FERRO 1795 San Fernando Victoria</t>
  </si>
  <si>
    <t>BOCHIN CLUB s/n VIRREYES VIRREYES</t>
  </si>
  <si>
    <t>Centro Comunitario Del Carmen</t>
  </si>
  <si>
    <t>CLUB MARIA ISABEL 1833 VIRREYES VIRREYES</t>
  </si>
  <si>
    <t>Club Villa Najera 2432 SAN FERNANDO SAN FERNANDO</t>
  </si>
  <si>
    <t>CUEVA DEL JOVEN</t>
  </si>
  <si>
    <t>E.E.S.N°25</t>
  </si>
  <si>
    <t>E.E.S.N°7 S/N SAN FERNANDO ISLA MARTIN GARCIA</t>
  </si>
  <si>
    <t>E.P. N°20 S/N SAN FERNANDO 2DA SECCION ISLAS ARROYO MINI</t>
  </si>
  <si>
    <t>ESCUELA POPULAR SAN ROQUE 4469 SAN FERNANDO SAN ROQUE</t>
  </si>
  <si>
    <t>HOGAR ZANOCCHI</t>
  </si>
  <si>
    <t>I.M.S.S.A</t>
  </si>
  <si>
    <t>I.M.S.S.A 1803 San Fernando San Fernando</t>
  </si>
  <si>
    <t>IGLESIA BAUTISTA SAN FERNANDO 3307 San Fernando San Fernando</t>
  </si>
  <si>
    <t>PRESIDENTE PERON 200 San Fernando Virreyes</t>
  </si>
  <si>
    <t>ACEJ</t>
  </si>
  <si>
    <t>ARENASA S/N boulogne</t>
  </si>
  <si>
    <t>Biblioteca Madres Barrio Sauce</t>
  </si>
  <si>
    <t>Casa azul</t>
  </si>
  <si>
    <t>Casa azul 1807 beccar</t>
  </si>
  <si>
    <t>Engranajes 2431 boulogne</t>
  </si>
  <si>
    <t>EP 24 1150 boulogne</t>
  </si>
  <si>
    <t>FTE Cultura</t>
  </si>
  <si>
    <t>Futuro Abierto</t>
  </si>
  <si>
    <t>Futuro Abierto 2693 beccar</t>
  </si>
  <si>
    <t>Lanoscou</t>
  </si>
  <si>
    <t>ATRAMUTI 99 TIGRE BARRIO CARUPA</t>
  </si>
  <si>
    <t>BIBLIOTECA CRONOPIOS 153 DIQUE LUJÁN VILLA LA ÑATA</t>
  </si>
  <si>
    <t>BIBLIOTECA POPULAR RICARDO ROJAS 2505 RICARDO ROJAS CENTRO</t>
  </si>
  <si>
    <t>CAPILLA SAN ANTONIO S/N BENAVIDEZ BARRIO LA ESPERANZA</t>
  </si>
  <si>
    <t>CENTRO BARRIAL SAGRADA FAMILIA 3493 LOS TRONCOS DEL TALAR BARRIO SAGRADA FAMILIA</t>
  </si>
  <si>
    <t>CTA FENAT 655 RINCON DE MILBERG BARRIO RINCON DE MILBERG</t>
  </si>
  <si>
    <t>EP N°20</t>
  </si>
  <si>
    <t>EP N°20 699 GENERAL PACHECO BARRIO EL CASCO CENTRO</t>
  </si>
  <si>
    <t>EP N°34 1550 TIGRE BARRIO TIGRE CENTRO</t>
  </si>
  <si>
    <t>EPI CINA CINA</t>
  </si>
  <si>
    <t>FUNDACIÓN MÁS HUMANIDAD - GALARZA</t>
  </si>
  <si>
    <t>FUNDACIÓN MÁS HUMANIDAD - GALARZA 1850 RINCON DE MILBERG BARRIO RINCON DE MILBERG</t>
  </si>
  <si>
    <t>IGLESIA LA ESPERANZA S/N BENAVIDEZ</t>
  </si>
  <si>
    <t>LOCAL FRENTE DE TODOS</t>
  </si>
  <si>
    <t>SOCIEDAD DE FOMENTO EL RECREO</t>
  </si>
  <si>
    <t>Asociación Camino</t>
  </si>
  <si>
    <t>CENTRO SOCIAL PRODUCTIVO JUANA AZURDUY</t>
  </si>
  <si>
    <t>CFP UOM</t>
  </si>
  <si>
    <t>CIIE</t>
  </si>
  <si>
    <t>El Galpón 3935 Munro</t>
  </si>
  <si>
    <t>EP 30</t>
  </si>
  <si>
    <t>Escuelita El Ceibo</t>
  </si>
  <si>
    <t>Frente Social Peronista</t>
  </si>
  <si>
    <t>HOSPITAL CETRÁNGOLO</t>
  </si>
  <si>
    <t>Junta Vecinal Manuel Belgrano</t>
  </si>
  <si>
    <t>La Casita de Olivos</t>
  </si>
  <si>
    <t>Patronato del Liberado Bonaerense</t>
  </si>
  <si>
    <t>PLATENSE</t>
  </si>
  <si>
    <t>Residencia Presidencial</t>
  </si>
  <si>
    <t>SETIA</t>
  </si>
  <si>
    <t>ASOCIACION CIVIL DIEGO DUARTE</t>
  </si>
  <si>
    <t>Bach. Popular Esperanza- Anexo Iglesia nuestra señ 7200 GENERAL SAN MARTIN LOMA HERMOSA</t>
  </si>
  <si>
    <t>BACH. POPULAR ESPERANZA-ANEXO NEGRITO MANUEL 7345 GENERAL SAN MARTIN LOMA HERMOSA</t>
  </si>
  <si>
    <t>Bachillerato Popular la Esperanza Papeleros 4724 SAN MARTIN SAN MARTIN</t>
  </si>
  <si>
    <t>Biblioteca Popular La Carcova</t>
  </si>
  <si>
    <t>Biblioteca Popular La Carcova 2117 JOSE LEON SUAREZ LA CARCOVA</t>
  </si>
  <si>
    <t>Biblioteca Rioplatense 3772 Villa Ballester Villa Ballester</t>
  </si>
  <si>
    <t>Casa de Elena</t>
  </si>
  <si>
    <t>CEAMSE</t>
  </si>
  <si>
    <t>CEC PARQUE ESCUELA 1820 José León Suarez Villa Hidalgo</t>
  </si>
  <si>
    <t>CENEA CENTRO NACIONAL DE ENERGIA ATÓMICA 1499 Villa Maipú Villa Maipú</t>
  </si>
  <si>
    <t>Centro Cultural Los Amigos s/n VILLA BALLESTER BARRIO SARMIENTO</t>
  </si>
  <si>
    <t>Centro Integrador Comunitario Nestor Kirchner</t>
  </si>
  <si>
    <t>Centro Integrador Comunitario Nestor Kirchner 3146 San Andrés Villa Zagala</t>
  </si>
  <si>
    <t>CENTRO JUVENIL LA RANA 4100 San Andrés Villa Zagala</t>
  </si>
  <si>
    <t>CFL Gastronomicos 4189 SAN MARTIN SAN MARTIN</t>
  </si>
  <si>
    <t>Club Chacarita jr 2681 Villa Maipú Villa Maipú</t>
  </si>
  <si>
    <t>Club Diego Armando Maradona 5506 José León Suarez Costa Esperanza</t>
  </si>
  <si>
    <t>Club Flecha del Plata 1465 San Andrés San Andrés</t>
  </si>
  <si>
    <t>CMCI - Centro Municipal de Cuidado Infantil Loyola</t>
  </si>
  <si>
    <t>ColorBox 7895 José León Suarez Suarez</t>
  </si>
  <si>
    <t>COMEDOR MORUMBI 2</t>
  </si>
  <si>
    <t>CRECER DE A POCO 8628 Jose León Suarez Libertador</t>
  </si>
  <si>
    <t>FM Reconquista</t>
  </si>
  <si>
    <t>FM Reconquista 1366 José León Suarez Villa Hidalgo</t>
  </si>
  <si>
    <t>Hogar San Jose 840 San Andrés San Andrés</t>
  </si>
  <si>
    <t>INSTITUTO NACIONAL DE TECNOLOGIA INDUSTRIAL</t>
  </si>
  <si>
    <t>INSTITUTO NACIONAL DE TECNOLOGIA INDUSTRIAL 5455 Villa Maipú Villa Maipú</t>
  </si>
  <si>
    <t>Justicia Social 7671 Jose León Suarez Lanzone</t>
  </si>
  <si>
    <t>La Jabonería 4665 Villa Ballester Villa Ballester</t>
  </si>
  <si>
    <t>MANANTIAL DE BENDICIONES</t>
  </si>
  <si>
    <t>MUJERES RESILIENTES</t>
  </si>
  <si>
    <t>Pequeños Pasos</t>
  </si>
  <si>
    <t>Pequeños Pasos 6984 Jose León Suarez Libertador</t>
  </si>
  <si>
    <t>Rincon de luz 7850 JOSE LEON SUAREZ BARRIO 9 DE JULIO</t>
  </si>
  <si>
    <t>San Martin emprende 2652 SAN MARTIN SAN MARTIN</t>
  </si>
  <si>
    <t>SMATA Unidad de los trabajadores 2456 General San Martín San Martín</t>
  </si>
  <si>
    <t>UNIDAD 47 S/N José León Suarez Suarez</t>
  </si>
  <si>
    <t>UNSAM BELGRANO</t>
  </si>
  <si>
    <t>UOM 4538 Villa Ballester Villa Ballester</t>
  </si>
  <si>
    <t>Cea 707</t>
  </si>
  <si>
    <t>CENTRO CULTURAL WILLIAM MORRIS</t>
  </si>
  <si>
    <t>CFP Camargo ¨Malvinas Arg¨</t>
  </si>
  <si>
    <t>CFP Malvinas Argentinas Solis</t>
  </si>
  <si>
    <t>Consejo Escolar</t>
  </si>
  <si>
    <t>Desarrollo Social B Mitre</t>
  </si>
  <si>
    <t>Epa 702</t>
  </si>
  <si>
    <t>Epa 703</t>
  </si>
  <si>
    <t>Heroes de malvinas</t>
  </si>
  <si>
    <t>Iglesia Esmirna</t>
  </si>
  <si>
    <t>Iglesia Nuevo Tiempo (ex catedral de la fé)</t>
  </si>
  <si>
    <t>Iglesia Tiempo de Dios 1510 Morris Morris</t>
  </si>
  <si>
    <t>Juana Azurduy</t>
  </si>
  <si>
    <t>Parroquia San Damian</t>
  </si>
  <si>
    <t>Polo Educativo 1338 Hurlingham Hurlingham</t>
  </si>
  <si>
    <t>Polo Productivo / Empleo</t>
  </si>
  <si>
    <t>SUM ¨Los Milagros¨</t>
  </si>
  <si>
    <t>AFMC (ASO)</t>
  </si>
  <si>
    <t>ASOCIACIÓN CIVIL ( ASI) 829 VILLA BOSCH</t>
  </si>
  <si>
    <t>ASOCIACIÓN CIVIL JUANA TOLEDO</t>
  </si>
  <si>
    <t>ASOCIACIÓN CIVIL JUANA TOLEDO 850 LOMA HERMOSA</t>
  </si>
  <si>
    <t>BACHILLERATO LIBERTADOR</t>
  </si>
  <si>
    <t>BACHILLERATO POPULAR EJERCITO DE LOS ANDES</t>
  </si>
  <si>
    <t>CAPILLA CAACUPE ESQUINA LOMA HERMOSA BARRIO LIBERTADOR</t>
  </si>
  <si>
    <t>CASA DEL EMPRENDEDOR S/N LOMA HERMOSA</t>
  </si>
  <si>
    <t>CENTRO A LA OLLA</t>
  </si>
  <si>
    <t>CENTRO COMUNITARIO JUANA AZURDUY 613 LOMA HERMOSA</t>
  </si>
  <si>
    <t>CENTRO CULTURAL PROF. ANDRES ESPAÑOL 7712 LOMA HERMOSA</t>
  </si>
  <si>
    <t>CENTRO CULTURAL RAICES COMPAÑERAS</t>
  </si>
  <si>
    <t>CENTRO CULTURAL RAICES COMPAÑERAS 9255 PABLO PODESTÁ</t>
  </si>
  <si>
    <t>CENTRO DESCAMISADXS 4841 CASEROS CASEROS CENTRO</t>
  </si>
  <si>
    <t>CENTRO SOCIOEDUCATIVO LIBERTADOR S/N LOMA HERMOSA BARRIO LIBERTADOR</t>
  </si>
  <si>
    <t>CLUB DE LEONES VILLA BOSCH</t>
  </si>
  <si>
    <t>CORRIENTE PUEBLO UNIDO TDF</t>
  </si>
  <si>
    <t>DELEGACION TRES DE FEBRERO PATRONATO DE LIBERADOS</t>
  </si>
  <si>
    <t>EP Nº 25 1950 CIUDADELA LOS RUSSOS</t>
  </si>
  <si>
    <t>ES Nº 3</t>
  </si>
  <si>
    <t>FUNDACIÓN DE LA CALLE A LA VIDA</t>
  </si>
  <si>
    <t>FUNDACIÓN DE LA CALLE A LA VIDA 4289 CASEROS CASEROS SUR</t>
  </si>
  <si>
    <t>IGLESIA ITATI PUERTA 8</t>
  </si>
  <si>
    <t>LA CASA DE AXEL 4793 CASEROS CASEROS CENTRO</t>
  </si>
  <si>
    <t>LIBERADOS</t>
  </si>
  <si>
    <t>UB MACACHA GUEMES 1390 VILLA BOSCH</t>
  </si>
  <si>
    <t>Union Obrera Metalurgica 4943 CASEROS CASEROS CENTRO</t>
  </si>
  <si>
    <t>UNTREF</t>
  </si>
  <si>
    <t>Ituzaingo</t>
  </si>
  <si>
    <t>CDS Juana Azurduy</t>
  </si>
  <si>
    <t>CDS San Antonio 2160 Ituzaingó Ituzaingó Sur</t>
  </si>
  <si>
    <t>CIC Barrionuevo</t>
  </si>
  <si>
    <t>Club 1ro de Mayo</t>
  </si>
  <si>
    <t>Construyendo Futuro 995 Ituzaingó Ituzaingó Sur</t>
  </si>
  <si>
    <t>El amor y la igualdad</t>
  </si>
  <si>
    <t>Esc de Educ. Especial Picasso</t>
  </si>
  <si>
    <t>Esc. de Educ. Especial Juntos a La Par</t>
  </si>
  <si>
    <t>Escuela Recuperadora</t>
  </si>
  <si>
    <t>La Compañera</t>
  </si>
  <si>
    <t>La Juana</t>
  </si>
  <si>
    <t>La Juana 3543 Ituzaingó Villa León</t>
  </si>
  <si>
    <t>Las Evas y la Pialada Ituzaingó Villa León</t>
  </si>
  <si>
    <t>Manitos Sucias</t>
  </si>
  <si>
    <t>Nuevo Centenario</t>
  </si>
  <si>
    <t>Polo Productivo</t>
  </si>
  <si>
    <t>Sec. de Producción</t>
  </si>
  <si>
    <t>UB 1ro de julio</t>
  </si>
  <si>
    <t>UB Aredes 2005 Ituzaingó Ituzaingó Centro</t>
  </si>
  <si>
    <t>UB Carlos Caride</t>
  </si>
  <si>
    <t>UB Juana Azurduy</t>
  </si>
  <si>
    <t>UB La Pingui</t>
  </si>
  <si>
    <t>13 DE ABRIL. UB NITO CAMPISI 1747 PARQUE SAN MARTIN -</t>
  </si>
  <si>
    <t>A.C. MANUEL DORREGO</t>
  </si>
  <si>
    <t>CAPILLA SAN CAYETANO M. ACOSTA</t>
  </si>
  <si>
    <t>Capilla San Cayetano-Pontevedra 2850 PONTEVEDRA B. LAS TEJAS</t>
  </si>
  <si>
    <t>CAPILLA SAN JOSE OBRERO</t>
  </si>
  <si>
    <t>CAPILLA SANTA ISABEL</t>
  </si>
  <si>
    <t>CASA LOS PINOS</t>
  </si>
  <si>
    <t>CENTRO CULTURAL ESPACIO PATRIA 1351 LIBERTAD B. NUEVO</t>
  </si>
  <si>
    <t>CIC RIO ALEGRE</t>
  </si>
  <si>
    <t>CLUB DE JUBILADOS. BDP</t>
  </si>
  <si>
    <t>CLUB PARQUE SAN MARTIN</t>
  </si>
  <si>
    <t>CLUB SANTA LUCIA</t>
  </si>
  <si>
    <t>E.E.S Nº64</t>
  </si>
  <si>
    <t>E.E.S. N° 73</t>
  </si>
  <si>
    <t>E.E.S. N° 74</t>
  </si>
  <si>
    <t>E.P. N° 32</t>
  </si>
  <si>
    <t>E.P. N° 40</t>
  </si>
  <si>
    <t>E.P. N° 40 S/N MARIANO ACOSTA VILLA POSSE</t>
  </si>
  <si>
    <t>E.P. N° 46</t>
  </si>
  <si>
    <t>E.P. N° 58</t>
  </si>
  <si>
    <t>E.P. N° 6</t>
  </si>
  <si>
    <t>E.P. N° 68</t>
  </si>
  <si>
    <t>E.P. N° 70</t>
  </si>
  <si>
    <t>E.P. N° 71</t>
  </si>
  <si>
    <t>E.P. N° 75</t>
  </si>
  <si>
    <t>E.P. N° 8</t>
  </si>
  <si>
    <t>E.P. Nº 62</t>
  </si>
  <si>
    <t>E.P. Nº14 1670 PADUA NORTE</t>
  </si>
  <si>
    <t>E.P. Nº69</t>
  </si>
  <si>
    <t>E.S. N°76</t>
  </si>
  <si>
    <t>EES 43 - SOC-MOV.MAYO 696 LIBERTAD. HELVECIA</t>
  </si>
  <si>
    <t>ENVIÓN ARCOIRIS 1047 AGUSTIN FERRARI B. ARCOIRIS</t>
  </si>
  <si>
    <t>EP N° 78</t>
  </si>
  <si>
    <t>EP N°55</t>
  </si>
  <si>
    <t>EPA N° 704</t>
  </si>
  <si>
    <t>ESCUELA PRIMARIA N°26</t>
  </si>
  <si>
    <t>ESCUELA PRIMARIA N°54 PCIA. DE MENDOZA</t>
  </si>
  <si>
    <t>ESCUELA PRIMARIA N°66</t>
  </si>
  <si>
    <t>ESCUELA PRIMARIA Nº 7</t>
  </si>
  <si>
    <t>ESCUELA PRIMARIA Nº21</t>
  </si>
  <si>
    <t>ESCUELA PRIMARIA Nº33</t>
  </si>
  <si>
    <t>ESCUELA PRIMARIA Nº50</t>
  </si>
  <si>
    <t>ESCUELA PRIMARIA Nº79</t>
  </si>
  <si>
    <t>FRENTE RENOVADOR</t>
  </si>
  <si>
    <t>FUNDACION PASCUAS</t>
  </si>
  <si>
    <t>GUPO SCOUT A. LAGOMARSINO</t>
  </si>
  <si>
    <t>IGLESIA SAN LUIS GONZAGA</t>
  </si>
  <si>
    <t>LA NEGRITA PEM 830 MARIANO ACOSTA B. LAS AMERICAS</t>
  </si>
  <si>
    <t>LA SAN ANTONIO</t>
  </si>
  <si>
    <t>PUNTO DE ENCUENTRO</t>
  </si>
  <si>
    <t>PUNTO DIGITAL</t>
  </si>
  <si>
    <t>SALON COMUNITARIO SAN JOSE OBRERO</t>
  </si>
  <si>
    <t>SI PODEMOS 580 MERLO CENTRO</t>
  </si>
  <si>
    <t>SOC. FOMENTO UNION Y PROGRESO</t>
  </si>
  <si>
    <t>SOCIEDAD DE FOMENTO JUANA AZURDUY</t>
  </si>
  <si>
    <t>SOCIEDAD DE FOMENTO JUANA AZURDUY 1899 MERLO NORTE</t>
  </si>
  <si>
    <t>SUBSECRETARIA DE CIENCIAS, INNOVACIÓN Y TECNOLOGÍA</t>
  </si>
  <si>
    <t>SUBSECRETARIA DE CIENCIAS, INNOVACIÓN Y TECNOLOGÍA 295 MERLO CENTRO</t>
  </si>
  <si>
    <t>UNIVERSIDAD POPULAR BDP</t>
  </si>
  <si>
    <t>VIVERO AZUCENA BELLA FLOR</t>
  </si>
  <si>
    <t>CASA ESQUINA LIBERTAD SAN JUAN</t>
  </si>
  <si>
    <t>CASA MALVINAS</t>
  </si>
  <si>
    <t>Casa Pueblo 1133 El Palomar</t>
  </si>
  <si>
    <t>CENTRO CULTURAL LA GLORIOSA</t>
  </si>
  <si>
    <t>CENTRO DE JUBILADOS IMAN 2163 Castelar</t>
  </si>
  <si>
    <t>CENTRO DE JUBILADOS JOSE HERNANDEZ 556 Castelar</t>
  </si>
  <si>
    <t>CLUB DEPORTIVO MORON</t>
  </si>
  <si>
    <t>DIRECCIÓN DE VIALIDAD</t>
  </si>
  <si>
    <t>EP 31 BARRIO GAONA</t>
  </si>
  <si>
    <t>FOETRA</t>
  </si>
  <si>
    <t>MTE 817 Morón</t>
  </si>
  <si>
    <t>Obrador Municipal</t>
  </si>
  <si>
    <t>SECRETARIA DE EDUCACION</t>
  </si>
  <si>
    <t>SINDICATO DE TRABAJADORES MUNICIPALES</t>
  </si>
  <si>
    <t>SOCIEDAD DE FOMENTO GENERAL SAN MARTIN</t>
  </si>
  <si>
    <t>UGC N° 5 3520 Castelar</t>
  </si>
  <si>
    <t>UGC Nº 12 350 El Palomar</t>
  </si>
  <si>
    <t>UGC Nº 2</t>
  </si>
  <si>
    <t>UNION FERROVIARIOS 290 Haedo</t>
  </si>
  <si>
    <t>José C Paz</t>
  </si>
  <si>
    <t>Asociación Huellas de Fuego</t>
  </si>
  <si>
    <t>CENTRO COMUNITARIO JUNTOS POR EL BARRIO S/N José C. Paz</t>
  </si>
  <si>
    <t>Centro de Formación y Promoción de Derechos</t>
  </si>
  <si>
    <t>Encuentro Peronista</t>
  </si>
  <si>
    <t>La Dignidad</t>
  </si>
  <si>
    <t>Sede 133</t>
  </si>
  <si>
    <t>SEDE 135</t>
  </si>
  <si>
    <t>Sede 136</t>
  </si>
  <si>
    <t>SEDE 141</t>
  </si>
  <si>
    <t>Sede 143</t>
  </si>
  <si>
    <t>SEDE 146 4645 José C. Paz</t>
  </si>
  <si>
    <t>SEDE 150</t>
  </si>
  <si>
    <t>SEDE 153</t>
  </si>
  <si>
    <t>SEDE 157</t>
  </si>
  <si>
    <t>SEDE 158</t>
  </si>
  <si>
    <t>SEDE 160 5014 José C. Paz</t>
  </si>
  <si>
    <t>SEDE 161 S/N José C. Paz</t>
  </si>
  <si>
    <t>SEDE 162 3339 José C. Paz</t>
  </si>
  <si>
    <t>SEDE 19</t>
  </si>
  <si>
    <t>SEDE 33</t>
  </si>
  <si>
    <t>SEDE 40</t>
  </si>
  <si>
    <t>Sede 54</t>
  </si>
  <si>
    <t>Sede 7 1349 José C. Paz</t>
  </si>
  <si>
    <t>C C ISAURO</t>
  </si>
  <si>
    <t>CAPILLA DEL NIÑO DIOS</t>
  </si>
  <si>
    <t>CAPILLA SUMAMPA 1381 ADOLFO SOURDEAUX</t>
  </si>
  <si>
    <t>CENTRO CULTURAL ISAURO</t>
  </si>
  <si>
    <t>EL DERECHO DE LOS ABUELOS</t>
  </si>
  <si>
    <t>ESCUELA NRO 701</t>
  </si>
  <si>
    <t>ESCUELA NUMERO 20</t>
  </si>
  <si>
    <t>ESCUELA NUMERO 702</t>
  </si>
  <si>
    <t>ESCUELA NUMERO 704</t>
  </si>
  <si>
    <t>IGLESIA SAN PABLO</t>
  </si>
  <si>
    <t>INSTITUTO A. S.</t>
  </si>
  <si>
    <t>INSTITUTO A. S. 1071 GRAND BOURG</t>
  </si>
  <si>
    <t>MANOS ABIERTAS</t>
  </si>
  <si>
    <t>MARTIN FIERRO</t>
  </si>
  <si>
    <t>NUEVA JERUSALEN</t>
  </si>
  <si>
    <t>PASTOR JULIO MESAROS</t>
  </si>
  <si>
    <t>SAN PASCUAL 272 GRAND BOURG</t>
  </si>
  <si>
    <t>SOMOS BARRIOS DE PIE 1156 GRAND BOURG</t>
  </si>
  <si>
    <t>ATENEO NK- FRANCISCO ALVAREZ</t>
  </si>
  <si>
    <t>CAPILLA CURA BROCHERO</t>
  </si>
  <si>
    <t>CAPILLA LA REJA</t>
  </si>
  <si>
    <t>CAPILLA LOURDES -2</t>
  </si>
  <si>
    <t>CAPILLA MARIA AUXILIADORA</t>
  </si>
  <si>
    <t>CASA ARCO IRIS</t>
  </si>
  <si>
    <t>CASA JOVEN CASASCO</t>
  </si>
  <si>
    <t>CENTRO COMUNITARIO 23 DE DICIEMBRE</t>
  </si>
  <si>
    <t>CENTRO CULTURAL CHICHILO - MOVIMIENTO EVITA</t>
  </si>
  <si>
    <t>CENTRO CULTURAL EL NUEVO REBENQUE</t>
  </si>
  <si>
    <t>CENTRO CULTURAL LOS NADIES - MOVIMIENTO EVITA</t>
  </si>
  <si>
    <t>CENTRO CULTURAL SEBASTIAN BORDON - MOVIMIENTO EVIT</t>
  </si>
  <si>
    <t>CLUB ALTOS DE LA REJA - MOVIMIENTO EVITA</t>
  </si>
  <si>
    <t>CLUB SAN CARLOS</t>
  </si>
  <si>
    <t>CLUB SOCIAL Y DEPORTIVO ARQUITECTURA</t>
  </si>
  <si>
    <t>CLUB SOCIAL, CULTURAL Y DEPORTIVO LA REJA</t>
  </si>
  <si>
    <t>COMEDOR Y ESCUELA DE OFICIOS LULA DA SILVA</t>
  </si>
  <si>
    <t>DESCAMISADOS- MOVIMIENTO EVITA</t>
  </si>
  <si>
    <t>EEPA 701</t>
  </si>
  <si>
    <t>EESCUELA SECUNDARIA 70 - MOVIMIENTO EVITA</t>
  </si>
  <si>
    <t>ELENA TORRES</t>
  </si>
  <si>
    <t>EP 1 - MOVIMIENTO EVITA</t>
  </si>
  <si>
    <t>ESCUELA DE FORMACION TECNICA PROFESIONAL</t>
  </si>
  <si>
    <t>ESCUELA SECUNDARIA 11 - MOVIMIENTO EVITA</t>
  </si>
  <si>
    <t>FRENTE DE ORGANIZACIONES EN LUCHA- 2000</t>
  </si>
  <si>
    <t>FRENTE DE ORGANIZACIONES EN LUCHA- CASASCO</t>
  </si>
  <si>
    <t>FRENTE DE ORGANIZACIONES EN LUCHA- GAONA</t>
  </si>
  <si>
    <t>FUNDACIÓN LA CASITA</t>
  </si>
  <si>
    <t>IGUALDAD Y JUSTICIA</t>
  </si>
  <si>
    <t>INSTITUTO PENSAR MORENO</t>
  </si>
  <si>
    <t>JARDIN MATERNAL MI GRANJITA</t>
  </si>
  <si>
    <t>JUNTOS POR CASCALLARES</t>
  </si>
  <si>
    <t>LA CANCHA DE PONCE</t>
  </si>
  <si>
    <t>LA HUELLA</t>
  </si>
  <si>
    <t>MOVIMIENTO MAYO</t>
  </si>
  <si>
    <t>MOVIMIENTO TERRITORIAL DE LIBERACIÓN -</t>
  </si>
  <si>
    <t>MOVIMIENTO TERRITORIAL DE LIBERACIÓN - VILLA ANGEL</t>
  </si>
  <si>
    <t>MUTUAL ALMASFUERTES</t>
  </si>
  <si>
    <t>Oportunidades</t>
  </si>
  <si>
    <t>PARROQUIA MARIA MADRE DE DIOS</t>
  </si>
  <si>
    <t>PRIMARIA 41</t>
  </si>
  <si>
    <t>PRIMARIA 54 - MOVIMIENTO EVITA</t>
  </si>
  <si>
    <t>PRIMARIA 68 - MOVIMIENTO EVITA</t>
  </si>
  <si>
    <t>PRIMARIA 74</t>
  </si>
  <si>
    <t>SEDE CUARTEL V</t>
  </si>
  <si>
    <t>SOCIEDAD DE FOMENTO CORTEJARENA</t>
  </si>
  <si>
    <t>SOCIEDAD DE FOMENTO JARDINES 1</t>
  </si>
  <si>
    <t>SOCIEDAD DE FOMENTO ROCA - MOVIMIENTO EVITA</t>
  </si>
  <si>
    <t>SOCIEDAD DE FOMENTO VILLA ANITA</t>
  </si>
  <si>
    <t>SUM HARAS</t>
  </si>
  <si>
    <t>TABERNACULO DE LIBERACIÓN</t>
  </si>
  <si>
    <t>VEN SEREMOS</t>
  </si>
  <si>
    <t>ATENEO CFK</t>
  </si>
  <si>
    <t>Capilla de la Purisima y Santo Cura Brochero</t>
  </si>
  <si>
    <t>CAPILLA LUJAN</t>
  </si>
  <si>
    <t>CAPILLA SAN LUIS GOZAGA S/N SAN MIGUEL TRUJUI</t>
  </si>
  <si>
    <t>CAPILLA SANTA RITA</t>
  </si>
  <si>
    <t>CTA AUTONOMA 5819 Bella Vista San Ambrosio</t>
  </si>
  <si>
    <t>EEPA N°701</t>
  </si>
  <si>
    <t>ESCUELA N°23</t>
  </si>
  <si>
    <t>ESCUELA N°35</t>
  </si>
  <si>
    <t>GRITO DE CORAZON</t>
  </si>
  <si>
    <t>SOCIEDAD DE FOMENTO OLEGARIO ANDRADE 5760 SANTA MARIA LOS PARAISOS</t>
  </si>
  <si>
    <t>SOCIEDAD DE FOMENTO REY DE MARES</t>
  </si>
  <si>
    <t>Capilla Cristo Obrero y Campesino</t>
  </si>
  <si>
    <t>Casa 25 de Febrero</t>
  </si>
  <si>
    <t>Casa de CGT Regional Cañuelas</t>
  </si>
  <si>
    <t>CENS N* 451</t>
  </si>
  <si>
    <t>CFL Nº 401</t>
  </si>
  <si>
    <t>EEP Nº 30 KM 54 PETIÓN PETIÓN</t>
  </si>
  <si>
    <t>EES N*3</t>
  </si>
  <si>
    <t>EES N*4</t>
  </si>
  <si>
    <t>EES Nº 7 S/N UDAONDO UDAONDO</t>
  </si>
  <si>
    <t>IGLESIA CRISTO OBRERO Y CAMPESINO 255 MÁXIMO PAZ BELGRANO</t>
  </si>
  <si>
    <t>La Garita</t>
  </si>
  <si>
    <t>LAS PRADERAS</t>
  </si>
  <si>
    <t>No fue Magia</t>
  </si>
  <si>
    <t>Paraje La Noria</t>
  </si>
  <si>
    <t>Soc de Fto 12 de Octubre</t>
  </si>
  <si>
    <t>Soc. Fto Villa Adriana</t>
  </si>
  <si>
    <t>Soc. Fto Villa Adriana 100 VILLA ADRIANA VILLA ADRIANA</t>
  </si>
  <si>
    <t>UOMA</t>
  </si>
  <si>
    <t>AULAS MODULARES CFP 50 General Las Heras Las Heras</t>
  </si>
  <si>
    <t>Bomberos Voluntarios Gral. Las Heras 1131 General Las Heras Las Heras</t>
  </si>
  <si>
    <t>CLUB CAZA Y PESCA ESQ. LUIS BUZZI General Las Heras Las Heras</t>
  </si>
  <si>
    <t>EP N°8</t>
  </si>
  <si>
    <t>EP N°8 Sin numero General Las Heras Villars</t>
  </si>
  <si>
    <t>EP N°9 Sin numero General Las Heras La Choza</t>
  </si>
  <si>
    <t>EP Nº2 SIN NUMERO ENRIQUE FYNN ENRIQUE FYNN</t>
  </si>
  <si>
    <t>EP Nº6 SIN NUMERO CUATEL III CUARTEL III</t>
  </si>
  <si>
    <t>Punto Digital</t>
  </si>
  <si>
    <t>SUM EP Nº1</t>
  </si>
  <si>
    <t>General Rodriguez</t>
  </si>
  <si>
    <t>ATILRA</t>
  </si>
  <si>
    <t>Capilla San Cayetano</t>
  </si>
  <si>
    <t>Casa Barrial 9 s/n Gral Rodriguez Agua de Oro</t>
  </si>
  <si>
    <t>Casa de adultos mayores EVA PERON</t>
  </si>
  <si>
    <t>Centro Cultural German Abdala</t>
  </si>
  <si>
    <t>Club de Futbol "Güemes" S/N General Rodriguez Güemes</t>
  </si>
  <si>
    <t>Club Parque Irigoyen</t>
  </si>
  <si>
    <t>Comedor " El sol sale para todos" 1017 General Rodriguez Pico Rojo</t>
  </si>
  <si>
    <t>Comedor y merendero Los Duendecitos s/n Parque Joly Parque Joly</t>
  </si>
  <si>
    <t>DANONE SA s/n General Rodriguez General Rodriguez</t>
  </si>
  <si>
    <t>EP 16 352 General Rodriguez Los Arómos</t>
  </si>
  <si>
    <t>EP 23</t>
  </si>
  <si>
    <t>EP 23 s/n Marabo Marabo</t>
  </si>
  <si>
    <t>Ep 9- Sociedad de Fomento Parque San Martín</t>
  </si>
  <si>
    <t>Escuela Primaria N° 9</t>
  </si>
  <si>
    <t>Fuente de Restauración Familiar</t>
  </si>
  <si>
    <t>Hospital Sommer 23.500 Sommer Sommer</t>
  </si>
  <si>
    <t>La Cámpora</t>
  </si>
  <si>
    <t>Museo " Enrique Cadicamo"</t>
  </si>
  <si>
    <t>Quinta 4</t>
  </si>
  <si>
    <t>Sociedad de Fomento "Parque La Argentina"</t>
  </si>
  <si>
    <t>Sociedad de Fomento Altos del Oeste</t>
  </si>
  <si>
    <t>Taller Protegido</t>
  </si>
  <si>
    <t>UB Néstor K</t>
  </si>
  <si>
    <t>Vencer Para Vivir Quinta 9</t>
  </si>
  <si>
    <t>10 de agosto 125 Lujan Barrio 10 de agosto</t>
  </si>
  <si>
    <t>ATUNLU SN LUJAN</t>
  </si>
  <si>
    <t>Carlitos Fernandez</t>
  </si>
  <si>
    <t>casa cultural por la memoria</t>
  </si>
  <si>
    <t>CENTRO COMUNITARIO MI QUERIDO WEMBLEY</t>
  </si>
  <si>
    <t>CENTRO COMUNITARIO OPEN DOOR SN OPEN DOOR BARRIO LUCHETTI</t>
  </si>
  <si>
    <t>CIC</t>
  </si>
  <si>
    <t>CLUB FLANDRIA</t>
  </si>
  <si>
    <t>CLUB FLANDRIA 271 JAUREGUI</t>
  </si>
  <si>
    <t>CLUB LUJAN SN LUJAN BARRIO SAN EMILIO</t>
  </si>
  <si>
    <t>constantini 1820 LUJAN EL QUINTO</t>
  </si>
  <si>
    <t>Cta de los trabajadores 1167 Lujan Centro</t>
  </si>
  <si>
    <t>EPA 701</t>
  </si>
  <si>
    <t>EPA 701 878 Lujan Centro</t>
  </si>
  <si>
    <t>Escuela 13</t>
  </si>
  <si>
    <t>Escuela 13 498 torres</t>
  </si>
  <si>
    <t>ESCUELA 2</t>
  </si>
  <si>
    <t>escuela 9</t>
  </si>
  <si>
    <t>frente renovador</t>
  </si>
  <si>
    <t>HOGARES DE CRISTO SN LUJAN PADRE VARELA</t>
  </si>
  <si>
    <t>LA CAMPORA SN OPEN DOOR BARRIO LUCHETTI</t>
  </si>
  <si>
    <t>MILITANCIA ORGANIZADA 479 LUJAN EL QUINTO</t>
  </si>
  <si>
    <t>Partido Justicialista Lujan</t>
  </si>
  <si>
    <t>Polo productivo de la municipalidad</t>
  </si>
  <si>
    <t>santa marta</t>
  </si>
  <si>
    <t>SOC FOMENTO CARLOS KEEN CARLOS KEEN SN CARLOS KEEN CARLOS KEEN</t>
  </si>
  <si>
    <t>sociedad de fomento sarmiento</t>
  </si>
  <si>
    <t>SOCIEDAD FOMENTO LUNA</t>
  </si>
  <si>
    <t>SOCIEDAD FOMENTO SAN PEDRO S/N LUJAN SAN PEDRO</t>
  </si>
  <si>
    <t>VILLA DEL PARQUE 1755 Lujan Villa del parque</t>
  </si>
  <si>
    <t>ZAPIOLA SN LUJAN</t>
  </si>
  <si>
    <t>CASA PERONISTA</t>
  </si>
  <si>
    <t>CASA PERONISTA 231 Marcos Paz Centro</t>
  </si>
  <si>
    <t>Cens n°452</t>
  </si>
  <si>
    <t>CENTRO COMUNITARIO JUAN TAKARA</t>
  </si>
  <si>
    <t>Crece desde el pie</t>
  </si>
  <si>
    <t>EEE N° 502</t>
  </si>
  <si>
    <t>EP N° 13</t>
  </si>
  <si>
    <t>EVA PERON</t>
  </si>
  <si>
    <t>EX ESCUELA TECNICA</t>
  </si>
  <si>
    <t>FABRICA RECUPERADA MASTER CHEESE 1149 Marcos Paz Centro</t>
  </si>
  <si>
    <t>JARDIN N° 912 424 Marcos Paz marcos paz</t>
  </si>
  <si>
    <t>PERONISMO EN MARCHA 86 Marcos Paz Centro</t>
  </si>
  <si>
    <t>SINDICATO EMPLEADOS MUNICIPALES</t>
  </si>
  <si>
    <t>TALLER PROTEGIDO SAN MARCOS</t>
  </si>
  <si>
    <t>Umi Bernasconi</t>
  </si>
  <si>
    <t>UMI BICENTENARIO</t>
  </si>
  <si>
    <t>UMI DON ROLANDO</t>
  </si>
  <si>
    <t>Umi San Eduardo</t>
  </si>
  <si>
    <t>UMI SANTA ROSA</t>
  </si>
  <si>
    <t>Urioste</t>
  </si>
  <si>
    <t>CENTRO COMUNITARIO y DEPORTIVO MUNICIPAL NESTOR KI S/N Mercedes</t>
  </si>
  <si>
    <t>COMUNIDAD RAICES</t>
  </si>
  <si>
    <t>EP 702</t>
  </si>
  <si>
    <t>EP 704</t>
  </si>
  <si>
    <t>HORNERO S/n Mercedes</t>
  </si>
  <si>
    <t>INSTITUTO UNZUE</t>
  </si>
  <si>
    <t>SOCIEDAD DE FOM. GOWLAND</t>
  </si>
  <si>
    <t>SOCIEDAD DE FOMENTO ALMAFUERTE S/n Mercedes</t>
  </si>
  <si>
    <t>UTT Km 100 Mercedes</t>
  </si>
  <si>
    <t>Bomberos Voluntarios de Navarro S/N Navarro Navarro</t>
  </si>
  <si>
    <t>Centro Cristiano FE S/N Navarro Navarro</t>
  </si>
  <si>
    <t>Centro de Jubilados LAS MARIANAS S/N Las Marianas</t>
  </si>
  <si>
    <t>Centro de Jubilados Navarro S/N Navarro Navarro</t>
  </si>
  <si>
    <t>Centro de Jubilados S/N Villa Moll</t>
  </si>
  <si>
    <t>E.E.S. n3</t>
  </si>
  <si>
    <t>E.E.S. n4</t>
  </si>
  <si>
    <t>EFIN S/N Navarro Navarro</t>
  </si>
  <si>
    <t>EES.N °9</t>
  </si>
  <si>
    <t>LA CAMPORA</t>
  </si>
  <si>
    <t>SUM BICENTENARIO</t>
  </si>
  <si>
    <t>villa espil</t>
  </si>
  <si>
    <t>BIBLIOTECA POPULARY MUSEO JOSE MANUEL ESTRADA</t>
  </si>
  <si>
    <t>CLUB DE JUBILADOS BALCARCE</t>
  </si>
  <si>
    <t>EP N°1</t>
  </si>
  <si>
    <t>ESCUELA PRIMARIA N 14 5 SUIPACHA</t>
  </si>
  <si>
    <t>ESCUELA SECUNDARIA N°2</t>
  </si>
  <si>
    <t>CENTRO COMUNITARIO VENCER PARA VIVIR</t>
  </si>
  <si>
    <t>EP N° 21 S/N CAMPANA</t>
  </si>
  <si>
    <t>EP N° 29</t>
  </si>
  <si>
    <t>EP N° 7</t>
  </si>
  <si>
    <t>EP N°18 S/N CAMPANA</t>
  </si>
  <si>
    <t>EP N°19</t>
  </si>
  <si>
    <t>EP N°27 S/N CAMPANA</t>
  </si>
  <si>
    <t>ESS N°27 LAS ACACIAS</t>
  </si>
  <si>
    <t>HONRAR LA VIDA S/N CAMPANA</t>
  </si>
  <si>
    <t>Iglesia La Josefa</t>
  </si>
  <si>
    <t>Soc. de Fto. del Pino 1223 CAMPANA</t>
  </si>
  <si>
    <t>SOC. FTO VILLANUEVA 1040 CAMPANA VILLANUEVA</t>
  </si>
  <si>
    <t>Soc. Fto.San Jacinto s/n CAMPANA SAN JACINTO</t>
  </si>
  <si>
    <t>UNIDAD PENITENCIARIA</t>
  </si>
  <si>
    <t>Bomberos Voluntarios</t>
  </si>
  <si>
    <t>CC MACACHA GUEMES ESCOBAR 1183 Belén de Escobar Belén de Escobar</t>
  </si>
  <si>
    <t>Centro de Jubilados de Garín</t>
  </si>
  <si>
    <t>Centro de Jubilados Maquinista Savio</t>
  </si>
  <si>
    <t>Colectivo Cultural</t>
  </si>
  <si>
    <t>EP N° 16</t>
  </si>
  <si>
    <t>EP N° 18</t>
  </si>
  <si>
    <t>EP N° 31</t>
  </si>
  <si>
    <t>EP N° 4</t>
  </si>
  <si>
    <t>GA4B 1799 Garín Garín</t>
  </si>
  <si>
    <t>Macacha Guemes</t>
  </si>
  <si>
    <t>PQH Savio</t>
  </si>
  <si>
    <t>San Expedito</t>
  </si>
  <si>
    <t>Sociedad de Fomento Cabot</t>
  </si>
  <si>
    <t>UGC 24F1</t>
  </si>
  <si>
    <t>UGC N°17</t>
  </si>
  <si>
    <t>UPCN</t>
  </si>
  <si>
    <t>Bomberos Voluntarios Capilla del Señor</t>
  </si>
  <si>
    <t>CENTRO COMUNITARIO</t>
  </si>
  <si>
    <t>DELEGACIÓN MUNICIPAL DIEGO GAYNOR</t>
  </si>
  <si>
    <t>EP nº19</t>
  </si>
  <si>
    <t>EP Nº20</t>
  </si>
  <si>
    <t>EP Nº4</t>
  </si>
  <si>
    <t>ADULTO MAYOR</t>
  </si>
  <si>
    <t>BIBLIOTECA ESTACION MANZANARES.EP10</t>
  </si>
  <si>
    <t>BIBLIOTECA POPULAR PALABRAS DEL AMA</t>
  </si>
  <si>
    <t>BUSCANDO EL SER</t>
  </si>
  <si>
    <t>CASA DE LA CULTURA PERUZZOTTI</t>
  </si>
  <si>
    <t>CASA DE LA MUJER: TORO</t>
  </si>
  <si>
    <t>CASA DE LA MUJER. MONTERREY</t>
  </si>
  <si>
    <t>Casa del NiÑo</t>
  </si>
  <si>
    <t>CENTRO COMUNITARIO LA HERMANDAD</t>
  </si>
  <si>
    <t>Centro comunitario Pte Derqui</t>
  </si>
  <si>
    <t>CENTRO CULTURAL VILLA ROSA</t>
  </si>
  <si>
    <t>CLUB ARGETIN O</t>
  </si>
  <si>
    <t>COMEDOR CONFIAR</t>
  </si>
  <si>
    <t>DIRECCION DE JUVENTUDES</t>
  </si>
  <si>
    <t>DIRECCION DE REINSERCION DE NIÑOS, NIÑAS Y ADOLESC</t>
  </si>
  <si>
    <t>EDI</t>
  </si>
  <si>
    <t>EES 24</t>
  </si>
  <si>
    <t>EES N 25</t>
  </si>
  <si>
    <t>ENVION MONTERREY</t>
  </si>
  <si>
    <t>EP N° 27</t>
  </si>
  <si>
    <t>EP N°16</t>
  </si>
  <si>
    <t>EP N°22</t>
  </si>
  <si>
    <t>EP N°24</t>
  </si>
  <si>
    <t>EP N°30</t>
  </si>
  <si>
    <t>EP N°33</t>
  </si>
  <si>
    <t>EP N°7</t>
  </si>
  <si>
    <t>EP Nº 25</t>
  </si>
  <si>
    <t>ES N°18</t>
  </si>
  <si>
    <t>ESCUELA MUNICIPAL PILARICA</t>
  </si>
  <si>
    <t>FUNDACION DEL VISO</t>
  </si>
  <si>
    <t>La 13 con la gente</t>
  </si>
  <si>
    <t>LA ALDEA SERPAJ</t>
  </si>
  <si>
    <t>LOS TILOS</t>
  </si>
  <si>
    <t>MIGRANTES EES N°27 MANZONE</t>
  </si>
  <si>
    <t>MIGRANTES. BIBLIOTECA ERNESTO SABATO</t>
  </si>
  <si>
    <t>MIGRANTES. DIRECCION DE INTEGRACION Y REINSERCION</t>
  </si>
  <si>
    <t>MIGRANTES. FEDERACION NACIONAL CAMPESINA</t>
  </si>
  <si>
    <t>MIGRANTES. LA CANTUTA</t>
  </si>
  <si>
    <t>MIGRANTES. MANOS EN ACCION RIO LUJAN</t>
  </si>
  <si>
    <t>MIGRANTES. MONTERREY. ESCUELA DE OFICIO</t>
  </si>
  <si>
    <t>MIGRANTES. TRIBARRIAL. ACUARELA</t>
  </si>
  <si>
    <t>MIGRANTES.CASA DE DESARROLLO HUMANO</t>
  </si>
  <si>
    <t>MIGRANTES.CLUB DIBU MARTINEZ</t>
  </si>
  <si>
    <t>MIGRANTES.EP 49</t>
  </si>
  <si>
    <t>PAPA FRANCISCO</t>
  </si>
  <si>
    <t>PEQUEÑOS SALTAMONTES. SEDE CICOPROA</t>
  </si>
  <si>
    <t>SINDICATO DE PLASTICOS</t>
  </si>
  <si>
    <t>Universidad nacional de Pilar</t>
  </si>
  <si>
    <t>vecer para vivir Pilar</t>
  </si>
  <si>
    <t>Villa Luján . EP 50</t>
  </si>
  <si>
    <t>Zarate</t>
  </si>
  <si>
    <t>CLUB ATLETICO MAIPU</t>
  </si>
  <si>
    <t>CULTURA RUGE</t>
  </si>
  <si>
    <t>EP 25</t>
  </si>
  <si>
    <t>FUNDACIÓN RESTAURADOR</t>
  </si>
  <si>
    <t>IGLESIA BOSH</t>
  </si>
  <si>
    <t>IGLESIA DON BOSCO</t>
  </si>
  <si>
    <t>IGLESIA JESUS ES EL CAMINO</t>
  </si>
  <si>
    <t>LA CAUSA</t>
  </si>
  <si>
    <t>centro de estudios Eva Peron</t>
  </si>
  <si>
    <t>ep 1</t>
  </si>
  <si>
    <t>IGLESIA ADONAI</t>
  </si>
  <si>
    <t>IGLESIA ORAMOS POR VOS</t>
  </si>
  <si>
    <t>IGLESIA SANTA CRUZ</t>
  </si>
  <si>
    <t>VIALIDAD</t>
  </si>
  <si>
    <t>Escuela de Educación Secundaria 8</t>
  </si>
  <si>
    <t>Escuela de Educación Secundaria 9</t>
  </si>
  <si>
    <t>Escuela Primaria 22 S/N BARADERO SANTA COLOMA</t>
  </si>
  <si>
    <t>MTE</t>
  </si>
  <si>
    <t>Centro Evangélistico Ministerio Una Mirada de Fe 140 Capitan Sarmiento</t>
  </si>
  <si>
    <t>Escuela Primaria N° 4</t>
  </si>
  <si>
    <t>Escuela Primaria N° 4 1194 Capitan Sarmiento</t>
  </si>
  <si>
    <t>ARREBEFF 621 PEREZ MILLAN</t>
  </si>
  <si>
    <t>CEC 802</t>
  </si>
  <si>
    <t>EES N°6</t>
  </si>
  <si>
    <t>EES N°7 S/N EL PARAISO</t>
  </si>
  <si>
    <t>EES N°8</t>
  </si>
  <si>
    <t>ESCUELA PROFESIONAL N°401</t>
  </si>
  <si>
    <t>SUTEBA 642 RAMALLO</t>
  </si>
  <si>
    <t>AGRUPACION TERRITORIAL PERONISTA</t>
  </si>
  <si>
    <t>CENTRO BARRIAL MTE ZONA SUR</t>
  </si>
  <si>
    <t>CENTRO DE DIA LA CASITA DE TATI</t>
  </si>
  <si>
    <t>CENTRO JUVENIL SAN LUIS GONZAGA 1267 San Nicolás de los Arroyos Centro</t>
  </si>
  <si>
    <t>Dios es amor</t>
  </si>
  <si>
    <t>Escuela primaria 6</t>
  </si>
  <si>
    <t>IGLESIA DIOS ES AMOR 1311 san nicolas barrio oeste</t>
  </si>
  <si>
    <t>MOVIPORT</t>
  </si>
  <si>
    <t>SALON COMUNITARIO B 9 DE JULIO</t>
  </si>
  <si>
    <t>SALON COMUNITARIO BARRIO LARES SIN NUMERO san nicolas barrio oeste</t>
  </si>
  <si>
    <t>SALON COMUNITARIO BARRIO YAGUARON 17 San Nicolás de los Arroyos Centro</t>
  </si>
  <si>
    <t>SALON COMUNITARIO LAS VIÑAS SIN NUMERO San Nicolás de los Arroyos Centro</t>
  </si>
  <si>
    <t>SALON COMUNITARIO VILLA ESPERANZA 95 San Nicolás de los Arroyos Centro</t>
  </si>
  <si>
    <t>CENTRO COSMOPOLITA S/N San Pedro San Pedro</t>
  </si>
  <si>
    <t>Centro Integrador Comunitario</t>
  </si>
  <si>
    <t>E.P. N°45 BAJO TALA S/N San Pedro San Pedro</t>
  </si>
  <si>
    <t>ESCUELA PRIMARIA N°23 S/N Pueblo Doyle</t>
  </si>
  <si>
    <t>Escuela Secundaria N°09</t>
  </si>
  <si>
    <t>Escuela Secundaria N°09 S/N San Pedro Río Tala</t>
  </si>
  <si>
    <t>ESCUELA SECUNDARIA N°11</t>
  </si>
  <si>
    <t>ESCUELA SECUNDARIA N°11 750 San Pedro San Pedro</t>
  </si>
  <si>
    <t>Los Naranjos 1634 San Pedro San Pedro</t>
  </si>
  <si>
    <t>Movimiento de Trabajadores Excluidos S/N San Pedro Tosquera</t>
  </si>
  <si>
    <t>Movimiento Evita</t>
  </si>
  <si>
    <t>SEDE ENVIÓN</t>
  </si>
  <si>
    <t>Cármen de Areco</t>
  </si>
  <si>
    <t>E. P. N° 8 semiurbana</t>
  </si>
  <si>
    <t>E.E.S. N° 4 SEMIURBANA</t>
  </si>
  <si>
    <t>EP N°2 SAN MIGUEL</t>
  </si>
  <si>
    <t>EES N° 6 rural</t>
  </si>
  <si>
    <t>EP N° 2</t>
  </si>
  <si>
    <t>capilla nuestra señora de la trinidad</t>
  </si>
  <si>
    <t>Centro Barrial San Cayetano</t>
  </si>
  <si>
    <t>CERLU</t>
  </si>
  <si>
    <t>CTAT</t>
  </si>
  <si>
    <t>EP 18</t>
  </si>
  <si>
    <t>EP 52</t>
  </si>
  <si>
    <t>EP N°62</t>
  </si>
  <si>
    <t>EP N3</t>
  </si>
  <si>
    <t>EPN°53</t>
  </si>
  <si>
    <t>EPN°8</t>
  </si>
  <si>
    <t>GENTE NUEVA</t>
  </si>
  <si>
    <t>GRANJA SAN CAMILO</t>
  </si>
  <si>
    <t>HOSPITAL SAN JOSE</t>
  </si>
  <si>
    <t>INTITUTO COMERCIAL EL SOCORRO</t>
  </si>
  <si>
    <t>SECUNDARIA 1 BERNARDINO RIVADAVIA</t>
  </si>
  <si>
    <t>SOMOS</t>
  </si>
  <si>
    <t>CENTRO CULTURAL (RURAL)</t>
  </si>
  <si>
    <t>EP Nº 8</t>
  </si>
  <si>
    <t>Biblioteca popular Renacer (RURAL)</t>
  </si>
  <si>
    <t>EP Nº 29</t>
  </si>
  <si>
    <t>EP Nº 4</t>
  </si>
  <si>
    <t>EPN° 1</t>
  </si>
  <si>
    <t>Esc. Secundaria 2</t>
  </si>
  <si>
    <t>ANEXO 3011</t>
  </si>
  <si>
    <t>CIC ALCIRA DE LA PEÑA</t>
  </si>
  <si>
    <t>E.P. 11 S/N RAWSON</t>
  </si>
  <si>
    <t>E.P. 22</t>
  </si>
  <si>
    <t>E.P.45</t>
  </si>
  <si>
    <t>LOS MISIONEROS 179 CHACABUCO CHACABUCO</t>
  </si>
  <si>
    <t>ALMAFUERTE SIN NUMERO PORVENIR ALMAFUERTE</t>
  </si>
  <si>
    <t>CEA Nº 702-BLAQUIER 124 Ameghino Ameghino 2</t>
  </si>
  <si>
    <t>ESCUELA PRIMARIA N° 4</t>
  </si>
  <si>
    <t>ISFDYT N 164</t>
  </si>
  <si>
    <t>E.E.S. N° 4 381 Arribeños Centro</t>
  </si>
  <si>
    <t>EES N° 1</t>
  </si>
  <si>
    <t>EES N° 1 163 Ferré Urbano</t>
  </si>
  <si>
    <t>EES Nº 2</t>
  </si>
  <si>
    <t>EES Nº 2 49 General Arenales Centro</t>
  </si>
  <si>
    <t>EES Nº 3</t>
  </si>
  <si>
    <t>Escuela Primaria N °1</t>
  </si>
  <si>
    <t>Escuela Primaria N °1 649 General Pinto</t>
  </si>
  <si>
    <t>Escuela Primaria 7</t>
  </si>
  <si>
    <t>ESCUELA PRIMARIA 9</t>
  </si>
  <si>
    <t>MUSEO PROVINCIAL CASA EVITA</t>
  </si>
  <si>
    <t>SALON INAUN</t>
  </si>
  <si>
    <t>San Emilio 145 San Emilio</t>
  </si>
  <si>
    <t>Sindicato de Trabajadores Municipales s/n Los Toldos Centro</t>
  </si>
  <si>
    <t>A.L.P.I 279 junin junin</t>
  </si>
  <si>
    <t>Casa Pueblo</t>
  </si>
  <si>
    <t>CENTRO DE FORMACION LABORAL 402</t>
  </si>
  <si>
    <t>CENTRO DE FORMACION PROFESIONAL 401</t>
  </si>
  <si>
    <t>CLUB ATLETICO SARMIENTO</t>
  </si>
  <si>
    <t>COMUNIDAD TERAPEUTICA HASTA EL ULTIMO DIA S/N junin junin</t>
  </si>
  <si>
    <t>ESCUELA DE EDUCACION SECUNDARIA N 10</t>
  </si>
  <si>
    <t>HOSPITAL INTERZONAL DE AGUDOS</t>
  </si>
  <si>
    <t>PERONIA EDUCACION 62 junin junin</t>
  </si>
  <si>
    <t>SOCIEDAD DE FOMENTO CAPILLA DE LORETO</t>
  </si>
  <si>
    <t>SOCIEDAD ITALIANA 381 junin junin</t>
  </si>
  <si>
    <t>VIENTO DEL SUR 273 junin junin</t>
  </si>
  <si>
    <t>Leandro N Alem</t>
  </si>
  <si>
    <t>CASA DE LA CULTURA S/N Leandro N. Alem</t>
  </si>
  <si>
    <t>Centro Universitario</t>
  </si>
  <si>
    <t>CIC Alberdi</t>
  </si>
  <si>
    <t>E P N°2</t>
  </si>
  <si>
    <t>TALLER PROTEGIDO</t>
  </si>
  <si>
    <t>Ep nº18</t>
  </si>
  <si>
    <t>Ep nº18 95 Lincoln Lincoln</t>
  </si>
  <si>
    <t>9 de julio</t>
  </si>
  <si>
    <t>EES N° 2</t>
  </si>
  <si>
    <t>EES N°9</t>
  </si>
  <si>
    <t>EP N°12 FRENCH</t>
  </si>
  <si>
    <t>EP N°15 DUDIGNAC</t>
  </si>
  <si>
    <t>EP N°5</t>
  </si>
  <si>
    <t>Escuela de Educación Primaria Nº 15</t>
  </si>
  <si>
    <t>Estación Pla</t>
  </si>
  <si>
    <t>Punto Digital Alberti</t>
  </si>
  <si>
    <t>ASOCIACION CIVIL NUEVO HORIZONTE BRAGADO</t>
  </si>
  <si>
    <t>COOP.TELEFONICA,OBRAS Y SERVICIOS COMODORO PY</t>
  </si>
  <si>
    <t>EP Nº14</t>
  </si>
  <si>
    <t>EP Nº20 OBRIEN</t>
  </si>
  <si>
    <t>MUDYNDA</t>
  </si>
  <si>
    <t>PUNTO DIGITAL-LA CARLOTA</t>
  </si>
  <si>
    <t>UNIDAD SANITARIA OLASCOAGA</t>
  </si>
  <si>
    <t>CASA DEL NIÑO</t>
  </si>
  <si>
    <t>CENS 451</t>
  </si>
  <si>
    <t>PRIMARIA 10</t>
  </si>
  <si>
    <t>PRIMARIA N° 12</t>
  </si>
  <si>
    <t>PRIMARIA N° 13</t>
  </si>
  <si>
    <t>EEE 502</t>
  </si>
  <si>
    <t>EP 27 163 MOQUEHUA</t>
  </si>
  <si>
    <t>Hipolito Irigoyen</t>
  </si>
  <si>
    <t>EP N° 9 EL MORO</t>
  </si>
  <si>
    <t>UPAD</t>
  </si>
  <si>
    <t>Pehuajo</t>
  </si>
  <si>
    <t>Centro Cultural</t>
  </si>
  <si>
    <t>CENTRO DE EDUCACIÓN DE ADULTOS N° 702</t>
  </si>
  <si>
    <t>EEPA N° 701</t>
  </si>
  <si>
    <t>Jardín de Infantes N° 906</t>
  </si>
  <si>
    <t>Curarú - Delegación</t>
  </si>
  <si>
    <t>EP N° 3 - Tres Algarrobos</t>
  </si>
  <si>
    <t>CEA 702 349 EMILIO V BUNGE CENTRO</t>
  </si>
  <si>
    <t>CLUB ATLETICO VILLEGAS S/N GENERAL VILLEGAS CENTRO</t>
  </si>
  <si>
    <t>ESCUELA SECUNDARIA N4 S/N VILLA SAUZE ZONA RURAL</t>
  </si>
  <si>
    <t>ESCUELA SECUNDARIA Nº1</t>
  </si>
  <si>
    <t>ESCUELA SECUNDARIA Nº2</t>
  </si>
  <si>
    <t>ESCUELA SECUNDARIA Nº3 1018 CORONEL CHARLONE CENTRO</t>
  </si>
  <si>
    <t>MUNICIPALIDAD GENERAL VILLEGAS 852 GENERAL VILLEGAS CENTRO</t>
  </si>
  <si>
    <t>C.E.N.S. Nº 451</t>
  </si>
  <si>
    <t>ESCUELA DE EDUCACIÓN SECUNDARIA Nº 7</t>
  </si>
  <si>
    <t>Saliquello</t>
  </si>
  <si>
    <t>ESCUELA PRIMARIA Nº47 428 SALLIQUELO CENTRO</t>
  </si>
  <si>
    <t>Beruti 320 Trenque Lauquen Beruti</t>
  </si>
  <si>
    <t>Caritas Parroquial 540 Trenque Lauquen Caritas Parroquial</t>
  </si>
  <si>
    <t>Club Atletico Trenque Lauquen 1330 Trenque Lauquen Trenque Lauquen</t>
  </si>
  <si>
    <t>EES 10- EP 48</t>
  </si>
  <si>
    <t>ENVIÓN</t>
  </si>
  <si>
    <t>Partido Justicialista</t>
  </si>
  <si>
    <t>C.E.N.S</t>
  </si>
  <si>
    <t>Biblioteca Padre Luis Sanchez 569 Chascomus Ipora</t>
  </si>
  <si>
    <t>Biblioteca Popular San Jose Obrero</t>
  </si>
  <si>
    <t>CLUB TIRO FEDERAL 1308 Chascomus 30 de mayo</t>
  </si>
  <si>
    <t>Escuela 3</t>
  </si>
  <si>
    <t>SOCIEDAD DE FOMENTO SAN CAYETANO 166 Chascomus San Cayetano</t>
  </si>
  <si>
    <t>SUM Jardín Clarisa Amezaga</t>
  </si>
  <si>
    <t>SUM San Luis 755 Chascomus San Luis</t>
  </si>
  <si>
    <t>C.I.C. JESUS CRUCIFICADO</t>
  </si>
  <si>
    <t>E. P. nº16</t>
  </si>
  <si>
    <t>E. S nº 5 , EL PUEBLAZO</t>
  </si>
  <si>
    <t>Loma Verde S/N Loma Verde Chiramberro</t>
  </si>
  <si>
    <t>Ranchos S/N Ranchos Transito Pesado</t>
  </si>
  <si>
    <t>Villanueva S/N Villanueva Pueblo</t>
  </si>
  <si>
    <t>CLUB EL TERO SN LEZAMA</t>
  </si>
  <si>
    <t>CLUB INDEPENDIENTE S/N LEZAMA</t>
  </si>
  <si>
    <t>HONORABLE CONSEJO DELIBERANTE S/N LEZAMA</t>
  </si>
  <si>
    <t>E.E.S N°4</t>
  </si>
  <si>
    <t>E.E.S N°4 S/N Monte Barrio Unidad Nacional</t>
  </si>
  <si>
    <t>E.P N°22</t>
  </si>
  <si>
    <t>E.P N°22 S/N Monte Barrio "Los Claveles"</t>
  </si>
  <si>
    <t>E.P N°6 S/N Abbott</t>
  </si>
  <si>
    <t>EP N°10</t>
  </si>
  <si>
    <t>ESCUELA PRIMARIA N°2</t>
  </si>
  <si>
    <t>ESCUELA PRIMARIA N°2 S/N Pila Pila</t>
  </si>
  <si>
    <t>Escuela Primaria N° 1</t>
  </si>
  <si>
    <t>ISFDyT N° 70</t>
  </si>
  <si>
    <t>CASA DE CAMPO 150 AYACUCHO AYACUCHO</t>
  </si>
  <si>
    <t>CENTRO EMPLEADOS DE COMERCIO</t>
  </si>
  <si>
    <t>CORRALÓN 1375 AYACUCHO AYACUCHO</t>
  </si>
  <si>
    <t>EPPA 701 1670 AYACUCHO AYACUCHO</t>
  </si>
  <si>
    <t>Fábrica MATEO 10006 AYACUCHO AYACUCHO</t>
  </si>
  <si>
    <t>HOGAR DE ANCIANOS 1190 AYACUCHO AYACUCHO</t>
  </si>
  <si>
    <t>HOSPITAL 933 AYACUCHO AYACUCHO</t>
  </si>
  <si>
    <t>Iglesias Cristianas</t>
  </si>
  <si>
    <t>LA POSTA S/N AYACUCHO AYACUCHO</t>
  </si>
  <si>
    <t>Padre Gallo</t>
  </si>
  <si>
    <t>SUTEBA 1066 AYACUCHO AYACUCHO</t>
  </si>
  <si>
    <t>UDAQUIOLA S/N AYACUCHO AYACUCHO</t>
  </si>
  <si>
    <t>Area de Adultos Mayores 86 Castelli</t>
  </si>
  <si>
    <t>Escuela Primaria Nº1</t>
  </si>
  <si>
    <t>IMIT</t>
  </si>
  <si>
    <t>CLUB DEFENSA DOLORES 156 Dolores</t>
  </si>
  <si>
    <t>Escuela primaria nº30</t>
  </si>
  <si>
    <t>guardas ambientales</t>
  </si>
  <si>
    <t>PARTIDO JUSTICIALISTA</t>
  </si>
  <si>
    <t>Frente de Tod@s/ Frente Grande 1045 General Lavalle</t>
  </si>
  <si>
    <t>Movimiento Evita/ Nuevo Encuentro S/N Paraje Pavón</t>
  </si>
  <si>
    <t>General Madariaga</t>
  </si>
  <si>
    <t>Escuela de Educación Primaria N° 3 "General Don Jo</t>
  </si>
  <si>
    <t>Escuela de Educación Secundaria Técnica N° 1</t>
  </si>
  <si>
    <t>Escuela Primaria N° 15 "Batalla de Tucumán" 693 General Juan Madariaga Centro</t>
  </si>
  <si>
    <t>Guido</t>
  </si>
  <si>
    <t>ESCUELA SECUNDARIA N°2 DR. IBERICO DE AMEZOLA</t>
  </si>
  <si>
    <t>Maipu</t>
  </si>
  <si>
    <t>E.P.N°8</t>
  </si>
  <si>
    <t>Escuela secundaria n°3 s/n Maipú Las Armas partido de Maipú</t>
  </si>
  <si>
    <t>Estancia La Argentina Ruta provincial 74 KM 70 km 70 Maipú Las Armas partido de Maipú</t>
  </si>
  <si>
    <t>Partido de la Costa</t>
  </si>
  <si>
    <t>ATE 575 MAR DEL TUYU</t>
  </si>
  <si>
    <t>BARRIO SOMOS LIBRES</t>
  </si>
  <si>
    <t>COMUNIDAD BOLIVIANA</t>
  </si>
  <si>
    <t>COMUNIDAD BOLIVIANA MAR DE AJO</t>
  </si>
  <si>
    <t>EES Nº 14</t>
  </si>
  <si>
    <t>EP N° 14</t>
  </si>
  <si>
    <t>EP N° 14 698 AGUAS VERDES</t>
  </si>
  <si>
    <t>EP Nº 10</t>
  </si>
  <si>
    <t>EP Nº 6</t>
  </si>
  <si>
    <t>EP Nº 7</t>
  </si>
  <si>
    <t>IGLESIA NUEVA VIDA EN JESUS BARRIO SAN MARTIN</t>
  </si>
  <si>
    <t>LA PODEROSA</t>
  </si>
  <si>
    <t>LA TURQUESA</t>
  </si>
  <si>
    <t>MAR DEL TUYU PJ</t>
  </si>
  <si>
    <t>PATRONATO DE LIBERADOS</t>
  </si>
  <si>
    <t>SOLES DE MAYO</t>
  </si>
  <si>
    <t>SOMOS NOSOTROS</t>
  </si>
  <si>
    <t>EP Nº2</t>
  </si>
  <si>
    <t>EP Nº7</t>
  </si>
  <si>
    <t>PUNTO DIGITAL 95 TORDILLO</t>
  </si>
  <si>
    <t>ANEXO UNIVERSITARIO</t>
  </si>
  <si>
    <t>ANEXO UNIVERSITARIO S/N VILLA GESELL CENTRO</t>
  </si>
  <si>
    <t>CAPILLA JESUS MISERICORDIOSO S/N VILLA GESELL CENTRO</t>
  </si>
  <si>
    <t>CASA DE LA CULTURA MAR AZUL S/N VILLA GESELL MAR AZUL</t>
  </si>
  <si>
    <t>centro comunitario centro</t>
  </si>
  <si>
    <t>LA KASA</t>
  </si>
  <si>
    <t>LA KASA S/N VILLA GESELL CENTRO</t>
  </si>
  <si>
    <t>LAS PRADERAS 1111 VILLA GESELL CENTRO</t>
  </si>
  <si>
    <t>Transformar</t>
  </si>
  <si>
    <t>Valle guarani 77 VILLA GESELL VALLE GUARANI</t>
  </si>
  <si>
    <t>Amigos de la 44</t>
  </si>
  <si>
    <t>Casa del Bicentenario</t>
  </si>
  <si>
    <t>CENTRO CULTURAL PETA OTAMENDI</t>
  </si>
  <si>
    <t>E.E.P. N° 5</t>
  </si>
  <si>
    <t>E.E.S. Nº 2 Anexo 3021 245 MECHONGUE</t>
  </si>
  <si>
    <t>E.E.S.E N° 505</t>
  </si>
  <si>
    <t>Espacio Leopoldo Marechal</t>
  </si>
  <si>
    <t>FAIDI</t>
  </si>
  <si>
    <t>FAIDI 1099 MIRAMAR</t>
  </si>
  <si>
    <t>PARTIDO COMUNISTA</t>
  </si>
  <si>
    <t>Gral Pueyrredon</t>
  </si>
  <si>
    <t>AIPE</t>
  </si>
  <si>
    <t>ASDEMAR</t>
  </si>
  <si>
    <t>ASOC. VECINAL DE FOMENTO Bº SAN MARTIN</t>
  </si>
  <si>
    <t>ASOCIACIÓN DE FOMENTO BARRIO PARQUE LOS PINARES</t>
  </si>
  <si>
    <t>ASOCIACIÓN DE FOMENTO FORTUNATO DE LA PLAZA</t>
  </si>
  <si>
    <t>ASOCIACION DE FOMENTO JORGE NEWBERY 9048 MAR DEL PLATA</t>
  </si>
  <si>
    <t>Asociacion de Fomento San Eduardo del Mar S/N MAR DEL PLATA</t>
  </si>
  <si>
    <t>ASOCIACION DE FOMENTO SANTA ROSA DE LIMA 2468 MAR DEL PLATA</t>
  </si>
  <si>
    <t>Asociación Vecinal de Fomento Parque Hermoso</t>
  </si>
  <si>
    <t>ASOCIACIÓN VECINAL DE FOMENTO PLAYA LOS LOBOS SN MAR DEL PLATA</t>
  </si>
  <si>
    <t>ASOCIACION VECINAL DE FOMENTO REGIONAL</t>
  </si>
  <si>
    <t>ASOCIACION VECINAL DE FOMENTO SAN MARTIN</t>
  </si>
  <si>
    <t>ATSA 3842 MAR DEL PLATA</t>
  </si>
  <si>
    <t>BIBLIOTECA CASINO</t>
  </si>
  <si>
    <t>BIBLIOTECA MUNICIPAL MARIANO MORENO 2167 MAR DEL PLATA</t>
  </si>
  <si>
    <t>BIBLIOTECA POPULAR JUVENTUD MODERNA</t>
  </si>
  <si>
    <t>CAPILLA NUESTRA SEÑORA DEL MILAGRO</t>
  </si>
  <si>
    <t>CAPS BELISARIO ROLDAN</t>
  </si>
  <si>
    <t>Casa Camet</t>
  </si>
  <si>
    <t>CASA CARACOL</t>
  </si>
  <si>
    <t>CASA DE LUCIA 4579 MAR DEL PLATA</t>
  </si>
  <si>
    <t>CASA DE WILLIAMS 5839 MAR DEL PLATA</t>
  </si>
  <si>
    <t>Casa del encuentro</t>
  </si>
  <si>
    <t>CASA SANTA PAULA</t>
  </si>
  <si>
    <t>CC AMERICA LIBRE</t>
  </si>
  <si>
    <t>CDI JORGE NEWBERY</t>
  </si>
  <si>
    <t>CDI JORGE NEWBERY 2280 MAR DEL PLATA</t>
  </si>
  <si>
    <t>CDI LA HERRADURA</t>
  </si>
  <si>
    <t>CDI PUEYRREDÓN 7877 MAR DEL PLATA</t>
  </si>
  <si>
    <t>CEC dulces sonrisas sN MAR DEL PLATA</t>
  </si>
  <si>
    <t>CEFIL</t>
  </si>
  <si>
    <t>CENS 461</t>
  </si>
  <si>
    <t>CENS 471 ANEXO ACANTILADOS</t>
  </si>
  <si>
    <t>CENTRO BARRIAL CARLOS MUGICA (sede Belgrano)</t>
  </si>
  <si>
    <t>CENTRO CULTURAL PUCARÁ</t>
  </si>
  <si>
    <t>CENTRO DE EDUCACIÓN FISICA Nº 1</t>
  </si>
  <si>
    <t>CFL N°1</t>
  </si>
  <si>
    <t>CLUB AL VER VERÁS 3324 MAR DEL PLATA</t>
  </si>
  <si>
    <t>Club Atlético Alvarado</t>
  </si>
  <si>
    <t>Club Hipódromo</t>
  </si>
  <si>
    <t>CLUB NACION</t>
  </si>
  <si>
    <t>CLUB NUEVA POMPEYA 3881 MAR DEL PLATA</t>
  </si>
  <si>
    <t>CLUB REALBA</t>
  </si>
  <si>
    <t>Club Talento Futbol</t>
  </si>
  <si>
    <t>COMEDOR CARITAS FELICES</t>
  </si>
  <si>
    <t>COMEDOR ELI 445 MAR DEL PLATA</t>
  </si>
  <si>
    <t>Comunidades del sur Don Orione</t>
  </si>
  <si>
    <t>CONSORCIO PORTUARIO REGIONAL</t>
  </si>
  <si>
    <t>Cooperativa de previsión de electricidad</t>
  </si>
  <si>
    <t>COOPERATIVA DE TRABAJO NUEVO AMANECER 1650 MAR DEL PLATA</t>
  </si>
  <si>
    <t>COOPERATIVA EDUCATIVA</t>
  </si>
  <si>
    <t>CRT FINES 2583 MAR DEL PLATA</t>
  </si>
  <si>
    <t>CTA/CFP N°415</t>
  </si>
  <si>
    <t>DELEGACIÓN MUNICIPAL SIERRA DE LOS PADRES</t>
  </si>
  <si>
    <t>E.E.P.A. N°705</t>
  </si>
  <si>
    <t>E.E.S. N° 9</t>
  </si>
  <si>
    <t>E.E.S. N°62</t>
  </si>
  <si>
    <t>E.E.S.T. N°1</t>
  </si>
  <si>
    <t>E.P N°60</t>
  </si>
  <si>
    <t>E.P. N°34</t>
  </si>
  <si>
    <t>E.P. N°44</t>
  </si>
  <si>
    <t>EES Nº 76</t>
  </si>
  <si>
    <t>Ep 78</t>
  </si>
  <si>
    <t>Espacio Barrial Juana Azurduy 8824 MAR DEL PLATA</t>
  </si>
  <si>
    <t>ESPACIO COMUNITARIO ARCO IRIS</t>
  </si>
  <si>
    <t>FAUD</t>
  </si>
  <si>
    <t>FOL CARIBE 2876 MAR DEL PLATA</t>
  </si>
  <si>
    <t>FRUTILLAR S/N MAR DEL PLATA</t>
  </si>
  <si>
    <t>FUNDACIÓN PUPI</t>
  </si>
  <si>
    <t>GALPON MTE</t>
  </si>
  <si>
    <t>Herradura</t>
  </si>
  <si>
    <t>HIGA</t>
  </si>
  <si>
    <t>IGLESIA DE LA UNIÓN</t>
  </si>
  <si>
    <t>IGLESIA SANTA ROSA 6589 MAR DEL PLATA</t>
  </si>
  <si>
    <t>INAREPS KM 1,5 MAR DEL PLATA</t>
  </si>
  <si>
    <t>JOVENES SOLIDARIOS</t>
  </si>
  <si>
    <t>JOVENES SOLIDARIOS 301 MAR DEL PLATA</t>
  </si>
  <si>
    <t>LA CASA DE ENFRENTE</t>
  </si>
  <si>
    <t>LA DIGNIDAD</t>
  </si>
  <si>
    <t>LUZ Y FUERZA</t>
  </si>
  <si>
    <t>LUZ Y FUERZA 4115 MAR DEL PLATA</t>
  </si>
  <si>
    <t>MADRE AMERICA</t>
  </si>
  <si>
    <t>MANOS UNIDAS</t>
  </si>
  <si>
    <t>Merendero "Todo por los niños" 8606 MAR DEL PLATA</t>
  </si>
  <si>
    <t>Parque peña 6620 MAR DEL PLATA</t>
  </si>
  <si>
    <t>POLIDEPORTIVO CAMET</t>
  </si>
  <si>
    <t>POTENCIAR 4500 MAR DEL PLATA</t>
  </si>
  <si>
    <t>RAMONA MEDINA</t>
  </si>
  <si>
    <t>RED PUENTES CENTENARIO</t>
  </si>
  <si>
    <t>RED PUENTES FORMOSA</t>
  </si>
  <si>
    <t>RIOS DE BENDICIÓN</t>
  </si>
  <si>
    <t>SANTA ROSA DEL MAR</t>
  </si>
  <si>
    <t>Secretaría DDHH GBA</t>
  </si>
  <si>
    <t>SINDICATO DE GUINCHEROS S/N MAR DEL PLATA</t>
  </si>
  <si>
    <t>SINDICATO UNION TRAVIARIOS AUTOMOTOR</t>
  </si>
  <si>
    <t>SIVARA</t>
  </si>
  <si>
    <t>Sociedad de Fomento 2 de Abril 850 MAR DEL PLATA</t>
  </si>
  <si>
    <t>SOCIEDAD DE FOMENTO AEROPARQUE 1620 MAR DEL PLATA</t>
  </si>
  <si>
    <t>SOCIEDAD DE FOMENTO CERRITO Y SAN SALVADOR</t>
  </si>
  <si>
    <t>Sociedad de Fomento El Casal 510 MAR DEL PLATA</t>
  </si>
  <si>
    <t>SOCIEDAD DE FOMENTO EL PROGRESO</t>
  </si>
  <si>
    <t>SOCIEDAD DE FOMENTO FLORENCIO SANCHEZ</t>
  </si>
  <si>
    <t>SOCIEDAD DE FOMENTO FLORENTINO AMEGHINO 1450 MAR DEL PLATA</t>
  </si>
  <si>
    <t>SOCIEDAD DE FOMENTO JARDIN DE ALTO CAMET 3102 MAR DEL PLATA</t>
  </si>
  <si>
    <t>SOCIEDAD DE FOMENTO JARDÍN PERALTA RAMOS</t>
  </si>
  <si>
    <t>SOCIEDAD DE FOMENTO LA AVISPA</t>
  </si>
  <si>
    <t>SOCIEDAD DE FOMENTO LA GLORIA DE LA PEREGRINA</t>
  </si>
  <si>
    <t>SOCIEDAD DE FOMENTO LAS AMÉRICAS</t>
  </si>
  <si>
    <t>SOCIEDAD DE FOMENTO LAS DALIAS 3757 MAR DEL PLATA</t>
  </si>
  <si>
    <t>SOCIEDAD DE FOMENTO LAS HERAS</t>
  </si>
  <si>
    <t>SOCIEDAD DE FOMENTO LOMAS DEL GOLF</t>
  </si>
  <si>
    <t>SOCIEDAD DE FOMENTO SANTA PAULA S/N MAR DEL PLATA</t>
  </si>
  <si>
    <t>SOCIEDAD FOMENTO BARRIO AUTODROMO 12209 MAR DEL PLATA</t>
  </si>
  <si>
    <t>U.O.M. SECCION MAR DEL PLATA</t>
  </si>
  <si>
    <t>U.T.N.</t>
  </si>
  <si>
    <t>UNION DE SINDICATOS DE LA INDUSTRIA MADERERA DE LA</t>
  </si>
  <si>
    <t>UNION DE SINDICATOS DE LA INDUSTRIA MADERERA DE LA 2946 MAR DEL PLATA</t>
  </si>
  <si>
    <t>UPA MAR DEL PLATA 6950 MAR DEL PLATA</t>
  </si>
  <si>
    <t>UTEDyC</t>
  </si>
  <si>
    <t>UTHGRA</t>
  </si>
  <si>
    <t>VIDA DIGNA 78 MAR DEL PLATA</t>
  </si>
  <si>
    <t>Biblioteca E. Freije</t>
  </si>
  <si>
    <t>Biblioteca San Martin 494 Santa Clara del Mar</t>
  </si>
  <si>
    <t>CAPS Santa Elena 500 Atlantida</t>
  </si>
  <si>
    <t>Club Regatas 1622 Balneario Mar Chiquita Mar Chiquita</t>
  </si>
  <si>
    <t>EEE 503</t>
  </si>
  <si>
    <t>EEE 503 637 Santa Clara del Mar</t>
  </si>
  <si>
    <t>El Galpon de Teresa</t>
  </si>
  <si>
    <t>El Galpon de Teresa 54 Coronel Vidal</t>
  </si>
  <si>
    <t>EP 1</t>
  </si>
  <si>
    <t>EP 1 491 Coronel Vidal</t>
  </si>
  <si>
    <t>Parador Turistico</t>
  </si>
  <si>
    <t>Parroquia Santa Clara del Mar</t>
  </si>
  <si>
    <t>Parroquia Santa Clara del Mar 250 Santa Clara del Mar</t>
  </si>
  <si>
    <t>Puentes Vidal 150 Coronel Vidal</t>
  </si>
  <si>
    <t>Soc Fomento S/n Mar de Cobo</t>
  </si>
  <si>
    <t>eepa 702</t>
  </si>
  <si>
    <t>Escuela Rural s/n balcarce balcarce</t>
  </si>
  <si>
    <t>Pueblo Nuevo S/N balcarce balcarce</t>
  </si>
  <si>
    <t>San Martin S/N balcarce balcarce</t>
  </si>
  <si>
    <t>sociedad de fomento guemes s/n balcarce balcarce</t>
  </si>
  <si>
    <t>Centro de Formación Profesional</t>
  </si>
  <si>
    <t>EES n° 3 394 San Manuel</t>
  </si>
  <si>
    <t>EP n° 7 "Hipólito Yrigoyen"</t>
  </si>
  <si>
    <t>Salita Ramón Carrillo</t>
  </si>
  <si>
    <t>UATRE 424 Lobería</t>
  </si>
  <si>
    <t>Asoc. El Samaritano</t>
  </si>
  <si>
    <t>CENTRO INTEGRADOR MUNICIPAL</t>
  </si>
  <si>
    <t>EEM N°3</t>
  </si>
  <si>
    <t>ENVION</t>
  </si>
  <si>
    <t>EP N°4</t>
  </si>
  <si>
    <t>EP N°52</t>
  </si>
  <si>
    <t>EP N°6</t>
  </si>
  <si>
    <t>IDENTIDAD VECINAL</t>
  </si>
  <si>
    <t>PARROQUIA MEDALLA MILAGROSA</t>
  </si>
  <si>
    <t>Escuela Educacion Secundaria n°1 Manuel Belgrano</t>
  </si>
  <si>
    <t>Escuela Educacion Secundaria n°1 Manuel Belgrano s/n San Cayetano San Cayetano</t>
  </si>
  <si>
    <t>ARTE Y PARTE</t>
  </si>
  <si>
    <t>BIBLIOTECA MAGGIORI 1863 TANDIL MOVEDIZA</t>
  </si>
  <si>
    <t>BIBLIOTECA MARTÍN FIERRO 581 TANDIL VILLA GAUCHO</t>
  </si>
  <si>
    <t>CASA CONVIVENCIAL VIENTOS 2390 TANDIL MOVEDIZA</t>
  </si>
  <si>
    <t>CEC 802 s/n TANDIL VILLA AGUIRRE</t>
  </si>
  <si>
    <t>CENTRO LA FLORIDA 1598 TANDIL VILLA AGUIRRE</t>
  </si>
  <si>
    <t>CFL 1</t>
  </si>
  <si>
    <t>COMEDOR LOS TATÚ 1823 TANDIL MOVEDIZA</t>
  </si>
  <si>
    <t>DE CORAZÓN TANDILENSE 269 TANDIL EL CERRITO</t>
  </si>
  <si>
    <t>EJERCITO ARGENTINO S/N TANDIL MOVEDIZA</t>
  </si>
  <si>
    <t>EP36</t>
  </si>
  <si>
    <t>ESCUELA 1</t>
  </si>
  <si>
    <t>ESCUELA 12-AZUCENA S/N TANDIL-AZUCENA</t>
  </si>
  <si>
    <t>ESCUELA 5</t>
  </si>
  <si>
    <t>ESCUELA 56 002 TANDIL VILLA ITALIA</t>
  </si>
  <si>
    <t>MUSEO DE FULTON S/N TANDIL-FULTON</t>
  </si>
  <si>
    <t>RINCON SOLIDARIO 1680 TANDIL EL CERRITO</t>
  </si>
  <si>
    <t>SINDICATO DE EMPLEADOS DE COMERCIO 1345 TANDIL CENTRO</t>
  </si>
  <si>
    <t>TERRITORIO CULTURAL 1550 TANDIL VILLA GAUCHO</t>
  </si>
  <si>
    <t>UB SUSANA VALOR 1950 TANDIL MOVEDIZA</t>
  </si>
  <si>
    <t>UNI BARRIAL 1620 TANDIL VILLA AGUIRRE</t>
  </si>
  <si>
    <t>VIENTOS VILLA AGUIRRE 1571 TANDIL VILLA AGUIRRE</t>
  </si>
  <si>
    <t>E. E.S N4</t>
  </si>
  <si>
    <t>E. E.S N4 198 Adolfo Gonzales Chaves Adolfo Gonzales Chaves</t>
  </si>
  <si>
    <t>Escuela primaria 4 s/N Adolfo Gonzales Chaves</t>
  </si>
  <si>
    <t>JUAN E BARRA X Adolfo Gonzales Chaves Adolfo Gonzales Chaves</t>
  </si>
  <si>
    <t>Benito Juarez</t>
  </si>
  <si>
    <t>BARRIO FLORES</t>
  </si>
  <si>
    <t>BARRIO MOLINO</t>
  </si>
  <si>
    <t>BARRIO PACHAN</t>
  </si>
  <si>
    <t>EP Nº1</t>
  </si>
  <si>
    <t>SUM BARRIO PARQUE MUÑOZ</t>
  </si>
  <si>
    <t>SUM ESTACION LOPEZ</t>
  </si>
  <si>
    <t>VILLA RIEL</t>
  </si>
  <si>
    <t>CENS 451 167 CORONEL DORREGO CORONEL DORREGO</t>
  </si>
  <si>
    <t>Escuela Primaria 7/ Secundaria Media N°4</t>
  </si>
  <si>
    <t>Escuela Primaria N° 22 1127 Coronel Pringles Roca</t>
  </si>
  <si>
    <t>Escuela Primaria N° 8 Nuestra Señora del Carmen (Z 1500 Coronel Pringles Ruben Dario Rodera- Autoconstrucción (Indio</t>
  </si>
  <si>
    <t>guardería Cajita de Cristal</t>
  </si>
  <si>
    <t>Guarderia Nidito de Amor</t>
  </si>
  <si>
    <t>S.I.C Jugarte</t>
  </si>
  <si>
    <t>Complejo Educativo Municipal</t>
  </si>
  <si>
    <t>EEP N°4 "Martin M. de Guemes</t>
  </si>
  <si>
    <t>Escuela Secundaria N°2 s/n Laprida Delegacion San Jorge</t>
  </si>
  <si>
    <t>CAPS COLEGIALES 1299 TRES ARROYOS TRES ARROYOS</t>
  </si>
  <si>
    <t>CEREALCOOP 1450 TRES ARROYOS TRES ARROYOS</t>
  </si>
  <si>
    <t>EL PARQUECITO 360 TRES ARROYOS TRES ARROYOS</t>
  </si>
  <si>
    <t>Envión S/N TRES ARROYOS TRES ARROYOS</t>
  </si>
  <si>
    <t>ES N°6</t>
  </si>
  <si>
    <t>Junta Vecinal Villa Italia 698 TRES ARROYOS TRES ARROYOS</t>
  </si>
  <si>
    <t>Transporte Malvinas/Planta de reciclaje 2500 TRES ARROYOS TRES ARROYOS</t>
  </si>
  <si>
    <t>Bahia Blanca</t>
  </si>
  <si>
    <t>Biblioteca Villa Rosas 2087 Bahía Blanca</t>
  </si>
  <si>
    <t>Centro de Jubilados Ramón Estomba 362 Bahía Blanca Centro</t>
  </si>
  <si>
    <t>Centro Vicentino 2356 Bahía Blanca</t>
  </si>
  <si>
    <t>CIC Spurr</t>
  </si>
  <si>
    <t>EES 4 Cabildo S/N Bahía Blanca</t>
  </si>
  <si>
    <t>Espacio NIDO Vista Alegre</t>
  </si>
  <si>
    <t>IDEAL - EEPA 705</t>
  </si>
  <si>
    <t>Iglesia Reflejo de Amor</t>
  </si>
  <si>
    <t>INCOB Km 693,5 Bahía Blanca</t>
  </si>
  <si>
    <t>Maranatha 476 Bahía Blanca</t>
  </si>
  <si>
    <t>Sociedad de Fomento Miramar 1801 Bahía Blanca</t>
  </si>
  <si>
    <t>Sociedad de Fomento Stella Maris</t>
  </si>
  <si>
    <t>Sociedad de Fomento Stella Maris 2359 Bahía Blanca</t>
  </si>
  <si>
    <t>Sociedad de Fomento V. Rosas</t>
  </si>
  <si>
    <t>Sociedad de Fomento Villa Muñiz 251 Bahía Blanca</t>
  </si>
  <si>
    <t>SUTEBA 580 Bahía Blanca</t>
  </si>
  <si>
    <t>Tierras de Don Bosco S/N Bahía Blanca</t>
  </si>
  <si>
    <t>UATRE 955 Bahía Blanca</t>
  </si>
  <si>
    <t>Cármen de Patagones</t>
  </si>
  <si>
    <t>COMEDOR EL LORITO 790 CARMEN DE PATAGONES</t>
  </si>
  <si>
    <t>EP Nº 38</t>
  </si>
  <si>
    <t>EP Nº 38 59 VILLALONGA</t>
  </si>
  <si>
    <t>EP Nº 4 128 JUAN A. PRADERE</t>
  </si>
  <si>
    <t>EP Nº 7 S/N BAHIA SAN BLAS</t>
  </si>
  <si>
    <t>SUM EVA PERON</t>
  </si>
  <si>
    <t>SUM EVA PERON 95 CARMEN DE PATAGONES</t>
  </si>
  <si>
    <t>Coronel Rosales</t>
  </si>
  <si>
    <t>Asociación Empleados de Comercio</t>
  </si>
  <si>
    <t>CEA 704 417 ALGARROBO</t>
  </si>
  <si>
    <t>CEA 706</t>
  </si>
  <si>
    <t>EEPA 703</t>
  </si>
  <si>
    <t>CENTRO DE JUBILADOS CARHUE</t>
  </si>
  <si>
    <t>EP 6 145 SAN MIGUEL SAN MIGUEL</t>
  </si>
  <si>
    <t>RIVERA 5 485 RIVERA CENTRO</t>
  </si>
  <si>
    <t>Coronel Suarez</t>
  </si>
  <si>
    <t>Sede 2</t>
  </si>
  <si>
    <t>Sede 2 595 Santa Trinidad sin nombre</t>
  </si>
  <si>
    <t>Escuela 10 325 Daireaux Daireaux</t>
  </si>
  <si>
    <t>Escuela 34 331 Salazar Daireaux</t>
  </si>
  <si>
    <t>Escuela 8</t>
  </si>
  <si>
    <t>Sede Escuela 3 S/N Daireaux Daireaux</t>
  </si>
  <si>
    <t>General Lamadrid</t>
  </si>
  <si>
    <t>Escuela Primaria N°5 S/N Las Martinetas</t>
  </si>
  <si>
    <t>Puente Innova</t>
  </si>
  <si>
    <t>Guamini</t>
  </si>
  <si>
    <t>C.F.L. N°401</t>
  </si>
  <si>
    <t>S.U.M. MUNICIPAL</t>
  </si>
  <si>
    <t>EEST N°1</t>
  </si>
  <si>
    <t>E.E.S. N°1 Saavedra 409 Saavedra (091)</t>
  </si>
  <si>
    <t>E.E.S. N°3 Espartillar S/N Espartillar</t>
  </si>
  <si>
    <t>E.E.S. N°6 Dufaur S/N Dufaur</t>
  </si>
  <si>
    <t>Guarnición Militar Pigüé</t>
  </si>
  <si>
    <t>UPSO</t>
  </si>
  <si>
    <t>Centro de Jubilados Tornquist</t>
  </si>
  <si>
    <t>ES 6 Chasicó s/n Chasicó Chasicó</t>
  </si>
  <si>
    <t>Primaria 6 S/N Sierra de la Ventana Primaria 6</t>
  </si>
  <si>
    <t>Unidad Académica</t>
  </si>
  <si>
    <t>25 de mayo</t>
  </si>
  <si>
    <t>E.E.S. N° 2</t>
  </si>
  <si>
    <t>E.P. N° 5</t>
  </si>
  <si>
    <t>E.E.S. N° 2 101 25 de Mayo Norberto de la Riestra</t>
  </si>
  <si>
    <t>E.E.S. N° 4 S/N 25 de Mayo Valdés</t>
  </si>
  <si>
    <t>E.E.S. N° 5 S/N 25 de Mayo Pedernales</t>
  </si>
  <si>
    <t>Local Partidario en 7 esq 23 S/N 25 de Mayo 25 de Mayo</t>
  </si>
  <si>
    <t>Comedor Barrio San Antonio S/N General Alvear EESN°1</t>
  </si>
  <si>
    <t>Comedor Madre Teresa de Calcuta S/N General Alvear EESN°1</t>
  </si>
  <si>
    <t>Escuela de Educación Especial N°501</t>
  </si>
  <si>
    <t>ESCUELA PRIMARIA Nº 1</t>
  </si>
  <si>
    <t>ESCUELA PRIMARIA Nº 2</t>
  </si>
  <si>
    <t>CLUB MADRESELVA SEDE MITRE</t>
  </si>
  <si>
    <t>EP1</t>
  </si>
  <si>
    <t>EP26</t>
  </si>
  <si>
    <t>ES2</t>
  </si>
  <si>
    <t>Roque Perez</t>
  </si>
  <si>
    <t>Casita del arte/Ludoteca S/N Roque Pérez</t>
  </si>
  <si>
    <t>Punto Género</t>
  </si>
  <si>
    <t>centro de jubilados de del carril</t>
  </si>
  <si>
    <t>E.E.P N°26</t>
  </si>
  <si>
    <t>E.E.S N°3</t>
  </si>
  <si>
    <t>AUA 1619 Azul</t>
  </si>
  <si>
    <t>BACHILLERATO POPULAR NORITA CORTIÑAS</t>
  </si>
  <si>
    <t>Centro de Jubilados Lourdes</t>
  </si>
  <si>
    <t>CGT</t>
  </si>
  <si>
    <t>Don Cipriano 1002 Azul</t>
  </si>
  <si>
    <t>Escuela Primaria N°13</t>
  </si>
  <si>
    <t>Escuela Primaria N°28</t>
  </si>
  <si>
    <t>Escuela Primaria N°62</t>
  </si>
  <si>
    <t>Escuela Secundaria N°3</t>
  </si>
  <si>
    <t>Escuela Secundario N°3</t>
  </si>
  <si>
    <t>Hogar Agrícola Azul 375 Azul</t>
  </si>
  <si>
    <t>Puertas Abiertas 529 Azul</t>
  </si>
  <si>
    <t>SUM Monte Viggiano</t>
  </si>
  <si>
    <t>SUMAC</t>
  </si>
  <si>
    <t>Bolivar</t>
  </si>
  <si>
    <t>C.E.C Nº 801</t>
  </si>
  <si>
    <t>C.E.C Nº 801 125 Bolivar</t>
  </si>
  <si>
    <t>CEAT Nº703 S/N PIROVANO PIROVANO</t>
  </si>
  <si>
    <t>DTC 00 BOLIVAR</t>
  </si>
  <si>
    <t>PUNTO DIGITAL 420 BOLIVAR</t>
  </si>
  <si>
    <t>Olavarria</t>
  </si>
  <si>
    <t>BIOPARQUE LA MAXIMA 4200 Olavarría</t>
  </si>
  <si>
    <t>CENTRO CULTURAL SAN JOSE</t>
  </si>
  <si>
    <t>EP N°56</t>
  </si>
  <si>
    <t>Escuela Primaria N°2 1623 Sierra Chica</t>
  </si>
  <si>
    <t>Escuela Primaria N°4</t>
  </si>
  <si>
    <t>Escuela Secundaria N°4 S/N Hinojo</t>
  </si>
  <si>
    <t>La Trinidad</t>
  </si>
  <si>
    <t>NIDO B° EL PROGRESO S/N Olavarría</t>
  </si>
  <si>
    <t>NIDO VILLA MAGDALENA 6030 Olavarría</t>
  </si>
  <si>
    <t>REGIMIENTO RC TAN2</t>
  </si>
  <si>
    <t>SERV TERRITORIAL N°2 Y CNEL SUAREZ Olavarría</t>
  </si>
  <si>
    <t>Servicio Territorial N°1 Y Fassina Olavarría</t>
  </si>
  <si>
    <t>Soc de Fom Dámaso Arce 1129 Olavarría</t>
  </si>
  <si>
    <t>Tapalque</t>
  </si>
  <si>
    <t>Mercado Bonaerense 790 Tapalque</t>
  </si>
  <si>
    <t>Museo Crotto</t>
  </si>
  <si>
    <t>distrito</t>
  </si>
  <si>
    <t>SedeFINES</t>
  </si>
  <si>
    <t>Nivel Secundario (FINES)</t>
  </si>
  <si>
    <t>SEDE FINES</t>
  </si>
  <si>
    <t>IVSE_T</t>
  </si>
  <si>
    <t>FINES_R16212223</t>
  </si>
  <si>
    <t>FINES_R15172425</t>
  </si>
  <si>
    <t>deff</t>
  </si>
  <si>
    <t>370-530</t>
  </si>
  <si>
    <t>Estudiantes</t>
  </si>
  <si>
    <t>Muestra (Aprox.)</t>
  </si>
  <si>
    <t>x Región (17)-
Grupo (2)</t>
  </si>
  <si>
    <t>Muestra (estud.) por estrato geográfico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</si>
</sst>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"/>
    <numFmt numFmtId="166" formatCode="#,##0.0"/>
    <numFmt numFmtId="167" formatCode="0.0000"/>
  </numFmts>
  <fonts count="8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AB2C2"/>
      </patternFill>
    </fill>
    <fill>
      <patternFill patternType="solid">
        <fgColor rgb="FFD0E3EA"/>
      </patternFill>
    </fill>
    <fill>
      <patternFill patternType="solid">
        <fgColor rgb="FFE9F1F5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2AB2C2"/>
      </top>
      <bottom style="medium">
        <color rgb="FFFFFFFF"/>
      </bottom>
      <diagonal/>
    </border>
    <border>
      <left style="medium">
        <color rgb="FF2AB2C2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AB2C2"/>
      </left>
      <right style="medium">
        <color rgb="FFFFFFFF"/>
      </right>
      <top/>
      <bottom/>
      <diagonal/>
    </border>
  </borders>
  <cellStyleXfs count="2">
    <xf numFmtId="0" fontId="0" fillId="0" borderId="0"/>
    <xf numFmtId="164" fontId="1" fillId="0" borderId="1"/>
  </cellStyleXfs>
  <cellXfs count="43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164" fontId="3" fillId="2" borderId="3" xfId="1" applyFont="1" applyFill="1" applyBorder="1" applyAlignment="1">
      <alignment horizontal="center" vertical="center" wrapText="1"/>
    </xf>
    <xf numFmtId="0" fontId="2" fillId="3" borderId="2" xfId="0" applyFont="1" applyFill="1" applyBorder="1"/>
    <xf numFmtId="164" fontId="2" fillId="3" borderId="2" xfId="1" applyFont="1" applyFill="1" applyBorder="1"/>
    <xf numFmtId="0" fontId="2" fillId="4" borderId="2" xfId="0" applyFont="1" applyFill="1" applyBorder="1"/>
    <xf numFmtId="164" fontId="2" fillId="4" borderId="2" xfId="1" applyFont="1" applyFill="1" applyBorder="1"/>
    <xf numFmtId="0" fontId="0" fillId="0" borderId="0" xfId="0"/>
    <xf numFmtId="0" fontId="3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4" fillId="0" borderId="0" xfId="0" applyFont="1"/>
    <xf numFmtId="0" fontId="2" fillId="4" borderId="5" xfId="0" applyFont="1" applyFill="1" applyBorder="1"/>
    <xf numFmtId="0" fontId="6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0" fillId="0" borderId="0" xfId="0" applyFill="1"/>
    <xf numFmtId="3" fontId="0" fillId="0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5" fillId="0" borderId="6" xfId="0" applyFont="1" applyBorder="1" applyAlignment="1">
      <alignment horizontal="center"/>
    </xf>
    <xf numFmtId="167" fontId="0" fillId="0" borderId="0" xfId="0" applyNumberFormat="1"/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/>
    </xf>
    <xf numFmtId="0" fontId="5" fillId="0" borderId="0" xfId="0" applyFont="1"/>
    <xf numFmtId="0" fontId="0" fillId="0" borderId="4" xfId="0" applyBorder="1" applyAlignment="1">
      <alignment horizontal="center"/>
    </xf>
    <xf numFmtId="0" fontId="0" fillId="0" borderId="7" xfId="0" applyFill="1" applyBorder="1" applyAlignment="1">
      <alignment horizontal="center"/>
    </xf>
    <xf numFmtId="167" fontId="3" fillId="5" borderId="5" xfId="0" applyNumberFormat="1" applyFont="1" applyFill="1" applyBorder="1" applyAlignment="1">
      <alignment horizontal="center" vertical="center" wrapText="1"/>
    </xf>
    <xf numFmtId="167" fontId="7" fillId="0" borderId="0" xfId="0" applyNumberFormat="1" applyFont="1" applyAlignment="1">
      <alignment horizontal="center"/>
    </xf>
  </cellXfs>
  <cellStyles count="2">
    <cellStyle name="Normal" xfId="0" builtinId="0"/>
    <cellStyle name="puntomi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23"/>
  <sheetViews>
    <sheetView showGridLines="0" tabSelected="1" topLeftCell="I1" zoomScale="69" zoomScaleNormal="69" workbookViewId="0">
      <selection activeCell="Y7" sqref="Y7"/>
    </sheetView>
  </sheetViews>
  <sheetFormatPr baseColWidth="10" defaultColWidth="9.109375" defaultRowHeight="14.4"/>
  <cols>
    <col min="1" max="1" width="14" style="7" customWidth="1"/>
    <col min="3" max="3" width="14" customWidth="1"/>
    <col min="4" max="4" width="19.44140625" customWidth="1"/>
    <col min="6" max="6" width="7.44140625" customWidth="1"/>
    <col min="7" max="7" width="17.109375" customWidth="1"/>
    <col min="8" max="8" width="14.88671875" customWidth="1"/>
    <col min="9" max="9" width="25.44140625" customWidth="1"/>
    <col min="12" max="12" width="33.44140625" customWidth="1"/>
    <col min="13" max="13" width="10.77734375" customWidth="1"/>
    <col min="15" max="15" width="19.5546875" customWidth="1"/>
    <col min="16" max="16" width="19.44140625" customWidth="1"/>
    <col min="17" max="17" width="10.6640625" style="26" customWidth="1"/>
    <col min="18" max="18" width="9.109375" style="26"/>
    <col min="19" max="19" width="12.44140625" style="9" bestFit="1" customWidth="1"/>
    <col min="20" max="20" width="13.33203125" bestFit="1" customWidth="1"/>
    <col min="21" max="21" width="13.109375" customWidth="1"/>
    <col min="22" max="22" width="10.77734375" customWidth="1"/>
    <col min="23" max="23" width="18.77734375" style="38" bestFit="1" customWidth="1"/>
    <col min="24" max="24" width="9.109375" style="32"/>
  </cols>
  <sheetData>
    <row r="1" spans="1:24" ht="45" customHeight="1" thickBot="1">
      <c r="A1" s="1" t="s">
        <v>2915</v>
      </c>
      <c r="B1" s="1" t="s">
        <v>2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2908</v>
      </c>
      <c r="T1" s="1" t="s">
        <v>2911</v>
      </c>
      <c r="U1" s="8" t="s">
        <v>2918</v>
      </c>
      <c r="V1" s="8" t="s">
        <v>2919</v>
      </c>
      <c r="W1" s="8" t="s">
        <v>2920</v>
      </c>
      <c r="X1" s="41" t="s">
        <v>5103</v>
      </c>
    </row>
    <row r="2" spans="1:24" ht="15" thickBot="1">
      <c r="A2" s="5" t="s">
        <v>2916</v>
      </c>
      <c r="B2" s="5" t="s">
        <v>19</v>
      </c>
      <c r="C2" s="5" t="s">
        <v>252</v>
      </c>
      <c r="D2" s="5" t="s">
        <v>2566</v>
      </c>
      <c r="E2" s="5">
        <v>602838</v>
      </c>
      <c r="F2" s="5">
        <v>2</v>
      </c>
      <c r="G2" s="5" t="s">
        <v>2575</v>
      </c>
      <c r="H2" s="5" t="s">
        <v>20</v>
      </c>
      <c r="I2" s="6" t="s">
        <v>50</v>
      </c>
      <c r="J2" s="6" t="s">
        <v>51</v>
      </c>
      <c r="K2" s="6" t="s">
        <v>2573</v>
      </c>
      <c r="L2" s="6" t="s">
        <v>2576</v>
      </c>
      <c r="M2" s="6" t="s">
        <v>22</v>
      </c>
      <c r="N2" s="6" t="s">
        <v>23</v>
      </c>
      <c r="O2" s="6" t="s">
        <v>27</v>
      </c>
      <c r="P2" s="6" t="s">
        <v>28</v>
      </c>
      <c r="Q2" s="22">
        <v>24</v>
      </c>
      <c r="R2" s="23">
        <v>2</v>
      </c>
      <c r="S2" s="39">
        <v>0</v>
      </c>
      <c r="T2" t="s">
        <v>2910</v>
      </c>
      <c r="V2" t="str">
        <f>+IF(U2="","",IF(U2="FINES",CONCATENATE("R",IF(OR(B2="16",B2="21",B2="22",B2="23"),"16212223",IF(OR(B2="15",B2="17",B2="24",B2="25"),"15172425",B2))),IF(U2="CEBAS","UNICO",IF(VALUE(B2)&lt;=11,"AMBA","INTERIOR"))))</f>
        <v/>
      </c>
      <c r="W2" s="38" t="str">
        <f>+IF(U2="","-",CONCATENATE(U2,"_",V2))</f>
        <v>-</v>
      </c>
      <c r="X2" s="42">
        <v>0</v>
      </c>
    </row>
    <row r="3" spans="1:24" ht="15" thickBot="1">
      <c r="A3" s="5" t="s">
        <v>2916</v>
      </c>
      <c r="B3" s="5" t="s">
        <v>817</v>
      </c>
      <c r="C3" s="5" t="s">
        <v>815</v>
      </c>
      <c r="D3" s="5" t="s">
        <v>816</v>
      </c>
      <c r="E3" s="5">
        <v>608473</v>
      </c>
      <c r="F3" s="5">
        <v>1</v>
      </c>
      <c r="G3" s="5" t="s">
        <v>831</v>
      </c>
      <c r="H3" s="5" t="s">
        <v>20</v>
      </c>
      <c r="I3" s="6" t="s">
        <v>50</v>
      </c>
      <c r="J3" s="6" t="s">
        <v>51</v>
      </c>
      <c r="K3" s="6" t="s">
        <v>832</v>
      </c>
      <c r="L3" s="6" t="s">
        <v>833</v>
      </c>
      <c r="M3" s="6" t="s">
        <v>22</v>
      </c>
      <c r="N3" s="6" t="s">
        <v>23</v>
      </c>
      <c r="O3" s="6" t="s">
        <v>27</v>
      </c>
      <c r="P3" s="6" t="s">
        <v>28</v>
      </c>
      <c r="Q3" s="22">
        <v>55</v>
      </c>
      <c r="R3" s="23">
        <v>4</v>
      </c>
      <c r="S3" s="39">
        <v>0</v>
      </c>
      <c r="T3" s="7" t="s">
        <v>2910</v>
      </c>
      <c r="V3" s="7" t="str">
        <f>+IF(U3="","",IF(U3="FINES",CONCATENATE("R",IF(OR(B3="16",B3="21",B3="22",B3="23"),"16212223",IF(OR(B3="15",B3="17",B3="24",B3="25"),"15172425",B3))),IF(U3="CEBAS","UNICO",IF(VALUE(B3)&lt;=11,"AMBA","INTERIOR"))))</f>
        <v/>
      </c>
      <c r="W3" s="38" t="str">
        <f>+IF(U3="","-",CONCATENATE(U3,"_",V3))</f>
        <v>-</v>
      </c>
      <c r="X3" s="42">
        <v>0</v>
      </c>
    </row>
    <row r="4" spans="1:24" ht="15" thickBot="1">
      <c r="A4" s="3" t="s">
        <v>2916</v>
      </c>
      <c r="B4" s="3" t="s">
        <v>352</v>
      </c>
      <c r="C4" s="3" t="s">
        <v>1338</v>
      </c>
      <c r="D4" s="3" t="s">
        <v>1339</v>
      </c>
      <c r="E4" s="3">
        <v>600691</v>
      </c>
      <c r="F4" s="3">
        <v>0</v>
      </c>
      <c r="G4" s="3" t="s">
        <v>1340</v>
      </c>
      <c r="H4" s="3" t="s">
        <v>20</v>
      </c>
      <c r="I4" s="4" t="s">
        <v>50</v>
      </c>
      <c r="J4" s="4" t="s">
        <v>21</v>
      </c>
      <c r="K4" s="4"/>
      <c r="L4" s="4" t="s">
        <v>1341</v>
      </c>
      <c r="M4" s="4" t="s">
        <v>22</v>
      </c>
      <c r="N4" s="4" t="s">
        <v>23</v>
      </c>
      <c r="O4" s="4" t="s">
        <v>27</v>
      </c>
      <c r="P4" s="4" t="s">
        <v>28</v>
      </c>
      <c r="Q4" s="24">
        <v>11</v>
      </c>
      <c r="R4" s="25">
        <v>1</v>
      </c>
      <c r="S4" s="39">
        <v>0</v>
      </c>
      <c r="T4" s="7" t="s">
        <v>2910</v>
      </c>
      <c r="V4" s="7" t="str">
        <f>+IF(U4="","",IF(U4="FINES",CONCATENATE("R",IF(OR(B4="16",B4="21",B4="22",B4="23"),"16212223",IF(OR(B4="15",B4="17",B4="24",B4="25"),"15172425",B4))),IF(U4="CEBAS","UNICO",IF(VALUE(B4)&lt;=11,"AMBA","INTERIOR"))))</f>
        <v/>
      </c>
      <c r="W4" s="38" t="str">
        <f>+IF(U4="","-",CONCATENATE(U4,"_",V4))</f>
        <v>-</v>
      </c>
      <c r="X4" s="42">
        <v>1E-3</v>
      </c>
    </row>
    <row r="5" spans="1:24" ht="15" thickBot="1">
      <c r="A5" s="5" t="s">
        <v>2916</v>
      </c>
      <c r="B5" s="5" t="s">
        <v>356</v>
      </c>
      <c r="C5" s="5" t="s">
        <v>805</v>
      </c>
      <c r="D5" s="5" t="s">
        <v>2500</v>
      </c>
      <c r="E5" s="5">
        <v>608243</v>
      </c>
      <c r="F5" s="5">
        <v>1</v>
      </c>
      <c r="G5" s="5" t="s">
        <v>2529</v>
      </c>
      <c r="H5" s="5" t="s">
        <v>20</v>
      </c>
      <c r="I5" s="6" t="s">
        <v>50</v>
      </c>
      <c r="J5" s="6" t="s">
        <v>51</v>
      </c>
      <c r="K5" s="6" t="s">
        <v>2510</v>
      </c>
      <c r="L5" s="6" t="s">
        <v>2530</v>
      </c>
      <c r="M5" s="6" t="s">
        <v>22</v>
      </c>
      <c r="N5" s="6" t="s">
        <v>23</v>
      </c>
      <c r="O5" s="6" t="s">
        <v>27</v>
      </c>
      <c r="P5" s="6" t="s">
        <v>28</v>
      </c>
      <c r="Q5" s="22">
        <v>46</v>
      </c>
      <c r="R5" s="23">
        <v>3</v>
      </c>
      <c r="S5" s="39">
        <v>0</v>
      </c>
      <c r="T5" s="7" t="s">
        <v>2910</v>
      </c>
      <c r="V5" s="7" t="str">
        <f>+IF(U5="","",IF(U5="FINES",CONCATENATE("R",IF(OR(B5="16",B5="21",B5="22",B5="23"),"16212223",IF(OR(B5="15",B5="17",B5="24",B5="25"),"15172425",B5))),IF(U5="CEBAS","UNICO",IF(VALUE(B5)&lt;=11,"AMBA","INTERIOR"))))</f>
        <v/>
      </c>
      <c r="W5" s="38" t="str">
        <f>+IF(U5="","-",CONCATENATE(U5,"_",V5))</f>
        <v>-</v>
      </c>
      <c r="X5" s="42">
        <v>1E-3</v>
      </c>
    </row>
    <row r="6" spans="1:24" ht="15" thickBot="1">
      <c r="A6" s="5" t="s">
        <v>2916</v>
      </c>
      <c r="B6" s="5" t="s">
        <v>225</v>
      </c>
      <c r="C6" s="5" t="s">
        <v>942</v>
      </c>
      <c r="D6" s="5" t="s">
        <v>943</v>
      </c>
      <c r="E6" s="5">
        <v>613572</v>
      </c>
      <c r="F6" s="5">
        <v>1</v>
      </c>
      <c r="G6" s="5" t="s">
        <v>1007</v>
      </c>
      <c r="H6" s="5" t="s">
        <v>20</v>
      </c>
      <c r="I6" s="6" t="s">
        <v>50</v>
      </c>
      <c r="J6" s="6" t="s">
        <v>51</v>
      </c>
      <c r="K6" s="6" t="s">
        <v>1008</v>
      </c>
      <c r="L6" s="6" t="s">
        <v>1009</v>
      </c>
      <c r="M6" s="6" t="s">
        <v>22</v>
      </c>
      <c r="N6" s="6" t="s">
        <v>23</v>
      </c>
      <c r="O6" s="6" t="s">
        <v>27</v>
      </c>
      <c r="P6" s="6" t="s">
        <v>28</v>
      </c>
      <c r="Q6" s="22">
        <v>36</v>
      </c>
      <c r="R6" s="23">
        <v>3</v>
      </c>
      <c r="S6" s="39">
        <v>0</v>
      </c>
      <c r="T6" s="7" t="s">
        <v>2910</v>
      </c>
      <c r="V6" s="7" t="str">
        <f>+IF(U6="","",IF(U6="FINES",CONCATENATE("R",IF(OR(B6="16",B6="21",B6="22",B6="23"),"16212223",IF(OR(B6="15",B6="17",B6="24",B6="25"),"15172425",B6))),IF(U6="CEBAS","UNICO",IF(VALUE(B6)&lt;=11,"AMBA","INTERIOR"))))</f>
        <v/>
      </c>
      <c r="W6" s="38" t="str">
        <f>+IF(U6="","-",CONCATENATE(U6,"_",V6))</f>
        <v>-</v>
      </c>
      <c r="X6" s="42">
        <v>2E-3</v>
      </c>
    </row>
    <row r="7" spans="1:24" ht="15" thickBot="1">
      <c r="A7" s="3" t="s">
        <v>2916</v>
      </c>
      <c r="B7" s="3" t="s">
        <v>1780</v>
      </c>
      <c r="C7" s="3" t="s">
        <v>1778</v>
      </c>
      <c r="D7" s="3" t="s">
        <v>1779</v>
      </c>
      <c r="E7" s="3">
        <v>609955</v>
      </c>
      <c r="F7" s="3">
        <v>4</v>
      </c>
      <c r="G7" s="3" t="s">
        <v>1806</v>
      </c>
      <c r="H7" s="3" t="s">
        <v>20</v>
      </c>
      <c r="I7" s="4" t="s">
        <v>50</v>
      </c>
      <c r="J7" s="4" t="s">
        <v>51</v>
      </c>
      <c r="K7" s="4" t="s">
        <v>1804</v>
      </c>
      <c r="L7" s="4" t="s">
        <v>372</v>
      </c>
      <c r="M7" s="4" t="s">
        <v>22</v>
      </c>
      <c r="N7" s="4" t="s">
        <v>23</v>
      </c>
      <c r="O7" s="4" t="s">
        <v>27</v>
      </c>
      <c r="P7" s="4" t="s">
        <v>28</v>
      </c>
      <c r="Q7" s="24">
        <v>40</v>
      </c>
      <c r="R7" s="25">
        <v>3</v>
      </c>
      <c r="S7" s="39">
        <v>0</v>
      </c>
      <c r="T7" s="7" t="s">
        <v>2910</v>
      </c>
      <c r="V7" s="7" t="str">
        <f>+IF(U7="","",IF(U7="FINES",CONCATENATE("R",IF(OR(B7="16",B7="21",B7="22",B7="23"),"16212223",IF(OR(B7="15",B7="17",B7="24",B7="25"),"15172425",B7))),IF(U7="CEBAS","UNICO",IF(VALUE(B7)&lt;=11,"AMBA","INTERIOR"))))</f>
        <v/>
      </c>
      <c r="W7" s="38" t="str">
        <f>+IF(U7="","-",CONCATENATE(U7,"_",V7))</f>
        <v>-</v>
      </c>
      <c r="X7" s="42">
        <v>4.0000000000000001E-3</v>
      </c>
    </row>
    <row r="8" spans="1:24" ht="15" thickBot="1">
      <c r="A8" s="3" t="s">
        <v>2916</v>
      </c>
      <c r="B8" s="3" t="s">
        <v>817</v>
      </c>
      <c r="C8" s="3" t="s">
        <v>815</v>
      </c>
      <c r="D8" s="3" t="s">
        <v>816</v>
      </c>
      <c r="E8" s="3">
        <v>608473</v>
      </c>
      <c r="F8" s="3">
        <v>2</v>
      </c>
      <c r="G8" s="3" t="s">
        <v>834</v>
      </c>
      <c r="H8" s="3" t="s">
        <v>20</v>
      </c>
      <c r="I8" s="4" t="s">
        <v>50</v>
      </c>
      <c r="J8" s="4" t="s">
        <v>51</v>
      </c>
      <c r="K8" s="4" t="s">
        <v>832</v>
      </c>
      <c r="L8" s="4" t="s">
        <v>835</v>
      </c>
      <c r="M8" s="4" t="s">
        <v>22</v>
      </c>
      <c r="N8" s="4" t="s">
        <v>23</v>
      </c>
      <c r="O8" s="4" t="s">
        <v>27</v>
      </c>
      <c r="P8" s="4" t="s">
        <v>28</v>
      </c>
      <c r="Q8" s="24">
        <v>38</v>
      </c>
      <c r="R8" s="25">
        <v>3</v>
      </c>
      <c r="S8" s="39">
        <v>0</v>
      </c>
      <c r="T8" s="7" t="s">
        <v>2910</v>
      </c>
      <c r="V8" s="7" t="str">
        <f>+IF(U8="","",IF(U8="FINES",CONCATENATE("R",IF(OR(B8="16",B8="21",B8="22",B8="23"),"16212223",IF(OR(B8="15",B8="17",B8="24",B8="25"),"15172425",B8))),IF(U8="CEBAS","UNICO",IF(VALUE(B8)&lt;=11,"AMBA","INTERIOR"))))</f>
        <v/>
      </c>
      <c r="W8" s="38" t="str">
        <f>+IF(U8="","-",CONCATENATE(U8,"_",V8))</f>
        <v>-</v>
      </c>
      <c r="X8" s="42">
        <v>4.0000000000000001E-3</v>
      </c>
    </row>
    <row r="9" spans="1:24" ht="15" thickBot="1">
      <c r="A9" s="3" t="s">
        <v>2916</v>
      </c>
      <c r="B9" s="3" t="s">
        <v>222</v>
      </c>
      <c r="C9" s="3" t="s">
        <v>1154</v>
      </c>
      <c r="D9" s="3" t="s">
        <v>1155</v>
      </c>
      <c r="E9" s="3">
        <v>605769</v>
      </c>
      <c r="F9" s="3">
        <v>1</v>
      </c>
      <c r="G9" s="3" t="s">
        <v>1162</v>
      </c>
      <c r="H9" s="3" t="s">
        <v>20</v>
      </c>
      <c r="I9" s="4" t="s">
        <v>50</v>
      </c>
      <c r="J9" s="4" t="s">
        <v>51</v>
      </c>
      <c r="K9" s="4" t="s">
        <v>1163</v>
      </c>
      <c r="L9" s="4" t="s">
        <v>1164</v>
      </c>
      <c r="M9" s="4" t="s">
        <v>22</v>
      </c>
      <c r="N9" s="4" t="s">
        <v>23</v>
      </c>
      <c r="O9" s="4" t="s">
        <v>27</v>
      </c>
      <c r="P9" s="4" t="s">
        <v>28</v>
      </c>
      <c r="Q9" s="24">
        <v>32</v>
      </c>
      <c r="R9" s="25">
        <v>2</v>
      </c>
      <c r="S9" s="39">
        <v>0</v>
      </c>
      <c r="T9" s="7" t="s">
        <v>2910</v>
      </c>
      <c r="V9" s="7" t="str">
        <f>+IF(U9="","",IF(U9="FINES",CONCATENATE("R",IF(OR(B9="16",B9="21",B9="22",B9="23"),"16212223",IF(OR(B9="15",B9="17",B9="24",B9="25"),"15172425",B9))),IF(U9="CEBAS","UNICO",IF(VALUE(B9)&lt;=11,"AMBA","INTERIOR"))))</f>
        <v/>
      </c>
      <c r="W9" s="38" t="str">
        <f>+IF(U9="","-",CONCATENATE(U9,"_",V9))</f>
        <v>-</v>
      </c>
      <c r="X9" s="42">
        <v>6.0000000000000001E-3</v>
      </c>
    </row>
    <row r="10" spans="1:24" ht="15" thickBot="1">
      <c r="A10" s="3" t="s">
        <v>2916</v>
      </c>
      <c r="B10" s="3" t="s">
        <v>204</v>
      </c>
      <c r="C10" s="3" t="s">
        <v>219</v>
      </c>
      <c r="D10" s="3" t="s">
        <v>2865</v>
      </c>
      <c r="E10" s="3">
        <v>600021</v>
      </c>
      <c r="F10" s="3">
        <v>1</v>
      </c>
      <c r="G10" s="3" t="s">
        <v>2873</v>
      </c>
      <c r="H10" s="3" t="s">
        <v>20</v>
      </c>
      <c r="I10" s="4" t="s">
        <v>50</v>
      </c>
      <c r="J10" s="4" t="s">
        <v>51</v>
      </c>
      <c r="K10" s="4" t="s">
        <v>2867</v>
      </c>
      <c r="L10" s="4" t="s">
        <v>778</v>
      </c>
      <c r="M10" s="4" t="s">
        <v>22</v>
      </c>
      <c r="N10" s="4" t="s">
        <v>23</v>
      </c>
      <c r="O10" s="4" t="s">
        <v>27</v>
      </c>
      <c r="P10" s="4" t="s">
        <v>28</v>
      </c>
      <c r="Q10" s="24">
        <v>30</v>
      </c>
      <c r="R10" s="25">
        <v>2</v>
      </c>
      <c r="S10" s="39">
        <v>0</v>
      </c>
      <c r="T10" s="7" t="s">
        <v>2910</v>
      </c>
      <c r="V10" s="7" t="str">
        <f>+IF(U10="","",IF(U10="FINES",CONCATENATE("R",IF(OR(B10="16",B10="21",B10="22",B10="23"),"16212223",IF(OR(B10="15",B10="17",B10="24",B10="25"),"15172425",B10))),IF(U10="CEBAS","UNICO",IF(VALUE(B10)&lt;=11,"AMBA","INTERIOR"))))</f>
        <v/>
      </c>
      <c r="W10" s="38" t="str">
        <f>+IF(U10="","-",CONCATENATE(U10,"_",V10))</f>
        <v>-</v>
      </c>
      <c r="X10" s="42">
        <v>7.0000000000000001E-3</v>
      </c>
    </row>
    <row r="11" spans="1:24" ht="15" thickBot="1">
      <c r="A11" s="5" t="s">
        <v>2916</v>
      </c>
      <c r="B11" s="5" t="s">
        <v>203</v>
      </c>
      <c r="C11" s="5" t="s">
        <v>1986</v>
      </c>
      <c r="D11" s="5" t="s">
        <v>1987</v>
      </c>
      <c r="E11" s="5">
        <v>603157</v>
      </c>
      <c r="F11" s="5">
        <v>3</v>
      </c>
      <c r="G11" s="5" t="s">
        <v>1991</v>
      </c>
      <c r="H11" s="5" t="s">
        <v>20</v>
      </c>
      <c r="I11" s="6" t="s">
        <v>50</v>
      </c>
      <c r="J11" s="6" t="s">
        <v>51</v>
      </c>
      <c r="K11" s="6" t="s">
        <v>1989</v>
      </c>
      <c r="L11" s="6" t="s">
        <v>526</v>
      </c>
      <c r="M11" s="6" t="s">
        <v>22</v>
      </c>
      <c r="N11" s="6" t="s">
        <v>23</v>
      </c>
      <c r="O11" s="6" t="s">
        <v>27</v>
      </c>
      <c r="P11" s="6" t="s">
        <v>28</v>
      </c>
      <c r="Q11" s="22">
        <v>36</v>
      </c>
      <c r="R11" s="23">
        <v>3</v>
      </c>
      <c r="S11" s="39">
        <v>0</v>
      </c>
      <c r="T11" s="7" t="s">
        <v>2910</v>
      </c>
      <c r="V11" s="7" t="str">
        <f>+IF(U11="","",IF(U11="FINES",CONCATENATE("R",IF(OR(B11="16",B11="21",B11="22",B11="23"),"16212223",IF(OR(B11="15",B11="17",B11="24",B11="25"),"15172425",B11))),IF(U11="CEBAS","UNICO",IF(VALUE(B11)&lt;=11,"AMBA","INTERIOR"))))</f>
        <v/>
      </c>
      <c r="W11" s="38" t="str">
        <f>+IF(U11="","-",CONCATENATE(U11,"_",V11))</f>
        <v>-</v>
      </c>
      <c r="X11" s="42">
        <v>8.9999999999999993E-3</v>
      </c>
    </row>
    <row r="12" spans="1:24" ht="15" thickBot="1">
      <c r="A12" s="5" t="s">
        <v>2916</v>
      </c>
      <c r="B12" s="5" t="s">
        <v>410</v>
      </c>
      <c r="C12" s="5" t="s">
        <v>417</v>
      </c>
      <c r="D12" s="5" t="s">
        <v>2739</v>
      </c>
      <c r="E12" s="5">
        <v>613151</v>
      </c>
      <c r="F12" s="5">
        <v>1</v>
      </c>
      <c r="G12" s="5" t="s">
        <v>2740</v>
      </c>
      <c r="H12" s="5" t="s">
        <v>20</v>
      </c>
      <c r="I12" s="6" t="s">
        <v>50</v>
      </c>
      <c r="J12" s="6" t="s">
        <v>51</v>
      </c>
      <c r="K12" s="6" t="s">
        <v>2741</v>
      </c>
      <c r="L12" s="6" t="s">
        <v>428</v>
      </c>
      <c r="M12" s="6" t="s">
        <v>22</v>
      </c>
      <c r="N12" s="6" t="s">
        <v>23</v>
      </c>
      <c r="O12" s="6" t="s">
        <v>27</v>
      </c>
      <c r="P12" s="6" t="s">
        <v>28</v>
      </c>
      <c r="Q12" s="22">
        <v>38</v>
      </c>
      <c r="R12" s="23">
        <v>3</v>
      </c>
      <c r="S12" s="39">
        <v>0</v>
      </c>
      <c r="T12" s="7" t="s">
        <v>2910</v>
      </c>
      <c r="V12" s="7" t="str">
        <f>+IF(U12="","",IF(U12="FINES",CONCATENATE("R",IF(OR(B12="16",B12="21",B12="22",B12="23"),"16212223",IF(OR(B12="15",B12="17",B12="24",B12="25"),"15172425",B12))),IF(U12="CEBAS","UNICO",IF(VALUE(B12)&lt;=11,"AMBA","INTERIOR"))))</f>
        <v/>
      </c>
      <c r="W12" s="38" t="str">
        <f>+IF(U12="","-",CONCATENATE(U12,"_",V12))</f>
        <v>-</v>
      </c>
      <c r="X12" s="42">
        <v>1.2999999999999999E-2</v>
      </c>
    </row>
    <row r="13" spans="1:24" ht="15" thickBot="1">
      <c r="A13" s="5" t="s">
        <v>2916</v>
      </c>
      <c r="B13" s="5" t="s">
        <v>1532</v>
      </c>
      <c r="C13" s="5" t="s">
        <v>1530</v>
      </c>
      <c r="D13" s="5" t="s">
        <v>1531</v>
      </c>
      <c r="E13" s="5">
        <v>602154</v>
      </c>
      <c r="F13" s="5">
        <v>1</v>
      </c>
      <c r="G13" s="5" t="s">
        <v>1571</v>
      </c>
      <c r="H13" s="5" t="s">
        <v>20</v>
      </c>
      <c r="I13" s="6" t="s">
        <v>50</v>
      </c>
      <c r="J13" s="6" t="s">
        <v>51</v>
      </c>
      <c r="K13" s="6" t="s">
        <v>1572</v>
      </c>
      <c r="L13" s="6" t="s">
        <v>1573</v>
      </c>
      <c r="M13" s="6" t="s">
        <v>22</v>
      </c>
      <c r="N13" s="6" t="s">
        <v>23</v>
      </c>
      <c r="O13" s="6" t="s">
        <v>27</v>
      </c>
      <c r="P13" s="6" t="s">
        <v>28</v>
      </c>
      <c r="Q13" s="22">
        <v>21</v>
      </c>
      <c r="R13" s="23">
        <v>2</v>
      </c>
      <c r="S13" s="39">
        <v>0</v>
      </c>
      <c r="T13" s="7" t="s">
        <v>2910</v>
      </c>
      <c r="V13" s="7" t="str">
        <f>+IF(U13="","",IF(U13="FINES",CONCATENATE("R",IF(OR(B13="16",B13="21",B13="22",B13="23"),"16212223",IF(OR(B13="15",B13="17",B13="24",B13="25"),"15172425",B13))),IF(U13="CEBAS","UNICO",IF(VALUE(B13)&lt;=11,"AMBA","INTERIOR"))))</f>
        <v/>
      </c>
      <c r="W13" s="38" t="str">
        <f>+IF(U13="","-",CONCATENATE(U13,"_",V13))</f>
        <v>-</v>
      </c>
      <c r="X13" s="42">
        <v>1.6E-2</v>
      </c>
    </row>
    <row r="14" spans="1:24" ht="15" thickBot="1">
      <c r="A14" s="3" t="s">
        <v>2916</v>
      </c>
      <c r="B14" s="3" t="s">
        <v>257</v>
      </c>
      <c r="C14" s="3" t="s">
        <v>254</v>
      </c>
      <c r="D14" s="3" t="s">
        <v>256</v>
      </c>
      <c r="E14" s="3">
        <v>613277</v>
      </c>
      <c r="F14" s="3">
        <v>3</v>
      </c>
      <c r="G14" s="3" t="s">
        <v>312</v>
      </c>
      <c r="H14" s="3" t="s">
        <v>20</v>
      </c>
      <c r="I14" s="4" t="s">
        <v>50</v>
      </c>
      <c r="J14" s="4" t="s">
        <v>51</v>
      </c>
      <c r="K14" s="4" t="s">
        <v>295</v>
      </c>
      <c r="L14" s="4" t="s">
        <v>313</v>
      </c>
      <c r="M14" s="4" t="s">
        <v>22</v>
      </c>
      <c r="N14" s="4" t="s">
        <v>23</v>
      </c>
      <c r="O14" s="4" t="s">
        <v>27</v>
      </c>
      <c r="P14" s="4" t="s">
        <v>28</v>
      </c>
      <c r="Q14" s="24">
        <v>32</v>
      </c>
      <c r="R14" s="25">
        <v>2</v>
      </c>
      <c r="S14" s="39">
        <v>0</v>
      </c>
      <c r="T14" s="7" t="s">
        <v>2910</v>
      </c>
      <c r="V14" s="7" t="str">
        <f>+IF(U14="","",IF(U14="FINES",CONCATENATE("R",IF(OR(B14="16",B14="21",B14="22",B14="23"),"16212223",IF(OR(B14="15",B14="17",B14="24",B14="25"),"15172425",B14))),IF(U14="CEBAS","UNICO",IF(VALUE(B14)&lt;=11,"AMBA","INTERIOR"))))</f>
        <v/>
      </c>
      <c r="W14" s="38" t="str">
        <f>+IF(U14="","-",CONCATENATE(U14,"_",V14))</f>
        <v>-</v>
      </c>
      <c r="X14" s="42">
        <v>1.7000000000000001E-2</v>
      </c>
    </row>
    <row r="15" spans="1:24" ht="15" thickBot="1">
      <c r="A15" s="3" t="s">
        <v>2916</v>
      </c>
      <c r="B15" s="3" t="s">
        <v>356</v>
      </c>
      <c r="C15" s="3" t="s">
        <v>353</v>
      </c>
      <c r="D15" s="3" t="s">
        <v>355</v>
      </c>
      <c r="E15" s="3">
        <v>624498</v>
      </c>
      <c r="F15" s="3">
        <v>0</v>
      </c>
      <c r="G15" s="3" t="s">
        <v>413</v>
      </c>
      <c r="H15" s="3" t="s">
        <v>207</v>
      </c>
      <c r="I15" s="4" t="s">
        <v>142</v>
      </c>
      <c r="J15" s="4" t="s">
        <v>21</v>
      </c>
      <c r="K15" s="4"/>
      <c r="L15" s="4" t="s">
        <v>414</v>
      </c>
      <c r="M15" s="4" t="s">
        <v>22</v>
      </c>
      <c r="N15" s="4" t="s">
        <v>134</v>
      </c>
      <c r="O15" s="4" t="s">
        <v>27</v>
      </c>
      <c r="P15" s="4" t="s">
        <v>144</v>
      </c>
      <c r="Q15" s="24">
        <v>36</v>
      </c>
      <c r="R15" s="25">
        <v>2</v>
      </c>
      <c r="S15" s="39">
        <v>0</v>
      </c>
      <c r="T15" s="7" t="s">
        <v>2909</v>
      </c>
      <c r="V15" s="7" t="str">
        <f>+IF(U15="","",IF(U15="FINES",CONCATENATE("R",IF(OR(B15="16",B15="21",B15="22",B15="23"),"16212223",IF(OR(B15="15",B15="17",B15="24",B15="25"),"15172425",B15))),IF(U15="CEBAS","UNICO",IF(VALUE(B15)&lt;=11,"AMBA","INTERIOR"))))</f>
        <v/>
      </c>
      <c r="W15" s="38" t="str">
        <f>+IF(U15="","-",CONCATENATE(U15,"_",V15))</f>
        <v>-</v>
      </c>
      <c r="X15" s="42">
        <v>1.7000000000000001E-2</v>
      </c>
    </row>
    <row r="16" spans="1:24" ht="15" thickBot="1">
      <c r="A16" s="5" t="s">
        <v>2916</v>
      </c>
      <c r="B16" s="5" t="s">
        <v>222</v>
      </c>
      <c r="C16" s="5" t="s">
        <v>610</v>
      </c>
      <c r="D16" s="5" t="s">
        <v>611</v>
      </c>
      <c r="E16" s="5">
        <v>605809</v>
      </c>
      <c r="F16" s="5">
        <v>1</v>
      </c>
      <c r="G16" s="5" t="s">
        <v>612</v>
      </c>
      <c r="H16" s="5" t="s">
        <v>20</v>
      </c>
      <c r="I16" s="6" t="s">
        <v>50</v>
      </c>
      <c r="J16" s="6" t="s">
        <v>51</v>
      </c>
      <c r="K16" s="6" t="s">
        <v>613</v>
      </c>
      <c r="L16" s="6" t="s">
        <v>614</v>
      </c>
      <c r="M16" s="6" t="s">
        <v>22</v>
      </c>
      <c r="N16" s="6" t="s">
        <v>23</v>
      </c>
      <c r="O16" s="6" t="s">
        <v>27</v>
      </c>
      <c r="P16" s="6" t="s">
        <v>28</v>
      </c>
      <c r="Q16" s="22">
        <v>60</v>
      </c>
      <c r="R16" s="23">
        <v>4</v>
      </c>
      <c r="S16" s="39">
        <v>0</v>
      </c>
      <c r="T16" s="7" t="s">
        <v>2910</v>
      </c>
      <c r="V16" s="7" t="str">
        <f>+IF(U16="","",IF(U16="FINES",CONCATENATE("R",IF(OR(B16="16",B16="21",B16="22",B16="23"),"16212223",IF(OR(B16="15",B16="17",B16="24",B16="25"),"15172425",B16))),IF(U16="CEBAS","UNICO",IF(VALUE(B16)&lt;=11,"AMBA","INTERIOR"))))</f>
        <v/>
      </c>
      <c r="W16" s="38" t="str">
        <f>+IF(U16="","-",CONCATENATE(U16,"_",V16))</f>
        <v>-</v>
      </c>
      <c r="X16" s="42">
        <v>1.7999999999999999E-2</v>
      </c>
    </row>
    <row r="17" spans="1:24" ht="15" thickBot="1">
      <c r="A17" s="5" t="s">
        <v>2916</v>
      </c>
      <c r="B17" s="5" t="s">
        <v>1780</v>
      </c>
      <c r="C17" s="5" t="s">
        <v>1778</v>
      </c>
      <c r="D17" s="5" t="s">
        <v>1779</v>
      </c>
      <c r="E17" s="5">
        <v>614527</v>
      </c>
      <c r="F17" s="5">
        <v>0</v>
      </c>
      <c r="G17" s="5" t="s">
        <v>1783</v>
      </c>
      <c r="H17" s="5" t="s">
        <v>20</v>
      </c>
      <c r="I17" s="6" t="s">
        <v>25</v>
      </c>
      <c r="J17" s="6" t="s">
        <v>21</v>
      </c>
      <c r="K17" s="6"/>
      <c r="L17" s="6" t="s">
        <v>1784</v>
      </c>
      <c r="M17" s="6" t="s">
        <v>22</v>
      </c>
      <c r="N17" s="6" t="s">
        <v>23</v>
      </c>
      <c r="O17" s="6" t="s">
        <v>27</v>
      </c>
      <c r="P17" s="6" t="s">
        <v>28</v>
      </c>
      <c r="Q17" s="22">
        <v>10</v>
      </c>
      <c r="R17" s="23">
        <v>1</v>
      </c>
      <c r="S17" s="39">
        <v>0</v>
      </c>
      <c r="T17" s="7" t="s">
        <v>2910</v>
      </c>
      <c r="V17" s="7" t="str">
        <f>+IF(U17="","",IF(U17="FINES",CONCATENATE("R",IF(OR(B17="16",B17="21",B17="22",B17="23"),"16212223",IF(OR(B17="15",B17="17",B17="24",B17="25"),"15172425",B17))),IF(U17="CEBAS","UNICO",IF(VALUE(B17)&lt;=11,"AMBA","INTERIOR"))))</f>
        <v/>
      </c>
      <c r="W17" s="38" t="str">
        <f>+IF(U17="","-",CONCATENATE(U17,"_",V17))</f>
        <v>-</v>
      </c>
      <c r="X17" s="42">
        <v>1.9E-2</v>
      </c>
    </row>
    <row r="18" spans="1:24" ht="15" thickBot="1">
      <c r="A18" s="5" t="s">
        <v>2916</v>
      </c>
      <c r="B18" s="5" t="s">
        <v>257</v>
      </c>
      <c r="C18" s="5" t="s">
        <v>772</v>
      </c>
      <c r="D18" s="5" t="s">
        <v>773</v>
      </c>
      <c r="E18" s="5">
        <v>609164</v>
      </c>
      <c r="F18" s="5">
        <v>2</v>
      </c>
      <c r="G18" s="5" t="s">
        <v>777</v>
      </c>
      <c r="H18" s="5" t="s">
        <v>20</v>
      </c>
      <c r="I18" s="6" t="s">
        <v>50</v>
      </c>
      <c r="J18" s="6" t="s">
        <v>51</v>
      </c>
      <c r="K18" s="6" t="s">
        <v>775</v>
      </c>
      <c r="L18" s="6" t="s">
        <v>778</v>
      </c>
      <c r="M18" s="6" t="s">
        <v>22</v>
      </c>
      <c r="N18" s="6" t="s">
        <v>23</v>
      </c>
      <c r="O18" s="6" t="s">
        <v>27</v>
      </c>
      <c r="P18" s="6" t="s">
        <v>28</v>
      </c>
      <c r="Q18" s="22">
        <v>42</v>
      </c>
      <c r="R18" s="23">
        <v>3</v>
      </c>
      <c r="S18" s="39">
        <v>0</v>
      </c>
      <c r="T18" s="7" t="s">
        <v>2910</v>
      </c>
      <c r="V18" s="7" t="str">
        <f>+IF(U18="","",IF(U18="FINES",CONCATENATE("R",IF(OR(B18="16",B18="21",B18="22",B18="23"),"16212223",IF(OR(B18="15",B18="17",B18="24",B18="25"),"15172425",B18))),IF(U18="CEBAS","UNICO",IF(VALUE(B18)&lt;=11,"AMBA","INTERIOR"))))</f>
        <v/>
      </c>
      <c r="W18" s="38" t="str">
        <f>+IF(U18="","-",CONCATENATE(U18,"_",V18))</f>
        <v>-</v>
      </c>
      <c r="X18" s="42">
        <v>2.1000000000000001E-2</v>
      </c>
    </row>
    <row r="19" spans="1:24" ht="15" thickBot="1">
      <c r="A19" s="3" t="s">
        <v>2916</v>
      </c>
      <c r="B19" s="3" t="s">
        <v>19</v>
      </c>
      <c r="C19" s="3" t="s">
        <v>17</v>
      </c>
      <c r="D19" s="3" t="s">
        <v>18</v>
      </c>
      <c r="E19" s="3">
        <v>609115</v>
      </c>
      <c r="F19" s="3">
        <v>2</v>
      </c>
      <c r="G19" s="3" t="s">
        <v>67</v>
      </c>
      <c r="H19" s="3" t="s">
        <v>20</v>
      </c>
      <c r="I19" s="4" t="s">
        <v>50</v>
      </c>
      <c r="J19" s="4" t="s">
        <v>51</v>
      </c>
      <c r="K19" s="4" t="s">
        <v>65</v>
      </c>
      <c r="L19" s="4" t="s">
        <v>68</v>
      </c>
      <c r="M19" s="4" t="s">
        <v>22</v>
      </c>
      <c r="N19" s="4" t="s">
        <v>23</v>
      </c>
      <c r="O19" s="4" t="s">
        <v>27</v>
      </c>
      <c r="P19" s="4" t="s">
        <v>28</v>
      </c>
      <c r="Q19" s="24">
        <v>28</v>
      </c>
      <c r="R19" s="25">
        <v>2</v>
      </c>
      <c r="S19" s="39">
        <v>0</v>
      </c>
      <c r="T19" s="7" t="s">
        <v>2910</v>
      </c>
      <c r="V19" s="7" t="str">
        <f>+IF(U19="","",IF(U19="FINES",CONCATENATE("R",IF(OR(B19="16",B19="21",B19="22",B19="23"),"16212223",IF(OR(B19="15",B19="17",B19="24",B19="25"),"15172425",B19))),IF(U19="CEBAS","UNICO",IF(VALUE(B19)&lt;=11,"AMBA","INTERIOR"))))</f>
        <v/>
      </c>
      <c r="W19" s="38" t="str">
        <f>+IF(U19="","-",CONCATENATE(U19,"_",V19))</f>
        <v>-</v>
      </c>
      <c r="X19" s="42">
        <v>2.1000000000000001E-2</v>
      </c>
    </row>
    <row r="20" spans="1:24" ht="15" thickBot="1">
      <c r="A20" s="5" t="s">
        <v>2916</v>
      </c>
      <c r="B20" s="5" t="s">
        <v>140</v>
      </c>
      <c r="C20" s="5" t="s">
        <v>2322</v>
      </c>
      <c r="D20" s="5" t="s">
        <v>2323</v>
      </c>
      <c r="E20" s="5">
        <v>613674</v>
      </c>
      <c r="F20" s="5">
        <v>0</v>
      </c>
      <c r="G20" s="5" t="s">
        <v>2324</v>
      </c>
      <c r="H20" s="5" t="s">
        <v>20</v>
      </c>
      <c r="I20" s="6" t="s">
        <v>50</v>
      </c>
      <c r="J20" s="6" t="s">
        <v>21</v>
      </c>
      <c r="K20" s="6"/>
      <c r="L20" s="6" t="s">
        <v>235</v>
      </c>
      <c r="M20" s="6" t="s">
        <v>22</v>
      </c>
      <c r="N20" s="6" t="s">
        <v>23</v>
      </c>
      <c r="O20" s="6" t="s">
        <v>27</v>
      </c>
      <c r="P20" s="6" t="s">
        <v>28</v>
      </c>
      <c r="Q20" s="22">
        <v>21</v>
      </c>
      <c r="R20" s="23">
        <v>2</v>
      </c>
      <c r="S20" s="39">
        <v>0</v>
      </c>
      <c r="T20" s="7" t="s">
        <v>2910</v>
      </c>
      <c r="V20" s="7" t="str">
        <f>+IF(U20="","",IF(U20="FINES",CONCATENATE("R",IF(OR(B20="16",B20="21",B20="22",B20="23"),"16212223",IF(OR(B20="15",B20="17",B20="24",B20="25"),"15172425",B20))),IF(U20="CEBAS","UNICO",IF(VALUE(B20)&lt;=11,"AMBA","INTERIOR"))))</f>
        <v/>
      </c>
      <c r="W20" s="38" t="str">
        <f>+IF(U20="","-",CONCATENATE(U20,"_",V20))</f>
        <v>-</v>
      </c>
      <c r="X20" s="42">
        <v>2.1999999999999999E-2</v>
      </c>
    </row>
    <row r="21" spans="1:24" ht="15" thickBot="1">
      <c r="A21" s="5" t="s">
        <v>2916</v>
      </c>
      <c r="B21" s="5" t="s">
        <v>356</v>
      </c>
      <c r="C21" s="5" t="s">
        <v>805</v>
      </c>
      <c r="D21" s="5" t="s">
        <v>2500</v>
      </c>
      <c r="E21" s="5">
        <v>608243</v>
      </c>
      <c r="F21" s="5">
        <v>4</v>
      </c>
      <c r="G21" s="5" t="s">
        <v>2509</v>
      </c>
      <c r="H21" s="5" t="s">
        <v>20</v>
      </c>
      <c r="I21" s="6" t="s">
        <v>50</v>
      </c>
      <c r="J21" s="6" t="s">
        <v>51</v>
      </c>
      <c r="K21" s="6" t="s">
        <v>2510</v>
      </c>
      <c r="L21" s="6" t="s">
        <v>2511</v>
      </c>
      <c r="M21" s="6" t="s">
        <v>22</v>
      </c>
      <c r="N21" s="6" t="s">
        <v>23</v>
      </c>
      <c r="O21" s="6" t="s">
        <v>27</v>
      </c>
      <c r="P21" s="6" t="s">
        <v>28</v>
      </c>
      <c r="Q21" s="22">
        <v>31</v>
      </c>
      <c r="R21" s="23">
        <v>2</v>
      </c>
      <c r="S21" s="39">
        <v>0</v>
      </c>
      <c r="T21" s="7" t="s">
        <v>2910</v>
      </c>
      <c r="V21" s="7" t="str">
        <f>+IF(U21="","",IF(U21="FINES",CONCATENATE("R",IF(OR(B21="16",B21="21",B21="22",B21="23"),"16212223",IF(OR(B21="15",B21="17",B21="24",B21="25"),"15172425",B21))),IF(U21="CEBAS","UNICO",IF(VALUE(B21)&lt;=11,"AMBA","INTERIOR"))))</f>
        <v/>
      </c>
      <c r="W21" s="38" t="str">
        <f>+IF(U21="","-",CONCATENATE(U21,"_",V21))</f>
        <v>-</v>
      </c>
      <c r="X21" s="42">
        <v>2.3E-2</v>
      </c>
    </row>
    <row r="22" spans="1:24" ht="15" thickBot="1">
      <c r="A22" s="5" t="s">
        <v>2916</v>
      </c>
      <c r="B22" s="5" t="s">
        <v>140</v>
      </c>
      <c r="C22" s="5" t="s">
        <v>2277</v>
      </c>
      <c r="D22" s="5" t="s">
        <v>2278</v>
      </c>
      <c r="E22" s="5">
        <v>600849</v>
      </c>
      <c r="F22" s="5">
        <v>1</v>
      </c>
      <c r="G22" s="5" t="s">
        <v>2291</v>
      </c>
      <c r="H22" s="5" t="s">
        <v>20</v>
      </c>
      <c r="I22" s="6" t="s">
        <v>50</v>
      </c>
      <c r="J22" s="6" t="s">
        <v>51</v>
      </c>
      <c r="K22" s="6" t="s">
        <v>2292</v>
      </c>
      <c r="L22" s="6" t="s">
        <v>1097</v>
      </c>
      <c r="M22" s="6" t="s">
        <v>22</v>
      </c>
      <c r="N22" s="6" t="s">
        <v>23</v>
      </c>
      <c r="O22" s="6" t="s">
        <v>27</v>
      </c>
      <c r="P22" s="6" t="s">
        <v>28</v>
      </c>
      <c r="Q22" s="22">
        <v>23</v>
      </c>
      <c r="R22" s="23">
        <v>2</v>
      </c>
      <c r="S22" s="39">
        <v>0</v>
      </c>
      <c r="T22" s="7" t="s">
        <v>2910</v>
      </c>
      <c r="V22" s="7" t="str">
        <f>+IF(U22="","",IF(U22="FINES",CONCATENATE("R",IF(OR(B22="16",B22="21",B22="22",B22="23"),"16212223",IF(OR(B22="15",B22="17",B22="24",B22="25"),"15172425",B22))),IF(U22="CEBAS","UNICO",IF(VALUE(B22)&lt;=11,"AMBA","INTERIOR"))))</f>
        <v/>
      </c>
      <c r="W22" s="38" t="str">
        <f>+IF(U22="","-",CONCATENATE(U22,"_",V22))</f>
        <v>-</v>
      </c>
      <c r="X22" s="42">
        <v>2.7E-2</v>
      </c>
    </row>
    <row r="23" spans="1:24" ht="15" thickBot="1">
      <c r="A23" s="3" t="s">
        <v>2916</v>
      </c>
      <c r="B23" s="3" t="s">
        <v>1532</v>
      </c>
      <c r="C23" s="3" t="s">
        <v>1530</v>
      </c>
      <c r="D23" s="3" t="s">
        <v>1531</v>
      </c>
      <c r="E23" s="3">
        <v>608696</v>
      </c>
      <c r="F23" s="3">
        <v>1</v>
      </c>
      <c r="G23" s="3" t="s">
        <v>1628</v>
      </c>
      <c r="H23" s="3" t="s">
        <v>20</v>
      </c>
      <c r="I23" s="4" t="s">
        <v>50</v>
      </c>
      <c r="J23" s="4" t="s">
        <v>51</v>
      </c>
      <c r="K23" s="4" t="s">
        <v>1615</v>
      </c>
      <c r="L23" s="4" t="s">
        <v>1629</v>
      </c>
      <c r="M23" s="4" t="s">
        <v>22</v>
      </c>
      <c r="N23" s="4" t="s">
        <v>23</v>
      </c>
      <c r="O23" s="4" t="s">
        <v>27</v>
      </c>
      <c r="P23" s="4" t="s">
        <v>28</v>
      </c>
      <c r="Q23" s="24">
        <v>38</v>
      </c>
      <c r="R23" s="25">
        <v>3</v>
      </c>
      <c r="S23" s="39">
        <v>0</v>
      </c>
      <c r="T23" s="7" t="s">
        <v>2910</v>
      </c>
      <c r="V23" s="7" t="str">
        <f>+IF(U23="","",IF(U23="FINES",CONCATENATE("R",IF(OR(B23="16",B23="21",B23="22",B23="23"),"16212223",IF(OR(B23="15",B23="17",B23="24",B23="25"),"15172425",B23))),IF(U23="CEBAS","UNICO",IF(VALUE(B23)&lt;=11,"AMBA","INTERIOR"))))</f>
        <v/>
      </c>
      <c r="W23" s="38" t="str">
        <f>+IF(U23="","-",CONCATENATE(U23,"_",V23))</f>
        <v>-</v>
      </c>
      <c r="X23" s="42">
        <v>2.8000000000000001E-2</v>
      </c>
    </row>
    <row r="24" spans="1:24" ht="15" thickBot="1">
      <c r="A24" s="5" t="s">
        <v>2916</v>
      </c>
      <c r="B24" s="5" t="s">
        <v>225</v>
      </c>
      <c r="C24" s="5" t="s">
        <v>876</v>
      </c>
      <c r="D24" s="5" t="s">
        <v>877</v>
      </c>
      <c r="E24" s="5">
        <v>609292</v>
      </c>
      <c r="F24" s="5">
        <v>4</v>
      </c>
      <c r="G24" s="5" t="s">
        <v>879</v>
      </c>
      <c r="H24" s="5" t="s">
        <v>20</v>
      </c>
      <c r="I24" s="6" t="s">
        <v>50</v>
      </c>
      <c r="J24" s="6" t="s">
        <v>51</v>
      </c>
      <c r="K24" s="6" t="s">
        <v>880</v>
      </c>
      <c r="L24" s="6" t="s">
        <v>881</v>
      </c>
      <c r="M24" s="6" t="s">
        <v>22</v>
      </c>
      <c r="N24" s="6" t="s">
        <v>23</v>
      </c>
      <c r="O24" s="6" t="s">
        <v>27</v>
      </c>
      <c r="P24" s="6" t="s">
        <v>28</v>
      </c>
      <c r="Q24" s="22">
        <v>35</v>
      </c>
      <c r="R24" s="23">
        <v>2</v>
      </c>
      <c r="S24" s="39">
        <v>0</v>
      </c>
      <c r="T24" s="7" t="s">
        <v>2910</v>
      </c>
      <c r="V24" s="7" t="str">
        <f>+IF(U24="","",IF(U24="FINES",CONCATENATE("R",IF(OR(B24="16",B24="21",B24="22",B24="23"),"16212223",IF(OR(B24="15",B24="17",B24="24",B24="25"),"15172425",B24))),IF(U24="CEBAS","UNICO",IF(VALUE(B24)&lt;=11,"AMBA","INTERIOR"))))</f>
        <v/>
      </c>
      <c r="W24" s="38" t="str">
        <f>+IF(U24="","-",CONCATENATE(U24,"_",V24))</f>
        <v>-</v>
      </c>
      <c r="X24" s="42">
        <v>2.9000000000000001E-2</v>
      </c>
    </row>
    <row r="25" spans="1:24" ht="15" thickBot="1">
      <c r="A25" s="3" t="s">
        <v>2916</v>
      </c>
      <c r="B25" s="3" t="s">
        <v>217</v>
      </c>
      <c r="C25" s="3" t="s">
        <v>693</v>
      </c>
      <c r="D25" s="3" t="s">
        <v>694</v>
      </c>
      <c r="E25" s="3">
        <v>606543</v>
      </c>
      <c r="F25" s="3">
        <v>2</v>
      </c>
      <c r="G25" s="3" t="s">
        <v>697</v>
      </c>
      <c r="H25" s="3" t="s">
        <v>20</v>
      </c>
      <c r="I25" s="4" t="s">
        <v>50</v>
      </c>
      <c r="J25" s="4" t="s">
        <v>51</v>
      </c>
      <c r="K25" s="4" t="s">
        <v>696</v>
      </c>
      <c r="L25" s="4" t="s">
        <v>530</v>
      </c>
      <c r="M25" s="4" t="s">
        <v>22</v>
      </c>
      <c r="N25" s="4" t="s">
        <v>23</v>
      </c>
      <c r="O25" s="4" t="s">
        <v>27</v>
      </c>
      <c r="P25" s="4" t="s">
        <v>28</v>
      </c>
      <c r="Q25" s="24">
        <v>30</v>
      </c>
      <c r="R25" s="25">
        <v>3</v>
      </c>
      <c r="S25" s="39">
        <v>0</v>
      </c>
      <c r="T25" s="7" t="s">
        <v>2910</v>
      </c>
      <c r="V25" s="7" t="str">
        <f>+IF(U25="","",IF(U25="FINES",CONCATENATE("R",IF(OR(B25="16",B25="21",B25="22",B25="23"),"16212223",IF(OR(B25="15",B25="17",B25="24",B25="25"),"15172425",B25))),IF(U25="CEBAS","UNICO",IF(VALUE(B25)&lt;=11,"AMBA","INTERIOR"))))</f>
        <v/>
      </c>
      <c r="W25" s="38" t="str">
        <f>+IF(U25="","-",CONCATENATE(U25,"_",V25))</f>
        <v>-</v>
      </c>
      <c r="X25" s="42">
        <v>0.03</v>
      </c>
    </row>
    <row r="26" spans="1:24" ht="15" thickBot="1">
      <c r="A26" s="5" t="s">
        <v>2916</v>
      </c>
      <c r="B26" s="5" t="s">
        <v>352</v>
      </c>
      <c r="C26" s="5" t="s">
        <v>1924</v>
      </c>
      <c r="D26" s="5" t="s">
        <v>1925</v>
      </c>
      <c r="E26" s="5">
        <v>611210</v>
      </c>
      <c r="F26" s="5">
        <v>2</v>
      </c>
      <c r="G26" s="5" t="s">
        <v>1933</v>
      </c>
      <c r="H26" s="5" t="s">
        <v>20</v>
      </c>
      <c r="I26" s="6" t="s">
        <v>50</v>
      </c>
      <c r="J26" s="6" t="s">
        <v>51</v>
      </c>
      <c r="K26" s="6" t="s">
        <v>1932</v>
      </c>
      <c r="L26" s="6" t="s">
        <v>438</v>
      </c>
      <c r="M26" s="6" t="s">
        <v>22</v>
      </c>
      <c r="N26" s="6" t="s">
        <v>23</v>
      </c>
      <c r="O26" s="6" t="s">
        <v>27</v>
      </c>
      <c r="P26" s="6" t="s">
        <v>28</v>
      </c>
      <c r="Q26" s="22">
        <v>17</v>
      </c>
      <c r="R26" s="23">
        <v>1</v>
      </c>
      <c r="S26" s="39">
        <v>0</v>
      </c>
      <c r="T26" s="7" t="s">
        <v>2910</v>
      </c>
      <c r="V26" s="7" t="str">
        <f>+IF(U26="","",IF(U26="FINES",CONCATENATE("R",IF(OR(B26="16",B26="21",B26="22",B26="23"),"16212223",IF(OR(B26="15",B26="17",B26="24",B26="25"),"15172425",B26))),IF(U26="CEBAS","UNICO",IF(VALUE(B26)&lt;=11,"AMBA","INTERIOR"))))</f>
        <v/>
      </c>
      <c r="W26" s="38" t="str">
        <f>+IF(U26="","-",CONCATENATE(U26,"_",V26))</f>
        <v>-</v>
      </c>
      <c r="X26" s="42">
        <v>3.1E-2</v>
      </c>
    </row>
    <row r="27" spans="1:24" ht="15" thickBot="1">
      <c r="A27" s="5" t="s">
        <v>2916</v>
      </c>
      <c r="B27" s="5" t="s">
        <v>1780</v>
      </c>
      <c r="C27" s="5" t="s">
        <v>1248</v>
      </c>
      <c r="D27" s="5" t="s">
        <v>2348</v>
      </c>
      <c r="E27" s="5">
        <v>613021</v>
      </c>
      <c r="F27" s="5">
        <v>1</v>
      </c>
      <c r="G27" s="5" t="s">
        <v>2355</v>
      </c>
      <c r="H27" s="5" t="s">
        <v>20</v>
      </c>
      <c r="I27" s="6" t="s">
        <v>50</v>
      </c>
      <c r="J27" s="6" t="s">
        <v>51</v>
      </c>
      <c r="K27" s="6" t="s">
        <v>2350</v>
      </c>
      <c r="L27" s="6" t="s">
        <v>2225</v>
      </c>
      <c r="M27" s="6" t="s">
        <v>22</v>
      </c>
      <c r="N27" s="6" t="s">
        <v>23</v>
      </c>
      <c r="O27" s="6" t="s">
        <v>27</v>
      </c>
      <c r="P27" s="6" t="s">
        <v>28</v>
      </c>
      <c r="Q27" s="22">
        <v>42</v>
      </c>
      <c r="R27" s="23">
        <v>3</v>
      </c>
      <c r="S27" s="39">
        <v>0</v>
      </c>
      <c r="T27" s="7" t="s">
        <v>2910</v>
      </c>
      <c r="V27" s="7" t="str">
        <f>+IF(U27="","",IF(U27="FINES",CONCATENATE("R",IF(OR(B27="16",B27="21",B27="22",B27="23"),"16212223",IF(OR(B27="15",B27="17",B27="24",B27="25"),"15172425",B27))),IF(U27="CEBAS","UNICO",IF(VALUE(B27)&lt;=11,"AMBA","INTERIOR"))))</f>
        <v/>
      </c>
      <c r="W27" s="38" t="str">
        <f>+IF(U27="","-",CONCATENATE(U27,"_",V27))</f>
        <v>-</v>
      </c>
      <c r="X27" s="42">
        <v>3.2000000000000001E-2</v>
      </c>
    </row>
    <row r="28" spans="1:24" ht="15" thickBot="1">
      <c r="A28" s="3" t="s">
        <v>2916</v>
      </c>
      <c r="B28" s="3" t="s">
        <v>222</v>
      </c>
      <c r="C28" s="3" t="s">
        <v>1154</v>
      </c>
      <c r="D28" s="3" t="s">
        <v>1155</v>
      </c>
      <c r="E28" s="3">
        <v>605769</v>
      </c>
      <c r="F28" s="3">
        <v>2</v>
      </c>
      <c r="G28" s="3" t="s">
        <v>1166</v>
      </c>
      <c r="H28" s="3" t="s">
        <v>20</v>
      </c>
      <c r="I28" s="4" t="s">
        <v>50</v>
      </c>
      <c r="J28" s="4" t="s">
        <v>51</v>
      </c>
      <c r="K28" s="4" t="s">
        <v>1163</v>
      </c>
      <c r="L28" s="4" t="s">
        <v>1167</v>
      </c>
      <c r="M28" s="4" t="s">
        <v>22</v>
      </c>
      <c r="N28" s="4" t="s">
        <v>23</v>
      </c>
      <c r="O28" s="4" t="s">
        <v>27</v>
      </c>
      <c r="P28" s="4" t="s">
        <v>28</v>
      </c>
      <c r="Q28" s="24">
        <v>13</v>
      </c>
      <c r="R28" s="25">
        <v>1</v>
      </c>
      <c r="S28" s="39">
        <v>0</v>
      </c>
      <c r="T28" s="7" t="s">
        <v>2910</v>
      </c>
      <c r="V28" s="7" t="str">
        <f>+IF(U28="","",IF(U28="FINES",CONCATENATE("R",IF(OR(B28="16",B28="21",B28="22",B28="23"),"16212223",IF(OR(B28="15",B28="17",B28="24",B28="25"),"15172425",B28))),IF(U28="CEBAS","UNICO",IF(VALUE(B28)&lt;=11,"AMBA","INTERIOR"))))</f>
        <v/>
      </c>
      <c r="W28" s="38" t="str">
        <f>+IF(U28="","-",CONCATENATE(U28,"_",V28))</f>
        <v>-</v>
      </c>
      <c r="X28" s="42">
        <v>3.5999999999999997E-2</v>
      </c>
    </row>
    <row r="29" spans="1:24" ht="15" thickBot="1">
      <c r="A29" s="3" t="s">
        <v>2916</v>
      </c>
      <c r="B29" s="3" t="s">
        <v>352</v>
      </c>
      <c r="C29" s="3" t="s">
        <v>349</v>
      </c>
      <c r="D29" s="3" t="s">
        <v>2397</v>
      </c>
      <c r="E29" s="3">
        <v>610063</v>
      </c>
      <c r="F29" s="3">
        <v>2</v>
      </c>
      <c r="G29" s="3" t="s">
        <v>2402</v>
      </c>
      <c r="H29" s="3" t="s">
        <v>20</v>
      </c>
      <c r="I29" s="4" t="s">
        <v>50</v>
      </c>
      <c r="J29" s="4" t="s">
        <v>51</v>
      </c>
      <c r="K29" s="4" t="s">
        <v>2399</v>
      </c>
      <c r="L29" s="4" t="s">
        <v>533</v>
      </c>
      <c r="M29" s="4" t="s">
        <v>22</v>
      </c>
      <c r="N29" s="4" t="s">
        <v>23</v>
      </c>
      <c r="O29" s="4" t="s">
        <v>27</v>
      </c>
      <c r="P29" s="4" t="s">
        <v>28</v>
      </c>
      <c r="Q29" s="24">
        <v>9</v>
      </c>
      <c r="R29" s="25">
        <v>1</v>
      </c>
      <c r="S29" s="39">
        <v>0</v>
      </c>
      <c r="T29" s="7" t="s">
        <v>2910</v>
      </c>
      <c r="V29" s="7" t="str">
        <f>+IF(U29="","",IF(U29="FINES",CONCATENATE("R",IF(OR(B29="16",B29="21",B29="22",B29="23"),"16212223",IF(OR(B29="15",B29="17",B29="24",B29="25"),"15172425",B29))),IF(U29="CEBAS","UNICO",IF(VALUE(B29)&lt;=11,"AMBA","INTERIOR"))))</f>
        <v/>
      </c>
      <c r="W29" s="38" t="str">
        <f>+IF(U29="","-",CONCATENATE(U29,"_",V29))</f>
        <v>-</v>
      </c>
      <c r="X29" s="42">
        <v>3.6999999999999998E-2</v>
      </c>
    </row>
    <row r="30" spans="1:24" ht="15" thickBot="1">
      <c r="A30" s="3" t="s">
        <v>2916</v>
      </c>
      <c r="B30" s="3" t="s">
        <v>204</v>
      </c>
      <c r="C30" s="3" t="s">
        <v>1084</v>
      </c>
      <c r="D30" s="3" t="s">
        <v>1085</v>
      </c>
      <c r="E30" s="3">
        <v>613580</v>
      </c>
      <c r="F30" s="3">
        <v>1</v>
      </c>
      <c r="G30" s="3" t="s">
        <v>1102</v>
      </c>
      <c r="H30" s="3" t="s">
        <v>20</v>
      </c>
      <c r="I30" s="4" t="s">
        <v>50</v>
      </c>
      <c r="J30" s="4" t="s">
        <v>51</v>
      </c>
      <c r="K30" s="4" t="s">
        <v>1103</v>
      </c>
      <c r="L30" s="4" t="s">
        <v>1104</v>
      </c>
      <c r="M30" s="4" t="s">
        <v>22</v>
      </c>
      <c r="N30" s="4" t="s">
        <v>23</v>
      </c>
      <c r="O30" s="4" t="s">
        <v>27</v>
      </c>
      <c r="P30" s="4" t="s">
        <v>28</v>
      </c>
      <c r="Q30" s="24">
        <v>70</v>
      </c>
      <c r="R30" s="25">
        <v>4</v>
      </c>
      <c r="S30" s="39">
        <v>0</v>
      </c>
      <c r="T30" s="7" t="s">
        <v>2910</v>
      </c>
      <c r="V30" s="7" t="str">
        <f>+IF(U30="","",IF(U30="FINES",CONCATENATE("R",IF(OR(B30="16",B30="21",B30="22",B30="23"),"16212223",IF(OR(B30="15",B30="17",B30="24",B30="25"),"15172425",B30))),IF(U30="CEBAS","UNICO",IF(VALUE(B30)&lt;=11,"AMBA","INTERIOR"))))</f>
        <v/>
      </c>
      <c r="W30" s="38" t="str">
        <f>+IF(U30="","-",CONCATENATE(U30,"_",V30))</f>
        <v>-</v>
      </c>
      <c r="X30" s="42">
        <v>3.6999999999999998E-2</v>
      </c>
    </row>
    <row r="31" spans="1:24" ht="15" thickBot="1">
      <c r="A31" s="3" t="s">
        <v>2916</v>
      </c>
      <c r="B31" s="3" t="s">
        <v>203</v>
      </c>
      <c r="C31" s="3" t="s">
        <v>1986</v>
      </c>
      <c r="D31" s="3" t="s">
        <v>1987</v>
      </c>
      <c r="E31" s="3">
        <v>613144</v>
      </c>
      <c r="F31" s="3">
        <v>1</v>
      </c>
      <c r="G31" s="3" t="s">
        <v>1992</v>
      </c>
      <c r="H31" s="3" t="s">
        <v>20</v>
      </c>
      <c r="I31" s="4" t="s">
        <v>50</v>
      </c>
      <c r="J31" s="4" t="s">
        <v>51</v>
      </c>
      <c r="K31" s="4" t="s">
        <v>1993</v>
      </c>
      <c r="L31" s="4" t="s">
        <v>1797</v>
      </c>
      <c r="M31" s="4" t="s">
        <v>199</v>
      </c>
      <c r="N31" s="4" t="s">
        <v>23</v>
      </c>
      <c r="O31" s="4" t="s">
        <v>27</v>
      </c>
      <c r="P31" s="4" t="s">
        <v>28</v>
      </c>
      <c r="Q31" s="24">
        <v>41</v>
      </c>
      <c r="R31" s="25">
        <v>2</v>
      </c>
      <c r="S31" s="39">
        <v>0</v>
      </c>
      <c r="T31" s="7" t="s">
        <v>2910</v>
      </c>
      <c r="V31" s="7" t="str">
        <f>+IF(U31="","",IF(U31="FINES",CONCATENATE("R",IF(OR(B31="16",B31="21",B31="22",B31="23"),"16212223",IF(OR(B31="15",B31="17",B31="24",B31="25"),"15172425",B31))),IF(U31="CEBAS","UNICO",IF(VALUE(B31)&lt;=11,"AMBA","INTERIOR"))))</f>
        <v/>
      </c>
      <c r="W31" s="38" t="str">
        <f>+IF(U31="","-",CONCATENATE(U31,"_",V31))</f>
        <v>-</v>
      </c>
      <c r="X31" s="42">
        <v>3.7999999999999999E-2</v>
      </c>
    </row>
    <row r="32" spans="1:24" ht="15" thickBot="1">
      <c r="A32" s="3" t="s">
        <v>2916</v>
      </c>
      <c r="B32" s="3" t="s">
        <v>356</v>
      </c>
      <c r="C32" s="3" t="s">
        <v>353</v>
      </c>
      <c r="D32" s="3" t="s">
        <v>355</v>
      </c>
      <c r="E32" s="3">
        <v>600926</v>
      </c>
      <c r="F32" s="3">
        <v>1</v>
      </c>
      <c r="G32" s="3" t="s">
        <v>380</v>
      </c>
      <c r="H32" s="3" t="s">
        <v>20</v>
      </c>
      <c r="I32" s="4" t="s">
        <v>50</v>
      </c>
      <c r="J32" s="4" t="s">
        <v>51</v>
      </c>
      <c r="K32" s="4" t="s">
        <v>381</v>
      </c>
      <c r="L32" s="4" t="s">
        <v>382</v>
      </c>
      <c r="M32" s="4" t="s">
        <v>22</v>
      </c>
      <c r="N32" s="4" t="s">
        <v>23</v>
      </c>
      <c r="O32" s="4" t="s">
        <v>27</v>
      </c>
      <c r="P32" s="4" t="s">
        <v>28</v>
      </c>
      <c r="Q32" s="24">
        <v>19</v>
      </c>
      <c r="R32" s="25">
        <v>2</v>
      </c>
      <c r="S32" s="39">
        <v>0</v>
      </c>
      <c r="T32" s="7" t="s">
        <v>2910</v>
      </c>
      <c r="V32" s="7" t="str">
        <f>+IF(U32="","",IF(U32="FINES",CONCATENATE("R",IF(OR(B32="16",B32="21",B32="22",B32="23"),"16212223",IF(OR(B32="15",B32="17",B32="24",B32="25"),"15172425",B32))),IF(U32="CEBAS","UNICO",IF(VALUE(B32)&lt;=11,"AMBA","INTERIOR"))))</f>
        <v/>
      </c>
      <c r="W32" s="38" t="str">
        <f>+IF(U32="","-",CONCATENATE(U32,"_",V32))</f>
        <v>-</v>
      </c>
      <c r="X32" s="42">
        <v>4.2999999999999997E-2</v>
      </c>
    </row>
    <row r="33" spans="1:24" ht="15" thickBot="1">
      <c r="A33" s="3" t="s">
        <v>2916</v>
      </c>
      <c r="B33" s="3" t="s">
        <v>410</v>
      </c>
      <c r="C33" s="3" t="s">
        <v>1493</v>
      </c>
      <c r="D33" s="3" t="s">
        <v>1494</v>
      </c>
      <c r="E33" s="3">
        <v>613136</v>
      </c>
      <c r="F33" s="3">
        <v>0</v>
      </c>
      <c r="G33" s="3" t="s">
        <v>1495</v>
      </c>
      <c r="H33" s="3" t="s">
        <v>20</v>
      </c>
      <c r="I33" s="4" t="s">
        <v>50</v>
      </c>
      <c r="J33" s="4" t="s">
        <v>21</v>
      </c>
      <c r="K33" s="4"/>
      <c r="L33" s="4" t="s">
        <v>1496</v>
      </c>
      <c r="M33" s="4" t="s">
        <v>200</v>
      </c>
      <c r="N33" s="4" t="s">
        <v>23</v>
      </c>
      <c r="O33" s="4" t="s">
        <v>27</v>
      </c>
      <c r="P33" s="4" t="s">
        <v>28</v>
      </c>
      <c r="Q33" s="24">
        <v>36</v>
      </c>
      <c r="R33" s="25">
        <v>5</v>
      </c>
      <c r="S33" s="39">
        <v>0</v>
      </c>
      <c r="T33" s="7" t="s">
        <v>2910</v>
      </c>
      <c r="V33" s="7" t="str">
        <f>+IF(U33="","",IF(U33="FINES",CONCATENATE("R",IF(OR(B33="16",B33="21",B33="22",B33="23"),"16212223",IF(OR(B33="15",B33="17",B33="24",B33="25"),"15172425",B33))),IF(U33="CEBAS","UNICO",IF(VALUE(B33)&lt;=11,"AMBA","INTERIOR"))))</f>
        <v/>
      </c>
      <c r="W33" s="38" t="str">
        <f>+IF(U33="","-",CONCATENATE(U33,"_",V33))</f>
        <v>-</v>
      </c>
      <c r="X33" s="42">
        <v>4.4999999999999998E-2</v>
      </c>
    </row>
    <row r="34" spans="1:24" ht="15" thickBot="1">
      <c r="A34" s="5" t="s">
        <v>2916</v>
      </c>
      <c r="B34" s="5" t="s">
        <v>817</v>
      </c>
      <c r="C34" s="5" t="s">
        <v>815</v>
      </c>
      <c r="D34" s="5" t="s">
        <v>816</v>
      </c>
      <c r="E34" s="5">
        <v>608848</v>
      </c>
      <c r="F34" s="5">
        <v>1</v>
      </c>
      <c r="G34" s="5" t="s">
        <v>821</v>
      </c>
      <c r="H34" s="5" t="s">
        <v>20</v>
      </c>
      <c r="I34" s="6" t="s">
        <v>50</v>
      </c>
      <c r="J34" s="6" t="s">
        <v>51</v>
      </c>
      <c r="K34" s="6" t="s">
        <v>822</v>
      </c>
      <c r="L34" s="6" t="s">
        <v>783</v>
      </c>
      <c r="M34" s="6" t="s">
        <v>22</v>
      </c>
      <c r="N34" s="6" t="s">
        <v>23</v>
      </c>
      <c r="O34" s="6" t="s">
        <v>27</v>
      </c>
      <c r="P34" s="6" t="s">
        <v>28</v>
      </c>
      <c r="Q34" s="22">
        <v>38</v>
      </c>
      <c r="R34" s="23">
        <v>3</v>
      </c>
      <c r="S34" s="39">
        <v>0</v>
      </c>
      <c r="T34" s="7" t="s">
        <v>2910</v>
      </c>
      <c r="V34" s="7" t="str">
        <f>+IF(U34="","",IF(U34="FINES",CONCATENATE("R",IF(OR(B34="16",B34="21",B34="22",B34="23"),"16212223",IF(OR(B34="15",B34="17",B34="24",B34="25"),"15172425",B34))),IF(U34="CEBAS","UNICO",IF(VALUE(B34)&lt;=11,"AMBA","INTERIOR"))))</f>
        <v/>
      </c>
      <c r="W34" s="38" t="str">
        <f>+IF(U34="","-",CONCATENATE(U34,"_",V34))</f>
        <v>-</v>
      </c>
      <c r="X34" s="42">
        <v>4.5999999999999999E-2</v>
      </c>
    </row>
    <row r="35" spans="1:24" ht="15" thickBot="1">
      <c r="A35" s="3" t="s">
        <v>2916</v>
      </c>
      <c r="B35" s="3" t="s">
        <v>1532</v>
      </c>
      <c r="C35" s="3" t="s">
        <v>1530</v>
      </c>
      <c r="D35" s="3" t="s">
        <v>1531</v>
      </c>
      <c r="E35" s="3">
        <v>614422</v>
      </c>
      <c r="F35" s="3">
        <v>0</v>
      </c>
      <c r="G35" s="3" t="s">
        <v>1545</v>
      </c>
      <c r="H35" s="3" t="s">
        <v>20</v>
      </c>
      <c r="I35" s="4" t="s">
        <v>25</v>
      </c>
      <c r="J35" s="4" t="s">
        <v>21</v>
      </c>
      <c r="K35" s="4"/>
      <c r="L35" s="4" t="s">
        <v>1546</v>
      </c>
      <c r="M35" s="4" t="s">
        <v>22</v>
      </c>
      <c r="N35" s="4" t="s">
        <v>134</v>
      </c>
      <c r="O35" s="4" t="s">
        <v>27</v>
      </c>
      <c r="P35" s="4" t="s">
        <v>28</v>
      </c>
      <c r="Q35" s="24">
        <v>6</v>
      </c>
      <c r="R35" s="25">
        <v>1</v>
      </c>
      <c r="S35" s="39">
        <v>0</v>
      </c>
      <c r="T35" s="7" t="s">
        <v>2910</v>
      </c>
      <c r="V35" s="7" t="str">
        <f>+IF(U35="","",IF(U35="FINES",CONCATENATE("R",IF(OR(B35="16",B35="21",B35="22",B35="23"),"16212223",IF(OR(B35="15",B35="17",B35="24",B35="25"),"15172425",B35))),IF(U35="CEBAS","UNICO",IF(VALUE(B35)&lt;=11,"AMBA","INTERIOR"))))</f>
        <v/>
      </c>
      <c r="W35" s="38" t="str">
        <f>+IF(U35="","-",CONCATENATE(U35,"_",V35))</f>
        <v>-</v>
      </c>
      <c r="X35" s="42">
        <v>0.05</v>
      </c>
    </row>
    <row r="36" spans="1:24" ht="15" thickBot="1">
      <c r="A36" s="3" t="s">
        <v>2916</v>
      </c>
      <c r="B36" s="3" t="s">
        <v>1257</v>
      </c>
      <c r="C36" s="3" t="s">
        <v>519</v>
      </c>
      <c r="D36" s="3" t="s">
        <v>2470</v>
      </c>
      <c r="E36" s="3">
        <v>614402</v>
      </c>
      <c r="F36" s="3">
        <v>0</v>
      </c>
      <c r="G36" s="3" t="s">
        <v>2471</v>
      </c>
      <c r="H36" s="3" t="s">
        <v>20</v>
      </c>
      <c r="I36" s="4" t="s">
        <v>25</v>
      </c>
      <c r="J36" s="4" t="s">
        <v>21</v>
      </c>
      <c r="K36" s="4"/>
      <c r="L36" s="4" t="s">
        <v>2472</v>
      </c>
      <c r="M36" s="4" t="s">
        <v>22</v>
      </c>
      <c r="N36" s="4" t="s">
        <v>23</v>
      </c>
      <c r="O36" s="4" t="s">
        <v>27</v>
      </c>
      <c r="P36" s="4" t="s">
        <v>28</v>
      </c>
      <c r="Q36" s="24">
        <v>14</v>
      </c>
      <c r="R36" s="25">
        <v>1</v>
      </c>
      <c r="S36" s="39">
        <v>0</v>
      </c>
      <c r="T36" s="7" t="s">
        <v>2910</v>
      </c>
      <c r="V36" s="7" t="str">
        <f>+IF(U36="","",IF(U36="FINES",CONCATENATE("R",IF(OR(B36="16",B36="21",B36="22",B36="23"),"16212223",IF(OR(B36="15",B36="17",B36="24",B36="25"),"15172425",B36))),IF(U36="CEBAS","UNICO",IF(VALUE(B36)&lt;=11,"AMBA","INTERIOR"))))</f>
        <v/>
      </c>
      <c r="W36" s="38" t="str">
        <f>+IF(U36="","-",CONCATENATE(U36,"_",V36))</f>
        <v>-</v>
      </c>
      <c r="X36" s="42">
        <v>0.05</v>
      </c>
    </row>
    <row r="37" spans="1:24" ht="15" thickBot="1">
      <c r="A37" s="3" t="s">
        <v>2916</v>
      </c>
      <c r="B37" s="3" t="s">
        <v>1257</v>
      </c>
      <c r="C37" s="3" t="s">
        <v>2237</v>
      </c>
      <c r="D37" s="3" t="s">
        <v>2238</v>
      </c>
      <c r="E37" s="3">
        <v>612075</v>
      </c>
      <c r="F37" s="3">
        <v>3</v>
      </c>
      <c r="G37" s="3" t="s">
        <v>2257</v>
      </c>
      <c r="H37" s="3" t="s">
        <v>20</v>
      </c>
      <c r="I37" s="4" t="s">
        <v>50</v>
      </c>
      <c r="J37" s="4" t="s">
        <v>51</v>
      </c>
      <c r="K37" s="4" t="s">
        <v>2248</v>
      </c>
      <c r="L37" s="4" t="s">
        <v>260</v>
      </c>
      <c r="M37" s="4" t="s">
        <v>22</v>
      </c>
      <c r="N37" s="4" t="s">
        <v>23</v>
      </c>
      <c r="O37" s="4" t="s">
        <v>27</v>
      </c>
      <c r="P37" s="4" t="s">
        <v>28</v>
      </c>
      <c r="Q37" s="24">
        <v>31</v>
      </c>
      <c r="R37" s="25">
        <v>2</v>
      </c>
      <c r="S37" s="39">
        <v>0</v>
      </c>
      <c r="T37" s="7" t="s">
        <v>2910</v>
      </c>
      <c r="V37" s="7" t="str">
        <f>+IF(U37="","",IF(U37="FINES",CONCATENATE("R",IF(OR(B37="16",B37="21",B37="22",B37="23"),"16212223",IF(OR(B37="15",B37="17",B37="24",B37="25"),"15172425",B37))),IF(U37="CEBAS","UNICO",IF(VALUE(B37)&lt;=11,"AMBA","INTERIOR"))))</f>
        <v/>
      </c>
      <c r="W37" s="38" t="str">
        <f>+IF(U37="","-",CONCATENATE(U37,"_",V37))</f>
        <v>-</v>
      </c>
      <c r="X37" s="42">
        <v>0.05</v>
      </c>
    </row>
    <row r="38" spans="1:24" ht="15" thickBot="1">
      <c r="A38" s="3" t="s">
        <v>2916</v>
      </c>
      <c r="B38" s="3" t="s">
        <v>1532</v>
      </c>
      <c r="C38" s="3" t="s">
        <v>1530</v>
      </c>
      <c r="D38" s="3" t="s">
        <v>1531</v>
      </c>
      <c r="E38" s="3">
        <v>612438</v>
      </c>
      <c r="F38" s="3">
        <v>1</v>
      </c>
      <c r="G38" s="3" t="s">
        <v>1557</v>
      </c>
      <c r="H38" s="3" t="s">
        <v>20</v>
      </c>
      <c r="I38" s="4" t="s">
        <v>50</v>
      </c>
      <c r="J38" s="4" t="s">
        <v>51</v>
      </c>
      <c r="K38" s="4" t="s">
        <v>1558</v>
      </c>
      <c r="L38" s="4" t="s">
        <v>1559</v>
      </c>
      <c r="M38" s="4" t="s">
        <v>22</v>
      </c>
      <c r="N38" s="4" t="s">
        <v>23</v>
      </c>
      <c r="O38" s="4" t="s">
        <v>27</v>
      </c>
      <c r="P38" s="4" t="s">
        <v>28</v>
      </c>
      <c r="Q38" s="24">
        <v>24</v>
      </c>
      <c r="R38" s="25">
        <v>2</v>
      </c>
      <c r="S38" s="39">
        <v>0</v>
      </c>
      <c r="T38" t="s">
        <v>2910</v>
      </c>
      <c r="V38" s="7" t="str">
        <f>+IF(U38="","",IF(U38="FINES",CONCATENATE("R",IF(OR(B38="16",B38="21",B38="22",B38="23"),"16212223",IF(OR(B38="15",B38="17",B38="24",B38="25"),"15172425",B38))),IF(U38="CEBAS","UNICO",IF(VALUE(B38)&lt;=11,"AMBA","INTERIOR"))))</f>
        <v/>
      </c>
      <c r="W38" s="38" t="str">
        <f>+IF(U38="","-",CONCATENATE(U38,"_",V38))</f>
        <v>-</v>
      </c>
      <c r="X38" s="42">
        <v>5.0999999999999997E-2</v>
      </c>
    </row>
    <row r="39" spans="1:24" ht="15" thickBot="1">
      <c r="A39" s="5" t="s">
        <v>2916</v>
      </c>
      <c r="B39" s="5" t="s">
        <v>1532</v>
      </c>
      <c r="C39" s="5" t="s">
        <v>1530</v>
      </c>
      <c r="D39" s="5" t="s">
        <v>1531</v>
      </c>
      <c r="E39" s="5">
        <v>614426</v>
      </c>
      <c r="F39" s="5">
        <v>0</v>
      </c>
      <c r="G39" s="5" t="s">
        <v>1547</v>
      </c>
      <c r="H39" s="5" t="s">
        <v>20</v>
      </c>
      <c r="I39" s="6" t="s">
        <v>25</v>
      </c>
      <c r="J39" s="6" t="s">
        <v>21</v>
      </c>
      <c r="K39" s="6"/>
      <c r="L39" s="6" t="s">
        <v>1548</v>
      </c>
      <c r="M39" s="6" t="s">
        <v>22</v>
      </c>
      <c r="N39" s="6" t="s">
        <v>134</v>
      </c>
      <c r="O39" s="6" t="s">
        <v>27</v>
      </c>
      <c r="P39" s="6" t="s">
        <v>28</v>
      </c>
      <c r="Q39" s="22">
        <v>15</v>
      </c>
      <c r="R39" s="23">
        <v>1</v>
      </c>
      <c r="S39" s="39">
        <v>0</v>
      </c>
      <c r="T39" s="7" t="s">
        <v>2910</v>
      </c>
      <c r="U39" s="7"/>
      <c r="V39" s="7" t="str">
        <f>+IF(U39="","",IF(U39="FINES",CONCATENATE("R",IF(OR(B39="16",B39="21",B39="22",B39="23"),"16212223",IF(OR(B39="15",B39="17",B39="24",B39="25"),"15172425",B39))),IF(U39="CEBAS","UNICO",IF(VALUE(B39)&lt;=11,"AMBA","INTERIOR"))))</f>
        <v/>
      </c>
      <c r="W39" s="38" t="str">
        <f>+IF(U39="","-",CONCATENATE(U39,"_",V39))</f>
        <v>-</v>
      </c>
      <c r="X39" s="42">
        <v>5.0999999999999997E-2</v>
      </c>
    </row>
    <row r="40" spans="1:24" ht="15" thickBot="1">
      <c r="A40" s="5" t="s">
        <v>2916</v>
      </c>
      <c r="B40" s="5" t="s">
        <v>257</v>
      </c>
      <c r="C40" s="5" t="s">
        <v>254</v>
      </c>
      <c r="D40" s="5" t="s">
        <v>256</v>
      </c>
      <c r="E40" s="5">
        <v>604372</v>
      </c>
      <c r="F40" s="5">
        <v>1</v>
      </c>
      <c r="G40" s="5" t="s">
        <v>270</v>
      </c>
      <c r="H40" s="5" t="s">
        <v>20</v>
      </c>
      <c r="I40" s="6" t="s">
        <v>50</v>
      </c>
      <c r="J40" s="6" t="s">
        <v>51</v>
      </c>
      <c r="K40" s="6" t="s">
        <v>271</v>
      </c>
      <c r="L40" s="6" t="s">
        <v>272</v>
      </c>
      <c r="M40" s="6" t="s">
        <v>22</v>
      </c>
      <c r="N40" s="6" t="s">
        <v>23</v>
      </c>
      <c r="O40" s="6" t="s">
        <v>27</v>
      </c>
      <c r="P40" s="6" t="s">
        <v>28</v>
      </c>
      <c r="Q40" s="22">
        <v>43</v>
      </c>
      <c r="R40" s="23">
        <v>2</v>
      </c>
      <c r="S40" s="39">
        <v>0</v>
      </c>
      <c r="T40" s="7" t="s">
        <v>2910</v>
      </c>
      <c r="U40" s="7"/>
      <c r="V40" s="7" t="str">
        <f>+IF(U40="","",IF(U40="FINES",CONCATENATE("R",IF(OR(B40="16",B40="21",B40="22",B40="23"),"16212223",IF(OR(B40="15",B40="17",B40="24",B40="25"),"15172425",B40))),IF(U40="CEBAS","UNICO",IF(VALUE(B40)&lt;=11,"AMBA","INTERIOR"))))</f>
        <v/>
      </c>
      <c r="W40" s="38" t="str">
        <f>+IF(U40="","-",CONCATENATE(U40,"_",V40))</f>
        <v>-</v>
      </c>
      <c r="X40" s="42">
        <v>5.1999999999999998E-2</v>
      </c>
    </row>
    <row r="41" spans="1:24" ht="15" thickBot="1">
      <c r="A41" s="3" t="s">
        <v>2916</v>
      </c>
      <c r="B41" s="3" t="s">
        <v>352</v>
      </c>
      <c r="C41" s="3" t="s">
        <v>349</v>
      </c>
      <c r="D41" s="3" t="s">
        <v>2397</v>
      </c>
      <c r="E41" s="3">
        <v>605214</v>
      </c>
      <c r="F41" s="3">
        <v>1</v>
      </c>
      <c r="G41" s="3" t="s">
        <v>2404</v>
      </c>
      <c r="H41" s="3" t="s">
        <v>20</v>
      </c>
      <c r="I41" s="4" t="s">
        <v>50</v>
      </c>
      <c r="J41" s="4" t="s">
        <v>51</v>
      </c>
      <c r="K41" s="4" t="s">
        <v>2405</v>
      </c>
      <c r="L41" s="4" t="s">
        <v>2013</v>
      </c>
      <c r="M41" s="4" t="s">
        <v>22</v>
      </c>
      <c r="N41" s="4" t="s">
        <v>23</v>
      </c>
      <c r="O41" s="4" t="s">
        <v>27</v>
      </c>
      <c r="P41" s="4" t="s">
        <v>28</v>
      </c>
      <c r="Q41" s="24">
        <v>23</v>
      </c>
      <c r="R41" s="25">
        <v>2</v>
      </c>
      <c r="S41" s="39">
        <v>0</v>
      </c>
      <c r="T41" s="7" t="s">
        <v>2910</v>
      </c>
      <c r="U41" s="7"/>
      <c r="V41" s="7" t="str">
        <f>+IF(U41="","",IF(U41="FINES",CONCATENATE("R",IF(OR(B41="16",B41="21",B41="22",B41="23"),"16212223",IF(OR(B41="15",B41="17",B41="24",B41="25"),"15172425",B41))),IF(U41="CEBAS","UNICO",IF(VALUE(B41)&lt;=11,"AMBA","INTERIOR"))))</f>
        <v/>
      </c>
      <c r="W41" s="38" t="str">
        <f>+IF(U41="","-",CONCATENATE(U41,"_",V41))</f>
        <v>-</v>
      </c>
      <c r="X41" s="42">
        <v>5.1999999999999998E-2</v>
      </c>
    </row>
    <row r="42" spans="1:24" ht="15" thickBot="1">
      <c r="A42" s="5" t="s">
        <v>2916</v>
      </c>
      <c r="B42" s="5" t="s">
        <v>135</v>
      </c>
      <c r="C42" s="5" t="s">
        <v>902</v>
      </c>
      <c r="D42" s="5" t="s">
        <v>2754</v>
      </c>
      <c r="E42" s="5">
        <v>605866</v>
      </c>
      <c r="F42" s="5">
        <v>0</v>
      </c>
      <c r="G42" s="5" t="s">
        <v>2756</v>
      </c>
      <c r="H42" s="5" t="s">
        <v>20</v>
      </c>
      <c r="I42" s="6" t="s">
        <v>50</v>
      </c>
      <c r="J42" s="6" t="s">
        <v>21</v>
      </c>
      <c r="K42" s="6"/>
      <c r="L42" s="6" t="s">
        <v>2757</v>
      </c>
      <c r="M42" s="6" t="s">
        <v>200</v>
      </c>
      <c r="N42" s="6" t="s">
        <v>23</v>
      </c>
      <c r="O42" s="6" t="s">
        <v>27</v>
      </c>
      <c r="P42" s="6" t="s">
        <v>28</v>
      </c>
      <c r="Q42" s="22">
        <v>12</v>
      </c>
      <c r="R42" s="23">
        <v>1</v>
      </c>
      <c r="S42" s="39">
        <v>0</v>
      </c>
      <c r="T42" s="7" t="s">
        <v>2910</v>
      </c>
      <c r="U42" s="7"/>
      <c r="V42" s="7" t="str">
        <f>+IF(U42="","",IF(U42="FINES",CONCATENATE("R",IF(OR(B42="16",B42="21",B42="22",B42="23"),"16212223",IF(OR(B42="15",B42="17",B42="24",B42="25"),"15172425",B42))),IF(U42="CEBAS","UNICO",IF(VALUE(B42)&lt;=11,"AMBA","INTERIOR"))))</f>
        <v/>
      </c>
      <c r="W42" s="38" t="str">
        <f>+IF(U42="","-",CONCATENATE(U42,"_",V42))</f>
        <v>-</v>
      </c>
      <c r="X42" s="42">
        <v>5.2999999999999999E-2</v>
      </c>
    </row>
    <row r="43" spans="1:24" ht="15" thickBot="1">
      <c r="A43" s="3" t="s">
        <v>2916</v>
      </c>
      <c r="B43" s="3" t="s">
        <v>135</v>
      </c>
      <c r="C43" s="3" t="s">
        <v>902</v>
      </c>
      <c r="D43" s="3" t="s">
        <v>2754</v>
      </c>
      <c r="E43" s="3">
        <v>604654</v>
      </c>
      <c r="F43" s="3">
        <v>0</v>
      </c>
      <c r="G43" s="3" t="s">
        <v>2755</v>
      </c>
      <c r="H43" s="3" t="s">
        <v>20</v>
      </c>
      <c r="I43" s="4" t="s">
        <v>50</v>
      </c>
      <c r="J43" s="4" t="s">
        <v>21</v>
      </c>
      <c r="K43" s="4"/>
      <c r="L43" s="4" t="s">
        <v>543</v>
      </c>
      <c r="M43" s="4" t="s">
        <v>22</v>
      </c>
      <c r="N43" s="4" t="s">
        <v>23</v>
      </c>
      <c r="O43" s="4" t="s">
        <v>27</v>
      </c>
      <c r="P43" s="4" t="s">
        <v>28</v>
      </c>
      <c r="Q43" s="24">
        <v>28</v>
      </c>
      <c r="R43" s="25">
        <v>3</v>
      </c>
      <c r="S43" s="39">
        <v>0</v>
      </c>
      <c r="T43" s="7" t="s">
        <v>2910</v>
      </c>
      <c r="U43" s="7"/>
      <c r="V43" s="7" t="str">
        <f>+IF(U43="","",IF(U43="FINES",CONCATENATE("R",IF(OR(B43="16",B43="21",B43="22",B43="23"),"16212223",IF(OR(B43="15",B43="17",B43="24",B43="25"),"15172425",B43))),IF(U43="CEBAS","UNICO",IF(VALUE(B43)&lt;=11,"AMBA","INTERIOR"))))</f>
        <v/>
      </c>
      <c r="W43" s="38" t="str">
        <f>+IF(U43="","-",CONCATENATE(U43,"_",V43))</f>
        <v>-</v>
      </c>
      <c r="X43" s="42">
        <v>5.2999999999999999E-2</v>
      </c>
    </row>
    <row r="44" spans="1:24" ht="15" thickBot="1">
      <c r="A44" s="5" t="s">
        <v>2916</v>
      </c>
      <c r="B44" s="5" t="s">
        <v>257</v>
      </c>
      <c r="C44" s="5" t="s">
        <v>254</v>
      </c>
      <c r="D44" s="5" t="s">
        <v>256</v>
      </c>
      <c r="E44" s="5">
        <v>613280</v>
      </c>
      <c r="F44" s="5">
        <v>2</v>
      </c>
      <c r="G44" s="5" t="s">
        <v>301</v>
      </c>
      <c r="H44" s="5" t="s">
        <v>20</v>
      </c>
      <c r="I44" s="6" t="s">
        <v>50</v>
      </c>
      <c r="J44" s="6" t="s">
        <v>51</v>
      </c>
      <c r="K44" s="6" t="s">
        <v>302</v>
      </c>
      <c r="L44" s="6" t="s">
        <v>303</v>
      </c>
      <c r="M44" s="6" t="s">
        <v>22</v>
      </c>
      <c r="N44" s="6" t="s">
        <v>23</v>
      </c>
      <c r="O44" s="6" t="s">
        <v>27</v>
      </c>
      <c r="P44" s="6" t="s">
        <v>28</v>
      </c>
      <c r="Q44" s="22">
        <v>26</v>
      </c>
      <c r="R44" s="23">
        <v>2</v>
      </c>
      <c r="S44" s="39">
        <v>0</v>
      </c>
      <c r="T44" s="7" t="s">
        <v>2910</v>
      </c>
      <c r="U44" s="7"/>
      <c r="V44" s="7" t="str">
        <f>+IF(U44="","",IF(U44="FINES",CONCATENATE("R",IF(OR(B44="16",B44="21",B44="22",B44="23"),"16212223",IF(OR(B44="15",B44="17",B44="24",B44="25"),"15172425",B44))),IF(U44="CEBAS","UNICO",IF(VALUE(B44)&lt;=11,"AMBA","INTERIOR"))))</f>
        <v/>
      </c>
      <c r="W44" s="38" t="str">
        <f>+IF(U44="","-",CONCATENATE(U44,"_",V44))</f>
        <v>-</v>
      </c>
      <c r="X44" s="42">
        <v>5.3999999999999999E-2</v>
      </c>
    </row>
    <row r="45" spans="1:24" ht="15" thickBot="1">
      <c r="A45" s="5" t="s">
        <v>2916</v>
      </c>
      <c r="B45" s="5" t="s">
        <v>140</v>
      </c>
      <c r="C45" s="5" t="s">
        <v>2277</v>
      </c>
      <c r="D45" s="5" t="s">
        <v>2278</v>
      </c>
      <c r="E45" s="5">
        <v>601234</v>
      </c>
      <c r="F45" s="5">
        <v>1</v>
      </c>
      <c r="G45" s="5" t="s">
        <v>2283</v>
      </c>
      <c r="H45" s="5" t="s">
        <v>20</v>
      </c>
      <c r="I45" s="6" t="s">
        <v>50</v>
      </c>
      <c r="J45" s="6" t="s">
        <v>51</v>
      </c>
      <c r="K45" s="6" t="s">
        <v>2284</v>
      </c>
      <c r="L45" s="6" t="s">
        <v>2285</v>
      </c>
      <c r="M45" s="6" t="s">
        <v>22</v>
      </c>
      <c r="N45" s="6" t="s">
        <v>23</v>
      </c>
      <c r="O45" s="6" t="s">
        <v>27</v>
      </c>
      <c r="P45" s="6" t="s">
        <v>28</v>
      </c>
      <c r="Q45" s="22">
        <v>23</v>
      </c>
      <c r="R45" s="23">
        <v>2</v>
      </c>
      <c r="S45" s="39">
        <v>0</v>
      </c>
      <c r="T45" s="7" t="s">
        <v>2910</v>
      </c>
      <c r="U45" s="7"/>
      <c r="V45" s="7" t="str">
        <f>+IF(U45="","",IF(U45="FINES",CONCATENATE("R",IF(OR(B45="16",B45="21",B45="22",B45="23"),"16212223",IF(OR(B45="15",B45="17",B45="24",B45="25"),"15172425",B45))),IF(U45="CEBAS","UNICO",IF(VALUE(B45)&lt;=11,"AMBA","INTERIOR"))))</f>
        <v/>
      </c>
      <c r="W45" s="38" t="str">
        <f>+IF(U45="","-",CONCATENATE(U45,"_",V45))</f>
        <v>-</v>
      </c>
      <c r="X45" s="42">
        <v>5.6000000000000001E-2</v>
      </c>
    </row>
    <row r="46" spans="1:24" ht="15" thickBot="1">
      <c r="A46" s="5" t="s">
        <v>2916</v>
      </c>
      <c r="B46" s="5" t="s">
        <v>203</v>
      </c>
      <c r="C46" s="5" t="s">
        <v>450</v>
      </c>
      <c r="D46" s="5" t="s">
        <v>452</v>
      </c>
      <c r="E46" s="5">
        <v>602486</v>
      </c>
      <c r="F46" s="5">
        <v>3</v>
      </c>
      <c r="G46" s="5" t="s">
        <v>482</v>
      </c>
      <c r="H46" s="5" t="s">
        <v>20</v>
      </c>
      <c r="I46" s="6" t="s">
        <v>50</v>
      </c>
      <c r="J46" s="6" t="s">
        <v>51</v>
      </c>
      <c r="K46" s="6" t="s">
        <v>454</v>
      </c>
      <c r="L46" s="6" t="s">
        <v>483</v>
      </c>
      <c r="M46" s="6" t="s">
        <v>22</v>
      </c>
      <c r="N46" s="6" t="s">
        <v>23</v>
      </c>
      <c r="O46" s="6" t="s">
        <v>27</v>
      </c>
      <c r="P46" s="6" t="s">
        <v>28</v>
      </c>
      <c r="Q46" s="22">
        <v>13</v>
      </c>
      <c r="R46" s="23">
        <v>1</v>
      </c>
      <c r="S46" s="39">
        <v>0</v>
      </c>
      <c r="T46" s="7" t="s">
        <v>2910</v>
      </c>
      <c r="U46" s="7"/>
      <c r="V46" s="7" t="str">
        <f>+IF(U46="","",IF(U46="FINES",CONCATENATE("R",IF(OR(B46="16",B46="21",B46="22",B46="23"),"16212223",IF(OR(B46="15",B46="17",B46="24",B46="25"),"15172425",B46))),IF(U46="CEBAS","UNICO",IF(VALUE(B46)&lt;=11,"AMBA","INTERIOR"))))</f>
        <v/>
      </c>
      <c r="W46" s="38" t="str">
        <f>+IF(U46="","-",CONCATENATE(U46,"_",V46))</f>
        <v>-</v>
      </c>
      <c r="X46" s="42">
        <v>5.7000000000000002E-2</v>
      </c>
    </row>
    <row r="47" spans="1:24" ht="15" thickBot="1">
      <c r="A47" s="3" t="s">
        <v>2916</v>
      </c>
      <c r="B47" s="3" t="s">
        <v>135</v>
      </c>
      <c r="C47" s="3" t="s">
        <v>424</v>
      </c>
      <c r="D47" s="3" t="s">
        <v>937</v>
      </c>
      <c r="E47" s="3">
        <v>605865</v>
      </c>
      <c r="F47" s="3">
        <v>1</v>
      </c>
      <c r="G47" s="3" t="s">
        <v>938</v>
      </c>
      <c r="H47" s="3" t="s">
        <v>20</v>
      </c>
      <c r="I47" s="4" t="s">
        <v>50</v>
      </c>
      <c r="J47" s="4" t="s">
        <v>51</v>
      </c>
      <c r="K47" s="4" t="s">
        <v>939</v>
      </c>
      <c r="L47" s="4" t="s">
        <v>754</v>
      </c>
      <c r="M47" s="4" t="s">
        <v>200</v>
      </c>
      <c r="N47" s="4" t="s">
        <v>23</v>
      </c>
      <c r="O47" s="4" t="s">
        <v>27</v>
      </c>
      <c r="P47" s="4" t="s">
        <v>28</v>
      </c>
      <c r="Q47" s="24">
        <v>38</v>
      </c>
      <c r="R47" s="25">
        <v>2</v>
      </c>
      <c r="S47" s="39">
        <v>0</v>
      </c>
      <c r="T47" s="7" t="s">
        <v>2910</v>
      </c>
      <c r="U47" s="7"/>
      <c r="V47" s="7" t="str">
        <f>+IF(U47="","",IF(U47="FINES",CONCATENATE("R",IF(OR(B47="16",B47="21",B47="22",B47="23"),"16212223",IF(OR(B47="15",B47="17",B47="24",B47="25"),"15172425",B47))),IF(U47="CEBAS","UNICO",IF(VALUE(B47)&lt;=11,"AMBA","INTERIOR"))))</f>
        <v/>
      </c>
      <c r="W47" s="38" t="str">
        <f>+IF(U47="","-",CONCATENATE(U47,"_",V47))</f>
        <v>-</v>
      </c>
      <c r="X47" s="42">
        <v>5.7000000000000002E-2</v>
      </c>
    </row>
    <row r="48" spans="1:24" ht="15" thickBot="1">
      <c r="A48" s="5" t="s">
        <v>2916</v>
      </c>
      <c r="B48" s="5" t="s">
        <v>356</v>
      </c>
      <c r="C48" s="5" t="s">
        <v>805</v>
      </c>
      <c r="D48" s="5" t="s">
        <v>2500</v>
      </c>
      <c r="E48" s="5">
        <v>603807</v>
      </c>
      <c r="F48" s="5">
        <v>1</v>
      </c>
      <c r="G48" s="5" t="s">
        <v>2501</v>
      </c>
      <c r="H48" s="5" t="s">
        <v>20</v>
      </c>
      <c r="I48" s="6" t="s">
        <v>50</v>
      </c>
      <c r="J48" s="6" t="s">
        <v>51</v>
      </c>
      <c r="K48" s="6" t="s">
        <v>2502</v>
      </c>
      <c r="L48" s="6" t="s">
        <v>2055</v>
      </c>
      <c r="M48" s="6" t="s">
        <v>22</v>
      </c>
      <c r="N48" s="6" t="s">
        <v>23</v>
      </c>
      <c r="O48" s="6" t="s">
        <v>27</v>
      </c>
      <c r="P48" s="6" t="s">
        <v>28</v>
      </c>
      <c r="Q48" s="22">
        <v>59</v>
      </c>
      <c r="R48" s="23">
        <v>4</v>
      </c>
      <c r="S48" s="39">
        <v>0</v>
      </c>
      <c r="T48" s="7" t="s">
        <v>2910</v>
      </c>
      <c r="U48" s="7"/>
      <c r="V48" s="7" t="str">
        <f>+IF(U48="","",IF(U48="FINES",CONCATENATE("R",IF(OR(B48="16",B48="21",B48="22",B48="23"),"16212223",IF(OR(B48="15",B48="17",B48="24",B48="25"),"15172425",B48))),IF(U48="CEBAS","UNICO",IF(VALUE(B48)&lt;=11,"AMBA","INTERIOR"))))</f>
        <v/>
      </c>
      <c r="W48" s="38" t="str">
        <f>+IF(U48="","-",CONCATENATE(U48,"_",V48))</f>
        <v>-</v>
      </c>
      <c r="X48" s="42">
        <v>5.7000000000000002E-2</v>
      </c>
    </row>
    <row r="49" spans="1:24" ht="15" thickBot="1">
      <c r="A49" s="3" t="s">
        <v>2916</v>
      </c>
      <c r="B49" s="3" t="s">
        <v>1532</v>
      </c>
      <c r="C49" s="3" t="s">
        <v>1530</v>
      </c>
      <c r="D49" s="3" t="s">
        <v>1531</v>
      </c>
      <c r="E49" s="3">
        <v>611493</v>
      </c>
      <c r="F49" s="3">
        <v>3</v>
      </c>
      <c r="G49" s="3" t="s">
        <v>1632</v>
      </c>
      <c r="H49" s="3" t="s">
        <v>20</v>
      </c>
      <c r="I49" s="4" t="s">
        <v>50</v>
      </c>
      <c r="J49" s="4" t="s">
        <v>51</v>
      </c>
      <c r="K49" s="4" t="s">
        <v>1578</v>
      </c>
      <c r="L49" s="4" t="s">
        <v>1633</v>
      </c>
      <c r="M49" s="4" t="s">
        <v>22</v>
      </c>
      <c r="N49" s="4" t="s">
        <v>134</v>
      </c>
      <c r="O49" s="4" t="s">
        <v>27</v>
      </c>
      <c r="P49" s="4" t="s">
        <v>28</v>
      </c>
      <c r="Q49" s="24">
        <v>24</v>
      </c>
      <c r="R49" s="25">
        <v>2</v>
      </c>
      <c r="S49" s="39">
        <v>0</v>
      </c>
      <c r="T49" s="7" t="s">
        <v>2910</v>
      </c>
      <c r="U49" s="7"/>
      <c r="V49" s="7" t="str">
        <f>+IF(U49="","",IF(U49="FINES",CONCATENATE("R",IF(OR(B49="16",B49="21",B49="22",B49="23"),"16212223",IF(OR(B49="15",B49="17",B49="24",B49="25"),"15172425",B49))),IF(U49="CEBAS","UNICO",IF(VALUE(B49)&lt;=11,"AMBA","INTERIOR"))))</f>
        <v/>
      </c>
      <c r="W49" s="38" t="str">
        <f>+IF(U49="","-",CONCATENATE(U49,"_",V49))</f>
        <v>-</v>
      </c>
      <c r="X49" s="42">
        <v>5.8000000000000003E-2</v>
      </c>
    </row>
    <row r="50" spans="1:24" ht="15" thickBot="1">
      <c r="A50" s="3" t="s">
        <v>2916</v>
      </c>
      <c r="B50" s="3" t="s">
        <v>220</v>
      </c>
      <c r="C50" s="3" t="s">
        <v>726</v>
      </c>
      <c r="D50" s="3" t="s">
        <v>2434</v>
      </c>
      <c r="E50" s="3">
        <v>604760</v>
      </c>
      <c r="F50" s="3">
        <v>0</v>
      </c>
      <c r="G50" s="3" t="s">
        <v>2437</v>
      </c>
      <c r="H50" s="3" t="s">
        <v>20</v>
      </c>
      <c r="I50" s="4" t="s">
        <v>50</v>
      </c>
      <c r="J50" s="4" t="s">
        <v>21</v>
      </c>
      <c r="K50" s="4"/>
      <c r="L50" s="4" t="s">
        <v>577</v>
      </c>
      <c r="M50" s="4" t="s">
        <v>22</v>
      </c>
      <c r="N50" s="4" t="s">
        <v>23</v>
      </c>
      <c r="O50" s="4" t="s">
        <v>27</v>
      </c>
      <c r="P50" s="4" t="s">
        <v>28</v>
      </c>
      <c r="Q50" s="24">
        <v>17</v>
      </c>
      <c r="R50" s="25">
        <v>2</v>
      </c>
      <c r="S50" s="39">
        <v>0</v>
      </c>
      <c r="T50" s="7" t="s">
        <v>2910</v>
      </c>
      <c r="U50" s="7"/>
      <c r="V50" s="7" t="str">
        <f>+IF(U50="","",IF(U50="FINES",CONCATENATE("R",IF(OR(B50="16",B50="21",B50="22",B50="23"),"16212223",IF(OR(B50="15",B50="17",B50="24",B50="25"),"15172425",B50))),IF(U50="CEBAS","UNICO",IF(VALUE(B50)&lt;=11,"AMBA","INTERIOR"))))</f>
        <v/>
      </c>
      <c r="W50" s="38" t="str">
        <f>+IF(U50="","-",CONCATENATE(U50,"_",V50))</f>
        <v>-</v>
      </c>
      <c r="X50" s="42">
        <v>5.8000000000000003E-2</v>
      </c>
    </row>
    <row r="51" spans="1:24" ht="15" thickBot="1">
      <c r="A51" s="5" t="s">
        <v>2916</v>
      </c>
      <c r="B51" s="5" t="s">
        <v>1860</v>
      </c>
      <c r="C51" s="5" t="s">
        <v>224</v>
      </c>
      <c r="D51" s="5" t="s">
        <v>2837</v>
      </c>
      <c r="E51" s="5">
        <v>613692</v>
      </c>
      <c r="F51" s="5">
        <v>2</v>
      </c>
      <c r="G51" s="5" t="s">
        <v>2840</v>
      </c>
      <c r="H51" s="5" t="s">
        <v>20</v>
      </c>
      <c r="I51" s="6" t="s">
        <v>50</v>
      </c>
      <c r="J51" s="6" t="s">
        <v>51</v>
      </c>
      <c r="K51" s="6" t="s">
        <v>2839</v>
      </c>
      <c r="L51" s="6" t="s">
        <v>530</v>
      </c>
      <c r="M51" s="6" t="s">
        <v>22</v>
      </c>
      <c r="N51" s="6" t="s">
        <v>23</v>
      </c>
      <c r="O51" s="6" t="s">
        <v>27</v>
      </c>
      <c r="P51" s="6" t="s">
        <v>28</v>
      </c>
      <c r="Q51" s="22">
        <v>25</v>
      </c>
      <c r="R51" s="23">
        <v>3</v>
      </c>
      <c r="S51" s="39">
        <v>0</v>
      </c>
      <c r="T51" s="7" t="s">
        <v>2910</v>
      </c>
      <c r="U51" s="7"/>
      <c r="V51" s="7" t="str">
        <f>+IF(U51="","",IF(U51="FINES",CONCATENATE("R",IF(OR(B51="16",B51="21",B51="22",B51="23"),"16212223",IF(OR(B51="15",B51="17",B51="24",B51="25"),"15172425",B51))),IF(U51="CEBAS","UNICO",IF(VALUE(B51)&lt;=11,"AMBA","INTERIOR"))))</f>
        <v/>
      </c>
      <c r="W51" s="38" t="str">
        <f>+IF(U51="","-",CONCATENATE(U51,"_",V51))</f>
        <v>-</v>
      </c>
      <c r="X51" s="42">
        <v>0.06</v>
      </c>
    </row>
    <row r="52" spans="1:24" ht="15" thickBot="1">
      <c r="A52" s="3" t="s">
        <v>2916</v>
      </c>
      <c r="B52" s="3" t="s">
        <v>356</v>
      </c>
      <c r="C52" s="3" t="s">
        <v>353</v>
      </c>
      <c r="D52" s="3" t="s">
        <v>355</v>
      </c>
      <c r="E52" s="3">
        <v>611026</v>
      </c>
      <c r="F52" s="3">
        <v>2</v>
      </c>
      <c r="G52" s="3" t="s">
        <v>385</v>
      </c>
      <c r="H52" s="3" t="s">
        <v>20</v>
      </c>
      <c r="I52" s="4" t="s">
        <v>50</v>
      </c>
      <c r="J52" s="4" t="s">
        <v>51</v>
      </c>
      <c r="K52" s="4" t="s">
        <v>368</v>
      </c>
      <c r="L52" s="4" t="s">
        <v>386</v>
      </c>
      <c r="M52" s="4" t="s">
        <v>22</v>
      </c>
      <c r="N52" s="4" t="s">
        <v>23</v>
      </c>
      <c r="O52" s="4" t="s">
        <v>27</v>
      </c>
      <c r="P52" s="4" t="s">
        <v>28</v>
      </c>
      <c r="Q52" s="24">
        <v>10</v>
      </c>
      <c r="R52" s="25">
        <v>1</v>
      </c>
      <c r="S52" s="39">
        <v>0</v>
      </c>
      <c r="T52" s="7" t="s">
        <v>2910</v>
      </c>
      <c r="U52" s="7"/>
      <c r="V52" s="7" t="str">
        <f>+IF(U52="","",IF(U52="FINES",CONCATENATE("R",IF(OR(B52="16",B52="21",B52="22",B52="23"),"16212223",IF(OR(B52="15",B52="17",B52="24",B52="25"),"15172425",B52))),IF(U52="CEBAS","UNICO",IF(VALUE(B52)&lt;=11,"AMBA","INTERIOR"))))</f>
        <v/>
      </c>
      <c r="W52" s="38" t="str">
        <f>+IF(U52="","-",CONCATENATE(U52,"_",V52))</f>
        <v>-</v>
      </c>
      <c r="X52" s="42">
        <v>6.2E-2</v>
      </c>
    </row>
    <row r="53" spans="1:24" ht="15" thickBot="1">
      <c r="A53" s="5" t="s">
        <v>2916</v>
      </c>
      <c r="B53" s="5" t="s">
        <v>817</v>
      </c>
      <c r="C53" s="5" t="s">
        <v>815</v>
      </c>
      <c r="D53" s="5" t="s">
        <v>816</v>
      </c>
      <c r="E53" s="5">
        <v>608393</v>
      </c>
      <c r="F53" s="5">
        <v>2</v>
      </c>
      <c r="G53" s="5" t="s">
        <v>826</v>
      </c>
      <c r="H53" s="5" t="s">
        <v>20</v>
      </c>
      <c r="I53" s="6" t="s">
        <v>50</v>
      </c>
      <c r="J53" s="6" t="s">
        <v>51</v>
      </c>
      <c r="K53" s="6" t="s">
        <v>824</v>
      </c>
      <c r="L53" s="6" t="s">
        <v>791</v>
      </c>
      <c r="M53" s="6" t="s">
        <v>22</v>
      </c>
      <c r="N53" s="6" t="s">
        <v>23</v>
      </c>
      <c r="O53" s="6" t="s">
        <v>27</v>
      </c>
      <c r="P53" s="6" t="s">
        <v>28</v>
      </c>
      <c r="Q53" s="22">
        <v>24</v>
      </c>
      <c r="R53" s="23">
        <v>2</v>
      </c>
      <c r="S53" s="39">
        <v>0</v>
      </c>
      <c r="T53" s="7" t="s">
        <v>2910</v>
      </c>
      <c r="U53" s="7"/>
      <c r="V53" s="7" t="str">
        <f>+IF(U53="","",IF(U53="FINES",CONCATENATE("R",IF(OR(B53="16",B53="21",B53="22",B53="23"),"16212223",IF(OR(B53="15",B53="17",B53="24",B53="25"),"15172425",B53))),IF(U53="CEBAS","UNICO",IF(VALUE(B53)&lt;=11,"AMBA","INTERIOR"))))</f>
        <v/>
      </c>
      <c r="W53" s="38" t="str">
        <f>+IF(U53="","-",CONCATENATE(U53,"_",V53))</f>
        <v>-</v>
      </c>
      <c r="X53" s="42">
        <v>6.4000000000000001E-2</v>
      </c>
    </row>
    <row r="54" spans="1:24" ht="15" thickBot="1">
      <c r="A54" s="3" t="s">
        <v>2916</v>
      </c>
      <c r="B54" s="3" t="s">
        <v>206</v>
      </c>
      <c r="C54" s="3" t="s">
        <v>2043</v>
      </c>
      <c r="D54" s="3" t="s">
        <v>2044</v>
      </c>
      <c r="E54" s="3">
        <v>602757</v>
      </c>
      <c r="F54" s="3">
        <v>0</v>
      </c>
      <c r="G54" s="3" t="s">
        <v>2045</v>
      </c>
      <c r="H54" s="3" t="s">
        <v>20</v>
      </c>
      <c r="I54" s="4" t="s">
        <v>50</v>
      </c>
      <c r="J54" s="4" t="s">
        <v>21</v>
      </c>
      <c r="K54" s="4"/>
      <c r="L54" s="4" t="s">
        <v>543</v>
      </c>
      <c r="M54" s="4" t="s">
        <v>22</v>
      </c>
      <c r="N54" s="4" t="s">
        <v>23</v>
      </c>
      <c r="O54" s="4" t="s">
        <v>27</v>
      </c>
      <c r="P54" s="4" t="s">
        <v>28</v>
      </c>
      <c r="Q54" s="24">
        <v>10</v>
      </c>
      <c r="R54" s="25">
        <v>1</v>
      </c>
      <c r="S54" s="39">
        <v>0</v>
      </c>
      <c r="T54" t="s">
        <v>2910</v>
      </c>
      <c r="V54" s="7" t="str">
        <f>+IF(U54="","",IF(U54="FINES",CONCATENATE("R",IF(OR(B54="16",B54="21",B54="22",B54="23"),"16212223",IF(OR(B54="15",B54="17",B54="24",B54="25"),"15172425",B54))),IF(U54="CEBAS","UNICO",IF(VALUE(B54)&lt;=11,"AMBA","INTERIOR"))))</f>
        <v/>
      </c>
      <c r="W54" s="38" t="str">
        <f>+IF(U54="","-",CONCATENATE(U54,"_",V54))</f>
        <v>-</v>
      </c>
      <c r="X54" s="42">
        <v>6.4000000000000001E-2</v>
      </c>
    </row>
    <row r="55" spans="1:24" ht="15" thickBot="1">
      <c r="A55" s="5" t="s">
        <v>2916</v>
      </c>
      <c r="B55" s="5" t="s">
        <v>410</v>
      </c>
      <c r="C55" s="5" t="s">
        <v>924</v>
      </c>
      <c r="D55" s="5" t="s">
        <v>925</v>
      </c>
      <c r="E55" s="5">
        <v>600991</v>
      </c>
      <c r="F55" s="5">
        <v>2</v>
      </c>
      <c r="G55" s="5" t="s">
        <v>928</v>
      </c>
      <c r="H55" s="5" t="s">
        <v>20</v>
      </c>
      <c r="I55" s="6" t="s">
        <v>50</v>
      </c>
      <c r="J55" s="6" t="s">
        <v>51</v>
      </c>
      <c r="K55" s="6" t="s">
        <v>927</v>
      </c>
      <c r="L55" s="6" t="s">
        <v>754</v>
      </c>
      <c r="M55" s="6" t="s">
        <v>22</v>
      </c>
      <c r="N55" s="6" t="s">
        <v>23</v>
      </c>
      <c r="O55" s="6" t="s">
        <v>27</v>
      </c>
      <c r="P55" s="6" t="s">
        <v>28</v>
      </c>
      <c r="Q55" s="22">
        <v>14</v>
      </c>
      <c r="R55" s="23">
        <v>1</v>
      </c>
      <c r="S55" s="39">
        <v>0</v>
      </c>
      <c r="T55" s="7" t="s">
        <v>2910</v>
      </c>
      <c r="U55" s="7"/>
      <c r="V55" s="7" t="str">
        <f>+IF(U55="","",IF(U55="FINES",CONCATENATE("R",IF(OR(B55="16",B55="21",B55="22",B55="23"),"16212223",IF(OR(B55="15",B55="17",B55="24",B55="25"),"15172425",B55))),IF(U55="CEBAS","UNICO",IF(VALUE(B55)&lt;=11,"AMBA","INTERIOR"))))</f>
        <v/>
      </c>
      <c r="W55" s="38" t="str">
        <f>+IF(U55="","-",CONCATENATE(U55,"_",V55))</f>
        <v>-</v>
      </c>
      <c r="X55" s="42">
        <v>6.6000000000000003E-2</v>
      </c>
    </row>
    <row r="56" spans="1:24" ht="15" thickBot="1">
      <c r="A56" s="3" t="s">
        <v>2916</v>
      </c>
      <c r="B56" s="3" t="s">
        <v>257</v>
      </c>
      <c r="C56" s="3" t="s">
        <v>415</v>
      </c>
      <c r="D56" s="3" t="s">
        <v>2770</v>
      </c>
      <c r="E56" s="3">
        <v>613688</v>
      </c>
      <c r="F56" s="3">
        <v>2</v>
      </c>
      <c r="G56" s="3" t="s">
        <v>2773</v>
      </c>
      <c r="H56" s="3" t="s">
        <v>20</v>
      </c>
      <c r="I56" s="4" t="s">
        <v>50</v>
      </c>
      <c r="J56" s="4" t="s">
        <v>51</v>
      </c>
      <c r="K56" s="4" t="s">
        <v>2772</v>
      </c>
      <c r="L56" s="4" t="s">
        <v>650</v>
      </c>
      <c r="M56" s="4" t="s">
        <v>22</v>
      </c>
      <c r="N56" s="4" t="s">
        <v>23</v>
      </c>
      <c r="O56" s="4" t="s">
        <v>27</v>
      </c>
      <c r="P56" s="4" t="s">
        <v>28</v>
      </c>
      <c r="Q56" s="24">
        <v>42</v>
      </c>
      <c r="R56" s="25">
        <v>3</v>
      </c>
      <c r="S56" s="39">
        <v>0</v>
      </c>
      <c r="T56" s="7" t="s">
        <v>2910</v>
      </c>
      <c r="U56" s="7"/>
      <c r="V56" s="7" t="str">
        <f>+IF(U56="","",IF(U56="FINES",CONCATENATE("R",IF(OR(B56="16",B56="21",B56="22",B56="23"),"16212223",IF(OR(B56="15",B56="17",B56="24",B56="25"),"15172425",B56))),IF(U56="CEBAS","UNICO",IF(VALUE(B56)&lt;=11,"AMBA","INTERIOR"))))</f>
        <v/>
      </c>
      <c r="W56" s="38" t="str">
        <f>+IF(U56="","-",CONCATENATE(U56,"_",V56))</f>
        <v>-</v>
      </c>
      <c r="X56" s="42">
        <v>6.6000000000000003E-2</v>
      </c>
    </row>
    <row r="57" spans="1:24" ht="15" thickBot="1">
      <c r="A57" s="5" t="s">
        <v>2916</v>
      </c>
      <c r="B57" s="5" t="s">
        <v>225</v>
      </c>
      <c r="C57" s="5" t="s">
        <v>942</v>
      </c>
      <c r="D57" s="5" t="s">
        <v>943</v>
      </c>
      <c r="E57" s="5">
        <v>603165</v>
      </c>
      <c r="F57" s="5">
        <v>1</v>
      </c>
      <c r="G57" s="5" t="s">
        <v>970</v>
      </c>
      <c r="H57" s="5" t="s">
        <v>20</v>
      </c>
      <c r="I57" s="6" t="s">
        <v>50</v>
      </c>
      <c r="J57" s="6" t="s">
        <v>51</v>
      </c>
      <c r="K57" s="6" t="s">
        <v>971</v>
      </c>
      <c r="L57" s="6" t="s">
        <v>972</v>
      </c>
      <c r="M57" s="6" t="s">
        <v>22</v>
      </c>
      <c r="N57" s="6" t="s">
        <v>23</v>
      </c>
      <c r="O57" s="6" t="s">
        <v>27</v>
      </c>
      <c r="P57" s="6" t="s">
        <v>28</v>
      </c>
      <c r="Q57" s="22">
        <v>48</v>
      </c>
      <c r="R57" s="23">
        <v>3</v>
      </c>
      <c r="S57" s="39">
        <v>0</v>
      </c>
      <c r="T57" s="7" t="s">
        <v>2910</v>
      </c>
      <c r="U57" s="7"/>
      <c r="V57" s="7" t="str">
        <f>+IF(U57="","",IF(U57="FINES",CONCATENATE("R",IF(OR(B57="16",B57="21",B57="22",B57="23"),"16212223",IF(OR(B57="15",B57="17",B57="24",B57="25"),"15172425",B57))),IF(U57="CEBAS","UNICO",IF(VALUE(B57)&lt;=11,"AMBA","INTERIOR"))))</f>
        <v/>
      </c>
      <c r="W57" s="38" t="str">
        <f>+IF(U57="","-",CONCATENATE(U57,"_",V57))</f>
        <v>-</v>
      </c>
      <c r="X57" s="42">
        <v>6.9000000000000006E-2</v>
      </c>
    </row>
    <row r="58" spans="1:24" ht="15" thickBot="1">
      <c r="A58" s="5" t="s">
        <v>2916</v>
      </c>
      <c r="B58" s="5" t="s">
        <v>138</v>
      </c>
      <c r="C58" s="5" t="s">
        <v>436</v>
      </c>
      <c r="D58" s="5" t="s">
        <v>1067</v>
      </c>
      <c r="E58" s="5">
        <v>623978</v>
      </c>
      <c r="F58" s="5">
        <v>2</v>
      </c>
      <c r="G58" s="5" t="s">
        <v>1077</v>
      </c>
      <c r="H58" s="5" t="s">
        <v>20</v>
      </c>
      <c r="I58" s="6" t="s">
        <v>50</v>
      </c>
      <c r="J58" s="6" t="s">
        <v>51</v>
      </c>
      <c r="K58" s="6" t="s">
        <v>1073</v>
      </c>
      <c r="L58" s="6" t="s">
        <v>1078</v>
      </c>
      <c r="M58" s="6" t="s">
        <v>22</v>
      </c>
      <c r="N58" s="6" t="s">
        <v>23</v>
      </c>
      <c r="O58" s="6" t="s">
        <v>27</v>
      </c>
      <c r="P58" s="6" t="s">
        <v>28</v>
      </c>
      <c r="Q58" s="22">
        <v>15</v>
      </c>
      <c r="R58" s="23">
        <v>2</v>
      </c>
      <c r="S58" s="39">
        <v>0</v>
      </c>
      <c r="T58" s="7" t="s">
        <v>2910</v>
      </c>
      <c r="U58" s="7"/>
      <c r="V58" s="7" t="str">
        <f>+IF(U58="","",IF(U58="FINES",CONCATENATE("R",IF(OR(B58="16",B58="21",B58="22",B58="23"),"16212223",IF(OR(B58="15",B58="17",B58="24",B58="25"),"15172425",B58))),IF(U58="CEBAS","UNICO",IF(VALUE(B58)&lt;=11,"AMBA","INTERIOR"))))</f>
        <v/>
      </c>
      <c r="W58" s="38" t="str">
        <f>+IF(U58="","-",CONCATENATE(U58,"_",V58))</f>
        <v>-</v>
      </c>
      <c r="X58" s="42">
        <v>7.0000000000000007E-2</v>
      </c>
    </row>
    <row r="59" spans="1:24" ht="15" thickBot="1">
      <c r="A59" s="3" t="s">
        <v>2916</v>
      </c>
      <c r="B59" s="3" t="s">
        <v>1780</v>
      </c>
      <c r="C59" s="3" t="s">
        <v>1778</v>
      </c>
      <c r="D59" s="3" t="s">
        <v>1779</v>
      </c>
      <c r="E59" s="3">
        <v>609955</v>
      </c>
      <c r="F59" s="3">
        <v>1</v>
      </c>
      <c r="G59" s="3" t="s">
        <v>1803</v>
      </c>
      <c r="H59" s="3" t="s">
        <v>20</v>
      </c>
      <c r="I59" s="4" t="s">
        <v>50</v>
      </c>
      <c r="J59" s="4" t="s">
        <v>51</v>
      </c>
      <c r="K59" s="4" t="s">
        <v>1804</v>
      </c>
      <c r="L59" s="4" t="s">
        <v>786</v>
      </c>
      <c r="M59" s="4" t="s">
        <v>22</v>
      </c>
      <c r="N59" s="4" t="s">
        <v>23</v>
      </c>
      <c r="O59" s="4" t="s">
        <v>27</v>
      </c>
      <c r="P59" s="4" t="s">
        <v>28</v>
      </c>
      <c r="Q59" s="24">
        <v>34</v>
      </c>
      <c r="R59" s="25">
        <v>5</v>
      </c>
      <c r="S59" s="39">
        <v>0</v>
      </c>
      <c r="T59" s="7" t="s">
        <v>2910</v>
      </c>
      <c r="U59" s="7"/>
      <c r="V59" s="7" t="str">
        <f>+IF(U59="","",IF(U59="FINES",CONCATENATE("R",IF(OR(B59="16",B59="21",B59="22",B59="23"),"16212223",IF(OR(B59="15",B59="17",B59="24",B59="25"),"15172425",B59))),IF(U59="CEBAS","UNICO",IF(VALUE(B59)&lt;=11,"AMBA","INTERIOR"))))</f>
        <v/>
      </c>
      <c r="W59" s="38" t="str">
        <f>+IF(U59="","-",CONCATENATE(U59,"_",V59))</f>
        <v>-</v>
      </c>
      <c r="X59" s="42">
        <v>7.1999999999999995E-2</v>
      </c>
    </row>
    <row r="60" spans="1:24" ht="15" thickBot="1">
      <c r="A60" s="3" t="s">
        <v>2916</v>
      </c>
      <c r="B60" s="3" t="s">
        <v>1860</v>
      </c>
      <c r="C60" s="3" t="s">
        <v>875</v>
      </c>
      <c r="D60" s="3" t="s">
        <v>2816</v>
      </c>
      <c r="E60" s="3">
        <v>602107</v>
      </c>
      <c r="F60" s="3">
        <v>3</v>
      </c>
      <c r="G60" s="3" t="s">
        <v>2820</v>
      </c>
      <c r="H60" s="3" t="s">
        <v>20</v>
      </c>
      <c r="I60" s="4" t="s">
        <v>50</v>
      </c>
      <c r="J60" s="4" t="s">
        <v>51</v>
      </c>
      <c r="K60" s="4" t="s">
        <v>2818</v>
      </c>
      <c r="L60" s="4" t="s">
        <v>619</v>
      </c>
      <c r="M60" s="4" t="s">
        <v>22</v>
      </c>
      <c r="N60" s="4" t="s">
        <v>23</v>
      </c>
      <c r="O60" s="4" t="s">
        <v>27</v>
      </c>
      <c r="P60" s="4" t="s">
        <v>28</v>
      </c>
      <c r="Q60" s="24">
        <v>58</v>
      </c>
      <c r="R60" s="25">
        <v>5</v>
      </c>
      <c r="S60" s="39">
        <v>0</v>
      </c>
      <c r="T60" s="7" t="s">
        <v>2910</v>
      </c>
      <c r="U60" s="7"/>
      <c r="V60" s="7" t="str">
        <f>+IF(U60="","",IF(U60="FINES",CONCATENATE("R",IF(OR(B60="16",B60="21",B60="22",B60="23"),"16212223",IF(OR(B60="15",B60="17",B60="24",B60="25"),"15172425",B60))),IF(U60="CEBAS","UNICO",IF(VALUE(B60)&lt;=11,"AMBA","INTERIOR"))))</f>
        <v/>
      </c>
      <c r="W60" s="38" t="str">
        <f>+IF(U60="","-",CONCATENATE(U60,"_",V60))</f>
        <v>-</v>
      </c>
      <c r="X60" s="42">
        <v>7.2999999999999995E-2</v>
      </c>
    </row>
    <row r="61" spans="1:24" ht="15" thickBot="1">
      <c r="A61" s="3" t="s">
        <v>2916</v>
      </c>
      <c r="B61" s="3" t="s">
        <v>598</v>
      </c>
      <c r="C61" s="3" t="s">
        <v>700</v>
      </c>
      <c r="D61" s="3" t="s">
        <v>701</v>
      </c>
      <c r="E61" s="3">
        <v>601730</v>
      </c>
      <c r="F61" s="3">
        <v>0</v>
      </c>
      <c r="G61" s="3" t="s">
        <v>702</v>
      </c>
      <c r="H61" s="3" t="s">
        <v>20</v>
      </c>
      <c r="I61" s="4" t="s">
        <v>50</v>
      </c>
      <c r="J61" s="4" t="s">
        <v>21</v>
      </c>
      <c r="K61" s="4"/>
      <c r="L61" s="4" t="s">
        <v>545</v>
      </c>
      <c r="M61" s="4" t="s">
        <v>200</v>
      </c>
      <c r="N61" s="4" t="s">
        <v>23</v>
      </c>
      <c r="O61" s="4" t="s">
        <v>27</v>
      </c>
      <c r="P61" s="4" t="s">
        <v>28</v>
      </c>
      <c r="Q61" s="24">
        <v>5</v>
      </c>
      <c r="R61" s="25">
        <v>1</v>
      </c>
      <c r="S61" s="39">
        <v>0</v>
      </c>
      <c r="T61" s="7" t="s">
        <v>2910</v>
      </c>
      <c r="U61" s="7"/>
      <c r="V61" s="7" t="str">
        <f>+IF(U61="","",IF(U61="FINES",CONCATENATE("R",IF(OR(B61="16",B61="21",B61="22",B61="23"),"16212223",IF(OR(B61="15",B61="17",B61="24",B61="25"),"15172425",B61))),IF(U61="CEBAS","UNICO",IF(VALUE(B61)&lt;=11,"AMBA","INTERIOR"))))</f>
        <v/>
      </c>
      <c r="W61" s="38" t="str">
        <f>+IF(U61="","-",CONCATENATE(U61,"_",V61))</f>
        <v>-</v>
      </c>
      <c r="X61" s="42">
        <v>7.2999999999999995E-2</v>
      </c>
    </row>
    <row r="62" spans="1:24" ht="15" thickBot="1">
      <c r="A62" s="3" t="s">
        <v>2916</v>
      </c>
      <c r="B62" s="3" t="s">
        <v>410</v>
      </c>
      <c r="C62" s="3" t="s">
        <v>570</v>
      </c>
      <c r="D62" s="3" t="s">
        <v>2717</v>
      </c>
      <c r="E62" s="3">
        <v>608268</v>
      </c>
      <c r="F62" s="3">
        <v>0</v>
      </c>
      <c r="G62" s="3" t="s">
        <v>2718</v>
      </c>
      <c r="H62" s="3" t="s">
        <v>20</v>
      </c>
      <c r="I62" s="4" t="s">
        <v>50</v>
      </c>
      <c r="J62" s="4" t="s">
        <v>21</v>
      </c>
      <c r="K62" s="4"/>
      <c r="L62" s="4" t="s">
        <v>235</v>
      </c>
      <c r="M62" s="4" t="s">
        <v>22</v>
      </c>
      <c r="N62" s="4" t="s">
        <v>23</v>
      </c>
      <c r="O62" s="4" t="s">
        <v>27</v>
      </c>
      <c r="P62" s="4" t="s">
        <v>28</v>
      </c>
      <c r="Q62" s="24">
        <v>69</v>
      </c>
      <c r="R62" s="25">
        <v>5</v>
      </c>
      <c r="S62" s="39">
        <v>0</v>
      </c>
      <c r="T62" s="7" t="s">
        <v>2910</v>
      </c>
      <c r="U62" s="7"/>
      <c r="V62" s="7" t="str">
        <f>+IF(U62="","",IF(U62="FINES",CONCATENATE("R",IF(OR(B62="16",B62="21",B62="22",B62="23"),"16212223",IF(OR(B62="15",B62="17",B62="24",B62="25"),"15172425",B62))),IF(U62="CEBAS","UNICO",IF(VALUE(B62)&lt;=11,"AMBA","INTERIOR"))))</f>
        <v/>
      </c>
      <c r="W62" s="38" t="str">
        <f>+IF(U62="","-",CONCATENATE(U62,"_",V62))</f>
        <v>-</v>
      </c>
      <c r="X62" s="42">
        <v>7.3999999999999996E-2</v>
      </c>
    </row>
    <row r="63" spans="1:24" ht="15" thickBot="1">
      <c r="A63" s="3" t="s">
        <v>2916</v>
      </c>
      <c r="B63" s="3" t="s">
        <v>140</v>
      </c>
      <c r="C63" s="3" t="s">
        <v>2322</v>
      </c>
      <c r="D63" s="3" t="s">
        <v>2323</v>
      </c>
      <c r="E63" s="3">
        <v>607570</v>
      </c>
      <c r="F63" s="3">
        <v>1</v>
      </c>
      <c r="G63" s="3" t="s">
        <v>2327</v>
      </c>
      <c r="H63" s="3" t="s">
        <v>20</v>
      </c>
      <c r="I63" s="4" t="s">
        <v>50</v>
      </c>
      <c r="J63" s="4" t="s">
        <v>51</v>
      </c>
      <c r="K63" s="4" t="s">
        <v>2328</v>
      </c>
      <c r="L63" s="4" t="s">
        <v>528</v>
      </c>
      <c r="M63" s="4" t="s">
        <v>22</v>
      </c>
      <c r="N63" s="4" t="s">
        <v>23</v>
      </c>
      <c r="O63" s="4" t="s">
        <v>27</v>
      </c>
      <c r="P63" s="4" t="s">
        <v>28</v>
      </c>
      <c r="Q63" s="24">
        <v>47</v>
      </c>
      <c r="R63" s="25">
        <v>3</v>
      </c>
      <c r="S63" s="39">
        <v>0</v>
      </c>
      <c r="T63" s="7" t="s">
        <v>2910</v>
      </c>
      <c r="U63" s="7"/>
      <c r="V63" s="7" t="str">
        <f>+IF(U63="","",IF(U63="FINES",CONCATENATE("R",IF(OR(B63="16",B63="21",B63="22",B63="23"),"16212223",IF(OR(B63="15",B63="17",B63="24",B63="25"),"15172425",B63))),IF(U63="CEBAS","UNICO",IF(VALUE(B63)&lt;=11,"AMBA","INTERIOR"))))</f>
        <v/>
      </c>
      <c r="W63" s="38" t="str">
        <f>+IF(U63="","-",CONCATENATE(U63,"_",V63))</f>
        <v>-</v>
      </c>
      <c r="X63" s="42">
        <v>7.4999999999999997E-2</v>
      </c>
    </row>
    <row r="64" spans="1:24" ht="15" thickBot="1">
      <c r="A64" s="3" t="s">
        <v>2916</v>
      </c>
      <c r="B64" s="3" t="s">
        <v>356</v>
      </c>
      <c r="C64" s="3" t="s">
        <v>805</v>
      </c>
      <c r="D64" s="3" t="s">
        <v>2500</v>
      </c>
      <c r="E64" s="3">
        <v>604353</v>
      </c>
      <c r="F64" s="3">
        <v>1</v>
      </c>
      <c r="G64" s="3" t="s">
        <v>2516</v>
      </c>
      <c r="H64" s="3" t="s">
        <v>20</v>
      </c>
      <c r="I64" s="4" t="s">
        <v>50</v>
      </c>
      <c r="J64" s="4" t="s">
        <v>51</v>
      </c>
      <c r="K64" s="4" t="s">
        <v>2517</v>
      </c>
      <c r="L64" s="4" t="s">
        <v>382</v>
      </c>
      <c r="M64" s="4" t="s">
        <v>22</v>
      </c>
      <c r="N64" s="4" t="s">
        <v>23</v>
      </c>
      <c r="O64" s="4" t="s">
        <v>27</v>
      </c>
      <c r="P64" s="4" t="s">
        <v>28</v>
      </c>
      <c r="Q64" s="24">
        <v>14</v>
      </c>
      <c r="R64" s="25">
        <v>1</v>
      </c>
      <c r="S64" s="39">
        <v>0</v>
      </c>
      <c r="T64" s="7" t="s">
        <v>2910</v>
      </c>
      <c r="U64" s="7"/>
      <c r="V64" s="7" t="str">
        <f>+IF(U64="","",IF(U64="FINES",CONCATENATE("R",IF(OR(B64="16",B64="21",B64="22",B64="23"),"16212223",IF(OR(B64="15",B64="17",B64="24",B64="25"),"15172425",B64))),IF(U64="CEBAS","UNICO",IF(VALUE(B64)&lt;=11,"AMBA","INTERIOR"))))</f>
        <v/>
      </c>
      <c r="W64" s="38" t="str">
        <f>+IF(U64="","-",CONCATENATE(U64,"_",V64))</f>
        <v>-</v>
      </c>
      <c r="X64" s="42">
        <v>7.8E-2</v>
      </c>
    </row>
    <row r="65" spans="1:24" ht="15" thickBot="1">
      <c r="A65" s="5" t="s">
        <v>2916</v>
      </c>
      <c r="B65" s="5" t="s">
        <v>140</v>
      </c>
      <c r="C65" s="5" t="s">
        <v>2149</v>
      </c>
      <c r="D65" s="5" t="s">
        <v>2150</v>
      </c>
      <c r="E65" s="5">
        <v>612022</v>
      </c>
      <c r="F65" s="5">
        <v>0</v>
      </c>
      <c r="G65" s="5" t="s">
        <v>2155</v>
      </c>
      <c r="H65" s="5" t="s">
        <v>20</v>
      </c>
      <c r="I65" s="6" t="s">
        <v>50</v>
      </c>
      <c r="J65" s="6" t="s">
        <v>21</v>
      </c>
      <c r="K65" s="6"/>
      <c r="L65" s="6" t="s">
        <v>1226</v>
      </c>
      <c r="M65" s="6" t="s">
        <v>22</v>
      </c>
      <c r="N65" s="6" t="s">
        <v>23</v>
      </c>
      <c r="O65" s="6" t="s">
        <v>27</v>
      </c>
      <c r="P65" s="6" t="s">
        <v>28</v>
      </c>
      <c r="Q65" s="22">
        <v>15</v>
      </c>
      <c r="R65" s="23">
        <v>1</v>
      </c>
      <c r="S65" s="39">
        <v>0</v>
      </c>
      <c r="T65" s="7" t="s">
        <v>2910</v>
      </c>
      <c r="U65" s="7"/>
      <c r="V65" s="7" t="str">
        <f>+IF(U65="","",IF(U65="FINES",CONCATENATE("R",IF(OR(B65="16",B65="21",B65="22",B65="23"),"16212223",IF(OR(B65="15",B65="17",B65="24",B65="25"),"15172425",B65))),IF(U65="CEBAS","UNICO",IF(VALUE(B65)&lt;=11,"AMBA","INTERIOR"))))</f>
        <v/>
      </c>
      <c r="W65" s="38" t="str">
        <f>+IF(U65="","-",CONCATENATE(U65,"_",V65))</f>
        <v>-</v>
      </c>
      <c r="X65" s="42">
        <v>0.08</v>
      </c>
    </row>
    <row r="66" spans="1:24" ht="15" thickBot="1">
      <c r="A66" s="5" t="s">
        <v>2916</v>
      </c>
      <c r="B66" s="5" t="s">
        <v>205</v>
      </c>
      <c r="C66" s="5" t="s">
        <v>654</v>
      </c>
      <c r="D66" s="5" t="s">
        <v>655</v>
      </c>
      <c r="E66" s="5">
        <v>604802</v>
      </c>
      <c r="F66" s="5">
        <v>1</v>
      </c>
      <c r="G66" s="5" t="s">
        <v>660</v>
      </c>
      <c r="H66" s="5" t="s">
        <v>20</v>
      </c>
      <c r="I66" s="6" t="s">
        <v>50</v>
      </c>
      <c r="J66" s="6" t="s">
        <v>51</v>
      </c>
      <c r="K66" s="6" t="s">
        <v>657</v>
      </c>
      <c r="L66" s="6" t="s">
        <v>526</v>
      </c>
      <c r="M66" s="6" t="s">
        <v>22</v>
      </c>
      <c r="N66" s="6" t="s">
        <v>23</v>
      </c>
      <c r="O66" s="6" t="s">
        <v>27</v>
      </c>
      <c r="P66" s="6" t="s">
        <v>28</v>
      </c>
      <c r="Q66" s="22">
        <v>12</v>
      </c>
      <c r="R66" s="23">
        <v>1</v>
      </c>
      <c r="S66" s="39">
        <v>0</v>
      </c>
      <c r="T66" s="7" t="s">
        <v>2910</v>
      </c>
      <c r="U66" s="7"/>
      <c r="V66" s="7" t="str">
        <f>+IF(U66="","",IF(U66="FINES",CONCATENATE("R",IF(OR(B66="16",B66="21",B66="22",B66="23"),"16212223",IF(OR(B66="15",B66="17",B66="24",B66="25"),"15172425",B66))),IF(U66="CEBAS","UNICO",IF(VALUE(B66)&lt;=11,"AMBA","INTERIOR"))))</f>
        <v/>
      </c>
      <c r="W66" s="38" t="str">
        <f>+IF(U66="","-",CONCATENATE(U66,"_",V66))</f>
        <v>-</v>
      </c>
      <c r="X66" s="42">
        <v>8.1000000000000003E-2</v>
      </c>
    </row>
    <row r="67" spans="1:24" ht="15" thickBot="1">
      <c r="A67" s="5" t="s">
        <v>2916</v>
      </c>
      <c r="B67" s="5" t="s">
        <v>356</v>
      </c>
      <c r="C67" s="5" t="s">
        <v>1359</v>
      </c>
      <c r="D67" s="5" t="s">
        <v>1360</v>
      </c>
      <c r="E67" s="5">
        <v>608161</v>
      </c>
      <c r="F67" s="5">
        <v>2</v>
      </c>
      <c r="G67" s="5" t="s">
        <v>1371</v>
      </c>
      <c r="H67" s="5" t="s">
        <v>20</v>
      </c>
      <c r="I67" s="6" t="s">
        <v>50</v>
      </c>
      <c r="J67" s="6" t="s">
        <v>51</v>
      </c>
      <c r="K67" s="6" t="s">
        <v>1365</v>
      </c>
      <c r="L67" s="6" t="s">
        <v>794</v>
      </c>
      <c r="M67" s="6" t="s">
        <v>22</v>
      </c>
      <c r="N67" s="6" t="s">
        <v>23</v>
      </c>
      <c r="O67" s="6" t="s">
        <v>27</v>
      </c>
      <c r="P67" s="6" t="s">
        <v>28</v>
      </c>
      <c r="Q67" s="22">
        <v>20</v>
      </c>
      <c r="R67" s="23">
        <v>2</v>
      </c>
      <c r="S67" s="39">
        <v>0</v>
      </c>
      <c r="T67" s="7" t="s">
        <v>2910</v>
      </c>
      <c r="U67" s="7"/>
      <c r="V67" s="7" t="str">
        <f>+IF(U67="","",IF(U67="FINES",CONCATENATE("R",IF(OR(B67="16",B67="21",B67="22",B67="23"),"16212223",IF(OR(B67="15",B67="17",B67="24",B67="25"),"15172425",B67))),IF(U67="CEBAS","UNICO",IF(VALUE(B67)&lt;=11,"AMBA","INTERIOR"))))</f>
        <v/>
      </c>
      <c r="W67" s="38" t="str">
        <f>+IF(U67="","-",CONCATENATE(U67,"_",V67))</f>
        <v>-</v>
      </c>
      <c r="X67" s="42">
        <v>8.4000000000000005E-2</v>
      </c>
    </row>
    <row r="68" spans="1:24" ht="15" thickBot="1">
      <c r="A68" s="5" t="s">
        <v>2916</v>
      </c>
      <c r="B68" s="5" t="s">
        <v>257</v>
      </c>
      <c r="C68" s="5" t="s">
        <v>254</v>
      </c>
      <c r="D68" s="5" t="s">
        <v>256</v>
      </c>
      <c r="E68" s="5">
        <v>613498</v>
      </c>
      <c r="F68" s="5">
        <v>2</v>
      </c>
      <c r="G68" s="5" t="s">
        <v>310</v>
      </c>
      <c r="H68" s="5" t="s">
        <v>20</v>
      </c>
      <c r="I68" s="6" t="s">
        <v>50</v>
      </c>
      <c r="J68" s="6" t="s">
        <v>51</v>
      </c>
      <c r="K68" s="6" t="s">
        <v>287</v>
      </c>
      <c r="L68" s="6" t="s">
        <v>311</v>
      </c>
      <c r="M68" s="6" t="s">
        <v>22</v>
      </c>
      <c r="N68" s="6" t="s">
        <v>23</v>
      </c>
      <c r="O68" s="6" t="s">
        <v>27</v>
      </c>
      <c r="P68" s="6" t="s">
        <v>28</v>
      </c>
      <c r="Q68" s="22">
        <v>25</v>
      </c>
      <c r="R68" s="23">
        <v>2</v>
      </c>
      <c r="S68" s="39">
        <v>0</v>
      </c>
      <c r="T68" s="7" t="s">
        <v>2910</v>
      </c>
      <c r="U68" s="7"/>
      <c r="V68" s="7" t="str">
        <f>+IF(U68="","",IF(U68="FINES",CONCATENATE("R",IF(OR(B68="16",B68="21",B68="22",B68="23"),"16212223",IF(OR(B68="15",B68="17",B68="24",B68="25"),"15172425",B68))),IF(U68="CEBAS","UNICO",IF(VALUE(B68)&lt;=11,"AMBA","INTERIOR"))))</f>
        <v/>
      </c>
      <c r="W68" s="38" t="str">
        <f>+IF(U68="","-",CONCATENATE(U68,"_",V68))</f>
        <v>-</v>
      </c>
      <c r="X68" s="42">
        <v>8.4000000000000005E-2</v>
      </c>
    </row>
    <row r="69" spans="1:24" ht="15" thickBot="1">
      <c r="A69" s="5" t="s">
        <v>2916</v>
      </c>
      <c r="B69" s="5" t="s">
        <v>356</v>
      </c>
      <c r="C69" s="5" t="s">
        <v>805</v>
      </c>
      <c r="D69" s="5" t="s">
        <v>2500</v>
      </c>
      <c r="E69" s="5">
        <v>605130</v>
      </c>
      <c r="F69" s="5">
        <v>2</v>
      </c>
      <c r="G69" s="5" t="s">
        <v>2518</v>
      </c>
      <c r="H69" s="5" t="s">
        <v>20</v>
      </c>
      <c r="I69" s="6" t="s">
        <v>50</v>
      </c>
      <c r="J69" s="6" t="s">
        <v>51</v>
      </c>
      <c r="K69" s="6" t="s">
        <v>2519</v>
      </c>
      <c r="L69" s="6" t="s">
        <v>1113</v>
      </c>
      <c r="M69" s="6" t="s">
        <v>22</v>
      </c>
      <c r="N69" s="6" t="s">
        <v>23</v>
      </c>
      <c r="O69" s="6" t="s">
        <v>27</v>
      </c>
      <c r="P69" s="6" t="s">
        <v>28</v>
      </c>
      <c r="Q69" s="22">
        <v>32</v>
      </c>
      <c r="R69" s="23">
        <v>2</v>
      </c>
      <c r="S69" s="39">
        <v>0</v>
      </c>
      <c r="T69" s="7" t="s">
        <v>2910</v>
      </c>
      <c r="U69" s="7"/>
      <c r="V69" s="7" t="str">
        <f>+IF(U69="","",IF(U69="FINES",CONCATENATE("R",IF(OR(B69="16",B69="21",B69="22",B69="23"),"16212223",IF(OR(B69="15",B69="17",B69="24",B69="25"),"15172425",B69))),IF(U69="CEBAS","UNICO",IF(VALUE(B69)&lt;=11,"AMBA","INTERIOR"))))</f>
        <v/>
      </c>
      <c r="W69" s="38" t="str">
        <f>+IF(U69="","-",CONCATENATE(U69,"_",V69))</f>
        <v>-</v>
      </c>
      <c r="X69" s="42">
        <v>8.5000000000000006E-2</v>
      </c>
    </row>
    <row r="70" spans="1:24" ht="15" thickBot="1">
      <c r="A70" s="3" t="s">
        <v>2916</v>
      </c>
      <c r="B70" s="3" t="s">
        <v>817</v>
      </c>
      <c r="C70" s="3" t="s">
        <v>2080</v>
      </c>
      <c r="D70" s="3" t="s">
        <v>2081</v>
      </c>
      <c r="E70" s="3">
        <v>614435</v>
      </c>
      <c r="F70" s="3">
        <v>0</v>
      </c>
      <c r="G70" s="3" t="s">
        <v>2082</v>
      </c>
      <c r="H70" s="3" t="s">
        <v>20</v>
      </c>
      <c r="I70" s="4" t="s">
        <v>25</v>
      </c>
      <c r="J70" s="4" t="s">
        <v>21</v>
      </c>
      <c r="K70" s="4"/>
      <c r="L70" s="4" t="s">
        <v>2083</v>
      </c>
      <c r="M70" s="4" t="s">
        <v>22</v>
      </c>
      <c r="N70" s="4" t="s">
        <v>23</v>
      </c>
      <c r="O70" s="4" t="s">
        <v>27</v>
      </c>
      <c r="P70" s="4" t="s">
        <v>28</v>
      </c>
      <c r="Q70" s="24">
        <v>11</v>
      </c>
      <c r="R70" s="25">
        <v>1</v>
      </c>
      <c r="S70" s="39">
        <v>0</v>
      </c>
      <c r="T70" s="7" t="s">
        <v>2910</v>
      </c>
      <c r="U70" s="7"/>
      <c r="V70" s="7" t="str">
        <f>+IF(U70="","",IF(U70="FINES",CONCATENATE("R",IF(OR(B70="16",B70="21",B70="22",B70="23"),"16212223",IF(OR(B70="15",B70="17",B70="24",B70="25"),"15172425",B70))),IF(U70="CEBAS","UNICO",IF(VALUE(B70)&lt;=11,"AMBA","INTERIOR"))))</f>
        <v/>
      </c>
      <c r="W70" s="38" t="str">
        <f>+IF(U70="","-",CONCATENATE(U70,"_",V70))</f>
        <v>-</v>
      </c>
      <c r="X70" s="42">
        <v>8.5000000000000006E-2</v>
      </c>
    </row>
    <row r="71" spans="1:24" ht="15" thickBot="1">
      <c r="A71" s="5" t="s">
        <v>2916</v>
      </c>
      <c r="B71" s="5" t="s">
        <v>352</v>
      </c>
      <c r="C71" s="5" t="s">
        <v>1338</v>
      </c>
      <c r="D71" s="5" t="s">
        <v>1339</v>
      </c>
      <c r="E71" s="5">
        <v>600689</v>
      </c>
      <c r="F71" s="5">
        <v>0</v>
      </c>
      <c r="G71" s="5" t="s">
        <v>1342</v>
      </c>
      <c r="H71" s="5" t="s">
        <v>20</v>
      </c>
      <c r="I71" s="6" t="s">
        <v>50</v>
      </c>
      <c r="J71" s="6" t="s">
        <v>21</v>
      </c>
      <c r="K71" s="6"/>
      <c r="L71" s="6" t="s">
        <v>672</v>
      </c>
      <c r="M71" s="6" t="s">
        <v>199</v>
      </c>
      <c r="N71" s="6" t="s">
        <v>23</v>
      </c>
      <c r="O71" s="6" t="s">
        <v>27</v>
      </c>
      <c r="P71" s="6" t="s">
        <v>28</v>
      </c>
      <c r="Q71" s="22">
        <v>30</v>
      </c>
      <c r="R71" s="23">
        <v>1</v>
      </c>
      <c r="S71" s="39">
        <v>0</v>
      </c>
      <c r="T71" s="7" t="s">
        <v>2910</v>
      </c>
      <c r="U71" s="7"/>
      <c r="V71" s="7" t="str">
        <f>+IF(U71="","",IF(U71="FINES",CONCATENATE("R",IF(OR(B71="16",B71="21",B71="22",B71="23"),"16212223",IF(OR(B71="15",B71="17",B71="24",B71="25"),"15172425",B71))),IF(U71="CEBAS","UNICO",IF(VALUE(B71)&lt;=11,"AMBA","INTERIOR"))))</f>
        <v/>
      </c>
      <c r="W71" s="38" t="str">
        <f>+IF(U71="","-",CONCATENATE(U71,"_",V71))</f>
        <v>-</v>
      </c>
      <c r="X71" s="42">
        <v>8.5000000000000006E-2</v>
      </c>
    </row>
    <row r="72" spans="1:24" ht="15" thickBot="1">
      <c r="A72" s="3" t="s">
        <v>2916</v>
      </c>
      <c r="B72" s="3" t="s">
        <v>223</v>
      </c>
      <c r="C72" s="3" t="s">
        <v>1195</v>
      </c>
      <c r="D72" s="3" t="s">
        <v>1196</v>
      </c>
      <c r="E72" s="3">
        <v>604820</v>
      </c>
      <c r="F72" s="3">
        <v>0</v>
      </c>
      <c r="G72" s="3" t="s">
        <v>1201</v>
      </c>
      <c r="H72" s="3" t="s">
        <v>20</v>
      </c>
      <c r="I72" s="4" t="s">
        <v>50</v>
      </c>
      <c r="J72" s="4" t="s">
        <v>21</v>
      </c>
      <c r="K72" s="4"/>
      <c r="L72" s="4" t="s">
        <v>1202</v>
      </c>
      <c r="M72" s="4" t="s">
        <v>22</v>
      </c>
      <c r="N72" s="4" t="s">
        <v>23</v>
      </c>
      <c r="O72" s="4" t="s">
        <v>27</v>
      </c>
      <c r="P72" s="4" t="s">
        <v>28</v>
      </c>
      <c r="Q72" s="24">
        <v>10</v>
      </c>
      <c r="R72" s="25">
        <v>1</v>
      </c>
      <c r="S72" s="39">
        <v>0</v>
      </c>
      <c r="T72" s="7" t="s">
        <v>2910</v>
      </c>
      <c r="U72" s="7"/>
      <c r="V72" s="7" t="str">
        <f>+IF(U72="","",IF(U72="FINES",CONCATENATE("R",IF(OR(B72="16",B72="21",B72="22",B72="23"),"16212223",IF(OR(B72="15",B72="17",B72="24",B72="25"),"15172425",B72))),IF(U72="CEBAS","UNICO",IF(VALUE(B72)&lt;=11,"AMBA","INTERIOR"))))</f>
        <v/>
      </c>
      <c r="W72" s="38" t="str">
        <f>+IF(U72="","-",CONCATENATE(U72,"_",V72))</f>
        <v>-</v>
      </c>
      <c r="X72" s="42">
        <v>8.5999999999999993E-2</v>
      </c>
    </row>
    <row r="73" spans="1:24" ht="15" thickBot="1">
      <c r="A73" s="5" t="s">
        <v>2916</v>
      </c>
      <c r="B73" s="5" t="s">
        <v>140</v>
      </c>
      <c r="C73" s="5" t="s">
        <v>2277</v>
      </c>
      <c r="D73" s="5" t="s">
        <v>2278</v>
      </c>
      <c r="E73" s="5">
        <v>604559</v>
      </c>
      <c r="F73" s="5">
        <v>1</v>
      </c>
      <c r="G73" s="5" t="s">
        <v>2279</v>
      </c>
      <c r="H73" s="5" t="s">
        <v>20</v>
      </c>
      <c r="I73" s="6" t="s">
        <v>50</v>
      </c>
      <c r="J73" s="6" t="s">
        <v>51</v>
      </c>
      <c r="K73" s="6" t="s">
        <v>2280</v>
      </c>
      <c r="L73" s="6" t="s">
        <v>1928</v>
      </c>
      <c r="M73" s="6" t="s">
        <v>22</v>
      </c>
      <c r="N73" s="6" t="s">
        <v>23</v>
      </c>
      <c r="O73" s="6" t="s">
        <v>27</v>
      </c>
      <c r="P73" s="6" t="s">
        <v>28</v>
      </c>
      <c r="Q73" s="22">
        <v>30</v>
      </c>
      <c r="R73" s="23">
        <v>1</v>
      </c>
      <c r="S73" s="39">
        <v>0</v>
      </c>
      <c r="T73" s="7" t="s">
        <v>2910</v>
      </c>
      <c r="U73" s="7"/>
      <c r="V73" s="7" t="str">
        <f>+IF(U73="","",IF(U73="FINES",CONCATENATE("R",IF(OR(B73="16",B73="21",B73="22",B73="23"),"16212223",IF(OR(B73="15",B73="17",B73="24",B73="25"),"15172425",B73))),IF(U73="CEBAS","UNICO",IF(VALUE(B73)&lt;=11,"AMBA","INTERIOR"))))</f>
        <v/>
      </c>
      <c r="W73" s="38" t="str">
        <f>+IF(U73="","-",CONCATENATE(U73,"_",V73))</f>
        <v>-</v>
      </c>
      <c r="X73" s="42">
        <v>8.6999999999999994E-2</v>
      </c>
    </row>
    <row r="74" spans="1:24" ht="15" thickBot="1">
      <c r="A74" s="5" t="s">
        <v>2916</v>
      </c>
      <c r="B74" s="5" t="s">
        <v>1860</v>
      </c>
      <c r="C74" s="5" t="s">
        <v>411</v>
      </c>
      <c r="D74" s="5" t="s">
        <v>2791</v>
      </c>
      <c r="E74" s="5">
        <v>614092</v>
      </c>
      <c r="F74" s="5">
        <v>1</v>
      </c>
      <c r="G74" s="5" t="s">
        <v>2799</v>
      </c>
      <c r="H74" s="5" t="s">
        <v>20</v>
      </c>
      <c r="I74" s="6" t="s">
        <v>50</v>
      </c>
      <c r="J74" s="6" t="s">
        <v>51</v>
      </c>
      <c r="K74" s="6" t="s">
        <v>2800</v>
      </c>
      <c r="L74" s="6" t="s">
        <v>2013</v>
      </c>
      <c r="M74" s="6" t="s">
        <v>22</v>
      </c>
      <c r="N74" s="6" t="s">
        <v>23</v>
      </c>
      <c r="O74" s="6" t="s">
        <v>27</v>
      </c>
      <c r="P74" s="6" t="s">
        <v>28</v>
      </c>
      <c r="Q74" s="22">
        <v>38</v>
      </c>
      <c r="R74" s="23">
        <v>2</v>
      </c>
      <c r="S74" s="39">
        <v>0</v>
      </c>
      <c r="T74" s="7" t="s">
        <v>2910</v>
      </c>
      <c r="U74" s="7"/>
      <c r="V74" s="7" t="str">
        <f>+IF(U74="","",IF(U74="FINES",CONCATENATE("R",IF(OR(B74="16",B74="21",B74="22",B74="23"),"16212223",IF(OR(B74="15",B74="17",B74="24",B74="25"),"15172425",B74))),IF(U74="CEBAS","UNICO",IF(VALUE(B74)&lt;=11,"AMBA","INTERIOR"))))</f>
        <v/>
      </c>
      <c r="W74" s="38" t="str">
        <f>+IF(U74="","-",CONCATENATE(U74,"_",V74))</f>
        <v>-</v>
      </c>
      <c r="X74" s="42">
        <v>9.2999999999999999E-2</v>
      </c>
    </row>
    <row r="75" spans="1:24" ht="15" thickBot="1">
      <c r="A75" s="3" t="s">
        <v>2916</v>
      </c>
      <c r="B75" s="3" t="s">
        <v>1257</v>
      </c>
      <c r="C75" s="3" t="s">
        <v>2213</v>
      </c>
      <c r="D75" s="3" t="s">
        <v>2214</v>
      </c>
      <c r="E75" s="3">
        <v>607654</v>
      </c>
      <c r="F75" s="3">
        <v>2</v>
      </c>
      <c r="G75" s="3" t="s">
        <v>2226</v>
      </c>
      <c r="H75" s="3" t="s">
        <v>20</v>
      </c>
      <c r="I75" s="4" t="s">
        <v>50</v>
      </c>
      <c r="J75" s="4" t="s">
        <v>51</v>
      </c>
      <c r="K75" s="4" t="s">
        <v>2224</v>
      </c>
      <c r="L75" s="4" t="s">
        <v>1167</v>
      </c>
      <c r="M75" s="4" t="s">
        <v>22</v>
      </c>
      <c r="N75" s="4" t="s">
        <v>23</v>
      </c>
      <c r="O75" s="4" t="s">
        <v>27</v>
      </c>
      <c r="P75" s="4" t="s">
        <v>28</v>
      </c>
      <c r="Q75" s="24">
        <v>27</v>
      </c>
      <c r="R75" s="25">
        <v>2</v>
      </c>
      <c r="S75" s="39">
        <v>0</v>
      </c>
      <c r="T75" s="7" t="s">
        <v>2910</v>
      </c>
      <c r="U75" s="7"/>
      <c r="V75" s="7" t="str">
        <f>+IF(U75="","",IF(U75="FINES",CONCATENATE("R",IF(OR(B75="16",B75="21",B75="22",B75="23"),"16212223",IF(OR(B75="15",B75="17",B75="24",B75="25"),"15172425",B75))),IF(U75="CEBAS","UNICO",IF(VALUE(B75)&lt;=11,"AMBA","INTERIOR"))))</f>
        <v/>
      </c>
      <c r="W75" s="38" t="str">
        <f>+IF(U75="","-",CONCATENATE(U75,"_",V75))</f>
        <v>-</v>
      </c>
      <c r="X75" s="42">
        <v>9.2999999999999999E-2</v>
      </c>
    </row>
    <row r="76" spans="1:24" ht="15" thickBot="1">
      <c r="A76" s="5" t="s">
        <v>2916</v>
      </c>
      <c r="B76" s="5" t="s">
        <v>203</v>
      </c>
      <c r="C76" s="5" t="s">
        <v>450</v>
      </c>
      <c r="D76" s="5" t="s">
        <v>452</v>
      </c>
      <c r="E76" s="5">
        <v>605439</v>
      </c>
      <c r="F76" s="5">
        <v>3</v>
      </c>
      <c r="G76" s="5" t="s">
        <v>486</v>
      </c>
      <c r="H76" s="5" t="s">
        <v>20</v>
      </c>
      <c r="I76" s="6" t="s">
        <v>50</v>
      </c>
      <c r="J76" s="6" t="s">
        <v>51</v>
      </c>
      <c r="K76" s="6" t="s">
        <v>477</v>
      </c>
      <c r="L76" s="6" t="s">
        <v>487</v>
      </c>
      <c r="M76" s="6" t="s">
        <v>22</v>
      </c>
      <c r="N76" s="6" t="s">
        <v>23</v>
      </c>
      <c r="O76" s="6" t="s">
        <v>27</v>
      </c>
      <c r="P76" s="6" t="s">
        <v>28</v>
      </c>
      <c r="Q76" s="22">
        <v>44</v>
      </c>
      <c r="R76" s="23">
        <v>3</v>
      </c>
      <c r="S76" s="39">
        <v>0</v>
      </c>
      <c r="T76" s="7" t="s">
        <v>2910</v>
      </c>
      <c r="U76" s="7"/>
      <c r="V76" s="7" t="str">
        <f>+IF(U76="","",IF(U76="FINES",CONCATENATE("R",IF(OR(B76="16",B76="21",B76="22",B76="23"),"16212223",IF(OR(B76="15",B76="17",B76="24",B76="25"),"15172425",B76))),IF(U76="CEBAS","UNICO",IF(VALUE(B76)&lt;=11,"AMBA","INTERIOR"))))</f>
        <v/>
      </c>
      <c r="W76" s="38" t="str">
        <f>+IF(U76="","-",CONCATENATE(U76,"_",V76))</f>
        <v>-</v>
      </c>
      <c r="X76" s="42">
        <v>9.4E-2</v>
      </c>
    </row>
    <row r="77" spans="1:24" ht="15" thickBot="1">
      <c r="A77" s="3" t="s">
        <v>2916</v>
      </c>
      <c r="B77" s="3" t="s">
        <v>356</v>
      </c>
      <c r="C77" s="3" t="s">
        <v>353</v>
      </c>
      <c r="D77" s="3" t="s">
        <v>355</v>
      </c>
      <c r="E77" s="3">
        <v>604305</v>
      </c>
      <c r="F77" s="3">
        <v>1</v>
      </c>
      <c r="G77" s="3" t="s">
        <v>376</v>
      </c>
      <c r="H77" s="3" t="s">
        <v>20</v>
      </c>
      <c r="I77" s="4" t="s">
        <v>50</v>
      </c>
      <c r="J77" s="4" t="s">
        <v>51</v>
      </c>
      <c r="K77" s="4" t="s">
        <v>358</v>
      </c>
      <c r="L77" s="4" t="s">
        <v>377</v>
      </c>
      <c r="M77" s="4" t="s">
        <v>22</v>
      </c>
      <c r="N77" s="4" t="s">
        <v>23</v>
      </c>
      <c r="O77" s="4" t="s">
        <v>27</v>
      </c>
      <c r="P77" s="4" t="s">
        <v>28</v>
      </c>
      <c r="Q77" s="24">
        <v>31</v>
      </c>
      <c r="R77" s="25">
        <v>3</v>
      </c>
      <c r="S77" s="39">
        <v>0</v>
      </c>
      <c r="T77" s="7" t="s">
        <v>2910</v>
      </c>
      <c r="U77" s="7"/>
      <c r="V77" s="7" t="str">
        <f>+IF(U77="","",IF(U77="FINES",CONCATENATE("R",IF(OR(B77="16",B77="21",B77="22",B77="23"),"16212223",IF(OR(B77="15",B77="17",B77="24",B77="25"),"15172425",B77))),IF(U77="CEBAS","UNICO",IF(VALUE(B77)&lt;=11,"AMBA","INTERIOR"))))</f>
        <v/>
      </c>
      <c r="W77" s="38" t="str">
        <f>+IF(U77="","-",CONCATENATE(U77,"_",V77))</f>
        <v>-</v>
      </c>
      <c r="X77" s="42">
        <v>9.4E-2</v>
      </c>
    </row>
    <row r="78" spans="1:24" ht="15" thickBot="1">
      <c r="A78" s="3" t="s">
        <v>2916</v>
      </c>
      <c r="B78" s="3" t="s">
        <v>1257</v>
      </c>
      <c r="C78" s="3" t="s">
        <v>2213</v>
      </c>
      <c r="D78" s="3" t="s">
        <v>2214</v>
      </c>
      <c r="E78" s="3">
        <v>600843</v>
      </c>
      <c r="F78" s="3">
        <v>2</v>
      </c>
      <c r="G78" s="3" t="s">
        <v>2221</v>
      </c>
      <c r="H78" s="3" t="s">
        <v>20</v>
      </c>
      <c r="I78" s="4" t="s">
        <v>50</v>
      </c>
      <c r="J78" s="4" t="s">
        <v>51</v>
      </c>
      <c r="K78" s="4" t="s">
        <v>2218</v>
      </c>
      <c r="L78" s="4" t="s">
        <v>2222</v>
      </c>
      <c r="M78" s="4" t="s">
        <v>22</v>
      </c>
      <c r="N78" s="4" t="s">
        <v>23</v>
      </c>
      <c r="O78" s="4" t="s">
        <v>27</v>
      </c>
      <c r="P78" s="4" t="s">
        <v>28</v>
      </c>
      <c r="Q78" s="24">
        <v>10</v>
      </c>
      <c r="R78" s="25">
        <v>1</v>
      </c>
      <c r="S78" s="39">
        <v>0</v>
      </c>
      <c r="T78" t="s">
        <v>2910</v>
      </c>
      <c r="V78" s="7" t="str">
        <f>+IF(U78="","",IF(U78="FINES",CONCATENATE("R",IF(OR(B78="16",B78="21",B78="22",B78="23"),"16212223",IF(OR(B78="15",B78="17",B78="24",B78="25"),"15172425",B78))),IF(U78="CEBAS","UNICO",IF(VALUE(B78)&lt;=11,"AMBA","INTERIOR"))))</f>
        <v/>
      </c>
      <c r="W78" s="38" t="str">
        <f>+IF(U78="","-",CONCATENATE(U78,"_",V78))</f>
        <v>-</v>
      </c>
      <c r="X78" s="42">
        <v>9.5000000000000001E-2</v>
      </c>
    </row>
    <row r="79" spans="1:24" ht="15" thickBot="1">
      <c r="A79" s="5" t="s">
        <v>2916</v>
      </c>
      <c r="B79" s="5" t="s">
        <v>203</v>
      </c>
      <c r="C79" s="5" t="s">
        <v>450</v>
      </c>
      <c r="D79" s="5" t="s">
        <v>452</v>
      </c>
      <c r="E79" s="5">
        <v>602486</v>
      </c>
      <c r="F79" s="5">
        <v>2</v>
      </c>
      <c r="G79" s="5" t="s">
        <v>461</v>
      </c>
      <c r="H79" s="5" t="s">
        <v>20</v>
      </c>
      <c r="I79" s="6" t="s">
        <v>50</v>
      </c>
      <c r="J79" s="6" t="s">
        <v>51</v>
      </c>
      <c r="K79" s="6" t="s">
        <v>454</v>
      </c>
      <c r="L79" s="6" t="s">
        <v>462</v>
      </c>
      <c r="M79" s="6" t="s">
        <v>22</v>
      </c>
      <c r="N79" s="6" t="s">
        <v>23</v>
      </c>
      <c r="O79" s="6" t="s">
        <v>27</v>
      </c>
      <c r="P79" s="6" t="s">
        <v>28</v>
      </c>
      <c r="Q79" s="22">
        <v>42</v>
      </c>
      <c r="R79" s="23">
        <v>3</v>
      </c>
      <c r="S79" s="39">
        <v>0</v>
      </c>
      <c r="T79" s="7" t="s">
        <v>2910</v>
      </c>
      <c r="U79" s="7"/>
      <c r="V79" s="7" t="str">
        <f>+IF(U79="","",IF(U79="FINES",CONCATENATE("R",IF(OR(B79="16",B79="21",B79="22",B79="23"),"16212223",IF(OR(B79="15",B79="17",B79="24",B79="25"),"15172425",B79))),IF(U79="CEBAS","UNICO",IF(VALUE(B79)&lt;=11,"AMBA","INTERIOR"))))</f>
        <v/>
      </c>
      <c r="W79" s="38" t="str">
        <f>+IF(U79="","-",CONCATENATE(U79,"_",V79))</f>
        <v>-</v>
      </c>
      <c r="X79" s="42">
        <v>9.5000000000000001E-2</v>
      </c>
    </row>
    <row r="80" spans="1:24" ht="15" thickBot="1">
      <c r="A80" s="5" t="s">
        <v>2916</v>
      </c>
      <c r="B80" s="5" t="s">
        <v>257</v>
      </c>
      <c r="C80" s="5" t="s">
        <v>254</v>
      </c>
      <c r="D80" s="5" t="s">
        <v>256</v>
      </c>
      <c r="E80" s="5">
        <v>613498</v>
      </c>
      <c r="F80" s="5">
        <v>1</v>
      </c>
      <c r="G80" s="5" t="s">
        <v>286</v>
      </c>
      <c r="H80" s="5" t="s">
        <v>20</v>
      </c>
      <c r="I80" s="6" t="s">
        <v>50</v>
      </c>
      <c r="J80" s="6" t="s">
        <v>51</v>
      </c>
      <c r="K80" s="6" t="s">
        <v>287</v>
      </c>
      <c r="L80" s="6" t="s">
        <v>288</v>
      </c>
      <c r="M80" s="6" t="s">
        <v>22</v>
      </c>
      <c r="N80" s="6" t="s">
        <v>23</v>
      </c>
      <c r="O80" s="6" t="s">
        <v>27</v>
      </c>
      <c r="P80" s="6" t="s">
        <v>28</v>
      </c>
      <c r="Q80" s="22">
        <v>16</v>
      </c>
      <c r="R80" s="23">
        <v>1</v>
      </c>
      <c r="S80" s="39">
        <v>0</v>
      </c>
      <c r="T80" s="7" t="s">
        <v>2910</v>
      </c>
      <c r="U80" s="7"/>
      <c r="V80" s="7" t="str">
        <f>+IF(U80="","",IF(U80="FINES",CONCATENATE("R",IF(OR(B80="16",B80="21",B80="22",B80="23"),"16212223",IF(OR(B80="15",B80="17",B80="24",B80="25"),"15172425",B80))),IF(U80="CEBAS","UNICO",IF(VALUE(B80)&lt;=11,"AMBA","INTERIOR"))))</f>
        <v/>
      </c>
      <c r="W80" s="38" t="str">
        <f>+IF(U80="","-",CONCATENATE(U80,"_",V80))</f>
        <v>-</v>
      </c>
      <c r="X80" s="42">
        <v>9.5000000000000001E-2</v>
      </c>
    </row>
    <row r="81" spans="1:24" ht="15" thickBot="1">
      <c r="A81" s="3" t="s">
        <v>2916</v>
      </c>
      <c r="B81" s="3" t="s">
        <v>223</v>
      </c>
      <c r="C81" s="3" t="s">
        <v>572</v>
      </c>
      <c r="D81" s="3" t="s">
        <v>2430</v>
      </c>
      <c r="E81" s="3">
        <v>604971</v>
      </c>
      <c r="F81" s="3">
        <v>0</v>
      </c>
      <c r="G81" s="3" t="s">
        <v>2431</v>
      </c>
      <c r="H81" s="3" t="s">
        <v>20</v>
      </c>
      <c r="I81" s="4" t="s">
        <v>50</v>
      </c>
      <c r="J81" s="4" t="s">
        <v>21</v>
      </c>
      <c r="K81" s="4"/>
      <c r="L81" s="4" t="s">
        <v>2432</v>
      </c>
      <c r="M81" s="4" t="s">
        <v>22</v>
      </c>
      <c r="N81" s="4" t="s">
        <v>23</v>
      </c>
      <c r="O81" s="4" t="s">
        <v>27</v>
      </c>
      <c r="P81" s="4" t="s">
        <v>28</v>
      </c>
      <c r="Q81" s="24">
        <v>37</v>
      </c>
      <c r="R81" s="25">
        <v>4</v>
      </c>
      <c r="S81" s="39">
        <v>0</v>
      </c>
      <c r="T81" t="s">
        <v>2910</v>
      </c>
      <c r="V81" s="7" t="str">
        <f>+IF(U81="","",IF(U81="FINES",CONCATENATE("R",IF(OR(B81="16",B81="21",B81="22",B81="23"),"16212223",IF(OR(B81="15",B81="17",B81="24",B81="25"),"15172425",B81))),IF(U81="CEBAS","UNICO",IF(VALUE(B81)&lt;=11,"AMBA","INTERIOR"))))</f>
        <v/>
      </c>
      <c r="W81" s="38" t="str">
        <f>+IF(U81="","-",CONCATENATE(U81,"_",V81))</f>
        <v>-</v>
      </c>
      <c r="X81" s="42">
        <v>9.5000000000000001E-2</v>
      </c>
    </row>
    <row r="82" spans="1:24" ht="15" thickBot="1">
      <c r="A82" s="5" t="s">
        <v>2916</v>
      </c>
      <c r="B82" s="5" t="s">
        <v>1532</v>
      </c>
      <c r="C82" s="5" t="s">
        <v>1530</v>
      </c>
      <c r="D82" s="5" t="s">
        <v>1531</v>
      </c>
      <c r="E82" s="5">
        <v>610535</v>
      </c>
      <c r="F82" s="5">
        <v>2</v>
      </c>
      <c r="G82" s="5" t="s">
        <v>1626</v>
      </c>
      <c r="H82" s="5" t="s">
        <v>20</v>
      </c>
      <c r="I82" s="6" t="s">
        <v>50</v>
      </c>
      <c r="J82" s="6" t="s">
        <v>51</v>
      </c>
      <c r="K82" s="6" t="s">
        <v>1561</v>
      </c>
      <c r="L82" s="6" t="s">
        <v>1627</v>
      </c>
      <c r="M82" s="6" t="s">
        <v>22</v>
      </c>
      <c r="N82" s="6" t="s">
        <v>23</v>
      </c>
      <c r="O82" s="6" t="s">
        <v>27</v>
      </c>
      <c r="P82" s="6" t="s">
        <v>28</v>
      </c>
      <c r="Q82" s="22">
        <v>38</v>
      </c>
      <c r="R82" s="23">
        <v>2</v>
      </c>
      <c r="S82" s="39">
        <v>0</v>
      </c>
      <c r="T82" s="7" t="s">
        <v>2910</v>
      </c>
      <c r="V82" s="7" t="str">
        <f>+IF(U82="","",IF(U82="FINES",CONCATENATE("R",IF(OR(B82="16",B82="21",B82="22",B82="23"),"16212223",IF(OR(B82="15",B82="17",B82="24",B82="25"),"15172425",B82))),IF(U82="CEBAS","UNICO",IF(VALUE(B82)&lt;=11,"AMBA","INTERIOR"))))</f>
        <v/>
      </c>
      <c r="W82" s="38" t="str">
        <f>+IF(U82="","-",CONCATENATE(U82,"_",V82))</f>
        <v>-</v>
      </c>
      <c r="X82" s="42">
        <v>9.6000000000000002E-2</v>
      </c>
    </row>
    <row r="83" spans="1:24" ht="15" thickBot="1">
      <c r="A83" s="5" t="s">
        <v>2916</v>
      </c>
      <c r="B83" s="5" t="s">
        <v>817</v>
      </c>
      <c r="C83" s="5" t="s">
        <v>2080</v>
      </c>
      <c r="D83" s="5" t="s">
        <v>2081</v>
      </c>
      <c r="E83" s="5">
        <v>613653</v>
      </c>
      <c r="F83" s="5">
        <v>1</v>
      </c>
      <c r="G83" s="5" t="s">
        <v>2089</v>
      </c>
      <c r="H83" s="5" t="s">
        <v>20</v>
      </c>
      <c r="I83" s="6" t="s">
        <v>50</v>
      </c>
      <c r="J83" s="6" t="s">
        <v>51</v>
      </c>
      <c r="K83" s="6" t="s">
        <v>2090</v>
      </c>
      <c r="L83" s="6" t="s">
        <v>2091</v>
      </c>
      <c r="M83" s="6" t="s">
        <v>22</v>
      </c>
      <c r="N83" s="6" t="s">
        <v>23</v>
      </c>
      <c r="O83" s="6" t="s">
        <v>27</v>
      </c>
      <c r="P83" s="6" t="s">
        <v>28</v>
      </c>
      <c r="Q83" s="22">
        <v>15</v>
      </c>
      <c r="R83" s="23">
        <v>1</v>
      </c>
      <c r="S83" s="39">
        <v>0</v>
      </c>
      <c r="T83" s="7" t="s">
        <v>2910</v>
      </c>
      <c r="V83" s="7" t="str">
        <f>+IF(U83="","",IF(U83="FINES",CONCATENATE("R",IF(OR(B83="16",B83="21",B83="22",B83="23"),"16212223",IF(OR(B83="15",B83="17",B83="24",B83="25"),"15172425",B83))),IF(U83="CEBAS","UNICO",IF(VALUE(B83)&lt;=11,"AMBA","INTERIOR"))))</f>
        <v/>
      </c>
      <c r="W83" s="38" t="str">
        <f>+IF(U83="","-",CONCATENATE(U83,"_",V83))</f>
        <v>-</v>
      </c>
      <c r="X83" s="42">
        <v>9.6000000000000002E-2</v>
      </c>
    </row>
    <row r="84" spans="1:24" ht="15" thickBot="1">
      <c r="A84" s="5" t="s">
        <v>2916</v>
      </c>
      <c r="B84" s="5" t="s">
        <v>352</v>
      </c>
      <c r="C84" s="5" t="s">
        <v>349</v>
      </c>
      <c r="D84" s="5" t="s">
        <v>2397</v>
      </c>
      <c r="E84" s="5">
        <v>604248</v>
      </c>
      <c r="F84" s="5">
        <v>2</v>
      </c>
      <c r="G84" s="5" t="s">
        <v>2406</v>
      </c>
      <c r="H84" s="5" t="s">
        <v>20</v>
      </c>
      <c r="I84" s="6" t="s">
        <v>50</v>
      </c>
      <c r="J84" s="6" t="s">
        <v>51</v>
      </c>
      <c r="K84" s="6" t="s">
        <v>2401</v>
      </c>
      <c r="L84" s="6" t="s">
        <v>2333</v>
      </c>
      <c r="M84" s="6" t="s">
        <v>22</v>
      </c>
      <c r="N84" s="6" t="s">
        <v>23</v>
      </c>
      <c r="O84" s="6" t="s">
        <v>27</v>
      </c>
      <c r="P84" s="6" t="s">
        <v>28</v>
      </c>
      <c r="Q84" s="22">
        <v>12</v>
      </c>
      <c r="R84" s="23">
        <v>1</v>
      </c>
      <c r="S84" s="39">
        <v>0</v>
      </c>
      <c r="T84" s="7" t="s">
        <v>2910</v>
      </c>
      <c r="V84" s="7" t="str">
        <f>+IF(U84="","",IF(U84="FINES",CONCATENATE("R",IF(OR(B84="16",B84="21",B84="22",B84="23"),"16212223",IF(OR(B84="15",B84="17",B84="24",B84="25"),"15172425",B84))),IF(U84="CEBAS","UNICO",IF(VALUE(B84)&lt;=11,"AMBA","INTERIOR"))))</f>
        <v/>
      </c>
      <c r="W84" s="38" t="str">
        <f>+IF(U84="","-",CONCATENATE(U84,"_",V84))</f>
        <v>-</v>
      </c>
      <c r="X84" s="42">
        <v>9.7000000000000003E-2</v>
      </c>
    </row>
    <row r="85" spans="1:24" ht="15" thickBot="1">
      <c r="A85" s="3" t="s">
        <v>2916</v>
      </c>
      <c r="B85" s="3" t="s">
        <v>222</v>
      </c>
      <c r="C85" s="3" t="s">
        <v>227</v>
      </c>
      <c r="D85" s="3" t="s">
        <v>2603</v>
      </c>
      <c r="E85" s="3">
        <v>613714</v>
      </c>
      <c r="F85" s="3">
        <v>1</v>
      </c>
      <c r="G85" s="3" t="s">
        <v>2607</v>
      </c>
      <c r="H85" s="3" t="s">
        <v>20</v>
      </c>
      <c r="I85" s="4" t="s">
        <v>50</v>
      </c>
      <c r="J85" s="4" t="s">
        <v>51</v>
      </c>
      <c r="K85" s="4" t="s">
        <v>2608</v>
      </c>
      <c r="L85" s="4" t="s">
        <v>672</v>
      </c>
      <c r="M85" s="4" t="s">
        <v>22</v>
      </c>
      <c r="N85" s="4" t="s">
        <v>23</v>
      </c>
      <c r="O85" s="4" t="s">
        <v>27</v>
      </c>
      <c r="P85" s="4" t="s">
        <v>28</v>
      </c>
      <c r="Q85" s="24">
        <v>31</v>
      </c>
      <c r="R85" s="25">
        <v>2</v>
      </c>
      <c r="S85" s="39">
        <v>0</v>
      </c>
      <c r="T85" s="7" t="s">
        <v>2910</v>
      </c>
      <c r="V85" s="7" t="str">
        <f>+IF(U85="","",IF(U85="FINES",CONCATENATE("R",IF(OR(B85="16",B85="21",B85="22",B85="23"),"16212223",IF(OR(B85="15",B85="17",B85="24",B85="25"),"15172425",B85))),IF(U85="CEBAS","UNICO",IF(VALUE(B85)&lt;=11,"AMBA","INTERIOR"))))</f>
        <v/>
      </c>
      <c r="W85" s="38" t="str">
        <f>+IF(U85="","-",CONCATENATE(U85,"_",V85))</f>
        <v>-</v>
      </c>
      <c r="X85" s="42">
        <v>9.7000000000000003E-2</v>
      </c>
    </row>
    <row r="86" spans="1:24" ht="15" thickBot="1">
      <c r="A86" s="5" t="s">
        <v>2916</v>
      </c>
      <c r="B86" s="5" t="s">
        <v>138</v>
      </c>
      <c r="C86" s="5" t="s">
        <v>522</v>
      </c>
      <c r="D86" s="5" t="s">
        <v>1468</v>
      </c>
      <c r="E86" s="5">
        <v>613586</v>
      </c>
      <c r="F86" s="5">
        <v>3</v>
      </c>
      <c r="G86" s="5" t="s">
        <v>1474</v>
      </c>
      <c r="H86" s="5" t="s">
        <v>20</v>
      </c>
      <c r="I86" s="6" t="s">
        <v>50</v>
      </c>
      <c r="J86" s="6" t="s">
        <v>51</v>
      </c>
      <c r="K86" s="6" t="s">
        <v>1470</v>
      </c>
      <c r="L86" s="6" t="s">
        <v>955</v>
      </c>
      <c r="M86" s="6" t="s">
        <v>22</v>
      </c>
      <c r="N86" s="6" t="s">
        <v>23</v>
      </c>
      <c r="O86" s="6" t="s">
        <v>27</v>
      </c>
      <c r="P86" s="6" t="s">
        <v>28</v>
      </c>
      <c r="Q86" s="22">
        <v>28</v>
      </c>
      <c r="R86" s="23">
        <v>2</v>
      </c>
      <c r="S86" s="39">
        <v>0</v>
      </c>
      <c r="T86" s="7" t="s">
        <v>2910</v>
      </c>
      <c r="V86" s="7" t="str">
        <f>+IF(U86="","",IF(U86="FINES",CONCATENATE("R",IF(OR(B86="16",B86="21",B86="22",B86="23"),"16212223",IF(OR(B86="15",B86="17",B86="24",B86="25"),"15172425",B86))),IF(U86="CEBAS","UNICO",IF(VALUE(B86)&lt;=11,"AMBA","INTERIOR"))))</f>
        <v/>
      </c>
      <c r="W86" s="38" t="str">
        <f>+IF(U86="","-",CONCATENATE(U86,"_",V86))</f>
        <v>-</v>
      </c>
      <c r="X86" s="42">
        <v>0.10199999999999999</v>
      </c>
    </row>
    <row r="87" spans="1:24" ht="15" thickBot="1">
      <c r="A87" s="5" t="s">
        <v>2916</v>
      </c>
      <c r="B87" s="5" t="s">
        <v>19</v>
      </c>
      <c r="C87" s="5" t="s">
        <v>252</v>
      </c>
      <c r="D87" s="5" t="s">
        <v>2566</v>
      </c>
      <c r="E87" s="5">
        <v>602986</v>
      </c>
      <c r="F87" s="5">
        <v>0</v>
      </c>
      <c r="G87" s="5" t="s">
        <v>2571</v>
      </c>
      <c r="H87" s="5" t="s">
        <v>20</v>
      </c>
      <c r="I87" s="6" t="s">
        <v>50</v>
      </c>
      <c r="J87" s="6" t="s">
        <v>21</v>
      </c>
      <c r="K87" s="6"/>
      <c r="L87" s="6" t="s">
        <v>1226</v>
      </c>
      <c r="M87" s="6" t="s">
        <v>22</v>
      </c>
      <c r="N87" s="6" t="s">
        <v>23</v>
      </c>
      <c r="O87" s="6" t="s">
        <v>27</v>
      </c>
      <c r="P87" s="6" t="s">
        <v>28</v>
      </c>
      <c r="Q87" s="22">
        <v>39</v>
      </c>
      <c r="R87" s="23">
        <v>2</v>
      </c>
      <c r="S87" s="39">
        <v>0</v>
      </c>
      <c r="T87" s="7" t="s">
        <v>2910</v>
      </c>
      <c r="U87" s="7"/>
      <c r="V87" s="7" t="str">
        <f>+IF(U87="","",IF(U87="FINES",CONCATENATE("R",IF(OR(B87="16",B87="21",B87="22",B87="23"),"16212223",IF(OR(B87="15",B87="17",B87="24",B87="25"),"15172425",B87))),IF(U87="CEBAS","UNICO",IF(VALUE(B87)&lt;=11,"AMBA","INTERIOR"))))</f>
        <v/>
      </c>
      <c r="W87" s="38" t="str">
        <f>+IF(U87="","-",CONCATENATE(U87,"_",V87))</f>
        <v>-</v>
      </c>
      <c r="X87" s="42">
        <v>0.10299999999999999</v>
      </c>
    </row>
    <row r="88" spans="1:24" ht="15" thickBot="1">
      <c r="A88" s="5" t="s">
        <v>2916</v>
      </c>
      <c r="B88" s="5" t="s">
        <v>217</v>
      </c>
      <c r="C88" s="5" t="s">
        <v>1499</v>
      </c>
      <c r="D88" s="5" t="s">
        <v>1500</v>
      </c>
      <c r="E88" s="5">
        <v>601449</v>
      </c>
      <c r="F88" s="5">
        <v>1</v>
      </c>
      <c r="G88" s="5" t="s">
        <v>1501</v>
      </c>
      <c r="H88" s="5" t="s">
        <v>20</v>
      </c>
      <c r="I88" s="6" t="s">
        <v>50</v>
      </c>
      <c r="J88" s="6" t="s">
        <v>51</v>
      </c>
      <c r="K88" s="6" t="s">
        <v>1502</v>
      </c>
      <c r="L88" s="6" t="s">
        <v>428</v>
      </c>
      <c r="M88" s="6" t="s">
        <v>22</v>
      </c>
      <c r="N88" s="6" t="s">
        <v>23</v>
      </c>
      <c r="O88" s="6" t="s">
        <v>27</v>
      </c>
      <c r="P88" s="6" t="s">
        <v>28</v>
      </c>
      <c r="Q88" s="22">
        <v>20</v>
      </c>
      <c r="R88" s="23">
        <v>2</v>
      </c>
      <c r="S88" s="39">
        <v>0</v>
      </c>
      <c r="T88" s="7" t="s">
        <v>2910</v>
      </c>
      <c r="U88" s="7"/>
      <c r="V88" s="7" t="str">
        <f>+IF(U88="","",IF(U88="FINES",CONCATENATE("R",IF(OR(B88="16",B88="21",B88="22",B88="23"),"16212223",IF(OR(B88="15",B88="17",B88="24",B88="25"),"15172425",B88))),IF(U88="CEBAS","UNICO",IF(VALUE(B88)&lt;=11,"AMBA","INTERIOR"))))</f>
        <v/>
      </c>
      <c r="W88" s="38" t="str">
        <f>+IF(U88="","-",CONCATENATE(U88,"_",V88))</f>
        <v>-</v>
      </c>
      <c r="X88" s="42">
        <v>0.106</v>
      </c>
    </row>
    <row r="89" spans="1:24" ht="15" thickBot="1">
      <c r="A89" s="3" t="s">
        <v>2916</v>
      </c>
      <c r="B89" s="3" t="s">
        <v>19</v>
      </c>
      <c r="C89" s="3" t="s">
        <v>252</v>
      </c>
      <c r="D89" s="3" t="s">
        <v>2566</v>
      </c>
      <c r="E89" s="3">
        <v>602842</v>
      </c>
      <c r="F89" s="3">
        <v>0</v>
      </c>
      <c r="G89" s="3" t="s">
        <v>2580</v>
      </c>
      <c r="H89" s="3" t="s">
        <v>20</v>
      </c>
      <c r="I89" s="4" t="s">
        <v>50</v>
      </c>
      <c r="J89" s="4" t="s">
        <v>21</v>
      </c>
      <c r="K89" s="4"/>
      <c r="L89" s="4" t="s">
        <v>2581</v>
      </c>
      <c r="M89" s="4" t="s">
        <v>22</v>
      </c>
      <c r="N89" s="4" t="s">
        <v>23</v>
      </c>
      <c r="O89" s="4" t="s">
        <v>27</v>
      </c>
      <c r="P89" s="4" t="s">
        <v>28</v>
      </c>
      <c r="Q89" s="24">
        <v>57</v>
      </c>
      <c r="R89" s="25">
        <v>3</v>
      </c>
      <c r="S89" s="39">
        <v>0</v>
      </c>
      <c r="T89" s="7" t="s">
        <v>2910</v>
      </c>
      <c r="V89" s="7" t="str">
        <f>+IF(U89="","",IF(U89="FINES",CONCATENATE("R",IF(OR(B89="16",B89="21",B89="22",B89="23"),"16212223",IF(OR(B89="15",B89="17",B89="24",B89="25"),"15172425",B89))),IF(U89="CEBAS","UNICO",IF(VALUE(B89)&lt;=11,"AMBA","INTERIOR"))))</f>
        <v/>
      </c>
      <c r="W89" s="38" t="str">
        <f>+IF(U89="","-",CONCATENATE(U89,"_",V89))</f>
        <v>-</v>
      </c>
      <c r="X89" s="42">
        <v>0.106</v>
      </c>
    </row>
    <row r="90" spans="1:24" ht="15" thickBot="1">
      <c r="A90" s="3" t="s">
        <v>2916</v>
      </c>
      <c r="B90" s="3" t="s">
        <v>257</v>
      </c>
      <c r="C90" s="3" t="s">
        <v>772</v>
      </c>
      <c r="D90" s="3" t="s">
        <v>773</v>
      </c>
      <c r="E90" s="3">
        <v>602617</v>
      </c>
      <c r="F90" s="3">
        <v>3</v>
      </c>
      <c r="G90" s="3" t="s">
        <v>779</v>
      </c>
      <c r="H90" s="3" t="s">
        <v>20</v>
      </c>
      <c r="I90" s="4" t="s">
        <v>50</v>
      </c>
      <c r="J90" s="4" t="s">
        <v>51</v>
      </c>
      <c r="K90" s="4" t="s">
        <v>780</v>
      </c>
      <c r="L90" s="4" t="s">
        <v>438</v>
      </c>
      <c r="M90" s="4" t="s">
        <v>22</v>
      </c>
      <c r="N90" s="4" t="s">
        <v>23</v>
      </c>
      <c r="O90" s="4" t="s">
        <v>27</v>
      </c>
      <c r="P90" s="4" t="s">
        <v>28</v>
      </c>
      <c r="Q90" s="24">
        <v>16</v>
      </c>
      <c r="R90" s="25">
        <v>3</v>
      </c>
      <c r="S90" s="39">
        <v>0</v>
      </c>
      <c r="T90" s="7" t="s">
        <v>2910</v>
      </c>
      <c r="U90" s="7"/>
      <c r="V90" s="7" t="str">
        <f>+IF(U90="","",IF(U90="FINES",CONCATENATE("R",IF(OR(B90="16",B90="21",B90="22",B90="23"),"16212223",IF(OR(B90="15",B90="17",B90="24",B90="25"),"15172425",B90))),IF(U90="CEBAS","UNICO",IF(VALUE(B90)&lt;=11,"AMBA","INTERIOR"))))</f>
        <v/>
      </c>
      <c r="W90" s="38" t="str">
        <f>+IF(U90="","-",CONCATENATE(U90,"_",V90))</f>
        <v>-</v>
      </c>
      <c r="X90" s="42">
        <v>0.107</v>
      </c>
    </row>
    <row r="91" spans="1:24" ht="15" thickBot="1">
      <c r="A91" s="5" t="s">
        <v>2916</v>
      </c>
      <c r="B91" s="5" t="s">
        <v>516</v>
      </c>
      <c r="C91" s="5" t="s">
        <v>1348</v>
      </c>
      <c r="D91" s="5" t="s">
        <v>1349</v>
      </c>
      <c r="E91" s="5">
        <v>607974</v>
      </c>
      <c r="F91" s="5">
        <v>3</v>
      </c>
      <c r="G91" s="5" t="s">
        <v>1353</v>
      </c>
      <c r="H91" s="5" t="s">
        <v>20</v>
      </c>
      <c r="I91" s="6" t="s">
        <v>50</v>
      </c>
      <c r="J91" s="6" t="s">
        <v>51</v>
      </c>
      <c r="K91" s="6" t="s">
        <v>1351</v>
      </c>
      <c r="L91" s="6" t="s">
        <v>526</v>
      </c>
      <c r="M91" s="6" t="s">
        <v>22</v>
      </c>
      <c r="N91" s="6" t="s">
        <v>23</v>
      </c>
      <c r="O91" s="6" t="s">
        <v>27</v>
      </c>
      <c r="P91" s="6" t="s">
        <v>28</v>
      </c>
      <c r="Q91" s="22">
        <v>35</v>
      </c>
      <c r="R91" s="23">
        <v>2</v>
      </c>
      <c r="S91" s="39">
        <v>0</v>
      </c>
      <c r="T91" s="7" t="s">
        <v>2910</v>
      </c>
      <c r="U91" s="7"/>
      <c r="V91" s="7" t="str">
        <f>+IF(U91="","",IF(U91="FINES",CONCATENATE("R",IF(OR(B91="16",B91="21",B91="22",B91="23"),"16212223",IF(OR(B91="15",B91="17",B91="24",B91="25"),"15172425",B91))),IF(U91="CEBAS","UNICO",IF(VALUE(B91)&lt;=11,"AMBA","INTERIOR"))))</f>
        <v/>
      </c>
      <c r="W91" s="38" t="str">
        <f>+IF(U91="","-",CONCATENATE(U91,"_",V91))</f>
        <v>-</v>
      </c>
      <c r="X91" s="42">
        <v>0.11</v>
      </c>
    </row>
    <row r="92" spans="1:24" ht="15" thickBot="1">
      <c r="A92" s="3" t="s">
        <v>2916</v>
      </c>
      <c r="B92" s="3" t="s">
        <v>203</v>
      </c>
      <c r="C92" s="3" t="s">
        <v>450</v>
      </c>
      <c r="D92" s="3" t="s">
        <v>452</v>
      </c>
      <c r="E92" s="3">
        <v>605440</v>
      </c>
      <c r="F92" s="3">
        <v>3</v>
      </c>
      <c r="G92" s="3" t="s">
        <v>472</v>
      </c>
      <c r="H92" s="3" t="s">
        <v>20</v>
      </c>
      <c r="I92" s="4" t="s">
        <v>50</v>
      </c>
      <c r="J92" s="4" t="s">
        <v>51</v>
      </c>
      <c r="K92" s="4" t="s">
        <v>464</v>
      </c>
      <c r="L92" s="4" t="s">
        <v>473</v>
      </c>
      <c r="M92" s="4" t="s">
        <v>22</v>
      </c>
      <c r="N92" s="4" t="s">
        <v>23</v>
      </c>
      <c r="O92" s="4" t="s">
        <v>27</v>
      </c>
      <c r="P92" s="4" t="s">
        <v>28</v>
      </c>
      <c r="Q92" s="24">
        <v>35</v>
      </c>
      <c r="R92" s="25">
        <v>3</v>
      </c>
      <c r="S92" s="39">
        <v>0</v>
      </c>
      <c r="T92" s="7" t="s">
        <v>2910</v>
      </c>
      <c r="V92" s="7" t="str">
        <f>+IF(U92="","",IF(U92="FINES",CONCATENATE("R",IF(OR(B92="16",B92="21",B92="22",B92="23"),"16212223",IF(OR(B92="15",B92="17",B92="24",B92="25"),"15172425",B92))),IF(U92="CEBAS","UNICO",IF(VALUE(B92)&lt;=11,"AMBA","INTERIOR"))))</f>
        <v/>
      </c>
      <c r="W92" s="38" t="str">
        <f>+IF(U92="","-",CONCATENATE(U92,"_",V92))</f>
        <v>-</v>
      </c>
      <c r="X92" s="42">
        <v>0.111</v>
      </c>
    </row>
    <row r="93" spans="1:24" ht="15" thickBot="1">
      <c r="A93" s="3" t="s">
        <v>2916</v>
      </c>
      <c r="B93" s="3" t="s">
        <v>225</v>
      </c>
      <c r="C93" s="3" t="s">
        <v>942</v>
      </c>
      <c r="D93" s="3" t="s">
        <v>943</v>
      </c>
      <c r="E93" s="3">
        <v>609273</v>
      </c>
      <c r="F93" s="3">
        <v>2</v>
      </c>
      <c r="G93" s="3" t="s">
        <v>987</v>
      </c>
      <c r="H93" s="3" t="s">
        <v>20</v>
      </c>
      <c r="I93" s="4" t="s">
        <v>50</v>
      </c>
      <c r="J93" s="4" t="s">
        <v>51</v>
      </c>
      <c r="K93" s="4" t="s">
        <v>985</v>
      </c>
      <c r="L93" s="4" t="s">
        <v>485</v>
      </c>
      <c r="M93" s="4" t="s">
        <v>22</v>
      </c>
      <c r="N93" s="4" t="s">
        <v>134</v>
      </c>
      <c r="O93" s="4" t="s">
        <v>27</v>
      </c>
      <c r="P93" s="4" t="s">
        <v>28</v>
      </c>
      <c r="Q93" s="24">
        <v>45</v>
      </c>
      <c r="R93" s="25">
        <v>4</v>
      </c>
      <c r="S93" s="39">
        <v>0</v>
      </c>
      <c r="T93" s="7" t="s">
        <v>2910</v>
      </c>
      <c r="V93" s="7" t="str">
        <f>+IF(U93="","",IF(U93="FINES",CONCATENATE("R",IF(OR(B93="16",B93="21",B93="22",B93="23"),"16212223",IF(OR(B93="15",B93="17",B93="24",B93="25"),"15172425",B93))),IF(U93="CEBAS","UNICO",IF(VALUE(B93)&lt;=11,"AMBA","INTERIOR"))))</f>
        <v/>
      </c>
      <c r="W93" s="38" t="str">
        <f>+IF(U93="","-",CONCATENATE(U93,"_",V93))</f>
        <v>-</v>
      </c>
      <c r="X93" s="42">
        <v>0.111</v>
      </c>
    </row>
    <row r="94" spans="1:24" ht="15" thickBot="1">
      <c r="A94" s="5" t="s">
        <v>2916</v>
      </c>
      <c r="B94" s="5" t="s">
        <v>135</v>
      </c>
      <c r="C94" s="5" t="s">
        <v>1217</v>
      </c>
      <c r="D94" s="5" t="s">
        <v>1218</v>
      </c>
      <c r="E94" s="5">
        <v>604293</v>
      </c>
      <c r="F94" s="5">
        <v>2</v>
      </c>
      <c r="G94" s="5" t="s">
        <v>1225</v>
      </c>
      <c r="H94" s="5" t="s">
        <v>20</v>
      </c>
      <c r="I94" s="6" t="s">
        <v>50</v>
      </c>
      <c r="J94" s="6" t="s">
        <v>51</v>
      </c>
      <c r="K94" s="6" t="s">
        <v>1220</v>
      </c>
      <c r="L94" s="6" t="s">
        <v>1226</v>
      </c>
      <c r="M94" s="6" t="s">
        <v>22</v>
      </c>
      <c r="N94" s="6" t="s">
        <v>23</v>
      </c>
      <c r="O94" s="6" t="s">
        <v>27</v>
      </c>
      <c r="P94" s="6" t="s">
        <v>28</v>
      </c>
      <c r="Q94" s="22">
        <v>7</v>
      </c>
      <c r="R94" s="23">
        <v>1</v>
      </c>
      <c r="S94" s="39">
        <v>0</v>
      </c>
      <c r="T94" s="7" t="s">
        <v>2910</v>
      </c>
      <c r="V94" s="7" t="str">
        <f>+IF(U94="","",IF(U94="FINES",CONCATENATE("R",IF(OR(B94="16",B94="21",B94="22",B94="23"),"16212223",IF(OR(B94="15",B94="17",B94="24",B94="25"),"15172425",B94))),IF(U94="CEBAS","UNICO",IF(VALUE(B94)&lt;=11,"AMBA","INTERIOR"))))</f>
        <v/>
      </c>
      <c r="W94" s="38" t="str">
        <f>+IF(U94="","-",CONCATENATE(U94,"_",V94))</f>
        <v>-</v>
      </c>
      <c r="X94" s="42">
        <v>0.112</v>
      </c>
    </row>
    <row r="95" spans="1:24" ht="15" thickBot="1">
      <c r="A95" s="3" t="s">
        <v>2916</v>
      </c>
      <c r="B95" s="3" t="s">
        <v>204</v>
      </c>
      <c r="C95" s="3" t="s">
        <v>137</v>
      </c>
      <c r="D95" s="3" t="s">
        <v>2629</v>
      </c>
      <c r="E95" s="3">
        <v>605775</v>
      </c>
      <c r="F95" s="3">
        <v>0</v>
      </c>
      <c r="G95" s="3" t="s">
        <v>2656</v>
      </c>
      <c r="H95" s="3" t="s">
        <v>210</v>
      </c>
      <c r="I95" s="4" t="s">
        <v>202</v>
      </c>
      <c r="J95" s="4" t="s">
        <v>21</v>
      </c>
      <c r="K95" s="4"/>
      <c r="L95" s="4" t="s">
        <v>2657</v>
      </c>
      <c r="M95" s="4" t="s">
        <v>22</v>
      </c>
      <c r="N95" s="4" t="s">
        <v>23</v>
      </c>
      <c r="O95" s="4" t="s">
        <v>27</v>
      </c>
      <c r="P95" s="4" t="s">
        <v>144</v>
      </c>
      <c r="Q95" s="24">
        <v>81</v>
      </c>
      <c r="R95" s="25">
        <v>8</v>
      </c>
      <c r="S95" s="39">
        <v>0</v>
      </c>
      <c r="T95" s="7" t="s">
        <v>2909</v>
      </c>
      <c r="V95" s="7" t="str">
        <f>+IF(U95="","",IF(U95="FINES",CONCATENATE("R",IF(OR(B95="16",B95="21",B95="22",B95="23"),"16212223",IF(OR(B95="15",B95="17",B95="24",B95="25"),"15172425",B95))),IF(U95="CEBAS","UNICO",IF(VALUE(B95)&lt;=11,"AMBA","INTERIOR"))))</f>
        <v/>
      </c>
      <c r="W95" s="38" t="str">
        <f>+IF(U95="","-",CONCATENATE(U95,"_",V95))</f>
        <v>-</v>
      </c>
      <c r="X95" s="42">
        <v>0.113</v>
      </c>
    </row>
    <row r="96" spans="1:24" ht="15" thickBot="1">
      <c r="A96" s="5" t="s">
        <v>2916</v>
      </c>
      <c r="B96" s="5" t="s">
        <v>257</v>
      </c>
      <c r="C96" s="5" t="s">
        <v>254</v>
      </c>
      <c r="D96" s="5" t="s">
        <v>256</v>
      </c>
      <c r="E96" s="5">
        <v>613492</v>
      </c>
      <c r="F96" s="5">
        <v>1</v>
      </c>
      <c r="G96" s="5" t="s">
        <v>276</v>
      </c>
      <c r="H96" s="5" t="s">
        <v>20</v>
      </c>
      <c r="I96" s="6" t="s">
        <v>50</v>
      </c>
      <c r="J96" s="6" t="s">
        <v>51</v>
      </c>
      <c r="K96" s="6" t="s">
        <v>274</v>
      </c>
      <c r="L96" s="6" t="s">
        <v>277</v>
      </c>
      <c r="M96" s="6" t="s">
        <v>22</v>
      </c>
      <c r="N96" s="6" t="s">
        <v>23</v>
      </c>
      <c r="O96" s="6" t="s">
        <v>27</v>
      </c>
      <c r="P96" s="6" t="s">
        <v>28</v>
      </c>
      <c r="Q96" s="22">
        <v>36</v>
      </c>
      <c r="R96" s="23">
        <v>2</v>
      </c>
      <c r="S96" s="39">
        <v>0</v>
      </c>
      <c r="T96" s="7" t="s">
        <v>2910</v>
      </c>
      <c r="V96" s="7" t="str">
        <f>+IF(U96="","",IF(U96="FINES",CONCATENATE("R",IF(OR(B96="16",B96="21",B96="22",B96="23"),"16212223",IF(OR(B96="15",B96="17",B96="24",B96="25"),"15172425",B96))),IF(U96="CEBAS","UNICO",IF(VALUE(B96)&lt;=11,"AMBA","INTERIOR"))))</f>
        <v/>
      </c>
      <c r="W96" s="38" t="str">
        <f>+IF(U96="","-",CONCATENATE(U96,"_",V96))</f>
        <v>-</v>
      </c>
      <c r="X96" s="42">
        <v>0.113</v>
      </c>
    </row>
    <row r="97" spans="1:24" ht="15" thickBot="1">
      <c r="A97" s="3" t="s">
        <v>2916</v>
      </c>
      <c r="B97" s="3" t="s">
        <v>217</v>
      </c>
      <c r="C97" s="3" t="s">
        <v>674</v>
      </c>
      <c r="D97" s="3" t="s">
        <v>675</v>
      </c>
      <c r="E97" s="3">
        <v>606895</v>
      </c>
      <c r="F97" s="3">
        <v>2</v>
      </c>
      <c r="G97" s="3" t="s">
        <v>679</v>
      </c>
      <c r="H97" s="3" t="s">
        <v>20</v>
      </c>
      <c r="I97" s="4" t="s">
        <v>50</v>
      </c>
      <c r="J97" s="4" t="s">
        <v>51</v>
      </c>
      <c r="K97" s="4" t="s">
        <v>677</v>
      </c>
      <c r="L97" s="4" t="s">
        <v>680</v>
      </c>
      <c r="M97" s="4" t="s">
        <v>200</v>
      </c>
      <c r="N97" s="4" t="s">
        <v>23</v>
      </c>
      <c r="O97" s="4" t="s">
        <v>27</v>
      </c>
      <c r="P97" s="4" t="s">
        <v>28</v>
      </c>
      <c r="Q97" s="24">
        <v>6</v>
      </c>
      <c r="R97" s="25">
        <v>1</v>
      </c>
      <c r="S97" s="39">
        <v>0</v>
      </c>
      <c r="T97" s="7" t="s">
        <v>2910</v>
      </c>
      <c r="V97" s="7" t="str">
        <f>+IF(U97="","",IF(U97="FINES",CONCATENATE("R",IF(OR(B97="16",B97="21",B97="22",B97="23"),"16212223",IF(OR(B97="15",B97="17",B97="24",B97="25"),"15172425",B97))),IF(U97="CEBAS","UNICO",IF(VALUE(B97)&lt;=11,"AMBA","INTERIOR"))))</f>
        <v/>
      </c>
      <c r="W97" s="38" t="str">
        <f>+IF(U97="","-",CONCATENATE(U97,"_",V97))</f>
        <v>-</v>
      </c>
      <c r="X97" s="42">
        <v>0.113</v>
      </c>
    </row>
    <row r="98" spans="1:24" ht="15" thickBot="1">
      <c r="A98" s="5" t="s">
        <v>2916</v>
      </c>
      <c r="B98" s="5" t="s">
        <v>225</v>
      </c>
      <c r="C98" s="5" t="s">
        <v>942</v>
      </c>
      <c r="D98" s="5" t="s">
        <v>943</v>
      </c>
      <c r="E98" s="5">
        <v>600256</v>
      </c>
      <c r="F98" s="5">
        <v>3</v>
      </c>
      <c r="G98" s="5" t="s">
        <v>1003</v>
      </c>
      <c r="H98" s="5" t="s">
        <v>20</v>
      </c>
      <c r="I98" s="6" t="s">
        <v>50</v>
      </c>
      <c r="J98" s="6" t="s">
        <v>51</v>
      </c>
      <c r="K98" s="6" t="s">
        <v>966</v>
      </c>
      <c r="L98" s="6" t="s">
        <v>1004</v>
      </c>
      <c r="M98" s="6" t="s">
        <v>22</v>
      </c>
      <c r="N98" s="6" t="s">
        <v>23</v>
      </c>
      <c r="O98" s="6" t="s">
        <v>27</v>
      </c>
      <c r="P98" s="6" t="s">
        <v>28</v>
      </c>
      <c r="Q98" s="22">
        <v>24</v>
      </c>
      <c r="R98" s="23">
        <v>2</v>
      </c>
      <c r="S98" s="39">
        <v>0</v>
      </c>
      <c r="T98" s="7" t="s">
        <v>2910</v>
      </c>
      <c r="V98" s="7" t="str">
        <f>+IF(U98="","",IF(U98="FINES",CONCATENATE("R",IF(OR(B98="16",B98="21",B98="22",B98="23"),"16212223",IF(OR(B98="15",B98="17",B98="24",B98="25"),"15172425",B98))),IF(U98="CEBAS","UNICO",IF(VALUE(B98)&lt;=11,"AMBA","INTERIOR"))))</f>
        <v/>
      </c>
      <c r="W98" s="38" t="str">
        <f>+IF(U98="","-",CONCATENATE(U98,"_",V98))</f>
        <v>-</v>
      </c>
      <c r="X98" s="42">
        <v>0.11600000000000001</v>
      </c>
    </row>
    <row r="99" spans="1:24" ht="15" thickBot="1">
      <c r="A99" s="3" t="s">
        <v>2916</v>
      </c>
      <c r="B99" s="3" t="s">
        <v>817</v>
      </c>
      <c r="C99" s="3" t="s">
        <v>815</v>
      </c>
      <c r="D99" s="3" t="s">
        <v>816</v>
      </c>
      <c r="E99" s="3">
        <v>608481</v>
      </c>
      <c r="F99" s="3">
        <v>1</v>
      </c>
      <c r="G99" s="3" t="s">
        <v>827</v>
      </c>
      <c r="H99" s="3" t="s">
        <v>20</v>
      </c>
      <c r="I99" s="4" t="s">
        <v>50</v>
      </c>
      <c r="J99" s="4" t="s">
        <v>51</v>
      </c>
      <c r="K99" s="4" t="s">
        <v>828</v>
      </c>
      <c r="L99" s="4" t="s">
        <v>471</v>
      </c>
      <c r="M99" s="4" t="s">
        <v>22</v>
      </c>
      <c r="N99" s="4" t="s">
        <v>23</v>
      </c>
      <c r="O99" s="4" t="s">
        <v>27</v>
      </c>
      <c r="P99" s="4" t="s">
        <v>28</v>
      </c>
      <c r="Q99" s="24">
        <v>22</v>
      </c>
      <c r="R99" s="25">
        <v>2</v>
      </c>
      <c r="S99" s="39">
        <v>0</v>
      </c>
      <c r="T99" s="7" t="s">
        <v>2910</v>
      </c>
      <c r="V99" s="7" t="str">
        <f>+IF(U99="","",IF(U99="FINES",CONCATENATE("R",IF(OR(B99="16",B99="21",B99="22",B99="23"),"16212223",IF(OR(B99="15",B99="17",B99="24",B99="25"),"15172425",B99))),IF(U99="CEBAS","UNICO",IF(VALUE(B99)&lt;=11,"AMBA","INTERIOR"))))</f>
        <v/>
      </c>
      <c r="W99" s="38" t="str">
        <f>+IF(U99="","-",CONCATENATE(U99,"_",V99))</f>
        <v>-</v>
      </c>
      <c r="X99" s="42">
        <v>0.11799999999999999</v>
      </c>
    </row>
    <row r="100" spans="1:24" ht="15" thickBot="1">
      <c r="A100" s="5" t="s">
        <v>2916</v>
      </c>
      <c r="B100" s="5" t="s">
        <v>135</v>
      </c>
      <c r="C100" s="5" t="s">
        <v>727</v>
      </c>
      <c r="D100" s="5" t="s">
        <v>728</v>
      </c>
      <c r="E100" s="5">
        <v>608058</v>
      </c>
      <c r="F100" s="5">
        <v>2</v>
      </c>
      <c r="G100" s="5" t="s">
        <v>732</v>
      </c>
      <c r="H100" s="5" t="s">
        <v>20</v>
      </c>
      <c r="I100" s="6" t="s">
        <v>50</v>
      </c>
      <c r="J100" s="6" t="s">
        <v>51</v>
      </c>
      <c r="K100" s="6" t="s">
        <v>731</v>
      </c>
      <c r="L100" s="6" t="s">
        <v>650</v>
      </c>
      <c r="M100" s="6" t="s">
        <v>22</v>
      </c>
      <c r="N100" s="6" t="s">
        <v>23</v>
      </c>
      <c r="O100" s="6" t="s">
        <v>27</v>
      </c>
      <c r="P100" s="6" t="s">
        <v>28</v>
      </c>
      <c r="Q100" s="22">
        <v>35</v>
      </c>
      <c r="R100" s="23">
        <v>3</v>
      </c>
      <c r="S100" s="39">
        <v>0</v>
      </c>
      <c r="T100" s="7" t="s">
        <v>2910</v>
      </c>
      <c r="V100" s="7" t="str">
        <f>+IF(U100="","",IF(U100="FINES",CONCATENATE("R",IF(OR(B100="16",B100="21",B100="22",B100="23"),"16212223",IF(OR(B100="15",B100="17",B100="24",B100="25"),"15172425",B100))),IF(U100="CEBAS","UNICO",IF(VALUE(B100)&lt;=11,"AMBA","INTERIOR"))))</f>
        <v/>
      </c>
      <c r="W100" s="38" t="str">
        <f>+IF(U100="","-",CONCATENATE(U100,"_",V100))</f>
        <v>-</v>
      </c>
      <c r="X100" s="42">
        <v>0.11799999999999999</v>
      </c>
    </row>
    <row r="101" spans="1:24" ht="15" thickBot="1">
      <c r="A101" s="3" t="s">
        <v>2916</v>
      </c>
      <c r="B101" s="3" t="s">
        <v>138</v>
      </c>
      <c r="C101" s="3" t="s">
        <v>1920</v>
      </c>
      <c r="D101" s="3" t="s">
        <v>1921</v>
      </c>
      <c r="E101" s="3">
        <v>604452</v>
      </c>
      <c r="F101" s="3">
        <v>0</v>
      </c>
      <c r="G101" s="3" t="s">
        <v>1922</v>
      </c>
      <c r="H101" s="3" t="s">
        <v>20</v>
      </c>
      <c r="I101" s="4" t="s">
        <v>50</v>
      </c>
      <c r="J101" s="4" t="s">
        <v>21</v>
      </c>
      <c r="K101" s="4"/>
      <c r="L101" s="4" t="s">
        <v>543</v>
      </c>
      <c r="M101" s="4" t="s">
        <v>22</v>
      </c>
      <c r="N101" s="4" t="s">
        <v>23</v>
      </c>
      <c r="O101" s="4" t="s">
        <v>27</v>
      </c>
      <c r="P101" s="4" t="s">
        <v>28</v>
      </c>
      <c r="Q101" s="24">
        <v>40</v>
      </c>
      <c r="R101" s="25">
        <v>3</v>
      </c>
      <c r="S101" s="39">
        <v>0</v>
      </c>
      <c r="T101" s="7" t="s">
        <v>2910</v>
      </c>
      <c r="V101" s="7" t="str">
        <f>+IF(U101="","",IF(U101="FINES",CONCATENATE("R",IF(OR(B101="16",B101="21",B101="22",B101="23"),"16212223",IF(OR(B101="15",B101="17",B101="24",B101="25"),"15172425",B101))),IF(U101="CEBAS","UNICO",IF(VALUE(B101)&lt;=11,"AMBA","INTERIOR"))))</f>
        <v/>
      </c>
      <c r="W101" s="38" t="str">
        <f>+IF(U101="","-",CONCATENATE(U101,"_",V101))</f>
        <v>-</v>
      </c>
      <c r="X101" s="42">
        <v>0.11799999999999999</v>
      </c>
    </row>
    <row r="102" spans="1:24" ht="15" thickBot="1">
      <c r="A102" s="5" t="s">
        <v>2916</v>
      </c>
      <c r="B102" s="5" t="s">
        <v>140</v>
      </c>
      <c r="C102" s="5" t="s">
        <v>2149</v>
      </c>
      <c r="D102" s="5" t="s">
        <v>2150</v>
      </c>
      <c r="E102" s="5">
        <v>610868</v>
      </c>
      <c r="F102" s="5">
        <v>1</v>
      </c>
      <c r="G102" s="5" t="s">
        <v>2152</v>
      </c>
      <c r="H102" s="5" t="s">
        <v>20</v>
      </c>
      <c r="I102" s="6" t="s">
        <v>50</v>
      </c>
      <c r="J102" s="6" t="s">
        <v>51</v>
      </c>
      <c r="K102" s="6" t="s">
        <v>2153</v>
      </c>
      <c r="L102" s="6" t="s">
        <v>754</v>
      </c>
      <c r="M102" s="6" t="s">
        <v>22</v>
      </c>
      <c r="N102" s="6" t="s">
        <v>23</v>
      </c>
      <c r="O102" s="6" t="s">
        <v>27</v>
      </c>
      <c r="P102" s="6" t="s">
        <v>28</v>
      </c>
      <c r="Q102" s="22">
        <v>15</v>
      </c>
      <c r="R102" s="23">
        <v>1</v>
      </c>
      <c r="S102" s="39">
        <v>0</v>
      </c>
      <c r="T102" s="7" t="s">
        <v>2910</v>
      </c>
      <c r="V102" s="7" t="str">
        <f>+IF(U102="","",IF(U102="FINES",CONCATENATE("R",IF(OR(B102="16",B102="21",B102="22",B102="23"),"16212223",IF(OR(B102="15",B102="17",B102="24",B102="25"),"15172425",B102))),IF(U102="CEBAS","UNICO",IF(VALUE(B102)&lt;=11,"AMBA","INTERIOR"))))</f>
        <v/>
      </c>
      <c r="W102" s="38" t="str">
        <f>+IF(U102="","-",CONCATENATE(U102,"_",V102))</f>
        <v>-</v>
      </c>
      <c r="X102" s="42">
        <v>0.11899999999999999</v>
      </c>
    </row>
    <row r="103" spans="1:24" ht="15" thickBot="1">
      <c r="A103" s="5" t="s">
        <v>2916</v>
      </c>
      <c r="B103" s="5" t="s">
        <v>1532</v>
      </c>
      <c r="C103" s="5" t="s">
        <v>1530</v>
      </c>
      <c r="D103" s="5" t="s">
        <v>1531</v>
      </c>
      <c r="E103" s="5">
        <v>613635</v>
      </c>
      <c r="F103" s="5">
        <v>4</v>
      </c>
      <c r="G103" s="5" t="s">
        <v>1582</v>
      </c>
      <c r="H103" s="5" t="s">
        <v>20</v>
      </c>
      <c r="I103" s="6" t="s">
        <v>50</v>
      </c>
      <c r="J103" s="6" t="s">
        <v>51</v>
      </c>
      <c r="K103" s="6" t="s">
        <v>1583</v>
      </c>
      <c r="L103" s="6" t="s">
        <v>1584</v>
      </c>
      <c r="M103" s="6" t="s">
        <v>22</v>
      </c>
      <c r="N103" s="6" t="s">
        <v>23</v>
      </c>
      <c r="O103" s="6" t="s">
        <v>27</v>
      </c>
      <c r="P103" s="6" t="s">
        <v>28</v>
      </c>
      <c r="Q103" s="22">
        <v>59</v>
      </c>
      <c r="R103" s="23">
        <v>4</v>
      </c>
      <c r="S103" s="39">
        <v>0</v>
      </c>
      <c r="T103" s="7" t="s">
        <v>2910</v>
      </c>
      <c r="V103" s="7" t="str">
        <f>+IF(U103="","",IF(U103="FINES",CONCATENATE("R",IF(OR(B103="16",B103="21",B103="22",B103="23"),"16212223",IF(OR(B103="15",B103="17",B103="24",B103="25"),"15172425",B103))),IF(U103="CEBAS","UNICO",IF(VALUE(B103)&lt;=11,"AMBA","INTERIOR"))))</f>
        <v/>
      </c>
      <c r="W103" s="38" t="str">
        <f>+IF(U103="","-",CONCATENATE(U103,"_",V103))</f>
        <v>-</v>
      </c>
      <c r="X103" s="42">
        <v>0.121</v>
      </c>
    </row>
    <row r="104" spans="1:24" ht="15" thickBot="1">
      <c r="A104" s="3" t="s">
        <v>2916</v>
      </c>
      <c r="B104" s="3" t="s">
        <v>222</v>
      </c>
      <c r="C104" s="3" t="s">
        <v>610</v>
      </c>
      <c r="D104" s="3" t="s">
        <v>611</v>
      </c>
      <c r="E104" s="3">
        <v>605903</v>
      </c>
      <c r="F104" s="3">
        <v>1</v>
      </c>
      <c r="G104" s="3" t="s">
        <v>615</v>
      </c>
      <c r="H104" s="3" t="s">
        <v>20</v>
      </c>
      <c r="I104" s="4" t="s">
        <v>50</v>
      </c>
      <c r="J104" s="4" t="s">
        <v>51</v>
      </c>
      <c r="K104" s="4" t="s">
        <v>616</v>
      </c>
      <c r="L104" s="4" t="s">
        <v>617</v>
      </c>
      <c r="M104" s="4" t="s">
        <v>22</v>
      </c>
      <c r="N104" s="4" t="s">
        <v>23</v>
      </c>
      <c r="O104" s="4" t="s">
        <v>27</v>
      </c>
      <c r="P104" s="4" t="s">
        <v>28</v>
      </c>
      <c r="Q104" s="24">
        <v>33</v>
      </c>
      <c r="R104" s="25">
        <v>3</v>
      </c>
      <c r="S104" s="39">
        <v>0</v>
      </c>
      <c r="T104" s="7" t="s">
        <v>2910</v>
      </c>
      <c r="V104" s="7" t="str">
        <f>+IF(U104="","",IF(U104="FINES",CONCATENATE("R",IF(OR(B104="16",B104="21",B104="22",B104="23"),"16212223",IF(OR(B104="15",B104="17",B104="24",B104="25"),"15172425",B104))),IF(U104="CEBAS","UNICO",IF(VALUE(B104)&lt;=11,"AMBA","INTERIOR"))))</f>
        <v/>
      </c>
      <c r="W104" s="38" t="str">
        <f>+IF(U104="","-",CONCATENATE(U104,"_",V104))</f>
        <v>-</v>
      </c>
      <c r="X104" s="42">
        <v>0.124</v>
      </c>
    </row>
    <row r="105" spans="1:24" ht="15" thickBot="1">
      <c r="A105" s="5" t="s">
        <v>2916</v>
      </c>
      <c r="B105" s="5" t="s">
        <v>352</v>
      </c>
      <c r="C105" s="5" t="s">
        <v>521</v>
      </c>
      <c r="D105" s="5" t="s">
        <v>523</v>
      </c>
      <c r="E105" s="5">
        <v>606143</v>
      </c>
      <c r="F105" s="5">
        <v>1</v>
      </c>
      <c r="G105" s="5" t="s">
        <v>524</v>
      </c>
      <c r="H105" s="5" t="s">
        <v>20</v>
      </c>
      <c r="I105" s="6" t="s">
        <v>50</v>
      </c>
      <c r="J105" s="6" t="s">
        <v>51</v>
      </c>
      <c r="K105" s="6" t="s">
        <v>525</v>
      </c>
      <c r="L105" s="6" t="s">
        <v>526</v>
      </c>
      <c r="M105" s="6" t="s">
        <v>22</v>
      </c>
      <c r="N105" s="6" t="s">
        <v>23</v>
      </c>
      <c r="O105" s="6" t="s">
        <v>27</v>
      </c>
      <c r="P105" s="6" t="s">
        <v>28</v>
      </c>
      <c r="Q105" s="22">
        <v>11</v>
      </c>
      <c r="R105" s="23">
        <v>1</v>
      </c>
      <c r="S105" s="39">
        <v>0</v>
      </c>
      <c r="T105" s="7" t="s">
        <v>2910</v>
      </c>
      <c r="V105" s="7" t="str">
        <f>+IF(U105="","",IF(U105="FINES",CONCATENATE("R",IF(OR(B105="16",B105="21",B105="22",B105="23"),"16212223",IF(OR(B105="15",B105="17",B105="24",B105="25"),"15172425",B105))),IF(U105="CEBAS","UNICO",IF(VALUE(B105)&lt;=11,"AMBA","INTERIOR"))))</f>
        <v/>
      </c>
      <c r="W105" s="38" t="str">
        <f>+IF(U105="","-",CONCATENATE(U105,"_",V105))</f>
        <v>-</v>
      </c>
      <c r="X105" s="42">
        <v>0.125</v>
      </c>
    </row>
    <row r="106" spans="1:24" ht="15" thickBot="1">
      <c r="A106" s="5" t="s">
        <v>2916</v>
      </c>
      <c r="B106" s="5" t="s">
        <v>225</v>
      </c>
      <c r="C106" s="5" t="s">
        <v>876</v>
      </c>
      <c r="D106" s="5" t="s">
        <v>877</v>
      </c>
      <c r="E106" s="5">
        <v>609292</v>
      </c>
      <c r="F106" s="5">
        <v>3</v>
      </c>
      <c r="G106" s="5" t="s">
        <v>885</v>
      </c>
      <c r="H106" s="5" t="s">
        <v>20</v>
      </c>
      <c r="I106" s="6" t="s">
        <v>50</v>
      </c>
      <c r="J106" s="6" t="s">
        <v>51</v>
      </c>
      <c r="K106" s="6" t="s">
        <v>880</v>
      </c>
      <c r="L106" s="6" t="s">
        <v>886</v>
      </c>
      <c r="M106" s="6" t="s">
        <v>22</v>
      </c>
      <c r="N106" s="6" t="s">
        <v>23</v>
      </c>
      <c r="O106" s="6" t="s">
        <v>27</v>
      </c>
      <c r="P106" s="6" t="s">
        <v>28</v>
      </c>
      <c r="Q106" s="22">
        <v>30</v>
      </c>
      <c r="R106" s="23">
        <v>2</v>
      </c>
      <c r="S106" s="39">
        <v>0</v>
      </c>
      <c r="T106" s="7" t="s">
        <v>2910</v>
      </c>
      <c r="V106" s="7" t="str">
        <f>+IF(U106="","",IF(U106="FINES",CONCATENATE("R",IF(OR(B106="16",B106="21",B106="22",B106="23"),"16212223",IF(OR(B106="15",B106="17",B106="24",B106="25"),"15172425",B106))),IF(U106="CEBAS","UNICO",IF(VALUE(B106)&lt;=11,"AMBA","INTERIOR"))))</f>
        <v/>
      </c>
      <c r="W106" s="38" t="str">
        <f>+IF(U106="","-",CONCATENATE(U106,"_",V106))</f>
        <v>-</v>
      </c>
      <c r="X106" s="42">
        <v>0.126</v>
      </c>
    </row>
    <row r="107" spans="1:24" ht="15" thickBot="1">
      <c r="A107" s="5" t="s">
        <v>2916</v>
      </c>
      <c r="B107" s="5" t="s">
        <v>225</v>
      </c>
      <c r="C107" s="5" t="s">
        <v>942</v>
      </c>
      <c r="D107" s="5" t="s">
        <v>943</v>
      </c>
      <c r="E107" s="5">
        <v>600256</v>
      </c>
      <c r="F107" s="5">
        <v>1</v>
      </c>
      <c r="G107" s="5" t="s">
        <v>965</v>
      </c>
      <c r="H107" s="5" t="s">
        <v>20</v>
      </c>
      <c r="I107" s="6" t="s">
        <v>50</v>
      </c>
      <c r="J107" s="6" t="s">
        <v>51</v>
      </c>
      <c r="K107" s="6" t="s">
        <v>966</v>
      </c>
      <c r="L107" s="6" t="s">
        <v>967</v>
      </c>
      <c r="M107" s="6" t="s">
        <v>22</v>
      </c>
      <c r="N107" s="6" t="s">
        <v>23</v>
      </c>
      <c r="O107" s="6" t="s">
        <v>27</v>
      </c>
      <c r="P107" s="6" t="s">
        <v>28</v>
      </c>
      <c r="Q107" s="22">
        <v>10</v>
      </c>
      <c r="R107" s="23">
        <v>1</v>
      </c>
      <c r="S107" s="39">
        <v>0</v>
      </c>
      <c r="T107" s="7" t="s">
        <v>2910</v>
      </c>
      <c r="V107" s="7" t="str">
        <f>+IF(U107="","",IF(U107="FINES",CONCATENATE("R",IF(OR(B107="16",B107="21",B107="22",B107="23"),"16212223",IF(OR(B107="15",B107="17",B107="24",B107="25"),"15172425",B107))),IF(U107="CEBAS","UNICO",IF(VALUE(B107)&lt;=11,"AMBA","INTERIOR"))))</f>
        <v/>
      </c>
      <c r="W107" s="38" t="str">
        <f>+IF(U107="","-",CONCATENATE(U107,"_",V107))</f>
        <v>-</v>
      </c>
      <c r="X107" s="42">
        <v>0.127</v>
      </c>
    </row>
    <row r="108" spans="1:24" ht="15" thickBot="1">
      <c r="A108" s="3" t="s">
        <v>2916</v>
      </c>
      <c r="B108" s="3" t="s">
        <v>204</v>
      </c>
      <c r="C108" s="3" t="s">
        <v>137</v>
      </c>
      <c r="D108" s="3" t="s">
        <v>2629</v>
      </c>
      <c r="E108" s="3">
        <v>613718</v>
      </c>
      <c r="F108" s="3">
        <v>2</v>
      </c>
      <c r="G108" s="3" t="s">
        <v>2635</v>
      </c>
      <c r="H108" s="3" t="s">
        <v>20</v>
      </c>
      <c r="I108" s="4" t="s">
        <v>50</v>
      </c>
      <c r="J108" s="4" t="s">
        <v>51</v>
      </c>
      <c r="K108" s="4" t="s">
        <v>2634</v>
      </c>
      <c r="L108" s="4" t="s">
        <v>886</v>
      </c>
      <c r="M108" s="4" t="s">
        <v>22</v>
      </c>
      <c r="N108" s="4" t="s">
        <v>23</v>
      </c>
      <c r="O108" s="4" t="s">
        <v>27</v>
      </c>
      <c r="P108" s="4" t="s">
        <v>28</v>
      </c>
      <c r="Q108" s="24">
        <v>32</v>
      </c>
      <c r="R108" s="25">
        <v>3</v>
      </c>
      <c r="S108" s="39">
        <v>0</v>
      </c>
      <c r="T108" s="7" t="s">
        <v>2910</v>
      </c>
      <c r="V108" s="7" t="str">
        <f>+IF(U108="","",IF(U108="FINES",CONCATENATE("R",IF(OR(B108="16",B108="21",B108="22",B108="23"),"16212223",IF(OR(B108="15",B108="17",B108="24",B108="25"),"15172425",B108))),IF(U108="CEBAS","UNICO",IF(VALUE(B108)&lt;=11,"AMBA","INTERIOR"))))</f>
        <v/>
      </c>
      <c r="W108" s="38" t="str">
        <f>+IF(U108="","-",CONCATENATE(U108,"_",V108))</f>
        <v>-</v>
      </c>
      <c r="X108" s="42">
        <v>0.129</v>
      </c>
    </row>
    <row r="109" spans="1:24" ht="15" thickBot="1">
      <c r="A109" s="5" t="s">
        <v>2916</v>
      </c>
      <c r="B109" s="5" t="s">
        <v>225</v>
      </c>
      <c r="C109" s="5" t="s">
        <v>942</v>
      </c>
      <c r="D109" s="5" t="s">
        <v>943</v>
      </c>
      <c r="E109" s="5">
        <v>603165</v>
      </c>
      <c r="F109" s="5">
        <v>2</v>
      </c>
      <c r="G109" s="5" t="s">
        <v>975</v>
      </c>
      <c r="H109" s="5" t="s">
        <v>20</v>
      </c>
      <c r="I109" s="6" t="s">
        <v>50</v>
      </c>
      <c r="J109" s="6" t="s">
        <v>51</v>
      </c>
      <c r="K109" s="6" t="s">
        <v>971</v>
      </c>
      <c r="L109" s="6" t="s">
        <v>976</v>
      </c>
      <c r="M109" s="6" t="s">
        <v>22</v>
      </c>
      <c r="N109" s="6" t="s">
        <v>23</v>
      </c>
      <c r="O109" s="6" t="s">
        <v>27</v>
      </c>
      <c r="P109" s="6" t="s">
        <v>28</v>
      </c>
      <c r="Q109" s="22">
        <v>16</v>
      </c>
      <c r="R109" s="23">
        <v>1</v>
      </c>
      <c r="S109" s="39">
        <v>0</v>
      </c>
      <c r="T109" s="7" t="s">
        <v>2910</v>
      </c>
      <c r="V109" s="7" t="str">
        <f>+IF(U109="","",IF(U109="FINES",CONCATENATE("R",IF(OR(B109="16",B109="21",B109="22",B109="23"),"16212223",IF(OR(B109="15",B109="17",B109="24",B109="25"),"15172425",B109))),IF(U109="CEBAS","UNICO",IF(VALUE(B109)&lt;=11,"AMBA","INTERIOR"))))</f>
        <v/>
      </c>
      <c r="W109" s="38" t="str">
        <f>+IF(U109="","-",CONCATENATE(U109,"_",V109))</f>
        <v>-</v>
      </c>
      <c r="X109" s="42">
        <v>0.13</v>
      </c>
    </row>
    <row r="110" spans="1:24" ht="15" thickBot="1">
      <c r="A110" s="5" t="s">
        <v>2916</v>
      </c>
      <c r="B110" s="5" t="s">
        <v>138</v>
      </c>
      <c r="C110" s="5" t="s">
        <v>555</v>
      </c>
      <c r="D110" s="5" t="s">
        <v>2392</v>
      </c>
      <c r="E110" s="5">
        <v>604045</v>
      </c>
      <c r="F110" s="5">
        <v>0</v>
      </c>
      <c r="G110" s="5" t="s">
        <v>2393</v>
      </c>
      <c r="H110" s="5" t="s">
        <v>20</v>
      </c>
      <c r="I110" s="6" t="s">
        <v>50</v>
      </c>
      <c r="J110" s="6" t="s">
        <v>21</v>
      </c>
      <c r="K110" s="6"/>
      <c r="L110" s="6" t="s">
        <v>543</v>
      </c>
      <c r="M110" s="6" t="s">
        <v>22</v>
      </c>
      <c r="N110" s="6" t="s">
        <v>23</v>
      </c>
      <c r="O110" s="6" t="s">
        <v>27</v>
      </c>
      <c r="P110" s="6" t="s">
        <v>28</v>
      </c>
      <c r="Q110" s="22">
        <v>15</v>
      </c>
      <c r="R110" s="23">
        <v>2</v>
      </c>
      <c r="S110" s="39">
        <v>0</v>
      </c>
      <c r="T110" s="7" t="s">
        <v>2910</v>
      </c>
      <c r="V110" s="7" t="str">
        <f>+IF(U110="","",IF(U110="FINES",CONCATENATE("R",IF(OR(B110="16",B110="21",B110="22",B110="23"),"16212223",IF(OR(B110="15",B110="17",B110="24",B110="25"),"15172425",B110))),IF(U110="CEBAS","UNICO",IF(VALUE(B110)&lt;=11,"AMBA","INTERIOR"))))</f>
        <v/>
      </c>
      <c r="W110" s="38" t="str">
        <f>+IF(U110="","-",CONCATENATE(U110,"_",V110))</f>
        <v>-</v>
      </c>
      <c r="X110" s="42">
        <v>0.13200000000000001</v>
      </c>
    </row>
    <row r="111" spans="1:24" ht="15" thickBot="1">
      <c r="A111" s="5" t="s">
        <v>2916</v>
      </c>
      <c r="B111" s="5" t="s">
        <v>204</v>
      </c>
      <c r="C111" s="5" t="s">
        <v>1084</v>
      </c>
      <c r="D111" s="5" t="s">
        <v>1085</v>
      </c>
      <c r="E111" s="5">
        <v>609980</v>
      </c>
      <c r="F111" s="5">
        <v>3</v>
      </c>
      <c r="G111" s="5" t="s">
        <v>1105</v>
      </c>
      <c r="H111" s="5" t="s">
        <v>20</v>
      </c>
      <c r="I111" s="6" t="s">
        <v>50</v>
      </c>
      <c r="J111" s="6" t="s">
        <v>51</v>
      </c>
      <c r="K111" s="6" t="s">
        <v>1095</v>
      </c>
      <c r="L111" s="6" t="s">
        <v>475</v>
      </c>
      <c r="M111" s="6" t="s">
        <v>22</v>
      </c>
      <c r="N111" s="6" t="s">
        <v>23</v>
      </c>
      <c r="O111" s="6" t="s">
        <v>27</v>
      </c>
      <c r="P111" s="6" t="s">
        <v>28</v>
      </c>
      <c r="Q111" s="22">
        <v>24</v>
      </c>
      <c r="R111" s="23">
        <v>2</v>
      </c>
      <c r="S111" s="39">
        <v>0</v>
      </c>
      <c r="T111" s="7" t="s">
        <v>2910</v>
      </c>
      <c r="V111" s="7" t="str">
        <f>+IF(U111="","",IF(U111="FINES",CONCATENATE("R",IF(OR(B111="16",B111="21",B111="22",B111="23"),"16212223",IF(OR(B111="15",B111="17",B111="24",B111="25"),"15172425",B111))),IF(U111="CEBAS","UNICO",IF(VALUE(B111)&lt;=11,"AMBA","INTERIOR"))))</f>
        <v/>
      </c>
      <c r="W111" s="38" t="str">
        <f>+IF(U111="","-",CONCATENATE(U111,"_",V111))</f>
        <v>-</v>
      </c>
      <c r="X111" s="42">
        <v>0.13400000000000001</v>
      </c>
    </row>
    <row r="112" spans="1:24" ht="15" thickBot="1">
      <c r="A112" s="3" t="s">
        <v>2916</v>
      </c>
      <c r="B112" s="3" t="s">
        <v>225</v>
      </c>
      <c r="C112" s="3" t="s">
        <v>942</v>
      </c>
      <c r="D112" s="3" t="s">
        <v>943</v>
      </c>
      <c r="E112" s="3">
        <v>604925</v>
      </c>
      <c r="F112" s="3">
        <v>1</v>
      </c>
      <c r="G112" s="3" t="s">
        <v>953</v>
      </c>
      <c r="H112" s="3" t="s">
        <v>20</v>
      </c>
      <c r="I112" s="4" t="s">
        <v>50</v>
      </c>
      <c r="J112" s="4" t="s">
        <v>51</v>
      </c>
      <c r="K112" s="4" t="s">
        <v>954</v>
      </c>
      <c r="L112" s="4" t="s">
        <v>955</v>
      </c>
      <c r="M112" s="4" t="s">
        <v>22</v>
      </c>
      <c r="N112" s="4" t="s">
        <v>23</v>
      </c>
      <c r="O112" s="4" t="s">
        <v>27</v>
      </c>
      <c r="P112" s="4" t="s">
        <v>28</v>
      </c>
      <c r="Q112" s="24">
        <v>72</v>
      </c>
      <c r="R112" s="25">
        <v>3</v>
      </c>
      <c r="S112" s="39">
        <v>0</v>
      </c>
      <c r="T112" s="7" t="s">
        <v>2910</v>
      </c>
      <c r="V112" s="7" t="str">
        <f>+IF(U112="","",IF(U112="FINES",CONCATENATE("R",IF(OR(B112="16",B112="21",B112="22",B112="23"),"16212223",IF(OR(B112="15",B112="17",B112="24",B112="25"),"15172425",B112))),IF(U112="CEBAS","UNICO",IF(VALUE(B112)&lt;=11,"AMBA","INTERIOR"))))</f>
        <v/>
      </c>
      <c r="W112" s="38" t="str">
        <f>+IF(U112="","-",CONCATENATE(U112,"_",V112))</f>
        <v>-</v>
      </c>
      <c r="X112" s="42">
        <v>0.13400000000000001</v>
      </c>
    </row>
    <row r="113" spans="1:24" ht="15" thickBot="1">
      <c r="A113" s="3" t="s">
        <v>2916</v>
      </c>
      <c r="B113" s="3" t="s">
        <v>516</v>
      </c>
      <c r="C113" s="3" t="s">
        <v>1348</v>
      </c>
      <c r="D113" s="3" t="s">
        <v>1349</v>
      </c>
      <c r="E113" s="3">
        <v>620521</v>
      </c>
      <c r="F113" s="3">
        <v>0</v>
      </c>
      <c r="G113" s="3" t="s">
        <v>1354</v>
      </c>
      <c r="H113" s="3" t="s">
        <v>20</v>
      </c>
      <c r="I113" s="4" t="s">
        <v>50</v>
      </c>
      <c r="J113" s="4" t="s">
        <v>21</v>
      </c>
      <c r="K113" s="4"/>
      <c r="L113" s="4" t="s">
        <v>1355</v>
      </c>
      <c r="M113" s="4" t="s">
        <v>200</v>
      </c>
      <c r="N113" s="4" t="s">
        <v>23</v>
      </c>
      <c r="O113" s="4" t="s">
        <v>27</v>
      </c>
      <c r="P113" s="4" t="s">
        <v>28</v>
      </c>
      <c r="Q113" s="24">
        <v>7</v>
      </c>
      <c r="R113" s="25">
        <v>1</v>
      </c>
      <c r="S113" s="39">
        <v>0</v>
      </c>
      <c r="T113" s="7" t="s">
        <v>2910</v>
      </c>
      <c r="V113" s="7" t="str">
        <f>+IF(U113="","",IF(U113="FINES",CONCATENATE("R",IF(OR(B113="16",B113="21",B113="22",B113="23"),"16212223",IF(OR(B113="15",B113="17",B113="24",B113="25"),"15172425",B113))),IF(U113="CEBAS","UNICO",IF(VALUE(B113)&lt;=11,"AMBA","INTERIOR"))))</f>
        <v/>
      </c>
      <c r="W113" s="38" t="str">
        <f>+IF(U113="","-",CONCATENATE(U113,"_",V113))</f>
        <v>-</v>
      </c>
      <c r="X113" s="42">
        <v>0.13800000000000001</v>
      </c>
    </row>
    <row r="114" spans="1:24" ht="15" thickBot="1">
      <c r="A114" s="5" t="s">
        <v>2916</v>
      </c>
      <c r="B114" s="5" t="s">
        <v>257</v>
      </c>
      <c r="C114" s="5" t="s">
        <v>253</v>
      </c>
      <c r="D114" s="5" t="s">
        <v>2759</v>
      </c>
      <c r="E114" s="5">
        <v>609576</v>
      </c>
      <c r="F114" s="5">
        <v>2</v>
      </c>
      <c r="G114" s="5" t="s">
        <v>2760</v>
      </c>
      <c r="H114" s="5" t="s">
        <v>20</v>
      </c>
      <c r="I114" s="6" t="s">
        <v>50</v>
      </c>
      <c r="J114" s="6" t="s">
        <v>51</v>
      </c>
      <c r="K114" s="6" t="s">
        <v>2761</v>
      </c>
      <c r="L114" s="6" t="s">
        <v>754</v>
      </c>
      <c r="M114" s="6" t="s">
        <v>22</v>
      </c>
      <c r="N114" s="6" t="s">
        <v>23</v>
      </c>
      <c r="O114" s="6" t="s">
        <v>27</v>
      </c>
      <c r="P114" s="6" t="s">
        <v>28</v>
      </c>
      <c r="Q114" s="22">
        <v>66</v>
      </c>
      <c r="R114" s="23">
        <v>4</v>
      </c>
      <c r="S114" s="39">
        <v>0</v>
      </c>
      <c r="T114" s="7" t="s">
        <v>2910</v>
      </c>
      <c r="V114" s="7" t="str">
        <f>+IF(U114="","",IF(U114="FINES",CONCATENATE("R",IF(OR(B114="16",B114="21",B114="22",B114="23"),"16212223",IF(OR(B114="15",B114="17",B114="24",B114="25"),"15172425",B114))),IF(U114="CEBAS","UNICO",IF(VALUE(B114)&lt;=11,"AMBA","INTERIOR"))))</f>
        <v/>
      </c>
      <c r="W114" s="38" t="str">
        <f>+IF(U114="","-",CONCATENATE(U114,"_",V114))</f>
        <v>-</v>
      </c>
      <c r="X114" s="42">
        <v>0.14000000000000001</v>
      </c>
    </row>
    <row r="115" spans="1:24" ht="15" thickBot="1">
      <c r="A115" s="5" t="s">
        <v>2916</v>
      </c>
      <c r="B115" s="5" t="s">
        <v>352</v>
      </c>
      <c r="C115" s="5" t="s">
        <v>349</v>
      </c>
      <c r="D115" s="5" t="s">
        <v>2397</v>
      </c>
      <c r="E115" s="5">
        <v>605214</v>
      </c>
      <c r="F115" s="5">
        <v>2</v>
      </c>
      <c r="G115" s="5" t="s">
        <v>2408</v>
      </c>
      <c r="H115" s="5" t="s">
        <v>20</v>
      </c>
      <c r="I115" s="6" t="s">
        <v>50</v>
      </c>
      <c r="J115" s="6" t="s">
        <v>51</v>
      </c>
      <c r="K115" s="6" t="s">
        <v>2405</v>
      </c>
      <c r="L115" s="6" t="s">
        <v>2409</v>
      </c>
      <c r="M115" s="6" t="s">
        <v>22</v>
      </c>
      <c r="N115" s="6" t="s">
        <v>23</v>
      </c>
      <c r="O115" s="6" t="s">
        <v>27</v>
      </c>
      <c r="P115" s="6" t="s">
        <v>28</v>
      </c>
      <c r="Q115" s="22">
        <v>9</v>
      </c>
      <c r="R115" s="23">
        <v>1</v>
      </c>
      <c r="S115" s="39">
        <v>0</v>
      </c>
      <c r="T115" s="7" t="s">
        <v>2910</v>
      </c>
      <c r="V115" s="7" t="str">
        <f>+IF(U115="","",IF(U115="FINES",CONCATENATE("R",IF(OR(B115="16",B115="21",B115="22",B115="23"),"16212223",IF(OR(B115="15",B115="17",B115="24",B115="25"),"15172425",B115))),IF(U115="CEBAS","UNICO",IF(VALUE(B115)&lt;=11,"AMBA","INTERIOR"))))</f>
        <v/>
      </c>
      <c r="W115" s="38" t="str">
        <f>+IF(U115="","-",CONCATENATE(U115,"_",V115))</f>
        <v>-</v>
      </c>
      <c r="X115" s="42">
        <v>0.14099999999999999</v>
      </c>
    </row>
    <row r="116" spans="1:24" ht="15" thickBot="1">
      <c r="A116" s="5" t="s">
        <v>2916</v>
      </c>
      <c r="B116" s="5" t="s">
        <v>1532</v>
      </c>
      <c r="C116" s="5" t="s">
        <v>1530</v>
      </c>
      <c r="D116" s="5" t="s">
        <v>1531</v>
      </c>
      <c r="E116" s="5">
        <v>608014</v>
      </c>
      <c r="F116" s="5">
        <v>2</v>
      </c>
      <c r="G116" s="5" t="s">
        <v>1655</v>
      </c>
      <c r="H116" s="5" t="s">
        <v>20</v>
      </c>
      <c r="I116" s="6" t="s">
        <v>50</v>
      </c>
      <c r="J116" s="6" t="s">
        <v>51</v>
      </c>
      <c r="K116" s="6" t="s">
        <v>1575</v>
      </c>
      <c r="L116" s="6" t="s">
        <v>1656</v>
      </c>
      <c r="M116" s="6" t="s">
        <v>22</v>
      </c>
      <c r="N116" s="6" t="s">
        <v>23</v>
      </c>
      <c r="O116" s="6" t="s">
        <v>27</v>
      </c>
      <c r="P116" s="6" t="s">
        <v>28</v>
      </c>
      <c r="Q116" s="22">
        <v>28</v>
      </c>
      <c r="R116" s="23">
        <v>2</v>
      </c>
      <c r="S116" s="39">
        <v>0</v>
      </c>
      <c r="T116" s="7" t="s">
        <v>2910</v>
      </c>
      <c r="V116" s="7" t="str">
        <f>+IF(U116="","",IF(U116="FINES",CONCATENATE("R",IF(OR(B116="16",B116="21",B116="22",B116="23"),"16212223",IF(OR(B116="15",B116="17",B116="24",B116="25"),"15172425",B116))),IF(U116="CEBAS","UNICO",IF(VALUE(B116)&lt;=11,"AMBA","INTERIOR"))))</f>
        <v/>
      </c>
      <c r="W116" s="38" t="str">
        <f>+IF(U116="","-",CONCATENATE(U116,"_",V116))</f>
        <v>-</v>
      </c>
      <c r="X116" s="42">
        <v>0.14199999999999999</v>
      </c>
    </row>
    <row r="117" spans="1:24" ht="15" thickBot="1">
      <c r="A117" s="3" t="s">
        <v>2916</v>
      </c>
      <c r="B117" s="3" t="s">
        <v>220</v>
      </c>
      <c r="C117" s="3" t="s">
        <v>665</v>
      </c>
      <c r="D117" s="3" t="s">
        <v>666</v>
      </c>
      <c r="E117" s="3">
        <v>606315</v>
      </c>
      <c r="F117" s="3">
        <v>0</v>
      </c>
      <c r="G117" s="3" t="s">
        <v>671</v>
      </c>
      <c r="H117" s="3" t="s">
        <v>20</v>
      </c>
      <c r="I117" s="4" t="s">
        <v>50</v>
      </c>
      <c r="J117" s="4" t="s">
        <v>21</v>
      </c>
      <c r="K117" s="4"/>
      <c r="L117" s="4" t="s">
        <v>672</v>
      </c>
      <c r="M117" s="4" t="s">
        <v>199</v>
      </c>
      <c r="N117" s="4" t="s">
        <v>23</v>
      </c>
      <c r="O117" s="4" t="s">
        <v>27</v>
      </c>
      <c r="P117" s="4" t="s">
        <v>28</v>
      </c>
      <c r="Q117" s="24">
        <v>8</v>
      </c>
      <c r="R117" s="25">
        <v>1</v>
      </c>
      <c r="S117" s="39">
        <v>0</v>
      </c>
      <c r="T117" s="7" t="s">
        <v>2910</v>
      </c>
      <c r="U117" s="7"/>
      <c r="V117" s="7" t="str">
        <f>+IF(U117="","",IF(U117="FINES",CONCATENATE("R",IF(OR(B117="16",B117="21",B117="22",B117="23"),"16212223",IF(OR(B117="15",B117="17",B117="24",B117="25"),"15172425",B117))),IF(U117="CEBAS","UNICO",IF(VALUE(B117)&lt;=11,"AMBA","INTERIOR"))))</f>
        <v/>
      </c>
      <c r="W117" s="38" t="str">
        <f>+IF(U117="","-",CONCATENATE(U117,"_",V117))</f>
        <v>-</v>
      </c>
      <c r="X117" s="42">
        <v>0.14199999999999999</v>
      </c>
    </row>
    <row r="118" spans="1:24" ht="15" thickBot="1">
      <c r="A118" s="3" t="s">
        <v>2916</v>
      </c>
      <c r="B118" s="3" t="s">
        <v>1257</v>
      </c>
      <c r="C118" s="3" t="s">
        <v>519</v>
      </c>
      <c r="D118" s="3" t="s">
        <v>2470</v>
      </c>
      <c r="E118" s="3">
        <v>618252</v>
      </c>
      <c r="F118" s="3">
        <v>0</v>
      </c>
      <c r="G118" s="3" t="s">
        <v>2488</v>
      </c>
      <c r="H118" s="3" t="s">
        <v>210</v>
      </c>
      <c r="I118" s="4" t="s">
        <v>201</v>
      </c>
      <c r="J118" s="4" t="s">
        <v>21</v>
      </c>
      <c r="K118" s="4"/>
      <c r="L118" s="4" t="s">
        <v>2489</v>
      </c>
      <c r="M118" s="4" t="s">
        <v>22</v>
      </c>
      <c r="N118" s="4" t="s">
        <v>23</v>
      </c>
      <c r="O118" s="4" t="s">
        <v>27</v>
      </c>
      <c r="P118" s="4" t="s">
        <v>144</v>
      </c>
      <c r="Q118" s="24">
        <v>814</v>
      </c>
      <c r="R118" s="25">
        <v>3</v>
      </c>
      <c r="S118" s="39">
        <v>0</v>
      </c>
      <c r="T118" s="7" t="s">
        <v>2909</v>
      </c>
      <c r="U118" s="7"/>
      <c r="V118" s="7" t="str">
        <f>+IF(U118="","",IF(U118="FINES",CONCATENATE("R",IF(OR(B118="16",B118="21",B118="22",B118="23"),"16212223",IF(OR(B118="15",B118="17",B118="24",B118="25"),"15172425",B118))),IF(U118="CEBAS","UNICO",IF(VALUE(B118)&lt;=11,"AMBA","INTERIOR"))))</f>
        <v/>
      </c>
      <c r="W118" s="38" t="str">
        <f>+IF(U118="","-",CONCATENATE(U118,"_",V118))</f>
        <v>-</v>
      </c>
      <c r="X118" s="42">
        <v>0.14299999999999999</v>
      </c>
    </row>
    <row r="119" spans="1:24" ht="15" thickBot="1">
      <c r="A119" s="5" t="s">
        <v>2916</v>
      </c>
      <c r="B119" s="5" t="s">
        <v>19</v>
      </c>
      <c r="C119" s="5" t="s">
        <v>449</v>
      </c>
      <c r="D119" s="5" t="s">
        <v>2590</v>
      </c>
      <c r="E119" s="5">
        <v>607115</v>
      </c>
      <c r="F119" s="5">
        <v>1</v>
      </c>
      <c r="G119" s="5" t="s">
        <v>2593</v>
      </c>
      <c r="H119" s="5" t="s">
        <v>20</v>
      </c>
      <c r="I119" s="6" t="s">
        <v>50</v>
      </c>
      <c r="J119" s="6" t="s">
        <v>51</v>
      </c>
      <c r="K119" s="6" t="s">
        <v>2594</v>
      </c>
      <c r="L119" s="6" t="s">
        <v>778</v>
      </c>
      <c r="M119" s="6" t="s">
        <v>22</v>
      </c>
      <c r="N119" s="6" t="s">
        <v>23</v>
      </c>
      <c r="O119" s="6" t="s">
        <v>27</v>
      </c>
      <c r="P119" s="6" t="s">
        <v>28</v>
      </c>
      <c r="Q119" s="22">
        <v>50</v>
      </c>
      <c r="R119" s="23">
        <v>5</v>
      </c>
      <c r="S119" s="39">
        <v>0</v>
      </c>
      <c r="T119" s="7" t="s">
        <v>2910</v>
      </c>
      <c r="U119" s="7"/>
      <c r="V119" s="7" t="str">
        <f>+IF(U119="","",IF(U119="FINES",CONCATENATE("R",IF(OR(B119="16",B119="21",B119="22",B119="23"),"16212223",IF(OR(B119="15",B119="17",B119="24",B119="25"),"15172425",B119))),IF(U119="CEBAS","UNICO",IF(VALUE(B119)&lt;=11,"AMBA","INTERIOR"))))</f>
        <v/>
      </c>
      <c r="W119" s="38" t="str">
        <f>+IF(U119="","-",CONCATENATE(U119,"_",V119))</f>
        <v>-</v>
      </c>
      <c r="X119" s="42">
        <v>0.14499999999999999</v>
      </c>
    </row>
    <row r="120" spans="1:24" ht="15" thickBot="1">
      <c r="A120" s="3" t="s">
        <v>2916</v>
      </c>
      <c r="B120" s="3" t="s">
        <v>19</v>
      </c>
      <c r="C120" s="3" t="s">
        <v>252</v>
      </c>
      <c r="D120" s="3" t="s">
        <v>2566</v>
      </c>
      <c r="E120" s="3">
        <v>613712</v>
      </c>
      <c r="F120" s="3">
        <v>1</v>
      </c>
      <c r="G120" s="3" t="s">
        <v>2568</v>
      </c>
      <c r="H120" s="3" t="s">
        <v>20</v>
      </c>
      <c r="I120" s="4" t="s">
        <v>50</v>
      </c>
      <c r="J120" s="4" t="s">
        <v>51</v>
      </c>
      <c r="K120" s="4" t="s">
        <v>2569</v>
      </c>
      <c r="L120" s="4" t="s">
        <v>2570</v>
      </c>
      <c r="M120" s="4" t="s">
        <v>22</v>
      </c>
      <c r="N120" s="4" t="s">
        <v>23</v>
      </c>
      <c r="O120" s="4" t="s">
        <v>27</v>
      </c>
      <c r="P120" s="4" t="s">
        <v>28</v>
      </c>
      <c r="Q120" s="24">
        <v>23</v>
      </c>
      <c r="R120" s="25">
        <v>2</v>
      </c>
      <c r="S120" s="39">
        <v>0</v>
      </c>
      <c r="T120" s="7" t="s">
        <v>2910</v>
      </c>
      <c r="U120" s="7"/>
      <c r="V120" s="7" t="str">
        <f>+IF(U120="","",IF(U120="FINES",CONCATENATE("R",IF(OR(B120="16",B120="21",B120="22",B120="23"),"16212223",IF(OR(B120="15",B120="17",B120="24",B120="25"),"15172425",B120))),IF(U120="CEBAS","UNICO",IF(VALUE(B120)&lt;=11,"AMBA","INTERIOR"))))</f>
        <v/>
      </c>
      <c r="W120" s="38" t="str">
        <f>+IF(U120="","-",CONCATENATE(U120,"_",V120))</f>
        <v>-</v>
      </c>
      <c r="X120" s="42">
        <v>0.14499999999999999</v>
      </c>
    </row>
    <row r="121" spans="1:24" ht="15" thickBot="1">
      <c r="A121" s="5" t="s">
        <v>2916</v>
      </c>
      <c r="B121" s="5" t="s">
        <v>817</v>
      </c>
      <c r="C121" s="5" t="s">
        <v>2080</v>
      </c>
      <c r="D121" s="5" t="s">
        <v>2081</v>
      </c>
      <c r="E121" s="5">
        <v>613653</v>
      </c>
      <c r="F121" s="5">
        <v>3</v>
      </c>
      <c r="G121" s="5" t="s">
        <v>2114</v>
      </c>
      <c r="H121" s="5" t="s">
        <v>20</v>
      </c>
      <c r="I121" s="6" t="s">
        <v>50</v>
      </c>
      <c r="J121" s="6" t="s">
        <v>51</v>
      </c>
      <c r="K121" s="6" t="s">
        <v>2090</v>
      </c>
      <c r="L121" s="6" t="s">
        <v>2115</v>
      </c>
      <c r="M121" s="6" t="s">
        <v>22</v>
      </c>
      <c r="N121" s="6" t="s">
        <v>23</v>
      </c>
      <c r="O121" s="6" t="s">
        <v>27</v>
      </c>
      <c r="P121" s="6" t="s">
        <v>28</v>
      </c>
      <c r="Q121" s="22">
        <v>57</v>
      </c>
      <c r="R121" s="23">
        <v>3</v>
      </c>
      <c r="S121" s="39">
        <v>0</v>
      </c>
      <c r="T121" s="7" t="s">
        <v>2910</v>
      </c>
      <c r="U121" s="7"/>
      <c r="V121" s="7" t="str">
        <f>+IF(U121="","",IF(U121="FINES",CONCATENATE("R",IF(OR(B121="16",B121="21",B121="22",B121="23"),"16212223",IF(OR(B121="15",B121="17",B121="24",B121="25"),"15172425",B121))),IF(U121="CEBAS","UNICO",IF(VALUE(B121)&lt;=11,"AMBA","INTERIOR"))))</f>
        <v/>
      </c>
      <c r="W121" s="38" t="str">
        <f>+IF(U121="","-",CONCATENATE(U121,"_",V121))</f>
        <v>-</v>
      </c>
      <c r="X121" s="42">
        <v>0.14699999999999999</v>
      </c>
    </row>
    <row r="122" spans="1:24" ht="15" thickBot="1">
      <c r="A122" s="5" t="s">
        <v>2916</v>
      </c>
      <c r="B122" s="5" t="s">
        <v>1257</v>
      </c>
      <c r="C122" s="5" t="s">
        <v>2237</v>
      </c>
      <c r="D122" s="5" t="s">
        <v>2238</v>
      </c>
      <c r="E122" s="5">
        <v>616693</v>
      </c>
      <c r="F122" s="5">
        <v>0</v>
      </c>
      <c r="G122" s="5" t="s">
        <v>2274</v>
      </c>
      <c r="H122" s="5" t="s">
        <v>210</v>
      </c>
      <c r="I122" s="6" t="s">
        <v>201</v>
      </c>
      <c r="J122" s="6" t="s">
        <v>21</v>
      </c>
      <c r="K122" s="6"/>
      <c r="L122" s="6" t="s">
        <v>2275</v>
      </c>
      <c r="M122" s="6" t="s">
        <v>22</v>
      </c>
      <c r="N122" s="6" t="s">
        <v>23</v>
      </c>
      <c r="O122" s="6" t="s">
        <v>27</v>
      </c>
      <c r="P122" s="6" t="s">
        <v>144</v>
      </c>
      <c r="Q122" s="22">
        <v>12</v>
      </c>
      <c r="R122" s="23">
        <v>3</v>
      </c>
      <c r="S122" s="39">
        <v>0</v>
      </c>
      <c r="T122" s="7" t="s">
        <v>2909</v>
      </c>
      <c r="U122" s="7"/>
      <c r="V122" s="7" t="str">
        <f>+IF(U122="","",IF(U122="FINES",CONCATENATE("R",IF(OR(B122="16",B122="21",B122="22",B122="23"),"16212223",IF(OR(B122="15",B122="17",B122="24",B122="25"),"15172425",B122))),IF(U122="CEBAS","UNICO",IF(VALUE(B122)&lt;=11,"AMBA","INTERIOR"))))</f>
        <v/>
      </c>
      <c r="W122" s="38" t="str">
        <f>+IF(U122="","-",CONCATENATE(U122,"_",V122))</f>
        <v>-</v>
      </c>
      <c r="X122" s="42">
        <v>0.14699999999999999</v>
      </c>
    </row>
    <row r="123" spans="1:24" ht="15" thickBot="1">
      <c r="A123" s="5" t="s">
        <v>2916</v>
      </c>
      <c r="B123" s="5" t="s">
        <v>140</v>
      </c>
      <c r="C123" s="5" t="s">
        <v>2277</v>
      </c>
      <c r="D123" s="5" t="s">
        <v>2278</v>
      </c>
      <c r="E123" s="5">
        <v>600849</v>
      </c>
      <c r="F123" s="5">
        <v>3</v>
      </c>
      <c r="G123" s="5" t="s">
        <v>2297</v>
      </c>
      <c r="H123" s="5" t="s">
        <v>20</v>
      </c>
      <c r="I123" s="6" t="s">
        <v>50</v>
      </c>
      <c r="J123" s="6" t="s">
        <v>51</v>
      </c>
      <c r="K123" s="6" t="s">
        <v>2292</v>
      </c>
      <c r="L123" s="6" t="s">
        <v>972</v>
      </c>
      <c r="M123" s="6" t="s">
        <v>22</v>
      </c>
      <c r="N123" s="6" t="s">
        <v>23</v>
      </c>
      <c r="O123" s="6" t="s">
        <v>27</v>
      </c>
      <c r="P123" s="6" t="s">
        <v>28</v>
      </c>
      <c r="Q123" s="22">
        <v>28</v>
      </c>
      <c r="R123" s="23">
        <v>2</v>
      </c>
      <c r="S123" s="39">
        <v>0</v>
      </c>
      <c r="T123" s="7" t="s">
        <v>2910</v>
      </c>
      <c r="U123" s="7"/>
      <c r="V123" s="7" t="str">
        <f>+IF(U123="","",IF(U123="FINES",CONCATENATE("R",IF(OR(B123="16",B123="21",B123="22",B123="23"),"16212223",IF(OR(B123="15",B123="17",B123="24",B123="25"),"15172425",B123))),IF(U123="CEBAS","UNICO",IF(VALUE(B123)&lt;=11,"AMBA","INTERIOR"))))</f>
        <v/>
      </c>
      <c r="W123" s="38" t="str">
        <f>+IF(U123="","-",CONCATENATE(U123,"_",V123))</f>
        <v>-</v>
      </c>
      <c r="X123" s="42">
        <v>0.14899999999999999</v>
      </c>
    </row>
    <row r="124" spans="1:24" ht="15" thickBot="1">
      <c r="A124" s="5" t="s">
        <v>2916</v>
      </c>
      <c r="B124" s="5" t="s">
        <v>19</v>
      </c>
      <c r="C124" s="5" t="s">
        <v>17</v>
      </c>
      <c r="D124" s="5" t="s">
        <v>18</v>
      </c>
      <c r="E124" s="5">
        <v>608979</v>
      </c>
      <c r="F124" s="5">
        <v>2</v>
      </c>
      <c r="G124" s="5" t="s">
        <v>84</v>
      </c>
      <c r="H124" s="5" t="s">
        <v>20</v>
      </c>
      <c r="I124" s="6" t="s">
        <v>50</v>
      </c>
      <c r="J124" s="6" t="s">
        <v>51</v>
      </c>
      <c r="K124" s="6" t="s">
        <v>52</v>
      </c>
      <c r="L124" s="6" t="s">
        <v>85</v>
      </c>
      <c r="M124" s="6" t="s">
        <v>22</v>
      </c>
      <c r="N124" s="6" t="s">
        <v>23</v>
      </c>
      <c r="O124" s="6" t="s">
        <v>27</v>
      </c>
      <c r="P124" s="6" t="s">
        <v>28</v>
      </c>
      <c r="Q124" s="22">
        <v>66</v>
      </c>
      <c r="R124" s="23">
        <v>5</v>
      </c>
      <c r="S124" s="39">
        <v>0</v>
      </c>
      <c r="T124" s="7" t="s">
        <v>2910</v>
      </c>
      <c r="U124" s="7"/>
      <c r="V124" s="7" t="str">
        <f>+IF(U124="","",IF(U124="FINES",CONCATENATE("R",IF(OR(B124="16",B124="21",B124="22",B124="23"),"16212223",IF(OR(B124="15",B124="17",B124="24",B124="25"),"15172425",B124))),IF(U124="CEBAS","UNICO",IF(VALUE(B124)&lt;=11,"AMBA","INTERIOR"))))</f>
        <v/>
      </c>
      <c r="W124" s="38" t="str">
        <f>+IF(U124="","-",CONCATENATE(U124,"_",V124))</f>
        <v>-</v>
      </c>
      <c r="X124" s="42">
        <v>0.15</v>
      </c>
    </row>
    <row r="125" spans="1:24" ht="15" thickBot="1">
      <c r="A125" s="5" t="s">
        <v>2916</v>
      </c>
      <c r="B125" s="5" t="s">
        <v>257</v>
      </c>
      <c r="C125" s="5" t="s">
        <v>772</v>
      </c>
      <c r="D125" s="5" t="s">
        <v>773</v>
      </c>
      <c r="E125" s="5">
        <v>608920</v>
      </c>
      <c r="F125" s="5">
        <v>1</v>
      </c>
      <c r="G125" s="5" t="s">
        <v>784</v>
      </c>
      <c r="H125" s="5" t="s">
        <v>20</v>
      </c>
      <c r="I125" s="6" t="s">
        <v>50</v>
      </c>
      <c r="J125" s="6" t="s">
        <v>51</v>
      </c>
      <c r="K125" s="6" t="s">
        <v>785</v>
      </c>
      <c r="L125" s="6" t="s">
        <v>786</v>
      </c>
      <c r="M125" s="6" t="s">
        <v>22</v>
      </c>
      <c r="N125" s="6" t="s">
        <v>23</v>
      </c>
      <c r="O125" s="6" t="s">
        <v>27</v>
      </c>
      <c r="P125" s="6" t="s">
        <v>28</v>
      </c>
      <c r="Q125" s="22">
        <v>51</v>
      </c>
      <c r="R125" s="23">
        <v>4</v>
      </c>
      <c r="S125" s="39">
        <v>0</v>
      </c>
      <c r="T125" s="7" t="s">
        <v>2910</v>
      </c>
      <c r="U125" s="7"/>
      <c r="V125" s="7" t="str">
        <f>+IF(U125="","",IF(U125="FINES",CONCATENATE("R",IF(OR(B125="16",B125="21",B125="22",B125="23"),"16212223",IF(OR(B125="15",B125="17",B125="24",B125="25"),"15172425",B125))),IF(U125="CEBAS","UNICO",IF(VALUE(B125)&lt;=11,"AMBA","INTERIOR"))))</f>
        <v/>
      </c>
      <c r="W125" s="38" t="str">
        <f>+IF(U125="","-",CONCATENATE(U125,"_",V125))</f>
        <v>-</v>
      </c>
      <c r="X125" s="42">
        <v>0.151</v>
      </c>
    </row>
    <row r="126" spans="1:24" ht="15" thickBot="1">
      <c r="A126" s="3" t="s">
        <v>2916</v>
      </c>
      <c r="B126" s="3" t="s">
        <v>1532</v>
      </c>
      <c r="C126" s="3" t="s">
        <v>1530</v>
      </c>
      <c r="D126" s="3" t="s">
        <v>1531</v>
      </c>
      <c r="E126" s="3">
        <v>602213</v>
      </c>
      <c r="F126" s="3">
        <v>2</v>
      </c>
      <c r="G126" s="3" t="s">
        <v>1649</v>
      </c>
      <c r="H126" s="3" t="s">
        <v>20</v>
      </c>
      <c r="I126" s="4" t="s">
        <v>50</v>
      </c>
      <c r="J126" s="4" t="s">
        <v>51</v>
      </c>
      <c r="K126" s="4" t="s">
        <v>1643</v>
      </c>
      <c r="L126" s="4" t="s">
        <v>1650</v>
      </c>
      <c r="M126" s="4" t="s">
        <v>22</v>
      </c>
      <c r="N126" s="4" t="s">
        <v>23</v>
      </c>
      <c r="O126" s="4" t="s">
        <v>27</v>
      </c>
      <c r="P126" s="4" t="s">
        <v>28</v>
      </c>
      <c r="Q126" s="24">
        <v>22</v>
      </c>
      <c r="R126" s="25">
        <v>2</v>
      </c>
      <c r="S126" s="39">
        <v>0</v>
      </c>
      <c r="T126" s="7" t="s">
        <v>2910</v>
      </c>
      <c r="U126" s="7"/>
      <c r="V126" s="7" t="str">
        <f>+IF(U126="","",IF(U126="FINES",CONCATENATE("R",IF(OR(B126="16",B126="21",B126="22",B126="23"),"16212223",IF(OR(B126="15",B126="17",B126="24",B126="25"),"15172425",B126))),IF(U126="CEBAS","UNICO",IF(VALUE(B126)&lt;=11,"AMBA","INTERIOR"))))</f>
        <v/>
      </c>
      <c r="W126" s="38" t="str">
        <f>+IF(U126="","-",CONCATENATE(U126,"_",V126))</f>
        <v>-</v>
      </c>
      <c r="X126" s="42">
        <v>0.153</v>
      </c>
    </row>
    <row r="127" spans="1:24" ht="15" thickBot="1">
      <c r="A127" s="5" t="s">
        <v>2916</v>
      </c>
      <c r="B127" s="5" t="s">
        <v>356</v>
      </c>
      <c r="C127" s="5" t="s">
        <v>805</v>
      </c>
      <c r="D127" s="5" t="s">
        <v>2500</v>
      </c>
      <c r="E127" s="5">
        <v>607542</v>
      </c>
      <c r="F127" s="5">
        <v>2</v>
      </c>
      <c r="G127" s="5" t="s">
        <v>2526</v>
      </c>
      <c r="H127" s="5" t="s">
        <v>20</v>
      </c>
      <c r="I127" s="6" t="s">
        <v>50</v>
      </c>
      <c r="J127" s="6" t="s">
        <v>51</v>
      </c>
      <c r="K127" s="6" t="s">
        <v>2525</v>
      </c>
      <c r="L127" s="6" t="s">
        <v>2527</v>
      </c>
      <c r="M127" s="6" t="s">
        <v>22</v>
      </c>
      <c r="N127" s="6" t="s">
        <v>23</v>
      </c>
      <c r="O127" s="6" t="s">
        <v>27</v>
      </c>
      <c r="P127" s="6" t="s">
        <v>28</v>
      </c>
      <c r="Q127" s="22">
        <v>42</v>
      </c>
      <c r="R127" s="23">
        <v>3</v>
      </c>
      <c r="S127" s="39">
        <v>0</v>
      </c>
      <c r="T127" s="7" t="s">
        <v>2910</v>
      </c>
      <c r="U127" s="7"/>
      <c r="V127" s="7" t="str">
        <f>+IF(U127="","",IF(U127="FINES",CONCATENATE("R",IF(OR(B127="16",B127="21",B127="22",B127="23"),"16212223",IF(OR(B127="15",B127="17",B127="24",B127="25"),"15172425",B127))),IF(U127="CEBAS","UNICO",IF(VALUE(B127)&lt;=11,"AMBA","INTERIOR"))))</f>
        <v/>
      </c>
      <c r="W127" s="38" t="str">
        <f>+IF(U127="","-",CONCATENATE(U127,"_",V127))</f>
        <v>-</v>
      </c>
      <c r="X127" s="42">
        <v>0.153</v>
      </c>
    </row>
    <row r="128" spans="1:24" ht="15" thickBot="1">
      <c r="A128" s="3" t="s">
        <v>2916</v>
      </c>
      <c r="B128" s="3" t="s">
        <v>1257</v>
      </c>
      <c r="C128" s="3" t="s">
        <v>1255</v>
      </c>
      <c r="D128" s="3" t="s">
        <v>1256</v>
      </c>
      <c r="E128" s="3">
        <v>613142</v>
      </c>
      <c r="F128" s="3">
        <v>1</v>
      </c>
      <c r="G128" s="3" t="s">
        <v>1274</v>
      </c>
      <c r="H128" s="3" t="s">
        <v>20</v>
      </c>
      <c r="I128" s="4" t="s">
        <v>50</v>
      </c>
      <c r="J128" s="4" t="s">
        <v>51</v>
      </c>
      <c r="K128" s="4" t="s">
        <v>1275</v>
      </c>
      <c r="L128" s="4" t="s">
        <v>1276</v>
      </c>
      <c r="M128" s="4" t="s">
        <v>22</v>
      </c>
      <c r="N128" s="4" t="s">
        <v>23</v>
      </c>
      <c r="O128" s="4" t="s">
        <v>27</v>
      </c>
      <c r="P128" s="4" t="s">
        <v>28</v>
      </c>
      <c r="Q128" s="24">
        <v>30</v>
      </c>
      <c r="R128" s="25">
        <v>2</v>
      </c>
      <c r="S128" s="39">
        <v>0</v>
      </c>
      <c r="T128" s="7" t="s">
        <v>2910</v>
      </c>
      <c r="U128" s="7"/>
      <c r="V128" s="7" t="str">
        <f>+IF(U128="","",IF(U128="FINES",CONCATENATE("R",IF(OR(B128="16",B128="21",B128="22",B128="23"),"16212223",IF(OR(B128="15",B128="17",B128="24",B128="25"),"15172425",B128))),IF(U128="CEBAS","UNICO",IF(VALUE(B128)&lt;=11,"AMBA","INTERIOR"))))</f>
        <v/>
      </c>
      <c r="W128" s="38" t="str">
        <f>+IF(U128="","-",CONCATENATE(U128,"_",V128))</f>
        <v>-</v>
      </c>
      <c r="X128" s="42">
        <v>0.158</v>
      </c>
    </row>
    <row r="129" spans="1:24" ht="15" thickBot="1">
      <c r="A129" s="3" t="s">
        <v>2916</v>
      </c>
      <c r="B129" s="3" t="s">
        <v>1780</v>
      </c>
      <c r="C129" s="3" t="s">
        <v>1778</v>
      </c>
      <c r="D129" s="3" t="s">
        <v>1779</v>
      </c>
      <c r="E129" s="3">
        <v>614512</v>
      </c>
      <c r="F129" s="3">
        <v>0</v>
      </c>
      <c r="G129" s="3" t="s">
        <v>1781</v>
      </c>
      <c r="H129" s="3" t="s">
        <v>20</v>
      </c>
      <c r="I129" s="4" t="s">
        <v>25</v>
      </c>
      <c r="J129" s="4" t="s">
        <v>21</v>
      </c>
      <c r="K129" s="4"/>
      <c r="L129" s="4" t="s">
        <v>1782</v>
      </c>
      <c r="M129" s="4" t="s">
        <v>22</v>
      </c>
      <c r="N129" s="4" t="s">
        <v>23</v>
      </c>
      <c r="O129" s="4" t="s">
        <v>27</v>
      </c>
      <c r="P129" s="4" t="s">
        <v>28</v>
      </c>
      <c r="Q129" s="24">
        <v>10</v>
      </c>
      <c r="R129" s="25">
        <v>1</v>
      </c>
      <c r="S129" s="39">
        <v>0</v>
      </c>
      <c r="T129" s="7" t="s">
        <v>2910</v>
      </c>
      <c r="U129" s="7"/>
      <c r="V129" s="7" t="str">
        <f>+IF(U129="","",IF(U129="FINES",CONCATENATE("R",IF(OR(B129="16",B129="21",B129="22",B129="23"),"16212223",IF(OR(B129="15",B129="17",B129="24",B129="25"),"15172425",B129))),IF(U129="CEBAS","UNICO",IF(VALUE(B129)&lt;=11,"AMBA","INTERIOR"))))</f>
        <v/>
      </c>
      <c r="W129" s="38" t="str">
        <f>+IF(U129="","-",CONCATENATE(U129,"_",V129))</f>
        <v>-</v>
      </c>
      <c r="X129" s="42">
        <v>0.16</v>
      </c>
    </row>
    <row r="130" spans="1:24" ht="15" thickBot="1">
      <c r="A130" s="5" t="s">
        <v>2916</v>
      </c>
      <c r="B130" s="5" t="s">
        <v>220</v>
      </c>
      <c r="C130" s="5" t="s">
        <v>726</v>
      </c>
      <c r="D130" s="5" t="s">
        <v>2434</v>
      </c>
      <c r="E130" s="5">
        <v>612859</v>
      </c>
      <c r="F130" s="5">
        <v>2</v>
      </c>
      <c r="G130" s="5" t="s">
        <v>2438</v>
      </c>
      <c r="H130" s="5" t="s">
        <v>20</v>
      </c>
      <c r="I130" s="6" t="s">
        <v>50</v>
      </c>
      <c r="J130" s="6" t="s">
        <v>51</v>
      </c>
      <c r="K130" s="6" t="s">
        <v>2436</v>
      </c>
      <c r="L130" s="6" t="s">
        <v>526</v>
      </c>
      <c r="M130" s="6" t="s">
        <v>22</v>
      </c>
      <c r="N130" s="6" t="s">
        <v>23</v>
      </c>
      <c r="O130" s="6" t="s">
        <v>27</v>
      </c>
      <c r="P130" s="6" t="s">
        <v>28</v>
      </c>
      <c r="Q130" s="22">
        <v>27</v>
      </c>
      <c r="R130" s="23">
        <v>2</v>
      </c>
      <c r="S130" s="39">
        <v>0</v>
      </c>
      <c r="T130" s="7" t="s">
        <v>2910</v>
      </c>
      <c r="U130" s="7"/>
      <c r="V130" s="7" t="str">
        <f>+IF(U130="","",IF(U130="FINES",CONCATENATE("R",IF(OR(B130="16",B130="21",B130="22",B130="23"),"16212223",IF(OR(B130="15",B130="17",B130="24",B130="25"),"15172425",B130))),IF(U130="CEBAS","UNICO",IF(VALUE(B130)&lt;=11,"AMBA","INTERIOR"))))</f>
        <v/>
      </c>
      <c r="W130" s="38" t="str">
        <f>+IF(U130="","-",CONCATENATE(U130,"_",V130))</f>
        <v>-</v>
      </c>
      <c r="X130" s="42">
        <v>0.16200000000000001</v>
      </c>
    </row>
    <row r="131" spans="1:24" ht="15" thickBot="1">
      <c r="A131" s="3" t="s">
        <v>2916</v>
      </c>
      <c r="B131" s="3" t="s">
        <v>205</v>
      </c>
      <c r="C131" s="3" t="s">
        <v>255</v>
      </c>
      <c r="D131" s="3" t="s">
        <v>750</v>
      </c>
      <c r="E131" s="3">
        <v>611538</v>
      </c>
      <c r="F131" s="3">
        <v>2</v>
      </c>
      <c r="G131" s="3" t="s">
        <v>753</v>
      </c>
      <c r="H131" s="3" t="s">
        <v>20</v>
      </c>
      <c r="I131" s="4" t="s">
        <v>50</v>
      </c>
      <c r="J131" s="4" t="s">
        <v>51</v>
      </c>
      <c r="K131" s="4" t="s">
        <v>752</v>
      </c>
      <c r="L131" s="4" t="s">
        <v>754</v>
      </c>
      <c r="M131" s="4" t="s">
        <v>22</v>
      </c>
      <c r="N131" s="4" t="s">
        <v>23</v>
      </c>
      <c r="O131" s="4" t="s">
        <v>27</v>
      </c>
      <c r="P131" s="4" t="s">
        <v>28</v>
      </c>
      <c r="Q131" s="24">
        <v>28</v>
      </c>
      <c r="R131" s="25">
        <v>2</v>
      </c>
      <c r="S131" s="39">
        <v>0</v>
      </c>
      <c r="T131" s="7" t="s">
        <v>2910</v>
      </c>
      <c r="U131" s="7"/>
      <c r="V131" s="7" t="str">
        <f>+IF(U131="","",IF(U131="FINES",CONCATENATE("R",IF(OR(B131="16",B131="21",B131="22",B131="23"),"16212223",IF(OR(B131="15",B131="17",B131="24",B131="25"),"15172425",B131))),IF(U131="CEBAS","UNICO",IF(VALUE(B131)&lt;=11,"AMBA","INTERIOR"))))</f>
        <v/>
      </c>
      <c r="W131" s="38" t="str">
        <f>+IF(U131="","-",CONCATENATE(U131,"_",V131))</f>
        <v>-</v>
      </c>
      <c r="X131" s="42">
        <v>0.16200000000000001</v>
      </c>
    </row>
    <row r="132" spans="1:24" ht="15" thickBot="1">
      <c r="A132" s="3" t="s">
        <v>2916</v>
      </c>
      <c r="B132" s="3" t="s">
        <v>203</v>
      </c>
      <c r="C132" s="3" t="s">
        <v>450</v>
      </c>
      <c r="D132" s="3" t="s">
        <v>452</v>
      </c>
      <c r="E132" s="3">
        <v>611895</v>
      </c>
      <c r="F132" s="3">
        <v>2</v>
      </c>
      <c r="G132" s="3" t="s">
        <v>459</v>
      </c>
      <c r="H132" s="3" t="s">
        <v>20</v>
      </c>
      <c r="I132" s="4" t="s">
        <v>50</v>
      </c>
      <c r="J132" s="4" t="s">
        <v>51</v>
      </c>
      <c r="K132" s="4" t="s">
        <v>457</v>
      </c>
      <c r="L132" s="4" t="s">
        <v>460</v>
      </c>
      <c r="M132" s="4" t="s">
        <v>22</v>
      </c>
      <c r="N132" s="4" t="s">
        <v>23</v>
      </c>
      <c r="O132" s="4" t="s">
        <v>27</v>
      </c>
      <c r="P132" s="4" t="s">
        <v>28</v>
      </c>
      <c r="Q132" s="24">
        <v>19</v>
      </c>
      <c r="R132" s="25">
        <v>2</v>
      </c>
      <c r="S132" s="39">
        <v>0</v>
      </c>
      <c r="T132" s="7" t="s">
        <v>2910</v>
      </c>
      <c r="U132" s="7"/>
      <c r="V132" s="7" t="str">
        <f>+IF(U132="","",IF(U132="FINES",CONCATENATE("R",IF(OR(B132="16",B132="21",B132="22",B132="23"),"16212223",IF(OR(B132="15",B132="17",B132="24",B132="25"),"15172425",B132))),IF(U132="CEBAS","UNICO",IF(VALUE(B132)&lt;=11,"AMBA","INTERIOR"))))</f>
        <v/>
      </c>
      <c r="W132" s="38" t="str">
        <f>+IF(U132="","-",CONCATENATE(U132,"_",V132))</f>
        <v>-</v>
      </c>
      <c r="X132" s="42">
        <v>0.16400000000000001</v>
      </c>
    </row>
    <row r="133" spans="1:24" ht="15" thickBot="1">
      <c r="A133" s="3" t="s">
        <v>2916</v>
      </c>
      <c r="B133" s="3" t="s">
        <v>19</v>
      </c>
      <c r="C133" s="3" t="s">
        <v>449</v>
      </c>
      <c r="D133" s="3" t="s">
        <v>2590</v>
      </c>
      <c r="E133" s="3">
        <v>607115</v>
      </c>
      <c r="F133" s="3">
        <v>2</v>
      </c>
      <c r="G133" s="3" t="s">
        <v>2595</v>
      </c>
      <c r="H133" s="3" t="s">
        <v>20</v>
      </c>
      <c r="I133" s="4" t="s">
        <v>50</v>
      </c>
      <c r="J133" s="4" t="s">
        <v>51</v>
      </c>
      <c r="K133" s="4" t="s">
        <v>2594</v>
      </c>
      <c r="L133" s="4" t="s">
        <v>886</v>
      </c>
      <c r="M133" s="4" t="s">
        <v>22</v>
      </c>
      <c r="N133" s="4" t="s">
        <v>23</v>
      </c>
      <c r="O133" s="4" t="s">
        <v>27</v>
      </c>
      <c r="P133" s="4" t="s">
        <v>28</v>
      </c>
      <c r="Q133" s="24">
        <v>35</v>
      </c>
      <c r="R133" s="25">
        <v>3</v>
      </c>
      <c r="S133" s="39">
        <v>0</v>
      </c>
      <c r="T133" s="7" t="s">
        <v>2910</v>
      </c>
      <c r="U133" s="7"/>
      <c r="V133" s="7" t="str">
        <f>+IF(U133="","",IF(U133="FINES",CONCATENATE("R",IF(OR(B133="16",B133="21",B133="22",B133="23"),"16212223",IF(OR(B133="15",B133="17",B133="24",B133="25"),"15172425",B133))),IF(U133="CEBAS","UNICO",IF(VALUE(B133)&lt;=11,"AMBA","INTERIOR"))))</f>
        <v/>
      </c>
      <c r="W133" s="38" t="str">
        <f>+IF(U133="","-",CONCATENATE(U133,"_",V133))</f>
        <v>-</v>
      </c>
      <c r="X133" s="42">
        <v>0.16600000000000001</v>
      </c>
    </row>
    <row r="134" spans="1:24" ht="15" thickBot="1">
      <c r="A134" s="5" t="s">
        <v>2916</v>
      </c>
      <c r="B134" s="5" t="s">
        <v>205</v>
      </c>
      <c r="C134" s="5" t="s">
        <v>2002</v>
      </c>
      <c r="D134" s="5" t="s">
        <v>2003</v>
      </c>
      <c r="E134" s="5">
        <v>618254</v>
      </c>
      <c r="F134" s="5">
        <v>0</v>
      </c>
      <c r="G134" s="5" t="s">
        <v>2014</v>
      </c>
      <c r="H134" s="5" t="s">
        <v>20</v>
      </c>
      <c r="I134" s="6" t="s">
        <v>50</v>
      </c>
      <c r="J134" s="6" t="s">
        <v>21</v>
      </c>
      <c r="K134" s="6"/>
      <c r="L134" s="6" t="s">
        <v>2015</v>
      </c>
      <c r="M134" s="6" t="s">
        <v>200</v>
      </c>
      <c r="N134" s="6" t="s">
        <v>23</v>
      </c>
      <c r="O134" s="6" t="s">
        <v>27</v>
      </c>
      <c r="P134" s="6" t="s">
        <v>28</v>
      </c>
      <c r="Q134" s="22">
        <v>10</v>
      </c>
      <c r="R134" s="23">
        <v>1</v>
      </c>
      <c r="S134" s="39">
        <v>0</v>
      </c>
      <c r="T134" s="7" t="s">
        <v>2910</v>
      </c>
      <c r="U134" s="7"/>
      <c r="V134" s="7" t="str">
        <f>+IF(U134="","",IF(U134="FINES",CONCATENATE("R",IF(OR(B134="16",B134="21",B134="22",B134="23"),"16212223",IF(OR(B134="15",B134="17",B134="24",B134="25"),"15172425",B134))),IF(U134="CEBAS","UNICO",IF(VALUE(B134)&lt;=11,"AMBA","INTERIOR"))))</f>
        <v/>
      </c>
      <c r="W134" s="38" t="str">
        <f>+IF(U134="","-",CONCATENATE(U134,"_",V134))</f>
        <v>-</v>
      </c>
      <c r="X134" s="42">
        <v>0.16700000000000001</v>
      </c>
    </row>
    <row r="135" spans="1:24" ht="15" thickBot="1">
      <c r="A135" s="5" t="s">
        <v>2916</v>
      </c>
      <c r="B135" s="5" t="s">
        <v>223</v>
      </c>
      <c r="C135" s="5" t="s">
        <v>714</v>
      </c>
      <c r="D135" s="5" t="s">
        <v>715</v>
      </c>
      <c r="E135" s="5">
        <v>607510</v>
      </c>
      <c r="F135" s="5">
        <v>0</v>
      </c>
      <c r="G135" s="5" t="s">
        <v>718</v>
      </c>
      <c r="H135" s="5" t="s">
        <v>20</v>
      </c>
      <c r="I135" s="6" t="s">
        <v>50</v>
      </c>
      <c r="J135" s="6" t="s">
        <v>21</v>
      </c>
      <c r="K135" s="6"/>
      <c r="L135" s="6" t="s">
        <v>719</v>
      </c>
      <c r="M135" s="6" t="s">
        <v>22</v>
      </c>
      <c r="N135" s="6" t="s">
        <v>23</v>
      </c>
      <c r="O135" s="6" t="s">
        <v>27</v>
      </c>
      <c r="P135" s="6" t="s">
        <v>28</v>
      </c>
      <c r="Q135" s="22">
        <v>16</v>
      </c>
      <c r="R135" s="23">
        <v>2</v>
      </c>
      <c r="S135" s="39">
        <v>0</v>
      </c>
      <c r="T135" s="7" t="s">
        <v>2910</v>
      </c>
      <c r="U135" s="7"/>
      <c r="V135" s="7" t="str">
        <f>+IF(U135="","",IF(U135="FINES",CONCATENATE("R",IF(OR(B135="16",B135="21",B135="22",B135="23"),"16212223",IF(OR(B135="15",B135="17",B135="24",B135="25"),"15172425",B135))),IF(U135="CEBAS","UNICO",IF(VALUE(B135)&lt;=11,"AMBA","INTERIOR"))))</f>
        <v/>
      </c>
      <c r="W135" s="38" t="str">
        <f>+IF(U135="","-",CONCATENATE(U135,"_",V135))</f>
        <v>-</v>
      </c>
      <c r="X135" s="42">
        <v>0.16900000000000001</v>
      </c>
    </row>
    <row r="136" spans="1:24" ht="15" thickBot="1">
      <c r="A136" s="5" t="s">
        <v>2916</v>
      </c>
      <c r="B136" s="5" t="s">
        <v>206</v>
      </c>
      <c r="C136" s="5" t="s">
        <v>1850</v>
      </c>
      <c r="D136" s="5" t="s">
        <v>1851</v>
      </c>
      <c r="E136" s="5">
        <v>601765</v>
      </c>
      <c r="F136" s="5">
        <v>0</v>
      </c>
      <c r="G136" s="5" t="s">
        <v>1852</v>
      </c>
      <c r="H136" s="5" t="s">
        <v>20</v>
      </c>
      <c r="I136" s="6" t="s">
        <v>50</v>
      </c>
      <c r="J136" s="6" t="s">
        <v>21</v>
      </c>
      <c r="K136" s="6"/>
      <c r="L136" s="6" t="s">
        <v>1853</v>
      </c>
      <c r="M136" s="6" t="s">
        <v>200</v>
      </c>
      <c r="N136" s="6" t="s">
        <v>23</v>
      </c>
      <c r="O136" s="6" t="s">
        <v>27</v>
      </c>
      <c r="P136" s="6" t="s">
        <v>28</v>
      </c>
      <c r="Q136" s="22">
        <v>26</v>
      </c>
      <c r="R136" s="23">
        <v>2</v>
      </c>
      <c r="S136" s="39">
        <v>0</v>
      </c>
      <c r="T136" s="7" t="s">
        <v>2910</v>
      </c>
      <c r="U136" s="7"/>
      <c r="V136" s="7" t="str">
        <f>+IF(U136="","",IF(U136="FINES",CONCATENATE("R",IF(OR(B136="16",B136="21",B136="22",B136="23"),"16212223",IF(OR(B136="15",B136="17",B136="24",B136="25"),"15172425",B136))),IF(U136="CEBAS","UNICO",IF(VALUE(B136)&lt;=11,"AMBA","INTERIOR"))))</f>
        <v/>
      </c>
      <c r="W136" s="38" t="str">
        <f>+IF(U136="","-",CONCATENATE(U136,"_",V136))</f>
        <v>-</v>
      </c>
      <c r="X136" s="42">
        <v>0.17</v>
      </c>
    </row>
    <row r="137" spans="1:24" ht="15" thickBot="1">
      <c r="A137" s="3" t="s">
        <v>2916</v>
      </c>
      <c r="B137" s="3" t="s">
        <v>222</v>
      </c>
      <c r="C137" s="3" t="s">
        <v>2047</v>
      </c>
      <c r="D137" s="3" t="s">
        <v>2048</v>
      </c>
      <c r="E137" s="3">
        <v>613145</v>
      </c>
      <c r="F137" s="3">
        <v>2</v>
      </c>
      <c r="G137" s="3" t="s">
        <v>2052</v>
      </c>
      <c r="H137" s="3" t="s">
        <v>20</v>
      </c>
      <c r="I137" s="4" t="s">
        <v>50</v>
      </c>
      <c r="J137" s="4" t="s">
        <v>51</v>
      </c>
      <c r="K137" s="4" t="s">
        <v>2050</v>
      </c>
      <c r="L137" s="4" t="s">
        <v>530</v>
      </c>
      <c r="M137" s="4" t="s">
        <v>22</v>
      </c>
      <c r="N137" s="4" t="s">
        <v>23</v>
      </c>
      <c r="O137" s="4" t="s">
        <v>27</v>
      </c>
      <c r="P137" s="4" t="s">
        <v>28</v>
      </c>
      <c r="Q137" s="24">
        <v>30</v>
      </c>
      <c r="R137" s="25">
        <v>2</v>
      </c>
      <c r="S137" s="39">
        <v>0</v>
      </c>
      <c r="T137" s="7" t="s">
        <v>2910</v>
      </c>
      <c r="U137" s="7"/>
      <c r="V137" s="7" t="str">
        <f>+IF(U137="","",IF(U137="FINES",CONCATENATE("R",IF(OR(B137="16",B137="21",B137="22",B137="23"),"16212223",IF(OR(B137="15",B137="17",B137="24",B137="25"),"15172425",B137))),IF(U137="CEBAS","UNICO",IF(VALUE(B137)&lt;=11,"AMBA","INTERIOR"))))</f>
        <v/>
      </c>
      <c r="W137" s="38" t="str">
        <f>+IF(U137="","-",CONCATENATE(U137,"_",V137))</f>
        <v>-</v>
      </c>
      <c r="X137" s="42">
        <v>0.17100000000000001</v>
      </c>
    </row>
    <row r="138" spans="1:24" ht="15" thickBot="1">
      <c r="A138" s="5" t="s">
        <v>2916</v>
      </c>
      <c r="B138" s="5" t="s">
        <v>410</v>
      </c>
      <c r="C138" s="5" t="s">
        <v>1247</v>
      </c>
      <c r="D138" s="5" t="s">
        <v>2733</v>
      </c>
      <c r="E138" s="5">
        <v>605507</v>
      </c>
      <c r="F138" s="5">
        <v>1</v>
      </c>
      <c r="G138" s="5" t="s">
        <v>2734</v>
      </c>
      <c r="H138" s="5" t="s">
        <v>20</v>
      </c>
      <c r="I138" s="6" t="s">
        <v>50</v>
      </c>
      <c r="J138" s="6" t="s">
        <v>51</v>
      </c>
      <c r="K138" s="6" t="s">
        <v>2735</v>
      </c>
      <c r="L138" s="6" t="s">
        <v>235</v>
      </c>
      <c r="M138" s="6" t="s">
        <v>22</v>
      </c>
      <c r="N138" s="6" t="s">
        <v>23</v>
      </c>
      <c r="O138" s="6" t="s">
        <v>27</v>
      </c>
      <c r="P138" s="6" t="s">
        <v>28</v>
      </c>
      <c r="Q138" s="22">
        <v>30</v>
      </c>
      <c r="R138" s="23">
        <v>3</v>
      </c>
      <c r="S138" s="39">
        <v>0</v>
      </c>
      <c r="T138" s="7" t="s">
        <v>2910</v>
      </c>
      <c r="V138" s="7" t="str">
        <f>+IF(U138="","",IF(U138="FINES",CONCATENATE("R",IF(OR(B138="16",B138="21",B138="22",B138="23"),"16212223",IF(OR(B138="15",B138="17",B138="24",B138="25"),"15172425",B138))),IF(U138="CEBAS","UNICO",IF(VALUE(B138)&lt;=11,"AMBA","INTERIOR"))))</f>
        <v/>
      </c>
      <c r="W138" s="38" t="str">
        <f>+IF(U138="","-",CONCATENATE(U138,"_",V138))</f>
        <v>-</v>
      </c>
      <c r="X138" s="42">
        <v>0.17199999999999999</v>
      </c>
    </row>
    <row r="139" spans="1:24" ht="15" thickBot="1">
      <c r="A139" s="5" t="s">
        <v>2916</v>
      </c>
      <c r="B139" s="5" t="s">
        <v>1257</v>
      </c>
      <c r="C139" s="5" t="s">
        <v>519</v>
      </c>
      <c r="D139" s="5" t="s">
        <v>2470</v>
      </c>
      <c r="E139" s="5">
        <v>624912</v>
      </c>
      <c r="F139" s="5">
        <v>0</v>
      </c>
      <c r="G139" s="5" t="s">
        <v>2487</v>
      </c>
      <c r="H139" s="5" t="s">
        <v>210</v>
      </c>
      <c r="I139" s="6" t="s">
        <v>142</v>
      </c>
      <c r="J139" s="6" t="s">
        <v>21</v>
      </c>
      <c r="K139" s="6"/>
      <c r="L139" s="6" t="s">
        <v>398</v>
      </c>
      <c r="M139" s="6" t="s">
        <v>22</v>
      </c>
      <c r="N139" s="6" t="s">
        <v>23</v>
      </c>
      <c r="O139" s="6" t="s">
        <v>27</v>
      </c>
      <c r="P139" s="6" t="s">
        <v>144</v>
      </c>
      <c r="Q139" s="22">
        <v>23</v>
      </c>
      <c r="R139" s="23">
        <v>3</v>
      </c>
      <c r="S139" s="39">
        <v>0</v>
      </c>
      <c r="T139" s="7" t="s">
        <v>2909</v>
      </c>
      <c r="V139" s="7" t="str">
        <f>+IF(U139="","",IF(U139="FINES",CONCATENATE("R",IF(OR(B139="16",B139="21",B139="22",B139="23"),"16212223",IF(OR(B139="15",B139="17",B139="24",B139="25"),"15172425",B139))),IF(U139="CEBAS","UNICO",IF(VALUE(B139)&lt;=11,"AMBA","INTERIOR"))))</f>
        <v/>
      </c>
      <c r="W139" s="38" t="str">
        <f>+IF(U139="","-",CONCATENATE(U139,"_",V139))</f>
        <v>-</v>
      </c>
      <c r="X139" s="42">
        <v>0.17199999999999999</v>
      </c>
    </row>
    <row r="140" spans="1:24" ht="15" thickBot="1">
      <c r="A140" s="5" t="s">
        <v>2916</v>
      </c>
      <c r="B140" s="5" t="s">
        <v>817</v>
      </c>
      <c r="C140" s="5" t="s">
        <v>815</v>
      </c>
      <c r="D140" s="5" t="s">
        <v>816</v>
      </c>
      <c r="E140" s="5">
        <v>608481</v>
      </c>
      <c r="F140" s="5">
        <v>2</v>
      </c>
      <c r="G140" s="5" t="s">
        <v>829</v>
      </c>
      <c r="H140" s="5" t="s">
        <v>20</v>
      </c>
      <c r="I140" s="6" t="s">
        <v>50</v>
      </c>
      <c r="J140" s="6" t="s">
        <v>51</v>
      </c>
      <c r="K140" s="6" t="s">
        <v>828</v>
      </c>
      <c r="L140" s="6" t="s">
        <v>794</v>
      </c>
      <c r="M140" s="6" t="s">
        <v>22</v>
      </c>
      <c r="N140" s="6" t="s">
        <v>23</v>
      </c>
      <c r="O140" s="6" t="s">
        <v>27</v>
      </c>
      <c r="P140" s="6" t="s">
        <v>28</v>
      </c>
      <c r="Q140" s="22">
        <v>22</v>
      </c>
      <c r="R140" s="23">
        <v>2</v>
      </c>
      <c r="S140" s="39">
        <v>0</v>
      </c>
      <c r="T140" s="7" t="s">
        <v>2910</v>
      </c>
      <c r="V140" s="7" t="str">
        <f>+IF(U140="","",IF(U140="FINES",CONCATENATE("R",IF(OR(B140="16",B140="21",B140="22",B140="23"),"16212223",IF(OR(B140="15",B140="17",B140="24",B140="25"),"15172425",B140))),IF(U140="CEBAS","UNICO",IF(VALUE(B140)&lt;=11,"AMBA","INTERIOR"))))</f>
        <v/>
      </c>
      <c r="W140" s="38" t="str">
        <f>+IF(U140="","-",CONCATENATE(U140,"_",V140))</f>
        <v>-</v>
      </c>
      <c r="X140" s="42">
        <v>0.17499999999999999</v>
      </c>
    </row>
    <row r="141" spans="1:24" ht="15" thickBot="1">
      <c r="A141" s="5" t="s">
        <v>2916</v>
      </c>
      <c r="B141" s="5" t="s">
        <v>257</v>
      </c>
      <c r="C141" s="5" t="s">
        <v>254</v>
      </c>
      <c r="D141" s="5" t="s">
        <v>256</v>
      </c>
      <c r="E141" s="5">
        <v>601816</v>
      </c>
      <c r="F141" s="5">
        <v>2</v>
      </c>
      <c r="G141" s="5" t="s">
        <v>261</v>
      </c>
      <c r="H141" s="5" t="s">
        <v>20</v>
      </c>
      <c r="I141" s="6" t="s">
        <v>50</v>
      </c>
      <c r="J141" s="6" t="s">
        <v>51</v>
      </c>
      <c r="K141" s="6" t="s">
        <v>259</v>
      </c>
      <c r="L141" s="6" t="s">
        <v>262</v>
      </c>
      <c r="M141" s="6" t="s">
        <v>22</v>
      </c>
      <c r="N141" s="6" t="s">
        <v>23</v>
      </c>
      <c r="O141" s="6" t="s">
        <v>27</v>
      </c>
      <c r="P141" s="6" t="s">
        <v>28</v>
      </c>
      <c r="Q141" s="22">
        <v>36</v>
      </c>
      <c r="R141" s="23">
        <v>2</v>
      </c>
      <c r="S141" s="39">
        <v>0</v>
      </c>
      <c r="T141" s="7" t="s">
        <v>2910</v>
      </c>
      <c r="V141" s="7" t="str">
        <f>+IF(U141="","",IF(U141="FINES",CONCATENATE("R",IF(OR(B141="16",B141="21",B141="22",B141="23"),"16212223",IF(OR(B141="15",B141="17",B141="24",B141="25"),"15172425",B141))),IF(U141="CEBAS","UNICO",IF(VALUE(B141)&lt;=11,"AMBA","INTERIOR"))))</f>
        <v/>
      </c>
      <c r="W141" s="38" t="str">
        <f>+IF(U141="","-",CONCATENATE(U141,"_",V141))</f>
        <v>-</v>
      </c>
      <c r="X141" s="42">
        <v>0.17599999999999999</v>
      </c>
    </row>
    <row r="142" spans="1:24" ht="15" thickBot="1">
      <c r="A142" s="3" t="s">
        <v>2916</v>
      </c>
      <c r="B142" s="3" t="s">
        <v>19</v>
      </c>
      <c r="C142" s="3" t="s">
        <v>599</v>
      </c>
      <c r="D142" s="3" t="s">
        <v>601</v>
      </c>
      <c r="E142" s="3">
        <v>611018</v>
      </c>
      <c r="F142" s="3">
        <v>1</v>
      </c>
      <c r="G142" s="3" t="s">
        <v>604</v>
      </c>
      <c r="H142" s="3" t="s">
        <v>20</v>
      </c>
      <c r="I142" s="4" t="s">
        <v>50</v>
      </c>
      <c r="J142" s="4" t="s">
        <v>51</v>
      </c>
      <c r="K142" s="4" t="s">
        <v>605</v>
      </c>
      <c r="L142" s="4" t="s">
        <v>526</v>
      </c>
      <c r="M142" s="4" t="s">
        <v>22</v>
      </c>
      <c r="N142" s="4" t="s">
        <v>23</v>
      </c>
      <c r="O142" s="4" t="s">
        <v>27</v>
      </c>
      <c r="P142" s="4" t="s">
        <v>28</v>
      </c>
      <c r="Q142" s="24">
        <v>20</v>
      </c>
      <c r="R142" s="25">
        <v>2</v>
      </c>
      <c r="S142" s="39">
        <v>0</v>
      </c>
      <c r="T142" s="7" t="s">
        <v>2910</v>
      </c>
      <c r="V142" s="7" t="str">
        <f>+IF(U142="","",IF(U142="FINES",CONCATENATE("R",IF(OR(B142="16",B142="21",B142="22",B142="23"),"16212223",IF(OR(B142="15",B142="17",B142="24",B142="25"),"15172425",B142))),IF(U142="CEBAS","UNICO",IF(VALUE(B142)&lt;=11,"AMBA","INTERIOR"))))</f>
        <v/>
      </c>
      <c r="W142" s="38" t="str">
        <f>+IF(U142="","-",CONCATENATE(U142,"_",V142))</f>
        <v>-</v>
      </c>
      <c r="X142" s="42">
        <v>0.17799999999999999</v>
      </c>
    </row>
    <row r="143" spans="1:24" ht="15" thickBot="1">
      <c r="A143" s="5" t="s">
        <v>2916</v>
      </c>
      <c r="B143" s="5" t="s">
        <v>205</v>
      </c>
      <c r="C143" s="5" t="s">
        <v>1946</v>
      </c>
      <c r="D143" s="5" t="s">
        <v>1947</v>
      </c>
      <c r="E143" s="5">
        <v>616647</v>
      </c>
      <c r="F143" s="5">
        <v>3</v>
      </c>
      <c r="G143" s="5" t="s">
        <v>1953</v>
      </c>
      <c r="H143" s="5" t="s">
        <v>20</v>
      </c>
      <c r="I143" s="6" t="s">
        <v>50</v>
      </c>
      <c r="J143" s="6" t="s">
        <v>51</v>
      </c>
      <c r="K143" s="6" t="s">
        <v>1951</v>
      </c>
      <c r="L143" s="6" t="s">
        <v>778</v>
      </c>
      <c r="M143" s="6" t="s">
        <v>22</v>
      </c>
      <c r="N143" s="6" t="s">
        <v>23</v>
      </c>
      <c r="O143" s="6" t="s">
        <v>27</v>
      </c>
      <c r="P143" s="6" t="s">
        <v>28</v>
      </c>
      <c r="Q143" s="22">
        <v>24</v>
      </c>
      <c r="R143" s="23">
        <v>2</v>
      </c>
      <c r="S143" s="39">
        <v>0</v>
      </c>
      <c r="T143" s="7" t="s">
        <v>2910</v>
      </c>
      <c r="V143" s="7" t="str">
        <f>+IF(U143="","",IF(U143="FINES",CONCATENATE("R",IF(OR(B143="16",B143="21",B143="22",B143="23"),"16212223",IF(OR(B143="15",B143="17",B143="24",B143="25"),"15172425",B143))),IF(U143="CEBAS","UNICO",IF(VALUE(B143)&lt;=11,"AMBA","INTERIOR"))))</f>
        <v/>
      </c>
      <c r="W143" s="38" t="str">
        <f>+IF(U143="","-",CONCATENATE(U143,"_",V143))</f>
        <v>-</v>
      </c>
      <c r="X143" s="42">
        <v>0.18</v>
      </c>
    </row>
    <row r="144" spans="1:24" ht="15" thickBot="1">
      <c r="A144" s="3" t="s">
        <v>2916</v>
      </c>
      <c r="B144" s="3" t="s">
        <v>1532</v>
      </c>
      <c r="C144" s="3" t="s">
        <v>1530</v>
      </c>
      <c r="D144" s="3" t="s">
        <v>1531</v>
      </c>
      <c r="E144" s="3">
        <v>612437</v>
      </c>
      <c r="F144" s="3">
        <v>3</v>
      </c>
      <c r="G144" s="3" t="s">
        <v>1645</v>
      </c>
      <c r="H144" s="3" t="s">
        <v>20</v>
      </c>
      <c r="I144" s="4" t="s">
        <v>50</v>
      </c>
      <c r="J144" s="4" t="s">
        <v>51</v>
      </c>
      <c r="K144" s="4" t="s">
        <v>1609</v>
      </c>
      <c r="L144" s="4" t="s">
        <v>1646</v>
      </c>
      <c r="M144" s="4" t="s">
        <v>22</v>
      </c>
      <c r="N144" s="4" t="s">
        <v>134</v>
      </c>
      <c r="O144" s="4" t="s">
        <v>27</v>
      </c>
      <c r="P144" s="4" t="s">
        <v>28</v>
      </c>
      <c r="Q144" s="24">
        <v>27</v>
      </c>
      <c r="R144" s="25">
        <v>2</v>
      </c>
      <c r="S144" s="39">
        <v>0</v>
      </c>
      <c r="T144" s="7" t="s">
        <v>2910</v>
      </c>
      <c r="V144" s="7" t="str">
        <f>+IF(U144="","",IF(U144="FINES",CONCATENATE("R",IF(OR(B144="16",B144="21",B144="22",B144="23"),"16212223",IF(OR(B144="15",B144="17",B144="24",B144="25"),"15172425",B144))),IF(U144="CEBAS","UNICO",IF(VALUE(B144)&lt;=11,"AMBA","INTERIOR"))))</f>
        <v/>
      </c>
      <c r="W144" s="38" t="str">
        <f>+IF(U144="","-",CONCATENATE(U144,"_",V144))</f>
        <v>-</v>
      </c>
      <c r="X144" s="42">
        <v>0.183</v>
      </c>
    </row>
    <row r="145" spans="1:24" ht="15" thickBot="1">
      <c r="A145" s="5" t="s">
        <v>2916</v>
      </c>
      <c r="B145" s="5" t="s">
        <v>1532</v>
      </c>
      <c r="C145" s="5" t="s">
        <v>1530</v>
      </c>
      <c r="D145" s="5" t="s">
        <v>1531</v>
      </c>
      <c r="E145" s="5">
        <v>610535</v>
      </c>
      <c r="F145" s="5">
        <v>1</v>
      </c>
      <c r="G145" s="5" t="s">
        <v>1560</v>
      </c>
      <c r="H145" s="5" t="s">
        <v>20</v>
      </c>
      <c r="I145" s="6" t="s">
        <v>50</v>
      </c>
      <c r="J145" s="6" t="s">
        <v>51</v>
      </c>
      <c r="K145" s="6" t="s">
        <v>1561</v>
      </c>
      <c r="L145" s="6" t="s">
        <v>533</v>
      </c>
      <c r="M145" s="6" t="s">
        <v>22</v>
      </c>
      <c r="N145" s="6" t="s">
        <v>23</v>
      </c>
      <c r="O145" s="6" t="s">
        <v>27</v>
      </c>
      <c r="P145" s="6" t="s">
        <v>28</v>
      </c>
      <c r="Q145" s="22">
        <v>16</v>
      </c>
      <c r="R145" s="23">
        <v>1</v>
      </c>
      <c r="S145" s="39">
        <v>0</v>
      </c>
      <c r="T145" s="7" t="s">
        <v>2910</v>
      </c>
      <c r="V145" s="7" t="str">
        <f>+IF(U145="","",IF(U145="FINES",CONCATENATE("R",IF(OR(B145="16",B145="21",B145="22",B145="23"),"16212223",IF(OR(B145="15",B145="17",B145="24",B145="25"),"15172425",B145))),IF(U145="CEBAS","UNICO",IF(VALUE(B145)&lt;=11,"AMBA","INTERIOR"))))</f>
        <v/>
      </c>
      <c r="W145" s="38" t="str">
        <f>+IF(U145="","-",CONCATENATE(U145,"_",V145))</f>
        <v>-</v>
      </c>
      <c r="X145" s="42">
        <v>0.184</v>
      </c>
    </row>
    <row r="146" spans="1:24" ht="15" thickBot="1">
      <c r="A146" s="5" t="s">
        <v>2916</v>
      </c>
      <c r="B146" s="5" t="s">
        <v>1532</v>
      </c>
      <c r="C146" s="5" t="s">
        <v>1530</v>
      </c>
      <c r="D146" s="5" t="s">
        <v>1531</v>
      </c>
      <c r="E146" s="5">
        <v>613635</v>
      </c>
      <c r="F146" s="5">
        <v>3</v>
      </c>
      <c r="G146" s="5" t="s">
        <v>1630</v>
      </c>
      <c r="H146" s="5" t="s">
        <v>20</v>
      </c>
      <c r="I146" s="6" t="s">
        <v>50</v>
      </c>
      <c r="J146" s="6" t="s">
        <v>51</v>
      </c>
      <c r="K146" s="6" t="s">
        <v>1583</v>
      </c>
      <c r="L146" s="6" t="s">
        <v>1631</v>
      </c>
      <c r="M146" s="6" t="s">
        <v>22</v>
      </c>
      <c r="N146" s="6" t="s">
        <v>23</v>
      </c>
      <c r="O146" s="6" t="s">
        <v>27</v>
      </c>
      <c r="P146" s="6" t="s">
        <v>28</v>
      </c>
      <c r="Q146" s="22">
        <v>15</v>
      </c>
      <c r="R146" s="23">
        <v>1</v>
      </c>
      <c r="S146" s="39">
        <v>0</v>
      </c>
      <c r="T146" s="7" t="s">
        <v>2910</v>
      </c>
      <c r="V146" s="7" t="str">
        <f>+IF(U146="","",IF(U146="FINES",CONCATENATE("R",IF(OR(B146="16",B146="21",B146="22",B146="23"),"16212223",IF(OR(B146="15",B146="17",B146="24",B146="25"),"15172425",B146))),IF(U146="CEBAS","UNICO",IF(VALUE(B146)&lt;=11,"AMBA","INTERIOR"))))</f>
        <v/>
      </c>
      <c r="W146" s="38" t="str">
        <f>+IF(U146="","-",CONCATENATE(U146,"_",V146))</f>
        <v>-</v>
      </c>
      <c r="X146" s="42">
        <v>0.184</v>
      </c>
    </row>
    <row r="147" spans="1:24" ht="15" thickBot="1">
      <c r="A147" s="5" t="s">
        <v>2916</v>
      </c>
      <c r="B147" s="5" t="s">
        <v>217</v>
      </c>
      <c r="C147" s="5" t="s">
        <v>2206</v>
      </c>
      <c r="D147" s="5" t="s">
        <v>2207</v>
      </c>
      <c r="E147" s="5">
        <v>610682</v>
      </c>
      <c r="F147" s="5">
        <v>0</v>
      </c>
      <c r="G147" s="5" t="s">
        <v>2209</v>
      </c>
      <c r="H147" s="5" t="s">
        <v>20</v>
      </c>
      <c r="I147" s="6" t="s">
        <v>50</v>
      </c>
      <c r="J147" s="6" t="s">
        <v>21</v>
      </c>
      <c r="K147" s="6"/>
      <c r="L147" s="6" t="s">
        <v>235</v>
      </c>
      <c r="M147" s="6" t="s">
        <v>22</v>
      </c>
      <c r="N147" s="6" t="s">
        <v>23</v>
      </c>
      <c r="O147" s="6" t="s">
        <v>27</v>
      </c>
      <c r="P147" s="6" t="s">
        <v>28</v>
      </c>
      <c r="Q147" s="22">
        <v>12</v>
      </c>
      <c r="R147" s="23">
        <v>1</v>
      </c>
      <c r="S147" s="39">
        <v>0</v>
      </c>
      <c r="T147" s="7" t="s">
        <v>2910</v>
      </c>
      <c r="V147" s="7" t="str">
        <f>+IF(U147="","",IF(U147="FINES",CONCATENATE("R",IF(OR(B147="16",B147="21",B147="22",B147="23"),"16212223",IF(OR(B147="15",B147="17",B147="24",B147="25"),"15172425",B147))),IF(U147="CEBAS","UNICO",IF(VALUE(B147)&lt;=11,"AMBA","INTERIOR"))))</f>
        <v/>
      </c>
      <c r="W147" s="38" t="str">
        <f>+IF(U147="","-",CONCATENATE(U147,"_",V147))</f>
        <v>-</v>
      </c>
      <c r="X147" s="42">
        <v>0.184</v>
      </c>
    </row>
    <row r="148" spans="1:24" ht="15" thickBot="1">
      <c r="A148" s="5" t="s">
        <v>2916</v>
      </c>
      <c r="B148" s="5" t="s">
        <v>352</v>
      </c>
      <c r="C148" s="5" t="s">
        <v>521</v>
      </c>
      <c r="D148" s="5" t="s">
        <v>523</v>
      </c>
      <c r="E148" s="5">
        <v>606175</v>
      </c>
      <c r="F148" s="5">
        <v>1</v>
      </c>
      <c r="G148" s="5" t="s">
        <v>534</v>
      </c>
      <c r="H148" s="5" t="s">
        <v>20</v>
      </c>
      <c r="I148" s="6" t="s">
        <v>50</v>
      </c>
      <c r="J148" s="6" t="s">
        <v>51</v>
      </c>
      <c r="K148" s="6" t="s">
        <v>532</v>
      </c>
      <c r="L148" s="6" t="s">
        <v>438</v>
      </c>
      <c r="M148" s="6" t="s">
        <v>22</v>
      </c>
      <c r="N148" s="6" t="s">
        <v>23</v>
      </c>
      <c r="O148" s="6" t="s">
        <v>27</v>
      </c>
      <c r="P148" s="6" t="s">
        <v>28</v>
      </c>
      <c r="Q148" s="22">
        <v>18</v>
      </c>
      <c r="R148" s="23">
        <v>1</v>
      </c>
      <c r="S148" s="39">
        <v>0</v>
      </c>
      <c r="T148" s="7" t="s">
        <v>2910</v>
      </c>
      <c r="V148" s="7" t="str">
        <f>+IF(U148="","",IF(U148="FINES",CONCATENATE("R",IF(OR(B148="16",B148="21",B148="22",B148="23"),"16212223",IF(OR(B148="15",B148="17",B148="24",B148="25"),"15172425",B148))),IF(U148="CEBAS","UNICO",IF(VALUE(B148)&lt;=11,"AMBA","INTERIOR"))))</f>
        <v/>
      </c>
      <c r="W148" s="38" t="str">
        <f>+IF(U148="","-",CONCATENATE(U148,"_",V148))</f>
        <v>-</v>
      </c>
      <c r="X148" s="42">
        <v>0.186</v>
      </c>
    </row>
    <row r="149" spans="1:24" ht="15" thickBot="1">
      <c r="A149" s="3" t="s">
        <v>2916</v>
      </c>
      <c r="B149" s="3" t="s">
        <v>220</v>
      </c>
      <c r="C149" s="3" t="s">
        <v>726</v>
      </c>
      <c r="D149" s="3" t="s">
        <v>2434</v>
      </c>
      <c r="E149" s="3">
        <v>622415</v>
      </c>
      <c r="F149" s="3">
        <v>0</v>
      </c>
      <c r="G149" s="3" t="s">
        <v>2441</v>
      </c>
      <c r="H149" s="3" t="s">
        <v>20</v>
      </c>
      <c r="I149" s="4" t="s">
        <v>50</v>
      </c>
      <c r="J149" s="4" t="s">
        <v>21</v>
      </c>
      <c r="K149" s="4"/>
      <c r="L149" s="4" t="s">
        <v>533</v>
      </c>
      <c r="M149" s="4" t="s">
        <v>199</v>
      </c>
      <c r="N149" s="4" t="s">
        <v>23</v>
      </c>
      <c r="O149" s="4" t="s">
        <v>27</v>
      </c>
      <c r="P149" s="4" t="s">
        <v>28</v>
      </c>
      <c r="Q149" s="24">
        <v>10</v>
      </c>
      <c r="R149" s="25">
        <v>1</v>
      </c>
      <c r="S149" s="39">
        <v>0</v>
      </c>
      <c r="T149" s="7" t="s">
        <v>2910</v>
      </c>
      <c r="V149" s="7" t="str">
        <f>+IF(U149="","",IF(U149="FINES",CONCATENATE("R",IF(OR(B149="16",B149="21",B149="22",B149="23"),"16212223",IF(OR(B149="15",B149="17",B149="24",B149="25"),"15172425",B149))),IF(U149="CEBAS","UNICO",IF(VALUE(B149)&lt;=11,"AMBA","INTERIOR"))))</f>
        <v/>
      </c>
      <c r="W149" s="38" t="str">
        <f>+IF(U149="","-",CONCATENATE(U149,"_",V149))</f>
        <v>-</v>
      </c>
      <c r="X149" s="42">
        <v>0.186</v>
      </c>
    </row>
    <row r="150" spans="1:24" ht="15" thickBot="1">
      <c r="A150" s="3" t="s">
        <v>2916</v>
      </c>
      <c r="B150" s="3" t="s">
        <v>221</v>
      </c>
      <c r="C150" s="3" t="s">
        <v>571</v>
      </c>
      <c r="D150" s="3" t="s">
        <v>573</v>
      </c>
      <c r="E150" s="3">
        <v>604359</v>
      </c>
      <c r="F150" s="3">
        <v>0</v>
      </c>
      <c r="G150" s="3" t="s">
        <v>576</v>
      </c>
      <c r="H150" s="3" t="s">
        <v>20</v>
      </c>
      <c r="I150" s="4" t="s">
        <v>50</v>
      </c>
      <c r="J150" s="4" t="s">
        <v>21</v>
      </c>
      <c r="K150" s="4"/>
      <c r="L150" s="4" t="s">
        <v>577</v>
      </c>
      <c r="M150" s="4" t="s">
        <v>200</v>
      </c>
      <c r="N150" s="4" t="s">
        <v>23</v>
      </c>
      <c r="O150" s="4" t="s">
        <v>27</v>
      </c>
      <c r="P150" s="4" t="s">
        <v>28</v>
      </c>
      <c r="Q150" s="24">
        <v>25</v>
      </c>
      <c r="R150" s="25">
        <v>2</v>
      </c>
      <c r="S150" s="39">
        <v>0</v>
      </c>
      <c r="T150" s="7" t="s">
        <v>2910</v>
      </c>
      <c r="V150" s="7" t="str">
        <f>+IF(U150="","",IF(U150="FINES",CONCATENATE("R",IF(OR(B150="16",B150="21",B150="22",B150="23"),"16212223",IF(OR(B150="15",B150="17",B150="24",B150="25"),"15172425",B150))),IF(U150="CEBAS","UNICO",IF(VALUE(B150)&lt;=11,"AMBA","INTERIOR"))))</f>
        <v/>
      </c>
      <c r="W150" s="38" t="str">
        <f>+IF(U150="","-",CONCATENATE(U150,"_",V150))</f>
        <v>-</v>
      </c>
      <c r="X150" s="42">
        <v>0.187</v>
      </c>
    </row>
    <row r="151" spans="1:24" ht="15" thickBot="1">
      <c r="A151" s="3" t="s">
        <v>2916</v>
      </c>
      <c r="B151" s="3" t="s">
        <v>204</v>
      </c>
      <c r="C151" s="3" t="s">
        <v>219</v>
      </c>
      <c r="D151" s="3" t="s">
        <v>2865</v>
      </c>
      <c r="E151" s="3">
        <v>600021</v>
      </c>
      <c r="F151" s="3">
        <v>4</v>
      </c>
      <c r="G151" s="3" t="s">
        <v>2875</v>
      </c>
      <c r="H151" s="3" t="s">
        <v>20</v>
      </c>
      <c r="I151" s="4" t="s">
        <v>50</v>
      </c>
      <c r="J151" s="4" t="s">
        <v>51</v>
      </c>
      <c r="K151" s="4" t="s">
        <v>2867</v>
      </c>
      <c r="L151" s="4" t="s">
        <v>2055</v>
      </c>
      <c r="M151" s="4" t="s">
        <v>22</v>
      </c>
      <c r="N151" s="4" t="s">
        <v>23</v>
      </c>
      <c r="O151" s="4" t="s">
        <v>27</v>
      </c>
      <c r="P151" s="4" t="s">
        <v>28</v>
      </c>
      <c r="Q151" s="24">
        <v>30</v>
      </c>
      <c r="R151" s="25">
        <v>2</v>
      </c>
      <c r="S151" s="39">
        <v>0</v>
      </c>
      <c r="T151" s="7" t="s">
        <v>2910</v>
      </c>
      <c r="V151" s="7" t="str">
        <f>+IF(U151="","",IF(U151="FINES",CONCATENATE("R",IF(OR(B151="16",B151="21",B151="22",B151="23"),"16212223",IF(OR(B151="15",B151="17",B151="24",B151="25"),"15172425",B151))),IF(U151="CEBAS","UNICO",IF(VALUE(B151)&lt;=11,"AMBA","INTERIOR"))))</f>
        <v/>
      </c>
      <c r="W151" s="38" t="str">
        <f>+IF(U151="","-",CONCATENATE(U151,"_",V151))</f>
        <v>-</v>
      </c>
      <c r="X151" s="42">
        <v>0.188</v>
      </c>
    </row>
    <row r="152" spans="1:24" ht="15" thickBot="1">
      <c r="A152" s="5" t="s">
        <v>2916</v>
      </c>
      <c r="B152" s="5" t="s">
        <v>225</v>
      </c>
      <c r="C152" s="5" t="s">
        <v>942</v>
      </c>
      <c r="D152" s="5" t="s">
        <v>943</v>
      </c>
      <c r="E152" s="5">
        <v>600256</v>
      </c>
      <c r="F152" s="5">
        <v>2</v>
      </c>
      <c r="G152" s="5" t="s">
        <v>992</v>
      </c>
      <c r="H152" s="5" t="s">
        <v>20</v>
      </c>
      <c r="I152" s="6" t="s">
        <v>50</v>
      </c>
      <c r="J152" s="6" t="s">
        <v>51</v>
      </c>
      <c r="K152" s="6" t="s">
        <v>966</v>
      </c>
      <c r="L152" s="6" t="s">
        <v>993</v>
      </c>
      <c r="M152" s="6" t="s">
        <v>22</v>
      </c>
      <c r="N152" s="6" t="s">
        <v>23</v>
      </c>
      <c r="O152" s="6" t="s">
        <v>27</v>
      </c>
      <c r="P152" s="6" t="s">
        <v>28</v>
      </c>
      <c r="Q152" s="22">
        <v>26</v>
      </c>
      <c r="R152" s="23">
        <v>2</v>
      </c>
      <c r="S152" s="39">
        <v>0</v>
      </c>
      <c r="T152" s="7" t="s">
        <v>2910</v>
      </c>
      <c r="V152" s="7" t="str">
        <f>+IF(U152="","",IF(U152="FINES",CONCATENATE("R",IF(OR(B152="16",B152="21",B152="22",B152="23"),"16212223",IF(OR(B152="15",B152="17",B152="24",B152="25"),"15172425",B152))),IF(U152="CEBAS","UNICO",IF(VALUE(B152)&lt;=11,"AMBA","INTERIOR"))))</f>
        <v/>
      </c>
      <c r="W152" s="38" t="str">
        <f>+IF(U152="","-",CONCATENATE(U152,"_",V152))</f>
        <v>-</v>
      </c>
      <c r="X152" s="42">
        <v>0.189</v>
      </c>
    </row>
    <row r="153" spans="1:24" ht="15" thickBot="1">
      <c r="A153" s="3" t="s">
        <v>2916</v>
      </c>
      <c r="B153" s="3" t="s">
        <v>225</v>
      </c>
      <c r="C153" s="3" t="s">
        <v>942</v>
      </c>
      <c r="D153" s="3" t="s">
        <v>943</v>
      </c>
      <c r="E153" s="3">
        <v>605101</v>
      </c>
      <c r="F153" s="3">
        <v>2</v>
      </c>
      <c r="G153" s="3" t="s">
        <v>1005</v>
      </c>
      <c r="H153" s="3" t="s">
        <v>20</v>
      </c>
      <c r="I153" s="4" t="s">
        <v>50</v>
      </c>
      <c r="J153" s="4" t="s">
        <v>51</v>
      </c>
      <c r="K153" s="4" t="s">
        <v>995</v>
      </c>
      <c r="L153" s="4" t="s">
        <v>1006</v>
      </c>
      <c r="M153" s="4" t="s">
        <v>22</v>
      </c>
      <c r="N153" s="4" t="s">
        <v>23</v>
      </c>
      <c r="O153" s="4" t="s">
        <v>27</v>
      </c>
      <c r="P153" s="4" t="s">
        <v>28</v>
      </c>
      <c r="Q153" s="24">
        <v>12</v>
      </c>
      <c r="R153" s="25">
        <v>1</v>
      </c>
      <c r="S153" s="39">
        <v>0</v>
      </c>
      <c r="T153" s="7" t="s">
        <v>2910</v>
      </c>
      <c r="U153" s="7"/>
      <c r="V153" s="7" t="str">
        <f>+IF(U153="","",IF(U153="FINES",CONCATENATE("R",IF(OR(B153="16",B153="21",B153="22",B153="23"),"16212223",IF(OR(B153="15",B153="17",B153="24",B153="25"),"15172425",B153))),IF(U153="CEBAS","UNICO",IF(VALUE(B153)&lt;=11,"AMBA","INTERIOR"))))</f>
        <v/>
      </c>
      <c r="W153" s="38" t="str">
        <f>+IF(U153="","-",CONCATENATE(U153,"_",V153))</f>
        <v>-</v>
      </c>
      <c r="X153" s="42">
        <v>0.191</v>
      </c>
    </row>
    <row r="154" spans="1:24" ht="15" thickBot="1">
      <c r="A154" s="5" t="s">
        <v>2916</v>
      </c>
      <c r="B154" s="5" t="s">
        <v>223</v>
      </c>
      <c r="C154" s="5" t="s">
        <v>229</v>
      </c>
      <c r="D154" s="5" t="s">
        <v>231</v>
      </c>
      <c r="E154" s="5">
        <v>604155</v>
      </c>
      <c r="F154" s="5">
        <v>0</v>
      </c>
      <c r="G154" s="5" t="s">
        <v>232</v>
      </c>
      <c r="H154" s="5" t="s">
        <v>20</v>
      </c>
      <c r="I154" s="6" t="s">
        <v>50</v>
      </c>
      <c r="J154" s="6" t="s">
        <v>21</v>
      </c>
      <c r="K154" s="6"/>
      <c r="L154" s="6" t="s">
        <v>233</v>
      </c>
      <c r="M154" s="6" t="s">
        <v>22</v>
      </c>
      <c r="N154" s="6" t="s">
        <v>23</v>
      </c>
      <c r="O154" s="6" t="s">
        <v>27</v>
      </c>
      <c r="P154" s="6" t="s">
        <v>28</v>
      </c>
      <c r="Q154" s="22">
        <v>22</v>
      </c>
      <c r="R154" s="23">
        <v>3</v>
      </c>
      <c r="S154" s="39">
        <v>0</v>
      </c>
      <c r="T154" s="7" t="s">
        <v>2910</v>
      </c>
      <c r="U154" s="7"/>
      <c r="V154" s="7" t="str">
        <f>+IF(U154="","",IF(U154="FINES",CONCATENATE("R",IF(OR(B154="16",B154="21",B154="22",B154="23"),"16212223",IF(OR(B154="15",B154="17",B154="24",B154="25"),"15172425",B154))),IF(U154="CEBAS","UNICO",IF(VALUE(B154)&lt;=11,"AMBA","INTERIOR"))))</f>
        <v/>
      </c>
      <c r="W154" s="38" t="str">
        <f>+IF(U154="","-",CONCATENATE(U154,"_",V154))</f>
        <v>-</v>
      </c>
      <c r="X154" s="42">
        <v>0.191</v>
      </c>
    </row>
    <row r="155" spans="1:24" ht="15" thickBot="1">
      <c r="A155" s="5" t="s">
        <v>2916</v>
      </c>
      <c r="B155" s="5" t="s">
        <v>19</v>
      </c>
      <c r="C155" s="5" t="s">
        <v>17</v>
      </c>
      <c r="D155" s="5" t="s">
        <v>18</v>
      </c>
      <c r="E155" s="5">
        <v>609115</v>
      </c>
      <c r="F155" s="5">
        <v>1</v>
      </c>
      <c r="G155" s="5" t="s">
        <v>64</v>
      </c>
      <c r="H155" s="5" t="s">
        <v>20</v>
      </c>
      <c r="I155" s="6" t="s">
        <v>50</v>
      </c>
      <c r="J155" s="6" t="s">
        <v>51</v>
      </c>
      <c r="K155" s="6" t="s">
        <v>65</v>
      </c>
      <c r="L155" s="6" t="s">
        <v>66</v>
      </c>
      <c r="M155" s="6" t="s">
        <v>22</v>
      </c>
      <c r="N155" s="6" t="s">
        <v>23</v>
      </c>
      <c r="O155" s="6" t="s">
        <v>27</v>
      </c>
      <c r="P155" s="6" t="s">
        <v>28</v>
      </c>
      <c r="Q155" s="22">
        <v>32</v>
      </c>
      <c r="R155" s="23">
        <v>2</v>
      </c>
      <c r="S155" s="39">
        <v>0</v>
      </c>
      <c r="T155" s="7" t="s">
        <v>2910</v>
      </c>
      <c r="U155" s="7"/>
      <c r="V155" s="7" t="str">
        <f>+IF(U155="","",IF(U155="FINES",CONCATENATE("R",IF(OR(B155="16",B155="21",B155="22",B155="23"),"16212223",IF(OR(B155="15",B155="17",B155="24",B155="25"),"15172425",B155))),IF(U155="CEBAS","UNICO",IF(VALUE(B155)&lt;=11,"AMBA","INTERIOR"))))</f>
        <v/>
      </c>
      <c r="W155" s="38" t="str">
        <f>+IF(U155="","-",CONCATENATE(U155,"_",V155))</f>
        <v>-</v>
      </c>
      <c r="X155" s="42">
        <v>0.193</v>
      </c>
    </row>
    <row r="156" spans="1:24" ht="15" thickBot="1">
      <c r="A156" s="5" t="s">
        <v>2916</v>
      </c>
      <c r="B156" s="5" t="s">
        <v>19</v>
      </c>
      <c r="C156" s="5" t="s">
        <v>17</v>
      </c>
      <c r="D156" s="5" t="s">
        <v>18</v>
      </c>
      <c r="E156" s="5">
        <v>609115</v>
      </c>
      <c r="F156" s="5">
        <v>3</v>
      </c>
      <c r="G156" s="5" t="s">
        <v>105</v>
      </c>
      <c r="H156" s="5" t="s">
        <v>20</v>
      </c>
      <c r="I156" s="6" t="s">
        <v>50</v>
      </c>
      <c r="J156" s="6" t="s">
        <v>51</v>
      </c>
      <c r="K156" s="6" t="s">
        <v>65</v>
      </c>
      <c r="L156" s="6" t="s">
        <v>106</v>
      </c>
      <c r="M156" s="6" t="s">
        <v>22</v>
      </c>
      <c r="N156" s="6" t="s">
        <v>23</v>
      </c>
      <c r="O156" s="6" t="s">
        <v>27</v>
      </c>
      <c r="P156" s="6" t="s">
        <v>28</v>
      </c>
      <c r="Q156" s="22">
        <v>50</v>
      </c>
      <c r="R156" s="23">
        <v>4</v>
      </c>
      <c r="S156" s="39">
        <v>0</v>
      </c>
      <c r="T156" s="7" t="s">
        <v>2910</v>
      </c>
      <c r="U156" s="7"/>
      <c r="V156" s="7" t="str">
        <f>+IF(U156="","",IF(U156="FINES",CONCATENATE("R",IF(OR(B156="16",B156="21",B156="22",B156="23"),"16212223",IF(OR(B156="15",B156="17",B156="24",B156="25"),"15172425",B156))),IF(U156="CEBAS","UNICO",IF(VALUE(B156)&lt;=11,"AMBA","INTERIOR"))))</f>
        <v/>
      </c>
      <c r="W156" s="38" t="str">
        <f>+IF(U156="","-",CONCATENATE(U156,"_",V156))</f>
        <v>-</v>
      </c>
      <c r="X156" s="42">
        <v>0.19500000000000001</v>
      </c>
    </row>
    <row r="157" spans="1:24" ht="15" thickBot="1">
      <c r="A157" s="5" t="s">
        <v>2916</v>
      </c>
      <c r="B157" s="5" t="s">
        <v>205</v>
      </c>
      <c r="C157" s="5" t="s">
        <v>589</v>
      </c>
      <c r="D157" s="5" t="s">
        <v>591</v>
      </c>
      <c r="E157" s="5">
        <v>602655</v>
      </c>
      <c r="F157" s="5">
        <v>0</v>
      </c>
      <c r="G157" s="5" t="s">
        <v>592</v>
      </c>
      <c r="H157" s="5" t="s">
        <v>20</v>
      </c>
      <c r="I157" s="6" t="s">
        <v>50</v>
      </c>
      <c r="J157" s="6" t="s">
        <v>21</v>
      </c>
      <c r="K157" s="6"/>
      <c r="L157" s="6" t="s">
        <v>545</v>
      </c>
      <c r="M157" s="6" t="s">
        <v>22</v>
      </c>
      <c r="N157" s="6" t="s">
        <v>23</v>
      </c>
      <c r="O157" s="6" t="s">
        <v>27</v>
      </c>
      <c r="P157" s="6" t="s">
        <v>28</v>
      </c>
      <c r="Q157" s="22">
        <v>11</v>
      </c>
      <c r="R157" s="23">
        <v>1</v>
      </c>
      <c r="S157" s="39">
        <v>0</v>
      </c>
      <c r="T157" s="7" t="s">
        <v>2910</v>
      </c>
      <c r="U157" s="7"/>
      <c r="V157" s="7" t="str">
        <f>+IF(U157="","",IF(U157="FINES",CONCATENATE("R",IF(OR(B157="16",B157="21",B157="22",B157="23"),"16212223",IF(OR(B157="15",B157="17",B157="24",B157="25"),"15172425",B157))),IF(U157="CEBAS","UNICO",IF(VALUE(B157)&lt;=11,"AMBA","INTERIOR"))))</f>
        <v/>
      </c>
      <c r="W157" s="38" t="str">
        <f>+IF(U157="","-",CONCATENATE(U157,"_",V157))</f>
        <v>-</v>
      </c>
      <c r="X157" s="42">
        <v>0.19900000000000001</v>
      </c>
    </row>
    <row r="158" spans="1:24" ht="15" thickBot="1">
      <c r="A158" s="5" t="s">
        <v>2916</v>
      </c>
      <c r="B158" s="5" t="s">
        <v>352</v>
      </c>
      <c r="C158" s="5" t="s">
        <v>1924</v>
      </c>
      <c r="D158" s="5" t="s">
        <v>1925</v>
      </c>
      <c r="E158" s="5">
        <v>601833</v>
      </c>
      <c r="F158" s="5">
        <v>0</v>
      </c>
      <c r="G158" s="5" t="s">
        <v>1935</v>
      </c>
      <c r="H158" s="5" t="s">
        <v>20</v>
      </c>
      <c r="I158" s="6" t="s">
        <v>50</v>
      </c>
      <c r="J158" s="6" t="s">
        <v>21</v>
      </c>
      <c r="K158" s="6"/>
      <c r="L158" s="6" t="s">
        <v>1936</v>
      </c>
      <c r="M158" s="6" t="s">
        <v>22</v>
      </c>
      <c r="N158" s="6" t="s">
        <v>23</v>
      </c>
      <c r="O158" s="6" t="s">
        <v>27</v>
      </c>
      <c r="P158" s="6" t="s">
        <v>28</v>
      </c>
      <c r="Q158" s="22">
        <v>16</v>
      </c>
      <c r="R158" s="23">
        <v>1</v>
      </c>
      <c r="S158" s="39">
        <v>0</v>
      </c>
      <c r="T158" s="7" t="s">
        <v>2910</v>
      </c>
      <c r="U158" s="7"/>
      <c r="V158" s="7" t="str">
        <f>+IF(U158="","",IF(U158="FINES",CONCATENATE("R",IF(OR(B158="16",B158="21",B158="22",B158="23"),"16212223",IF(OR(B158="15",B158="17",B158="24",B158="25"),"15172425",B158))),IF(U158="CEBAS","UNICO",IF(VALUE(B158)&lt;=11,"AMBA","INTERIOR"))))</f>
        <v/>
      </c>
      <c r="W158" s="38" t="str">
        <f>+IF(U158="","-",CONCATENATE(U158,"_",V158))</f>
        <v>-</v>
      </c>
      <c r="X158" s="42">
        <v>0.19900000000000001</v>
      </c>
    </row>
    <row r="159" spans="1:24" ht="15" thickBot="1">
      <c r="A159" s="3" t="s">
        <v>2916</v>
      </c>
      <c r="B159" s="3" t="s">
        <v>203</v>
      </c>
      <c r="C159" s="3" t="s">
        <v>450</v>
      </c>
      <c r="D159" s="3" t="s">
        <v>452</v>
      </c>
      <c r="E159" s="3">
        <v>611895</v>
      </c>
      <c r="F159" s="3">
        <v>3</v>
      </c>
      <c r="G159" s="3" t="s">
        <v>467</v>
      </c>
      <c r="H159" s="3" t="s">
        <v>20</v>
      </c>
      <c r="I159" s="4" t="s">
        <v>50</v>
      </c>
      <c r="J159" s="4" t="s">
        <v>51</v>
      </c>
      <c r="K159" s="4" t="s">
        <v>457</v>
      </c>
      <c r="L159" s="4" t="s">
        <v>468</v>
      </c>
      <c r="M159" s="4" t="s">
        <v>22</v>
      </c>
      <c r="N159" s="4" t="s">
        <v>23</v>
      </c>
      <c r="O159" s="4" t="s">
        <v>27</v>
      </c>
      <c r="P159" s="4" t="s">
        <v>28</v>
      </c>
      <c r="Q159" s="24">
        <v>27</v>
      </c>
      <c r="R159" s="25">
        <v>3</v>
      </c>
      <c r="S159" s="39">
        <v>0</v>
      </c>
      <c r="T159" s="7" t="s">
        <v>2910</v>
      </c>
      <c r="U159" s="7"/>
      <c r="V159" s="7" t="str">
        <f>+IF(U159="","",IF(U159="FINES",CONCATENATE("R",IF(OR(B159="16",B159="21",B159="22",B159="23"),"16212223",IF(OR(B159="15",B159="17",B159="24",B159="25"),"15172425",B159))),IF(U159="CEBAS","UNICO",IF(VALUE(B159)&lt;=11,"AMBA","INTERIOR"))))</f>
        <v/>
      </c>
      <c r="W159" s="38" t="str">
        <f>+IF(U159="","-",CONCATENATE(U159,"_",V159))</f>
        <v>-</v>
      </c>
      <c r="X159" s="42">
        <v>0.20100000000000001</v>
      </c>
    </row>
    <row r="160" spans="1:24" ht="15" thickBot="1">
      <c r="A160" s="5" t="s">
        <v>2916</v>
      </c>
      <c r="B160" s="5" t="s">
        <v>140</v>
      </c>
      <c r="C160" s="5" t="s">
        <v>2322</v>
      </c>
      <c r="D160" s="5" t="s">
        <v>2323</v>
      </c>
      <c r="E160" s="5">
        <v>607570</v>
      </c>
      <c r="F160" s="5">
        <v>2</v>
      </c>
      <c r="G160" s="5" t="s">
        <v>2329</v>
      </c>
      <c r="H160" s="5" t="s">
        <v>20</v>
      </c>
      <c r="I160" s="6" t="s">
        <v>50</v>
      </c>
      <c r="J160" s="6" t="s">
        <v>51</v>
      </c>
      <c r="K160" s="6" t="s">
        <v>2328</v>
      </c>
      <c r="L160" s="6" t="s">
        <v>530</v>
      </c>
      <c r="M160" s="6" t="s">
        <v>22</v>
      </c>
      <c r="N160" s="6" t="s">
        <v>23</v>
      </c>
      <c r="O160" s="6" t="s">
        <v>27</v>
      </c>
      <c r="P160" s="6" t="s">
        <v>28</v>
      </c>
      <c r="Q160" s="22">
        <v>31</v>
      </c>
      <c r="R160" s="23">
        <v>2</v>
      </c>
      <c r="S160" s="39">
        <v>0</v>
      </c>
      <c r="T160" s="7" t="s">
        <v>2910</v>
      </c>
      <c r="U160" s="7"/>
      <c r="V160" s="7" t="str">
        <f>+IF(U160="","",IF(U160="FINES",CONCATENATE("R",IF(OR(B160="16",B160="21",B160="22",B160="23"),"16212223",IF(OR(B160="15",B160="17",B160="24",B160="25"),"15172425",B160))),IF(U160="CEBAS","UNICO",IF(VALUE(B160)&lt;=11,"AMBA","INTERIOR"))))</f>
        <v/>
      </c>
      <c r="W160" s="38" t="str">
        <f>+IF(U160="","-",CONCATENATE(U160,"_",V160))</f>
        <v>-</v>
      </c>
      <c r="X160" s="42">
        <v>0.20100000000000001</v>
      </c>
    </row>
    <row r="161" spans="1:24" ht="15" thickBot="1">
      <c r="A161" s="3" t="s">
        <v>2916</v>
      </c>
      <c r="B161" s="3" t="s">
        <v>138</v>
      </c>
      <c r="C161" s="3" t="s">
        <v>540</v>
      </c>
      <c r="D161" s="3" t="s">
        <v>1766</v>
      </c>
      <c r="E161" s="3">
        <v>609593</v>
      </c>
      <c r="F161" s="3">
        <v>1</v>
      </c>
      <c r="G161" s="3" t="s">
        <v>1767</v>
      </c>
      <c r="H161" s="3" t="s">
        <v>20</v>
      </c>
      <c r="I161" s="4" t="s">
        <v>50</v>
      </c>
      <c r="J161" s="4" t="s">
        <v>51</v>
      </c>
      <c r="K161" s="4" t="s">
        <v>1768</v>
      </c>
      <c r="L161" s="4" t="s">
        <v>765</v>
      </c>
      <c r="M161" s="4" t="s">
        <v>22</v>
      </c>
      <c r="N161" s="4" t="s">
        <v>23</v>
      </c>
      <c r="O161" s="4" t="s">
        <v>27</v>
      </c>
      <c r="P161" s="4" t="s">
        <v>28</v>
      </c>
      <c r="Q161" s="24">
        <v>61</v>
      </c>
      <c r="R161" s="25">
        <v>4</v>
      </c>
      <c r="S161" s="39">
        <v>0</v>
      </c>
      <c r="T161" s="7" t="s">
        <v>2910</v>
      </c>
      <c r="U161" s="7"/>
      <c r="V161" s="7" t="str">
        <f>+IF(U161="","",IF(U161="FINES",CONCATENATE("R",IF(OR(B161="16",B161="21",B161="22",B161="23"),"16212223",IF(OR(B161="15",B161="17",B161="24",B161="25"),"15172425",B161))),IF(U161="CEBAS","UNICO",IF(VALUE(B161)&lt;=11,"AMBA","INTERIOR"))))</f>
        <v/>
      </c>
      <c r="W161" s="38" t="str">
        <f>+IF(U161="","-",CONCATENATE(U161,"_",V161))</f>
        <v>-</v>
      </c>
      <c r="X161" s="42">
        <v>0.20100000000000001</v>
      </c>
    </row>
    <row r="162" spans="1:24" ht="15" thickBot="1">
      <c r="A162" s="3" t="s">
        <v>2916</v>
      </c>
      <c r="B162" s="3" t="s">
        <v>1532</v>
      </c>
      <c r="C162" s="3" t="s">
        <v>1530</v>
      </c>
      <c r="D162" s="3" t="s">
        <v>1531</v>
      </c>
      <c r="E162" s="3">
        <v>611864</v>
      </c>
      <c r="F162" s="3">
        <v>2</v>
      </c>
      <c r="G162" s="3" t="s">
        <v>1653</v>
      </c>
      <c r="H162" s="3" t="s">
        <v>20</v>
      </c>
      <c r="I162" s="4" t="s">
        <v>50</v>
      </c>
      <c r="J162" s="4" t="s">
        <v>51</v>
      </c>
      <c r="K162" s="4" t="s">
        <v>1603</v>
      </c>
      <c r="L162" s="4" t="s">
        <v>1654</v>
      </c>
      <c r="M162" s="4" t="s">
        <v>22</v>
      </c>
      <c r="N162" s="4" t="s">
        <v>23</v>
      </c>
      <c r="O162" s="4" t="s">
        <v>27</v>
      </c>
      <c r="P162" s="4" t="s">
        <v>28</v>
      </c>
      <c r="Q162" s="24">
        <v>21</v>
      </c>
      <c r="R162" s="25">
        <v>2</v>
      </c>
      <c r="S162" s="39">
        <v>0</v>
      </c>
      <c r="T162" s="7" t="s">
        <v>2910</v>
      </c>
      <c r="U162" s="7"/>
      <c r="V162" s="7" t="str">
        <f>+IF(U162="","",IF(U162="FINES",CONCATENATE("R",IF(OR(B162="16",B162="21",B162="22",B162="23"),"16212223",IF(OR(B162="15",B162="17",B162="24",B162="25"),"15172425",B162))),IF(U162="CEBAS","UNICO",IF(VALUE(B162)&lt;=11,"AMBA","INTERIOR"))))</f>
        <v/>
      </c>
      <c r="W162" s="38" t="str">
        <f>+IF(U162="","-",CONCATENATE(U162,"_",V162))</f>
        <v>-</v>
      </c>
      <c r="X162" s="42">
        <v>0.20300000000000001</v>
      </c>
    </row>
    <row r="163" spans="1:24" ht="15" thickBot="1">
      <c r="A163" s="3" t="s">
        <v>2916</v>
      </c>
      <c r="B163" s="3" t="s">
        <v>1860</v>
      </c>
      <c r="C163" s="3" t="s">
        <v>224</v>
      </c>
      <c r="D163" s="3" t="s">
        <v>2837</v>
      </c>
      <c r="E163" s="3">
        <v>613692</v>
      </c>
      <c r="F163" s="3">
        <v>1</v>
      </c>
      <c r="G163" s="3" t="s">
        <v>2838</v>
      </c>
      <c r="H163" s="3" t="s">
        <v>20</v>
      </c>
      <c r="I163" s="4" t="s">
        <v>50</v>
      </c>
      <c r="J163" s="4" t="s">
        <v>51</v>
      </c>
      <c r="K163" s="4" t="s">
        <v>2839</v>
      </c>
      <c r="L163" s="4" t="s">
        <v>528</v>
      </c>
      <c r="M163" s="4" t="s">
        <v>22</v>
      </c>
      <c r="N163" s="4" t="s">
        <v>23</v>
      </c>
      <c r="O163" s="4" t="s">
        <v>27</v>
      </c>
      <c r="P163" s="4" t="s">
        <v>28</v>
      </c>
      <c r="Q163" s="24">
        <v>12</v>
      </c>
      <c r="R163" s="25">
        <v>2</v>
      </c>
      <c r="S163" s="39">
        <v>0</v>
      </c>
      <c r="T163" s="7" t="s">
        <v>2910</v>
      </c>
      <c r="U163" s="7"/>
      <c r="V163" s="7" t="str">
        <f>+IF(U163="","",IF(U163="FINES",CONCATENATE("R",IF(OR(B163="16",B163="21",B163="22",B163="23"),"16212223",IF(OR(B163="15",B163="17",B163="24",B163="25"),"15172425",B163))),IF(U163="CEBAS","UNICO",IF(VALUE(B163)&lt;=11,"AMBA","INTERIOR"))))</f>
        <v/>
      </c>
      <c r="W163" s="38" t="str">
        <f>+IF(U163="","-",CONCATENATE(U163,"_",V163))</f>
        <v>-</v>
      </c>
      <c r="X163" s="42">
        <v>0.21</v>
      </c>
    </row>
    <row r="164" spans="1:24" ht="15" thickBot="1">
      <c r="A164" s="3" t="s">
        <v>2916</v>
      </c>
      <c r="B164" s="3" t="s">
        <v>257</v>
      </c>
      <c r="C164" s="3" t="s">
        <v>772</v>
      </c>
      <c r="D164" s="3" t="s">
        <v>773</v>
      </c>
      <c r="E164" s="3">
        <v>604934</v>
      </c>
      <c r="F164" s="3">
        <v>1</v>
      </c>
      <c r="G164" s="3" t="s">
        <v>787</v>
      </c>
      <c r="H164" s="3" t="s">
        <v>20</v>
      </c>
      <c r="I164" s="4" t="s">
        <v>50</v>
      </c>
      <c r="J164" s="4" t="s">
        <v>51</v>
      </c>
      <c r="K164" s="4" t="s">
        <v>788</v>
      </c>
      <c r="L164" s="4" t="s">
        <v>789</v>
      </c>
      <c r="M164" s="4" t="s">
        <v>22</v>
      </c>
      <c r="N164" s="4" t="s">
        <v>23</v>
      </c>
      <c r="O164" s="4" t="s">
        <v>27</v>
      </c>
      <c r="P164" s="4" t="s">
        <v>28</v>
      </c>
      <c r="Q164" s="24">
        <v>30</v>
      </c>
      <c r="R164" s="25">
        <v>4</v>
      </c>
      <c r="S164" s="39">
        <v>0</v>
      </c>
      <c r="T164" s="7" t="s">
        <v>2910</v>
      </c>
      <c r="U164" s="7"/>
      <c r="V164" s="7" t="str">
        <f>+IF(U164="","",IF(U164="FINES",CONCATENATE("R",IF(OR(B164="16",B164="21",B164="22",B164="23"),"16212223",IF(OR(B164="15",B164="17",B164="24",B164="25"),"15172425",B164))),IF(U164="CEBAS","UNICO",IF(VALUE(B164)&lt;=11,"AMBA","INTERIOR"))))</f>
        <v/>
      </c>
      <c r="W164" s="38" t="str">
        <f>+IF(U164="","-",CONCATENATE(U164,"_",V164))</f>
        <v>-</v>
      </c>
      <c r="X164" s="42">
        <v>0.21099999999999999</v>
      </c>
    </row>
    <row r="165" spans="1:24" ht="15" thickBot="1">
      <c r="A165" s="3" t="s">
        <v>2916</v>
      </c>
      <c r="B165" s="3" t="s">
        <v>217</v>
      </c>
      <c r="C165" s="3" t="s">
        <v>2171</v>
      </c>
      <c r="D165" s="3" t="s">
        <v>2172</v>
      </c>
      <c r="E165" s="3">
        <v>602758</v>
      </c>
      <c r="F165" s="3">
        <v>0</v>
      </c>
      <c r="G165" s="3" t="s">
        <v>2175</v>
      </c>
      <c r="H165" s="3" t="s">
        <v>20</v>
      </c>
      <c r="I165" s="4" t="s">
        <v>50</v>
      </c>
      <c r="J165" s="4" t="s">
        <v>21</v>
      </c>
      <c r="K165" s="4"/>
      <c r="L165" s="4" t="s">
        <v>2176</v>
      </c>
      <c r="M165" s="4" t="s">
        <v>22</v>
      </c>
      <c r="N165" s="4" t="s">
        <v>23</v>
      </c>
      <c r="O165" s="4" t="s">
        <v>27</v>
      </c>
      <c r="P165" s="4" t="s">
        <v>28</v>
      </c>
      <c r="Q165" s="24">
        <v>6</v>
      </c>
      <c r="R165" s="25">
        <v>1</v>
      </c>
      <c r="S165" s="39">
        <v>0</v>
      </c>
      <c r="T165" s="7" t="s">
        <v>2910</v>
      </c>
      <c r="U165" s="7"/>
      <c r="V165" s="7" t="str">
        <f>+IF(U165="","",IF(U165="FINES",CONCATENATE("R",IF(OR(B165="16",B165="21",B165="22",B165="23"),"16212223",IF(OR(B165="15",B165="17",B165="24",B165="25"),"15172425",B165))),IF(U165="CEBAS","UNICO",IF(VALUE(B165)&lt;=11,"AMBA","INTERIOR"))))</f>
        <v/>
      </c>
      <c r="W165" s="38" t="str">
        <f>+IF(U165="","-",CONCATENATE(U165,"_",V165))</f>
        <v>-</v>
      </c>
      <c r="X165" s="42">
        <v>0.21099999999999999</v>
      </c>
    </row>
    <row r="166" spans="1:24" ht="15" thickBot="1">
      <c r="A166" s="3" t="s">
        <v>2916</v>
      </c>
      <c r="B166" s="3" t="s">
        <v>221</v>
      </c>
      <c r="C166" s="3" t="s">
        <v>558</v>
      </c>
      <c r="D166" s="3" t="s">
        <v>1960</v>
      </c>
      <c r="E166" s="3">
        <v>603437</v>
      </c>
      <c r="F166" s="3">
        <v>1</v>
      </c>
      <c r="G166" s="3" t="s">
        <v>1961</v>
      </c>
      <c r="H166" s="3" t="s">
        <v>20</v>
      </c>
      <c r="I166" s="4" t="s">
        <v>50</v>
      </c>
      <c r="J166" s="4" t="s">
        <v>51</v>
      </c>
      <c r="K166" s="4" t="s">
        <v>1962</v>
      </c>
      <c r="L166" s="4" t="s">
        <v>1963</v>
      </c>
      <c r="M166" s="4" t="s">
        <v>22</v>
      </c>
      <c r="N166" s="4" t="s">
        <v>23</v>
      </c>
      <c r="O166" s="4" t="s">
        <v>27</v>
      </c>
      <c r="P166" s="4" t="s">
        <v>28</v>
      </c>
      <c r="Q166" s="24">
        <v>19</v>
      </c>
      <c r="R166" s="25">
        <v>1</v>
      </c>
      <c r="S166" s="39">
        <v>0</v>
      </c>
      <c r="T166" s="7" t="s">
        <v>2910</v>
      </c>
      <c r="U166" s="7"/>
      <c r="V166" s="7" t="str">
        <f>+IF(U166="","",IF(U166="FINES",CONCATENATE("R",IF(OR(B166="16",B166="21",B166="22",B166="23"),"16212223",IF(OR(B166="15",B166="17",B166="24",B166="25"),"15172425",B166))),IF(U166="CEBAS","UNICO",IF(VALUE(B166)&lt;=11,"AMBA","INTERIOR"))))</f>
        <v/>
      </c>
      <c r="W166" s="38" t="str">
        <f>+IF(U166="","-",CONCATENATE(U166,"_",V166))</f>
        <v>-</v>
      </c>
      <c r="X166" s="42">
        <v>0.21199999999999999</v>
      </c>
    </row>
    <row r="167" spans="1:24" ht="15" thickBot="1">
      <c r="A167" s="5" t="s">
        <v>2916</v>
      </c>
      <c r="B167" s="5" t="s">
        <v>1532</v>
      </c>
      <c r="C167" s="5" t="s">
        <v>1530</v>
      </c>
      <c r="D167" s="5" t="s">
        <v>1531</v>
      </c>
      <c r="E167" s="5">
        <v>602154</v>
      </c>
      <c r="F167" s="5">
        <v>3</v>
      </c>
      <c r="G167" s="5" t="s">
        <v>1647</v>
      </c>
      <c r="H167" s="5" t="s">
        <v>20</v>
      </c>
      <c r="I167" s="6" t="s">
        <v>50</v>
      </c>
      <c r="J167" s="6" t="s">
        <v>51</v>
      </c>
      <c r="K167" s="6" t="s">
        <v>1572</v>
      </c>
      <c r="L167" s="6" t="s">
        <v>1648</v>
      </c>
      <c r="M167" s="6" t="s">
        <v>22</v>
      </c>
      <c r="N167" s="6" t="s">
        <v>23</v>
      </c>
      <c r="O167" s="6" t="s">
        <v>27</v>
      </c>
      <c r="P167" s="6" t="s">
        <v>28</v>
      </c>
      <c r="Q167" s="22">
        <v>16</v>
      </c>
      <c r="R167" s="23">
        <v>1</v>
      </c>
      <c r="S167" s="39">
        <v>0</v>
      </c>
      <c r="T167" s="7" t="s">
        <v>2910</v>
      </c>
      <c r="U167" s="7"/>
      <c r="V167" s="7" t="str">
        <f>+IF(U167="","",IF(U167="FINES",CONCATENATE("R",IF(OR(B167="16",B167="21",B167="22",B167="23"),"16212223",IF(OR(B167="15",B167="17",B167="24",B167="25"),"15172425",B167))),IF(U167="CEBAS","UNICO",IF(VALUE(B167)&lt;=11,"AMBA","INTERIOR"))))</f>
        <v/>
      </c>
      <c r="W167" s="38" t="str">
        <f>+IF(U167="","-",CONCATENATE(U167,"_",V167))</f>
        <v>-</v>
      </c>
      <c r="X167" s="42">
        <v>0.21199999999999999</v>
      </c>
    </row>
    <row r="168" spans="1:24" ht="15" thickBot="1">
      <c r="A168" s="3" t="s">
        <v>2916</v>
      </c>
      <c r="B168" s="3" t="s">
        <v>225</v>
      </c>
      <c r="C168" s="3" t="s">
        <v>942</v>
      </c>
      <c r="D168" s="3" t="s">
        <v>943</v>
      </c>
      <c r="E168" s="3">
        <v>604925</v>
      </c>
      <c r="F168" s="3">
        <v>3</v>
      </c>
      <c r="G168" s="3" t="s">
        <v>973</v>
      </c>
      <c r="H168" s="3" t="s">
        <v>20</v>
      </c>
      <c r="I168" s="4" t="s">
        <v>50</v>
      </c>
      <c r="J168" s="4" t="s">
        <v>51</v>
      </c>
      <c r="K168" s="4" t="s">
        <v>954</v>
      </c>
      <c r="L168" s="4" t="s">
        <v>974</v>
      </c>
      <c r="M168" s="4" t="s">
        <v>22</v>
      </c>
      <c r="N168" s="4" t="s">
        <v>23</v>
      </c>
      <c r="O168" s="4" t="s">
        <v>27</v>
      </c>
      <c r="P168" s="4" t="s">
        <v>28</v>
      </c>
      <c r="Q168" s="24">
        <v>58</v>
      </c>
      <c r="R168" s="25">
        <v>3</v>
      </c>
      <c r="S168" s="39">
        <v>0</v>
      </c>
      <c r="T168" s="7" t="s">
        <v>2910</v>
      </c>
      <c r="V168" s="7" t="str">
        <f>+IF(U168="","",IF(U168="FINES",CONCATENATE("R",IF(OR(B168="16",B168="21",B168="22",B168="23"),"16212223",IF(OR(B168="15",B168="17",B168="24",B168="25"),"15172425",B168))),IF(U168="CEBAS","UNICO",IF(VALUE(B168)&lt;=11,"AMBA","INTERIOR"))))</f>
        <v/>
      </c>
      <c r="W168" s="38" t="str">
        <f>+IF(U168="","-",CONCATENATE(U168,"_",V168))</f>
        <v>-</v>
      </c>
      <c r="X168" s="42">
        <v>0.21299999999999999</v>
      </c>
    </row>
    <row r="169" spans="1:24" ht="15" thickBot="1">
      <c r="A169" s="3" t="s">
        <v>2916</v>
      </c>
      <c r="B169" s="3" t="s">
        <v>410</v>
      </c>
      <c r="C169" s="3" t="s">
        <v>924</v>
      </c>
      <c r="D169" s="3" t="s">
        <v>925</v>
      </c>
      <c r="E169" s="3">
        <v>600991</v>
      </c>
      <c r="F169" s="3">
        <v>1</v>
      </c>
      <c r="G169" s="3" t="s">
        <v>926</v>
      </c>
      <c r="H169" s="3" t="s">
        <v>20</v>
      </c>
      <c r="I169" s="4" t="s">
        <v>50</v>
      </c>
      <c r="J169" s="4" t="s">
        <v>51</v>
      </c>
      <c r="K169" s="4" t="s">
        <v>927</v>
      </c>
      <c r="L169" s="4" t="s">
        <v>428</v>
      </c>
      <c r="M169" s="4" t="s">
        <v>22</v>
      </c>
      <c r="N169" s="4" t="s">
        <v>23</v>
      </c>
      <c r="O169" s="4" t="s">
        <v>27</v>
      </c>
      <c r="P169" s="4" t="s">
        <v>28</v>
      </c>
      <c r="Q169" s="24">
        <v>15</v>
      </c>
      <c r="R169" s="25">
        <v>1</v>
      </c>
      <c r="S169" s="39">
        <v>0</v>
      </c>
      <c r="T169" s="7" t="s">
        <v>2910</v>
      </c>
      <c r="V169" s="7" t="str">
        <f>+IF(U169="","",IF(U169="FINES",CONCATENATE("R",IF(OR(B169="16",B169="21",B169="22",B169="23"),"16212223",IF(OR(B169="15",B169="17",B169="24",B169="25"),"15172425",B169))),IF(U169="CEBAS","UNICO",IF(VALUE(B169)&lt;=11,"AMBA","INTERIOR"))))</f>
        <v/>
      </c>
      <c r="W169" s="38" t="str">
        <f>+IF(U169="","-",CONCATENATE(U169,"_",V169))</f>
        <v>-</v>
      </c>
      <c r="X169" s="42">
        <v>0.21299999999999999</v>
      </c>
    </row>
    <row r="170" spans="1:24" ht="15" thickBot="1">
      <c r="A170" s="3" t="s">
        <v>2916</v>
      </c>
      <c r="B170" s="3" t="s">
        <v>817</v>
      </c>
      <c r="C170" s="3" t="s">
        <v>815</v>
      </c>
      <c r="D170" s="3" t="s">
        <v>816</v>
      </c>
      <c r="E170" s="3">
        <v>608848</v>
      </c>
      <c r="F170" s="3">
        <v>3</v>
      </c>
      <c r="G170" s="3" t="s">
        <v>839</v>
      </c>
      <c r="H170" s="3" t="s">
        <v>20</v>
      </c>
      <c r="I170" s="4" t="s">
        <v>50</v>
      </c>
      <c r="J170" s="4" t="s">
        <v>51</v>
      </c>
      <c r="K170" s="4" t="s">
        <v>822</v>
      </c>
      <c r="L170" s="4" t="s">
        <v>840</v>
      </c>
      <c r="M170" s="4" t="s">
        <v>22</v>
      </c>
      <c r="N170" s="4" t="s">
        <v>23</v>
      </c>
      <c r="O170" s="4" t="s">
        <v>27</v>
      </c>
      <c r="P170" s="4" t="s">
        <v>28</v>
      </c>
      <c r="Q170" s="24">
        <v>49</v>
      </c>
      <c r="R170" s="25">
        <v>4</v>
      </c>
      <c r="S170" s="39">
        <v>0</v>
      </c>
      <c r="T170" s="7" t="s">
        <v>2910</v>
      </c>
      <c r="V170" s="7" t="str">
        <f>+IF(U170="","",IF(U170="FINES",CONCATENATE("R",IF(OR(B170="16",B170="21",B170="22",B170="23"),"16212223",IF(OR(B170="15",B170="17",B170="24",B170="25"),"15172425",B170))),IF(U170="CEBAS","UNICO",IF(VALUE(B170)&lt;=11,"AMBA","INTERIOR"))))</f>
        <v/>
      </c>
      <c r="W170" s="38" t="str">
        <f>+IF(U170="","-",CONCATENATE(U170,"_",V170))</f>
        <v>-</v>
      </c>
      <c r="X170" s="42">
        <v>0.216</v>
      </c>
    </row>
    <row r="171" spans="1:24" ht="15" thickBot="1">
      <c r="A171" s="3" t="s">
        <v>2916</v>
      </c>
      <c r="B171" s="3" t="s">
        <v>516</v>
      </c>
      <c r="C171" s="3" t="s">
        <v>1348</v>
      </c>
      <c r="D171" s="3" t="s">
        <v>1349</v>
      </c>
      <c r="E171" s="3">
        <v>607974</v>
      </c>
      <c r="F171" s="3">
        <v>2</v>
      </c>
      <c r="G171" s="3" t="s">
        <v>1352</v>
      </c>
      <c r="H171" s="3" t="s">
        <v>20</v>
      </c>
      <c r="I171" s="4" t="s">
        <v>50</v>
      </c>
      <c r="J171" s="4" t="s">
        <v>51</v>
      </c>
      <c r="K171" s="4" t="s">
        <v>1351</v>
      </c>
      <c r="L171" s="4" t="s">
        <v>754</v>
      </c>
      <c r="M171" s="4" t="s">
        <v>22</v>
      </c>
      <c r="N171" s="4" t="s">
        <v>23</v>
      </c>
      <c r="O171" s="4" t="s">
        <v>27</v>
      </c>
      <c r="P171" s="4" t="s">
        <v>28</v>
      </c>
      <c r="Q171" s="24">
        <v>20</v>
      </c>
      <c r="R171" s="25">
        <v>1</v>
      </c>
      <c r="S171" s="39">
        <v>0</v>
      </c>
      <c r="T171" s="7" t="s">
        <v>2910</v>
      </c>
      <c r="V171" s="7" t="str">
        <f>+IF(U171="","",IF(U171="FINES",CONCATENATE("R",IF(OR(B171="16",B171="21",B171="22",B171="23"),"16212223",IF(OR(B171="15",B171="17",B171="24",B171="25"),"15172425",B171))),IF(U171="CEBAS","UNICO",IF(VALUE(B171)&lt;=11,"AMBA","INTERIOR"))))</f>
        <v/>
      </c>
      <c r="W171" s="38" t="str">
        <f>+IF(U171="","-",CONCATENATE(U171,"_",V171))</f>
        <v>-</v>
      </c>
      <c r="X171" s="42">
        <v>0.217</v>
      </c>
    </row>
    <row r="172" spans="1:24" ht="15" thickBot="1">
      <c r="A172" s="5" t="s">
        <v>2916</v>
      </c>
      <c r="B172" s="5" t="s">
        <v>1860</v>
      </c>
      <c r="C172" s="5" t="s">
        <v>1858</v>
      </c>
      <c r="D172" s="5" t="s">
        <v>1859</v>
      </c>
      <c r="E172" s="5">
        <v>614537</v>
      </c>
      <c r="F172" s="5">
        <v>0</v>
      </c>
      <c r="G172" s="5" t="s">
        <v>1861</v>
      </c>
      <c r="H172" s="5" t="s">
        <v>20</v>
      </c>
      <c r="I172" s="6" t="s">
        <v>25</v>
      </c>
      <c r="J172" s="6" t="s">
        <v>21</v>
      </c>
      <c r="K172" s="6"/>
      <c r="L172" s="6" t="s">
        <v>1862</v>
      </c>
      <c r="M172" s="6" t="s">
        <v>22</v>
      </c>
      <c r="N172" s="6" t="s">
        <v>134</v>
      </c>
      <c r="O172" s="6" t="s">
        <v>27</v>
      </c>
      <c r="P172" s="6" t="s">
        <v>28</v>
      </c>
      <c r="Q172" s="22">
        <v>20</v>
      </c>
      <c r="R172" s="23">
        <v>1</v>
      </c>
      <c r="S172" s="39">
        <v>0</v>
      </c>
      <c r="T172" s="7" t="s">
        <v>2910</v>
      </c>
      <c r="V172" s="7" t="str">
        <f>+IF(U172="","",IF(U172="FINES",CONCATENATE("R",IF(OR(B172="16",B172="21",B172="22",B172="23"),"16212223",IF(OR(B172="15",B172="17",B172="24",B172="25"),"15172425",B172))),IF(U172="CEBAS","UNICO",IF(VALUE(B172)&lt;=11,"AMBA","INTERIOR"))))</f>
        <v/>
      </c>
      <c r="W172" s="38" t="str">
        <f>+IF(U172="","-",CONCATENATE(U172,"_",V172))</f>
        <v>-</v>
      </c>
      <c r="X172" s="42">
        <v>0.218</v>
      </c>
    </row>
    <row r="173" spans="1:24" ht="15" thickBot="1">
      <c r="A173" s="3" t="s">
        <v>2916</v>
      </c>
      <c r="B173" s="3" t="s">
        <v>257</v>
      </c>
      <c r="C173" s="3" t="s">
        <v>254</v>
      </c>
      <c r="D173" s="3" t="s">
        <v>256</v>
      </c>
      <c r="E173" s="3">
        <v>601816</v>
      </c>
      <c r="F173" s="3">
        <v>1</v>
      </c>
      <c r="G173" s="3" t="s">
        <v>258</v>
      </c>
      <c r="H173" s="3" t="s">
        <v>20</v>
      </c>
      <c r="I173" s="4" t="s">
        <v>50</v>
      </c>
      <c r="J173" s="4" t="s">
        <v>51</v>
      </c>
      <c r="K173" s="4" t="s">
        <v>259</v>
      </c>
      <c r="L173" s="4" t="s">
        <v>260</v>
      </c>
      <c r="M173" s="4" t="s">
        <v>22</v>
      </c>
      <c r="N173" s="4" t="s">
        <v>23</v>
      </c>
      <c r="O173" s="4" t="s">
        <v>27</v>
      </c>
      <c r="P173" s="4" t="s">
        <v>28</v>
      </c>
      <c r="Q173" s="24">
        <v>28</v>
      </c>
      <c r="R173" s="25">
        <v>2</v>
      </c>
      <c r="S173" s="39">
        <v>0</v>
      </c>
      <c r="T173" s="7" t="s">
        <v>2910</v>
      </c>
      <c r="U173" s="7"/>
      <c r="V173" s="7" t="str">
        <f>+IF(U173="","",IF(U173="FINES",CONCATENATE("R",IF(OR(B173="16",B173="21",B173="22",B173="23"),"16212223",IF(OR(B173="15",B173="17",B173="24",B173="25"),"15172425",B173))),IF(U173="CEBAS","UNICO",IF(VALUE(B173)&lt;=11,"AMBA","INTERIOR"))))</f>
        <v/>
      </c>
      <c r="W173" s="38" t="str">
        <f>+IF(U173="","-",CONCATENATE(U173,"_",V173))</f>
        <v>-</v>
      </c>
      <c r="X173" s="42">
        <v>0.22</v>
      </c>
    </row>
    <row r="174" spans="1:24" ht="15" thickBot="1">
      <c r="A174" s="3" t="s">
        <v>2916</v>
      </c>
      <c r="B174" s="3" t="s">
        <v>1257</v>
      </c>
      <c r="C174" s="3" t="s">
        <v>519</v>
      </c>
      <c r="D174" s="3" t="s">
        <v>2470</v>
      </c>
      <c r="E174" s="3">
        <v>612050</v>
      </c>
      <c r="F174" s="3">
        <v>3</v>
      </c>
      <c r="G174" s="3" t="s">
        <v>2480</v>
      </c>
      <c r="H174" s="3" t="s">
        <v>20</v>
      </c>
      <c r="I174" s="4" t="s">
        <v>50</v>
      </c>
      <c r="J174" s="4" t="s">
        <v>51</v>
      </c>
      <c r="K174" s="4" t="s">
        <v>2477</v>
      </c>
      <c r="L174" s="4" t="s">
        <v>440</v>
      </c>
      <c r="M174" s="4" t="s">
        <v>22</v>
      </c>
      <c r="N174" s="4" t="s">
        <v>23</v>
      </c>
      <c r="O174" s="4" t="s">
        <v>27</v>
      </c>
      <c r="P174" s="4" t="s">
        <v>28</v>
      </c>
      <c r="Q174" s="24">
        <v>16</v>
      </c>
      <c r="R174" s="25">
        <v>1</v>
      </c>
      <c r="S174" s="39">
        <v>0</v>
      </c>
      <c r="T174" s="7" t="s">
        <v>2910</v>
      </c>
      <c r="U174" s="7"/>
      <c r="V174" s="7" t="str">
        <f>+IF(U174="","",IF(U174="FINES",CONCATENATE("R",IF(OR(B174="16",B174="21",B174="22",B174="23"),"16212223",IF(OR(B174="15",B174="17",B174="24",B174="25"),"15172425",B174))),IF(U174="CEBAS","UNICO",IF(VALUE(B174)&lt;=11,"AMBA","INTERIOR"))))</f>
        <v/>
      </c>
      <c r="W174" s="38" t="str">
        <f>+IF(U174="","-",CONCATENATE(U174,"_",V174))</f>
        <v>-</v>
      </c>
      <c r="X174" s="42">
        <v>0.22</v>
      </c>
    </row>
    <row r="175" spans="1:24" ht="15" thickBot="1">
      <c r="A175" s="3" t="s">
        <v>2916</v>
      </c>
      <c r="B175" s="3" t="s">
        <v>138</v>
      </c>
      <c r="C175" s="3" t="s">
        <v>522</v>
      </c>
      <c r="D175" s="3" t="s">
        <v>1468</v>
      </c>
      <c r="E175" s="3">
        <v>613586</v>
      </c>
      <c r="F175" s="3">
        <v>2</v>
      </c>
      <c r="G175" s="3" t="s">
        <v>1472</v>
      </c>
      <c r="H175" s="3" t="s">
        <v>20</v>
      </c>
      <c r="I175" s="4" t="s">
        <v>50</v>
      </c>
      <c r="J175" s="4" t="s">
        <v>51</v>
      </c>
      <c r="K175" s="4" t="s">
        <v>1470</v>
      </c>
      <c r="L175" s="4" t="s">
        <v>1473</v>
      </c>
      <c r="M175" s="4" t="s">
        <v>22</v>
      </c>
      <c r="N175" s="4" t="s">
        <v>23</v>
      </c>
      <c r="O175" s="4" t="s">
        <v>27</v>
      </c>
      <c r="P175" s="4" t="s">
        <v>28</v>
      </c>
      <c r="Q175" s="24">
        <v>20</v>
      </c>
      <c r="R175" s="25">
        <v>2</v>
      </c>
      <c r="S175" s="39">
        <v>0</v>
      </c>
      <c r="T175" s="7" t="s">
        <v>2910</v>
      </c>
      <c r="V175" s="7" t="str">
        <f>+IF(U175="","",IF(U175="FINES",CONCATENATE("R",IF(OR(B175="16",B175="21",B175="22",B175="23"),"16212223",IF(OR(B175="15",B175="17",B175="24",B175="25"),"15172425",B175))),IF(U175="CEBAS","UNICO",IF(VALUE(B175)&lt;=11,"AMBA","INTERIOR"))))</f>
        <v/>
      </c>
      <c r="W175" s="38" t="str">
        <f>+IF(U175="","-",CONCATENATE(U175,"_",V175))</f>
        <v>-</v>
      </c>
      <c r="X175" s="42">
        <v>0.22600000000000001</v>
      </c>
    </row>
    <row r="176" spans="1:24" ht="15" thickBot="1">
      <c r="A176" s="5" t="s">
        <v>2916</v>
      </c>
      <c r="B176" s="5" t="s">
        <v>1257</v>
      </c>
      <c r="C176" s="5" t="s">
        <v>2213</v>
      </c>
      <c r="D176" s="5" t="s">
        <v>2214</v>
      </c>
      <c r="E176" s="5">
        <v>614363</v>
      </c>
      <c r="F176" s="5">
        <v>0</v>
      </c>
      <c r="G176" s="5" t="s">
        <v>2215</v>
      </c>
      <c r="H176" s="5" t="s">
        <v>20</v>
      </c>
      <c r="I176" s="6" t="s">
        <v>25</v>
      </c>
      <c r="J176" s="6" t="s">
        <v>21</v>
      </c>
      <c r="K176" s="6"/>
      <c r="L176" s="6" t="s">
        <v>2216</v>
      </c>
      <c r="M176" s="6" t="s">
        <v>22</v>
      </c>
      <c r="N176" s="6" t="s">
        <v>23</v>
      </c>
      <c r="O176" s="6" t="s">
        <v>27</v>
      </c>
      <c r="P176" s="6" t="s">
        <v>28</v>
      </c>
      <c r="Q176" s="22">
        <v>10</v>
      </c>
      <c r="R176" s="23">
        <v>1</v>
      </c>
      <c r="S176" s="39">
        <v>0</v>
      </c>
      <c r="T176" s="7" t="s">
        <v>2910</v>
      </c>
      <c r="V176" s="7" t="str">
        <f>+IF(U176="","",IF(U176="FINES",CONCATENATE("R",IF(OR(B176="16",B176="21",B176="22",B176="23"),"16212223",IF(OR(B176="15",B176="17",B176="24",B176="25"),"15172425",B176))),IF(U176="CEBAS","UNICO",IF(VALUE(B176)&lt;=11,"AMBA","INTERIOR"))))</f>
        <v/>
      </c>
      <c r="W176" s="38" t="str">
        <f>+IF(U176="","-",CONCATENATE(U176,"_",V176))</f>
        <v>-</v>
      </c>
      <c r="X176" s="42">
        <v>0.22600000000000001</v>
      </c>
    </row>
    <row r="177" spans="1:24" ht="15" thickBot="1">
      <c r="A177" s="3" t="s">
        <v>2916</v>
      </c>
      <c r="B177" s="3" t="s">
        <v>138</v>
      </c>
      <c r="C177" s="3" t="s">
        <v>522</v>
      </c>
      <c r="D177" s="3" t="s">
        <v>1468</v>
      </c>
      <c r="E177" s="3">
        <v>613586</v>
      </c>
      <c r="F177" s="3">
        <v>1</v>
      </c>
      <c r="G177" s="3" t="s">
        <v>1469</v>
      </c>
      <c r="H177" s="3" t="s">
        <v>20</v>
      </c>
      <c r="I177" s="4" t="s">
        <v>50</v>
      </c>
      <c r="J177" s="4" t="s">
        <v>51</v>
      </c>
      <c r="K177" s="4" t="s">
        <v>1470</v>
      </c>
      <c r="L177" s="4" t="s">
        <v>235</v>
      </c>
      <c r="M177" s="4" t="s">
        <v>22</v>
      </c>
      <c r="N177" s="4" t="s">
        <v>23</v>
      </c>
      <c r="O177" s="4" t="s">
        <v>27</v>
      </c>
      <c r="P177" s="4" t="s">
        <v>28</v>
      </c>
      <c r="Q177" s="24">
        <v>21</v>
      </c>
      <c r="R177" s="25">
        <v>2</v>
      </c>
      <c r="S177" s="39">
        <v>0</v>
      </c>
      <c r="T177" s="7" t="s">
        <v>2910</v>
      </c>
      <c r="V177" s="7" t="str">
        <f>+IF(U177="","",IF(U177="FINES",CONCATENATE("R",IF(OR(B177="16",B177="21",B177="22",B177="23"),"16212223",IF(OR(B177="15",B177="17",B177="24",B177="25"),"15172425",B177))),IF(U177="CEBAS","UNICO",IF(VALUE(B177)&lt;=11,"AMBA","INTERIOR"))))</f>
        <v/>
      </c>
      <c r="W177" s="38" t="str">
        <f>+IF(U177="","-",CONCATENATE(U177,"_",V177))</f>
        <v>-</v>
      </c>
      <c r="X177" s="42">
        <v>0.22700000000000001</v>
      </c>
    </row>
    <row r="178" spans="1:24" ht="15" thickBot="1">
      <c r="A178" s="3" t="s">
        <v>2916</v>
      </c>
      <c r="B178" s="3" t="s">
        <v>221</v>
      </c>
      <c r="C178" s="3" t="s">
        <v>558</v>
      </c>
      <c r="D178" s="3" t="s">
        <v>1960</v>
      </c>
      <c r="E178" s="3">
        <v>613647</v>
      </c>
      <c r="F178" s="3">
        <v>4</v>
      </c>
      <c r="G178" s="3" t="s">
        <v>1970</v>
      </c>
      <c r="H178" s="3" t="s">
        <v>20</v>
      </c>
      <c r="I178" s="4" t="s">
        <v>50</v>
      </c>
      <c r="J178" s="4" t="s">
        <v>51</v>
      </c>
      <c r="K178" s="4" t="s">
        <v>1968</v>
      </c>
      <c r="L178" s="4" t="s">
        <v>1971</v>
      </c>
      <c r="M178" s="4" t="s">
        <v>22</v>
      </c>
      <c r="N178" s="4" t="s">
        <v>23</v>
      </c>
      <c r="O178" s="4" t="s">
        <v>27</v>
      </c>
      <c r="P178" s="4" t="s">
        <v>28</v>
      </c>
      <c r="Q178" s="24">
        <v>36</v>
      </c>
      <c r="R178" s="25">
        <v>2</v>
      </c>
      <c r="S178" s="39">
        <v>0</v>
      </c>
      <c r="T178" s="7" t="s">
        <v>2910</v>
      </c>
      <c r="V178" s="7" t="str">
        <f>+IF(U178="","",IF(U178="FINES",CONCATENATE("R",IF(OR(B178="16",B178="21",B178="22",B178="23"),"16212223",IF(OR(B178="15",B178="17",B178="24",B178="25"),"15172425",B178))),IF(U178="CEBAS","UNICO",IF(VALUE(B178)&lt;=11,"AMBA","INTERIOR"))))</f>
        <v/>
      </c>
      <c r="W178" s="38" t="str">
        <f>+IF(U178="","-",CONCATENATE(U178,"_",V178))</f>
        <v>-</v>
      </c>
      <c r="X178" s="42">
        <v>0.22800000000000001</v>
      </c>
    </row>
    <row r="179" spans="1:24" ht="15" thickBot="1">
      <c r="A179" s="3" t="s">
        <v>2916</v>
      </c>
      <c r="B179" s="3" t="s">
        <v>1532</v>
      </c>
      <c r="C179" s="3" t="s">
        <v>1530</v>
      </c>
      <c r="D179" s="3" t="s">
        <v>1531</v>
      </c>
      <c r="E179" s="3">
        <v>608016</v>
      </c>
      <c r="F179" s="3">
        <v>0</v>
      </c>
      <c r="G179" s="3" t="s">
        <v>1764</v>
      </c>
      <c r="H179" s="3" t="s">
        <v>210</v>
      </c>
      <c r="I179" s="4" t="s">
        <v>202</v>
      </c>
      <c r="J179" s="4" t="s">
        <v>21</v>
      </c>
      <c r="K179" s="4"/>
      <c r="L179" s="4" t="s">
        <v>1765</v>
      </c>
      <c r="M179" s="4" t="s">
        <v>22</v>
      </c>
      <c r="N179" s="4" t="s">
        <v>23</v>
      </c>
      <c r="O179" s="4" t="s">
        <v>27</v>
      </c>
      <c r="P179" s="4" t="s">
        <v>144</v>
      </c>
      <c r="Q179" s="24">
        <v>70</v>
      </c>
      <c r="R179" s="25">
        <v>4</v>
      </c>
      <c r="S179" s="39">
        <v>0</v>
      </c>
      <c r="T179" s="7" t="s">
        <v>2909</v>
      </c>
      <c r="U179" s="7"/>
      <c r="V179" s="7" t="str">
        <f>+IF(U179="","",IF(U179="FINES",CONCATENATE("R",IF(OR(B179="16",B179="21",B179="22",B179="23"),"16212223",IF(OR(B179="15",B179="17",B179="24",B179="25"),"15172425",B179))),IF(U179="CEBAS","UNICO",IF(VALUE(B179)&lt;=11,"AMBA","INTERIOR"))))</f>
        <v/>
      </c>
      <c r="W179" s="38" t="str">
        <f>+IF(U179="","-",CONCATENATE(U179,"_",V179))</f>
        <v>-</v>
      </c>
      <c r="X179" s="42">
        <v>0.23</v>
      </c>
    </row>
    <row r="180" spans="1:24" ht="15" thickBot="1">
      <c r="A180" s="3" t="s">
        <v>2916</v>
      </c>
      <c r="B180" s="3" t="s">
        <v>1532</v>
      </c>
      <c r="C180" s="3" t="s">
        <v>1530</v>
      </c>
      <c r="D180" s="3" t="s">
        <v>1531</v>
      </c>
      <c r="E180" s="3">
        <v>614667</v>
      </c>
      <c r="F180" s="3">
        <v>0</v>
      </c>
      <c r="G180" s="3" t="s">
        <v>1585</v>
      </c>
      <c r="H180" s="3" t="s">
        <v>20</v>
      </c>
      <c r="I180" s="4" t="s">
        <v>50</v>
      </c>
      <c r="J180" s="4" t="s">
        <v>21</v>
      </c>
      <c r="K180" s="4"/>
      <c r="L180" s="4" t="s">
        <v>75</v>
      </c>
      <c r="M180" s="4" t="s">
        <v>22</v>
      </c>
      <c r="N180" s="4" t="s">
        <v>134</v>
      </c>
      <c r="O180" s="4" t="s">
        <v>27</v>
      </c>
      <c r="P180" s="4" t="s">
        <v>28</v>
      </c>
      <c r="Q180" s="24">
        <v>31</v>
      </c>
      <c r="R180" s="25">
        <v>3</v>
      </c>
      <c r="S180" s="39">
        <v>0</v>
      </c>
      <c r="T180" s="7" t="s">
        <v>2910</v>
      </c>
      <c r="U180" s="7"/>
      <c r="V180" s="7" t="str">
        <f>+IF(U180="","",IF(U180="FINES",CONCATENATE("R",IF(OR(B180="16",B180="21",B180="22",B180="23"),"16212223",IF(OR(B180="15",B180="17",B180="24",B180="25"),"15172425",B180))),IF(U180="CEBAS","UNICO",IF(VALUE(B180)&lt;=11,"AMBA","INTERIOR"))))</f>
        <v/>
      </c>
      <c r="W180" s="38" t="str">
        <f>+IF(U180="","-",CONCATENATE(U180,"_",V180))</f>
        <v>-</v>
      </c>
      <c r="X180" s="42">
        <v>0.23100000000000001</v>
      </c>
    </row>
    <row r="181" spans="1:24" ht="15" thickBot="1">
      <c r="A181" s="5" t="s">
        <v>2916</v>
      </c>
      <c r="B181" s="5" t="s">
        <v>1532</v>
      </c>
      <c r="C181" s="5" t="s">
        <v>1530</v>
      </c>
      <c r="D181" s="5" t="s">
        <v>1531</v>
      </c>
      <c r="E181" s="5">
        <v>608942</v>
      </c>
      <c r="F181" s="5">
        <v>2</v>
      </c>
      <c r="G181" s="5" t="s">
        <v>1595</v>
      </c>
      <c r="H181" s="5" t="s">
        <v>20</v>
      </c>
      <c r="I181" s="6" t="s">
        <v>50</v>
      </c>
      <c r="J181" s="6" t="s">
        <v>51</v>
      </c>
      <c r="K181" s="6" t="s">
        <v>1587</v>
      </c>
      <c r="L181" s="6" t="s">
        <v>1596</v>
      </c>
      <c r="M181" s="6" t="s">
        <v>22</v>
      </c>
      <c r="N181" s="6" t="s">
        <v>23</v>
      </c>
      <c r="O181" s="6" t="s">
        <v>27</v>
      </c>
      <c r="P181" s="6" t="s">
        <v>28</v>
      </c>
      <c r="Q181" s="22">
        <v>24</v>
      </c>
      <c r="R181" s="23">
        <v>2</v>
      </c>
      <c r="S181" s="39">
        <v>0</v>
      </c>
      <c r="T181" s="7" t="s">
        <v>2910</v>
      </c>
      <c r="U181" s="7"/>
      <c r="V181" s="7" t="str">
        <f>+IF(U181="","",IF(U181="FINES",CONCATENATE("R",IF(OR(B181="16",B181="21",B181="22",B181="23"),"16212223",IF(OR(B181="15",B181="17",B181="24",B181="25"),"15172425",B181))),IF(U181="CEBAS","UNICO",IF(VALUE(B181)&lt;=11,"AMBA","INTERIOR"))))</f>
        <v/>
      </c>
      <c r="W181" s="38" t="str">
        <f>+IF(U181="","-",CONCATENATE(U181,"_",V181))</f>
        <v>-</v>
      </c>
      <c r="X181" s="42">
        <v>0.23100000000000001</v>
      </c>
    </row>
    <row r="182" spans="1:24" ht="15" thickBot="1">
      <c r="A182" s="5" t="s">
        <v>2916</v>
      </c>
      <c r="B182" s="5" t="s">
        <v>257</v>
      </c>
      <c r="C182" s="5" t="s">
        <v>254</v>
      </c>
      <c r="D182" s="5" t="s">
        <v>256</v>
      </c>
      <c r="E182" s="5">
        <v>613897</v>
      </c>
      <c r="F182" s="5">
        <v>2</v>
      </c>
      <c r="G182" s="5" t="s">
        <v>292</v>
      </c>
      <c r="H182" s="5" t="s">
        <v>20</v>
      </c>
      <c r="I182" s="6" t="s">
        <v>50</v>
      </c>
      <c r="J182" s="6" t="s">
        <v>51</v>
      </c>
      <c r="K182" s="6" t="s">
        <v>290</v>
      </c>
      <c r="L182" s="6" t="s">
        <v>293</v>
      </c>
      <c r="M182" s="6" t="s">
        <v>22</v>
      </c>
      <c r="N182" s="6" t="s">
        <v>23</v>
      </c>
      <c r="O182" s="6" t="s">
        <v>27</v>
      </c>
      <c r="P182" s="6" t="s">
        <v>28</v>
      </c>
      <c r="Q182" s="22">
        <v>33</v>
      </c>
      <c r="R182" s="23">
        <v>2</v>
      </c>
      <c r="S182" s="39">
        <v>0</v>
      </c>
      <c r="T182" s="7" t="s">
        <v>2910</v>
      </c>
      <c r="U182" s="7"/>
      <c r="V182" s="7" t="str">
        <f>+IF(U182="","",IF(U182="FINES",CONCATENATE("R",IF(OR(B182="16",B182="21",B182="22",B182="23"),"16212223",IF(OR(B182="15",B182="17",B182="24",B182="25"),"15172425",B182))),IF(U182="CEBAS","UNICO",IF(VALUE(B182)&lt;=11,"AMBA","INTERIOR"))))</f>
        <v/>
      </c>
      <c r="W182" s="38" t="str">
        <f>+IF(U182="","-",CONCATENATE(U182,"_",V182))</f>
        <v>-</v>
      </c>
      <c r="X182" s="42">
        <v>0.23100000000000001</v>
      </c>
    </row>
    <row r="183" spans="1:24" ht="15" thickBot="1">
      <c r="A183" s="5" t="s">
        <v>2916</v>
      </c>
      <c r="B183" s="5" t="s">
        <v>817</v>
      </c>
      <c r="C183" s="5" t="s">
        <v>2080</v>
      </c>
      <c r="D183" s="5" t="s">
        <v>2081</v>
      </c>
      <c r="E183" s="5">
        <v>602059</v>
      </c>
      <c r="F183" s="5">
        <v>1</v>
      </c>
      <c r="G183" s="5" t="s">
        <v>2084</v>
      </c>
      <c r="H183" s="5" t="s">
        <v>20</v>
      </c>
      <c r="I183" s="6" t="s">
        <v>50</v>
      </c>
      <c r="J183" s="6" t="s">
        <v>51</v>
      </c>
      <c r="K183" s="6" t="s">
        <v>2085</v>
      </c>
      <c r="L183" s="6" t="s">
        <v>2086</v>
      </c>
      <c r="M183" s="6" t="s">
        <v>22</v>
      </c>
      <c r="N183" s="6" t="s">
        <v>23</v>
      </c>
      <c r="O183" s="6" t="s">
        <v>27</v>
      </c>
      <c r="P183" s="6" t="s">
        <v>28</v>
      </c>
      <c r="Q183" s="22">
        <v>30</v>
      </c>
      <c r="R183" s="23">
        <v>3</v>
      </c>
      <c r="S183" s="39">
        <v>0</v>
      </c>
      <c r="T183" s="7" t="s">
        <v>2910</v>
      </c>
      <c r="V183" s="7" t="str">
        <f>+IF(U183="","",IF(U183="FINES",CONCATENATE("R",IF(OR(B183="16",B183="21",B183="22",B183="23"),"16212223",IF(OR(B183="15",B183="17",B183="24",B183="25"),"15172425",B183))),IF(U183="CEBAS","UNICO",IF(VALUE(B183)&lt;=11,"AMBA","INTERIOR"))))</f>
        <v/>
      </c>
      <c r="W183" s="38" t="str">
        <f>+IF(U183="","-",CONCATENATE(U183,"_",V183))</f>
        <v>-</v>
      </c>
      <c r="X183" s="42">
        <v>0.23200000000000001</v>
      </c>
    </row>
    <row r="184" spans="1:24" ht="15" thickBot="1">
      <c r="A184" s="5" t="s">
        <v>2916</v>
      </c>
      <c r="B184" s="5" t="s">
        <v>356</v>
      </c>
      <c r="C184" s="5" t="s">
        <v>1359</v>
      </c>
      <c r="D184" s="5" t="s">
        <v>1360</v>
      </c>
      <c r="E184" s="5">
        <v>602444</v>
      </c>
      <c r="F184" s="5">
        <v>2</v>
      </c>
      <c r="G184" s="5" t="s">
        <v>1375</v>
      </c>
      <c r="H184" s="5" t="s">
        <v>20</v>
      </c>
      <c r="I184" s="6" t="s">
        <v>50</v>
      </c>
      <c r="J184" s="6" t="s">
        <v>51</v>
      </c>
      <c r="K184" s="6" t="s">
        <v>1373</v>
      </c>
      <c r="L184" s="6" t="s">
        <v>1376</v>
      </c>
      <c r="M184" s="6" t="s">
        <v>22</v>
      </c>
      <c r="N184" s="6" t="s">
        <v>23</v>
      </c>
      <c r="O184" s="6" t="s">
        <v>27</v>
      </c>
      <c r="P184" s="6" t="s">
        <v>28</v>
      </c>
      <c r="Q184" s="22">
        <v>15</v>
      </c>
      <c r="R184" s="23">
        <v>1</v>
      </c>
      <c r="S184" s="39">
        <v>0</v>
      </c>
      <c r="T184" s="7" t="s">
        <v>2910</v>
      </c>
      <c r="V184" s="7" t="str">
        <f>+IF(U184="","",IF(U184="FINES",CONCATENATE("R",IF(OR(B184="16",B184="21",B184="22",B184="23"),"16212223",IF(OR(B184="15",B184="17",B184="24",B184="25"),"15172425",B184))),IF(U184="CEBAS","UNICO",IF(VALUE(B184)&lt;=11,"AMBA","INTERIOR"))))</f>
        <v/>
      </c>
      <c r="W184" s="38" t="str">
        <f>+IF(U184="","-",CONCATENATE(U184,"_",V184))</f>
        <v>-</v>
      </c>
      <c r="X184" s="42">
        <v>0.23300000000000001</v>
      </c>
    </row>
    <row r="185" spans="1:24" ht="15" thickBot="1">
      <c r="A185" s="3" t="s">
        <v>2916</v>
      </c>
      <c r="B185" s="3" t="s">
        <v>206</v>
      </c>
      <c r="C185" s="3" t="s">
        <v>739</v>
      </c>
      <c r="D185" s="3" t="s">
        <v>740</v>
      </c>
      <c r="E185" s="3">
        <v>606035</v>
      </c>
      <c r="F185" s="3">
        <v>1</v>
      </c>
      <c r="G185" s="3" t="s">
        <v>741</v>
      </c>
      <c r="H185" s="3" t="s">
        <v>20</v>
      </c>
      <c r="I185" s="4" t="s">
        <v>50</v>
      </c>
      <c r="J185" s="4" t="s">
        <v>51</v>
      </c>
      <c r="K185" s="4" t="s">
        <v>742</v>
      </c>
      <c r="L185" s="4" t="s">
        <v>743</v>
      </c>
      <c r="M185" s="4" t="s">
        <v>22</v>
      </c>
      <c r="N185" s="4" t="s">
        <v>23</v>
      </c>
      <c r="O185" s="4" t="s">
        <v>27</v>
      </c>
      <c r="P185" s="4" t="s">
        <v>28</v>
      </c>
      <c r="Q185" s="24">
        <v>11</v>
      </c>
      <c r="R185" s="25">
        <v>1</v>
      </c>
      <c r="S185" s="39">
        <v>0</v>
      </c>
      <c r="T185" s="7" t="s">
        <v>2910</v>
      </c>
      <c r="V185" s="7" t="str">
        <f>+IF(U185="","",IF(U185="FINES",CONCATENATE("R",IF(OR(B185="16",B185="21",B185="22",B185="23"),"16212223",IF(OR(B185="15",B185="17",B185="24",B185="25"),"15172425",B185))),IF(U185="CEBAS","UNICO",IF(VALUE(B185)&lt;=11,"AMBA","INTERIOR"))))</f>
        <v/>
      </c>
      <c r="W185" s="38" t="str">
        <f>+IF(U185="","-",CONCATENATE(U185,"_",V185))</f>
        <v>-</v>
      </c>
      <c r="X185" s="42">
        <v>0.23400000000000001</v>
      </c>
    </row>
    <row r="186" spans="1:24" ht="15" thickBot="1">
      <c r="A186" s="3" t="s">
        <v>2916</v>
      </c>
      <c r="B186" s="3" t="s">
        <v>222</v>
      </c>
      <c r="C186" s="3" t="s">
        <v>1154</v>
      </c>
      <c r="D186" s="3" t="s">
        <v>1155</v>
      </c>
      <c r="E186" s="3">
        <v>605912</v>
      </c>
      <c r="F186" s="3">
        <v>1</v>
      </c>
      <c r="G186" s="3" t="s">
        <v>1158</v>
      </c>
      <c r="H186" s="3" t="s">
        <v>20</v>
      </c>
      <c r="I186" s="4" t="s">
        <v>50</v>
      </c>
      <c r="J186" s="4" t="s">
        <v>51</v>
      </c>
      <c r="K186" s="4" t="s">
        <v>1159</v>
      </c>
      <c r="L186" s="4" t="s">
        <v>1160</v>
      </c>
      <c r="M186" s="4" t="s">
        <v>22</v>
      </c>
      <c r="N186" s="4" t="s">
        <v>23</v>
      </c>
      <c r="O186" s="4" t="s">
        <v>27</v>
      </c>
      <c r="P186" s="4" t="s">
        <v>28</v>
      </c>
      <c r="Q186" s="24">
        <v>19</v>
      </c>
      <c r="R186" s="25">
        <v>2</v>
      </c>
      <c r="S186" s="39">
        <v>0</v>
      </c>
      <c r="T186" s="7" t="s">
        <v>2910</v>
      </c>
      <c r="V186" s="7" t="str">
        <f>+IF(U186="","",IF(U186="FINES",CONCATENATE("R",IF(OR(B186="16",B186="21",B186="22",B186="23"),"16212223",IF(OR(B186="15",B186="17",B186="24",B186="25"),"15172425",B186))),IF(U186="CEBAS","UNICO",IF(VALUE(B186)&lt;=11,"AMBA","INTERIOR"))))</f>
        <v/>
      </c>
      <c r="W186" s="38" t="str">
        <f>+IF(U186="","-",CONCATENATE(U186,"_",V186))</f>
        <v>-</v>
      </c>
      <c r="X186" s="42">
        <v>0.23499999999999999</v>
      </c>
    </row>
    <row r="187" spans="1:24" ht="15" thickBot="1">
      <c r="A187" s="3" t="s">
        <v>2916</v>
      </c>
      <c r="B187" s="3" t="s">
        <v>1532</v>
      </c>
      <c r="C187" s="3" t="s">
        <v>1530</v>
      </c>
      <c r="D187" s="3" t="s">
        <v>1531</v>
      </c>
      <c r="E187" s="3">
        <v>612437</v>
      </c>
      <c r="F187" s="3">
        <v>2</v>
      </c>
      <c r="G187" s="3" t="s">
        <v>1640</v>
      </c>
      <c r="H187" s="3" t="s">
        <v>20</v>
      </c>
      <c r="I187" s="4" t="s">
        <v>50</v>
      </c>
      <c r="J187" s="4" t="s">
        <v>51</v>
      </c>
      <c r="K187" s="4" t="s">
        <v>1609</v>
      </c>
      <c r="L187" s="4" t="s">
        <v>1641</v>
      </c>
      <c r="M187" s="4" t="s">
        <v>22</v>
      </c>
      <c r="N187" s="4" t="s">
        <v>134</v>
      </c>
      <c r="O187" s="4" t="s">
        <v>27</v>
      </c>
      <c r="P187" s="4" t="s">
        <v>28</v>
      </c>
      <c r="Q187" s="24">
        <v>45</v>
      </c>
      <c r="R187" s="25">
        <v>3</v>
      </c>
      <c r="S187" s="39">
        <v>0</v>
      </c>
      <c r="T187" s="7" t="s">
        <v>2910</v>
      </c>
      <c r="V187" s="7" t="str">
        <f>+IF(U187="","",IF(U187="FINES",CONCATENATE("R",IF(OR(B187="16",B187="21",B187="22",B187="23"),"16212223",IF(OR(B187="15",B187="17",B187="24",B187="25"),"15172425",B187))),IF(U187="CEBAS","UNICO",IF(VALUE(B187)&lt;=11,"AMBA","INTERIOR"))))</f>
        <v/>
      </c>
      <c r="W187" s="38" t="str">
        <f>+IF(U187="","-",CONCATENATE(U187,"_",V187))</f>
        <v>-</v>
      </c>
      <c r="X187" s="42">
        <v>0.23599999999999999</v>
      </c>
    </row>
    <row r="188" spans="1:24" ht="15" thickBot="1">
      <c r="A188" s="5" t="s">
        <v>2916</v>
      </c>
      <c r="B188" s="5" t="s">
        <v>356</v>
      </c>
      <c r="C188" s="5" t="s">
        <v>353</v>
      </c>
      <c r="D188" s="5" t="s">
        <v>355</v>
      </c>
      <c r="E188" s="5">
        <v>611026</v>
      </c>
      <c r="F188" s="5">
        <v>1</v>
      </c>
      <c r="G188" s="5" t="s">
        <v>367</v>
      </c>
      <c r="H188" s="5" t="s">
        <v>20</v>
      </c>
      <c r="I188" s="6" t="s">
        <v>50</v>
      </c>
      <c r="J188" s="6" t="s">
        <v>51</v>
      </c>
      <c r="K188" s="6" t="s">
        <v>368</v>
      </c>
      <c r="L188" s="6" t="s">
        <v>369</v>
      </c>
      <c r="M188" s="6" t="s">
        <v>22</v>
      </c>
      <c r="N188" s="6" t="s">
        <v>23</v>
      </c>
      <c r="O188" s="6" t="s">
        <v>27</v>
      </c>
      <c r="P188" s="6" t="s">
        <v>28</v>
      </c>
      <c r="Q188" s="22">
        <v>20</v>
      </c>
      <c r="R188" s="23">
        <v>2</v>
      </c>
      <c r="S188" s="39">
        <v>0</v>
      </c>
      <c r="T188" s="7" t="s">
        <v>2910</v>
      </c>
      <c r="V188" s="7" t="str">
        <f>+IF(U188="","",IF(U188="FINES",CONCATENATE("R",IF(OR(B188="16",B188="21",B188="22",B188="23"),"16212223",IF(OR(B188="15",B188="17",B188="24",B188="25"),"15172425",B188))),IF(U188="CEBAS","UNICO",IF(VALUE(B188)&lt;=11,"AMBA","INTERIOR"))))</f>
        <v/>
      </c>
      <c r="W188" s="38" t="str">
        <f>+IF(U188="","-",CONCATENATE(U188,"_",V188))</f>
        <v>-</v>
      </c>
      <c r="X188" s="42">
        <v>0.23699999999999999</v>
      </c>
    </row>
    <row r="189" spans="1:24" ht="15" thickBot="1">
      <c r="A189" s="5" t="s">
        <v>2916</v>
      </c>
      <c r="B189" s="5" t="s">
        <v>222</v>
      </c>
      <c r="C189" s="5" t="s">
        <v>227</v>
      </c>
      <c r="D189" s="5" t="s">
        <v>2603</v>
      </c>
      <c r="E189" s="5">
        <v>613714</v>
      </c>
      <c r="F189" s="5">
        <v>2</v>
      </c>
      <c r="G189" s="5" t="s">
        <v>2616</v>
      </c>
      <c r="H189" s="5" t="s">
        <v>20</v>
      </c>
      <c r="I189" s="6" t="s">
        <v>50</v>
      </c>
      <c r="J189" s="6" t="s">
        <v>51</v>
      </c>
      <c r="K189" s="6" t="s">
        <v>2608</v>
      </c>
      <c r="L189" s="6" t="s">
        <v>2617</v>
      </c>
      <c r="M189" s="6" t="s">
        <v>22</v>
      </c>
      <c r="N189" s="6" t="s">
        <v>23</v>
      </c>
      <c r="O189" s="6" t="s">
        <v>27</v>
      </c>
      <c r="P189" s="6" t="s">
        <v>28</v>
      </c>
      <c r="Q189" s="22">
        <v>62</v>
      </c>
      <c r="R189" s="23">
        <v>4</v>
      </c>
      <c r="S189" s="39">
        <v>0</v>
      </c>
      <c r="T189" s="7" t="s">
        <v>2910</v>
      </c>
      <c r="V189" s="7" t="str">
        <f>+IF(U189="","",IF(U189="FINES",CONCATENATE("R",IF(OR(B189="16",B189="21",B189="22",B189="23"),"16212223",IF(OR(B189="15",B189="17",B189="24",B189="25"),"15172425",B189))),IF(U189="CEBAS","UNICO",IF(VALUE(B189)&lt;=11,"AMBA","INTERIOR"))))</f>
        <v/>
      </c>
      <c r="W189" s="38" t="str">
        <f>+IF(U189="","-",CONCATENATE(U189,"_",V189))</f>
        <v>-</v>
      </c>
      <c r="X189" s="42">
        <v>0.23799999999999999</v>
      </c>
    </row>
    <row r="190" spans="1:24" ht="15" thickBot="1">
      <c r="A190" s="3" t="s">
        <v>2916</v>
      </c>
      <c r="B190" s="3" t="s">
        <v>19</v>
      </c>
      <c r="C190" s="3" t="s">
        <v>449</v>
      </c>
      <c r="D190" s="3" t="s">
        <v>2590</v>
      </c>
      <c r="E190" s="3">
        <v>607128</v>
      </c>
      <c r="F190" s="3">
        <v>0</v>
      </c>
      <c r="G190" s="3" t="s">
        <v>2592</v>
      </c>
      <c r="H190" s="3" t="s">
        <v>20</v>
      </c>
      <c r="I190" s="4" t="s">
        <v>50</v>
      </c>
      <c r="J190" s="4" t="s">
        <v>21</v>
      </c>
      <c r="K190" s="4"/>
      <c r="L190" s="4" t="s">
        <v>672</v>
      </c>
      <c r="M190" s="4" t="s">
        <v>22</v>
      </c>
      <c r="N190" s="4" t="s">
        <v>23</v>
      </c>
      <c r="O190" s="4" t="s">
        <v>27</v>
      </c>
      <c r="P190" s="4" t="s">
        <v>28</v>
      </c>
      <c r="Q190" s="24">
        <v>47</v>
      </c>
      <c r="R190" s="25">
        <v>3</v>
      </c>
      <c r="S190" s="39">
        <v>0</v>
      </c>
      <c r="T190" s="7" t="s">
        <v>2910</v>
      </c>
      <c r="V190" s="7" t="str">
        <f>+IF(U190="","",IF(U190="FINES",CONCATENATE("R",IF(OR(B190="16",B190="21",B190="22",B190="23"),"16212223",IF(OR(B190="15",B190="17",B190="24",B190="25"),"15172425",B190))),IF(U190="CEBAS","UNICO",IF(VALUE(B190)&lt;=11,"AMBA","INTERIOR"))))</f>
        <v/>
      </c>
      <c r="W190" s="38" t="str">
        <f>+IF(U190="","-",CONCATENATE(U190,"_",V190))</f>
        <v>-</v>
      </c>
      <c r="X190" s="42">
        <v>0.24</v>
      </c>
    </row>
    <row r="191" spans="1:24" ht="15" thickBot="1">
      <c r="A191" s="5" t="s">
        <v>2916</v>
      </c>
      <c r="B191" s="5" t="s">
        <v>1532</v>
      </c>
      <c r="C191" s="5" t="s">
        <v>1530</v>
      </c>
      <c r="D191" s="5" t="s">
        <v>1531</v>
      </c>
      <c r="E191" s="5">
        <v>613633</v>
      </c>
      <c r="F191" s="5">
        <v>0</v>
      </c>
      <c r="G191" s="5" t="s">
        <v>1599</v>
      </c>
      <c r="H191" s="5" t="s">
        <v>20</v>
      </c>
      <c r="I191" s="6" t="s">
        <v>50</v>
      </c>
      <c r="J191" s="6" t="s">
        <v>21</v>
      </c>
      <c r="K191" s="6"/>
      <c r="L191" s="6" t="s">
        <v>90</v>
      </c>
      <c r="M191" s="6" t="s">
        <v>22</v>
      </c>
      <c r="N191" s="6" t="s">
        <v>23</v>
      </c>
      <c r="O191" s="6" t="s">
        <v>27</v>
      </c>
      <c r="P191" s="6" t="s">
        <v>28</v>
      </c>
      <c r="Q191" s="22">
        <v>17</v>
      </c>
      <c r="R191" s="23">
        <v>1</v>
      </c>
      <c r="S191" s="39">
        <v>0</v>
      </c>
      <c r="T191" s="7" t="s">
        <v>2910</v>
      </c>
      <c r="V191" s="7" t="str">
        <f>+IF(U191="","",IF(U191="FINES",CONCATENATE("R",IF(OR(B191="16",B191="21",B191="22",B191="23"),"16212223",IF(OR(B191="15",B191="17",B191="24",B191="25"),"15172425",B191))),IF(U191="CEBAS","UNICO",IF(VALUE(B191)&lt;=11,"AMBA","INTERIOR"))))</f>
        <v/>
      </c>
      <c r="W191" s="38" t="str">
        <f>+IF(U191="","-",CONCATENATE(U191,"_",V191))</f>
        <v>-</v>
      </c>
      <c r="X191" s="42">
        <v>0.24</v>
      </c>
    </row>
    <row r="192" spans="1:24" ht="15" thickBot="1">
      <c r="A192" s="5" t="s">
        <v>2916</v>
      </c>
      <c r="B192" s="5" t="s">
        <v>1860</v>
      </c>
      <c r="C192" s="5" t="s">
        <v>875</v>
      </c>
      <c r="D192" s="5" t="s">
        <v>2816</v>
      </c>
      <c r="E192" s="5">
        <v>602107</v>
      </c>
      <c r="F192" s="5">
        <v>2</v>
      </c>
      <c r="G192" s="5" t="s">
        <v>2819</v>
      </c>
      <c r="H192" s="5" t="s">
        <v>20</v>
      </c>
      <c r="I192" s="6" t="s">
        <v>50</v>
      </c>
      <c r="J192" s="6" t="s">
        <v>51</v>
      </c>
      <c r="K192" s="6" t="s">
        <v>2818</v>
      </c>
      <c r="L192" s="6" t="s">
        <v>617</v>
      </c>
      <c r="M192" s="6" t="s">
        <v>22</v>
      </c>
      <c r="N192" s="6" t="s">
        <v>23</v>
      </c>
      <c r="O192" s="6" t="s">
        <v>27</v>
      </c>
      <c r="P192" s="6" t="s">
        <v>28</v>
      </c>
      <c r="Q192" s="22">
        <v>15</v>
      </c>
      <c r="R192" s="23">
        <v>1</v>
      </c>
      <c r="S192" s="39">
        <v>0</v>
      </c>
      <c r="T192" s="7" t="s">
        <v>2910</v>
      </c>
      <c r="V192" s="7" t="str">
        <f>+IF(U192="","",IF(U192="FINES",CONCATENATE("R",IF(OR(B192="16",B192="21",B192="22",B192="23"),"16212223",IF(OR(B192="15",B192="17",B192="24",B192="25"),"15172425",B192))),IF(U192="CEBAS","UNICO",IF(VALUE(B192)&lt;=11,"AMBA","INTERIOR"))))</f>
        <v/>
      </c>
      <c r="W192" s="38" t="str">
        <f>+IF(U192="","-",CONCATENATE(U192,"_",V192))</f>
        <v>-</v>
      </c>
      <c r="X192" s="42">
        <v>0.24</v>
      </c>
    </row>
    <row r="193" spans="1:24" ht="15" thickBot="1">
      <c r="A193" s="3" t="s">
        <v>2916</v>
      </c>
      <c r="B193" s="3" t="s">
        <v>205</v>
      </c>
      <c r="C193" s="3" t="s">
        <v>1946</v>
      </c>
      <c r="D193" s="3" t="s">
        <v>1947</v>
      </c>
      <c r="E193" s="3">
        <v>620152</v>
      </c>
      <c r="F193" s="3">
        <v>0</v>
      </c>
      <c r="G193" s="3" t="s">
        <v>1954</v>
      </c>
      <c r="H193" s="3" t="s">
        <v>20</v>
      </c>
      <c r="I193" s="4" t="s">
        <v>50</v>
      </c>
      <c r="J193" s="4" t="s">
        <v>21</v>
      </c>
      <c r="K193" s="4"/>
      <c r="L193" s="4" t="s">
        <v>955</v>
      </c>
      <c r="M193" s="4" t="s">
        <v>199</v>
      </c>
      <c r="N193" s="4" t="s">
        <v>23</v>
      </c>
      <c r="O193" s="4" t="s">
        <v>27</v>
      </c>
      <c r="P193" s="4" t="s">
        <v>28</v>
      </c>
      <c r="Q193" s="24">
        <v>12</v>
      </c>
      <c r="R193" s="25">
        <v>1</v>
      </c>
      <c r="S193" s="39">
        <v>0</v>
      </c>
      <c r="T193" s="7" t="s">
        <v>2910</v>
      </c>
      <c r="V193" s="7" t="str">
        <f>+IF(U193="","",IF(U193="FINES",CONCATENATE("R",IF(OR(B193="16",B193="21",B193="22",B193="23"),"16212223",IF(OR(B193="15",B193="17",B193="24",B193="25"),"15172425",B193))),IF(U193="CEBAS","UNICO",IF(VALUE(B193)&lt;=11,"AMBA","INTERIOR"))))</f>
        <v/>
      </c>
      <c r="W193" s="38" t="str">
        <f>+IF(U193="","-",CONCATENATE(U193,"_",V193))</f>
        <v>-</v>
      </c>
      <c r="X193" s="42">
        <v>0.24099999999999999</v>
      </c>
    </row>
    <row r="194" spans="1:24" ht="15" thickBot="1">
      <c r="A194" s="5" t="s">
        <v>2916</v>
      </c>
      <c r="B194" s="5" t="s">
        <v>19</v>
      </c>
      <c r="C194" s="5" t="s">
        <v>599</v>
      </c>
      <c r="D194" s="5" t="s">
        <v>601</v>
      </c>
      <c r="E194" s="5">
        <v>608377</v>
      </c>
      <c r="F194" s="5">
        <v>0</v>
      </c>
      <c r="G194" s="5" t="s">
        <v>602</v>
      </c>
      <c r="H194" s="5" t="s">
        <v>20</v>
      </c>
      <c r="I194" s="6" t="s">
        <v>50</v>
      </c>
      <c r="J194" s="6" t="s">
        <v>21</v>
      </c>
      <c r="K194" s="6"/>
      <c r="L194" s="6" t="s">
        <v>603</v>
      </c>
      <c r="M194" s="6" t="s">
        <v>22</v>
      </c>
      <c r="N194" s="6" t="s">
        <v>23</v>
      </c>
      <c r="O194" s="6" t="s">
        <v>27</v>
      </c>
      <c r="P194" s="6" t="s">
        <v>28</v>
      </c>
      <c r="Q194" s="22">
        <v>22</v>
      </c>
      <c r="R194" s="23">
        <v>2</v>
      </c>
      <c r="S194" s="39">
        <v>0</v>
      </c>
      <c r="T194" s="7" t="s">
        <v>2910</v>
      </c>
      <c r="V194" s="7" t="str">
        <f>+IF(U194="","",IF(U194="FINES",CONCATENATE("R",IF(OR(B194="16",B194="21",B194="22",B194="23"),"16212223",IF(OR(B194="15",B194="17",B194="24",B194="25"),"15172425",B194))),IF(U194="CEBAS","UNICO",IF(VALUE(B194)&lt;=11,"AMBA","INTERIOR"))))</f>
        <v/>
      </c>
      <c r="W194" s="38" t="str">
        <f>+IF(U194="","-",CONCATENATE(U194,"_",V194))</f>
        <v>-</v>
      </c>
      <c r="X194" s="42">
        <v>0.24099999999999999</v>
      </c>
    </row>
    <row r="195" spans="1:24" ht="15" thickBot="1">
      <c r="A195" s="5" t="s">
        <v>2916</v>
      </c>
      <c r="B195" s="5" t="s">
        <v>140</v>
      </c>
      <c r="C195" s="5" t="s">
        <v>2277</v>
      </c>
      <c r="D195" s="5" t="s">
        <v>2278</v>
      </c>
      <c r="E195" s="5">
        <v>601234</v>
      </c>
      <c r="F195" s="5">
        <v>3</v>
      </c>
      <c r="G195" s="5" t="s">
        <v>2288</v>
      </c>
      <c r="H195" s="5" t="s">
        <v>20</v>
      </c>
      <c r="I195" s="6" t="s">
        <v>50</v>
      </c>
      <c r="J195" s="6" t="s">
        <v>51</v>
      </c>
      <c r="K195" s="6" t="s">
        <v>2284</v>
      </c>
      <c r="L195" s="6" t="s">
        <v>2013</v>
      </c>
      <c r="M195" s="6" t="s">
        <v>22</v>
      </c>
      <c r="N195" s="6" t="s">
        <v>23</v>
      </c>
      <c r="O195" s="6" t="s">
        <v>27</v>
      </c>
      <c r="P195" s="6" t="s">
        <v>28</v>
      </c>
      <c r="Q195" s="22">
        <v>16</v>
      </c>
      <c r="R195" s="23">
        <v>1</v>
      </c>
      <c r="S195" s="39">
        <v>0</v>
      </c>
      <c r="T195" s="7" t="s">
        <v>2910</v>
      </c>
      <c r="V195" s="7" t="str">
        <f>+IF(U195="","",IF(U195="FINES",CONCATENATE("R",IF(OR(B195="16",B195="21",B195="22",B195="23"),"16212223",IF(OR(B195="15",B195="17",B195="24",B195="25"),"15172425",B195))),IF(U195="CEBAS","UNICO",IF(VALUE(B195)&lt;=11,"AMBA","INTERIOR"))))</f>
        <v/>
      </c>
      <c r="W195" s="38" t="str">
        <f>+IF(U195="","-",CONCATENATE(U195,"_",V195))</f>
        <v>-</v>
      </c>
      <c r="X195" s="42">
        <v>0.24099999999999999</v>
      </c>
    </row>
    <row r="196" spans="1:24" ht="15" thickBot="1">
      <c r="A196" s="3" t="s">
        <v>2916</v>
      </c>
      <c r="B196" s="3" t="s">
        <v>1532</v>
      </c>
      <c r="C196" s="3" t="s">
        <v>1530</v>
      </c>
      <c r="D196" s="3" t="s">
        <v>1531</v>
      </c>
      <c r="E196" s="3">
        <v>614458</v>
      </c>
      <c r="F196" s="3">
        <v>0</v>
      </c>
      <c r="G196" s="3" t="s">
        <v>1537</v>
      </c>
      <c r="H196" s="3" t="s">
        <v>20</v>
      </c>
      <c r="I196" s="4" t="s">
        <v>25</v>
      </c>
      <c r="J196" s="4" t="s">
        <v>21</v>
      </c>
      <c r="K196" s="4"/>
      <c r="L196" s="4" t="s">
        <v>1538</v>
      </c>
      <c r="M196" s="4" t="s">
        <v>22</v>
      </c>
      <c r="N196" s="4" t="s">
        <v>23</v>
      </c>
      <c r="O196" s="4" t="s">
        <v>27</v>
      </c>
      <c r="P196" s="4" t="s">
        <v>28</v>
      </c>
      <c r="Q196" s="24">
        <v>14</v>
      </c>
      <c r="R196" s="25">
        <v>1</v>
      </c>
      <c r="S196" s="39">
        <v>0</v>
      </c>
      <c r="T196" s="7" t="s">
        <v>2910</v>
      </c>
      <c r="V196" s="7" t="str">
        <f>+IF(U196="","",IF(U196="FINES",CONCATENATE("R",IF(OR(B196="16",B196="21",B196="22",B196="23"),"16212223",IF(OR(B196="15",B196="17",B196="24",B196="25"),"15172425",B196))),IF(U196="CEBAS","UNICO",IF(VALUE(B196)&lt;=11,"AMBA","INTERIOR"))))</f>
        <v/>
      </c>
      <c r="W196" s="38" t="str">
        <f>+IF(U196="","-",CONCATENATE(U196,"_",V196))</f>
        <v>-</v>
      </c>
      <c r="X196" s="42">
        <v>0.24299999999999999</v>
      </c>
    </row>
    <row r="197" spans="1:24" ht="15" thickBot="1">
      <c r="A197" s="5" t="s">
        <v>2916</v>
      </c>
      <c r="B197" s="5" t="s">
        <v>138</v>
      </c>
      <c r="C197" s="5" t="s">
        <v>522</v>
      </c>
      <c r="D197" s="5" t="s">
        <v>1468</v>
      </c>
      <c r="E197" s="5">
        <v>603612</v>
      </c>
      <c r="F197" s="5">
        <v>0</v>
      </c>
      <c r="G197" s="5" t="s">
        <v>1471</v>
      </c>
      <c r="H197" s="5" t="s">
        <v>20</v>
      </c>
      <c r="I197" s="6" t="s">
        <v>50</v>
      </c>
      <c r="J197" s="6" t="s">
        <v>21</v>
      </c>
      <c r="K197" s="6"/>
      <c r="L197" s="6" t="s">
        <v>545</v>
      </c>
      <c r="M197" s="6" t="s">
        <v>22</v>
      </c>
      <c r="N197" s="6" t="s">
        <v>23</v>
      </c>
      <c r="O197" s="6" t="s">
        <v>27</v>
      </c>
      <c r="P197" s="6" t="s">
        <v>28</v>
      </c>
      <c r="Q197" s="22">
        <v>36</v>
      </c>
      <c r="R197" s="23">
        <v>3</v>
      </c>
      <c r="S197" s="39">
        <v>0</v>
      </c>
      <c r="T197" s="7" t="s">
        <v>2910</v>
      </c>
      <c r="V197" s="7" t="str">
        <f>+IF(U197="","",IF(U197="FINES",CONCATENATE("R",IF(OR(B197="16",B197="21",B197="22",B197="23"),"16212223",IF(OR(B197="15",B197="17",B197="24",B197="25"),"15172425",B197))),IF(U197="CEBAS","UNICO",IF(VALUE(B197)&lt;=11,"AMBA","INTERIOR"))))</f>
        <v/>
      </c>
      <c r="W197" s="38" t="str">
        <f>+IF(U197="","-",CONCATENATE(U197,"_",V197))</f>
        <v>-</v>
      </c>
      <c r="X197" s="42">
        <v>0.24399999999999999</v>
      </c>
    </row>
    <row r="198" spans="1:24" ht="15" thickBot="1">
      <c r="A198" s="5" t="s">
        <v>2916</v>
      </c>
      <c r="B198" s="5" t="s">
        <v>817</v>
      </c>
      <c r="C198" s="5" t="s">
        <v>2080</v>
      </c>
      <c r="D198" s="5" t="s">
        <v>2081</v>
      </c>
      <c r="E198" s="5">
        <v>607786</v>
      </c>
      <c r="F198" s="5">
        <v>2</v>
      </c>
      <c r="G198" s="5" t="s">
        <v>2094</v>
      </c>
      <c r="H198" s="5" t="s">
        <v>20</v>
      </c>
      <c r="I198" s="6" t="s">
        <v>50</v>
      </c>
      <c r="J198" s="6" t="s">
        <v>51</v>
      </c>
      <c r="K198" s="6" t="s">
        <v>2095</v>
      </c>
      <c r="L198" s="6" t="s">
        <v>791</v>
      </c>
      <c r="M198" s="6" t="s">
        <v>22</v>
      </c>
      <c r="N198" s="6" t="s">
        <v>23</v>
      </c>
      <c r="O198" s="6" t="s">
        <v>27</v>
      </c>
      <c r="P198" s="6" t="s">
        <v>28</v>
      </c>
      <c r="Q198" s="22">
        <v>26</v>
      </c>
      <c r="R198" s="23">
        <v>2</v>
      </c>
      <c r="S198" s="39">
        <v>0</v>
      </c>
      <c r="T198" s="7" t="s">
        <v>2910</v>
      </c>
      <c r="V198" s="7" t="str">
        <f>+IF(U198="","",IF(U198="FINES",CONCATENATE("R",IF(OR(B198="16",B198="21",B198="22",B198="23"),"16212223",IF(OR(B198="15",B198="17",B198="24",B198="25"),"15172425",B198))),IF(U198="CEBAS","UNICO",IF(VALUE(B198)&lt;=11,"AMBA","INTERIOR"))))</f>
        <v/>
      </c>
      <c r="W198" s="38" t="str">
        <f>+IF(U198="","-",CONCATENATE(U198,"_",V198))</f>
        <v>-</v>
      </c>
      <c r="X198" s="42">
        <v>0.246</v>
      </c>
    </row>
    <row r="199" spans="1:24" ht="15" thickBot="1">
      <c r="A199" s="5" t="s">
        <v>2916</v>
      </c>
      <c r="B199" s="5" t="s">
        <v>410</v>
      </c>
      <c r="C199" s="5" t="s">
        <v>760</v>
      </c>
      <c r="D199" s="5" t="s">
        <v>761</v>
      </c>
      <c r="E199" s="5">
        <v>607782</v>
      </c>
      <c r="F199" s="5">
        <v>2</v>
      </c>
      <c r="G199" s="5" t="s">
        <v>764</v>
      </c>
      <c r="H199" s="5" t="s">
        <v>20</v>
      </c>
      <c r="I199" s="6" t="s">
        <v>50</v>
      </c>
      <c r="J199" s="6" t="s">
        <v>51</v>
      </c>
      <c r="K199" s="6" t="s">
        <v>763</v>
      </c>
      <c r="L199" s="6" t="s">
        <v>765</v>
      </c>
      <c r="M199" s="6" t="s">
        <v>22</v>
      </c>
      <c r="N199" s="6" t="s">
        <v>23</v>
      </c>
      <c r="O199" s="6" t="s">
        <v>27</v>
      </c>
      <c r="P199" s="6" t="s">
        <v>28</v>
      </c>
      <c r="Q199" s="22">
        <v>16</v>
      </c>
      <c r="R199" s="23">
        <v>1</v>
      </c>
      <c r="S199" s="39">
        <v>0</v>
      </c>
      <c r="T199" s="7" t="s">
        <v>2910</v>
      </c>
      <c r="U199" s="7"/>
      <c r="V199" s="7" t="str">
        <f>+IF(U199="","",IF(U199="FINES",CONCATENATE("R",IF(OR(B199="16",B199="21",B199="22",B199="23"),"16212223",IF(OR(B199="15",B199="17",B199="24",B199="25"),"15172425",B199))),IF(U199="CEBAS","UNICO",IF(VALUE(B199)&lt;=11,"AMBA","INTERIOR"))))</f>
        <v/>
      </c>
      <c r="W199" s="38" t="str">
        <f>+IF(U199="","-",CONCATENATE(U199,"_",V199))</f>
        <v>-</v>
      </c>
      <c r="X199" s="42">
        <v>0.248</v>
      </c>
    </row>
    <row r="200" spans="1:24" ht="15" thickBot="1">
      <c r="A200" s="3" t="s">
        <v>2916</v>
      </c>
      <c r="B200" s="3" t="s">
        <v>410</v>
      </c>
      <c r="C200" s="3" t="s">
        <v>918</v>
      </c>
      <c r="D200" s="3" t="s">
        <v>919</v>
      </c>
      <c r="E200" s="3">
        <v>608720</v>
      </c>
      <c r="F200" s="3">
        <v>0</v>
      </c>
      <c r="G200" s="3" t="s">
        <v>920</v>
      </c>
      <c r="H200" s="3" t="s">
        <v>20</v>
      </c>
      <c r="I200" s="4" t="s">
        <v>50</v>
      </c>
      <c r="J200" s="4" t="s">
        <v>21</v>
      </c>
      <c r="K200" s="4"/>
      <c r="L200" s="4" t="s">
        <v>543</v>
      </c>
      <c r="M200" s="4" t="s">
        <v>200</v>
      </c>
      <c r="N200" s="4" t="s">
        <v>23</v>
      </c>
      <c r="O200" s="4" t="s">
        <v>27</v>
      </c>
      <c r="P200" s="4" t="s">
        <v>28</v>
      </c>
      <c r="Q200" s="24">
        <v>10</v>
      </c>
      <c r="R200" s="25">
        <v>2</v>
      </c>
      <c r="S200" s="39">
        <v>0</v>
      </c>
      <c r="T200" s="7" t="s">
        <v>2910</v>
      </c>
      <c r="U200" s="7"/>
      <c r="V200" s="7" t="str">
        <f>+IF(U200="","",IF(U200="FINES",CONCATENATE("R",IF(OR(B200="16",B200="21",B200="22",B200="23"),"16212223",IF(OR(B200="15",B200="17",B200="24",B200="25"),"15172425",B200))),IF(U200="CEBAS","UNICO",IF(VALUE(B200)&lt;=11,"AMBA","INTERIOR"))))</f>
        <v/>
      </c>
      <c r="W200" s="38" t="str">
        <f>+IF(U200="","-",CONCATENATE(U200,"_",V200))</f>
        <v>-</v>
      </c>
      <c r="X200" s="42">
        <v>0.253</v>
      </c>
    </row>
    <row r="201" spans="1:24" ht="15" thickBot="1">
      <c r="A201" s="3" t="s">
        <v>2916</v>
      </c>
      <c r="B201" s="3" t="s">
        <v>135</v>
      </c>
      <c r="C201" s="3" t="s">
        <v>1217</v>
      </c>
      <c r="D201" s="3" t="s">
        <v>1218</v>
      </c>
      <c r="E201" s="3">
        <v>604293</v>
      </c>
      <c r="F201" s="3">
        <v>4</v>
      </c>
      <c r="G201" s="3" t="s">
        <v>1219</v>
      </c>
      <c r="H201" s="3" t="s">
        <v>20</v>
      </c>
      <c r="I201" s="4" t="s">
        <v>50</v>
      </c>
      <c r="J201" s="4" t="s">
        <v>51</v>
      </c>
      <c r="K201" s="4" t="s">
        <v>1220</v>
      </c>
      <c r="L201" s="4" t="s">
        <v>1221</v>
      </c>
      <c r="M201" s="4" t="s">
        <v>22</v>
      </c>
      <c r="N201" s="4" t="s">
        <v>23</v>
      </c>
      <c r="O201" s="4" t="s">
        <v>27</v>
      </c>
      <c r="P201" s="4" t="s">
        <v>28</v>
      </c>
      <c r="Q201" s="24">
        <v>6</v>
      </c>
      <c r="R201" s="25">
        <v>1</v>
      </c>
      <c r="S201" s="39">
        <v>0</v>
      </c>
      <c r="T201" s="7" t="s">
        <v>2910</v>
      </c>
      <c r="U201" s="7"/>
      <c r="V201" s="7" t="str">
        <f>+IF(U201="","",IF(U201="FINES",CONCATENATE("R",IF(OR(B201="16",B201="21",B201="22",B201="23"),"16212223",IF(OR(B201="15",B201="17",B201="24",B201="25"),"15172425",B201))),IF(U201="CEBAS","UNICO",IF(VALUE(B201)&lt;=11,"AMBA","INTERIOR"))))</f>
        <v/>
      </c>
      <c r="W201" s="38" t="str">
        <f>+IF(U201="","-",CONCATENATE(U201,"_",V201))</f>
        <v>-</v>
      </c>
      <c r="X201" s="42">
        <v>0.254</v>
      </c>
    </row>
    <row r="202" spans="1:24" ht="15" thickBot="1">
      <c r="A202" s="5" t="s">
        <v>2916</v>
      </c>
      <c r="B202" s="5" t="s">
        <v>204</v>
      </c>
      <c r="C202" s="5" t="s">
        <v>1084</v>
      </c>
      <c r="D202" s="5" t="s">
        <v>1085</v>
      </c>
      <c r="E202" s="5">
        <v>612517</v>
      </c>
      <c r="F202" s="5">
        <v>4</v>
      </c>
      <c r="G202" s="5" t="s">
        <v>1107</v>
      </c>
      <c r="H202" s="5" t="s">
        <v>20</v>
      </c>
      <c r="I202" s="6" t="s">
        <v>50</v>
      </c>
      <c r="J202" s="6" t="s">
        <v>51</v>
      </c>
      <c r="K202" s="6" t="s">
        <v>1099</v>
      </c>
      <c r="L202" s="6" t="s">
        <v>1108</v>
      </c>
      <c r="M202" s="6" t="s">
        <v>22</v>
      </c>
      <c r="N202" s="6" t="s">
        <v>23</v>
      </c>
      <c r="O202" s="6" t="s">
        <v>27</v>
      </c>
      <c r="P202" s="6" t="s">
        <v>28</v>
      </c>
      <c r="Q202" s="22">
        <v>31</v>
      </c>
      <c r="R202" s="23">
        <v>2</v>
      </c>
      <c r="S202" s="39">
        <v>0</v>
      </c>
      <c r="T202" s="7" t="s">
        <v>2910</v>
      </c>
      <c r="U202" s="7"/>
      <c r="V202" s="7" t="str">
        <f>+IF(U202="","",IF(U202="FINES",CONCATENATE("R",IF(OR(B202="16",B202="21",B202="22",B202="23"),"16212223",IF(OR(B202="15",B202="17",B202="24",B202="25"),"15172425",B202))),IF(U202="CEBAS","UNICO",IF(VALUE(B202)&lt;=11,"AMBA","INTERIOR"))))</f>
        <v/>
      </c>
      <c r="W202" s="38" t="str">
        <f>+IF(U202="","-",CONCATENATE(U202,"_",V202))</f>
        <v>-</v>
      </c>
      <c r="X202" s="42">
        <v>0.254</v>
      </c>
    </row>
    <row r="203" spans="1:24" ht="15" thickBot="1">
      <c r="A203" s="3" t="s">
        <v>2916</v>
      </c>
      <c r="B203" s="3" t="s">
        <v>204</v>
      </c>
      <c r="C203" s="3" t="s">
        <v>1084</v>
      </c>
      <c r="D203" s="3" t="s">
        <v>1085</v>
      </c>
      <c r="E203" s="3">
        <v>613141</v>
      </c>
      <c r="F203" s="3">
        <v>1</v>
      </c>
      <c r="G203" s="3" t="s">
        <v>1088</v>
      </c>
      <c r="H203" s="3" t="s">
        <v>20</v>
      </c>
      <c r="I203" s="4" t="s">
        <v>50</v>
      </c>
      <c r="J203" s="4" t="s">
        <v>51</v>
      </c>
      <c r="K203" s="4" t="s">
        <v>1089</v>
      </c>
      <c r="L203" s="4" t="s">
        <v>530</v>
      </c>
      <c r="M203" s="4" t="s">
        <v>22</v>
      </c>
      <c r="N203" s="4" t="s">
        <v>23</v>
      </c>
      <c r="O203" s="4" t="s">
        <v>27</v>
      </c>
      <c r="P203" s="4" t="s">
        <v>28</v>
      </c>
      <c r="Q203" s="24">
        <v>18</v>
      </c>
      <c r="R203" s="25">
        <v>1</v>
      </c>
      <c r="S203" s="39">
        <v>0</v>
      </c>
      <c r="T203" s="7" t="s">
        <v>2910</v>
      </c>
      <c r="U203" s="7"/>
      <c r="V203" s="7" t="str">
        <f>+IF(U203="","",IF(U203="FINES",CONCATENATE("R",IF(OR(B203="16",B203="21",B203="22",B203="23"),"16212223",IF(OR(B203="15",B203="17",B203="24",B203="25"),"15172425",B203))),IF(U203="CEBAS","UNICO",IF(VALUE(B203)&lt;=11,"AMBA","INTERIOR"))))</f>
        <v/>
      </c>
      <c r="W203" s="38" t="str">
        <f>+IF(U203="","-",CONCATENATE(U203,"_",V203))</f>
        <v>-</v>
      </c>
      <c r="X203" s="42">
        <v>0.254</v>
      </c>
    </row>
    <row r="204" spans="1:24" ht="15" thickBot="1">
      <c r="A204" s="3" t="s">
        <v>2916</v>
      </c>
      <c r="B204" s="3" t="s">
        <v>817</v>
      </c>
      <c r="C204" s="3" t="s">
        <v>600</v>
      </c>
      <c r="D204" s="3" t="s">
        <v>2661</v>
      </c>
      <c r="E204" s="3">
        <v>609874</v>
      </c>
      <c r="F204" s="3">
        <v>1</v>
      </c>
      <c r="G204" s="3" t="s">
        <v>2667</v>
      </c>
      <c r="H204" s="3" t="s">
        <v>20</v>
      </c>
      <c r="I204" s="4" t="s">
        <v>50</v>
      </c>
      <c r="J204" s="4" t="s">
        <v>51</v>
      </c>
      <c r="K204" s="4" t="s">
        <v>2668</v>
      </c>
      <c r="L204" s="4" t="s">
        <v>2669</v>
      </c>
      <c r="M204" s="4" t="s">
        <v>22</v>
      </c>
      <c r="N204" s="4" t="s">
        <v>23</v>
      </c>
      <c r="O204" s="4" t="s">
        <v>27</v>
      </c>
      <c r="P204" s="4" t="s">
        <v>28</v>
      </c>
      <c r="Q204" s="24">
        <v>32</v>
      </c>
      <c r="R204" s="25">
        <v>3</v>
      </c>
      <c r="S204" s="39">
        <v>0</v>
      </c>
      <c r="T204" s="7" t="s">
        <v>2910</v>
      </c>
      <c r="U204" s="7"/>
      <c r="V204" s="7" t="str">
        <f>+IF(U204="","",IF(U204="FINES",CONCATENATE("R",IF(OR(B204="16",B204="21",B204="22",B204="23"),"16212223",IF(OR(B204="15",B204="17",B204="24",B204="25"),"15172425",B204))),IF(U204="CEBAS","UNICO",IF(VALUE(B204)&lt;=11,"AMBA","INTERIOR"))))</f>
        <v/>
      </c>
      <c r="W204" s="38" t="str">
        <f>+IF(U204="","-",CONCATENATE(U204,"_",V204))</f>
        <v>-</v>
      </c>
      <c r="X204" s="42">
        <v>0.254</v>
      </c>
    </row>
    <row r="205" spans="1:24" ht="15" thickBot="1">
      <c r="A205" s="3" t="s">
        <v>2916</v>
      </c>
      <c r="B205" s="3" t="s">
        <v>257</v>
      </c>
      <c r="C205" s="3" t="s">
        <v>254</v>
      </c>
      <c r="D205" s="3" t="s">
        <v>256</v>
      </c>
      <c r="E205" s="3">
        <v>613279</v>
      </c>
      <c r="F205" s="3">
        <v>1</v>
      </c>
      <c r="G205" s="3" t="s">
        <v>263</v>
      </c>
      <c r="H205" s="3" t="s">
        <v>20</v>
      </c>
      <c r="I205" s="4" t="s">
        <v>50</v>
      </c>
      <c r="J205" s="4" t="s">
        <v>51</v>
      </c>
      <c r="K205" s="4" t="s">
        <v>264</v>
      </c>
      <c r="L205" s="4" t="s">
        <v>63</v>
      </c>
      <c r="M205" s="4" t="s">
        <v>22</v>
      </c>
      <c r="N205" s="4" t="s">
        <v>23</v>
      </c>
      <c r="O205" s="4" t="s">
        <v>27</v>
      </c>
      <c r="P205" s="4" t="s">
        <v>28</v>
      </c>
      <c r="Q205" s="24">
        <v>40</v>
      </c>
      <c r="R205" s="25">
        <v>4</v>
      </c>
      <c r="S205" s="39">
        <v>0</v>
      </c>
      <c r="T205" s="7" t="s">
        <v>2910</v>
      </c>
      <c r="U205" s="7"/>
      <c r="V205" s="7" t="str">
        <f>+IF(U205="","",IF(U205="FINES",CONCATENATE("R",IF(OR(B205="16",B205="21",B205="22",B205="23"),"16212223",IF(OR(B205="15",B205="17",B205="24",B205="25"),"15172425",B205))),IF(U205="CEBAS","UNICO",IF(VALUE(B205)&lt;=11,"AMBA","INTERIOR"))))</f>
        <v/>
      </c>
      <c r="W205" s="38" t="str">
        <f>+IF(U205="","-",CONCATENATE(U205,"_",V205))</f>
        <v>-</v>
      </c>
      <c r="X205" s="42">
        <v>0.25700000000000001</v>
      </c>
    </row>
    <row r="206" spans="1:24" ht="15" thickBot="1">
      <c r="A206" s="5" t="s">
        <v>2916</v>
      </c>
      <c r="B206" s="5" t="s">
        <v>1780</v>
      </c>
      <c r="C206" s="5" t="s">
        <v>1778</v>
      </c>
      <c r="D206" s="5" t="s">
        <v>1779</v>
      </c>
      <c r="E206" s="5">
        <v>609955</v>
      </c>
      <c r="F206" s="5">
        <v>3</v>
      </c>
      <c r="G206" s="5" t="s">
        <v>1807</v>
      </c>
      <c r="H206" s="5" t="s">
        <v>20</v>
      </c>
      <c r="I206" s="6" t="s">
        <v>50</v>
      </c>
      <c r="J206" s="6" t="s">
        <v>51</v>
      </c>
      <c r="K206" s="6" t="s">
        <v>1804</v>
      </c>
      <c r="L206" s="6" t="s">
        <v>794</v>
      </c>
      <c r="M206" s="6" t="s">
        <v>22</v>
      </c>
      <c r="N206" s="6" t="s">
        <v>23</v>
      </c>
      <c r="O206" s="6" t="s">
        <v>27</v>
      </c>
      <c r="P206" s="6" t="s">
        <v>28</v>
      </c>
      <c r="Q206" s="22">
        <v>29</v>
      </c>
      <c r="R206" s="23">
        <v>3</v>
      </c>
      <c r="S206" s="39">
        <v>0</v>
      </c>
      <c r="T206" s="7" t="s">
        <v>2910</v>
      </c>
      <c r="U206" s="7"/>
      <c r="V206" s="7" t="str">
        <f>+IF(U206="","",IF(U206="FINES",CONCATENATE("R",IF(OR(B206="16",B206="21",B206="22",B206="23"),"16212223",IF(OR(B206="15",B206="17",B206="24",B206="25"),"15172425",B206))),IF(U206="CEBAS","UNICO",IF(VALUE(B206)&lt;=11,"AMBA","INTERIOR"))))</f>
        <v/>
      </c>
      <c r="W206" s="38" t="str">
        <f>+IF(U206="","-",CONCATENATE(U206,"_",V206))</f>
        <v>-</v>
      </c>
      <c r="X206" s="42">
        <v>0.26200000000000001</v>
      </c>
    </row>
    <row r="207" spans="1:24" ht="15" thickBot="1">
      <c r="A207" s="5" t="s">
        <v>2916</v>
      </c>
      <c r="B207" s="5" t="s">
        <v>352</v>
      </c>
      <c r="C207" s="5" t="s">
        <v>521</v>
      </c>
      <c r="D207" s="5" t="s">
        <v>523</v>
      </c>
      <c r="E207" s="5">
        <v>606143</v>
      </c>
      <c r="F207" s="5">
        <v>3</v>
      </c>
      <c r="G207" s="5" t="s">
        <v>529</v>
      </c>
      <c r="H207" s="5" t="s">
        <v>20</v>
      </c>
      <c r="I207" s="6" t="s">
        <v>50</v>
      </c>
      <c r="J207" s="6" t="s">
        <v>51</v>
      </c>
      <c r="K207" s="6" t="s">
        <v>525</v>
      </c>
      <c r="L207" s="6" t="s">
        <v>530</v>
      </c>
      <c r="M207" s="6" t="s">
        <v>22</v>
      </c>
      <c r="N207" s="6" t="s">
        <v>23</v>
      </c>
      <c r="O207" s="6" t="s">
        <v>27</v>
      </c>
      <c r="P207" s="6" t="s">
        <v>28</v>
      </c>
      <c r="Q207" s="22">
        <v>15</v>
      </c>
      <c r="R207" s="23">
        <v>1</v>
      </c>
      <c r="S207" s="39">
        <v>0</v>
      </c>
      <c r="T207" s="7" t="s">
        <v>2910</v>
      </c>
      <c r="U207" s="7"/>
      <c r="V207" s="7" t="str">
        <f>+IF(U207="","",IF(U207="FINES",CONCATENATE("R",IF(OR(B207="16",B207="21",B207="22",B207="23"),"16212223",IF(OR(B207="15",B207="17",B207="24",B207="25"),"15172425",B207))),IF(U207="CEBAS","UNICO",IF(VALUE(B207)&lt;=11,"AMBA","INTERIOR"))))</f>
        <v/>
      </c>
      <c r="W207" s="38" t="str">
        <f>+IF(U207="","-",CONCATENATE(U207,"_",V207))</f>
        <v>-</v>
      </c>
      <c r="X207" s="42">
        <v>0.26400000000000001</v>
      </c>
    </row>
    <row r="208" spans="1:24" ht="15" thickBot="1">
      <c r="A208" s="3" t="s">
        <v>2916</v>
      </c>
      <c r="B208" s="3" t="s">
        <v>1532</v>
      </c>
      <c r="C208" s="3" t="s">
        <v>1530</v>
      </c>
      <c r="D208" s="3" t="s">
        <v>1531</v>
      </c>
      <c r="E208" s="3">
        <v>612828</v>
      </c>
      <c r="F208" s="3">
        <v>2</v>
      </c>
      <c r="G208" s="3" t="s">
        <v>1624</v>
      </c>
      <c r="H208" s="3" t="s">
        <v>20</v>
      </c>
      <c r="I208" s="4" t="s">
        <v>50</v>
      </c>
      <c r="J208" s="4" t="s">
        <v>51</v>
      </c>
      <c r="K208" s="4" t="s">
        <v>1622</v>
      </c>
      <c r="L208" s="4" t="s">
        <v>1625</v>
      </c>
      <c r="M208" s="4" t="s">
        <v>22</v>
      </c>
      <c r="N208" s="4" t="s">
        <v>23</v>
      </c>
      <c r="O208" s="4" t="s">
        <v>27</v>
      </c>
      <c r="P208" s="4" t="s">
        <v>28</v>
      </c>
      <c r="Q208" s="24">
        <v>24</v>
      </c>
      <c r="R208" s="25">
        <v>2</v>
      </c>
      <c r="S208" s="39">
        <v>0</v>
      </c>
      <c r="T208" s="7" t="s">
        <v>2910</v>
      </c>
      <c r="U208" s="7"/>
      <c r="V208" s="7" t="str">
        <f>+IF(U208="","",IF(U208="FINES",CONCATENATE("R",IF(OR(B208="16",B208="21",B208="22",B208="23"),"16212223",IF(OR(B208="15",B208="17",B208="24",B208="25"),"15172425",B208))),IF(U208="CEBAS","UNICO",IF(VALUE(B208)&lt;=11,"AMBA","INTERIOR"))))</f>
        <v/>
      </c>
      <c r="W208" s="38" t="str">
        <f>+IF(U208="","-",CONCATENATE(U208,"_",V208))</f>
        <v>-</v>
      </c>
      <c r="X208" s="42">
        <v>0.26400000000000001</v>
      </c>
    </row>
    <row r="209" spans="1:24" ht="15" thickBot="1">
      <c r="A209" s="5" t="s">
        <v>2916</v>
      </c>
      <c r="B209" s="5" t="s">
        <v>1860</v>
      </c>
      <c r="C209" s="5" t="s">
        <v>1858</v>
      </c>
      <c r="D209" s="5" t="s">
        <v>1859</v>
      </c>
      <c r="E209" s="5">
        <v>613643</v>
      </c>
      <c r="F209" s="5">
        <v>0</v>
      </c>
      <c r="G209" s="5" t="s">
        <v>1886</v>
      </c>
      <c r="H209" s="5" t="s">
        <v>20</v>
      </c>
      <c r="I209" s="6" t="s">
        <v>50</v>
      </c>
      <c r="J209" s="6" t="s">
        <v>21</v>
      </c>
      <c r="K209" s="6"/>
      <c r="L209" s="6" t="s">
        <v>1104</v>
      </c>
      <c r="M209" s="6" t="s">
        <v>22</v>
      </c>
      <c r="N209" s="6" t="s">
        <v>23</v>
      </c>
      <c r="O209" s="6" t="s">
        <v>27</v>
      </c>
      <c r="P209" s="6" t="s">
        <v>28</v>
      </c>
      <c r="Q209" s="22">
        <v>47</v>
      </c>
      <c r="R209" s="23">
        <v>3</v>
      </c>
      <c r="S209" s="39">
        <v>0</v>
      </c>
      <c r="T209" s="7" t="s">
        <v>2910</v>
      </c>
      <c r="U209" s="7"/>
      <c r="V209" s="7" t="str">
        <f>+IF(U209="","",IF(U209="FINES",CONCATENATE("R",IF(OR(B209="16",B209="21",B209="22",B209="23"),"16212223",IF(OR(B209="15",B209="17",B209="24",B209="25"),"15172425",B209))),IF(U209="CEBAS","UNICO",IF(VALUE(B209)&lt;=11,"AMBA","INTERIOR"))))</f>
        <v/>
      </c>
      <c r="W209" s="38" t="str">
        <f>+IF(U209="","-",CONCATENATE(U209,"_",V209))</f>
        <v>-</v>
      </c>
      <c r="X209" s="42">
        <v>0.26500000000000001</v>
      </c>
    </row>
    <row r="210" spans="1:24" ht="15" thickBot="1">
      <c r="A210" s="5" t="s">
        <v>2916</v>
      </c>
      <c r="B210" s="5" t="s">
        <v>19</v>
      </c>
      <c r="C210" s="5" t="s">
        <v>17</v>
      </c>
      <c r="D210" s="5" t="s">
        <v>18</v>
      </c>
      <c r="E210" s="5">
        <v>615904</v>
      </c>
      <c r="F210" s="5">
        <v>0</v>
      </c>
      <c r="G210" s="5" t="s">
        <v>31</v>
      </c>
      <c r="H210" s="5" t="s">
        <v>20</v>
      </c>
      <c r="I210" s="6" t="s">
        <v>25</v>
      </c>
      <c r="J210" s="6" t="s">
        <v>21</v>
      </c>
      <c r="K210" s="6"/>
      <c r="L210" s="6" t="s">
        <v>32</v>
      </c>
      <c r="M210" s="6" t="s">
        <v>22</v>
      </c>
      <c r="N210" s="6" t="s">
        <v>23</v>
      </c>
      <c r="O210" s="6" t="s">
        <v>27</v>
      </c>
      <c r="P210" s="6" t="s">
        <v>28</v>
      </c>
      <c r="Q210" s="22">
        <v>52</v>
      </c>
      <c r="R210" s="23">
        <v>3</v>
      </c>
      <c r="S210" s="39">
        <v>0</v>
      </c>
      <c r="T210" s="7" t="s">
        <v>2910</v>
      </c>
      <c r="U210" s="7"/>
      <c r="V210" s="7" t="str">
        <f>+IF(U210="","",IF(U210="FINES",CONCATENATE("R",IF(OR(B210="16",B210="21",B210="22",B210="23"),"16212223",IF(OR(B210="15",B210="17",B210="24",B210="25"),"15172425",B210))),IF(U210="CEBAS","UNICO",IF(VALUE(B210)&lt;=11,"AMBA","INTERIOR"))))</f>
        <v/>
      </c>
      <c r="W210" s="38" t="str">
        <f>+IF(U210="","-",CONCATENATE(U210,"_",V210))</f>
        <v>-</v>
      </c>
      <c r="X210" s="42">
        <v>0.26500000000000001</v>
      </c>
    </row>
    <row r="211" spans="1:24" ht="15" thickBot="1">
      <c r="A211" s="5" t="s">
        <v>2916</v>
      </c>
      <c r="B211" s="5" t="s">
        <v>206</v>
      </c>
      <c r="C211" s="5" t="s">
        <v>739</v>
      </c>
      <c r="D211" s="5" t="s">
        <v>740</v>
      </c>
      <c r="E211" s="5">
        <v>606035</v>
      </c>
      <c r="F211" s="5">
        <v>2</v>
      </c>
      <c r="G211" s="5" t="s">
        <v>744</v>
      </c>
      <c r="H211" s="5" t="s">
        <v>20</v>
      </c>
      <c r="I211" s="6" t="s">
        <v>50</v>
      </c>
      <c r="J211" s="6" t="s">
        <v>51</v>
      </c>
      <c r="K211" s="6" t="s">
        <v>742</v>
      </c>
      <c r="L211" s="6" t="s">
        <v>617</v>
      </c>
      <c r="M211" s="6" t="s">
        <v>22</v>
      </c>
      <c r="N211" s="6" t="s">
        <v>23</v>
      </c>
      <c r="O211" s="6" t="s">
        <v>27</v>
      </c>
      <c r="P211" s="6" t="s">
        <v>28</v>
      </c>
      <c r="Q211" s="22">
        <v>37</v>
      </c>
      <c r="R211" s="23">
        <v>2</v>
      </c>
      <c r="S211" s="39">
        <v>0</v>
      </c>
      <c r="T211" s="7" t="s">
        <v>2910</v>
      </c>
      <c r="U211" s="7"/>
      <c r="V211" s="7" t="str">
        <f>+IF(U211="","",IF(U211="FINES",CONCATENATE("R",IF(OR(B211="16",B211="21",B211="22",B211="23"),"16212223",IF(OR(B211="15",B211="17",B211="24",B211="25"),"15172425",B211))),IF(U211="CEBAS","UNICO",IF(VALUE(B211)&lt;=11,"AMBA","INTERIOR"))))</f>
        <v/>
      </c>
      <c r="W211" s="38" t="str">
        <f>+IF(U211="","-",CONCATENATE(U211,"_",V211))</f>
        <v>-</v>
      </c>
      <c r="X211" s="42">
        <v>0.26800000000000002</v>
      </c>
    </row>
    <row r="212" spans="1:24" ht="15" thickBot="1">
      <c r="A212" s="3" t="s">
        <v>2916</v>
      </c>
      <c r="B212" s="3" t="s">
        <v>257</v>
      </c>
      <c r="C212" s="3" t="s">
        <v>254</v>
      </c>
      <c r="D212" s="3" t="s">
        <v>256</v>
      </c>
      <c r="E212" s="3">
        <v>613897</v>
      </c>
      <c r="F212" s="3">
        <v>1</v>
      </c>
      <c r="G212" s="3" t="s">
        <v>289</v>
      </c>
      <c r="H212" s="3" t="s">
        <v>20</v>
      </c>
      <c r="I212" s="4" t="s">
        <v>50</v>
      </c>
      <c r="J212" s="4" t="s">
        <v>51</v>
      </c>
      <c r="K212" s="4" t="s">
        <v>290</v>
      </c>
      <c r="L212" s="4" t="s">
        <v>291</v>
      </c>
      <c r="M212" s="4" t="s">
        <v>22</v>
      </c>
      <c r="N212" s="4" t="s">
        <v>23</v>
      </c>
      <c r="O212" s="4" t="s">
        <v>27</v>
      </c>
      <c r="P212" s="4" t="s">
        <v>28</v>
      </c>
      <c r="Q212" s="24">
        <v>43</v>
      </c>
      <c r="R212" s="25">
        <v>3</v>
      </c>
      <c r="S212" s="39">
        <v>0</v>
      </c>
      <c r="T212" s="7" t="s">
        <v>2910</v>
      </c>
      <c r="U212" s="7"/>
      <c r="V212" s="7" t="str">
        <f>+IF(U212="","",IF(U212="FINES",CONCATENATE("R",IF(OR(B212="16",B212="21",B212="22",B212="23"),"16212223",IF(OR(B212="15",B212="17",B212="24",B212="25"),"15172425",B212))),IF(U212="CEBAS","UNICO",IF(VALUE(B212)&lt;=11,"AMBA","INTERIOR"))))</f>
        <v/>
      </c>
      <c r="W212" s="38" t="str">
        <f>+IF(U212="","-",CONCATENATE(U212,"_",V212))</f>
        <v>-</v>
      </c>
      <c r="X212" s="42">
        <v>0.26900000000000002</v>
      </c>
    </row>
    <row r="213" spans="1:24" ht="15" thickBot="1">
      <c r="A213" s="5" t="s">
        <v>2916</v>
      </c>
      <c r="B213" s="5" t="s">
        <v>203</v>
      </c>
      <c r="C213" s="5" t="s">
        <v>1986</v>
      </c>
      <c r="D213" s="5" t="s">
        <v>1987</v>
      </c>
      <c r="E213" s="5">
        <v>603157</v>
      </c>
      <c r="F213" s="5">
        <v>1</v>
      </c>
      <c r="G213" s="5" t="s">
        <v>1988</v>
      </c>
      <c r="H213" s="5" t="s">
        <v>20</v>
      </c>
      <c r="I213" s="6" t="s">
        <v>50</v>
      </c>
      <c r="J213" s="6" t="s">
        <v>51</v>
      </c>
      <c r="K213" s="6" t="s">
        <v>1989</v>
      </c>
      <c r="L213" s="6" t="s">
        <v>428</v>
      </c>
      <c r="M213" s="6" t="s">
        <v>22</v>
      </c>
      <c r="N213" s="6" t="s">
        <v>23</v>
      </c>
      <c r="O213" s="6" t="s">
        <v>27</v>
      </c>
      <c r="P213" s="6" t="s">
        <v>28</v>
      </c>
      <c r="Q213" s="22">
        <v>20</v>
      </c>
      <c r="R213" s="23">
        <v>2</v>
      </c>
      <c r="S213" s="39">
        <v>0</v>
      </c>
      <c r="T213" s="7" t="s">
        <v>2910</v>
      </c>
      <c r="U213" s="7"/>
      <c r="V213" s="7" t="str">
        <f>+IF(U213="","",IF(U213="FINES",CONCATENATE("R",IF(OR(B213="16",B213="21",B213="22",B213="23"),"16212223",IF(OR(B213="15",B213="17",B213="24",B213="25"),"15172425",B213))),IF(U213="CEBAS","UNICO",IF(VALUE(B213)&lt;=11,"AMBA","INTERIOR"))))</f>
        <v/>
      </c>
      <c r="W213" s="38" t="str">
        <f>+IF(U213="","-",CONCATENATE(U213,"_",V213))</f>
        <v>-</v>
      </c>
      <c r="X213" s="42">
        <v>0.27200000000000002</v>
      </c>
    </row>
    <row r="214" spans="1:24" ht="15" thickBot="1">
      <c r="A214" s="5" t="s">
        <v>2916</v>
      </c>
      <c r="B214" s="5" t="s">
        <v>204</v>
      </c>
      <c r="C214" s="5" t="s">
        <v>1084</v>
      </c>
      <c r="D214" s="5" t="s">
        <v>1085</v>
      </c>
      <c r="E214" s="5">
        <v>612517</v>
      </c>
      <c r="F214" s="5">
        <v>1</v>
      </c>
      <c r="G214" s="5" t="s">
        <v>1098</v>
      </c>
      <c r="H214" s="5" t="s">
        <v>20</v>
      </c>
      <c r="I214" s="6" t="s">
        <v>50</v>
      </c>
      <c r="J214" s="6" t="s">
        <v>51</v>
      </c>
      <c r="K214" s="6" t="s">
        <v>1099</v>
      </c>
      <c r="L214" s="6" t="s">
        <v>825</v>
      </c>
      <c r="M214" s="6" t="s">
        <v>22</v>
      </c>
      <c r="N214" s="6" t="s">
        <v>23</v>
      </c>
      <c r="O214" s="6" t="s">
        <v>27</v>
      </c>
      <c r="P214" s="6" t="s">
        <v>28</v>
      </c>
      <c r="Q214" s="22">
        <v>48</v>
      </c>
      <c r="R214" s="23">
        <v>2</v>
      </c>
      <c r="S214" s="39">
        <v>0</v>
      </c>
      <c r="T214" s="7" t="s">
        <v>2910</v>
      </c>
      <c r="U214" s="7"/>
      <c r="V214" s="7" t="str">
        <f>+IF(U214="","",IF(U214="FINES",CONCATENATE("R",IF(OR(B214="16",B214="21",B214="22",B214="23"),"16212223",IF(OR(B214="15",B214="17",B214="24",B214="25"),"15172425",B214))),IF(U214="CEBAS","UNICO",IF(VALUE(B214)&lt;=11,"AMBA","INTERIOR"))))</f>
        <v/>
      </c>
      <c r="W214" s="38" t="str">
        <f>+IF(U214="","-",CONCATENATE(U214,"_",V214))</f>
        <v>-</v>
      </c>
      <c r="X214" s="42">
        <v>0.27200000000000002</v>
      </c>
    </row>
    <row r="215" spans="1:24" ht="15" thickBot="1">
      <c r="A215" s="3" t="s">
        <v>2916</v>
      </c>
      <c r="B215" s="3" t="s">
        <v>352</v>
      </c>
      <c r="C215" s="3" t="s">
        <v>521</v>
      </c>
      <c r="D215" s="3" t="s">
        <v>523</v>
      </c>
      <c r="E215" s="3">
        <v>606143</v>
      </c>
      <c r="F215" s="3">
        <v>2</v>
      </c>
      <c r="G215" s="3" t="s">
        <v>527</v>
      </c>
      <c r="H215" s="3" t="s">
        <v>20</v>
      </c>
      <c r="I215" s="4" t="s">
        <v>50</v>
      </c>
      <c r="J215" s="4" t="s">
        <v>51</v>
      </c>
      <c r="K215" s="4" t="s">
        <v>525</v>
      </c>
      <c r="L215" s="4" t="s">
        <v>528</v>
      </c>
      <c r="M215" s="4" t="s">
        <v>22</v>
      </c>
      <c r="N215" s="4" t="s">
        <v>23</v>
      </c>
      <c r="O215" s="4" t="s">
        <v>27</v>
      </c>
      <c r="P215" s="4" t="s">
        <v>28</v>
      </c>
      <c r="Q215" s="24">
        <v>14</v>
      </c>
      <c r="R215" s="25">
        <v>1</v>
      </c>
      <c r="S215" s="39">
        <v>0</v>
      </c>
      <c r="T215" s="7" t="s">
        <v>2910</v>
      </c>
      <c r="U215" s="7"/>
      <c r="V215" s="7" t="str">
        <f>+IF(U215="","",IF(U215="FINES",CONCATENATE("R",IF(OR(B215="16",B215="21",B215="22",B215="23"),"16212223",IF(OR(B215="15",B215="17",B215="24",B215="25"),"15172425",B215))),IF(U215="CEBAS","UNICO",IF(VALUE(B215)&lt;=11,"AMBA","INTERIOR"))))</f>
        <v/>
      </c>
      <c r="W215" s="38" t="str">
        <f>+IF(U215="","-",CONCATENATE(U215,"_",V215))</f>
        <v>-</v>
      </c>
      <c r="X215" s="42">
        <v>0.27300000000000002</v>
      </c>
    </row>
    <row r="216" spans="1:24" ht="15" thickBot="1">
      <c r="A216" s="5" t="s">
        <v>2916</v>
      </c>
      <c r="B216" s="5" t="s">
        <v>356</v>
      </c>
      <c r="C216" s="5" t="s">
        <v>1359</v>
      </c>
      <c r="D216" s="5" t="s">
        <v>1360</v>
      </c>
      <c r="E216" s="5">
        <v>610423</v>
      </c>
      <c r="F216" s="5">
        <v>1</v>
      </c>
      <c r="G216" s="5" t="s">
        <v>1361</v>
      </c>
      <c r="H216" s="5" t="s">
        <v>20</v>
      </c>
      <c r="I216" s="6" t="s">
        <v>50</v>
      </c>
      <c r="J216" s="6" t="s">
        <v>51</v>
      </c>
      <c r="K216" s="6" t="s">
        <v>1362</v>
      </c>
      <c r="L216" s="6" t="s">
        <v>1363</v>
      </c>
      <c r="M216" s="6" t="s">
        <v>22</v>
      </c>
      <c r="N216" s="6" t="s">
        <v>23</v>
      </c>
      <c r="O216" s="6" t="s">
        <v>27</v>
      </c>
      <c r="P216" s="6" t="s">
        <v>28</v>
      </c>
      <c r="Q216" s="22">
        <v>48</v>
      </c>
      <c r="R216" s="23">
        <v>3</v>
      </c>
      <c r="S216" s="39">
        <v>0</v>
      </c>
      <c r="T216" s="7" t="s">
        <v>2910</v>
      </c>
      <c r="U216" s="7"/>
      <c r="V216" s="7" t="str">
        <f>+IF(U216="","",IF(U216="FINES",CONCATENATE("R",IF(OR(B216="16",B216="21",B216="22",B216="23"),"16212223",IF(OR(B216="15",B216="17",B216="24",B216="25"),"15172425",B216))),IF(U216="CEBAS","UNICO",IF(VALUE(B216)&lt;=11,"AMBA","INTERIOR"))))</f>
        <v/>
      </c>
      <c r="W216" s="38" t="str">
        <f>+IF(U216="","-",CONCATENATE(U216,"_",V216))</f>
        <v>-</v>
      </c>
      <c r="X216" s="42">
        <v>0.27300000000000002</v>
      </c>
    </row>
    <row r="217" spans="1:24" ht="15" thickBot="1">
      <c r="A217" s="5" t="s">
        <v>2916</v>
      </c>
      <c r="B217" s="5" t="s">
        <v>1532</v>
      </c>
      <c r="C217" s="5" t="s">
        <v>1530</v>
      </c>
      <c r="D217" s="5" t="s">
        <v>1531</v>
      </c>
      <c r="E217" s="5">
        <v>608514</v>
      </c>
      <c r="F217" s="5">
        <v>2</v>
      </c>
      <c r="G217" s="5" t="s">
        <v>1634</v>
      </c>
      <c r="H217" s="5" t="s">
        <v>20</v>
      </c>
      <c r="I217" s="6" t="s">
        <v>50</v>
      </c>
      <c r="J217" s="6" t="s">
        <v>51</v>
      </c>
      <c r="K217" s="6" t="s">
        <v>1563</v>
      </c>
      <c r="L217" s="6" t="s">
        <v>1635</v>
      </c>
      <c r="M217" s="6" t="s">
        <v>22</v>
      </c>
      <c r="N217" s="6" t="s">
        <v>23</v>
      </c>
      <c r="O217" s="6" t="s">
        <v>27</v>
      </c>
      <c r="P217" s="6" t="s">
        <v>28</v>
      </c>
      <c r="Q217" s="22">
        <v>35</v>
      </c>
      <c r="R217" s="23">
        <v>3</v>
      </c>
      <c r="S217" s="39">
        <v>0</v>
      </c>
      <c r="T217" s="7" t="s">
        <v>2910</v>
      </c>
      <c r="U217" s="7"/>
      <c r="V217" s="7" t="str">
        <f>+IF(U217="","",IF(U217="FINES",CONCATENATE("R",IF(OR(B217="16",B217="21",B217="22",B217="23"),"16212223",IF(OR(B217="15",B217="17",B217="24",B217="25"),"15172425",B217))),IF(U217="CEBAS","UNICO",IF(VALUE(B217)&lt;=11,"AMBA","INTERIOR"))))</f>
        <v/>
      </c>
      <c r="W217" s="38" t="str">
        <f>+IF(U217="","-",CONCATENATE(U217,"_",V217))</f>
        <v>-</v>
      </c>
      <c r="X217" s="42">
        <v>0.27700000000000002</v>
      </c>
    </row>
    <row r="218" spans="1:24" ht="15" thickBot="1">
      <c r="A218" s="5" t="s">
        <v>2916</v>
      </c>
      <c r="B218" s="5" t="s">
        <v>356</v>
      </c>
      <c r="C218" s="5" t="s">
        <v>1359</v>
      </c>
      <c r="D218" s="5" t="s">
        <v>1360</v>
      </c>
      <c r="E218" s="5">
        <v>603978</v>
      </c>
      <c r="F218" s="5">
        <v>2</v>
      </c>
      <c r="G218" s="5" t="s">
        <v>1380</v>
      </c>
      <c r="H218" s="5" t="s">
        <v>20</v>
      </c>
      <c r="I218" s="6" t="s">
        <v>50</v>
      </c>
      <c r="J218" s="6" t="s">
        <v>51</v>
      </c>
      <c r="K218" s="6" t="s">
        <v>1378</v>
      </c>
      <c r="L218" s="6" t="s">
        <v>1381</v>
      </c>
      <c r="M218" s="6" t="s">
        <v>22</v>
      </c>
      <c r="N218" s="6" t="s">
        <v>23</v>
      </c>
      <c r="O218" s="6" t="s">
        <v>27</v>
      </c>
      <c r="P218" s="6" t="s">
        <v>28</v>
      </c>
      <c r="Q218" s="22">
        <v>50</v>
      </c>
      <c r="R218" s="23">
        <v>3</v>
      </c>
      <c r="S218" s="39">
        <v>0</v>
      </c>
      <c r="T218" s="7" t="s">
        <v>2910</v>
      </c>
      <c r="U218" s="7"/>
      <c r="V218" s="7" t="str">
        <f>+IF(U218="","",IF(U218="FINES",CONCATENATE("R",IF(OR(B218="16",B218="21",B218="22",B218="23"),"16212223",IF(OR(B218="15",B218="17",B218="24",B218="25"),"15172425",B218))),IF(U218="CEBAS","UNICO",IF(VALUE(B218)&lt;=11,"AMBA","INTERIOR"))))</f>
        <v/>
      </c>
      <c r="W218" s="38" t="str">
        <f>+IF(U218="","-",CONCATENATE(U218,"_",V218))</f>
        <v>-</v>
      </c>
      <c r="X218" s="42">
        <v>0.27700000000000002</v>
      </c>
    </row>
    <row r="219" spans="1:24" ht="15" thickBot="1">
      <c r="A219" s="3" t="s">
        <v>2916</v>
      </c>
      <c r="B219" s="3" t="s">
        <v>19</v>
      </c>
      <c r="C219" s="3" t="s">
        <v>17</v>
      </c>
      <c r="D219" s="3" t="s">
        <v>18</v>
      </c>
      <c r="E219" s="3">
        <v>602914</v>
      </c>
      <c r="F219" s="3">
        <v>3</v>
      </c>
      <c r="G219" s="3" t="s">
        <v>107</v>
      </c>
      <c r="H219" s="3" t="s">
        <v>20</v>
      </c>
      <c r="I219" s="4" t="s">
        <v>50</v>
      </c>
      <c r="J219" s="4" t="s">
        <v>51</v>
      </c>
      <c r="K219" s="4" t="s">
        <v>55</v>
      </c>
      <c r="L219" s="4" t="s">
        <v>108</v>
      </c>
      <c r="M219" s="4" t="s">
        <v>22</v>
      </c>
      <c r="N219" s="4" t="s">
        <v>23</v>
      </c>
      <c r="O219" s="4" t="s">
        <v>27</v>
      </c>
      <c r="P219" s="4" t="s">
        <v>28</v>
      </c>
      <c r="Q219" s="24">
        <v>23</v>
      </c>
      <c r="R219" s="25">
        <v>2</v>
      </c>
      <c r="S219" s="39">
        <v>0</v>
      </c>
      <c r="T219" s="7" t="s">
        <v>2910</v>
      </c>
      <c r="V219" s="7" t="str">
        <f>+IF(U219="","",IF(U219="FINES",CONCATENATE("R",IF(OR(B219="16",B219="21",B219="22",B219="23"),"16212223",IF(OR(B219="15",B219="17",B219="24",B219="25"),"15172425",B219))),IF(U219="CEBAS","UNICO",IF(VALUE(B219)&lt;=11,"AMBA","INTERIOR"))))</f>
        <v/>
      </c>
      <c r="W219" s="38" t="str">
        <f>+IF(U219="","-",CONCATENATE(U219,"_",V219))</f>
        <v>-</v>
      </c>
      <c r="X219" s="42">
        <v>0.27700000000000002</v>
      </c>
    </row>
    <row r="220" spans="1:24" ht="15" thickBot="1">
      <c r="A220" s="3" t="s">
        <v>2916</v>
      </c>
      <c r="B220" s="3" t="s">
        <v>1257</v>
      </c>
      <c r="C220" s="3" t="s">
        <v>2213</v>
      </c>
      <c r="D220" s="3" t="s">
        <v>2214</v>
      </c>
      <c r="E220" s="3">
        <v>601935</v>
      </c>
      <c r="F220" s="3">
        <v>1</v>
      </c>
      <c r="G220" s="3" t="s">
        <v>2228</v>
      </c>
      <c r="H220" s="3" t="s">
        <v>20</v>
      </c>
      <c r="I220" s="4" t="s">
        <v>50</v>
      </c>
      <c r="J220" s="4" t="s">
        <v>51</v>
      </c>
      <c r="K220" s="4" t="s">
        <v>2229</v>
      </c>
      <c r="L220" s="4" t="s">
        <v>2230</v>
      </c>
      <c r="M220" s="4" t="s">
        <v>22</v>
      </c>
      <c r="N220" s="4" t="s">
        <v>23</v>
      </c>
      <c r="O220" s="4" t="s">
        <v>27</v>
      </c>
      <c r="P220" s="4" t="s">
        <v>28</v>
      </c>
      <c r="Q220" s="24">
        <v>21</v>
      </c>
      <c r="R220" s="25">
        <v>2</v>
      </c>
      <c r="S220" s="39">
        <v>0</v>
      </c>
      <c r="T220" s="7" t="s">
        <v>2910</v>
      </c>
      <c r="V220" s="7" t="str">
        <f>+IF(U220="","",IF(U220="FINES",CONCATENATE("R",IF(OR(B220="16",B220="21",B220="22",B220="23"),"16212223",IF(OR(B220="15",B220="17",B220="24",B220="25"),"15172425",B220))),IF(U220="CEBAS","UNICO",IF(VALUE(B220)&lt;=11,"AMBA","INTERIOR"))))</f>
        <v/>
      </c>
      <c r="W220" s="38" t="str">
        <f>+IF(U220="","-",CONCATENATE(U220,"_",V220))</f>
        <v>-</v>
      </c>
      <c r="X220" s="42">
        <v>0.27900000000000003</v>
      </c>
    </row>
    <row r="221" spans="1:24" ht="15" thickBot="1">
      <c r="A221" s="3" t="s">
        <v>2916</v>
      </c>
      <c r="B221" s="3" t="s">
        <v>817</v>
      </c>
      <c r="C221" s="3" t="s">
        <v>2080</v>
      </c>
      <c r="D221" s="3" t="s">
        <v>2081</v>
      </c>
      <c r="E221" s="3">
        <v>610361</v>
      </c>
      <c r="F221" s="3">
        <v>1</v>
      </c>
      <c r="G221" s="3" t="s">
        <v>2101</v>
      </c>
      <c r="H221" s="3" t="s">
        <v>20</v>
      </c>
      <c r="I221" s="4" t="s">
        <v>50</v>
      </c>
      <c r="J221" s="4" t="s">
        <v>51</v>
      </c>
      <c r="K221" s="4" t="s">
        <v>2102</v>
      </c>
      <c r="L221" s="4" t="s">
        <v>1888</v>
      </c>
      <c r="M221" s="4" t="s">
        <v>22</v>
      </c>
      <c r="N221" s="4" t="s">
        <v>23</v>
      </c>
      <c r="O221" s="4" t="s">
        <v>27</v>
      </c>
      <c r="P221" s="4" t="s">
        <v>28</v>
      </c>
      <c r="Q221" s="24">
        <v>26</v>
      </c>
      <c r="R221" s="25">
        <v>2</v>
      </c>
      <c r="S221" s="39">
        <v>0</v>
      </c>
      <c r="T221" s="7" t="s">
        <v>2910</v>
      </c>
      <c r="V221" s="7" t="str">
        <f>+IF(U221="","",IF(U221="FINES",CONCATENATE("R",IF(OR(B221="16",B221="21",B221="22",B221="23"),"16212223",IF(OR(B221="15",B221="17",B221="24",B221="25"),"15172425",B221))),IF(U221="CEBAS","UNICO",IF(VALUE(B221)&lt;=11,"AMBA","INTERIOR"))))</f>
        <v/>
      </c>
      <c r="W221" s="38" t="str">
        <f>+IF(U221="","-",CONCATENATE(U221,"_",V221))</f>
        <v>-</v>
      </c>
      <c r="X221" s="42">
        <v>0.28100000000000003</v>
      </c>
    </row>
    <row r="222" spans="1:24" ht="15" thickBot="1">
      <c r="A222" s="3" t="s">
        <v>2916</v>
      </c>
      <c r="B222" s="3" t="s">
        <v>221</v>
      </c>
      <c r="C222" s="3" t="s">
        <v>230</v>
      </c>
      <c r="D222" s="3" t="s">
        <v>432</v>
      </c>
      <c r="E222" s="3">
        <v>605510</v>
      </c>
      <c r="F222" s="3">
        <v>1</v>
      </c>
      <c r="G222" s="3" t="s">
        <v>437</v>
      </c>
      <c r="H222" s="3" t="s">
        <v>20</v>
      </c>
      <c r="I222" s="4" t="s">
        <v>50</v>
      </c>
      <c r="J222" s="4" t="s">
        <v>51</v>
      </c>
      <c r="K222" s="4" t="s">
        <v>434</v>
      </c>
      <c r="L222" s="4" t="s">
        <v>438</v>
      </c>
      <c r="M222" s="4" t="s">
        <v>22</v>
      </c>
      <c r="N222" s="4" t="s">
        <v>23</v>
      </c>
      <c r="O222" s="4" t="s">
        <v>27</v>
      </c>
      <c r="P222" s="4" t="s">
        <v>28</v>
      </c>
      <c r="Q222" s="24">
        <v>14</v>
      </c>
      <c r="R222" s="25">
        <v>2</v>
      </c>
      <c r="S222" s="39">
        <v>0</v>
      </c>
      <c r="T222" s="7" t="s">
        <v>2910</v>
      </c>
      <c r="V222" s="7" t="str">
        <f>+IF(U222="","",IF(U222="FINES",CONCATENATE("R",IF(OR(B222="16",B222="21",B222="22",B222="23"),"16212223",IF(OR(B222="15",B222="17",B222="24",B222="25"),"15172425",B222))),IF(U222="CEBAS","UNICO",IF(VALUE(B222)&lt;=11,"AMBA","INTERIOR"))))</f>
        <v/>
      </c>
      <c r="W222" s="38" t="str">
        <f>+IF(U222="","-",CONCATENATE(U222,"_",V222))</f>
        <v>-</v>
      </c>
      <c r="X222" s="42">
        <v>0.28199999999999997</v>
      </c>
    </row>
    <row r="223" spans="1:24" ht="15" thickBot="1">
      <c r="A223" s="5" t="s">
        <v>2916</v>
      </c>
      <c r="B223" s="5" t="s">
        <v>19</v>
      </c>
      <c r="C223" s="5" t="s">
        <v>17</v>
      </c>
      <c r="D223" s="5" t="s">
        <v>18</v>
      </c>
      <c r="E223" s="5">
        <v>616141</v>
      </c>
      <c r="F223" s="5">
        <v>0</v>
      </c>
      <c r="G223" s="5" t="s">
        <v>39</v>
      </c>
      <c r="H223" s="5" t="s">
        <v>20</v>
      </c>
      <c r="I223" s="6" t="s">
        <v>25</v>
      </c>
      <c r="J223" s="6" t="s">
        <v>21</v>
      </c>
      <c r="K223" s="6"/>
      <c r="L223" s="6" t="s">
        <v>40</v>
      </c>
      <c r="M223" s="6" t="s">
        <v>22</v>
      </c>
      <c r="N223" s="6" t="s">
        <v>23</v>
      </c>
      <c r="O223" s="6" t="s">
        <v>27</v>
      </c>
      <c r="P223" s="6" t="s">
        <v>28</v>
      </c>
      <c r="Q223" s="22">
        <v>21</v>
      </c>
      <c r="R223" s="23">
        <v>2</v>
      </c>
      <c r="S223" s="39">
        <v>0</v>
      </c>
      <c r="T223" s="7" t="s">
        <v>2910</v>
      </c>
      <c r="V223" s="7" t="str">
        <f>+IF(U223="","",IF(U223="FINES",CONCATENATE("R",IF(OR(B223="16",B223="21",B223="22",B223="23"),"16212223",IF(OR(B223="15",B223="17",B223="24",B223="25"),"15172425",B223))),IF(U223="CEBAS","UNICO",IF(VALUE(B223)&lt;=11,"AMBA","INTERIOR"))))</f>
        <v/>
      </c>
      <c r="W223" s="38" t="str">
        <f>+IF(U223="","-",CONCATENATE(U223,"_",V223))</f>
        <v>-</v>
      </c>
      <c r="X223" s="42">
        <v>0.28299999999999997</v>
      </c>
    </row>
    <row r="224" spans="1:24" ht="15" thickBot="1">
      <c r="A224" s="5" t="s">
        <v>2916</v>
      </c>
      <c r="B224" s="5" t="s">
        <v>410</v>
      </c>
      <c r="C224" s="5" t="s">
        <v>570</v>
      </c>
      <c r="D224" s="5" t="s">
        <v>2717</v>
      </c>
      <c r="E224" s="5">
        <v>611940</v>
      </c>
      <c r="F224" s="5">
        <v>1</v>
      </c>
      <c r="G224" s="5" t="s">
        <v>2723</v>
      </c>
      <c r="H224" s="5" t="s">
        <v>20</v>
      </c>
      <c r="I224" s="6" t="s">
        <v>50</v>
      </c>
      <c r="J224" s="6" t="s">
        <v>51</v>
      </c>
      <c r="K224" s="6" t="s">
        <v>2724</v>
      </c>
      <c r="L224" s="6" t="s">
        <v>530</v>
      </c>
      <c r="M224" s="6" t="s">
        <v>22</v>
      </c>
      <c r="N224" s="6" t="s">
        <v>23</v>
      </c>
      <c r="O224" s="6" t="s">
        <v>27</v>
      </c>
      <c r="P224" s="6" t="s">
        <v>28</v>
      </c>
      <c r="Q224" s="22">
        <v>10</v>
      </c>
      <c r="R224" s="23">
        <v>1</v>
      </c>
      <c r="S224" s="39">
        <v>0</v>
      </c>
      <c r="T224" s="7" t="s">
        <v>2910</v>
      </c>
      <c r="V224" s="7" t="str">
        <f>+IF(U224="","",IF(U224="FINES",CONCATENATE("R",IF(OR(B224="16",B224="21",B224="22",B224="23"),"16212223",IF(OR(B224="15",B224="17",B224="24",B224="25"),"15172425",B224))),IF(U224="CEBAS","UNICO",IF(VALUE(B224)&lt;=11,"AMBA","INTERIOR"))))</f>
        <v/>
      </c>
      <c r="W224" s="38" t="str">
        <f>+IF(U224="","-",CONCATENATE(U224,"_",V224))</f>
        <v>-</v>
      </c>
      <c r="X224" s="42">
        <v>0.28699999999999998</v>
      </c>
    </row>
    <row r="225" spans="1:24" ht="15" thickBot="1">
      <c r="A225" s="3" t="s">
        <v>2916</v>
      </c>
      <c r="B225" s="3" t="s">
        <v>19</v>
      </c>
      <c r="C225" s="3" t="s">
        <v>17</v>
      </c>
      <c r="D225" s="3" t="s">
        <v>18</v>
      </c>
      <c r="E225" s="3">
        <v>614455</v>
      </c>
      <c r="F225" s="3">
        <v>0</v>
      </c>
      <c r="G225" s="3" t="s">
        <v>41</v>
      </c>
      <c r="H225" s="3" t="s">
        <v>20</v>
      </c>
      <c r="I225" s="4" t="s">
        <v>25</v>
      </c>
      <c r="J225" s="4" t="s">
        <v>21</v>
      </c>
      <c r="K225" s="4"/>
      <c r="L225" s="4" t="s">
        <v>42</v>
      </c>
      <c r="M225" s="4" t="s">
        <v>22</v>
      </c>
      <c r="N225" s="4" t="s">
        <v>23</v>
      </c>
      <c r="O225" s="4" t="s">
        <v>27</v>
      </c>
      <c r="P225" s="4" t="s">
        <v>28</v>
      </c>
      <c r="Q225" s="24">
        <v>7</v>
      </c>
      <c r="R225" s="25">
        <v>1</v>
      </c>
      <c r="S225" s="39">
        <v>0</v>
      </c>
      <c r="T225" s="7" t="s">
        <v>2910</v>
      </c>
      <c r="U225" s="7"/>
      <c r="V225" s="7" t="str">
        <f>+IF(U225="","",IF(U225="FINES",CONCATENATE("R",IF(OR(B225="16",B225="21",B225="22",B225="23"),"16212223",IF(OR(B225="15",B225="17",B225="24",B225="25"),"15172425",B225))),IF(U225="CEBAS","UNICO",IF(VALUE(B225)&lt;=11,"AMBA","INTERIOR"))))</f>
        <v/>
      </c>
      <c r="W225" s="38" t="str">
        <f>+IF(U225="","-",CONCATENATE(U225,"_",V225))</f>
        <v>-</v>
      </c>
      <c r="X225" s="42">
        <v>0.28699999999999998</v>
      </c>
    </row>
    <row r="226" spans="1:24" ht="15" thickBot="1">
      <c r="A226" s="5" t="s">
        <v>2916</v>
      </c>
      <c r="B226" s="5" t="s">
        <v>817</v>
      </c>
      <c r="C226" s="5" t="s">
        <v>600</v>
      </c>
      <c r="D226" s="5" t="s">
        <v>2661</v>
      </c>
      <c r="E226" s="5">
        <v>610151</v>
      </c>
      <c r="F226" s="5">
        <v>2</v>
      </c>
      <c r="G226" s="5" t="s">
        <v>2688</v>
      </c>
      <c r="H226" s="5" t="s">
        <v>20</v>
      </c>
      <c r="I226" s="6" t="s">
        <v>50</v>
      </c>
      <c r="J226" s="6" t="s">
        <v>51</v>
      </c>
      <c r="K226" s="6" t="s">
        <v>2683</v>
      </c>
      <c r="L226" s="6" t="s">
        <v>2689</v>
      </c>
      <c r="M226" s="6" t="s">
        <v>22</v>
      </c>
      <c r="N226" s="6" t="s">
        <v>23</v>
      </c>
      <c r="O226" s="6" t="s">
        <v>27</v>
      </c>
      <c r="P226" s="6" t="s">
        <v>28</v>
      </c>
      <c r="Q226" s="22">
        <v>32</v>
      </c>
      <c r="R226" s="23">
        <v>3</v>
      </c>
      <c r="S226" s="39">
        <v>0</v>
      </c>
      <c r="T226" s="7" t="s">
        <v>2910</v>
      </c>
      <c r="U226" s="7"/>
      <c r="V226" s="7" t="str">
        <f>+IF(U226="","",IF(U226="FINES",CONCATENATE("R",IF(OR(B226="16",B226="21",B226="22",B226="23"),"16212223",IF(OR(B226="15",B226="17",B226="24",B226="25"),"15172425",B226))),IF(U226="CEBAS","UNICO",IF(VALUE(B226)&lt;=11,"AMBA","INTERIOR"))))</f>
        <v/>
      </c>
      <c r="W226" s="38" t="str">
        <f>+IF(U226="","-",CONCATENATE(U226,"_",V226))</f>
        <v>-</v>
      </c>
      <c r="X226" s="42">
        <v>0.29199999999999998</v>
      </c>
    </row>
    <row r="227" spans="1:24" ht="15" thickBot="1">
      <c r="A227" s="5" t="s">
        <v>2916</v>
      </c>
      <c r="B227" s="5" t="s">
        <v>221</v>
      </c>
      <c r="C227" s="5" t="s">
        <v>571</v>
      </c>
      <c r="D227" s="5" t="s">
        <v>573</v>
      </c>
      <c r="E227" s="5">
        <v>600785</v>
      </c>
      <c r="F227" s="5">
        <v>1</v>
      </c>
      <c r="G227" s="5" t="s">
        <v>578</v>
      </c>
      <c r="H227" s="5" t="s">
        <v>20</v>
      </c>
      <c r="I227" s="6" t="s">
        <v>50</v>
      </c>
      <c r="J227" s="6" t="s">
        <v>51</v>
      </c>
      <c r="K227" s="6" t="s">
        <v>579</v>
      </c>
      <c r="L227" s="6" t="s">
        <v>526</v>
      </c>
      <c r="M227" s="6" t="s">
        <v>22</v>
      </c>
      <c r="N227" s="6" t="s">
        <v>23</v>
      </c>
      <c r="O227" s="6" t="s">
        <v>27</v>
      </c>
      <c r="P227" s="6" t="s">
        <v>28</v>
      </c>
      <c r="Q227" s="22">
        <v>56</v>
      </c>
      <c r="R227" s="23">
        <v>3</v>
      </c>
      <c r="S227" s="39">
        <v>0</v>
      </c>
      <c r="T227" s="7" t="s">
        <v>2910</v>
      </c>
      <c r="U227" s="7"/>
      <c r="V227" s="7" t="str">
        <f>+IF(U227="","",IF(U227="FINES",CONCATENATE("R",IF(OR(B227="16",B227="21",B227="22",B227="23"),"16212223",IF(OR(B227="15",B227="17",B227="24",B227="25"),"15172425",B227))),IF(U227="CEBAS","UNICO",IF(VALUE(B227)&lt;=11,"AMBA","INTERIOR"))))</f>
        <v/>
      </c>
      <c r="W227" s="38" t="str">
        <f>+IF(U227="","-",CONCATENATE(U227,"_",V227))</f>
        <v>-</v>
      </c>
      <c r="X227" s="42">
        <v>0.29299999999999998</v>
      </c>
    </row>
    <row r="228" spans="1:24" ht="15" thickBot="1">
      <c r="A228" s="5" t="s">
        <v>2916</v>
      </c>
      <c r="B228" s="5" t="s">
        <v>817</v>
      </c>
      <c r="C228" s="5" t="s">
        <v>2080</v>
      </c>
      <c r="D228" s="5" t="s">
        <v>2081</v>
      </c>
      <c r="E228" s="5">
        <v>610950</v>
      </c>
      <c r="F228" s="5">
        <v>2</v>
      </c>
      <c r="G228" s="5" t="s">
        <v>2123</v>
      </c>
      <c r="H228" s="5" t="s">
        <v>20</v>
      </c>
      <c r="I228" s="6" t="s">
        <v>50</v>
      </c>
      <c r="J228" s="6" t="s">
        <v>51</v>
      </c>
      <c r="K228" s="6" t="s">
        <v>2111</v>
      </c>
      <c r="L228" s="6" t="s">
        <v>2124</v>
      </c>
      <c r="M228" s="6" t="s">
        <v>22</v>
      </c>
      <c r="N228" s="6" t="s">
        <v>23</v>
      </c>
      <c r="O228" s="6" t="s">
        <v>27</v>
      </c>
      <c r="P228" s="6" t="s">
        <v>28</v>
      </c>
      <c r="Q228" s="22">
        <v>19</v>
      </c>
      <c r="R228" s="23">
        <v>2</v>
      </c>
      <c r="S228" s="39">
        <v>0</v>
      </c>
      <c r="T228" s="7" t="s">
        <v>2910</v>
      </c>
      <c r="V228" s="7" t="str">
        <f>+IF(U228="","",IF(U228="FINES",CONCATENATE("R",IF(OR(B228="16",B228="21",B228="22",B228="23"),"16212223",IF(OR(B228="15",B228="17",B228="24",B228="25"),"15172425",B228))),IF(U228="CEBAS","UNICO",IF(VALUE(B228)&lt;=11,"AMBA","INTERIOR"))))</f>
        <v/>
      </c>
      <c r="W228" s="38" t="str">
        <f>+IF(U228="","-",CONCATENATE(U228,"_",V228))</f>
        <v>-</v>
      </c>
      <c r="X228" s="42">
        <v>0.29299999999999998</v>
      </c>
    </row>
    <row r="229" spans="1:24" ht="15" thickBot="1">
      <c r="A229" s="3" t="s">
        <v>2916</v>
      </c>
      <c r="B229" s="3" t="s">
        <v>257</v>
      </c>
      <c r="C229" s="3" t="s">
        <v>254</v>
      </c>
      <c r="D229" s="3" t="s">
        <v>256</v>
      </c>
      <c r="E229" s="3">
        <v>613492</v>
      </c>
      <c r="F229" s="3">
        <v>3</v>
      </c>
      <c r="G229" s="3" t="s">
        <v>273</v>
      </c>
      <c r="H229" s="3" t="s">
        <v>20</v>
      </c>
      <c r="I229" s="4" t="s">
        <v>50</v>
      </c>
      <c r="J229" s="4" t="s">
        <v>51</v>
      </c>
      <c r="K229" s="4" t="s">
        <v>274</v>
      </c>
      <c r="L229" s="4" t="s">
        <v>275</v>
      </c>
      <c r="M229" s="4" t="s">
        <v>22</v>
      </c>
      <c r="N229" s="4" t="s">
        <v>23</v>
      </c>
      <c r="O229" s="4" t="s">
        <v>27</v>
      </c>
      <c r="P229" s="4" t="s">
        <v>28</v>
      </c>
      <c r="Q229" s="24">
        <v>27</v>
      </c>
      <c r="R229" s="25">
        <v>2</v>
      </c>
      <c r="S229" s="39">
        <v>0</v>
      </c>
      <c r="T229" s="7" t="s">
        <v>2910</v>
      </c>
      <c r="V229" s="7" t="str">
        <f>+IF(U229="","",IF(U229="FINES",CONCATENATE("R",IF(OR(B229="16",B229="21",B229="22",B229="23"),"16212223",IF(OR(B229="15",B229="17",B229="24",B229="25"),"15172425",B229))),IF(U229="CEBAS","UNICO",IF(VALUE(B229)&lt;=11,"AMBA","INTERIOR"))))</f>
        <v/>
      </c>
      <c r="W229" s="38" t="str">
        <f>+IF(U229="","-",CONCATENATE(U229,"_",V229))</f>
        <v>-</v>
      </c>
      <c r="X229" s="42">
        <v>0.29399999999999998</v>
      </c>
    </row>
    <row r="230" spans="1:24" ht="15" thickBot="1">
      <c r="A230" s="3" t="s">
        <v>2916</v>
      </c>
      <c r="B230" s="3" t="s">
        <v>1860</v>
      </c>
      <c r="C230" s="3" t="s">
        <v>1858</v>
      </c>
      <c r="D230" s="3" t="s">
        <v>1859</v>
      </c>
      <c r="E230" s="3">
        <v>615480</v>
      </c>
      <c r="F230" s="3">
        <v>0</v>
      </c>
      <c r="G230" s="3" t="s">
        <v>1867</v>
      </c>
      <c r="H230" s="3" t="s">
        <v>20</v>
      </c>
      <c r="I230" s="4" t="s">
        <v>25</v>
      </c>
      <c r="J230" s="4" t="s">
        <v>21</v>
      </c>
      <c r="K230" s="4"/>
      <c r="L230" s="4" t="s">
        <v>1868</v>
      </c>
      <c r="M230" s="4" t="s">
        <v>22</v>
      </c>
      <c r="N230" s="4" t="s">
        <v>23</v>
      </c>
      <c r="O230" s="4" t="s">
        <v>27</v>
      </c>
      <c r="P230" s="4" t="s">
        <v>28</v>
      </c>
      <c r="Q230" s="24">
        <v>15</v>
      </c>
      <c r="R230" s="25">
        <v>1</v>
      </c>
      <c r="S230" s="39">
        <v>0</v>
      </c>
      <c r="T230" s="7" t="s">
        <v>2910</v>
      </c>
      <c r="V230" s="7" t="str">
        <f>+IF(U230="","",IF(U230="FINES",CONCATENATE("R",IF(OR(B230="16",B230="21",B230="22",B230="23"),"16212223",IF(OR(B230="15",B230="17",B230="24",B230="25"),"15172425",B230))),IF(U230="CEBAS","UNICO",IF(VALUE(B230)&lt;=11,"AMBA","INTERIOR"))))</f>
        <v/>
      </c>
      <c r="W230" s="38" t="str">
        <f>+IF(U230="","-",CONCATENATE(U230,"_",V230))</f>
        <v>-</v>
      </c>
      <c r="X230" s="42">
        <v>0.29499999999999998</v>
      </c>
    </row>
    <row r="231" spans="1:24" ht="15" thickBot="1">
      <c r="A231" s="3" t="s">
        <v>2916</v>
      </c>
      <c r="B231" s="3" t="s">
        <v>1532</v>
      </c>
      <c r="C231" s="3" t="s">
        <v>1530</v>
      </c>
      <c r="D231" s="3" t="s">
        <v>1531</v>
      </c>
      <c r="E231" s="3">
        <v>601496</v>
      </c>
      <c r="F231" s="3">
        <v>1</v>
      </c>
      <c r="G231" s="3" t="s">
        <v>1568</v>
      </c>
      <c r="H231" s="3" t="s">
        <v>20</v>
      </c>
      <c r="I231" s="4" t="s">
        <v>50</v>
      </c>
      <c r="J231" s="4" t="s">
        <v>51</v>
      </c>
      <c r="K231" s="4" t="s">
        <v>1569</v>
      </c>
      <c r="L231" s="4" t="s">
        <v>1570</v>
      </c>
      <c r="M231" s="4" t="s">
        <v>22</v>
      </c>
      <c r="N231" s="4" t="s">
        <v>23</v>
      </c>
      <c r="O231" s="4" t="s">
        <v>27</v>
      </c>
      <c r="P231" s="4" t="s">
        <v>28</v>
      </c>
      <c r="Q231" s="24">
        <v>21</v>
      </c>
      <c r="R231" s="25">
        <v>2</v>
      </c>
      <c r="S231" s="39">
        <v>0</v>
      </c>
      <c r="T231" s="7" t="s">
        <v>2910</v>
      </c>
      <c r="V231" s="7" t="str">
        <f>+IF(U231="","",IF(U231="FINES",CONCATENATE("R",IF(OR(B231="16",B231="21",B231="22",B231="23"),"16212223",IF(OR(B231="15",B231="17",B231="24",B231="25"),"15172425",B231))),IF(U231="CEBAS","UNICO",IF(VALUE(B231)&lt;=11,"AMBA","INTERIOR"))))</f>
        <v/>
      </c>
      <c r="W231" s="38" t="str">
        <f>+IF(U231="","-",CONCATENATE(U231,"_",V231))</f>
        <v>-</v>
      </c>
      <c r="X231" s="42">
        <v>0.29799999999999999</v>
      </c>
    </row>
    <row r="232" spans="1:24" ht="15" thickBot="1">
      <c r="A232" s="3" t="s">
        <v>2916</v>
      </c>
      <c r="B232" s="3" t="s">
        <v>1780</v>
      </c>
      <c r="C232" s="3" t="s">
        <v>1778</v>
      </c>
      <c r="D232" s="3" t="s">
        <v>1779</v>
      </c>
      <c r="E232" s="3">
        <v>610432</v>
      </c>
      <c r="F232" s="3">
        <v>1</v>
      </c>
      <c r="G232" s="3" t="s">
        <v>1798</v>
      </c>
      <c r="H232" s="3" t="s">
        <v>20</v>
      </c>
      <c r="I232" s="4" t="s">
        <v>50</v>
      </c>
      <c r="J232" s="4" t="s">
        <v>51</v>
      </c>
      <c r="K232" s="4" t="s">
        <v>1799</v>
      </c>
      <c r="L232" s="4" t="s">
        <v>1800</v>
      </c>
      <c r="M232" s="4" t="s">
        <v>22</v>
      </c>
      <c r="N232" s="4" t="s">
        <v>23</v>
      </c>
      <c r="O232" s="4" t="s">
        <v>27</v>
      </c>
      <c r="P232" s="4" t="s">
        <v>28</v>
      </c>
      <c r="Q232" s="24">
        <v>30</v>
      </c>
      <c r="R232" s="25">
        <v>2</v>
      </c>
      <c r="S232" s="39">
        <v>0</v>
      </c>
      <c r="T232" s="7" t="s">
        <v>2910</v>
      </c>
      <c r="U232" s="7"/>
      <c r="V232" s="7" t="str">
        <f>+IF(U232="","",IF(U232="FINES",CONCATENATE("R",IF(OR(B232="16",B232="21",B232="22",B232="23"),"16212223",IF(OR(B232="15",B232="17",B232="24",B232="25"),"15172425",B232))),IF(U232="CEBAS","UNICO",IF(VALUE(B232)&lt;=11,"AMBA","INTERIOR"))))</f>
        <v/>
      </c>
      <c r="W232" s="38" t="str">
        <f>+IF(U232="","-",CONCATENATE(U232,"_",V232))</f>
        <v>-</v>
      </c>
      <c r="X232" s="42">
        <v>0.30399999999999999</v>
      </c>
    </row>
    <row r="233" spans="1:24" ht="15" thickBot="1">
      <c r="A233" s="3" t="s">
        <v>2916</v>
      </c>
      <c r="B233" s="3" t="s">
        <v>138</v>
      </c>
      <c r="C233" s="3" t="s">
        <v>643</v>
      </c>
      <c r="D233" s="3" t="s">
        <v>645</v>
      </c>
      <c r="E233" s="3">
        <v>601293</v>
      </c>
      <c r="F233" s="3">
        <v>2</v>
      </c>
      <c r="G233" s="3" t="s">
        <v>649</v>
      </c>
      <c r="H233" s="3" t="s">
        <v>20</v>
      </c>
      <c r="I233" s="4" t="s">
        <v>50</v>
      </c>
      <c r="J233" s="4" t="s">
        <v>51</v>
      </c>
      <c r="K233" s="4" t="s">
        <v>648</v>
      </c>
      <c r="L233" s="4" t="s">
        <v>650</v>
      </c>
      <c r="M233" s="4" t="s">
        <v>22</v>
      </c>
      <c r="N233" s="4" t="s">
        <v>23</v>
      </c>
      <c r="O233" s="4" t="s">
        <v>27</v>
      </c>
      <c r="P233" s="4" t="s">
        <v>28</v>
      </c>
      <c r="Q233" s="24">
        <v>27</v>
      </c>
      <c r="R233" s="25">
        <v>2</v>
      </c>
      <c r="S233" s="39">
        <v>0</v>
      </c>
      <c r="T233" s="7" t="s">
        <v>2910</v>
      </c>
      <c r="U233" s="7"/>
      <c r="V233" s="7" t="str">
        <f>+IF(U233="","",IF(U233="FINES",CONCATENATE("R",IF(OR(B233="16",B233="21",B233="22",B233="23"),"16212223",IF(OR(B233="15",B233="17",B233="24",B233="25"),"15172425",B233))),IF(U233="CEBAS","UNICO",IF(VALUE(B233)&lt;=11,"AMBA","INTERIOR"))))</f>
        <v/>
      </c>
      <c r="W233" s="38" t="str">
        <f>+IF(U233="","-",CONCATENATE(U233,"_",V233))</f>
        <v>-</v>
      </c>
      <c r="X233" s="42">
        <v>0.307</v>
      </c>
    </row>
    <row r="234" spans="1:24" ht="15" thickBot="1">
      <c r="A234" s="3" t="s">
        <v>2916</v>
      </c>
      <c r="B234" s="3" t="s">
        <v>220</v>
      </c>
      <c r="C234" s="3" t="s">
        <v>2165</v>
      </c>
      <c r="D234" s="3" t="s">
        <v>2166</v>
      </c>
      <c r="E234" s="3">
        <v>606654</v>
      </c>
      <c r="F234" s="3">
        <v>0</v>
      </c>
      <c r="G234" s="3" t="s">
        <v>2167</v>
      </c>
      <c r="H234" s="3" t="s">
        <v>20</v>
      </c>
      <c r="I234" s="4" t="s">
        <v>50</v>
      </c>
      <c r="J234" s="4" t="s">
        <v>21</v>
      </c>
      <c r="K234" s="4"/>
      <c r="L234" s="4" t="s">
        <v>235</v>
      </c>
      <c r="M234" s="4" t="s">
        <v>200</v>
      </c>
      <c r="N234" s="4" t="s">
        <v>23</v>
      </c>
      <c r="O234" s="4" t="s">
        <v>27</v>
      </c>
      <c r="P234" s="4" t="s">
        <v>28</v>
      </c>
      <c r="Q234" s="24">
        <v>2</v>
      </c>
      <c r="R234" s="25">
        <v>1</v>
      </c>
      <c r="S234" s="39">
        <v>0</v>
      </c>
      <c r="T234" s="7" t="s">
        <v>2910</v>
      </c>
      <c r="U234" s="7"/>
      <c r="V234" s="7" t="str">
        <f>+IF(U234="","",IF(U234="FINES",CONCATENATE("R",IF(OR(B234="16",B234="21",B234="22",B234="23"),"16212223",IF(OR(B234="15",B234="17",B234="24",B234="25"),"15172425",B234))),IF(U234="CEBAS","UNICO",IF(VALUE(B234)&lt;=11,"AMBA","INTERIOR"))))</f>
        <v/>
      </c>
      <c r="W234" s="38" t="str">
        <f>+IF(U234="","-",CONCATENATE(U234,"_",V234))</f>
        <v>-</v>
      </c>
      <c r="X234" s="42">
        <v>0.308</v>
      </c>
    </row>
    <row r="235" spans="1:24" ht="15" thickBot="1">
      <c r="A235" s="5" t="s">
        <v>2916</v>
      </c>
      <c r="B235" s="5" t="s">
        <v>205</v>
      </c>
      <c r="C235" s="5" t="s">
        <v>2002</v>
      </c>
      <c r="D235" s="5" t="s">
        <v>2003</v>
      </c>
      <c r="E235" s="5">
        <v>604672</v>
      </c>
      <c r="F235" s="5">
        <v>0</v>
      </c>
      <c r="G235" s="5" t="s">
        <v>2010</v>
      </c>
      <c r="H235" s="5" t="s">
        <v>20</v>
      </c>
      <c r="I235" s="6" t="s">
        <v>50</v>
      </c>
      <c r="J235" s="6" t="s">
        <v>21</v>
      </c>
      <c r="K235" s="6"/>
      <c r="L235" s="6" t="s">
        <v>2011</v>
      </c>
      <c r="M235" s="6" t="s">
        <v>200</v>
      </c>
      <c r="N235" s="6" t="s">
        <v>23</v>
      </c>
      <c r="O235" s="6" t="s">
        <v>27</v>
      </c>
      <c r="P235" s="6" t="s">
        <v>28</v>
      </c>
      <c r="Q235" s="22">
        <v>10</v>
      </c>
      <c r="R235" s="23">
        <v>1</v>
      </c>
      <c r="S235" s="39">
        <v>0</v>
      </c>
      <c r="T235" s="7" t="s">
        <v>2910</v>
      </c>
      <c r="U235" s="7"/>
      <c r="V235" s="7" t="str">
        <f>+IF(U235="","",IF(U235="FINES",CONCATENATE("R",IF(OR(B235="16",B235="21",B235="22",B235="23"),"16212223",IF(OR(B235="15",B235="17",B235="24",B235="25"),"15172425",B235))),IF(U235="CEBAS","UNICO",IF(VALUE(B235)&lt;=11,"AMBA","INTERIOR"))))</f>
        <v/>
      </c>
      <c r="W235" s="38" t="str">
        <f>+IF(U235="","-",CONCATENATE(U235,"_",V235))</f>
        <v>-</v>
      </c>
      <c r="X235" s="42">
        <v>0.308</v>
      </c>
    </row>
    <row r="236" spans="1:24" ht="15" thickBot="1">
      <c r="A236" s="5" t="s">
        <v>2916</v>
      </c>
      <c r="B236" s="5" t="s">
        <v>410</v>
      </c>
      <c r="C236" s="5" t="s">
        <v>570</v>
      </c>
      <c r="D236" s="5" t="s">
        <v>2717</v>
      </c>
      <c r="E236" s="5">
        <v>607890</v>
      </c>
      <c r="F236" s="5">
        <v>3</v>
      </c>
      <c r="G236" s="5" t="s">
        <v>2727</v>
      </c>
      <c r="H236" s="5" t="s">
        <v>20</v>
      </c>
      <c r="I236" s="6" t="s">
        <v>50</v>
      </c>
      <c r="J236" s="6" t="s">
        <v>51</v>
      </c>
      <c r="K236" s="6" t="s">
        <v>2720</v>
      </c>
      <c r="L236" s="6" t="s">
        <v>1164</v>
      </c>
      <c r="M236" s="6" t="s">
        <v>22</v>
      </c>
      <c r="N236" s="6" t="s">
        <v>23</v>
      </c>
      <c r="O236" s="6" t="s">
        <v>27</v>
      </c>
      <c r="P236" s="6" t="s">
        <v>28</v>
      </c>
      <c r="Q236" s="22">
        <v>12</v>
      </c>
      <c r="R236" s="23">
        <v>1</v>
      </c>
      <c r="S236" s="39">
        <v>0</v>
      </c>
      <c r="T236" s="7" t="s">
        <v>2910</v>
      </c>
      <c r="V236" s="7" t="str">
        <f>+IF(U236="","",IF(U236="FINES",CONCATENATE("R",IF(OR(B236="16",B236="21",B236="22",B236="23"),"16212223",IF(OR(B236="15",B236="17",B236="24",B236="25"),"15172425",B236))),IF(U236="CEBAS","UNICO",IF(VALUE(B236)&lt;=11,"AMBA","INTERIOR"))))</f>
        <v/>
      </c>
      <c r="W236" s="38" t="str">
        <f>+IF(U236="","-",CONCATENATE(U236,"_",V236))</f>
        <v>-</v>
      </c>
      <c r="X236" s="42">
        <v>0.308</v>
      </c>
    </row>
    <row r="237" spans="1:24" ht="15" thickBot="1">
      <c r="A237" s="5" t="s">
        <v>2916</v>
      </c>
      <c r="B237" s="5" t="s">
        <v>1780</v>
      </c>
      <c r="C237" s="5" t="s">
        <v>1248</v>
      </c>
      <c r="D237" s="5" t="s">
        <v>2348</v>
      </c>
      <c r="E237" s="5">
        <v>623526</v>
      </c>
      <c r="F237" s="5">
        <v>0</v>
      </c>
      <c r="G237" s="5" t="s">
        <v>2389</v>
      </c>
      <c r="H237" s="5" t="s">
        <v>210</v>
      </c>
      <c r="I237" s="6" t="s">
        <v>201</v>
      </c>
      <c r="J237" s="6" t="s">
        <v>21</v>
      </c>
      <c r="K237" s="6"/>
      <c r="L237" s="6" t="s">
        <v>2388</v>
      </c>
      <c r="M237" s="6" t="s">
        <v>22</v>
      </c>
      <c r="N237" s="6" t="s">
        <v>23</v>
      </c>
      <c r="O237" s="6" t="s">
        <v>27</v>
      </c>
      <c r="P237" s="6" t="s">
        <v>144</v>
      </c>
      <c r="Q237" s="22">
        <v>28</v>
      </c>
      <c r="R237" s="23">
        <v>1</v>
      </c>
      <c r="S237" s="39">
        <v>0</v>
      </c>
      <c r="T237" s="7" t="s">
        <v>2909</v>
      </c>
      <c r="V237" s="7" t="str">
        <f>+IF(U237="","",IF(U237="FINES",CONCATENATE("R",IF(OR(B237="16",B237="21",B237="22",B237="23"),"16212223",IF(OR(B237="15",B237="17",B237="24",B237="25"),"15172425",B237))),IF(U237="CEBAS","UNICO",IF(VALUE(B237)&lt;=11,"AMBA","INTERIOR"))))</f>
        <v/>
      </c>
      <c r="W237" s="38" t="str">
        <f>+IF(U237="","-",CONCATENATE(U237,"_",V237))</f>
        <v>-</v>
      </c>
      <c r="X237" s="42">
        <v>0.308</v>
      </c>
    </row>
    <row r="238" spans="1:24" ht="15" thickBot="1">
      <c r="A238" s="5" t="s">
        <v>2916</v>
      </c>
      <c r="B238" s="5" t="s">
        <v>817</v>
      </c>
      <c r="C238" s="5" t="s">
        <v>600</v>
      </c>
      <c r="D238" s="5" t="s">
        <v>2661</v>
      </c>
      <c r="E238" s="5">
        <v>606804</v>
      </c>
      <c r="F238" s="5">
        <v>2</v>
      </c>
      <c r="G238" s="5" t="s">
        <v>2676</v>
      </c>
      <c r="H238" s="5" t="s">
        <v>20</v>
      </c>
      <c r="I238" s="6" t="s">
        <v>50</v>
      </c>
      <c r="J238" s="6" t="s">
        <v>51</v>
      </c>
      <c r="K238" s="6" t="s">
        <v>2671</v>
      </c>
      <c r="L238" s="6" t="s">
        <v>2677</v>
      </c>
      <c r="M238" s="6" t="s">
        <v>22</v>
      </c>
      <c r="N238" s="6" t="s">
        <v>23</v>
      </c>
      <c r="O238" s="6" t="s">
        <v>27</v>
      </c>
      <c r="P238" s="6" t="s">
        <v>28</v>
      </c>
      <c r="Q238" s="22">
        <v>57</v>
      </c>
      <c r="R238" s="23">
        <v>4</v>
      </c>
      <c r="S238" s="39">
        <v>0</v>
      </c>
      <c r="T238" s="7" t="s">
        <v>2910</v>
      </c>
      <c r="V238" s="7" t="str">
        <f>+IF(U238="","",IF(U238="FINES",CONCATENATE("R",IF(OR(B238="16",B238="21",B238="22",B238="23"),"16212223",IF(OR(B238="15",B238="17",B238="24",B238="25"),"15172425",B238))),IF(U238="CEBAS","UNICO",IF(VALUE(B238)&lt;=11,"AMBA","INTERIOR"))))</f>
        <v/>
      </c>
      <c r="W238" s="38" t="str">
        <f>+IF(U238="","-",CONCATENATE(U238,"_",V238))</f>
        <v>-</v>
      </c>
      <c r="X238" s="42">
        <v>0.309</v>
      </c>
    </row>
    <row r="239" spans="1:24" ht="15" thickBot="1">
      <c r="A239" s="3" t="s">
        <v>2916</v>
      </c>
      <c r="B239" s="3" t="s">
        <v>225</v>
      </c>
      <c r="C239" s="3" t="s">
        <v>942</v>
      </c>
      <c r="D239" s="3" t="s">
        <v>943</v>
      </c>
      <c r="E239" s="3">
        <v>614465</v>
      </c>
      <c r="F239" s="3">
        <v>0</v>
      </c>
      <c r="G239" s="3" t="s">
        <v>944</v>
      </c>
      <c r="H239" s="3" t="s">
        <v>20</v>
      </c>
      <c r="I239" s="4" t="s">
        <v>25</v>
      </c>
      <c r="J239" s="4" t="s">
        <v>21</v>
      </c>
      <c r="K239" s="4"/>
      <c r="L239" s="4" t="s">
        <v>945</v>
      </c>
      <c r="M239" s="4" t="s">
        <v>22</v>
      </c>
      <c r="N239" s="4" t="s">
        <v>23</v>
      </c>
      <c r="O239" s="4" t="s">
        <v>27</v>
      </c>
      <c r="P239" s="4" t="s">
        <v>28</v>
      </c>
      <c r="Q239" s="24">
        <v>15</v>
      </c>
      <c r="R239" s="25">
        <v>1</v>
      </c>
      <c r="S239" s="39">
        <v>0</v>
      </c>
      <c r="T239" s="7" t="s">
        <v>2910</v>
      </c>
      <c r="V239" s="7" t="str">
        <f>+IF(U239="","",IF(U239="FINES",CONCATENATE("R",IF(OR(B239="16",B239="21",B239="22",B239="23"),"16212223",IF(OR(B239="15",B239="17",B239="24",B239="25"),"15172425",B239))),IF(U239="CEBAS","UNICO",IF(VALUE(B239)&lt;=11,"AMBA","INTERIOR"))))</f>
        <v/>
      </c>
      <c r="W239" s="38" t="str">
        <f>+IF(U239="","-",CONCATENATE(U239,"_",V239))</f>
        <v>-</v>
      </c>
      <c r="X239" s="42">
        <v>0.31</v>
      </c>
    </row>
    <row r="240" spans="1:24" ht="15" thickBot="1">
      <c r="A240" s="3" t="s">
        <v>2916</v>
      </c>
      <c r="B240" s="3" t="s">
        <v>203</v>
      </c>
      <c r="C240" s="3" t="s">
        <v>590</v>
      </c>
      <c r="D240" s="3" t="s">
        <v>2553</v>
      </c>
      <c r="E240" s="3">
        <v>601792</v>
      </c>
      <c r="F240" s="3">
        <v>5</v>
      </c>
      <c r="G240" s="3" t="s">
        <v>2559</v>
      </c>
      <c r="H240" s="3" t="s">
        <v>20</v>
      </c>
      <c r="I240" s="4" t="s">
        <v>50</v>
      </c>
      <c r="J240" s="4" t="s">
        <v>51</v>
      </c>
      <c r="K240" s="4" t="s">
        <v>2555</v>
      </c>
      <c r="L240" s="4" t="s">
        <v>2560</v>
      </c>
      <c r="M240" s="4" t="s">
        <v>200</v>
      </c>
      <c r="N240" s="4" t="s">
        <v>23</v>
      </c>
      <c r="O240" s="4" t="s">
        <v>27</v>
      </c>
      <c r="P240" s="4" t="s">
        <v>28</v>
      </c>
      <c r="Q240" s="24">
        <v>5</v>
      </c>
      <c r="R240" s="25">
        <v>1</v>
      </c>
      <c r="S240" s="39">
        <v>0</v>
      </c>
      <c r="T240" s="7" t="s">
        <v>2910</v>
      </c>
      <c r="U240" s="7"/>
      <c r="V240" s="7" t="str">
        <f>+IF(U240="","",IF(U240="FINES",CONCATENATE("R",IF(OR(B240="16",B240="21",B240="22",B240="23"),"16212223",IF(OR(B240="15",B240="17",B240="24",B240="25"),"15172425",B240))),IF(U240="CEBAS","UNICO",IF(VALUE(B240)&lt;=11,"AMBA","INTERIOR"))))</f>
        <v/>
      </c>
      <c r="W240" s="38" t="str">
        <f>+IF(U240="","-",CONCATENATE(U240,"_",V240))</f>
        <v>-</v>
      </c>
      <c r="X240" s="42">
        <v>0.311</v>
      </c>
    </row>
    <row r="241" spans="1:24" ht="15" thickBot="1">
      <c r="A241" s="3" t="s">
        <v>2916</v>
      </c>
      <c r="B241" s="3" t="s">
        <v>257</v>
      </c>
      <c r="C241" s="3" t="s">
        <v>254</v>
      </c>
      <c r="D241" s="3" t="s">
        <v>256</v>
      </c>
      <c r="E241" s="3">
        <v>613080</v>
      </c>
      <c r="F241" s="3">
        <v>2</v>
      </c>
      <c r="G241" s="3" t="s">
        <v>304</v>
      </c>
      <c r="H241" s="3" t="s">
        <v>20</v>
      </c>
      <c r="I241" s="4" t="s">
        <v>50</v>
      </c>
      <c r="J241" s="4" t="s">
        <v>51</v>
      </c>
      <c r="K241" s="4" t="s">
        <v>266</v>
      </c>
      <c r="L241" s="4" t="s">
        <v>305</v>
      </c>
      <c r="M241" s="4" t="s">
        <v>22</v>
      </c>
      <c r="N241" s="4" t="s">
        <v>23</v>
      </c>
      <c r="O241" s="4" t="s">
        <v>27</v>
      </c>
      <c r="P241" s="4" t="s">
        <v>28</v>
      </c>
      <c r="Q241" s="24">
        <v>36</v>
      </c>
      <c r="R241" s="25">
        <v>3</v>
      </c>
      <c r="S241" s="39">
        <v>0</v>
      </c>
      <c r="T241" s="7" t="s">
        <v>2910</v>
      </c>
      <c r="U241" s="7"/>
      <c r="V241" s="7" t="str">
        <f>+IF(U241="","",IF(U241="FINES",CONCATENATE("R",IF(OR(B241="16",B241="21",B241="22",B241="23"),"16212223",IF(OR(B241="15",B241="17",B241="24",B241="25"),"15172425",B241))),IF(U241="CEBAS","UNICO",IF(VALUE(B241)&lt;=11,"AMBA","INTERIOR"))))</f>
        <v/>
      </c>
      <c r="W241" s="38" t="str">
        <f>+IF(U241="","-",CONCATENATE(U241,"_",V241))</f>
        <v>-</v>
      </c>
      <c r="X241" s="42">
        <v>0.313</v>
      </c>
    </row>
    <row r="242" spans="1:24" ht="15" thickBot="1">
      <c r="A242" s="3" t="s">
        <v>2916</v>
      </c>
      <c r="B242" s="3" t="s">
        <v>223</v>
      </c>
      <c r="C242" s="3" t="s">
        <v>229</v>
      </c>
      <c r="D242" s="3" t="s">
        <v>231</v>
      </c>
      <c r="E242" s="3">
        <v>601358</v>
      </c>
      <c r="F242" s="3">
        <v>0</v>
      </c>
      <c r="G242" s="3" t="s">
        <v>234</v>
      </c>
      <c r="H242" s="3" t="s">
        <v>20</v>
      </c>
      <c r="I242" s="4" t="s">
        <v>50</v>
      </c>
      <c r="J242" s="4" t="s">
        <v>21</v>
      </c>
      <c r="K242" s="4"/>
      <c r="L242" s="4" t="s">
        <v>235</v>
      </c>
      <c r="M242" s="4" t="s">
        <v>22</v>
      </c>
      <c r="N242" s="4" t="s">
        <v>23</v>
      </c>
      <c r="O242" s="4" t="s">
        <v>27</v>
      </c>
      <c r="P242" s="4" t="s">
        <v>28</v>
      </c>
      <c r="Q242" s="24">
        <v>5</v>
      </c>
      <c r="R242" s="25">
        <v>1</v>
      </c>
      <c r="S242" s="39">
        <v>0</v>
      </c>
      <c r="T242" s="7" t="s">
        <v>2910</v>
      </c>
      <c r="V242" s="7" t="str">
        <f>+IF(U242="","",IF(U242="FINES",CONCATENATE("R",IF(OR(B242="16",B242="21",B242="22",B242="23"),"16212223",IF(OR(B242="15",B242="17",B242="24",B242="25"),"15172425",B242))),IF(U242="CEBAS","UNICO",IF(VALUE(B242)&lt;=11,"AMBA","INTERIOR"))))</f>
        <v/>
      </c>
      <c r="W242" s="38" t="str">
        <f>+IF(U242="","-",CONCATENATE(U242,"_",V242))</f>
        <v>-</v>
      </c>
      <c r="X242" s="42">
        <v>0.315</v>
      </c>
    </row>
    <row r="243" spans="1:24" ht="15" thickBot="1">
      <c r="A243" s="3" t="s">
        <v>2916</v>
      </c>
      <c r="B243" s="3" t="s">
        <v>140</v>
      </c>
      <c r="C243" s="3" t="s">
        <v>2277</v>
      </c>
      <c r="D243" s="3" t="s">
        <v>2278</v>
      </c>
      <c r="E243" s="3">
        <v>604560</v>
      </c>
      <c r="F243" s="3">
        <v>2</v>
      </c>
      <c r="G243" s="3" t="s">
        <v>2295</v>
      </c>
      <c r="H243" s="3" t="s">
        <v>20</v>
      </c>
      <c r="I243" s="4" t="s">
        <v>50</v>
      </c>
      <c r="J243" s="4" t="s">
        <v>51</v>
      </c>
      <c r="K243" s="4" t="s">
        <v>2282</v>
      </c>
      <c r="L243" s="4" t="s">
        <v>2296</v>
      </c>
      <c r="M243" s="4" t="s">
        <v>22</v>
      </c>
      <c r="N243" s="4" t="s">
        <v>23</v>
      </c>
      <c r="O243" s="4" t="s">
        <v>27</v>
      </c>
      <c r="P243" s="4" t="s">
        <v>28</v>
      </c>
      <c r="Q243" s="24">
        <v>32</v>
      </c>
      <c r="R243" s="25">
        <v>2</v>
      </c>
      <c r="S243" s="39">
        <v>0</v>
      </c>
      <c r="T243" s="7" t="s">
        <v>2910</v>
      </c>
      <c r="V243" s="7" t="str">
        <f>+IF(U243="","",IF(U243="FINES",CONCATENATE("R",IF(OR(B243="16",B243="21",B243="22",B243="23"),"16212223",IF(OR(B243="15",B243="17",B243="24",B243="25"),"15172425",B243))),IF(U243="CEBAS","UNICO",IF(VALUE(B243)&lt;=11,"AMBA","INTERIOR"))))</f>
        <v/>
      </c>
      <c r="W243" s="38" t="str">
        <f>+IF(U243="","-",CONCATENATE(U243,"_",V243))</f>
        <v>-</v>
      </c>
      <c r="X243" s="42">
        <v>0.316</v>
      </c>
    </row>
    <row r="244" spans="1:24" ht="15" thickBot="1">
      <c r="A244" s="5" t="s">
        <v>2916</v>
      </c>
      <c r="B244" s="5" t="s">
        <v>1860</v>
      </c>
      <c r="C244" s="5" t="s">
        <v>411</v>
      </c>
      <c r="D244" s="5" t="s">
        <v>2791</v>
      </c>
      <c r="E244" s="5">
        <v>611054</v>
      </c>
      <c r="F244" s="5">
        <v>3</v>
      </c>
      <c r="G244" s="5" t="s">
        <v>2795</v>
      </c>
      <c r="H244" s="5" t="s">
        <v>20</v>
      </c>
      <c r="I244" s="6" t="s">
        <v>50</v>
      </c>
      <c r="J244" s="6" t="s">
        <v>51</v>
      </c>
      <c r="K244" s="6" t="s">
        <v>2793</v>
      </c>
      <c r="L244" s="6" t="s">
        <v>533</v>
      </c>
      <c r="M244" s="6" t="s">
        <v>22</v>
      </c>
      <c r="N244" s="6" t="s">
        <v>23</v>
      </c>
      <c r="O244" s="6" t="s">
        <v>27</v>
      </c>
      <c r="P244" s="6" t="s">
        <v>28</v>
      </c>
      <c r="Q244" s="22">
        <v>40</v>
      </c>
      <c r="R244" s="23">
        <v>4</v>
      </c>
      <c r="S244" s="39">
        <v>0</v>
      </c>
      <c r="T244" s="7" t="s">
        <v>2910</v>
      </c>
      <c r="V244" s="7" t="str">
        <f>+IF(U244="","",IF(U244="FINES",CONCATENATE("R",IF(OR(B244="16",B244="21",B244="22",B244="23"),"16212223",IF(OR(B244="15",B244="17",B244="24",B244="25"),"15172425",B244))),IF(U244="CEBAS","UNICO",IF(VALUE(B244)&lt;=11,"AMBA","INTERIOR"))))</f>
        <v/>
      </c>
      <c r="W244" s="38" t="str">
        <f>+IF(U244="","-",CONCATENATE(U244,"_",V244))</f>
        <v>-</v>
      </c>
      <c r="X244" s="42">
        <v>0.316</v>
      </c>
    </row>
    <row r="245" spans="1:24" ht="15" thickBot="1">
      <c r="A245" s="5" t="s">
        <v>2916</v>
      </c>
      <c r="B245" s="5" t="s">
        <v>1860</v>
      </c>
      <c r="C245" s="5" t="s">
        <v>1858</v>
      </c>
      <c r="D245" s="5" t="s">
        <v>1859</v>
      </c>
      <c r="E245" s="5">
        <v>609621</v>
      </c>
      <c r="F245" s="5">
        <v>4</v>
      </c>
      <c r="G245" s="5" t="s">
        <v>1889</v>
      </c>
      <c r="H245" s="5" t="s">
        <v>20</v>
      </c>
      <c r="I245" s="6" t="s">
        <v>50</v>
      </c>
      <c r="J245" s="6" t="s">
        <v>51</v>
      </c>
      <c r="K245" s="6" t="s">
        <v>1870</v>
      </c>
      <c r="L245" s="6" t="s">
        <v>1890</v>
      </c>
      <c r="M245" s="6" t="s">
        <v>22</v>
      </c>
      <c r="N245" s="6" t="s">
        <v>23</v>
      </c>
      <c r="O245" s="6" t="s">
        <v>27</v>
      </c>
      <c r="P245" s="6" t="s">
        <v>28</v>
      </c>
      <c r="Q245" s="22">
        <v>17</v>
      </c>
      <c r="R245" s="23">
        <v>1</v>
      </c>
      <c r="S245" s="39">
        <v>0</v>
      </c>
      <c r="T245" s="7" t="s">
        <v>2910</v>
      </c>
      <c r="U245" s="7"/>
      <c r="V245" s="7" t="str">
        <f>+IF(U245="","",IF(U245="FINES",CONCATENATE("R",IF(OR(B245="16",B245="21",B245="22",B245="23"),"16212223",IF(OR(B245="15",B245="17",B245="24",B245="25"),"15172425",B245))),IF(U245="CEBAS","UNICO",IF(VALUE(B245)&lt;=11,"AMBA","INTERIOR"))))</f>
        <v/>
      </c>
      <c r="W245" s="38" t="str">
        <f>+IF(U245="","-",CONCATENATE(U245,"_",V245))</f>
        <v>-</v>
      </c>
      <c r="X245" s="42">
        <v>0.318</v>
      </c>
    </row>
    <row r="246" spans="1:24" ht="15" thickBot="1">
      <c r="A246" s="3" t="s">
        <v>2916</v>
      </c>
      <c r="B246" s="3" t="s">
        <v>1860</v>
      </c>
      <c r="C246" s="3" t="s">
        <v>224</v>
      </c>
      <c r="D246" s="3" t="s">
        <v>2837</v>
      </c>
      <c r="E246" s="3">
        <v>613696</v>
      </c>
      <c r="F246" s="3">
        <v>1</v>
      </c>
      <c r="G246" s="3" t="s">
        <v>2844</v>
      </c>
      <c r="H246" s="3" t="s">
        <v>20</v>
      </c>
      <c r="I246" s="4" t="s">
        <v>50</v>
      </c>
      <c r="J246" s="4" t="s">
        <v>51</v>
      </c>
      <c r="K246" s="4" t="s">
        <v>2842</v>
      </c>
      <c r="L246" s="4" t="s">
        <v>440</v>
      </c>
      <c r="M246" s="4" t="s">
        <v>22</v>
      </c>
      <c r="N246" s="4" t="s">
        <v>23</v>
      </c>
      <c r="O246" s="4" t="s">
        <v>27</v>
      </c>
      <c r="P246" s="4" t="s">
        <v>28</v>
      </c>
      <c r="Q246" s="24">
        <v>12</v>
      </c>
      <c r="R246" s="25">
        <v>1</v>
      </c>
      <c r="S246" s="39">
        <v>0</v>
      </c>
      <c r="T246" s="7" t="s">
        <v>2910</v>
      </c>
      <c r="U246" s="7"/>
      <c r="V246" s="7" t="str">
        <f>+IF(U246="","",IF(U246="FINES",CONCATENATE("R",IF(OR(B246="16",B246="21",B246="22",B246="23"),"16212223",IF(OR(B246="15",B246="17",B246="24",B246="25"),"15172425",B246))),IF(U246="CEBAS","UNICO",IF(VALUE(B246)&lt;=11,"AMBA","INTERIOR"))))</f>
        <v/>
      </c>
      <c r="W246" s="38" t="str">
        <f>+IF(U246="","-",CONCATENATE(U246,"_",V246))</f>
        <v>-</v>
      </c>
      <c r="X246" s="42">
        <v>0.32</v>
      </c>
    </row>
    <row r="247" spans="1:24" ht="15" thickBot="1">
      <c r="A247" s="3" t="s">
        <v>2916</v>
      </c>
      <c r="B247" s="3" t="s">
        <v>19</v>
      </c>
      <c r="C247" s="3" t="s">
        <v>17</v>
      </c>
      <c r="D247" s="3" t="s">
        <v>18</v>
      </c>
      <c r="E247" s="3">
        <v>615638</v>
      </c>
      <c r="F247" s="3">
        <v>1</v>
      </c>
      <c r="G247" s="3" t="s">
        <v>86</v>
      </c>
      <c r="H247" s="3" t="s">
        <v>20</v>
      </c>
      <c r="I247" s="4" t="s">
        <v>50</v>
      </c>
      <c r="J247" s="4" t="s">
        <v>51</v>
      </c>
      <c r="K247" s="4" t="s">
        <v>87</v>
      </c>
      <c r="L247" s="4" t="s">
        <v>88</v>
      </c>
      <c r="M247" s="4" t="s">
        <v>22</v>
      </c>
      <c r="N247" s="4" t="s">
        <v>23</v>
      </c>
      <c r="O247" s="4" t="s">
        <v>27</v>
      </c>
      <c r="P247" s="4" t="s">
        <v>28</v>
      </c>
      <c r="Q247" s="24">
        <v>30</v>
      </c>
      <c r="R247" s="25">
        <v>3</v>
      </c>
      <c r="S247" s="39">
        <v>0</v>
      </c>
      <c r="T247" s="7" t="s">
        <v>2910</v>
      </c>
      <c r="U247" s="7"/>
      <c r="V247" s="7" t="str">
        <f>+IF(U247="","",IF(U247="FINES",CONCATENATE("R",IF(OR(B247="16",B247="21",B247="22",B247="23"),"16212223",IF(OR(B247="15",B247="17",B247="24",B247="25"),"15172425",B247))),IF(U247="CEBAS","UNICO",IF(VALUE(B247)&lt;=11,"AMBA","INTERIOR"))))</f>
        <v/>
      </c>
      <c r="W247" s="38" t="str">
        <f>+IF(U247="","-",CONCATENATE(U247,"_",V247))</f>
        <v>-</v>
      </c>
      <c r="X247" s="42">
        <v>0.32</v>
      </c>
    </row>
    <row r="248" spans="1:24" ht="15" thickBot="1">
      <c r="A248" s="3" t="s">
        <v>2916</v>
      </c>
      <c r="B248" s="3" t="s">
        <v>217</v>
      </c>
      <c r="C248" s="3" t="s">
        <v>2027</v>
      </c>
      <c r="D248" s="3" t="s">
        <v>2028</v>
      </c>
      <c r="E248" s="3">
        <v>611796</v>
      </c>
      <c r="F248" s="3">
        <v>1</v>
      </c>
      <c r="G248" s="3" t="s">
        <v>2035</v>
      </c>
      <c r="H248" s="3" t="s">
        <v>20</v>
      </c>
      <c r="I248" s="4" t="s">
        <v>50</v>
      </c>
      <c r="J248" s="4" t="s">
        <v>51</v>
      </c>
      <c r="K248" s="4" t="s">
        <v>2034</v>
      </c>
      <c r="L248" s="4" t="s">
        <v>440</v>
      </c>
      <c r="M248" s="4" t="s">
        <v>22</v>
      </c>
      <c r="N248" s="4" t="s">
        <v>23</v>
      </c>
      <c r="O248" s="4" t="s">
        <v>27</v>
      </c>
      <c r="P248" s="4" t="s">
        <v>28</v>
      </c>
      <c r="Q248" s="24">
        <v>38</v>
      </c>
      <c r="R248" s="25">
        <v>2</v>
      </c>
      <c r="S248" s="39">
        <v>0</v>
      </c>
      <c r="T248" s="7" t="s">
        <v>2910</v>
      </c>
      <c r="U248" s="7"/>
      <c r="V248" s="7" t="str">
        <f>+IF(U248="","",IF(U248="FINES",CONCATENATE("R",IF(OR(B248="16",B248="21",B248="22",B248="23"),"16212223",IF(OR(B248="15",B248="17",B248="24",B248="25"),"15172425",B248))),IF(U248="CEBAS","UNICO",IF(VALUE(B248)&lt;=11,"AMBA","INTERIOR"))))</f>
        <v/>
      </c>
      <c r="W248" s="38" t="str">
        <f>+IF(U248="","-",CONCATENATE(U248,"_",V248))</f>
        <v>-</v>
      </c>
      <c r="X248" s="42">
        <v>0.32100000000000001</v>
      </c>
    </row>
    <row r="249" spans="1:24" ht="15" thickBot="1">
      <c r="A249" s="3" t="s">
        <v>2916</v>
      </c>
      <c r="B249" s="3" t="s">
        <v>221</v>
      </c>
      <c r="C249" s="3" t="s">
        <v>558</v>
      </c>
      <c r="D249" s="3" t="s">
        <v>1960</v>
      </c>
      <c r="E249" s="3">
        <v>621715</v>
      </c>
      <c r="F249" s="3">
        <v>0</v>
      </c>
      <c r="G249" s="3" t="s">
        <v>1965</v>
      </c>
      <c r="H249" s="3" t="s">
        <v>20</v>
      </c>
      <c r="I249" s="4" t="s">
        <v>50</v>
      </c>
      <c r="J249" s="4" t="s">
        <v>21</v>
      </c>
      <c r="K249" s="4"/>
      <c r="L249" s="4" t="s">
        <v>1966</v>
      </c>
      <c r="M249" s="4" t="s">
        <v>22</v>
      </c>
      <c r="N249" s="4" t="s">
        <v>23</v>
      </c>
      <c r="O249" s="4" t="s">
        <v>27</v>
      </c>
      <c r="P249" s="4" t="s">
        <v>28</v>
      </c>
      <c r="Q249" s="24">
        <v>55</v>
      </c>
      <c r="R249" s="25">
        <v>3</v>
      </c>
      <c r="S249" s="39">
        <v>0</v>
      </c>
      <c r="T249" s="7" t="s">
        <v>2910</v>
      </c>
      <c r="U249" s="7"/>
      <c r="V249" s="7" t="str">
        <f>+IF(U249="","",IF(U249="FINES",CONCATENATE("R",IF(OR(B249="16",B249="21",B249="22",B249="23"),"16212223",IF(OR(B249="15",B249="17",B249="24",B249="25"),"15172425",B249))),IF(U249="CEBAS","UNICO",IF(VALUE(B249)&lt;=11,"AMBA","INTERIOR"))))</f>
        <v/>
      </c>
      <c r="W249" s="38" t="str">
        <f>+IF(U249="","-",CONCATENATE(U249,"_",V249))</f>
        <v>-</v>
      </c>
      <c r="X249" s="42">
        <v>0.32200000000000001</v>
      </c>
    </row>
    <row r="250" spans="1:24" ht="15" thickBot="1">
      <c r="A250" s="3" t="s">
        <v>2916</v>
      </c>
      <c r="B250" s="3" t="s">
        <v>817</v>
      </c>
      <c r="C250" s="3" t="s">
        <v>815</v>
      </c>
      <c r="D250" s="3" t="s">
        <v>816</v>
      </c>
      <c r="E250" s="3">
        <v>621187</v>
      </c>
      <c r="F250" s="3">
        <v>1</v>
      </c>
      <c r="G250" s="3" t="s">
        <v>818</v>
      </c>
      <c r="H250" s="3" t="s">
        <v>20</v>
      </c>
      <c r="I250" s="4" t="s">
        <v>50</v>
      </c>
      <c r="J250" s="4" t="s">
        <v>51</v>
      </c>
      <c r="K250" s="4" t="s">
        <v>819</v>
      </c>
      <c r="L250" s="4" t="s">
        <v>820</v>
      </c>
      <c r="M250" s="4" t="s">
        <v>22</v>
      </c>
      <c r="N250" s="4" t="s">
        <v>23</v>
      </c>
      <c r="O250" s="4" t="s">
        <v>27</v>
      </c>
      <c r="P250" s="4" t="s">
        <v>28</v>
      </c>
      <c r="Q250" s="24">
        <v>52</v>
      </c>
      <c r="R250" s="25">
        <v>4</v>
      </c>
      <c r="S250" s="39">
        <v>0</v>
      </c>
      <c r="T250" s="7" t="s">
        <v>2910</v>
      </c>
      <c r="V250" s="7" t="str">
        <f>+IF(U250="","",IF(U250="FINES",CONCATENATE("R",IF(OR(B250="16",B250="21",B250="22",B250="23"),"16212223",IF(OR(B250="15",B250="17",B250="24",B250="25"),"15172425",B250))),IF(U250="CEBAS","UNICO",IF(VALUE(B250)&lt;=11,"AMBA","INTERIOR"))))</f>
        <v/>
      </c>
      <c r="W250" s="38" t="str">
        <f>+IF(U250="","-",CONCATENATE(U250,"_",V250))</f>
        <v>-</v>
      </c>
      <c r="X250" s="42">
        <v>0.32400000000000001</v>
      </c>
    </row>
    <row r="251" spans="1:24" ht="15" thickBot="1">
      <c r="A251" s="5" t="s">
        <v>2916</v>
      </c>
      <c r="B251" s="5" t="s">
        <v>206</v>
      </c>
      <c r="C251" s="5" t="s">
        <v>930</v>
      </c>
      <c r="D251" s="5" t="s">
        <v>931</v>
      </c>
      <c r="E251" s="5">
        <v>601878</v>
      </c>
      <c r="F251" s="5">
        <v>1</v>
      </c>
      <c r="G251" s="5" t="s">
        <v>932</v>
      </c>
      <c r="H251" s="5" t="s">
        <v>20</v>
      </c>
      <c r="I251" s="6" t="s">
        <v>50</v>
      </c>
      <c r="J251" s="6" t="s">
        <v>51</v>
      </c>
      <c r="K251" s="6" t="s">
        <v>933</v>
      </c>
      <c r="L251" s="6" t="s">
        <v>934</v>
      </c>
      <c r="M251" s="6" t="s">
        <v>22</v>
      </c>
      <c r="N251" s="6" t="s">
        <v>23</v>
      </c>
      <c r="O251" s="6" t="s">
        <v>27</v>
      </c>
      <c r="P251" s="6" t="s">
        <v>28</v>
      </c>
      <c r="Q251" s="22">
        <v>10</v>
      </c>
      <c r="R251" s="23">
        <v>1</v>
      </c>
      <c r="S251" s="39">
        <v>0</v>
      </c>
      <c r="T251" s="7" t="s">
        <v>2910</v>
      </c>
      <c r="U251" s="7"/>
      <c r="V251" s="7" t="str">
        <f>+IF(U251="","",IF(U251="FINES",CONCATENATE("R",IF(OR(B251="16",B251="21",B251="22",B251="23"),"16212223",IF(OR(B251="15",B251="17",B251="24",B251="25"),"15172425",B251))),IF(U251="CEBAS","UNICO",IF(VALUE(B251)&lt;=11,"AMBA","INTERIOR"))))</f>
        <v/>
      </c>
      <c r="W251" s="38" t="str">
        <f>+IF(U251="","-",CONCATENATE(U251,"_",V251))</f>
        <v>-</v>
      </c>
      <c r="X251" s="42">
        <v>0.32500000000000001</v>
      </c>
    </row>
    <row r="252" spans="1:24" ht="15" thickBot="1">
      <c r="A252" s="3" t="s">
        <v>2916</v>
      </c>
      <c r="B252" s="3" t="s">
        <v>203</v>
      </c>
      <c r="C252" s="3" t="s">
        <v>450</v>
      </c>
      <c r="D252" s="3" t="s">
        <v>452</v>
      </c>
      <c r="E252" s="3">
        <v>602486</v>
      </c>
      <c r="F252" s="3">
        <v>1</v>
      </c>
      <c r="G252" s="3" t="s">
        <v>453</v>
      </c>
      <c r="H252" s="3" t="s">
        <v>20</v>
      </c>
      <c r="I252" s="4" t="s">
        <v>50</v>
      </c>
      <c r="J252" s="4" t="s">
        <v>51</v>
      </c>
      <c r="K252" s="4" t="s">
        <v>454</v>
      </c>
      <c r="L252" s="4" t="s">
        <v>455</v>
      </c>
      <c r="M252" s="4" t="s">
        <v>22</v>
      </c>
      <c r="N252" s="4" t="s">
        <v>23</v>
      </c>
      <c r="O252" s="4" t="s">
        <v>27</v>
      </c>
      <c r="P252" s="4" t="s">
        <v>28</v>
      </c>
      <c r="Q252" s="24">
        <v>53</v>
      </c>
      <c r="R252" s="25">
        <v>4</v>
      </c>
      <c r="S252" s="39">
        <v>0</v>
      </c>
      <c r="T252" s="7" t="s">
        <v>2910</v>
      </c>
      <c r="U252" s="7"/>
      <c r="V252" s="7" t="str">
        <f>+IF(U252="","",IF(U252="FINES",CONCATENATE("R",IF(OR(B252="16",B252="21",B252="22",B252="23"),"16212223",IF(OR(B252="15",B252="17",B252="24",B252="25"),"15172425",B252))),IF(U252="CEBAS","UNICO",IF(VALUE(B252)&lt;=11,"AMBA","INTERIOR"))))</f>
        <v/>
      </c>
      <c r="W252" s="38" t="str">
        <f>+IF(U252="","-",CONCATENATE(U252,"_",V252))</f>
        <v>-</v>
      </c>
      <c r="X252" s="42">
        <v>0.32500000000000001</v>
      </c>
    </row>
    <row r="253" spans="1:24" ht="15" thickBot="1">
      <c r="A253" s="5" t="s">
        <v>2916</v>
      </c>
      <c r="B253" s="5" t="s">
        <v>220</v>
      </c>
      <c r="C253" s="5" t="s">
        <v>665</v>
      </c>
      <c r="D253" s="5" t="s">
        <v>666</v>
      </c>
      <c r="E253" s="5">
        <v>601189</v>
      </c>
      <c r="F253" s="5">
        <v>0</v>
      </c>
      <c r="G253" s="5" t="s">
        <v>669</v>
      </c>
      <c r="H253" s="5" t="s">
        <v>20</v>
      </c>
      <c r="I253" s="6" t="s">
        <v>50</v>
      </c>
      <c r="J253" s="6" t="s">
        <v>21</v>
      </c>
      <c r="K253" s="6"/>
      <c r="L253" s="6" t="s">
        <v>670</v>
      </c>
      <c r="M253" s="6" t="s">
        <v>22</v>
      </c>
      <c r="N253" s="6" t="s">
        <v>23</v>
      </c>
      <c r="O253" s="6" t="s">
        <v>27</v>
      </c>
      <c r="P253" s="6" t="s">
        <v>28</v>
      </c>
      <c r="Q253" s="22">
        <v>8</v>
      </c>
      <c r="R253" s="23">
        <v>1</v>
      </c>
      <c r="S253" s="39">
        <v>0</v>
      </c>
      <c r="T253" s="7" t="s">
        <v>2910</v>
      </c>
      <c r="U253" s="7"/>
      <c r="V253" s="7" t="str">
        <f>+IF(U253="","",IF(U253="FINES",CONCATENATE("R",IF(OR(B253="16",B253="21",B253="22",B253="23"),"16212223",IF(OR(B253="15",B253="17",B253="24",B253="25"),"15172425",B253))),IF(U253="CEBAS","UNICO",IF(VALUE(B253)&lt;=11,"AMBA","INTERIOR"))))</f>
        <v/>
      </c>
      <c r="W253" s="38" t="str">
        <f>+IF(U253="","-",CONCATENATE(U253,"_",V253))</f>
        <v>-</v>
      </c>
      <c r="X253" s="42">
        <v>0.33100000000000002</v>
      </c>
    </row>
    <row r="254" spans="1:24" ht="15" thickBot="1">
      <c r="A254" s="5" t="s">
        <v>2916</v>
      </c>
      <c r="B254" s="5" t="s">
        <v>410</v>
      </c>
      <c r="C254" s="5" t="s">
        <v>570</v>
      </c>
      <c r="D254" s="5" t="s">
        <v>2717</v>
      </c>
      <c r="E254" s="5">
        <v>607890</v>
      </c>
      <c r="F254" s="5">
        <v>1</v>
      </c>
      <c r="G254" s="5" t="s">
        <v>2719</v>
      </c>
      <c r="H254" s="5" t="s">
        <v>20</v>
      </c>
      <c r="I254" s="6" t="s">
        <v>50</v>
      </c>
      <c r="J254" s="6" t="s">
        <v>51</v>
      </c>
      <c r="K254" s="6" t="s">
        <v>2720</v>
      </c>
      <c r="L254" s="6" t="s">
        <v>2721</v>
      </c>
      <c r="M254" s="6" t="s">
        <v>22</v>
      </c>
      <c r="N254" s="6" t="s">
        <v>23</v>
      </c>
      <c r="O254" s="6" t="s">
        <v>27</v>
      </c>
      <c r="P254" s="6" t="s">
        <v>28</v>
      </c>
      <c r="Q254" s="22">
        <v>39</v>
      </c>
      <c r="R254" s="23">
        <v>3</v>
      </c>
      <c r="S254" s="39">
        <v>0</v>
      </c>
      <c r="T254" s="7" t="s">
        <v>2910</v>
      </c>
      <c r="V254" s="7" t="str">
        <f>+IF(U254="","",IF(U254="FINES",CONCATENATE("R",IF(OR(B254="16",B254="21",B254="22",B254="23"),"16212223",IF(OR(B254="15",B254="17",B254="24",B254="25"),"15172425",B254))),IF(U254="CEBAS","UNICO",IF(VALUE(B254)&lt;=11,"AMBA","INTERIOR"))))</f>
        <v/>
      </c>
      <c r="W254" s="38" t="str">
        <f>+IF(U254="","-",CONCATENATE(U254,"_",V254))</f>
        <v>-</v>
      </c>
      <c r="X254" s="42">
        <v>0.33200000000000002</v>
      </c>
    </row>
    <row r="255" spans="1:24" ht="15" thickBot="1">
      <c r="A255" s="5" t="s">
        <v>2916</v>
      </c>
      <c r="B255" s="5" t="s">
        <v>1780</v>
      </c>
      <c r="C255" s="5" t="s">
        <v>1248</v>
      </c>
      <c r="D255" s="5" t="s">
        <v>2348</v>
      </c>
      <c r="E255" s="5">
        <v>613021</v>
      </c>
      <c r="F255" s="5">
        <v>3</v>
      </c>
      <c r="G255" s="5" t="s">
        <v>2364</v>
      </c>
      <c r="H255" s="5" t="s">
        <v>20</v>
      </c>
      <c r="I255" s="6" t="s">
        <v>50</v>
      </c>
      <c r="J255" s="6" t="s">
        <v>51</v>
      </c>
      <c r="K255" s="6" t="s">
        <v>2350</v>
      </c>
      <c r="L255" s="6" t="s">
        <v>2365</v>
      </c>
      <c r="M255" s="6" t="s">
        <v>22</v>
      </c>
      <c r="N255" s="6" t="s">
        <v>23</v>
      </c>
      <c r="O255" s="6" t="s">
        <v>27</v>
      </c>
      <c r="P255" s="6" t="s">
        <v>28</v>
      </c>
      <c r="Q255" s="22">
        <v>20</v>
      </c>
      <c r="R255" s="23">
        <v>1</v>
      </c>
      <c r="S255" s="39">
        <v>0</v>
      </c>
      <c r="T255" s="7" t="s">
        <v>2910</v>
      </c>
      <c r="V255" s="7" t="str">
        <f>+IF(U255="","",IF(U255="FINES",CONCATENATE("R",IF(OR(B255="16",B255="21",B255="22",B255="23"),"16212223",IF(OR(B255="15",B255="17",B255="24",B255="25"),"15172425",B255))),IF(U255="CEBAS","UNICO",IF(VALUE(B255)&lt;=11,"AMBA","INTERIOR"))))</f>
        <v/>
      </c>
      <c r="W255" s="38" t="str">
        <f>+IF(U255="","-",CONCATENATE(U255,"_",V255))</f>
        <v>-</v>
      </c>
      <c r="X255" s="42">
        <v>0.33500000000000002</v>
      </c>
    </row>
    <row r="256" spans="1:24" ht="15" thickBot="1">
      <c r="A256" s="3" t="s">
        <v>2916</v>
      </c>
      <c r="B256" s="3" t="s">
        <v>19</v>
      </c>
      <c r="C256" s="3" t="s">
        <v>252</v>
      </c>
      <c r="D256" s="3" t="s">
        <v>2566</v>
      </c>
      <c r="E256" s="3">
        <v>602838</v>
      </c>
      <c r="F256" s="3">
        <v>1</v>
      </c>
      <c r="G256" s="3" t="s">
        <v>2572</v>
      </c>
      <c r="H256" s="3" t="s">
        <v>20</v>
      </c>
      <c r="I256" s="4" t="s">
        <v>50</v>
      </c>
      <c r="J256" s="4" t="s">
        <v>51</v>
      </c>
      <c r="K256" s="4" t="s">
        <v>2573</v>
      </c>
      <c r="L256" s="4" t="s">
        <v>2574</v>
      </c>
      <c r="M256" s="4" t="s">
        <v>22</v>
      </c>
      <c r="N256" s="4" t="s">
        <v>23</v>
      </c>
      <c r="O256" s="4" t="s">
        <v>27</v>
      </c>
      <c r="P256" s="4" t="s">
        <v>28</v>
      </c>
      <c r="Q256" s="24">
        <v>24</v>
      </c>
      <c r="R256" s="25">
        <v>2</v>
      </c>
      <c r="S256" s="39">
        <v>0</v>
      </c>
      <c r="T256" s="7" t="s">
        <v>2910</v>
      </c>
      <c r="U256" s="7"/>
      <c r="V256" s="7" t="str">
        <f>+IF(U256="","",IF(U256="FINES",CONCATENATE("R",IF(OR(B256="16",B256="21",B256="22",B256="23"),"16212223",IF(OR(B256="15",B256="17",B256="24",B256="25"),"15172425",B256))),IF(U256="CEBAS","UNICO",IF(VALUE(B256)&lt;=11,"AMBA","INTERIOR"))))</f>
        <v/>
      </c>
      <c r="W256" s="38" t="str">
        <f>+IF(U256="","-",CONCATENATE(U256,"_",V256))</f>
        <v>-</v>
      </c>
      <c r="X256" s="42">
        <v>0.33600000000000002</v>
      </c>
    </row>
    <row r="257" spans="1:24" ht="15" thickBot="1">
      <c r="A257" s="5" t="s">
        <v>2916</v>
      </c>
      <c r="B257" s="5" t="s">
        <v>1257</v>
      </c>
      <c r="C257" s="5" t="s">
        <v>1255</v>
      </c>
      <c r="D257" s="5" t="s">
        <v>1256</v>
      </c>
      <c r="E257" s="5">
        <v>602537</v>
      </c>
      <c r="F257" s="5">
        <v>1</v>
      </c>
      <c r="G257" s="5" t="s">
        <v>1280</v>
      </c>
      <c r="H257" s="5" t="s">
        <v>20</v>
      </c>
      <c r="I257" s="6" t="s">
        <v>50</v>
      </c>
      <c r="J257" s="6" t="s">
        <v>51</v>
      </c>
      <c r="K257" s="6" t="s">
        <v>1259</v>
      </c>
      <c r="L257" s="6" t="s">
        <v>1281</v>
      </c>
      <c r="M257" s="6" t="s">
        <v>22</v>
      </c>
      <c r="N257" s="6" t="s">
        <v>23</v>
      </c>
      <c r="O257" s="6" t="s">
        <v>27</v>
      </c>
      <c r="P257" s="6" t="s">
        <v>28</v>
      </c>
      <c r="Q257" s="22">
        <v>48</v>
      </c>
      <c r="R257" s="23">
        <v>3</v>
      </c>
      <c r="S257" s="39">
        <v>0</v>
      </c>
      <c r="T257" s="7" t="s">
        <v>2910</v>
      </c>
      <c r="U257" s="7"/>
      <c r="V257" s="7" t="str">
        <f>+IF(U257="","",IF(U257="FINES",CONCATENATE("R",IF(OR(B257="16",B257="21",B257="22",B257="23"),"16212223",IF(OR(B257="15",B257="17",B257="24",B257="25"),"15172425",B257))),IF(U257="CEBAS","UNICO",IF(VALUE(B257)&lt;=11,"AMBA","INTERIOR"))))</f>
        <v/>
      </c>
      <c r="W257" s="38" t="str">
        <f>+IF(U257="","-",CONCATENATE(U257,"_",V257))</f>
        <v>-</v>
      </c>
      <c r="X257" s="42">
        <v>0.33800000000000002</v>
      </c>
    </row>
    <row r="258" spans="1:24" ht="15" thickBot="1">
      <c r="A258" s="5" t="s">
        <v>2916</v>
      </c>
      <c r="B258" s="5" t="s">
        <v>225</v>
      </c>
      <c r="C258" s="5" t="s">
        <v>942</v>
      </c>
      <c r="D258" s="5" t="s">
        <v>943</v>
      </c>
      <c r="E258" s="5">
        <v>611694</v>
      </c>
      <c r="F258" s="5">
        <v>2</v>
      </c>
      <c r="G258" s="5" t="s">
        <v>956</v>
      </c>
      <c r="H258" s="5" t="s">
        <v>20</v>
      </c>
      <c r="I258" s="6" t="s">
        <v>50</v>
      </c>
      <c r="J258" s="6" t="s">
        <v>51</v>
      </c>
      <c r="K258" s="6" t="s">
        <v>951</v>
      </c>
      <c r="L258" s="6" t="s">
        <v>957</v>
      </c>
      <c r="M258" s="6" t="s">
        <v>22</v>
      </c>
      <c r="N258" s="6" t="s">
        <v>23</v>
      </c>
      <c r="O258" s="6" t="s">
        <v>27</v>
      </c>
      <c r="P258" s="6" t="s">
        <v>28</v>
      </c>
      <c r="Q258" s="22">
        <v>35</v>
      </c>
      <c r="R258" s="23">
        <v>2</v>
      </c>
      <c r="S258" s="39">
        <v>0</v>
      </c>
      <c r="T258" s="7" t="s">
        <v>2910</v>
      </c>
      <c r="U258" s="7"/>
      <c r="V258" s="7" t="str">
        <f>+IF(U258="","",IF(U258="FINES",CONCATENATE("R",IF(OR(B258="16",B258="21",B258="22",B258="23"),"16212223",IF(OR(B258="15",B258="17",B258="24",B258="25"),"15172425",B258))),IF(U258="CEBAS","UNICO",IF(VALUE(B258)&lt;=11,"AMBA","INTERIOR"))))</f>
        <v/>
      </c>
      <c r="W258" s="38" t="str">
        <f>+IF(U258="","-",CONCATENATE(U258,"_",V258))</f>
        <v>-</v>
      </c>
      <c r="X258" s="42">
        <v>0.34100000000000003</v>
      </c>
    </row>
    <row r="259" spans="1:24" ht="15" thickBot="1">
      <c r="A259" s="3" t="s">
        <v>2916</v>
      </c>
      <c r="B259" s="3" t="s">
        <v>206</v>
      </c>
      <c r="C259" s="3" t="s">
        <v>2160</v>
      </c>
      <c r="D259" s="3" t="s">
        <v>2161</v>
      </c>
      <c r="E259" s="3">
        <v>608465</v>
      </c>
      <c r="F259" s="3">
        <v>0</v>
      </c>
      <c r="G259" s="3" t="s">
        <v>2163</v>
      </c>
      <c r="H259" s="3" t="s">
        <v>20</v>
      </c>
      <c r="I259" s="4" t="s">
        <v>50</v>
      </c>
      <c r="J259" s="4" t="s">
        <v>21</v>
      </c>
      <c r="K259" s="4"/>
      <c r="L259" s="4" t="s">
        <v>235</v>
      </c>
      <c r="M259" s="4" t="s">
        <v>22</v>
      </c>
      <c r="N259" s="4" t="s">
        <v>23</v>
      </c>
      <c r="O259" s="4" t="s">
        <v>27</v>
      </c>
      <c r="P259" s="4" t="s">
        <v>28</v>
      </c>
      <c r="Q259" s="24">
        <v>42</v>
      </c>
      <c r="R259" s="25">
        <v>2</v>
      </c>
      <c r="S259" s="39">
        <v>0</v>
      </c>
      <c r="T259" s="7" t="s">
        <v>2910</v>
      </c>
      <c r="U259" s="7"/>
      <c r="V259" s="7" t="str">
        <f>+IF(U259="","",IF(U259="FINES",CONCATENATE("R",IF(OR(B259="16",B259="21",B259="22",B259="23"),"16212223",IF(OR(B259="15",B259="17",B259="24",B259="25"),"15172425",B259))),IF(U259="CEBAS","UNICO",IF(VALUE(B259)&lt;=11,"AMBA","INTERIOR"))))</f>
        <v/>
      </c>
      <c r="W259" s="38" t="str">
        <f>+IF(U259="","-",CONCATENATE(U259,"_",V259))</f>
        <v>-</v>
      </c>
      <c r="X259" s="42">
        <v>0.34100000000000003</v>
      </c>
    </row>
    <row r="260" spans="1:24" ht="15" thickBot="1">
      <c r="A260" s="3" t="s">
        <v>2916</v>
      </c>
      <c r="B260" s="3" t="s">
        <v>205</v>
      </c>
      <c r="C260" s="3" t="s">
        <v>2002</v>
      </c>
      <c r="D260" s="3" t="s">
        <v>2003</v>
      </c>
      <c r="E260" s="3">
        <v>607083</v>
      </c>
      <c r="F260" s="3">
        <v>1</v>
      </c>
      <c r="G260" s="3" t="s">
        <v>2006</v>
      </c>
      <c r="H260" s="3" t="s">
        <v>20</v>
      </c>
      <c r="I260" s="4" t="s">
        <v>50</v>
      </c>
      <c r="J260" s="4" t="s">
        <v>51</v>
      </c>
      <c r="K260" s="4" t="s">
        <v>2007</v>
      </c>
      <c r="L260" s="4" t="s">
        <v>526</v>
      </c>
      <c r="M260" s="4" t="s">
        <v>22</v>
      </c>
      <c r="N260" s="4" t="s">
        <v>23</v>
      </c>
      <c r="O260" s="4" t="s">
        <v>27</v>
      </c>
      <c r="P260" s="4" t="s">
        <v>28</v>
      </c>
      <c r="Q260" s="24">
        <v>22</v>
      </c>
      <c r="R260" s="25">
        <v>2</v>
      </c>
      <c r="S260" s="39">
        <v>0</v>
      </c>
      <c r="T260" s="7" t="s">
        <v>2910</v>
      </c>
      <c r="V260" s="7" t="str">
        <f>+IF(U260="","",IF(U260="FINES",CONCATENATE("R",IF(OR(B260="16",B260="21",B260="22",B260="23"),"16212223",IF(OR(B260="15",B260="17",B260="24",B260="25"),"15172425",B260))),IF(U260="CEBAS","UNICO",IF(VALUE(B260)&lt;=11,"AMBA","INTERIOR"))))</f>
        <v/>
      </c>
      <c r="W260" s="38" t="str">
        <f>+IF(U260="","-",CONCATENATE(U260,"_",V260))</f>
        <v>-</v>
      </c>
      <c r="X260" s="42">
        <v>0.34100000000000003</v>
      </c>
    </row>
    <row r="261" spans="1:24" ht="15" thickBot="1">
      <c r="A261" s="3" t="s">
        <v>2916</v>
      </c>
      <c r="B261" s="3" t="s">
        <v>356</v>
      </c>
      <c r="C261" s="3" t="s">
        <v>1359</v>
      </c>
      <c r="D261" s="3" t="s">
        <v>1360</v>
      </c>
      <c r="E261" s="3">
        <v>601945</v>
      </c>
      <c r="F261" s="3">
        <v>2</v>
      </c>
      <c r="G261" s="3" t="s">
        <v>1387</v>
      </c>
      <c r="H261" s="3" t="s">
        <v>20</v>
      </c>
      <c r="I261" s="4" t="s">
        <v>50</v>
      </c>
      <c r="J261" s="4" t="s">
        <v>51</v>
      </c>
      <c r="K261" s="4" t="s">
        <v>1388</v>
      </c>
      <c r="L261" s="4" t="s">
        <v>1389</v>
      </c>
      <c r="M261" s="4" t="s">
        <v>22</v>
      </c>
      <c r="N261" s="4" t="s">
        <v>23</v>
      </c>
      <c r="O261" s="4" t="s">
        <v>27</v>
      </c>
      <c r="P261" s="4" t="s">
        <v>28</v>
      </c>
      <c r="Q261" s="24">
        <v>52</v>
      </c>
      <c r="R261" s="25">
        <v>3</v>
      </c>
      <c r="S261" s="39">
        <v>0</v>
      </c>
      <c r="T261" s="7" t="s">
        <v>2910</v>
      </c>
      <c r="V261" s="7" t="str">
        <f>+IF(U261="","",IF(U261="FINES",CONCATENATE("R",IF(OR(B261="16",B261="21",B261="22",B261="23"),"16212223",IF(OR(B261="15",B261="17",B261="24",B261="25"),"15172425",B261))),IF(U261="CEBAS","UNICO",IF(VALUE(B261)&lt;=11,"AMBA","INTERIOR"))))</f>
        <v/>
      </c>
      <c r="W261" s="38" t="str">
        <f>+IF(U261="","-",CONCATENATE(U261,"_",V261))</f>
        <v>-</v>
      </c>
      <c r="X261" s="42">
        <v>0.34200000000000003</v>
      </c>
    </row>
    <row r="262" spans="1:24" ht="15" thickBot="1">
      <c r="A262" s="5" t="s">
        <v>2916</v>
      </c>
      <c r="B262" s="5" t="s">
        <v>1780</v>
      </c>
      <c r="C262" s="5" t="s">
        <v>1248</v>
      </c>
      <c r="D262" s="5" t="s">
        <v>2348</v>
      </c>
      <c r="E262" s="5">
        <v>611190</v>
      </c>
      <c r="F262" s="5">
        <v>0</v>
      </c>
      <c r="G262" s="5" t="s">
        <v>2390</v>
      </c>
      <c r="H262" s="5" t="s">
        <v>210</v>
      </c>
      <c r="I262" s="6" t="s">
        <v>201</v>
      </c>
      <c r="J262" s="6" t="s">
        <v>21</v>
      </c>
      <c r="K262" s="6"/>
      <c r="L262" s="6" t="s">
        <v>2391</v>
      </c>
      <c r="M262" s="6" t="s">
        <v>22</v>
      </c>
      <c r="N262" s="6" t="s">
        <v>23</v>
      </c>
      <c r="O262" s="6" t="s">
        <v>27</v>
      </c>
      <c r="P262" s="6" t="s">
        <v>144</v>
      </c>
      <c r="Q262" s="22">
        <v>732</v>
      </c>
      <c r="R262" s="23">
        <v>7</v>
      </c>
      <c r="S262" s="39">
        <v>0</v>
      </c>
      <c r="T262" s="7" t="s">
        <v>2909</v>
      </c>
      <c r="V262" s="7" t="str">
        <f>+IF(U262="","",IF(U262="FINES",CONCATENATE("R",IF(OR(B262="16",B262="21",B262="22",B262="23"),"16212223",IF(OR(B262="15",B262="17",B262="24",B262="25"),"15172425",B262))),IF(U262="CEBAS","UNICO",IF(VALUE(B262)&lt;=11,"AMBA","INTERIOR"))))</f>
        <v/>
      </c>
      <c r="W262" s="38" t="str">
        <f>+IF(U262="","-",CONCATENATE(U262,"_",V262))</f>
        <v>-</v>
      </c>
      <c r="X262" s="42">
        <v>0.34200000000000003</v>
      </c>
    </row>
    <row r="263" spans="1:24" ht="15" thickBot="1">
      <c r="A263" s="3" t="s">
        <v>2916</v>
      </c>
      <c r="B263" s="3" t="s">
        <v>203</v>
      </c>
      <c r="C263" s="3" t="s">
        <v>450</v>
      </c>
      <c r="D263" s="3" t="s">
        <v>452</v>
      </c>
      <c r="E263" s="3">
        <v>611894</v>
      </c>
      <c r="F263" s="3">
        <v>3</v>
      </c>
      <c r="G263" s="3" t="s">
        <v>484</v>
      </c>
      <c r="H263" s="3" t="s">
        <v>20</v>
      </c>
      <c r="I263" s="4" t="s">
        <v>50</v>
      </c>
      <c r="J263" s="4" t="s">
        <v>51</v>
      </c>
      <c r="K263" s="4" t="s">
        <v>470</v>
      </c>
      <c r="L263" s="4" t="s">
        <v>485</v>
      </c>
      <c r="M263" s="4" t="s">
        <v>22</v>
      </c>
      <c r="N263" s="4" t="s">
        <v>23</v>
      </c>
      <c r="O263" s="4" t="s">
        <v>27</v>
      </c>
      <c r="P263" s="4" t="s">
        <v>28</v>
      </c>
      <c r="Q263" s="24">
        <v>29</v>
      </c>
      <c r="R263" s="25">
        <v>2</v>
      </c>
      <c r="S263" s="39">
        <v>0</v>
      </c>
      <c r="T263" s="7" t="s">
        <v>2910</v>
      </c>
      <c r="V263" s="7" t="str">
        <f>+IF(U263="","",IF(U263="FINES",CONCATENATE("R",IF(OR(B263="16",B263="21",B263="22",B263="23"),"16212223",IF(OR(B263="15",B263="17",B263="24",B263="25"),"15172425",B263))),IF(U263="CEBAS","UNICO",IF(VALUE(B263)&lt;=11,"AMBA","INTERIOR"))))</f>
        <v/>
      </c>
      <c r="W263" s="38" t="str">
        <f>+IF(U263="","-",CONCATENATE(U263,"_",V263))</f>
        <v>-</v>
      </c>
      <c r="X263" s="42">
        <v>0.34200000000000003</v>
      </c>
    </row>
    <row r="264" spans="1:24" ht="15" thickBot="1">
      <c r="A264" s="5" t="s">
        <v>2916</v>
      </c>
      <c r="B264" s="5" t="s">
        <v>222</v>
      </c>
      <c r="C264" s="5" t="s">
        <v>1154</v>
      </c>
      <c r="D264" s="5" t="s">
        <v>1155</v>
      </c>
      <c r="E264" s="5">
        <v>600164</v>
      </c>
      <c r="F264" s="5">
        <v>2</v>
      </c>
      <c r="G264" s="5" t="s">
        <v>1161</v>
      </c>
      <c r="H264" s="5" t="s">
        <v>20</v>
      </c>
      <c r="I264" s="6" t="s">
        <v>50</v>
      </c>
      <c r="J264" s="6" t="s">
        <v>51</v>
      </c>
      <c r="K264" s="6" t="s">
        <v>1157</v>
      </c>
      <c r="L264" s="6" t="s">
        <v>621</v>
      </c>
      <c r="M264" s="6" t="s">
        <v>22</v>
      </c>
      <c r="N264" s="6" t="s">
        <v>23</v>
      </c>
      <c r="O264" s="6" t="s">
        <v>27</v>
      </c>
      <c r="P264" s="6" t="s">
        <v>28</v>
      </c>
      <c r="Q264" s="22">
        <v>42</v>
      </c>
      <c r="R264" s="23">
        <v>3</v>
      </c>
      <c r="S264" s="39">
        <v>0</v>
      </c>
      <c r="T264" s="7" t="s">
        <v>2910</v>
      </c>
      <c r="V264" s="7" t="str">
        <f>+IF(U264="","",IF(U264="FINES",CONCATENATE("R",IF(OR(B264="16",B264="21",B264="22",B264="23"),"16212223",IF(OR(B264="15",B264="17",B264="24",B264="25"),"15172425",B264))),IF(U264="CEBAS","UNICO",IF(VALUE(B264)&lt;=11,"AMBA","INTERIOR"))))</f>
        <v/>
      </c>
      <c r="W264" s="38" t="str">
        <f>+IF(U264="","-",CONCATENATE(U264,"_",V264))</f>
        <v>-</v>
      </c>
      <c r="X264" s="42">
        <v>0.34300000000000003</v>
      </c>
    </row>
    <row r="265" spans="1:24" ht="15" thickBot="1">
      <c r="A265" s="3" t="s">
        <v>2916</v>
      </c>
      <c r="B265" s="3" t="s">
        <v>205</v>
      </c>
      <c r="C265" s="3" t="s">
        <v>2002</v>
      </c>
      <c r="D265" s="3" t="s">
        <v>2003</v>
      </c>
      <c r="E265" s="3">
        <v>607083</v>
      </c>
      <c r="F265" s="3">
        <v>3</v>
      </c>
      <c r="G265" s="3" t="s">
        <v>2009</v>
      </c>
      <c r="H265" s="3" t="s">
        <v>20</v>
      </c>
      <c r="I265" s="4" t="s">
        <v>50</v>
      </c>
      <c r="J265" s="4" t="s">
        <v>51</v>
      </c>
      <c r="K265" s="4" t="s">
        <v>2007</v>
      </c>
      <c r="L265" s="4" t="s">
        <v>530</v>
      </c>
      <c r="M265" s="4" t="s">
        <v>22</v>
      </c>
      <c r="N265" s="4" t="s">
        <v>23</v>
      </c>
      <c r="O265" s="4" t="s">
        <v>27</v>
      </c>
      <c r="P265" s="4" t="s">
        <v>28</v>
      </c>
      <c r="Q265" s="24">
        <v>39</v>
      </c>
      <c r="R265" s="25">
        <v>2</v>
      </c>
      <c r="S265" s="39">
        <v>0</v>
      </c>
      <c r="T265" s="7" t="s">
        <v>2910</v>
      </c>
      <c r="V265" s="7" t="str">
        <f>+IF(U265="","",IF(U265="FINES",CONCATENATE("R",IF(OR(B265="16",B265="21",B265="22",B265="23"),"16212223",IF(OR(B265="15",B265="17",B265="24",B265="25"),"15172425",B265))),IF(U265="CEBAS","UNICO",IF(VALUE(B265)&lt;=11,"AMBA","INTERIOR"))))</f>
        <v/>
      </c>
      <c r="W265" s="38" t="str">
        <f>+IF(U265="","-",CONCATENATE(U265,"_",V265))</f>
        <v>-</v>
      </c>
      <c r="X265" s="42">
        <v>0.34300000000000003</v>
      </c>
    </row>
    <row r="266" spans="1:24" ht="15" thickBot="1">
      <c r="A266" s="5" t="s">
        <v>2916</v>
      </c>
      <c r="B266" s="5" t="s">
        <v>19</v>
      </c>
      <c r="C266" s="5" t="s">
        <v>17</v>
      </c>
      <c r="D266" s="5" t="s">
        <v>18</v>
      </c>
      <c r="E266" s="5">
        <v>615902</v>
      </c>
      <c r="F266" s="5">
        <v>0</v>
      </c>
      <c r="G266" s="5" t="s">
        <v>24</v>
      </c>
      <c r="H266" s="5" t="s">
        <v>20</v>
      </c>
      <c r="I266" s="6" t="s">
        <v>25</v>
      </c>
      <c r="J266" s="6" t="s">
        <v>21</v>
      </c>
      <c r="K266" s="6"/>
      <c r="L266" s="6" t="s">
        <v>26</v>
      </c>
      <c r="M266" s="6" t="s">
        <v>22</v>
      </c>
      <c r="N266" s="6" t="s">
        <v>23</v>
      </c>
      <c r="O266" s="6" t="s">
        <v>27</v>
      </c>
      <c r="P266" s="6" t="s">
        <v>28</v>
      </c>
      <c r="Q266" s="22">
        <v>16</v>
      </c>
      <c r="R266" s="23">
        <v>2</v>
      </c>
      <c r="S266" s="39">
        <v>0</v>
      </c>
      <c r="T266" s="7" t="s">
        <v>2910</v>
      </c>
      <c r="U266" s="7"/>
      <c r="V266" s="7" t="str">
        <f>+IF(U266="","",IF(U266="FINES",CONCATENATE("R",IF(OR(B266="16",B266="21",B266="22",B266="23"),"16212223",IF(OR(B266="15",B266="17",B266="24",B266="25"),"15172425",B266))),IF(U266="CEBAS","UNICO",IF(VALUE(B266)&lt;=11,"AMBA","INTERIOR"))))</f>
        <v/>
      </c>
      <c r="W266" s="38" t="str">
        <f>+IF(U266="","-",CONCATENATE(U266,"_",V266))</f>
        <v>-</v>
      </c>
      <c r="X266" s="42">
        <v>0.34300000000000003</v>
      </c>
    </row>
    <row r="267" spans="1:24" ht="15" thickBot="1">
      <c r="A267" s="5" t="s">
        <v>2916</v>
      </c>
      <c r="B267" s="5" t="s">
        <v>220</v>
      </c>
      <c r="C267" s="5" t="s">
        <v>664</v>
      </c>
      <c r="D267" s="5" t="s">
        <v>2749</v>
      </c>
      <c r="E267" s="5">
        <v>613152</v>
      </c>
      <c r="F267" s="5">
        <v>0</v>
      </c>
      <c r="G267" s="5" t="s">
        <v>2750</v>
      </c>
      <c r="H267" s="5" t="s">
        <v>20</v>
      </c>
      <c r="I267" s="6" t="s">
        <v>50</v>
      </c>
      <c r="J267" s="6" t="s">
        <v>21</v>
      </c>
      <c r="K267" s="6"/>
      <c r="L267" s="6" t="s">
        <v>2751</v>
      </c>
      <c r="M267" s="6" t="s">
        <v>22</v>
      </c>
      <c r="N267" s="6" t="s">
        <v>23</v>
      </c>
      <c r="O267" s="6" t="s">
        <v>27</v>
      </c>
      <c r="P267" s="6" t="s">
        <v>28</v>
      </c>
      <c r="Q267" s="22">
        <v>10</v>
      </c>
      <c r="R267" s="23">
        <v>1</v>
      </c>
      <c r="S267" s="39">
        <v>0</v>
      </c>
      <c r="T267" s="7" t="s">
        <v>2910</v>
      </c>
      <c r="U267" s="7"/>
      <c r="V267" s="7" t="str">
        <f>+IF(U267="","",IF(U267="FINES",CONCATENATE("R",IF(OR(B267="16",B267="21",B267="22",B267="23"),"16212223",IF(OR(B267="15",B267="17",B267="24",B267="25"),"15172425",B267))),IF(U267="CEBAS","UNICO",IF(VALUE(B267)&lt;=11,"AMBA","INTERIOR"))))</f>
        <v/>
      </c>
      <c r="W267" s="38" t="str">
        <f>+IF(U267="","-",CONCATENATE(U267,"_",V267))</f>
        <v>-</v>
      </c>
      <c r="X267" s="42">
        <v>0.34899999999999998</v>
      </c>
    </row>
    <row r="268" spans="1:24" ht="15" thickBot="1">
      <c r="A268" s="3" t="s">
        <v>2916</v>
      </c>
      <c r="B268" s="3" t="s">
        <v>1257</v>
      </c>
      <c r="C268" s="3" t="s">
        <v>1255</v>
      </c>
      <c r="D268" s="3" t="s">
        <v>1256</v>
      </c>
      <c r="E268" s="3">
        <v>613142</v>
      </c>
      <c r="F268" s="3">
        <v>2</v>
      </c>
      <c r="G268" s="3" t="s">
        <v>1278</v>
      </c>
      <c r="H268" s="3" t="s">
        <v>20</v>
      </c>
      <c r="I268" s="4" t="s">
        <v>50</v>
      </c>
      <c r="J268" s="4" t="s">
        <v>51</v>
      </c>
      <c r="K268" s="4" t="s">
        <v>1275</v>
      </c>
      <c r="L268" s="4" t="s">
        <v>1279</v>
      </c>
      <c r="M268" s="4" t="s">
        <v>22</v>
      </c>
      <c r="N268" s="4" t="s">
        <v>23</v>
      </c>
      <c r="O268" s="4" t="s">
        <v>27</v>
      </c>
      <c r="P268" s="4" t="s">
        <v>28</v>
      </c>
      <c r="Q268" s="24">
        <v>48</v>
      </c>
      <c r="R268" s="25">
        <v>3</v>
      </c>
      <c r="S268" s="39">
        <v>0</v>
      </c>
      <c r="T268" s="7" t="s">
        <v>2910</v>
      </c>
      <c r="U268" s="7"/>
      <c r="V268" s="7" t="str">
        <f>+IF(U268="","",IF(U268="FINES",CONCATENATE("R",IF(OR(B268="16",B268="21",B268="22",B268="23"),"16212223",IF(OR(B268="15",B268="17",B268="24",B268="25"),"15172425",B268))),IF(U268="CEBAS","UNICO",IF(VALUE(B268)&lt;=11,"AMBA","INTERIOR"))))</f>
        <v/>
      </c>
      <c r="W268" s="38" t="str">
        <f>+IF(U268="","-",CONCATENATE(U268,"_",V268))</f>
        <v>-</v>
      </c>
      <c r="X268" s="42">
        <v>0.35199999999999998</v>
      </c>
    </row>
    <row r="269" spans="1:24" ht="15" thickBot="1">
      <c r="A269" s="3" t="s">
        <v>2916</v>
      </c>
      <c r="B269" s="3" t="s">
        <v>817</v>
      </c>
      <c r="C269" s="3" t="s">
        <v>2080</v>
      </c>
      <c r="D269" s="3" t="s">
        <v>2081</v>
      </c>
      <c r="E269" s="3">
        <v>613058</v>
      </c>
      <c r="F269" s="3">
        <v>2</v>
      </c>
      <c r="G269" s="3" t="s">
        <v>2113</v>
      </c>
      <c r="H269" s="3" t="s">
        <v>20</v>
      </c>
      <c r="I269" s="4" t="s">
        <v>50</v>
      </c>
      <c r="J269" s="4" t="s">
        <v>51</v>
      </c>
      <c r="K269" s="4" t="s">
        <v>2109</v>
      </c>
      <c r="L269" s="4" t="s">
        <v>73</v>
      </c>
      <c r="M269" s="4" t="s">
        <v>22</v>
      </c>
      <c r="N269" s="4" t="s">
        <v>23</v>
      </c>
      <c r="O269" s="4" t="s">
        <v>27</v>
      </c>
      <c r="P269" s="4" t="s">
        <v>28</v>
      </c>
      <c r="Q269" s="24">
        <v>45</v>
      </c>
      <c r="R269" s="25">
        <v>3</v>
      </c>
      <c r="S269" s="39">
        <v>0</v>
      </c>
      <c r="T269" s="7" t="s">
        <v>2910</v>
      </c>
      <c r="U269" s="7"/>
      <c r="V269" s="7" t="str">
        <f>+IF(U269="","",IF(U269="FINES",CONCATENATE("R",IF(OR(B269="16",B269="21",B269="22",B269="23"),"16212223",IF(OR(B269="15",B269="17",B269="24",B269="25"),"15172425",B269))),IF(U269="CEBAS","UNICO",IF(VALUE(B269)&lt;=11,"AMBA","INTERIOR"))))</f>
        <v/>
      </c>
      <c r="W269" s="38" t="str">
        <f>+IF(U269="","-",CONCATENATE(U269,"_",V269))</f>
        <v>-</v>
      </c>
      <c r="X269" s="42">
        <v>0.35299999999999998</v>
      </c>
    </row>
    <row r="270" spans="1:24" ht="15" thickBot="1">
      <c r="A270" s="3" t="s">
        <v>2916</v>
      </c>
      <c r="B270" s="3" t="s">
        <v>225</v>
      </c>
      <c r="C270" s="3" t="s">
        <v>942</v>
      </c>
      <c r="D270" s="3" t="s">
        <v>943</v>
      </c>
      <c r="E270" s="3">
        <v>614840</v>
      </c>
      <c r="F270" s="3">
        <v>0</v>
      </c>
      <c r="G270" s="3" t="s">
        <v>1062</v>
      </c>
      <c r="H270" s="3" t="s">
        <v>208</v>
      </c>
      <c r="I270" s="4" t="s">
        <v>142</v>
      </c>
      <c r="J270" s="4" t="s">
        <v>21</v>
      </c>
      <c r="K270" s="4"/>
      <c r="L270" s="4" t="s">
        <v>1063</v>
      </c>
      <c r="M270" s="4" t="s">
        <v>22</v>
      </c>
      <c r="N270" s="4" t="s">
        <v>23</v>
      </c>
      <c r="O270" s="4" t="s">
        <v>27</v>
      </c>
      <c r="P270" s="4" t="s">
        <v>144</v>
      </c>
      <c r="Q270" s="24">
        <v>28</v>
      </c>
      <c r="R270" s="25">
        <v>2</v>
      </c>
      <c r="S270" s="39">
        <v>0</v>
      </c>
      <c r="T270" s="7" t="s">
        <v>2909</v>
      </c>
      <c r="U270" s="7"/>
      <c r="V270" s="7" t="str">
        <f>+IF(U270="","",IF(U270="FINES",CONCATENATE("R",IF(OR(B270="16",B270="21",B270="22",B270="23"),"16212223",IF(OR(B270="15",B270="17",B270="24",B270="25"),"15172425",B270))),IF(U270="CEBAS","UNICO",IF(VALUE(B270)&lt;=11,"AMBA","INTERIOR"))))</f>
        <v/>
      </c>
      <c r="W270" s="38" t="str">
        <f>+IF(U270="","-",CONCATENATE(U270,"_",V270))</f>
        <v>-</v>
      </c>
      <c r="X270" s="42">
        <v>0.35399999999999998</v>
      </c>
    </row>
    <row r="271" spans="1:24" ht="15" thickBot="1">
      <c r="A271" s="3" t="s">
        <v>2916</v>
      </c>
      <c r="B271" s="3" t="s">
        <v>817</v>
      </c>
      <c r="C271" s="3" t="s">
        <v>600</v>
      </c>
      <c r="D271" s="3" t="s">
        <v>2661</v>
      </c>
      <c r="E271" s="3">
        <v>610597</v>
      </c>
      <c r="F271" s="3">
        <v>1</v>
      </c>
      <c r="G271" s="3" t="s">
        <v>2662</v>
      </c>
      <c r="H271" s="3" t="s">
        <v>20</v>
      </c>
      <c r="I271" s="4" t="s">
        <v>50</v>
      </c>
      <c r="J271" s="4" t="s">
        <v>51</v>
      </c>
      <c r="K271" s="4" t="s">
        <v>2663</v>
      </c>
      <c r="L271" s="4" t="s">
        <v>2664</v>
      </c>
      <c r="M271" s="4" t="s">
        <v>22</v>
      </c>
      <c r="N271" s="4" t="s">
        <v>23</v>
      </c>
      <c r="O271" s="4" t="s">
        <v>27</v>
      </c>
      <c r="P271" s="4" t="s">
        <v>28</v>
      </c>
      <c r="Q271" s="24">
        <v>15</v>
      </c>
      <c r="R271" s="25">
        <v>1</v>
      </c>
      <c r="S271" s="39">
        <v>0</v>
      </c>
      <c r="T271" s="7" t="s">
        <v>2910</v>
      </c>
      <c r="U271" s="7"/>
      <c r="V271" s="7" t="str">
        <f>+IF(U271="","",IF(U271="FINES",CONCATENATE("R",IF(OR(B271="16",B271="21",B271="22",B271="23"),"16212223",IF(OR(B271="15",B271="17",B271="24",B271="25"),"15172425",B271))),IF(U271="CEBAS","UNICO",IF(VALUE(B271)&lt;=11,"AMBA","INTERIOR"))))</f>
        <v/>
      </c>
      <c r="W271" s="38" t="str">
        <f>+IF(U271="","-",CONCATENATE(U271,"_",V271))</f>
        <v>-</v>
      </c>
      <c r="X271" s="42">
        <v>0.35399999999999998</v>
      </c>
    </row>
    <row r="272" spans="1:24" ht="15" thickBot="1">
      <c r="A272" s="5" t="s">
        <v>2916</v>
      </c>
      <c r="B272" s="5" t="s">
        <v>140</v>
      </c>
      <c r="C272" s="5" t="s">
        <v>2277</v>
      </c>
      <c r="D272" s="5" t="s">
        <v>2278</v>
      </c>
      <c r="E272" s="5">
        <v>604560</v>
      </c>
      <c r="F272" s="5">
        <v>3</v>
      </c>
      <c r="G272" s="5" t="s">
        <v>2299</v>
      </c>
      <c r="H272" s="5" t="s">
        <v>20</v>
      </c>
      <c r="I272" s="6" t="s">
        <v>50</v>
      </c>
      <c r="J272" s="6" t="s">
        <v>51</v>
      </c>
      <c r="K272" s="6" t="s">
        <v>2282</v>
      </c>
      <c r="L272" s="6" t="s">
        <v>2300</v>
      </c>
      <c r="M272" s="6" t="s">
        <v>22</v>
      </c>
      <c r="N272" s="6" t="s">
        <v>23</v>
      </c>
      <c r="O272" s="6" t="s">
        <v>27</v>
      </c>
      <c r="P272" s="6" t="s">
        <v>28</v>
      </c>
      <c r="Q272" s="22">
        <v>15</v>
      </c>
      <c r="R272" s="23">
        <v>1</v>
      </c>
      <c r="S272" s="39">
        <v>0</v>
      </c>
      <c r="T272" s="7" t="s">
        <v>2910</v>
      </c>
      <c r="U272" s="7"/>
      <c r="V272" s="7" t="str">
        <f>+IF(U272="","",IF(U272="FINES",CONCATENATE("R",IF(OR(B272="16",B272="21",B272="22",B272="23"),"16212223",IF(OR(B272="15",B272="17",B272="24",B272="25"),"15172425",B272))),IF(U272="CEBAS","UNICO",IF(VALUE(B272)&lt;=11,"AMBA","INTERIOR"))))</f>
        <v/>
      </c>
      <c r="W272" s="38" t="str">
        <f>+IF(U272="","-",CONCATENATE(U272,"_",V272))</f>
        <v>-</v>
      </c>
      <c r="X272" s="42">
        <v>0.35499999999999998</v>
      </c>
    </row>
    <row r="273" spans="1:24" ht="15" thickBot="1">
      <c r="A273" s="3" t="s">
        <v>2916</v>
      </c>
      <c r="B273" s="3" t="s">
        <v>356</v>
      </c>
      <c r="C273" s="3" t="s">
        <v>805</v>
      </c>
      <c r="D273" s="3" t="s">
        <v>2500</v>
      </c>
      <c r="E273" s="3">
        <v>608243</v>
      </c>
      <c r="F273" s="3">
        <v>2</v>
      </c>
      <c r="G273" s="3" t="s">
        <v>2531</v>
      </c>
      <c r="H273" s="3" t="s">
        <v>20</v>
      </c>
      <c r="I273" s="4" t="s">
        <v>50</v>
      </c>
      <c r="J273" s="4" t="s">
        <v>51</v>
      </c>
      <c r="K273" s="4" t="s">
        <v>2510</v>
      </c>
      <c r="L273" s="4" t="s">
        <v>2532</v>
      </c>
      <c r="M273" s="4" t="s">
        <v>22</v>
      </c>
      <c r="N273" s="4" t="s">
        <v>23</v>
      </c>
      <c r="O273" s="4" t="s">
        <v>27</v>
      </c>
      <c r="P273" s="4" t="s">
        <v>28</v>
      </c>
      <c r="Q273" s="24">
        <v>31</v>
      </c>
      <c r="R273" s="25">
        <v>2</v>
      </c>
      <c r="S273" s="39">
        <v>0</v>
      </c>
      <c r="T273" s="7" t="s">
        <v>2910</v>
      </c>
      <c r="U273" s="7"/>
      <c r="V273" s="7" t="str">
        <f>+IF(U273="","",IF(U273="FINES",CONCATENATE("R",IF(OR(B273="16",B273="21",B273="22",B273="23"),"16212223",IF(OR(B273="15",B273="17",B273="24",B273="25"),"15172425",B273))),IF(U273="CEBAS","UNICO",IF(VALUE(B273)&lt;=11,"AMBA","INTERIOR"))))</f>
        <v/>
      </c>
      <c r="W273" s="38" t="str">
        <f>+IF(U273="","-",CONCATENATE(U273,"_",V273))</f>
        <v>-</v>
      </c>
      <c r="X273" s="42">
        <v>0.35599999999999998</v>
      </c>
    </row>
    <row r="274" spans="1:24" ht="15" thickBot="1">
      <c r="A274" s="3" t="s">
        <v>2916</v>
      </c>
      <c r="B274" s="3" t="s">
        <v>356</v>
      </c>
      <c r="C274" s="3" t="s">
        <v>805</v>
      </c>
      <c r="D274" s="3" t="s">
        <v>2500</v>
      </c>
      <c r="E274" s="3">
        <v>605130</v>
      </c>
      <c r="F274" s="3">
        <v>3</v>
      </c>
      <c r="G274" s="3" t="s">
        <v>2528</v>
      </c>
      <c r="H274" s="3" t="s">
        <v>20</v>
      </c>
      <c r="I274" s="4" t="s">
        <v>50</v>
      </c>
      <c r="J274" s="4" t="s">
        <v>51</v>
      </c>
      <c r="K274" s="4" t="s">
        <v>2519</v>
      </c>
      <c r="L274" s="4" t="s">
        <v>842</v>
      </c>
      <c r="M274" s="4" t="s">
        <v>22</v>
      </c>
      <c r="N274" s="4" t="s">
        <v>23</v>
      </c>
      <c r="O274" s="4" t="s">
        <v>27</v>
      </c>
      <c r="P274" s="4" t="s">
        <v>28</v>
      </c>
      <c r="Q274" s="24">
        <v>14</v>
      </c>
      <c r="R274" s="25">
        <v>1</v>
      </c>
      <c r="S274" s="39">
        <v>0</v>
      </c>
      <c r="T274" s="7" t="s">
        <v>2910</v>
      </c>
      <c r="U274" s="7"/>
      <c r="V274" s="7" t="str">
        <f>+IF(U274="","",IF(U274="FINES",CONCATENATE("R",IF(OR(B274="16",B274="21",B274="22",B274="23"),"16212223",IF(OR(B274="15",B274="17",B274="24",B274="25"),"15172425",B274))),IF(U274="CEBAS","UNICO",IF(VALUE(B274)&lt;=11,"AMBA","INTERIOR"))))</f>
        <v/>
      </c>
      <c r="W274" s="38" t="str">
        <f>+IF(U274="","-",CONCATENATE(U274,"_",V274))</f>
        <v>-</v>
      </c>
      <c r="X274" s="42">
        <v>0.36099999999999999</v>
      </c>
    </row>
    <row r="275" spans="1:24" ht="15" thickBot="1">
      <c r="A275" s="5" t="s">
        <v>2916</v>
      </c>
      <c r="B275" s="5" t="s">
        <v>19</v>
      </c>
      <c r="C275" s="5" t="s">
        <v>17</v>
      </c>
      <c r="D275" s="5" t="s">
        <v>18</v>
      </c>
      <c r="E275" s="5">
        <v>616117</v>
      </c>
      <c r="F275" s="5">
        <v>0</v>
      </c>
      <c r="G275" s="5" t="s">
        <v>35</v>
      </c>
      <c r="H275" s="5" t="s">
        <v>20</v>
      </c>
      <c r="I275" s="6" t="s">
        <v>25</v>
      </c>
      <c r="J275" s="6" t="s">
        <v>21</v>
      </c>
      <c r="K275" s="6"/>
      <c r="L275" s="6" t="s">
        <v>36</v>
      </c>
      <c r="M275" s="6" t="s">
        <v>22</v>
      </c>
      <c r="N275" s="6" t="s">
        <v>23</v>
      </c>
      <c r="O275" s="6" t="s">
        <v>27</v>
      </c>
      <c r="P275" s="6" t="s">
        <v>28</v>
      </c>
      <c r="Q275" s="22">
        <v>13</v>
      </c>
      <c r="R275" s="23">
        <v>1</v>
      </c>
      <c r="S275" s="39">
        <v>0</v>
      </c>
      <c r="T275" s="7" t="s">
        <v>2910</v>
      </c>
      <c r="V275" s="7" t="str">
        <f>+IF(U275="","",IF(U275="FINES",CONCATENATE("R",IF(OR(B275="16",B275="21",B275="22",B275="23"),"16212223",IF(OR(B275="15",B275="17",B275="24",B275="25"),"15172425",B275))),IF(U275="CEBAS","UNICO",IF(VALUE(B275)&lt;=11,"AMBA","INTERIOR"))))</f>
        <v/>
      </c>
      <c r="W275" s="38" t="str">
        <f>+IF(U275="","-",CONCATENATE(U275,"_",V275))</f>
        <v>-</v>
      </c>
      <c r="X275" s="42">
        <v>0.36299999999999999</v>
      </c>
    </row>
    <row r="276" spans="1:24" ht="15" thickBot="1">
      <c r="A276" s="5" t="s">
        <v>2916</v>
      </c>
      <c r="B276" s="5" t="s">
        <v>204</v>
      </c>
      <c r="C276" s="5" t="s">
        <v>1084</v>
      </c>
      <c r="D276" s="5" t="s">
        <v>1085</v>
      </c>
      <c r="E276" s="5">
        <v>609980</v>
      </c>
      <c r="F276" s="5">
        <v>2</v>
      </c>
      <c r="G276" s="5" t="s">
        <v>1112</v>
      </c>
      <c r="H276" s="5" t="s">
        <v>20</v>
      </c>
      <c r="I276" s="6" t="s">
        <v>50</v>
      </c>
      <c r="J276" s="6" t="s">
        <v>51</v>
      </c>
      <c r="K276" s="6" t="s">
        <v>1095</v>
      </c>
      <c r="L276" s="6" t="s">
        <v>1113</v>
      </c>
      <c r="M276" s="6" t="s">
        <v>22</v>
      </c>
      <c r="N276" s="6" t="s">
        <v>23</v>
      </c>
      <c r="O276" s="6" t="s">
        <v>27</v>
      </c>
      <c r="P276" s="6" t="s">
        <v>28</v>
      </c>
      <c r="Q276" s="22">
        <v>14</v>
      </c>
      <c r="R276" s="23">
        <v>1</v>
      </c>
      <c r="S276" s="39">
        <v>0</v>
      </c>
      <c r="T276" s="7" t="s">
        <v>2910</v>
      </c>
      <c r="V276" s="7" t="str">
        <f>+IF(U276="","",IF(U276="FINES",CONCATENATE("R",IF(OR(B276="16",B276="21",B276="22",B276="23"),"16212223",IF(OR(B276="15",B276="17",B276="24",B276="25"),"15172425",B276))),IF(U276="CEBAS","UNICO",IF(VALUE(B276)&lt;=11,"AMBA","INTERIOR"))))</f>
        <v/>
      </c>
      <c r="W276" s="38" t="str">
        <f>+IF(U276="","-",CONCATENATE(U276,"_",V276))</f>
        <v>-</v>
      </c>
      <c r="X276" s="42">
        <v>0.36299999999999999</v>
      </c>
    </row>
    <row r="277" spans="1:24" ht="15" thickBot="1">
      <c r="A277" s="3" t="s">
        <v>2916</v>
      </c>
      <c r="B277" s="3" t="s">
        <v>352</v>
      </c>
      <c r="C277" s="3" t="s">
        <v>1338</v>
      </c>
      <c r="D277" s="3" t="s">
        <v>1339</v>
      </c>
      <c r="E277" s="3">
        <v>601741</v>
      </c>
      <c r="F277" s="3">
        <v>0</v>
      </c>
      <c r="G277" s="3" t="s">
        <v>1343</v>
      </c>
      <c r="H277" s="3" t="s">
        <v>20</v>
      </c>
      <c r="I277" s="4" t="s">
        <v>50</v>
      </c>
      <c r="J277" s="4" t="s">
        <v>21</v>
      </c>
      <c r="K277" s="4"/>
      <c r="L277" s="4" t="s">
        <v>1344</v>
      </c>
      <c r="M277" s="4" t="s">
        <v>22</v>
      </c>
      <c r="N277" s="4" t="s">
        <v>23</v>
      </c>
      <c r="O277" s="4" t="s">
        <v>27</v>
      </c>
      <c r="P277" s="4" t="s">
        <v>28</v>
      </c>
      <c r="Q277" s="24">
        <v>16</v>
      </c>
      <c r="R277" s="25">
        <v>1</v>
      </c>
      <c r="S277" s="39">
        <v>0</v>
      </c>
      <c r="T277" s="7" t="s">
        <v>2910</v>
      </c>
      <c r="V277" s="7" t="str">
        <f>+IF(U277="","",IF(U277="FINES",CONCATENATE("R",IF(OR(B277="16",B277="21",B277="22",B277="23"),"16212223",IF(OR(B277="15",B277="17",B277="24",B277="25"),"15172425",B277))),IF(U277="CEBAS","UNICO",IF(VALUE(B277)&lt;=11,"AMBA","INTERIOR"))))</f>
        <v/>
      </c>
      <c r="W277" s="38" t="str">
        <f>+IF(U277="","-",CONCATENATE(U277,"_",V277))</f>
        <v>-</v>
      </c>
      <c r="X277" s="42">
        <v>0.36399999999999999</v>
      </c>
    </row>
    <row r="278" spans="1:24" ht="15" thickBot="1">
      <c r="A278" s="5" t="s">
        <v>2916</v>
      </c>
      <c r="B278" s="5" t="s">
        <v>19</v>
      </c>
      <c r="C278" s="5" t="s">
        <v>17</v>
      </c>
      <c r="D278" s="5" t="s">
        <v>18</v>
      </c>
      <c r="E278" s="5">
        <v>614459</v>
      </c>
      <c r="F278" s="5">
        <v>0</v>
      </c>
      <c r="G278" s="5" t="s">
        <v>43</v>
      </c>
      <c r="H278" s="5" t="s">
        <v>20</v>
      </c>
      <c r="I278" s="6" t="s">
        <v>25</v>
      </c>
      <c r="J278" s="6" t="s">
        <v>21</v>
      </c>
      <c r="K278" s="6"/>
      <c r="L278" s="6" t="s">
        <v>44</v>
      </c>
      <c r="M278" s="6" t="s">
        <v>22</v>
      </c>
      <c r="N278" s="6" t="s">
        <v>23</v>
      </c>
      <c r="O278" s="6" t="s">
        <v>27</v>
      </c>
      <c r="P278" s="6" t="s">
        <v>28</v>
      </c>
      <c r="Q278" s="22">
        <v>40</v>
      </c>
      <c r="R278" s="23">
        <v>3</v>
      </c>
      <c r="S278" s="39">
        <v>0</v>
      </c>
      <c r="T278" s="7" t="s">
        <v>2910</v>
      </c>
      <c r="V278" s="7" t="str">
        <f>+IF(U278="","",IF(U278="FINES",CONCATENATE("R",IF(OR(B278="16",B278="21",B278="22",B278="23"),"16212223",IF(OR(B278="15",B278="17",B278="24",B278="25"),"15172425",B278))),IF(U278="CEBAS","UNICO",IF(VALUE(B278)&lt;=11,"AMBA","INTERIOR"))))</f>
        <v/>
      </c>
      <c r="W278" s="38" t="str">
        <f>+IF(U278="","-",CONCATENATE(U278,"_",V278))</f>
        <v>-</v>
      </c>
      <c r="X278" s="42">
        <v>0.36499999999999999</v>
      </c>
    </row>
    <row r="279" spans="1:24" ht="15" thickBot="1">
      <c r="A279" s="5" t="s">
        <v>2916</v>
      </c>
      <c r="B279" s="5" t="s">
        <v>19</v>
      </c>
      <c r="C279" s="5" t="s">
        <v>17</v>
      </c>
      <c r="D279" s="5" t="s">
        <v>18</v>
      </c>
      <c r="E279" s="5">
        <v>608902</v>
      </c>
      <c r="F279" s="5">
        <v>0</v>
      </c>
      <c r="G279" s="5" t="s">
        <v>89</v>
      </c>
      <c r="H279" s="5" t="s">
        <v>20</v>
      </c>
      <c r="I279" s="6" t="s">
        <v>50</v>
      </c>
      <c r="J279" s="6" t="s">
        <v>21</v>
      </c>
      <c r="K279" s="6"/>
      <c r="L279" s="6" t="s">
        <v>90</v>
      </c>
      <c r="M279" s="6" t="s">
        <v>22</v>
      </c>
      <c r="N279" s="6" t="s">
        <v>23</v>
      </c>
      <c r="O279" s="6" t="s">
        <v>27</v>
      </c>
      <c r="P279" s="6" t="s">
        <v>28</v>
      </c>
      <c r="Q279" s="22">
        <v>24</v>
      </c>
      <c r="R279" s="23">
        <v>1</v>
      </c>
      <c r="S279" s="39">
        <v>0</v>
      </c>
      <c r="T279" s="7" t="s">
        <v>2910</v>
      </c>
      <c r="U279" s="7"/>
      <c r="V279" s="7" t="str">
        <f>+IF(U279="","",IF(U279="FINES",CONCATENATE("R",IF(OR(B279="16",B279="21",B279="22",B279="23"),"16212223",IF(OR(B279="15",B279="17",B279="24",B279="25"),"15172425",B279))),IF(U279="CEBAS","UNICO",IF(VALUE(B279)&lt;=11,"AMBA","INTERIOR"))))</f>
        <v/>
      </c>
      <c r="W279" s="38" t="str">
        <f>+IF(U279="","-",CONCATENATE(U279,"_",V279))</f>
        <v>-</v>
      </c>
      <c r="X279" s="42">
        <v>0.36699999999999999</v>
      </c>
    </row>
    <row r="280" spans="1:24" ht="15" thickBot="1">
      <c r="A280" s="3" t="s">
        <v>2916</v>
      </c>
      <c r="B280" s="3" t="s">
        <v>140</v>
      </c>
      <c r="C280" s="3" t="s">
        <v>2277</v>
      </c>
      <c r="D280" s="3" t="s">
        <v>2278</v>
      </c>
      <c r="E280" s="3">
        <v>600849</v>
      </c>
      <c r="F280" s="3">
        <v>2</v>
      </c>
      <c r="G280" s="3" t="s">
        <v>2298</v>
      </c>
      <c r="H280" s="3" t="s">
        <v>20</v>
      </c>
      <c r="I280" s="4" t="s">
        <v>50</v>
      </c>
      <c r="J280" s="4" t="s">
        <v>51</v>
      </c>
      <c r="K280" s="4" t="s">
        <v>2292</v>
      </c>
      <c r="L280" s="4" t="s">
        <v>1888</v>
      </c>
      <c r="M280" s="4" t="s">
        <v>22</v>
      </c>
      <c r="N280" s="4" t="s">
        <v>23</v>
      </c>
      <c r="O280" s="4" t="s">
        <v>27</v>
      </c>
      <c r="P280" s="4" t="s">
        <v>28</v>
      </c>
      <c r="Q280" s="24">
        <v>12</v>
      </c>
      <c r="R280" s="25">
        <v>1</v>
      </c>
      <c r="S280" s="39">
        <v>0</v>
      </c>
      <c r="T280" s="7" t="s">
        <v>2910</v>
      </c>
      <c r="U280" s="7"/>
      <c r="V280" s="7" t="str">
        <f>+IF(U280="","",IF(U280="FINES",CONCATENATE("R",IF(OR(B280="16",B280="21",B280="22",B280="23"),"16212223",IF(OR(B280="15",B280="17",B280="24",B280="25"),"15172425",B280))),IF(U280="CEBAS","UNICO",IF(VALUE(B280)&lt;=11,"AMBA","INTERIOR"))))</f>
        <v/>
      </c>
      <c r="W280" s="38" t="str">
        <f>+IF(U280="","-",CONCATENATE(U280,"_",V280))</f>
        <v>-</v>
      </c>
      <c r="X280" s="42">
        <v>0.371</v>
      </c>
    </row>
    <row r="281" spans="1:24" ht="15" thickBot="1">
      <c r="A281" s="5" t="s">
        <v>2916</v>
      </c>
      <c r="B281" s="5" t="s">
        <v>203</v>
      </c>
      <c r="C281" s="5" t="s">
        <v>450</v>
      </c>
      <c r="D281" s="5" t="s">
        <v>452</v>
      </c>
      <c r="E281" s="5">
        <v>611894</v>
      </c>
      <c r="F281" s="5">
        <v>1</v>
      </c>
      <c r="G281" s="5" t="s">
        <v>469</v>
      </c>
      <c r="H281" s="5" t="s">
        <v>20</v>
      </c>
      <c r="I281" s="6" t="s">
        <v>50</v>
      </c>
      <c r="J281" s="6" t="s">
        <v>51</v>
      </c>
      <c r="K281" s="6" t="s">
        <v>470</v>
      </c>
      <c r="L281" s="6" t="s">
        <v>471</v>
      </c>
      <c r="M281" s="6" t="s">
        <v>22</v>
      </c>
      <c r="N281" s="6" t="s">
        <v>23</v>
      </c>
      <c r="O281" s="6" t="s">
        <v>27</v>
      </c>
      <c r="P281" s="6" t="s">
        <v>28</v>
      </c>
      <c r="Q281" s="22">
        <v>14</v>
      </c>
      <c r="R281" s="23">
        <v>1</v>
      </c>
      <c r="S281" s="39">
        <v>0</v>
      </c>
      <c r="T281" s="7" t="s">
        <v>2910</v>
      </c>
      <c r="V281" s="7" t="str">
        <f>+IF(U281="","",IF(U281="FINES",CONCATENATE("R",IF(OR(B281="16",B281="21",B281="22",B281="23"),"16212223",IF(OR(B281="15",B281="17",B281="24",B281="25"),"15172425",B281))),IF(U281="CEBAS","UNICO",IF(VALUE(B281)&lt;=11,"AMBA","INTERIOR"))))</f>
        <v/>
      </c>
      <c r="W281" s="38" t="str">
        <f>+IF(U281="","-",CONCATENATE(U281,"_",V281))</f>
        <v>-</v>
      </c>
      <c r="X281" s="42">
        <v>0.371</v>
      </c>
    </row>
    <row r="282" spans="1:24" ht="15" thickBot="1">
      <c r="A282" s="3" t="s">
        <v>2916</v>
      </c>
      <c r="B282" s="3" t="s">
        <v>138</v>
      </c>
      <c r="C282" s="3" t="s">
        <v>436</v>
      </c>
      <c r="D282" s="3" t="s">
        <v>1067</v>
      </c>
      <c r="E282" s="3">
        <v>623978</v>
      </c>
      <c r="F282" s="3">
        <v>3</v>
      </c>
      <c r="G282" s="3" t="s">
        <v>1079</v>
      </c>
      <c r="H282" s="3" t="s">
        <v>20</v>
      </c>
      <c r="I282" s="4" t="s">
        <v>50</v>
      </c>
      <c r="J282" s="4" t="s">
        <v>51</v>
      </c>
      <c r="K282" s="4" t="s">
        <v>1073</v>
      </c>
      <c r="L282" s="4" t="s">
        <v>1080</v>
      </c>
      <c r="M282" s="4" t="s">
        <v>22</v>
      </c>
      <c r="N282" s="4" t="s">
        <v>23</v>
      </c>
      <c r="O282" s="4" t="s">
        <v>27</v>
      </c>
      <c r="P282" s="4" t="s">
        <v>28</v>
      </c>
      <c r="Q282" s="24">
        <v>34</v>
      </c>
      <c r="R282" s="25">
        <v>2</v>
      </c>
      <c r="S282" s="39">
        <v>0</v>
      </c>
      <c r="T282" s="7" t="s">
        <v>2910</v>
      </c>
      <c r="V282" s="7" t="str">
        <f>+IF(U282="","",IF(U282="FINES",CONCATENATE("R",IF(OR(B282="16",B282="21",B282="22",B282="23"),"16212223",IF(OR(B282="15",B282="17",B282="24",B282="25"),"15172425",B282))),IF(U282="CEBAS","UNICO",IF(VALUE(B282)&lt;=11,"AMBA","INTERIOR"))))</f>
        <v/>
      </c>
      <c r="W282" s="38" t="str">
        <f>+IF(U282="","-",CONCATENATE(U282,"_",V282))</f>
        <v>-</v>
      </c>
      <c r="X282" s="42">
        <v>0.373</v>
      </c>
    </row>
    <row r="283" spans="1:24" ht="15" thickBot="1">
      <c r="A283" s="3" t="s">
        <v>2916</v>
      </c>
      <c r="B283" s="3" t="s">
        <v>204</v>
      </c>
      <c r="C283" s="3" t="s">
        <v>137</v>
      </c>
      <c r="D283" s="3" t="s">
        <v>2629</v>
      </c>
      <c r="E283" s="3">
        <v>602948</v>
      </c>
      <c r="F283" s="3">
        <v>2</v>
      </c>
      <c r="G283" s="3" t="s">
        <v>2638</v>
      </c>
      <c r="H283" s="3" t="s">
        <v>20</v>
      </c>
      <c r="I283" s="4" t="s">
        <v>50</v>
      </c>
      <c r="J283" s="4" t="s">
        <v>51</v>
      </c>
      <c r="K283" s="4" t="s">
        <v>2631</v>
      </c>
      <c r="L283" s="4" t="s">
        <v>2358</v>
      </c>
      <c r="M283" s="4" t="s">
        <v>22</v>
      </c>
      <c r="N283" s="4" t="s">
        <v>134</v>
      </c>
      <c r="O283" s="4" t="s">
        <v>27</v>
      </c>
      <c r="P283" s="4" t="s">
        <v>28</v>
      </c>
      <c r="Q283" s="24">
        <v>45</v>
      </c>
      <c r="R283" s="25">
        <v>3</v>
      </c>
      <c r="S283" s="39">
        <v>0</v>
      </c>
      <c r="T283" s="7" t="s">
        <v>2910</v>
      </c>
      <c r="V283" s="7" t="str">
        <f>+IF(U283="","",IF(U283="FINES",CONCATENATE("R",IF(OR(B283="16",B283="21",B283="22",B283="23"),"16212223",IF(OR(B283="15",B283="17",B283="24",B283="25"),"15172425",B283))),IF(U283="CEBAS","UNICO",IF(VALUE(B283)&lt;=11,"AMBA","INTERIOR"))))</f>
        <v/>
      </c>
      <c r="W283" s="38" t="str">
        <f>+IF(U283="","-",CONCATENATE(U283,"_",V283))</f>
        <v>-</v>
      </c>
      <c r="X283" s="42">
        <v>0.377</v>
      </c>
    </row>
    <row r="284" spans="1:24" ht="15" thickBot="1">
      <c r="A284" s="5" t="s">
        <v>2916</v>
      </c>
      <c r="B284" s="5" t="s">
        <v>205</v>
      </c>
      <c r="C284" s="5" t="s">
        <v>654</v>
      </c>
      <c r="D284" s="5" t="s">
        <v>655</v>
      </c>
      <c r="E284" s="5">
        <v>604802</v>
      </c>
      <c r="F284" s="5">
        <v>2</v>
      </c>
      <c r="G284" s="5" t="s">
        <v>656</v>
      </c>
      <c r="H284" s="5" t="s">
        <v>20</v>
      </c>
      <c r="I284" s="6" t="s">
        <v>50</v>
      </c>
      <c r="J284" s="6" t="s">
        <v>51</v>
      </c>
      <c r="K284" s="6" t="s">
        <v>657</v>
      </c>
      <c r="L284" s="6" t="s">
        <v>428</v>
      </c>
      <c r="M284" s="6" t="s">
        <v>22</v>
      </c>
      <c r="N284" s="6" t="s">
        <v>23</v>
      </c>
      <c r="O284" s="6" t="s">
        <v>27</v>
      </c>
      <c r="P284" s="6" t="s">
        <v>28</v>
      </c>
      <c r="Q284" s="22">
        <v>19</v>
      </c>
      <c r="R284" s="23">
        <v>1</v>
      </c>
      <c r="S284" s="39">
        <v>0</v>
      </c>
      <c r="T284" s="7" t="s">
        <v>2910</v>
      </c>
      <c r="V284" s="7" t="str">
        <f>+IF(U284="","",IF(U284="FINES",CONCATENATE("R",IF(OR(B284="16",B284="21",B284="22",B284="23"),"16212223",IF(OR(B284="15",B284="17",B284="24",B284="25"),"15172425",B284))),IF(U284="CEBAS","UNICO",IF(VALUE(B284)&lt;=11,"AMBA","INTERIOR"))))</f>
        <v/>
      </c>
      <c r="W284" s="38" t="str">
        <f>+IF(U284="","-",CONCATENATE(U284,"_",V284))</f>
        <v>-</v>
      </c>
      <c r="X284" s="42">
        <v>0.377</v>
      </c>
    </row>
    <row r="285" spans="1:24" ht="15" thickBot="1">
      <c r="A285" s="3" t="s">
        <v>2916</v>
      </c>
      <c r="B285" s="3" t="s">
        <v>19</v>
      </c>
      <c r="C285" s="3" t="s">
        <v>17</v>
      </c>
      <c r="D285" s="3" t="s">
        <v>18</v>
      </c>
      <c r="E285" s="3">
        <v>600512</v>
      </c>
      <c r="F285" s="3">
        <v>0</v>
      </c>
      <c r="G285" s="3" t="s">
        <v>76</v>
      </c>
      <c r="H285" s="3" t="s">
        <v>20</v>
      </c>
      <c r="I285" s="4" t="s">
        <v>50</v>
      </c>
      <c r="J285" s="4" t="s">
        <v>21</v>
      </c>
      <c r="K285" s="4"/>
      <c r="L285" s="4" t="s">
        <v>77</v>
      </c>
      <c r="M285" s="4" t="s">
        <v>22</v>
      </c>
      <c r="N285" s="4" t="s">
        <v>23</v>
      </c>
      <c r="O285" s="4" t="s">
        <v>27</v>
      </c>
      <c r="P285" s="4" t="s">
        <v>28</v>
      </c>
      <c r="Q285" s="24">
        <v>128</v>
      </c>
      <c r="R285" s="25">
        <v>10</v>
      </c>
      <c r="S285" s="39">
        <v>0</v>
      </c>
      <c r="T285" s="7" t="s">
        <v>2910</v>
      </c>
      <c r="U285" s="7"/>
      <c r="V285" s="7" t="str">
        <f>+IF(U285="","",IF(U285="FINES",CONCATENATE("R",IF(OR(B285="16",B285="21",B285="22",B285="23"),"16212223",IF(OR(B285="15",B285="17",B285="24",B285="25"),"15172425",B285))),IF(U285="CEBAS","UNICO",IF(VALUE(B285)&lt;=11,"AMBA","INTERIOR"))))</f>
        <v/>
      </c>
      <c r="W285" s="38" t="str">
        <f>+IF(U285="","-",CONCATENATE(U285,"_",V285))</f>
        <v>-</v>
      </c>
      <c r="X285" s="42">
        <v>0.377</v>
      </c>
    </row>
    <row r="286" spans="1:24" ht="15" thickBot="1">
      <c r="A286" s="3" t="s">
        <v>2916</v>
      </c>
      <c r="B286" s="3" t="s">
        <v>203</v>
      </c>
      <c r="C286" s="3" t="s">
        <v>590</v>
      </c>
      <c r="D286" s="3" t="s">
        <v>2553</v>
      </c>
      <c r="E286" s="3">
        <v>601792</v>
      </c>
      <c r="F286" s="3">
        <v>1</v>
      </c>
      <c r="G286" s="3" t="s">
        <v>2557</v>
      </c>
      <c r="H286" s="3" t="s">
        <v>20</v>
      </c>
      <c r="I286" s="4" t="s">
        <v>50</v>
      </c>
      <c r="J286" s="4" t="s">
        <v>51</v>
      </c>
      <c r="K286" s="4" t="s">
        <v>2555</v>
      </c>
      <c r="L286" s="4" t="s">
        <v>754</v>
      </c>
      <c r="M286" s="4" t="s">
        <v>22</v>
      </c>
      <c r="N286" s="4" t="s">
        <v>23</v>
      </c>
      <c r="O286" s="4" t="s">
        <v>27</v>
      </c>
      <c r="P286" s="4" t="s">
        <v>28</v>
      </c>
      <c r="Q286" s="24">
        <v>10</v>
      </c>
      <c r="R286" s="25">
        <v>1</v>
      </c>
      <c r="S286" s="39">
        <v>0</v>
      </c>
      <c r="T286" s="7" t="s">
        <v>2910</v>
      </c>
      <c r="U286" s="7"/>
      <c r="V286" s="7" t="str">
        <f>+IF(U286="","",IF(U286="FINES",CONCATENATE("R",IF(OR(B286="16",B286="21",B286="22",B286="23"),"16212223",IF(OR(B286="15",B286="17",B286="24",B286="25"),"15172425",B286))),IF(U286="CEBAS","UNICO",IF(VALUE(B286)&lt;=11,"AMBA","INTERIOR"))))</f>
        <v/>
      </c>
      <c r="W286" s="38" t="str">
        <f>+IF(U286="","-",CONCATENATE(U286,"_",V286))</f>
        <v>-</v>
      </c>
      <c r="X286" s="42">
        <v>0.38200000000000001</v>
      </c>
    </row>
    <row r="287" spans="1:24" ht="15" thickBot="1">
      <c r="A287" s="5" t="s">
        <v>2916</v>
      </c>
      <c r="B287" s="5" t="s">
        <v>217</v>
      </c>
      <c r="C287" s="5" t="s">
        <v>693</v>
      </c>
      <c r="D287" s="5" t="s">
        <v>694</v>
      </c>
      <c r="E287" s="5">
        <v>606543</v>
      </c>
      <c r="F287" s="5">
        <v>1</v>
      </c>
      <c r="G287" s="5" t="s">
        <v>695</v>
      </c>
      <c r="H287" s="5" t="s">
        <v>20</v>
      </c>
      <c r="I287" s="6" t="s">
        <v>50</v>
      </c>
      <c r="J287" s="6" t="s">
        <v>51</v>
      </c>
      <c r="K287" s="6" t="s">
        <v>696</v>
      </c>
      <c r="L287" s="6" t="s">
        <v>526</v>
      </c>
      <c r="M287" s="6" t="s">
        <v>22</v>
      </c>
      <c r="N287" s="6" t="s">
        <v>23</v>
      </c>
      <c r="O287" s="6" t="s">
        <v>27</v>
      </c>
      <c r="P287" s="6" t="s">
        <v>28</v>
      </c>
      <c r="Q287" s="22">
        <v>34</v>
      </c>
      <c r="R287" s="23">
        <v>3</v>
      </c>
      <c r="S287" s="39">
        <v>0</v>
      </c>
      <c r="T287" s="7" t="s">
        <v>2910</v>
      </c>
      <c r="V287" s="7" t="str">
        <f>+IF(U287="","",IF(U287="FINES",CONCATENATE("R",IF(OR(B287="16",B287="21",B287="22",B287="23"),"16212223",IF(OR(B287="15",B287="17",B287="24",B287="25"),"15172425",B287))),IF(U287="CEBAS","UNICO",IF(VALUE(B287)&lt;=11,"AMBA","INTERIOR"))))</f>
        <v/>
      </c>
      <c r="W287" s="38" t="str">
        <f>+IF(U287="","-",CONCATENATE(U287,"_",V287))</f>
        <v>-</v>
      </c>
      <c r="X287" s="42">
        <v>0.38300000000000001</v>
      </c>
    </row>
    <row r="288" spans="1:24" ht="15" thickBot="1">
      <c r="A288" s="5" t="s">
        <v>2916</v>
      </c>
      <c r="B288" s="5" t="s">
        <v>140</v>
      </c>
      <c r="C288" s="5" t="s">
        <v>136</v>
      </c>
      <c r="D288" s="5" t="s">
        <v>559</v>
      </c>
      <c r="E288" s="5">
        <v>613508</v>
      </c>
      <c r="F288" s="5">
        <v>2</v>
      </c>
      <c r="G288" s="5" t="s">
        <v>563</v>
      </c>
      <c r="H288" s="5" t="s">
        <v>20</v>
      </c>
      <c r="I288" s="6" t="s">
        <v>50</v>
      </c>
      <c r="J288" s="6" t="s">
        <v>51</v>
      </c>
      <c r="K288" s="6" t="s">
        <v>561</v>
      </c>
      <c r="L288" s="6" t="s">
        <v>564</v>
      </c>
      <c r="M288" s="6" t="s">
        <v>22</v>
      </c>
      <c r="N288" s="6" t="s">
        <v>23</v>
      </c>
      <c r="O288" s="6" t="s">
        <v>27</v>
      </c>
      <c r="P288" s="6" t="s">
        <v>28</v>
      </c>
      <c r="Q288" s="22">
        <v>15</v>
      </c>
      <c r="R288" s="23">
        <v>1</v>
      </c>
      <c r="S288" s="39">
        <v>0</v>
      </c>
      <c r="T288" s="7" t="s">
        <v>2910</v>
      </c>
      <c r="V288" s="7" t="str">
        <f>+IF(U288="","",IF(U288="FINES",CONCATENATE("R",IF(OR(B288="16",B288="21",B288="22",B288="23"),"16212223",IF(OR(B288="15",B288="17",B288="24",B288="25"),"15172425",B288))),IF(U288="CEBAS","UNICO",IF(VALUE(B288)&lt;=11,"AMBA","INTERIOR"))))</f>
        <v/>
      </c>
      <c r="W288" s="38" t="str">
        <f>+IF(U288="","-",CONCATENATE(U288,"_",V288))</f>
        <v>-</v>
      </c>
      <c r="X288" s="42">
        <v>0.38300000000000001</v>
      </c>
    </row>
    <row r="289" spans="1:24" ht="15" thickBot="1">
      <c r="A289" s="5" t="s">
        <v>2916</v>
      </c>
      <c r="B289" s="5" t="s">
        <v>138</v>
      </c>
      <c r="C289" s="5" t="s">
        <v>436</v>
      </c>
      <c r="D289" s="5" t="s">
        <v>1067</v>
      </c>
      <c r="E289" s="5">
        <v>623978</v>
      </c>
      <c r="F289" s="5">
        <v>1</v>
      </c>
      <c r="G289" s="5" t="s">
        <v>1072</v>
      </c>
      <c r="H289" s="5" t="s">
        <v>20</v>
      </c>
      <c r="I289" s="6" t="s">
        <v>50</v>
      </c>
      <c r="J289" s="6" t="s">
        <v>51</v>
      </c>
      <c r="K289" s="6" t="s">
        <v>1073</v>
      </c>
      <c r="L289" s="6" t="s">
        <v>1074</v>
      </c>
      <c r="M289" s="6" t="s">
        <v>22</v>
      </c>
      <c r="N289" s="6" t="s">
        <v>23</v>
      </c>
      <c r="O289" s="6" t="s">
        <v>27</v>
      </c>
      <c r="P289" s="6" t="s">
        <v>28</v>
      </c>
      <c r="Q289" s="22">
        <v>78</v>
      </c>
      <c r="R289" s="23">
        <v>5</v>
      </c>
      <c r="S289" s="39">
        <v>0</v>
      </c>
      <c r="T289" s="7" t="s">
        <v>2910</v>
      </c>
      <c r="V289" s="7" t="str">
        <f>+IF(U289="","",IF(U289="FINES",CONCATENATE("R",IF(OR(B289="16",B289="21",B289="22",B289="23"),"16212223",IF(OR(B289="15",B289="17",B289="24",B289="25"),"15172425",B289))),IF(U289="CEBAS","UNICO",IF(VALUE(B289)&lt;=11,"AMBA","INTERIOR"))))</f>
        <v/>
      </c>
      <c r="W289" s="38" t="str">
        <f>+IF(U289="","-",CONCATENATE(U289,"_",V289))</f>
        <v>-</v>
      </c>
      <c r="X289" s="42">
        <v>0.38300000000000001</v>
      </c>
    </row>
    <row r="290" spans="1:24" ht="15" thickBot="1">
      <c r="A290" s="3" t="s">
        <v>2916</v>
      </c>
      <c r="B290" s="3" t="s">
        <v>410</v>
      </c>
      <c r="C290" s="3" t="s">
        <v>760</v>
      </c>
      <c r="D290" s="3" t="s">
        <v>761</v>
      </c>
      <c r="E290" s="3">
        <v>607782</v>
      </c>
      <c r="F290" s="3">
        <v>1</v>
      </c>
      <c r="G290" s="3" t="s">
        <v>762</v>
      </c>
      <c r="H290" s="3" t="s">
        <v>20</v>
      </c>
      <c r="I290" s="4" t="s">
        <v>50</v>
      </c>
      <c r="J290" s="4" t="s">
        <v>51</v>
      </c>
      <c r="K290" s="4" t="s">
        <v>763</v>
      </c>
      <c r="L290" s="4" t="s">
        <v>743</v>
      </c>
      <c r="M290" s="4" t="s">
        <v>22</v>
      </c>
      <c r="N290" s="4" t="s">
        <v>23</v>
      </c>
      <c r="O290" s="4" t="s">
        <v>27</v>
      </c>
      <c r="P290" s="4" t="s">
        <v>28</v>
      </c>
      <c r="Q290" s="24">
        <v>12</v>
      </c>
      <c r="R290" s="25">
        <v>1</v>
      </c>
      <c r="S290" s="39">
        <v>0</v>
      </c>
      <c r="T290" s="7" t="s">
        <v>2910</v>
      </c>
      <c r="U290" s="7"/>
      <c r="V290" s="7" t="str">
        <f>+IF(U290="","",IF(U290="FINES",CONCATENATE("R",IF(OR(B290="16",B290="21",B290="22",B290="23"),"16212223",IF(OR(B290="15",B290="17",B290="24",B290="25"),"15172425",B290))),IF(U290="CEBAS","UNICO",IF(VALUE(B290)&lt;=11,"AMBA","INTERIOR"))))</f>
        <v/>
      </c>
      <c r="W290" s="38" t="str">
        <f>+IF(U290="","-",CONCATENATE(U290,"_",V290))</f>
        <v>-</v>
      </c>
      <c r="X290" s="42">
        <v>0.38500000000000001</v>
      </c>
    </row>
    <row r="291" spans="1:24" ht="15" thickBot="1">
      <c r="A291" s="5" t="s">
        <v>2916</v>
      </c>
      <c r="B291" s="5" t="s">
        <v>135</v>
      </c>
      <c r="C291" s="5" t="s">
        <v>1217</v>
      </c>
      <c r="D291" s="5" t="s">
        <v>1218</v>
      </c>
      <c r="E291" s="5">
        <v>604293</v>
      </c>
      <c r="F291" s="5">
        <v>1</v>
      </c>
      <c r="G291" s="5" t="s">
        <v>1229</v>
      </c>
      <c r="H291" s="5" t="s">
        <v>20</v>
      </c>
      <c r="I291" s="6" t="s">
        <v>50</v>
      </c>
      <c r="J291" s="6" t="s">
        <v>51</v>
      </c>
      <c r="K291" s="6" t="s">
        <v>1220</v>
      </c>
      <c r="L291" s="6" t="s">
        <v>1230</v>
      </c>
      <c r="M291" s="6" t="s">
        <v>22</v>
      </c>
      <c r="N291" s="6" t="s">
        <v>23</v>
      </c>
      <c r="O291" s="6" t="s">
        <v>27</v>
      </c>
      <c r="P291" s="6" t="s">
        <v>28</v>
      </c>
      <c r="Q291" s="22">
        <v>29</v>
      </c>
      <c r="R291" s="23">
        <v>4</v>
      </c>
      <c r="S291" s="39">
        <v>0</v>
      </c>
      <c r="T291" s="7" t="s">
        <v>2910</v>
      </c>
      <c r="V291" s="7" t="str">
        <f>+IF(U291="","",IF(U291="FINES",CONCATENATE("R",IF(OR(B291="16",B291="21",B291="22",B291="23"),"16212223",IF(OR(B291="15",B291="17",B291="24",B291="25"),"15172425",B291))),IF(U291="CEBAS","UNICO",IF(VALUE(B291)&lt;=11,"AMBA","INTERIOR"))))</f>
        <v/>
      </c>
      <c r="W291" s="38" t="str">
        <f>+IF(U291="","-",CONCATENATE(U291,"_",V291))</f>
        <v>-</v>
      </c>
      <c r="X291" s="42">
        <v>0.38800000000000001</v>
      </c>
    </row>
    <row r="292" spans="1:24" ht="15" thickBot="1">
      <c r="A292" s="3" t="s">
        <v>2916</v>
      </c>
      <c r="B292" s="3" t="s">
        <v>19</v>
      </c>
      <c r="C292" s="3" t="s">
        <v>1480</v>
      </c>
      <c r="D292" s="3" t="s">
        <v>1481</v>
      </c>
      <c r="E292" s="3">
        <v>601069</v>
      </c>
      <c r="F292" s="3">
        <v>1</v>
      </c>
      <c r="G292" s="3" t="s">
        <v>1482</v>
      </c>
      <c r="H292" s="3" t="s">
        <v>20</v>
      </c>
      <c r="I292" s="4" t="s">
        <v>50</v>
      </c>
      <c r="J292" s="4" t="s">
        <v>51</v>
      </c>
      <c r="K292" s="4" t="s">
        <v>1483</v>
      </c>
      <c r="L292" s="4" t="s">
        <v>428</v>
      </c>
      <c r="M292" s="4" t="s">
        <v>22</v>
      </c>
      <c r="N292" s="4" t="s">
        <v>23</v>
      </c>
      <c r="O292" s="4" t="s">
        <v>27</v>
      </c>
      <c r="P292" s="4" t="s">
        <v>28</v>
      </c>
      <c r="Q292" s="24">
        <v>15</v>
      </c>
      <c r="R292" s="25">
        <v>1</v>
      </c>
      <c r="S292" s="39">
        <v>0</v>
      </c>
      <c r="T292" s="7" t="s">
        <v>2910</v>
      </c>
      <c r="V292" s="7" t="str">
        <f>+IF(U292="","",IF(U292="FINES",CONCATENATE("R",IF(OR(B292="16",B292="21",B292="22",B292="23"),"16212223",IF(OR(B292="15",B292="17",B292="24",B292="25"),"15172425",B292))),IF(U292="CEBAS","UNICO",IF(VALUE(B292)&lt;=11,"AMBA","INTERIOR"))))</f>
        <v/>
      </c>
      <c r="W292" s="38" t="str">
        <f>+IF(U292="","-",CONCATENATE(U292,"_",V292))</f>
        <v>-</v>
      </c>
      <c r="X292" s="42">
        <v>0.38800000000000001</v>
      </c>
    </row>
    <row r="293" spans="1:24" ht="15" thickBot="1">
      <c r="A293" s="5" t="s">
        <v>2916</v>
      </c>
      <c r="B293" s="5" t="s">
        <v>203</v>
      </c>
      <c r="C293" s="5" t="s">
        <v>450</v>
      </c>
      <c r="D293" s="5" t="s">
        <v>452</v>
      </c>
      <c r="E293" s="5">
        <v>602489</v>
      </c>
      <c r="F293" s="5">
        <v>0</v>
      </c>
      <c r="G293" s="5" t="s">
        <v>474</v>
      </c>
      <c r="H293" s="5" t="s">
        <v>20</v>
      </c>
      <c r="I293" s="6" t="s">
        <v>50</v>
      </c>
      <c r="J293" s="6" t="s">
        <v>21</v>
      </c>
      <c r="K293" s="6"/>
      <c r="L293" s="6" t="s">
        <v>475</v>
      </c>
      <c r="M293" s="6" t="s">
        <v>22</v>
      </c>
      <c r="N293" s="6" t="s">
        <v>23</v>
      </c>
      <c r="O293" s="6" t="s">
        <v>27</v>
      </c>
      <c r="P293" s="6" t="s">
        <v>28</v>
      </c>
      <c r="Q293" s="22">
        <v>26</v>
      </c>
      <c r="R293" s="23">
        <v>2</v>
      </c>
      <c r="S293" s="39">
        <v>0</v>
      </c>
      <c r="T293" s="7" t="s">
        <v>2910</v>
      </c>
      <c r="U293" s="7"/>
      <c r="V293" s="7" t="str">
        <f>+IF(U293="","",IF(U293="FINES",CONCATENATE("R",IF(OR(B293="16",B293="21",B293="22",B293="23"),"16212223",IF(OR(B293="15",B293="17",B293="24",B293="25"),"15172425",B293))),IF(U293="CEBAS","UNICO",IF(VALUE(B293)&lt;=11,"AMBA","INTERIOR"))))</f>
        <v/>
      </c>
      <c r="W293" s="38" t="str">
        <f>+IF(U293="","-",CONCATENATE(U293,"_",V293))</f>
        <v>-</v>
      </c>
      <c r="X293" s="42">
        <v>0.38900000000000001</v>
      </c>
    </row>
    <row r="294" spans="1:24" ht="15" thickBot="1">
      <c r="A294" s="3" t="s">
        <v>2916</v>
      </c>
      <c r="B294" s="3" t="s">
        <v>356</v>
      </c>
      <c r="C294" s="3" t="s">
        <v>805</v>
      </c>
      <c r="D294" s="3" t="s">
        <v>2500</v>
      </c>
      <c r="E294" s="3">
        <v>607825</v>
      </c>
      <c r="F294" s="3">
        <v>1</v>
      </c>
      <c r="G294" s="3" t="s">
        <v>2503</v>
      </c>
      <c r="H294" s="3" t="s">
        <v>20</v>
      </c>
      <c r="I294" s="4" t="s">
        <v>50</v>
      </c>
      <c r="J294" s="4" t="s">
        <v>51</v>
      </c>
      <c r="K294" s="4" t="s">
        <v>2504</v>
      </c>
      <c r="L294" s="4" t="s">
        <v>960</v>
      </c>
      <c r="M294" s="4" t="s">
        <v>22</v>
      </c>
      <c r="N294" s="4" t="s">
        <v>23</v>
      </c>
      <c r="O294" s="4" t="s">
        <v>27</v>
      </c>
      <c r="P294" s="4" t="s">
        <v>28</v>
      </c>
      <c r="Q294" s="24">
        <v>48</v>
      </c>
      <c r="R294" s="25">
        <v>3</v>
      </c>
      <c r="S294" s="39">
        <v>0</v>
      </c>
      <c r="T294" s="7" t="s">
        <v>2910</v>
      </c>
      <c r="U294" s="7"/>
      <c r="V294" s="7" t="str">
        <f>+IF(U294="","",IF(U294="FINES",CONCATENATE("R",IF(OR(B294="16",B294="21",B294="22",B294="23"),"16212223",IF(OR(B294="15",B294="17",B294="24",B294="25"),"15172425",B294))),IF(U294="CEBAS","UNICO",IF(VALUE(B294)&lt;=11,"AMBA","INTERIOR"))))</f>
        <v/>
      </c>
      <c r="W294" s="38" t="str">
        <f>+IF(U294="","-",CONCATENATE(U294,"_",V294))</f>
        <v>-</v>
      </c>
      <c r="X294" s="42">
        <v>0.38900000000000001</v>
      </c>
    </row>
    <row r="295" spans="1:24" ht="15" thickBot="1">
      <c r="A295" s="5" t="s">
        <v>2916</v>
      </c>
      <c r="B295" s="5" t="s">
        <v>257</v>
      </c>
      <c r="C295" s="5" t="s">
        <v>254</v>
      </c>
      <c r="D295" s="5" t="s">
        <v>256</v>
      </c>
      <c r="E295" s="5">
        <v>613277</v>
      </c>
      <c r="F295" s="5">
        <v>2</v>
      </c>
      <c r="G295" s="5" t="s">
        <v>306</v>
      </c>
      <c r="H295" s="5" t="s">
        <v>20</v>
      </c>
      <c r="I295" s="6" t="s">
        <v>50</v>
      </c>
      <c r="J295" s="6" t="s">
        <v>51</v>
      </c>
      <c r="K295" s="6" t="s">
        <v>295</v>
      </c>
      <c r="L295" s="6" t="s">
        <v>307</v>
      </c>
      <c r="M295" s="6" t="s">
        <v>22</v>
      </c>
      <c r="N295" s="6" t="s">
        <v>23</v>
      </c>
      <c r="O295" s="6" t="s">
        <v>27</v>
      </c>
      <c r="P295" s="6" t="s">
        <v>28</v>
      </c>
      <c r="Q295" s="22">
        <v>17</v>
      </c>
      <c r="R295" s="23">
        <v>1</v>
      </c>
      <c r="S295" s="39">
        <v>0</v>
      </c>
      <c r="T295" s="7" t="s">
        <v>2910</v>
      </c>
      <c r="U295" s="7"/>
      <c r="V295" s="7" t="str">
        <f>+IF(U295="","",IF(U295="FINES",CONCATENATE("R",IF(OR(B295="16",B295="21",B295="22",B295="23"),"16212223",IF(OR(B295="15",B295="17",B295="24",B295="25"),"15172425",B295))),IF(U295="CEBAS","UNICO",IF(VALUE(B295)&lt;=11,"AMBA","INTERIOR"))))</f>
        <v/>
      </c>
      <c r="W295" s="38" t="str">
        <f>+IF(U295="","-",CONCATENATE(U295,"_",V295))</f>
        <v>-</v>
      </c>
      <c r="X295" s="42">
        <v>0.39</v>
      </c>
    </row>
    <row r="296" spans="1:24" ht="15" thickBot="1">
      <c r="A296" s="3" t="s">
        <v>2916</v>
      </c>
      <c r="B296" s="3" t="s">
        <v>223</v>
      </c>
      <c r="C296" s="3" t="s">
        <v>1205</v>
      </c>
      <c r="D296" s="3" t="s">
        <v>2075</v>
      </c>
      <c r="E296" s="3">
        <v>606708</v>
      </c>
      <c r="F296" s="3">
        <v>0</v>
      </c>
      <c r="G296" s="3" t="s">
        <v>2077</v>
      </c>
      <c r="H296" s="3" t="s">
        <v>20</v>
      </c>
      <c r="I296" s="4" t="s">
        <v>50</v>
      </c>
      <c r="J296" s="4" t="s">
        <v>21</v>
      </c>
      <c r="K296" s="4"/>
      <c r="L296" s="4" t="s">
        <v>235</v>
      </c>
      <c r="M296" s="4" t="s">
        <v>22</v>
      </c>
      <c r="N296" s="4" t="s">
        <v>23</v>
      </c>
      <c r="O296" s="4" t="s">
        <v>27</v>
      </c>
      <c r="P296" s="4" t="s">
        <v>28</v>
      </c>
      <c r="Q296" s="24">
        <v>4</v>
      </c>
      <c r="R296" s="25">
        <v>1</v>
      </c>
      <c r="S296" s="39">
        <v>0</v>
      </c>
      <c r="T296" s="7" t="s">
        <v>2910</v>
      </c>
      <c r="U296" s="7"/>
      <c r="V296" s="7" t="str">
        <f>+IF(U296="","",IF(U296="FINES",CONCATENATE("R",IF(OR(B296="16",B296="21",B296="22",B296="23"),"16212223",IF(OR(B296="15",B296="17",B296="24",B296="25"),"15172425",B296))),IF(U296="CEBAS","UNICO",IF(VALUE(B296)&lt;=11,"AMBA","INTERIOR"))))</f>
        <v/>
      </c>
      <c r="W296" s="38" t="str">
        <f>+IF(U296="","-",CONCATENATE(U296,"_",V296))</f>
        <v>-</v>
      </c>
      <c r="X296" s="42">
        <v>0.39200000000000002</v>
      </c>
    </row>
    <row r="297" spans="1:24" ht="15" thickBot="1">
      <c r="A297" s="5" t="s">
        <v>2916</v>
      </c>
      <c r="B297" s="5" t="s">
        <v>257</v>
      </c>
      <c r="C297" s="5" t="s">
        <v>772</v>
      </c>
      <c r="D297" s="5" t="s">
        <v>773</v>
      </c>
      <c r="E297" s="5">
        <v>609164</v>
      </c>
      <c r="F297" s="5">
        <v>1</v>
      </c>
      <c r="G297" s="5" t="s">
        <v>774</v>
      </c>
      <c r="H297" s="5" t="s">
        <v>20</v>
      </c>
      <c r="I297" s="6" t="s">
        <v>50</v>
      </c>
      <c r="J297" s="6" t="s">
        <v>51</v>
      </c>
      <c r="K297" s="6" t="s">
        <v>775</v>
      </c>
      <c r="L297" s="6" t="s">
        <v>528</v>
      </c>
      <c r="M297" s="6" t="s">
        <v>22</v>
      </c>
      <c r="N297" s="6" t="s">
        <v>23</v>
      </c>
      <c r="O297" s="6" t="s">
        <v>27</v>
      </c>
      <c r="P297" s="6" t="s">
        <v>28</v>
      </c>
      <c r="Q297" s="22">
        <v>26</v>
      </c>
      <c r="R297" s="23">
        <v>2</v>
      </c>
      <c r="S297" s="39">
        <v>0</v>
      </c>
      <c r="T297" s="7" t="s">
        <v>2910</v>
      </c>
      <c r="U297" s="7"/>
      <c r="V297" s="7" t="str">
        <f>+IF(U297="","",IF(U297="FINES",CONCATENATE("R",IF(OR(B297="16",B297="21",B297="22",B297="23"),"16212223",IF(OR(B297="15",B297="17",B297="24",B297="25"),"15172425",B297))),IF(U297="CEBAS","UNICO",IF(VALUE(B297)&lt;=11,"AMBA","INTERIOR"))))</f>
        <v/>
      </c>
      <c r="W297" s="38" t="str">
        <f>+IF(U297="","-",CONCATENATE(U297,"_",V297))</f>
        <v>-</v>
      </c>
      <c r="X297" s="42">
        <v>0.39200000000000002</v>
      </c>
    </row>
    <row r="298" spans="1:24" ht="15" thickBot="1">
      <c r="A298" s="3" t="s">
        <v>2916</v>
      </c>
      <c r="B298" s="3" t="s">
        <v>817</v>
      </c>
      <c r="C298" s="3" t="s">
        <v>815</v>
      </c>
      <c r="D298" s="3" t="s">
        <v>816</v>
      </c>
      <c r="E298" s="3">
        <v>608393</v>
      </c>
      <c r="F298" s="3">
        <v>3</v>
      </c>
      <c r="G298" s="3" t="s">
        <v>823</v>
      </c>
      <c r="H298" s="3" t="s">
        <v>20</v>
      </c>
      <c r="I298" s="4" t="s">
        <v>50</v>
      </c>
      <c r="J298" s="4" t="s">
        <v>51</v>
      </c>
      <c r="K298" s="4" t="s">
        <v>824</v>
      </c>
      <c r="L298" s="4" t="s">
        <v>825</v>
      </c>
      <c r="M298" s="4" t="s">
        <v>22</v>
      </c>
      <c r="N298" s="4" t="s">
        <v>23</v>
      </c>
      <c r="O298" s="4" t="s">
        <v>27</v>
      </c>
      <c r="P298" s="4" t="s">
        <v>28</v>
      </c>
      <c r="Q298" s="24">
        <v>30</v>
      </c>
      <c r="R298" s="25">
        <v>3</v>
      </c>
      <c r="S298" s="39">
        <v>0</v>
      </c>
      <c r="T298" s="7" t="s">
        <v>2910</v>
      </c>
      <c r="U298" s="7"/>
      <c r="V298" s="7" t="str">
        <f>+IF(U298="","",IF(U298="FINES",CONCATENATE("R",IF(OR(B298="16",B298="21",B298="22",B298="23"),"16212223",IF(OR(B298="15",B298="17",B298="24",B298="25"),"15172425",B298))),IF(U298="CEBAS","UNICO",IF(VALUE(B298)&lt;=11,"AMBA","INTERIOR"))))</f>
        <v/>
      </c>
      <c r="W298" s="38" t="str">
        <f>+IF(U298="","-",CONCATENATE(U298,"_",V298))</f>
        <v>-</v>
      </c>
      <c r="X298" s="42">
        <v>0.39500000000000002</v>
      </c>
    </row>
    <row r="299" spans="1:24" ht="15" thickBot="1">
      <c r="A299" s="5" t="s">
        <v>2916</v>
      </c>
      <c r="B299" s="5" t="s">
        <v>1257</v>
      </c>
      <c r="C299" s="5" t="s">
        <v>2237</v>
      </c>
      <c r="D299" s="5" t="s">
        <v>2238</v>
      </c>
      <c r="E299" s="5">
        <v>612307</v>
      </c>
      <c r="F299" s="5">
        <v>2</v>
      </c>
      <c r="G299" s="5" t="s">
        <v>2254</v>
      </c>
      <c r="H299" s="5" t="s">
        <v>20</v>
      </c>
      <c r="I299" s="6" t="s">
        <v>50</v>
      </c>
      <c r="J299" s="6" t="s">
        <v>51</v>
      </c>
      <c r="K299" s="6" t="s">
        <v>2253</v>
      </c>
      <c r="L299" s="6" t="s">
        <v>886</v>
      </c>
      <c r="M299" s="6" t="s">
        <v>22</v>
      </c>
      <c r="N299" s="6" t="s">
        <v>23</v>
      </c>
      <c r="O299" s="6" t="s">
        <v>27</v>
      </c>
      <c r="P299" s="6" t="s">
        <v>28</v>
      </c>
      <c r="Q299" s="22">
        <v>21</v>
      </c>
      <c r="R299" s="23">
        <v>2</v>
      </c>
      <c r="S299" s="39">
        <v>0</v>
      </c>
      <c r="T299" s="7" t="s">
        <v>2910</v>
      </c>
      <c r="V299" s="7" t="str">
        <f>+IF(U299="","",IF(U299="FINES",CONCATENATE("R",IF(OR(B299="16",B299="21",B299="22",B299="23"),"16212223",IF(OR(B299="15",B299="17",B299="24",B299="25"),"15172425",B299))),IF(U299="CEBAS","UNICO",IF(VALUE(B299)&lt;=11,"AMBA","INTERIOR"))))</f>
        <v/>
      </c>
      <c r="W299" s="38" t="str">
        <f>+IF(U299="","-",CONCATENATE(U299,"_",V299))</f>
        <v>-</v>
      </c>
      <c r="X299" s="42">
        <v>0.39500000000000002</v>
      </c>
    </row>
    <row r="300" spans="1:24" ht="15" thickBot="1">
      <c r="A300" s="5" t="s">
        <v>2916</v>
      </c>
      <c r="B300" s="5" t="s">
        <v>257</v>
      </c>
      <c r="C300" s="5" t="s">
        <v>254</v>
      </c>
      <c r="D300" s="5" t="s">
        <v>256</v>
      </c>
      <c r="E300" s="5">
        <v>613080</v>
      </c>
      <c r="F300" s="5">
        <v>1</v>
      </c>
      <c r="G300" s="5" t="s">
        <v>265</v>
      </c>
      <c r="H300" s="5" t="s">
        <v>20</v>
      </c>
      <c r="I300" s="6" t="s">
        <v>50</v>
      </c>
      <c r="J300" s="6" t="s">
        <v>51</v>
      </c>
      <c r="K300" s="6" t="s">
        <v>266</v>
      </c>
      <c r="L300" s="6" t="s">
        <v>267</v>
      </c>
      <c r="M300" s="6" t="s">
        <v>22</v>
      </c>
      <c r="N300" s="6" t="s">
        <v>23</v>
      </c>
      <c r="O300" s="6" t="s">
        <v>27</v>
      </c>
      <c r="P300" s="6" t="s">
        <v>28</v>
      </c>
      <c r="Q300" s="22">
        <v>30</v>
      </c>
      <c r="R300" s="23">
        <v>3</v>
      </c>
      <c r="S300" s="39">
        <v>0</v>
      </c>
      <c r="T300" s="7" t="s">
        <v>2910</v>
      </c>
      <c r="V300" s="7" t="str">
        <f>+IF(U300="","",IF(U300="FINES",CONCATENATE("R",IF(OR(B300="16",B300="21",B300="22",B300="23"),"16212223",IF(OR(B300="15",B300="17",B300="24",B300="25"),"15172425",B300))),IF(U300="CEBAS","UNICO",IF(VALUE(B300)&lt;=11,"AMBA","INTERIOR"))))</f>
        <v/>
      </c>
      <c r="W300" s="38" t="str">
        <f>+IF(U300="","-",CONCATENATE(U300,"_",V300))</f>
        <v>-</v>
      </c>
      <c r="X300" s="42">
        <v>0.39500000000000002</v>
      </c>
    </row>
    <row r="301" spans="1:24" ht="15" thickBot="1">
      <c r="A301" s="5" t="s">
        <v>2916</v>
      </c>
      <c r="B301" s="5" t="s">
        <v>205</v>
      </c>
      <c r="C301" s="5" t="s">
        <v>255</v>
      </c>
      <c r="D301" s="5" t="s">
        <v>750</v>
      </c>
      <c r="E301" s="5">
        <v>611538</v>
      </c>
      <c r="F301" s="5">
        <v>3</v>
      </c>
      <c r="G301" s="5" t="s">
        <v>755</v>
      </c>
      <c r="H301" s="5" t="s">
        <v>20</v>
      </c>
      <c r="I301" s="6" t="s">
        <v>50</v>
      </c>
      <c r="J301" s="6" t="s">
        <v>51</v>
      </c>
      <c r="K301" s="6" t="s">
        <v>752</v>
      </c>
      <c r="L301" s="6" t="s">
        <v>526</v>
      </c>
      <c r="M301" s="6" t="s">
        <v>22</v>
      </c>
      <c r="N301" s="6" t="s">
        <v>23</v>
      </c>
      <c r="O301" s="6" t="s">
        <v>27</v>
      </c>
      <c r="P301" s="6" t="s">
        <v>28</v>
      </c>
      <c r="Q301" s="22">
        <v>28</v>
      </c>
      <c r="R301" s="23">
        <v>2</v>
      </c>
      <c r="S301" s="39">
        <v>0</v>
      </c>
      <c r="T301" s="7" t="s">
        <v>2910</v>
      </c>
      <c r="U301" s="7"/>
      <c r="V301" s="7" t="str">
        <f>+IF(U301="","",IF(U301="FINES",CONCATENATE("R",IF(OR(B301="16",B301="21",B301="22",B301="23"),"16212223",IF(OR(B301="15",B301="17",B301="24",B301="25"),"15172425",B301))),IF(U301="CEBAS","UNICO",IF(VALUE(B301)&lt;=11,"AMBA","INTERIOR"))))</f>
        <v/>
      </c>
      <c r="W301" s="38" t="str">
        <f>+IF(U301="","-",CONCATENATE(U301,"_",V301))</f>
        <v>-</v>
      </c>
      <c r="X301" s="42">
        <v>0.39500000000000002</v>
      </c>
    </row>
    <row r="302" spans="1:24" ht="15" thickBot="1">
      <c r="A302" s="5" t="s">
        <v>2916</v>
      </c>
      <c r="B302" s="5" t="s">
        <v>817</v>
      </c>
      <c r="C302" s="5" t="s">
        <v>2080</v>
      </c>
      <c r="D302" s="5" t="s">
        <v>2081</v>
      </c>
      <c r="E302" s="5">
        <v>612025</v>
      </c>
      <c r="F302" s="5">
        <v>1</v>
      </c>
      <c r="G302" s="5" t="s">
        <v>2098</v>
      </c>
      <c r="H302" s="5" t="s">
        <v>20</v>
      </c>
      <c r="I302" s="6" t="s">
        <v>50</v>
      </c>
      <c r="J302" s="6" t="s">
        <v>51</v>
      </c>
      <c r="K302" s="6" t="s">
        <v>2099</v>
      </c>
      <c r="L302" s="6" t="s">
        <v>2100</v>
      </c>
      <c r="M302" s="6" t="s">
        <v>22</v>
      </c>
      <c r="N302" s="6" t="s">
        <v>23</v>
      </c>
      <c r="O302" s="6" t="s">
        <v>27</v>
      </c>
      <c r="P302" s="6" t="s">
        <v>28</v>
      </c>
      <c r="Q302" s="22">
        <v>38</v>
      </c>
      <c r="R302" s="23">
        <v>3</v>
      </c>
      <c r="S302" s="39">
        <v>0</v>
      </c>
      <c r="T302" s="7" t="s">
        <v>2910</v>
      </c>
      <c r="U302" s="7"/>
      <c r="V302" s="7" t="str">
        <f>+IF(U302="","",IF(U302="FINES",CONCATENATE("R",IF(OR(B302="16",B302="21",B302="22",B302="23"),"16212223",IF(OR(B302="15",B302="17",B302="24",B302="25"),"15172425",B302))),IF(U302="CEBAS","UNICO",IF(VALUE(B302)&lt;=11,"AMBA","INTERIOR"))))</f>
        <v/>
      </c>
      <c r="W302" s="38" t="str">
        <f>+IF(U302="","-",CONCATENATE(U302,"_",V302))</f>
        <v>-</v>
      </c>
      <c r="X302" s="42">
        <v>0.39600000000000002</v>
      </c>
    </row>
    <row r="303" spans="1:24" ht="15" thickBot="1">
      <c r="A303" s="5" t="s">
        <v>2916</v>
      </c>
      <c r="B303" s="5" t="s">
        <v>1860</v>
      </c>
      <c r="C303" s="5" t="s">
        <v>1858</v>
      </c>
      <c r="D303" s="5" t="s">
        <v>1859</v>
      </c>
      <c r="E303" s="5">
        <v>613639</v>
      </c>
      <c r="F303" s="5">
        <v>4</v>
      </c>
      <c r="G303" s="5" t="s">
        <v>1893</v>
      </c>
      <c r="H303" s="5" t="s">
        <v>20</v>
      </c>
      <c r="I303" s="6" t="s">
        <v>50</v>
      </c>
      <c r="J303" s="6" t="s">
        <v>51</v>
      </c>
      <c r="K303" s="6" t="s">
        <v>1872</v>
      </c>
      <c r="L303" s="6" t="s">
        <v>384</v>
      </c>
      <c r="M303" s="6" t="s">
        <v>22</v>
      </c>
      <c r="N303" s="6" t="s">
        <v>23</v>
      </c>
      <c r="O303" s="6" t="s">
        <v>27</v>
      </c>
      <c r="P303" s="6" t="s">
        <v>28</v>
      </c>
      <c r="Q303" s="22">
        <v>15</v>
      </c>
      <c r="R303" s="23">
        <v>1</v>
      </c>
      <c r="S303" s="39">
        <v>0</v>
      </c>
      <c r="T303" s="7" t="s">
        <v>2910</v>
      </c>
      <c r="V303" s="7" t="str">
        <f>+IF(U303="","",IF(U303="FINES",CONCATENATE("R",IF(OR(B303="16",B303="21",B303="22",B303="23"),"16212223",IF(OR(B303="15",B303="17",B303="24",B303="25"),"15172425",B303))),IF(U303="CEBAS","UNICO",IF(VALUE(B303)&lt;=11,"AMBA","INTERIOR"))))</f>
        <v/>
      </c>
      <c r="W303" s="38" t="str">
        <f>+IF(U303="","-",CONCATENATE(U303,"_",V303))</f>
        <v>-</v>
      </c>
      <c r="X303" s="42">
        <v>0.39600000000000002</v>
      </c>
    </row>
    <row r="304" spans="1:24" ht="15" thickBot="1">
      <c r="A304" s="3" t="s">
        <v>2916</v>
      </c>
      <c r="B304" s="3" t="s">
        <v>19</v>
      </c>
      <c r="C304" s="3" t="s">
        <v>17</v>
      </c>
      <c r="D304" s="3" t="s">
        <v>18</v>
      </c>
      <c r="E304" s="3">
        <v>613272</v>
      </c>
      <c r="F304" s="3">
        <v>0</v>
      </c>
      <c r="G304" s="3" t="s">
        <v>103</v>
      </c>
      <c r="H304" s="3" t="s">
        <v>20</v>
      </c>
      <c r="I304" s="4" t="s">
        <v>50</v>
      </c>
      <c r="J304" s="4" t="s">
        <v>21</v>
      </c>
      <c r="K304" s="4"/>
      <c r="L304" s="4" t="s">
        <v>104</v>
      </c>
      <c r="M304" s="4" t="s">
        <v>22</v>
      </c>
      <c r="N304" s="4" t="s">
        <v>23</v>
      </c>
      <c r="O304" s="4" t="s">
        <v>27</v>
      </c>
      <c r="P304" s="4" t="s">
        <v>28</v>
      </c>
      <c r="Q304" s="24">
        <v>36</v>
      </c>
      <c r="R304" s="25">
        <v>2</v>
      </c>
      <c r="S304" s="39">
        <v>0</v>
      </c>
      <c r="T304" s="7" t="s">
        <v>2910</v>
      </c>
      <c r="U304" s="7"/>
      <c r="V304" s="7" t="str">
        <f>+IF(U304="","",IF(U304="FINES",CONCATENATE("R",IF(OR(B304="16",B304="21",B304="22",B304="23"),"16212223",IF(OR(B304="15",B304="17",B304="24",B304="25"),"15172425",B304))),IF(U304="CEBAS","UNICO",IF(VALUE(B304)&lt;=11,"AMBA","INTERIOR"))))</f>
        <v/>
      </c>
      <c r="W304" s="38" t="str">
        <f>+IF(U304="","-",CONCATENATE(U304,"_",V304))</f>
        <v>-</v>
      </c>
      <c r="X304" s="42">
        <v>0.39600000000000002</v>
      </c>
    </row>
    <row r="305" spans="1:24" ht="15" thickBot="1">
      <c r="A305" s="5" t="s">
        <v>2916</v>
      </c>
      <c r="B305" s="5" t="s">
        <v>1257</v>
      </c>
      <c r="C305" s="5" t="s">
        <v>1255</v>
      </c>
      <c r="D305" s="5" t="s">
        <v>1256</v>
      </c>
      <c r="E305" s="5">
        <v>609362</v>
      </c>
      <c r="F305" s="5">
        <v>2</v>
      </c>
      <c r="G305" s="5" t="s">
        <v>1268</v>
      </c>
      <c r="H305" s="5" t="s">
        <v>20</v>
      </c>
      <c r="I305" s="6" t="s">
        <v>50</v>
      </c>
      <c r="J305" s="6" t="s">
        <v>51</v>
      </c>
      <c r="K305" s="6" t="s">
        <v>1267</v>
      </c>
      <c r="L305" s="6" t="s">
        <v>1269</v>
      </c>
      <c r="M305" s="6" t="s">
        <v>22</v>
      </c>
      <c r="N305" s="6" t="s">
        <v>23</v>
      </c>
      <c r="O305" s="6" t="s">
        <v>27</v>
      </c>
      <c r="P305" s="6" t="s">
        <v>28</v>
      </c>
      <c r="Q305" s="22">
        <v>40</v>
      </c>
      <c r="R305" s="23">
        <v>3</v>
      </c>
      <c r="S305" s="39">
        <v>0</v>
      </c>
      <c r="T305" s="7" t="s">
        <v>2910</v>
      </c>
      <c r="U305" s="7"/>
      <c r="V305" s="7" t="str">
        <f>+IF(U305="","",IF(U305="FINES",CONCATENATE("R",IF(OR(B305="16",B305="21",B305="22",B305="23"),"16212223",IF(OR(B305="15",B305="17",B305="24",B305="25"),"15172425",B305))),IF(U305="CEBAS","UNICO",IF(VALUE(B305)&lt;=11,"AMBA","INTERIOR"))))</f>
        <v/>
      </c>
      <c r="W305" s="38" t="str">
        <f>+IF(U305="","-",CONCATENATE(U305,"_",V305))</f>
        <v>-</v>
      </c>
      <c r="X305" s="42">
        <v>0.39600000000000002</v>
      </c>
    </row>
    <row r="306" spans="1:24" ht="15" thickBot="1">
      <c r="A306" s="3" t="s">
        <v>2916</v>
      </c>
      <c r="B306" s="3" t="s">
        <v>817</v>
      </c>
      <c r="C306" s="3" t="s">
        <v>2080</v>
      </c>
      <c r="D306" s="3" t="s">
        <v>2081</v>
      </c>
      <c r="E306" s="3">
        <v>615736</v>
      </c>
      <c r="F306" s="3">
        <v>0</v>
      </c>
      <c r="G306" s="3" t="s">
        <v>2147</v>
      </c>
      <c r="H306" s="3" t="s">
        <v>210</v>
      </c>
      <c r="I306" s="4" t="s">
        <v>201</v>
      </c>
      <c r="J306" s="4" t="s">
        <v>21</v>
      </c>
      <c r="K306" s="4"/>
      <c r="L306" s="4" t="s">
        <v>2148</v>
      </c>
      <c r="M306" s="4" t="s">
        <v>22</v>
      </c>
      <c r="N306" s="4" t="s">
        <v>23</v>
      </c>
      <c r="O306" s="4" t="s">
        <v>27</v>
      </c>
      <c r="P306" s="4" t="s">
        <v>144</v>
      </c>
      <c r="Q306" s="24">
        <v>2223</v>
      </c>
      <c r="R306" s="25">
        <v>3</v>
      </c>
      <c r="S306" s="39">
        <v>0</v>
      </c>
      <c r="T306" s="7" t="s">
        <v>2909</v>
      </c>
      <c r="U306" s="7"/>
      <c r="V306" s="7" t="str">
        <f>+IF(U306="","",IF(U306="FINES",CONCATENATE("R",IF(OR(B306="16",B306="21",B306="22",B306="23"),"16212223",IF(OR(B306="15",B306="17",B306="24",B306="25"),"15172425",B306))),IF(U306="CEBAS","UNICO",IF(VALUE(B306)&lt;=11,"AMBA","INTERIOR"))))</f>
        <v/>
      </c>
      <c r="W306" s="38" t="str">
        <f>+IF(U306="","-",CONCATENATE(U306,"_",V306))</f>
        <v>-</v>
      </c>
      <c r="X306" s="42">
        <v>0.39700000000000002</v>
      </c>
    </row>
    <row r="307" spans="1:24" ht="15" thickBot="1">
      <c r="A307" s="5" t="s">
        <v>2916</v>
      </c>
      <c r="B307" s="5" t="s">
        <v>225</v>
      </c>
      <c r="C307" s="5" t="s">
        <v>1521</v>
      </c>
      <c r="D307" s="5" t="s">
        <v>1522</v>
      </c>
      <c r="E307" s="5">
        <v>602160</v>
      </c>
      <c r="F307" s="5">
        <v>0</v>
      </c>
      <c r="G307" s="5" t="s">
        <v>1526</v>
      </c>
      <c r="H307" s="5" t="s">
        <v>20</v>
      </c>
      <c r="I307" s="6" t="s">
        <v>50</v>
      </c>
      <c r="J307" s="6" t="s">
        <v>21</v>
      </c>
      <c r="K307" s="6"/>
      <c r="L307" s="6" t="s">
        <v>672</v>
      </c>
      <c r="M307" s="6" t="s">
        <v>22</v>
      </c>
      <c r="N307" s="6" t="s">
        <v>23</v>
      </c>
      <c r="O307" s="6" t="s">
        <v>27</v>
      </c>
      <c r="P307" s="6" t="s">
        <v>28</v>
      </c>
      <c r="Q307" s="22">
        <v>9</v>
      </c>
      <c r="R307" s="23">
        <v>2</v>
      </c>
      <c r="S307" s="39">
        <v>0</v>
      </c>
      <c r="T307" s="7" t="s">
        <v>2910</v>
      </c>
      <c r="V307" s="7" t="str">
        <f>+IF(U307="","",IF(U307="FINES",CONCATENATE("R",IF(OR(B307="16",B307="21",B307="22",B307="23"),"16212223",IF(OR(B307="15",B307="17",B307="24",B307="25"),"15172425",B307))),IF(U307="CEBAS","UNICO",IF(VALUE(B307)&lt;=11,"AMBA","INTERIOR"))))</f>
        <v/>
      </c>
      <c r="W307" s="38" t="str">
        <f>+IF(U307="","-",CONCATENATE(U307,"_",V307))</f>
        <v>-</v>
      </c>
      <c r="X307" s="42">
        <v>0.4</v>
      </c>
    </row>
    <row r="308" spans="1:24" ht="15" thickBot="1">
      <c r="A308" s="5" t="s">
        <v>2916</v>
      </c>
      <c r="B308" s="5" t="s">
        <v>356</v>
      </c>
      <c r="C308" s="5" t="s">
        <v>353</v>
      </c>
      <c r="D308" s="5" t="s">
        <v>355</v>
      </c>
      <c r="E308" s="5">
        <v>612518</v>
      </c>
      <c r="F308" s="5">
        <v>2</v>
      </c>
      <c r="G308" s="5" t="s">
        <v>383</v>
      </c>
      <c r="H308" s="5" t="s">
        <v>20</v>
      </c>
      <c r="I308" s="6" t="s">
        <v>50</v>
      </c>
      <c r="J308" s="6" t="s">
        <v>51</v>
      </c>
      <c r="K308" s="6" t="s">
        <v>374</v>
      </c>
      <c r="L308" s="6" t="s">
        <v>384</v>
      </c>
      <c r="M308" s="6" t="s">
        <v>22</v>
      </c>
      <c r="N308" s="6" t="s">
        <v>23</v>
      </c>
      <c r="O308" s="6" t="s">
        <v>27</v>
      </c>
      <c r="P308" s="6" t="s">
        <v>28</v>
      </c>
      <c r="Q308" s="22">
        <v>30</v>
      </c>
      <c r="R308" s="23">
        <v>3</v>
      </c>
      <c r="S308" s="39">
        <v>0</v>
      </c>
      <c r="T308" s="7" t="s">
        <v>2910</v>
      </c>
      <c r="U308" s="7"/>
      <c r="V308" s="7" t="str">
        <f>+IF(U308="","",IF(U308="FINES",CONCATENATE("R",IF(OR(B308="16",B308="21",B308="22",B308="23"),"16212223",IF(OR(B308="15",B308="17",B308="24",B308="25"),"15172425",B308))),IF(U308="CEBAS","UNICO",IF(VALUE(B308)&lt;=11,"AMBA","INTERIOR"))))</f>
        <v/>
      </c>
      <c r="W308" s="38" t="str">
        <f>+IF(U308="","-",CONCATENATE(U308,"_",V308))</f>
        <v>-</v>
      </c>
      <c r="X308" s="42">
        <v>0.40400000000000003</v>
      </c>
    </row>
    <row r="309" spans="1:24" ht="15" thickBot="1">
      <c r="A309" s="5" t="s">
        <v>2916</v>
      </c>
      <c r="B309" s="5" t="s">
        <v>217</v>
      </c>
      <c r="C309" s="5" t="s">
        <v>1499</v>
      </c>
      <c r="D309" s="5" t="s">
        <v>1500</v>
      </c>
      <c r="E309" s="5">
        <v>601449</v>
      </c>
      <c r="F309" s="5">
        <v>3</v>
      </c>
      <c r="G309" s="5" t="s">
        <v>1504</v>
      </c>
      <c r="H309" s="5" t="s">
        <v>20</v>
      </c>
      <c r="I309" s="6" t="s">
        <v>50</v>
      </c>
      <c r="J309" s="6" t="s">
        <v>51</v>
      </c>
      <c r="K309" s="6" t="s">
        <v>1502</v>
      </c>
      <c r="L309" s="6" t="s">
        <v>526</v>
      </c>
      <c r="M309" s="6" t="s">
        <v>22</v>
      </c>
      <c r="N309" s="6" t="s">
        <v>23</v>
      </c>
      <c r="O309" s="6" t="s">
        <v>27</v>
      </c>
      <c r="P309" s="6" t="s">
        <v>28</v>
      </c>
      <c r="Q309" s="22">
        <v>21</v>
      </c>
      <c r="R309" s="23">
        <v>2</v>
      </c>
      <c r="S309" s="39">
        <v>0</v>
      </c>
      <c r="T309" s="7" t="s">
        <v>2910</v>
      </c>
      <c r="U309" s="7"/>
      <c r="V309" s="7" t="str">
        <f>+IF(U309="","",IF(U309="FINES",CONCATENATE("R",IF(OR(B309="16",B309="21",B309="22",B309="23"),"16212223",IF(OR(B309="15",B309="17",B309="24",B309="25"),"15172425",B309))),IF(U309="CEBAS","UNICO",IF(VALUE(B309)&lt;=11,"AMBA","INTERIOR"))))</f>
        <v/>
      </c>
      <c r="W309" s="38" t="str">
        <f>+IF(U309="","-",CONCATENATE(U309,"_",V309))</f>
        <v>-</v>
      </c>
      <c r="X309" s="42">
        <v>0.40500000000000003</v>
      </c>
    </row>
    <row r="310" spans="1:24" ht="15" thickBot="1">
      <c r="A310" s="3" t="s">
        <v>2916</v>
      </c>
      <c r="B310" s="3" t="s">
        <v>140</v>
      </c>
      <c r="C310" s="3" t="s">
        <v>2277</v>
      </c>
      <c r="D310" s="3" t="s">
        <v>2278</v>
      </c>
      <c r="E310" s="3">
        <v>604560</v>
      </c>
      <c r="F310" s="3">
        <v>4</v>
      </c>
      <c r="G310" s="3" t="s">
        <v>2281</v>
      </c>
      <c r="H310" s="3" t="s">
        <v>20</v>
      </c>
      <c r="I310" s="4" t="s">
        <v>50</v>
      </c>
      <c r="J310" s="4" t="s">
        <v>51</v>
      </c>
      <c r="K310" s="4" t="s">
        <v>2282</v>
      </c>
      <c r="L310" s="4" t="s">
        <v>1226</v>
      </c>
      <c r="M310" s="4" t="s">
        <v>22</v>
      </c>
      <c r="N310" s="4" t="s">
        <v>23</v>
      </c>
      <c r="O310" s="4" t="s">
        <v>27</v>
      </c>
      <c r="P310" s="4" t="s">
        <v>28</v>
      </c>
      <c r="Q310" s="24">
        <v>15</v>
      </c>
      <c r="R310" s="25">
        <v>1</v>
      </c>
      <c r="S310" s="39">
        <v>0</v>
      </c>
      <c r="T310" s="7" t="s">
        <v>2910</v>
      </c>
      <c r="V310" s="7" t="str">
        <f>+IF(U310="","",IF(U310="FINES",CONCATENATE("R",IF(OR(B310="16",B310="21",B310="22",B310="23"),"16212223",IF(OR(B310="15",B310="17",B310="24",B310="25"),"15172425",B310))),IF(U310="CEBAS","UNICO",IF(VALUE(B310)&lt;=11,"AMBA","INTERIOR"))))</f>
        <v/>
      </c>
      <c r="W310" s="38" t="str">
        <f>+IF(U310="","-",CONCATENATE(U310,"_",V310))</f>
        <v>-</v>
      </c>
      <c r="X310" s="42">
        <v>0.40699999999999997</v>
      </c>
    </row>
    <row r="311" spans="1:24" ht="15" thickBot="1">
      <c r="A311" s="3" t="s">
        <v>2916</v>
      </c>
      <c r="B311" s="3" t="s">
        <v>135</v>
      </c>
      <c r="C311" s="3" t="s">
        <v>1217</v>
      </c>
      <c r="D311" s="3" t="s">
        <v>1218</v>
      </c>
      <c r="E311" s="3">
        <v>604293</v>
      </c>
      <c r="F311" s="3">
        <v>3</v>
      </c>
      <c r="G311" s="3" t="s">
        <v>1224</v>
      </c>
      <c r="H311" s="3" t="s">
        <v>20</v>
      </c>
      <c r="I311" s="4" t="s">
        <v>50</v>
      </c>
      <c r="J311" s="4" t="s">
        <v>51</v>
      </c>
      <c r="K311" s="4" t="s">
        <v>1220</v>
      </c>
      <c r="L311" s="4" t="s">
        <v>526</v>
      </c>
      <c r="M311" s="4" t="s">
        <v>22</v>
      </c>
      <c r="N311" s="4" t="s">
        <v>23</v>
      </c>
      <c r="O311" s="4" t="s">
        <v>27</v>
      </c>
      <c r="P311" s="4" t="s">
        <v>28</v>
      </c>
      <c r="Q311" s="24">
        <v>15</v>
      </c>
      <c r="R311" s="25">
        <v>2</v>
      </c>
      <c r="S311" s="39">
        <v>0</v>
      </c>
      <c r="T311" s="7" t="s">
        <v>2910</v>
      </c>
      <c r="V311" s="7" t="str">
        <f>+IF(U311="","",IF(U311="FINES",CONCATENATE("R",IF(OR(B311="16",B311="21",B311="22",B311="23"),"16212223",IF(OR(B311="15",B311="17",B311="24",B311="25"),"15172425",B311))),IF(U311="CEBAS","UNICO",IF(VALUE(B311)&lt;=11,"AMBA","INTERIOR"))))</f>
        <v/>
      </c>
      <c r="W311" s="38" t="str">
        <f>+IF(U311="","-",CONCATENATE(U311,"_",V311))</f>
        <v>-</v>
      </c>
      <c r="X311" s="42">
        <v>0.40699999999999997</v>
      </c>
    </row>
    <row r="312" spans="1:24" ht="15" thickBot="1">
      <c r="A312" s="5" t="s">
        <v>2916</v>
      </c>
      <c r="B312" s="5" t="s">
        <v>1780</v>
      </c>
      <c r="C312" s="5" t="s">
        <v>1778</v>
      </c>
      <c r="D312" s="5" t="s">
        <v>1779</v>
      </c>
      <c r="E312" s="5">
        <v>613143</v>
      </c>
      <c r="F312" s="5">
        <v>2</v>
      </c>
      <c r="G312" s="5" t="s">
        <v>1811</v>
      </c>
      <c r="H312" s="5" t="s">
        <v>20</v>
      </c>
      <c r="I312" s="6" t="s">
        <v>50</v>
      </c>
      <c r="J312" s="6" t="s">
        <v>51</v>
      </c>
      <c r="K312" s="6" t="s">
        <v>1809</v>
      </c>
      <c r="L312" s="6" t="s">
        <v>1812</v>
      </c>
      <c r="M312" s="6" t="s">
        <v>22</v>
      </c>
      <c r="N312" s="6" t="s">
        <v>23</v>
      </c>
      <c r="O312" s="6" t="s">
        <v>27</v>
      </c>
      <c r="P312" s="6" t="s">
        <v>28</v>
      </c>
      <c r="Q312" s="22">
        <v>8</v>
      </c>
      <c r="R312" s="23">
        <v>1</v>
      </c>
      <c r="S312" s="39">
        <v>0</v>
      </c>
      <c r="T312" s="7" t="s">
        <v>2910</v>
      </c>
      <c r="V312" s="7" t="str">
        <f>+IF(U312="","",IF(U312="FINES",CONCATENATE("R",IF(OR(B312="16",B312="21",B312="22",B312="23"),"16212223",IF(OR(B312="15",B312="17",B312="24",B312="25"),"15172425",B312))),IF(U312="CEBAS","UNICO",IF(VALUE(B312)&lt;=11,"AMBA","INTERIOR"))))</f>
        <v/>
      </c>
      <c r="W312" s="38" t="str">
        <f>+IF(U312="","-",CONCATENATE(U312,"_",V312))</f>
        <v>-</v>
      </c>
      <c r="X312" s="42">
        <v>0.40699999999999997</v>
      </c>
    </row>
    <row r="313" spans="1:24" ht="15" thickBot="1">
      <c r="A313" s="5" t="s">
        <v>2916</v>
      </c>
      <c r="B313" s="5" t="s">
        <v>222</v>
      </c>
      <c r="C313" s="5" t="s">
        <v>2047</v>
      </c>
      <c r="D313" s="5" t="s">
        <v>2048</v>
      </c>
      <c r="E313" s="5">
        <v>612064</v>
      </c>
      <c r="F313" s="5">
        <v>0</v>
      </c>
      <c r="G313" s="5" t="s">
        <v>2053</v>
      </c>
      <c r="H313" s="5" t="s">
        <v>20</v>
      </c>
      <c r="I313" s="6" t="s">
        <v>50</v>
      </c>
      <c r="J313" s="6" t="s">
        <v>21</v>
      </c>
      <c r="K313" s="6"/>
      <c r="L313" s="6" t="s">
        <v>533</v>
      </c>
      <c r="M313" s="6" t="s">
        <v>22</v>
      </c>
      <c r="N313" s="6" t="s">
        <v>23</v>
      </c>
      <c r="O313" s="6" t="s">
        <v>27</v>
      </c>
      <c r="P313" s="6" t="s">
        <v>28</v>
      </c>
      <c r="Q313" s="22">
        <v>34</v>
      </c>
      <c r="R313" s="23">
        <v>2</v>
      </c>
      <c r="S313" s="39">
        <v>0</v>
      </c>
      <c r="T313" s="7" t="s">
        <v>2910</v>
      </c>
      <c r="V313" s="7" t="str">
        <f>+IF(U313="","",IF(U313="FINES",CONCATENATE("R",IF(OR(B313="16",B313="21",B313="22",B313="23"),"16212223",IF(OR(B313="15",B313="17",B313="24",B313="25"),"15172425",B313))),IF(U313="CEBAS","UNICO",IF(VALUE(B313)&lt;=11,"AMBA","INTERIOR"))))</f>
        <v/>
      </c>
      <c r="W313" s="38" t="str">
        <f>+IF(U313="","-",CONCATENATE(U313,"_",V313))</f>
        <v>-</v>
      </c>
      <c r="X313" s="42">
        <v>0.40699999999999997</v>
      </c>
    </row>
    <row r="314" spans="1:24" ht="15" thickBot="1">
      <c r="A314" s="3" t="s">
        <v>2916</v>
      </c>
      <c r="B314" s="3" t="s">
        <v>1860</v>
      </c>
      <c r="C314" s="3" t="s">
        <v>1858</v>
      </c>
      <c r="D314" s="3" t="s">
        <v>1859</v>
      </c>
      <c r="E314" s="3">
        <v>613639</v>
      </c>
      <c r="F314" s="3">
        <v>3</v>
      </c>
      <c r="G314" s="3" t="s">
        <v>1887</v>
      </c>
      <c r="H314" s="3" t="s">
        <v>20</v>
      </c>
      <c r="I314" s="4" t="s">
        <v>50</v>
      </c>
      <c r="J314" s="4" t="s">
        <v>51</v>
      </c>
      <c r="K314" s="4" t="s">
        <v>1872</v>
      </c>
      <c r="L314" s="4" t="s">
        <v>1888</v>
      </c>
      <c r="M314" s="4" t="s">
        <v>22</v>
      </c>
      <c r="N314" s="4" t="s">
        <v>23</v>
      </c>
      <c r="O314" s="4" t="s">
        <v>27</v>
      </c>
      <c r="P314" s="4" t="s">
        <v>28</v>
      </c>
      <c r="Q314" s="24">
        <v>47</v>
      </c>
      <c r="R314" s="25">
        <v>3</v>
      </c>
      <c r="S314" s="39">
        <v>0</v>
      </c>
      <c r="T314" s="7" t="s">
        <v>2910</v>
      </c>
      <c r="U314" s="7"/>
      <c r="V314" s="7" t="str">
        <f>+IF(U314="","",IF(U314="FINES",CONCATENATE("R",IF(OR(B314="16",B314="21",B314="22",B314="23"),"16212223",IF(OR(B314="15",B314="17",B314="24",B314="25"),"15172425",B314))),IF(U314="CEBAS","UNICO",IF(VALUE(B314)&lt;=11,"AMBA","INTERIOR"))))</f>
        <v/>
      </c>
      <c r="W314" s="38" t="str">
        <f>+IF(U314="","-",CONCATENATE(U314,"_",V314))</f>
        <v>-</v>
      </c>
      <c r="X314" s="42">
        <v>0.40899999999999997</v>
      </c>
    </row>
    <row r="315" spans="1:24" ht="15" thickBot="1">
      <c r="A315" s="5" t="s">
        <v>2916</v>
      </c>
      <c r="B315" s="5" t="s">
        <v>19</v>
      </c>
      <c r="C315" s="5" t="s">
        <v>449</v>
      </c>
      <c r="D315" s="5" t="s">
        <v>2590</v>
      </c>
      <c r="E315" s="5">
        <v>601429</v>
      </c>
      <c r="F315" s="5">
        <v>0</v>
      </c>
      <c r="G315" s="5" t="s">
        <v>2591</v>
      </c>
      <c r="H315" s="5" t="s">
        <v>20</v>
      </c>
      <c r="I315" s="6" t="s">
        <v>50</v>
      </c>
      <c r="J315" s="6" t="s">
        <v>21</v>
      </c>
      <c r="K315" s="6"/>
      <c r="L315" s="6" t="s">
        <v>545</v>
      </c>
      <c r="M315" s="6" t="s">
        <v>22</v>
      </c>
      <c r="N315" s="6" t="s">
        <v>23</v>
      </c>
      <c r="O315" s="6" t="s">
        <v>27</v>
      </c>
      <c r="P315" s="6" t="s">
        <v>28</v>
      </c>
      <c r="Q315" s="22">
        <v>120</v>
      </c>
      <c r="R315" s="23">
        <v>10</v>
      </c>
      <c r="S315" s="39">
        <v>0</v>
      </c>
      <c r="T315" s="7" t="s">
        <v>2910</v>
      </c>
      <c r="U315" s="7"/>
      <c r="V315" s="7" t="str">
        <f>+IF(U315="","",IF(U315="FINES",CONCATENATE("R",IF(OR(B315="16",B315="21",B315="22",B315="23"),"16212223",IF(OR(B315="15",B315="17",B315="24",B315="25"),"15172425",B315))),IF(U315="CEBAS","UNICO",IF(VALUE(B315)&lt;=11,"AMBA","INTERIOR"))))</f>
        <v/>
      </c>
      <c r="W315" s="38" t="str">
        <f>+IF(U315="","-",CONCATENATE(U315,"_",V315))</f>
        <v>-</v>
      </c>
      <c r="X315" s="42">
        <v>0.41</v>
      </c>
    </row>
    <row r="316" spans="1:24" ht="15" thickBot="1">
      <c r="A316" s="3" t="s">
        <v>2916</v>
      </c>
      <c r="B316" s="3" t="s">
        <v>1257</v>
      </c>
      <c r="C316" s="3" t="s">
        <v>2237</v>
      </c>
      <c r="D316" s="3" t="s">
        <v>2238</v>
      </c>
      <c r="E316" s="3">
        <v>616436</v>
      </c>
      <c r="F316" s="3">
        <v>0</v>
      </c>
      <c r="G316" s="3" t="s">
        <v>2272</v>
      </c>
      <c r="H316" s="3" t="s">
        <v>210</v>
      </c>
      <c r="I316" s="4" t="s">
        <v>201</v>
      </c>
      <c r="J316" s="4" t="s">
        <v>21</v>
      </c>
      <c r="K316" s="4"/>
      <c r="L316" s="4" t="s">
        <v>2273</v>
      </c>
      <c r="M316" s="4" t="s">
        <v>22</v>
      </c>
      <c r="N316" s="4" t="s">
        <v>23</v>
      </c>
      <c r="O316" s="4" t="s">
        <v>27</v>
      </c>
      <c r="P316" s="4" t="s">
        <v>144</v>
      </c>
      <c r="Q316" s="24">
        <v>54</v>
      </c>
      <c r="R316" s="25">
        <v>3</v>
      </c>
      <c r="S316" s="39">
        <v>0</v>
      </c>
      <c r="T316" s="7" t="s">
        <v>2909</v>
      </c>
      <c r="V316" s="7" t="str">
        <f>+IF(U316="","",IF(U316="FINES",CONCATENATE("R",IF(OR(B316="16",B316="21",B316="22",B316="23"),"16212223",IF(OR(B316="15",B316="17",B316="24",B316="25"),"15172425",B316))),IF(U316="CEBAS","UNICO",IF(VALUE(B316)&lt;=11,"AMBA","INTERIOR"))))</f>
        <v/>
      </c>
      <c r="W316" s="38" t="str">
        <f>+IF(U316="","-",CONCATENATE(U316,"_",V316))</f>
        <v>-</v>
      </c>
      <c r="X316" s="42">
        <v>0.41199999999999998</v>
      </c>
    </row>
    <row r="317" spans="1:24" ht="15" thickBot="1">
      <c r="A317" s="3" t="s">
        <v>2916</v>
      </c>
      <c r="B317" s="3" t="s">
        <v>225</v>
      </c>
      <c r="C317" s="3" t="s">
        <v>876</v>
      </c>
      <c r="D317" s="3" t="s">
        <v>877</v>
      </c>
      <c r="E317" s="3">
        <v>610255</v>
      </c>
      <c r="F317" s="3">
        <v>0</v>
      </c>
      <c r="G317" s="3" t="s">
        <v>884</v>
      </c>
      <c r="H317" s="3" t="s">
        <v>20</v>
      </c>
      <c r="I317" s="4" t="s">
        <v>50</v>
      </c>
      <c r="J317" s="4" t="s">
        <v>21</v>
      </c>
      <c r="K317" s="4"/>
      <c r="L317" s="4" t="s">
        <v>533</v>
      </c>
      <c r="M317" s="4" t="s">
        <v>200</v>
      </c>
      <c r="N317" s="4" t="s">
        <v>23</v>
      </c>
      <c r="O317" s="4" t="s">
        <v>27</v>
      </c>
      <c r="P317" s="4" t="s">
        <v>28</v>
      </c>
      <c r="Q317" s="24">
        <v>1</v>
      </c>
      <c r="R317" s="25">
        <v>1</v>
      </c>
      <c r="S317" s="39">
        <v>0</v>
      </c>
      <c r="T317" s="7" t="s">
        <v>2910</v>
      </c>
      <c r="V317" s="7" t="str">
        <f>+IF(U317="","",IF(U317="FINES",CONCATENATE("R",IF(OR(B317="16",B317="21",B317="22",B317="23"),"16212223",IF(OR(B317="15",B317="17",B317="24",B317="25"),"15172425",B317))),IF(U317="CEBAS","UNICO",IF(VALUE(B317)&lt;=11,"AMBA","INTERIOR"))))</f>
        <v/>
      </c>
      <c r="W317" s="38" t="str">
        <f>+IF(U317="","-",CONCATENATE(U317,"_",V317))</f>
        <v>-</v>
      </c>
      <c r="X317" s="42">
        <v>0.41299999999999998</v>
      </c>
    </row>
    <row r="318" spans="1:24" ht="15" thickBot="1">
      <c r="A318" s="3" t="s">
        <v>2916</v>
      </c>
      <c r="B318" s="3" t="s">
        <v>204</v>
      </c>
      <c r="C318" s="3" t="s">
        <v>1084</v>
      </c>
      <c r="D318" s="3" t="s">
        <v>1085</v>
      </c>
      <c r="E318" s="3">
        <v>611472</v>
      </c>
      <c r="F318" s="3">
        <v>2</v>
      </c>
      <c r="G318" s="3" t="s">
        <v>1096</v>
      </c>
      <c r="H318" s="3" t="s">
        <v>20</v>
      </c>
      <c r="I318" s="4" t="s">
        <v>50</v>
      </c>
      <c r="J318" s="4" t="s">
        <v>51</v>
      </c>
      <c r="K318" s="4" t="s">
        <v>1092</v>
      </c>
      <c r="L318" s="4" t="s">
        <v>1097</v>
      </c>
      <c r="M318" s="4" t="s">
        <v>22</v>
      </c>
      <c r="N318" s="4" t="s">
        <v>23</v>
      </c>
      <c r="O318" s="4" t="s">
        <v>27</v>
      </c>
      <c r="P318" s="4" t="s">
        <v>28</v>
      </c>
      <c r="Q318" s="24">
        <v>20</v>
      </c>
      <c r="R318" s="25">
        <v>1</v>
      </c>
      <c r="S318" s="39">
        <v>0</v>
      </c>
      <c r="T318" s="7" t="s">
        <v>2910</v>
      </c>
      <c r="V318" s="7" t="str">
        <f>+IF(U318="","",IF(U318="FINES",CONCATENATE("R",IF(OR(B318="16",B318="21",B318="22",B318="23"),"16212223",IF(OR(B318="15",B318="17",B318="24",B318="25"),"15172425",B318))),IF(U318="CEBAS","UNICO",IF(VALUE(B318)&lt;=11,"AMBA","INTERIOR"))))</f>
        <v/>
      </c>
      <c r="W318" s="38" t="str">
        <f>+IF(U318="","-",CONCATENATE(U318,"_",V318))</f>
        <v>-</v>
      </c>
      <c r="X318" s="42">
        <v>0.41299999999999998</v>
      </c>
    </row>
    <row r="319" spans="1:24" ht="15" thickBot="1">
      <c r="A319" s="3" t="s">
        <v>2916</v>
      </c>
      <c r="B319" s="3" t="s">
        <v>257</v>
      </c>
      <c r="C319" s="3" t="s">
        <v>2337</v>
      </c>
      <c r="D319" s="3" t="s">
        <v>2338</v>
      </c>
      <c r="E319" s="3">
        <v>612571</v>
      </c>
      <c r="F319" s="3">
        <v>0</v>
      </c>
      <c r="G319" s="3" t="s">
        <v>2341</v>
      </c>
      <c r="H319" s="3" t="s">
        <v>20</v>
      </c>
      <c r="I319" s="4" t="s">
        <v>50</v>
      </c>
      <c r="J319" s="4" t="s">
        <v>21</v>
      </c>
      <c r="K319" s="4"/>
      <c r="L319" s="4" t="s">
        <v>545</v>
      </c>
      <c r="M319" s="4" t="s">
        <v>22</v>
      </c>
      <c r="N319" s="4" t="s">
        <v>23</v>
      </c>
      <c r="O319" s="4" t="s">
        <v>27</v>
      </c>
      <c r="P319" s="4" t="s">
        <v>28</v>
      </c>
      <c r="Q319" s="24">
        <v>46</v>
      </c>
      <c r="R319" s="25">
        <v>5</v>
      </c>
      <c r="S319" s="39">
        <v>0</v>
      </c>
      <c r="T319" s="7" t="s">
        <v>2910</v>
      </c>
      <c r="V319" s="7" t="str">
        <f>+IF(U319="","",IF(U319="FINES",CONCATENATE("R",IF(OR(B319="16",B319="21",B319="22",B319="23"),"16212223",IF(OR(B319="15",B319="17",B319="24",B319="25"),"15172425",B319))),IF(U319="CEBAS","UNICO",IF(VALUE(B319)&lt;=11,"AMBA","INTERIOR"))))</f>
        <v/>
      </c>
      <c r="W319" s="38" t="str">
        <f>+IF(U319="","-",CONCATENATE(U319,"_",V319))</f>
        <v>-</v>
      </c>
      <c r="X319" s="42">
        <v>0.41399999999999998</v>
      </c>
    </row>
    <row r="320" spans="1:24" ht="15" thickBot="1">
      <c r="A320" s="3" t="s">
        <v>2916</v>
      </c>
      <c r="B320" s="3" t="s">
        <v>19</v>
      </c>
      <c r="C320" s="3" t="s">
        <v>17</v>
      </c>
      <c r="D320" s="3" t="s">
        <v>18</v>
      </c>
      <c r="E320" s="3">
        <v>608979</v>
      </c>
      <c r="F320" s="3">
        <v>1</v>
      </c>
      <c r="G320" s="3" t="s">
        <v>49</v>
      </c>
      <c r="H320" s="3" t="s">
        <v>20</v>
      </c>
      <c r="I320" s="4" t="s">
        <v>50</v>
      </c>
      <c r="J320" s="4" t="s">
        <v>51</v>
      </c>
      <c r="K320" s="4" t="s">
        <v>52</v>
      </c>
      <c r="L320" s="4" t="s">
        <v>53</v>
      </c>
      <c r="M320" s="4" t="s">
        <v>22</v>
      </c>
      <c r="N320" s="4" t="s">
        <v>23</v>
      </c>
      <c r="O320" s="4" t="s">
        <v>27</v>
      </c>
      <c r="P320" s="4" t="s">
        <v>28</v>
      </c>
      <c r="Q320" s="24">
        <v>45</v>
      </c>
      <c r="R320" s="25">
        <v>3</v>
      </c>
      <c r="S320" s="39">
        <v>0</v>
      </c>
      <c r="T320" s="7" t="s">
        <v>2910</v>
      </c>
      <c r="U320" s="7"/>
      <c r="V320" s="7" t="str">
        <f>+IF(U320="","",IF(U320="FINES",CONCATENATE("R",IF(OR(B320="16",B320="21",B320="22",B320="23"),"16212223",IF(OR(B320="15",B320="17",B320="24",B320="25"),"15172425",B320))),IF(U320="CEBAS","UNICO",IF(VALUE(B320)&lt;=11,"AMBA","INTERIOR"))))</f>
        <v/>
      </c>
      <c r="W320" s="38" t="str">
        <f>+IF(U320="","-",CONCATENATE(U320,"_",V320))</f>
        <v>-</v>
      </c>
      <c r="X320" s="42">
        <v>0.41399999999999998</v>
      </c>
    </row>
    <row r="321" spans="1:24" ht="15" thickBot="1">
      <c r="A321" s="5" t="s">
        <v>2916</v>
      </c>
      <c r="B321" s="5" t="s">
        <v>221</v>
      </c>
      <c r="C321" s="5" t="s">
        <v>571</v>
      </c>
      <c r="D321" s="5" t="s">
        <v>573</v>
      </c>
      <c r="E321" s="5">
        <v>601708</v>
      </c>
      <c r="F321" s="5">
        <v>0</v>
      </c>
      <c r="G321" s="5" t="s">
        <v>574</v>
      </c>
      <c r="H321" s="5" t="s">
        <v>20</v>
      </c>
      <c r="I321" s="6" t="s">
        <v>50</v>
      </c>
      <c r="J321" s="6" t="s">
        <v>21</v>
      </c>
      <c r="K321" s="6"/>
      <c r="L321" s="6" t="s">
        <v>575</v>
      </c>
      <c r="M321" s="6" t="s">
        <v>22</v>
      </c>
      <c r="N321" s="6" t="s">
        <v>23</v>
      </c>
      <c r="O321" s="6" t="s">
        <v>27</v>
      </c>
      <c r="P321" s="6" t="s">
        <v>28</v>
      </c>
      <c r="Q321" s="22">
        <v>7</v>
      </c>
      <c r="R321" s="23">
        <v>1</v>
      </c>
      <c r="S321" s="39">
        <v>0</v>
      </c>
      <c r="T321" s="7" t="s">
        <v>2910</v>
      </c>
      <c r="U321" s="7"/>
      <c r="V321" s="7" t="str">
        <f>+IF(U321="","",IF(U321="FINES",CONCATENATE("R",IF(OR(B321="16",B321="21",B321="22",B321="23"),"16212223",IF(OR(B321="15",B321="17",B321="24",B321="25"),"15172425",B321))),IF(U321="CEBAS","UNICO",IF(VALUE(B321)&lt;=11,"AMBA","INTERIOR"))))</f>
        <v/>
      </c>
      <c r="W321" s="38" t="str">
        <f>+IF(U321="","-",CONCATENATE(U321,"_",V321))</f>
        <v>-</v>
      </c>
      <c r="X321" s="42">
        <v>0.41499999999999998</v>
      </c>
    </row>
    <row r="322" spans="1:24" ht="15" thickBot="1">
      <c r="A322" s="3" t="s">
        <v>2916</v>
      </c>
      <c r="B322" s="3" t="s">
        <v>225</v>
      </c>
      <c r="C322" s="3" t="s">
        <v>942</v>
      </c>
      <c r="D322" s="3" t="s">
        <v>943</v>
      </c>
      <c r="E322" s="3">
        <v>609275</v>
      </c>
      <c r="F322" s="3">
        <v>1</v>
      </c>
      <c r="G322" s="3" t="s">
        <v>977</v>
      </c>
      <c r="H322" s="3" t="s">
        <v>20</v>
      </c>
      <c r="I322" s="4" t="s">
        <v>50</v>
      </c>
      <c r="J322" s="4" t="s">
        <v>51</v>
      </c>
      <c r="K322" s="4" t="s">
        <v>978</v>
      </c>
      <c r="L322" s="4" t="s">
        <v>979</v>
      </c>
      <c r="M322" s="4" t="s">
        <v>22</v>
      </c>
      <c r="N322" s="4" t="s">
        <v>23</v>
      </c>
      <c r="O322" s="4" t="s">
        <v>27</v>
      </c>
      <c r="P322" s="4" t="s">
        <v>28</v>
      </c>
      <c r="Q322" s="24">
        <v>56</v>
      </c>
      <c r="R322" s="25">
        <v>3</v>
      </c>
      <c r="S322" s="39">
        <v>0</v>
      </c>
      <c r="T322" s="7" t="s">
        <v>2910</v>
      </c>
      <c r="V322" s="7" t="str">
        <f>+IF(U322="","",IF(U322="FINES",CONCATENATE("R",IF(OR(B322="16",B322="21",B322="22",B322="23"),"16212223",IF(OR(B322="15",B322="17",B322="24",B322="25"),"15172425",B322))),IF(U322="CEBAS","UNICO",IF(VALUE(B322)&lt;=11,"AMBA","INTERIOR"))))</f>
        <v/>
      </c>
      <c r="W322" s="38" t="str">
        <f>+IF(U322="","-",CONCATENATE(U322,"_",V322))</f>
        <v>-</v>
      </c>
      <c r="X322" s="42">
        <v>0.41599999999999998</v>
      </c>
    </row>
    <row r="323" spans="1:24" ht="15" thickBot="1">
      <c r="A323" s="5" t="s">
        <v>2916</v>
      </c>
      <c r="B323" s="5" t="s">
        <v>1860</v>
      </c>
      <c r="C323" s="5" t="s">
        <v>1858</v>
      </c>
      <c r="D323" s="5" t="s">
        <v>1859</v>
      </c>
      <c r="E323" s="5">
        <v>609621</v>
      </c>
      <c r="F323" s="5">
        <v>2</v>
      </c>
      <c r="G323" s="5" t="s">
        <v>1882</v>
      </c>
      <c r="H323" s="5" t="s">
        <v>20</v>
      </c>
      <c r="I323" s="6" t="s">
        <v>50</v>
      </c>
      <c r="J323" s="6" t="s">
        <v>51</v>
      </c>
      <c r="K323" s="6" t="s">
        <v>1870</v>
      </c>
      <c r="L323" s="6" t="s">
        <v>1883</v>
      </c>
      <c r="M323" s="6" t="s">
        <v>22</v>
      </c>
      <c r="N323" s="6" t="s">
        <v>23</v>
      </c>
      <c r="O323" s="6" t="s">
        <v>27</v>
      </c>
      <c r="P323" s="6" t="s">
        <v>28</v>
      </c>
      <c r="Q323" s="22">
        <v>30</v>
      </c>
      <c r="R323" s="23">
        <v>2</v>
      </c>
      <c r="S323" s="39">
        <v>0</v>
      </c>
      <c r="T323" s="7" t="s">
        <v>2910</v>
      </c>
      <c r="V323" s="7" t="str">
        <f>+IF(U323="","",IF(U323="FINES",CONCATENATE("R",IF(OR(B323="16",B323="21",B323="22",B323="23"),"16212223",IF(OR(B323="15",B323="17",B323="24",B323="25"),"15172425",B323))),IF(U323="CEBAS","UNICO",IF(VALUE(B323)&lt;=11,"AMBA","INTERIOR"))))</f>
        <v/>
      </c>
      <c r="W323" s="38" t="str">
        <f>+IF(U323="","-",CONCATENATE(U323,"_",V323))</f>
        <v>-</v>
      </c>
      <c r="X323" s="42">
        <v>0.41599999999999998</v>
      </c>
    </row>
    <row r="324" spans="1:24" ht="15" thickBot="1">
      <c r="A324" s="5" t="s">
        <v>2916</v>
      </c>
      <c r="B324" s="5" t="s">
        <v>19</v>
      </c>
      <c r="C324" s="5" t="s">
        <v>17</v>
      </c>
      <c r="D324" s="5" t="s">
        <v>18</v>
      </c>
      <c r="E324" s="5">
        <v>613138</v>
      </c>
      <c r="F324" s="5">
        <v>3</v>
      </c>
      <c r="G324" s="5" t="s">
        <v>93</v>
      </c>
      <c r="H324" s="5" t="s">
        <v>20</v>
      </c>
      <c r="I324" s="6" t="s">
        <v>50</v>
      </c>
      <c r="J324" s="6" t="s">
        <v>51</v>
      </c>
      <c r="K324" s="6" t="s">
        <v>70</v>
      </c>
      <c r="L324" s="6" t="s">
        <v>94</v>
      </c>
      <c r="M324" s="6" t="s">
        <v>22</v>
      </c>
      <c r="N324" s="6" t="s">
        <v>23</v>
      </c>
      <c r="O324" s="6" t="s">
        <v>27</v>
      </c>
      <c r="P324" s="6" t="s">
        <v>28</v>
      </c>
      <c r="Q324" s="22">
        <v>11</v>
      </c>
      <c r="R324" s="23">
        <v>1</v>
      </c>
      <c r="S324" s="39">
        <v>0</v>
      </c>
      <c r="T324" s="7" t="s">
        <v>2910</v>
      </c>
      <c r="V324" s="7" t="str">
        <f>+IF(U324="","",IF(U324="FINES",CONCATENATE("R",IF(OR(B324="16",B324="21",B324="22",B324="23"),"16212223",IF(OR(B324="15",B324="17",B324="24",B324="25"),"15172425",B324))),IF(U324="CEBAS","UNICO",IF(VALUE(B324)&lt;=11,"AMBA","INTERIOR"))))</f>
        <v/>
      </c>
      <c r="W324" s="38" t="str">
        <f>+IF(U324="","-",CONCATENATE(U324,"_",V324))</f>
        <v>-</v>
      </c>
      <c r="X324" s="42">
        <v>0.41799999999999998</v>
      </c>
    </row>
    <row r="325" spans="1:24" ht="15" thickBot="1">
      <c r="A325" s="5" t="s">
        <v>2916</v>
      </c>
      <c r="B325" s="5" t="s">
        <v>205</v>
      </c>
      <c r="C325" s="5" t="s">
        <v>1946</v>
      </c>
      <c r="D325" s="5" t="s">
        <v>1947</v>
      </c>
      <c r="E325" s="5">
        <v>616647</v>
      </c>
      <c r="F325" s="5">
        <v>1</v>
      </c>
      <c r="G325" s="5" t="s">
        <v>1950</v>
      </c>
      <c r="H325" s="5" t="s">
        <v>20</v>
      </c>
      <c r="I325" s="6" t="s">
        <v>50</v>
      </c>
      <c r="J325" s="6" t="s">
        <v>51</v>
      </c>
      <c r="K325" s="6" t="s">
        <v>1951</v>
      </c>
      <c r="L325" s="6" t="s">
        <v>526</v>
      </c>
      <c r="M325" s="6" t="s">
        <v>22</v>
      </c>
      <c r="N325" s="6" t="s">
        <v>23</v>
      </c>
      <c r="O325" s="6" t="s">
        <v>27</v>
      </c>
      <c r="P325" s="6" t="s">
        <v>28</v>
      </c>
      <c r="Q325" s="22">
        <v>10</v>
      </c>
      <c r="R325" s="23">
        <v>1</v>
      </c>
      <c r="S325" s="39">
        <v>0</v>
      </c>
      <c r="T325" s="7" t="s">
        <v>2910</v>
      </c>
      <c r="U325" s="7"/>
      <c r="V325" s="7" t="str">
        <f>+IF(U325="","",IF(U325="FINES",CONCATENATE("R",IF(OR(B325="16",B325="21",B325="22",B325="23"),"16212223",IF(OR(B325="15",B325="17",B325="24",B325="25"),"15172425",B325))),IF(U325="CEBAS","UNICO",IF(VALUE(B325)&lt;=11,"AMBA","INTERIOR"))))</f>
        <v/>
      </c>
      <c r="W325" s="38" t="str">
        <f>+IF(U325="","-",CONCATENATE(U325,"_",V325))</f>
        <v>-</v>
      </c>
      <c r="X325" s="42">
        <v>0.41899999999999998</v>
      </c>
    </row>
    <row r="326" spans="1:24" ht="15" thickBot="1">
      <c r="A326" s="5" t="s">
        <v>2916</v>
      </c>
      <c r="B326" s="5" t="s">
        <v>19</v>
      </c>
      <c r="C326" s="5" t="s">
        <v>17</v>
      </c>
      <c r="D326" s="5" t="s">
        <v>18</v>
      </c>
      <c r="E326" s="5">
        <v>612060</v>
      </c>
      <c r="F326" s="5">
        <v>0</v>
      </c>
      <c r="G326" s="5" t="s">
        <v>59</v>
      </c>
      <c r="H326" s="5" t="s">
        <v>20</v>
      </c>
      <c r="I326" s="6" t="s">
        <v>50</v>
      </c>
      <c r="J326" s="6" t="s">
        <v>21</v>
      </c>
      <c r="K326" s="6"/>
      <c r="L326" s="6" t="s">
        <v>60</v>
      </c>
      <c r="M326" s="6" t="s">
        <v>22</v>
      </c>
      <c r="N326" s="6" t="s">
        <v>23</v>
      </c>
      <c r="O326" s="6" t="s">
        <v>27</v>
      </c>
      <c r="P326" s="6" t="s">
        <v>28</v>
      </c>
      <c r="Q326" s="22">
        <v>47</v>
      </c>
      <c r="R326" s="23">
        <v>5</v>
      </c>
      <c r="S326" s="39">
        <v>0</v>
      </c>
      <c r="T326" s="7" t="s">
        <v>2910</v>
      </c>
      <c r="U326" s="7"/>
      <c r="V326" s="7" t="str">
        <f>+IF(U326="","",IF(U326="FINES",CONCATENATE("R",IF(OR(B326="16",B326="21",B326="22",B326="23"),"16212223",IF(OR(B326="15",B326="17",B326="24",B326="25"),"15172425",B326))),IF(U326="CEBAS","UNICO",IF(VALUE(B326)&lt;=11,"AMBA","INTERIOR"))))</f>
        <v/>
      </c>
      <c r="W326" s="38" t="str">
        <f>+IF(U326="","-",CONCATENATE(U326,"_",V326))</f>
        <v>-</v>
      </c>
      <c r="X326" s="42">
        <v>0.41899999999999998</v>
      </c>
    </row>
    <row r="327" spans="1:24" ht="15" thickBot="1">
      <c r="A327" s="5" t="s">
        <v>2916</v>
      </c>
      <c r="B327" s="5" t="s">
        <v>356</v>
      </c>
      <c r="C327" s="5" t="s">
        <v>353</v>
      </c>
      <c r="D327" s="5" t="s">
        <v>355</v>
      </c>
      <c r="E327" s="5">
        <v>612518</v>
      </c>
      <c r="F327" s="5">
        <v>1</v>
      </c>
      <c r="G327" s="5" t="s">
        <v>373</v>
      </c>
      <c r="H327" s="5" t="s">
        <v>20</v>
      </c>
      <c r="I327" s="6" t="s">
        <v>50</v>
      </c>
      <c r="J327" s="6" t="s">
        <v>51</v>
      </c>
      <c r="K327" s="6" t="s">
        <v>374</v>
      </c>
      <c r="L327" s="6" t="s">
        <v>375</v>
      </c>
      <c r="M327" s="6" t="s">
        <v>22</v>
      </c>
      <c r="N327" s="6" t="s">
        <v>23</v>
      </c>
      <c r="O327" s="6" t="s">
        <v>27</v>
      </c>
      <c r="P327" s="6" t="s">
        <v>28</v>
      </c>
      <c r="Q327" s="22">
        <v>38</v>
      </c>
      <c r="R327" s="23">
        <v>3</v>
      </c>
      <c r="S327" s="39">
        <v>0</v>
      </c>
      <c r="T327" s="7" t="s">
        <v>2910</v>
      </c>
      <c r="V327" s="7" t="str">
        <f>+IF(U327="","",IF(U327="FINES",CONCATENATE("R",IF(OR(B327="16",B327="21",B327="22",B327="23"),"16212223",IF(OR(B327="15",B327="17",B327="24",B327="25"),"15172425",B327))),IF(U327="CEBAS","UNICO",IF(VALUE(B327)&lt;=11,"AMBA","INTERIOR"))))</f>
        <v/>
      </c>
      <c r="W327" s="38" t="str">
        <f>+IF(U327="","-",CONCATENATE(U327,"_",V327))</f>
        <v>-</v>
      </c>
      <c r="X327" s="42">
        <v>0.42</v>
      </c>
    </row>
    <row r="328" spans="1:24" ht="15" thickBot="1">
      <c r="A328" s="5" t="s">
        <v>2916</v>
      </c>
      <c r="B328" s="5" t="s">
        <v>1780</v>
      </c>
      <c r="C328" s="5" t="s">
        <v>238</v>
      </c>
      <c r="D328" s="5" t="s">
        <v>2887</v>
      </c>
      <c r="E328" s="5">
        <v>605622</v>
      </c>
      <c r="F328" s="5">
        <v>1</v>
      </c>
      <c r="G328" s="5" t="s">
        <v>2888</v>
      </c>
      <c r="H328" s="5" t="s">
        <v>20</v>
      </c>
      <c r="I328" s="6" t="s">
        <v>50</v>
      </c>
      <c r="J328" s="6" t="s">
        <v>51</v>
      </c>
      <c r="K328" s="6" t="s">
        <v>2889</v>
      </c>
      <c r="L328" s="6" t="s">
        <v>754</v>
      </c>
      <c r="M328" s="6" t="s">
        <v>22</v>
      </c>
      <c r="N328" s="6" t="s">
        <v>23</v>
      </c>
      <c r="O328" s="6" t="s">
        <v>27</v>
      </c>
      <c r="P328" s="6" t="s">
        <v>28</v>
      </c>
      <c r="Q328" s="22">
        <v>10</v>
      </c>
      <c r="R328" s="23">
        <v>1</v>
      </c>
      <c r="S328" s="39">
        <v>0</v>
      </c>
      <c r="T328" s="7" t="s">
        <v>2910</v>
      </c>
      <c r="V328" s="7" t="str">
        <f>+IF(U328="","",IF(U328="FINES",CONCATENATE("R",IF(OR(B328="16",B328="21",B328="22",B328="23"),"16212223",IF(OR(B328="15",B328="17",B328="24",B328="25"),"15172425",B328))),IF(U328="CEBAS","UNICO",IF(VALUE(B328)&lt;=11,"AMBA","INTERIOR"))))</f>
        <v/>
      </c>
      <c r="W328" s="38" t="str">
        <f>+IF(U328="","-",CONCATENATE(U328,"_",V328))</f>
        <v>-</v>
      </c>
      <c r="X328" s="42">
        <v>0.42</v>
      </c>
    </row>
    <row r="329" spans="1:24" ht="15" thickBot="1">
      <c r="A329" s="3" t="s">
        <v>2916</v>
      </c>
      <c r="B329" s="3" t="s">
        <v>1780</v>
      </c>
      <c r="C329" s="3" t="s">
        <v>1778</v>
      </c>
      <c r="D329" s="3" t="s">
        <v>1779</v>
      </c>
      <c r="E329" s="3">
        <v>613143</v>
      </c>
      <c r="F329" s="3">
        <v>1</v>
      </c>
      <c r="G329" s="3" t="s">
        <v>1808</v>
      </c>
      <c r="H329" s="3" t="s">
        <v>20</v>
      </c>
      <c r="I329" s="4" t="s">
        <v>50</v>
      </c>
      <c r="J329" s="4" t="s">
        <v>51</v>
      </c>
      <c r="K329" s="4" t="s">
        <v>1809</v>
      </c>
      <c r="L329" s="4" t="s">
        <v>1810</v>
      </c>
      <c r="M329" s="4" t="s">
        <v>22</v>
      </c>
      <c r="N329" s="4" t="s">
        <v>23</v>
      </c>
      <c r="O329" s="4" t="s">
        <v>27</v>
      </c>
      <c r="P329" s="4" t="s">
        <v>28</v>
      </c>
      <c r="Q329" s="24">
        <v>24</v>
      </c>
      <c r="R329" s="25">
        <v>3</v>
      </c>
      <c r="S329" s="39">
        <v>0</v>
      </c>
      <c r="T329" s="7" t="s">
        <v>2910</v>
      </c>
      <c r="V329" s="7" t="str">
        <f>+IF(U329="","",IF(U329="FINES",CONCATENATE("R",IF(OR(B329="16",B329="21",B329="22",B329="23"),"16212223",IF(OR(B329="15",B329="17",B329="24",B329="25"),"15172425",B329))),IF(U329="CEBAS","UNICO",IF(VALUE(B329)&lt;=11,"AMBA","INTERIOR"))))</f>
        <v/>
      </c>
      <c r="W329" s="38" t="str">
        <f>+IF(U329="","-",CONCATENATE(U329,"_",V329))</f>
        <v>-</v>
      </c>
      <c r="X329" s="42">
        <v>0.42099999999999999</v>
      </c>
    </row>
    <row r="330" spans="1:24" ht="15" thickBot="1">
      <c r="A330" s="3" t="s">
        <v>2916</v>
      </c>
      <c r="B330" s="3" t="s">
        <v>356</v>
      </c>
      <c r="C330" s="3" t="s">
        <v>353</v>
      </c>
      <c r="D330" s="3" t="s">
        <v>355</v>
      </c>
      <c r="E330" s="3">
        <v>602025</v>
      </c>
      <c r="F330" s="3">
        <v>2</v>
      </c>
      <c r="G330" s="3" t="s">
        <v>389</v>
      </c>
      <c r="H330" s="3" t="s">
        <v>20</v>
      </c>
      <c r="I330" s="4" t="s">
        <v>50</v>
      </c>
      <c r="J330" s="4" t="s">
        <v>51</v>
      </c>
      <c r="K330" s="4" t="s">
        <v>371</v>
      </c>
      <c r="L330" s="4" t="s">
        <v>390</v>
      </c>
      <c r="M330" s="4" t="s">
        <v>22</v>
      </c>
      <c r="N330" s="4" t="s">
        <v>23</v>
      </c>
      <c r="O330" s="4" t="s">
        <v>27</v>
      </c>
      <c r="P330" s="4" t="s">
        <v>28</v>
      </c>
      <c r="Q330" s="24">
        <v>20</v>
      </c>
      <c r="R330" s="25">
        <v>2</v>
      </c>
      <c r="S330" s="39">
        <v>0</v>
      </c>
      <c r="T330" s="7" t="s">
        <v>2910</v>
      </c>
      <c r="V330" s="7" t="str">
        <f>+IF(U330="","",IF(U330="FINES",CONCATENATE("R",IF(OR(B330="16",B330="21",B330="22",B330="23"),"16212223",IF(OR(B330="15",B330="17",B330="24",B330="25"),"15172425",B330))),IF(U330="CEBAS","UNICO",IF(VALUE(B330)&lt;=11,"AMBA","INTERIOR"))))</f>
        <v/>
      </c>
      <c r="W330" s="38" t="str">
        <f>+IF(U330="","-",CONCATENATE(U330,"_",V330))</f>
        <v>-</v>
      </c>
      <c r="X330" s="42">
        <v>0.42099999999999999</v>
      </c>
    </row>
    <row r="331" spans="1:24" ht="15" thickBot="1">
      <c r="A331" s="5" t="s">
        <v>2916</v>
      </c>
      <c r="B331" s="5" t="s">
        <v>356</v>
      </c>
      <c r="C331" s="5" t="s">
        <v>805</v>
      </c>
      <c r="D331" s="5" t="s">
        <v>2500</v>
      </c>
      <c r="E331" s="5">
        <v>607663</v>
      </c>
      <c r="F331" s="5">
        <v>3</v>
      </c>
      <c r="G331" s="5" t="s">
        <v>2537</v>
      </c>
      <c r="H331" s="5" t="s">
        <v>20</v>
      </c>
      <c r="I331" s="6" t="s">
        <v>50</v>
      </c>
      <c r="J331" s="6" t="s">
        <v>51</v>
      </c>
      <c r="K331" s="6" t="s">
        <v>2515</v>
      </c>
      <c r="L331" s="6" t="s">
        <v>2538</v>
      </c>
      <c r="M331" s="6" t="s">
        <v>22</v>
      </c>
      <c r="N331" s="6" t="s">
        <v>23</v>
      </c>
      <c r="O331" s="6" t="s">
        <v>27</v>
      </c>
      <c r="P331" s="6" t="s">
        <v>28</v>
      </c>
      <c r="Q331" s="22">
        <v>44</v>
      </c>
      <c r="R331" s="23">
        <v>3</v>
      </c>
      <c r="S331" s="39">
        <v>0</v>
      </c>
      <c r="T331" s="7" t="s">
        <v>2910</v>
      </c>
      <c r="U331" s="7"/>
      <c r="V331" s="7" t="str">
        <f>+IF(U331="","",IF(U331="FINES",CONCATENATE("R",IF(OR(B331="16",B331="21",B331="22",B331="23"),"16212223",IF(OR(B331="15",B331="17",B331="24",B331="25"),"15172425",B331))),IF(U331="CEBAS","UNICO",IF(VALUE(B331)&lt;=11,"AMBA","INTERIOR"))))</f>
        <v/>
      </c>
      <c r="W331" s="38" t="str">
        <f>+IF(U331="","-",CONCATENATE(U331,"_",V331))</f>
        <v>-</v>
      </c>
      <c r="X331" s="42">
        <v>0.42199999999999999</v>
      </c>
    </row>
    <row r="332" spans="1:24" ht="15" thickBot="1">
      <c r="A332" s="3" t="s">
        <v>2916</v>
      </c>
      <c r="B332" s="3" t="s">
        <v>356</v>
      </c>
      <c r="C332" s="3" t="s">
        <v>1359</v>
      </c>
      <c r="D332" s="3" t="s">
        <v>1360</v>
      </c>
      <c r="E332" s="3">
        <v>610690</v>
      </c>
      <c r="F332" s="3">
        <v>1</v>
      </c>
      <c r="G332" s="3" t="s">
        <v>1392</v>
      </c>
      <c r="H332" s="3" t="s">
        <v>20</v>
      </c>
      <c r="I332" s="4" t="s">
        <v>50</v>
      </c>
      <c r="J332" s="4" t="s">
        <v>51</v>
      </c>
      <c r="K332" s="4" t="s">
        <v>1393</v>
      </c>
      <c r="L332" s="4" t="s">
        <v>1394</v>
      </c>
      <c r="M332" s="4" t="s">
        <v>22</v>
      </c>
      <c r="N332" s="4" t="s">
        <v>23</v>
      </c>
      <c r="O332" s="4" t="s">
        <v>27</v>
      </c>
      <c r="P332" s="4" t="s">
        <v>28</v>
      </c>
      <c r="Q332" s="24">
        <v>18</v>
      </c>
      <c r="R332" s="25">
        <v>2</v>
      </c>
      <c r="S332" s="39">
        <v>0</v>
      </c>
      <c r="T332" s="7" t="s">
        <v>2910</v>
      </c>
      <c r="U332" s="7"/>
      <c r="V332" s="7" t="str">
        <f>+IF(U332="","",IF(U332="FINES",CONCATENATE("R",IF(OR(B332="16",B332="21",B332="22",B332="23"),"16212223",IF(OR(B332="15",B332="17",B332="24",B332="25"),"15172425",B332))),IF(U332="CEBAS","UNICO",IF(VALUE(B332)&lt;=11,"AMBA","INTERIOR"))))</f>
        <v/>
      </c>
      <c r="W332" s="38" t="str">
        <f>+IF(U332="","-",CONCATENATE(U332,"_",V332))</f>
        <v>-</v>
      </c>
      <c r="X332" s="42">
        <v>0.42499999999999999</v>
      </c>
    </row>
    <row r="333" spans="1:24" ht="15" thickBot="1">
      <c r="A333" s="3" t="s">
        <v>2916</v>
      </c>
      <c r="B333" s="3" t="s">
        <v>204</v>
      </c>
      <c r="C333" s="3" t="s">
        <v>1084</v>
      </c>
      <c r="D333" s="3" t="s">
        <v>1085</v>
      </c>
      <c r="E333" s="3">
        <v>609964</v>
      </c>
      <c r="F333" s="3">
        <v>1</v>
      </c>
      <c r="G333" s="3" t="s">
        <v>1109</v>
      </c>
      <c r="H333" s="3" t="s">
        <v>20</v>
      </c>
      <c r="I333" s="4" t="s">
        <v>50</v>
      </c>
      <c r="J333" s="4" t="s">
        <v>51</v>
      </c>
      <c r="K333" s="4" t="s">
        <v>1110</v>
      </c>
      <c r="L333" s="4" t="s">
        <v>1111</v>
      </c>
      <c r="M333" s="4" t="s">
        <v>22</v>
      </c>
      <c r="N333" s="4" t="s">
        <v>23</v>
      </c>
      <c r="O333" s="4" t="s">
        <v>27</v>
      </c>
      <c r="P333" s="4" t="s">
        <v>28</v>
      </c>
      <c r="Q333" s="24">
        <v>34</v>
      </c>
      <c r="R333" s="25">
        <v>2</v>
      </c>
      <c r="S333" s="39">
        <v>0</v>
      </c>
      <c r="T333" s="7" t="s">
        <v>2910</v>
      </c>
      <c r="U333" s="7"/>
      <c r="V333" s="7" t="str">
        <f>+IF(U333="","",IF(U333="FINES",CONCATENATE("R",IF(OR(B333="16",B333="21",B333="22",B333="23"),"16212223",IF(OR(B333="15",B333="17",B333="24",B333="25"),"15172425",B333))),IF(U333="CEBAS","UNICO",IF(VALUE(B333)&lt;=11,"AMBA","INTERIOR"))))</f>
        <v/>
      </c>
      <c r="W333" s="38" t="str">
        <f>+IF(U333="","-",CONCATENATE(U333,"_",V333))</f>
        <v>-</v>
      </c>
      <c r="X333" s="42">
        <v>0.42499999999999999</v>
      </c>
    </row>
    <row r="334" spans="1:24" ht="15" thickBot="1">
      <c r="A334" s="5" t="s">
        <v>2916</v>
      </c>
      <c r="B334" s="5" t="s">
        <v>410</v>
      </c>
      <c r="C334" s="5" t="s">
        <v>2426</v>
      </c>
      <c r="D334" s="5" t="s">
        <v>2427</v>
      </c>
      <c r="E334" s="5">
        <v>610887</v>
      </c>
      <c r="F334" s="5">
        <v>0</v>
      </c>
      <c r="G334" s="5" t="s">
        <v>2428</v>
      </c>
      <c r="H334" s="5" t="s">
        <v>20</v>
      </c>
      <c r="I334" s="6" t="s">
        <v>50</v>
      </c>
      <c r="J334" s="6" t="s">
        <v>21</v>
      </c>
      <c r="K334" s="6"/>
      <c r="L334" s="6" t="s">
        <v>543</v>
      </c>
      <c r="M334" s="6" t="s">
        <v>200</v>
      </c>
      <c r="N334" s="6" t="s">
        <v>23</v>
      </c>
      <c r="O334" s="6" t="s">
        <v>27</v>
      </c>
      <c r="P334" s="6" t="s">
        <v>28</v>
      </c>
      <c r="Q334" s="22">
        <v>12</v>
      </c>
      <c r="R334" s="23">
        <v>1</v>
      </c>
      <c r="S334" s="39">
        <v>0</v>
      </c>
      <c r="T334" s="7" t="s">
        <v>2910</v>
      </c>
      <c r="V334" s="7" t="str">
        <f>+IF(U334="","",IF(U334="FINES",CONCATENATE("R",IF(OR(B334="16",B334="21",B334="22",B334="23"),"16212223",IF(OR(B334="15",B334="17",B334="24",B334="25"),"15172425",B334))),IF(U334="CEBAS","UNICO",IF(VALUE(B334)&lt;=11,"AMBA","INTERIOR"))))</f>
        <v/>
      </c>
      <c r="W334" s="38" t="str">
        <f>+IF(U334="","-",CONCATENATE(U334,"_",V334))</f>
        <v>-</v>
      </c>
      <c r="X334" s="42">
        <v>0.42599999999999999</v>
      </c>
    </row>
    <row r="335" spans="1:24" ht="15" thickBot="1">
      <c r="A335" s="3" t="s">
        <v>2916</v>
      </c>
      <c r="B335" s="3" t="s">
        <v>140</v>
      </c>
      <c r="C335" s="3" t="s">
        <v>539</v>
      </c>
      <c r="D335" s="3" t="s">
        <v>541</v>
      </c>
      <c r="E335" s="3">
        <v>605405</v>
      </c>
      <c r="F335" s="3">
        <v>0</v>
      </c>
      <c r="G335" s="3" t="s">
        <v>546</v>
      </c>
      <c r="H335" s="3" t="s">
        <v>20</v>
      </c>
      <c r="I335" s="4" t="s">
        <v>50</v>
      </c>
      <c r="J335" s="4" t="s">
        <v>21</v>
      </c>
      <c r="K335" s="4"/>
      <c r="L335" s="4" t="s">
        <v>547</v>
      </c>
      <c r="M335" s="4" t="s">
        <v>22</v>
      </c>
      <c r="N335" s="4" t="s">
        <v>23</v>
      </c>
      <c r="O335" s="4" t="s">
        <v>27</v>
      </c>
      <c r="P335" s="4" t="s">
        <v>28</v>
      </c>
      <c r="Q335" s="24">
        <v>23</v>
      </c>
      <c r="R335" s="25">
        <v>3</v>
      </c>
      <c r="S335" s="39">
        <v>0</v>
      </c>
      <c r="T335" s="7" t="s">
        <v>2910</v>
      </c>
      <c r="V335" s="7" t="str">
        <f>+IF(U335="","",IF(U335="FINES",CONCATENATE("R",IF(OR(B335="16",B335="21",B335="22",B335="23"),"16212223",IF(OR(B335="15",B335="17",B335="24",B335="25"),"15172425",B335))),IF(U335="CEBAS","UNICO",IF(VALUE(B335)&lt;=11,"AMBA","INTERIOR"))))</f>
        <v/>
      </c>
      <c r="W335" s="38" t="str">
        <f>+IF(U335="","-",CONCATENATE(U335,"_",V335))</f>
        <v>-</v>
      </c>
      <c r="X335" s="42">
        <v>0.42799999999999999</v>
      </c>
    </row>
    <row r="336" spans="1:24" ht="15" thickBot="1">
      <c r="A336" s="3" t="s">
        <v>2916</v>
      </c>
      <c r="B336" s="3" t="s">
        <v>19</v>
      </c>
      <c r="C336" s="3" t="s">
        <v>17</v>
      </c>
      <c r="D336" s="3" t="s">
        <v>18</v>
      </c>
      <c r="E336" s="3">
        <v>613138</v>
      </c>
      <c r="F336" s="3">
        <v>2</v>
      </c>
      <c r="G336" s="3" t="s">
        <v>72</v>
      </c>
      <c r="H336" s="3" t="s">
        <v>20</v>
      </c>
      <c r="I336" s="4" t="s">
        <v>50</v>
      </c>
      <c r="J336" s="4" t="s">
        <v>51</v>
      </c>
      <c r="K336" s="4" t="s">
        <v>70</v>
      </c>
      <c r="L336" s="4" t="s">
        <v>73</v>
      </c>
      <c r="M336" s="4" t="s">
        <v>22</v>
      </c>
      <c r="N336" s="4" t="s">
        <v>23</v>
      </c>
      <c r="O336" s="4" t="s">
        <v>27</v>
      </c>
      <c r="P336" s="4" t="s">
        <v>28</v>
      </c>
      <c r="Q336" s="24">
        <v>76</v>
      </c>
      <c r="R336" s="25">
        <v>6</v>
      </c>
      <c r="S336" s="39">
        <v>0</v>
      </c>
      <c r="T336" s="7" t="s">
        <v>2910</v>
      </c>
      <c r="U336" s="7"/>
      <c r="V336" s="7" t="str">
        <f>+IF(U336="","",IF(U336="FINES",CONCATENATE("R",IF(OR(B336="16",B336="21",B336="22",B336="23"),"16212223",IF(OR(B336="15",B336="17",B336="24",B336="25"),"15172425",B336))),IF(U336="CEBAS","UNICO",IF(VALUE(B336)&lt;=11,"AMBA","INTERIOR"))))</f>
        <v/>
      </c>
      <c r="W336" s="38" t="str">
        <f>+IF(U336="","-",CONCATENATE(U336,"_",V336))</f>
        <v>-</v>
      </c>
      <c r="X336" s="42">
        <v>0.42899999999999999</v>
      </c>
    </row>
    <row r="337" spans="1:24" ht="15" thickBot="1">
      <c r="A337" s="3" t="s">
        <v>2916</v>
      </c>
      <c r="B337" s="3" t="s">
        <v>1532</v>
      </c>
      <c r="C337" s="3" t="s">
        <v>1530</v>
      </c>
      <c r="D337" s="3" t="s">
        <v>1531</v>
      </c>
      <c r="E337" s="3">
        <v>601496</v>
      </c>
      <c r="F337" s="3">
        <v>3</v>
      </c>
      <c r="G337" s="3" t="s">
        <v>1600</v>
      </c>
      <c r="H337" s="3" t="s">
        <v>20</v>
      </c>
      <c r="I337" s="4" t="s">
        <v>50</v>
      </c>
      <c r="J337" s="4" t="s">
        <v>51</v>
      </c>
      <c r="K337" s="4" t="s">
        <v>1569</v>
      </c>
      <c r="L337" s="4" t="s">
        <v>1601</v>
      </c>
      <c r="M337" s="4" t="s">
        <v>22</v>
      </c>
      <c r="N337" s="4" t="s">
        <v>23</v>
      </c>
      <c r="O337" s="4" t="s">
        <v>27</v>
      </c>
      <c r="P337" s="4" t="s">
        <v>28</v>
      </c>
      <c r="Q337" s="24">
        <v>14</v>
      </c>
      <c r="R337" s="25">
        <v>1</v>
      </c>
      <c r="S337" s="39">
        <v>0</v>
      </c>
      <c r="T337" s="7" t="s">
        <v>2910</v>
      </c>
      <c r="U337" s="7"/>
      <c r="V337" s="7" t="str">
        <f>+IF(U337="","",IF(U337="FINES",CONCATENATE("R",IF(OR(B337="16",B337="21",B337="22",B337="23"),"16212223",IF(OR(B337="15",B337="17",B337="24",B337="25"),"15172425",B337))),IF(U337="CEBAS","UNICO",IF(VALUE(B337)&lt;=11,"AMBA","INTERIOR"))))</f>
        <v/>
      </c>
      <c r="W337" s="38" t="str">
        <f>+IF(U337="","-",CONCATENATE(U337,"_",V337))</f>
        <v>-</v>
      </c>
      <c r="X337" s="42">
        <v>0.432</v>
      </c>
    </row>
    <row r="338" spans="1:24" ht="15" thickBot="1">
      <c r="A338" s="3" t="s">
        <v>2916</v>
      </c>
      <c r="B338" s="3" t="s">
        <v>204</v>
      </c>
      <c r="C338" s="3" t="s">
        <v>137</v>
      </c>
      <c r="D338" s="3" t="s">
        <v>2629</v>
      </c>
      <c r="E338" s="3">
        <v>602948</v>
      </c>
      <c r="F338" s="3">
        <v>1</v>
      </c>
      <c r="G338" s="3" t="s">
        <v>2630</v>
      </c>
      <c r="H338" s="3" t="s">
        <v>20</v>
      </c>
      <c r="I338" s="4" t="s">
        <v>50</v>
      </c>
      <c r="J338" s="4" t="s">
        <v>51</v>
      </c>
      <c r="K338" s="4" t="s">
        <v>2631</v>
      </c>
      <c r="L338" s="4" t="s">
        <v>2632</v>
      </c>
      <c r="M338" s="4" t="s">
        <v>22</v>
      </c>
      <c r="N338" s="4" t="s">
        <v>134</v>
      </c>
      <c r="O338" s="4" t="s">
        <v>27</v>
      </c>
      <c r="P338" s="4" t="s">
        <v>28</v>
      </c>
      <c r="Q338" s="24">
        <v>19</v>
      </c>
      <c r="R338" s="25">
        <v>1</v>
      </c>
      <c r="S338" s="39">
        <v>0</v>
      </c>
      <c r="T338" s="7" t="s">
        <v>2910</v>
      </c>
      <c r="U338" s="7"/>
      <c r="V338" s="7" t="str">
        <f>+IF(U338="","",IF(U338="FINES",CONCATENATE("R",IF(OR(B338="16",B338="21",B338="22",B338="23"),"16212223",IF(OR(B338="15",B338="17",B338="24",B338="25"),"15172425",B338))),IF(U338="CEBAS","UNICO",IF(VALUE(B338)&lt;=11,"AMBA","INTERIOR"))))</f>
        <v/>
      </c>
      <c r="W338" s="38" t="str">
        <f>+IF(U338="","-",CONCATENATE(U338,"_",V338))</f>
        <v>-</v>
      </c>
      <c r="X338" s="42">
        <v>0.434</v>
      </c>
    </row>
    <row r="339" spans="1:24" ht="15" thickBot="1">
      <c r="A339" s="5" t="s">
        <v>2916</v>
      </c>
      <c r="B339" s="5" t="s">
        <v>257</v>
      </c>
      <c r="C339" s="5" t="s">
        <v>254</v>
      </c>
      <c r="D339" s="5" t="s">
        <v>256</v>
      </c>
      <c r="E339" s="5">
        <v>610852</v>
      </c>
      <c r="F339" s="5">
        <v>0</v>
      </c>
      <c r="G339" s="5" t="s">
        <v>350</v>
      </c>
      <c r="H339" s="5" t="s">
        <v>210</v>
      </c>
      <c r="I339" s="6" t="s">
        <v>110</v>
      </c>
      <c r="J339" s="6" t="s">
        <v>21</v>
      </c>
      <c r="K339" s="6"/>
      <c r="L339" s="6" t="s">
        <v>351</v>
      </c>
      <c r="M339" s="6" t="s">
        <v>22</v>
      </c>
      <c r="N339" s="6" t="s">
        <v>23</v>
      </c>
      <c r="O339" s="6" t="s">
        <v>27</v>
      </c>
      <c r="P339" s="6" t="s">
        <v>28</v>
      </c>
      <c r="Q339" s="22">
        <v>38</v>
      </c>
      <c r="R339" s="23">
        <v>3</v>
      </c>
      <c r="S339" s="39">
        <v>0</v>
      </c>
      <c r="T339" s="7" t="s">
        <v>2909</v>
      </c>
      <c r="U339" s="7"/>
      <c r="V339" s="7" t="str">
        <f>+IF(U339="","",IF(U339="FINES",CONCATENATE("R",IF(OR(B339="16",B339="21",B339="22",B339="23"),"16212223",IF(OR(B339="15",B339="17",B339="24",B339="25"),"15172425",B339))),IF(U339="CEBAS","UNICO",IF(VALUE(B339)&lt;=11,"AMBA","INTERIOR"))))</f>
        <v/>
      </c>
      <c r="W339" s="38" t="str">
        <f>+IF(U339="","-",CONCATENATE(U339,"_",V339))</f>
        <v>-</v>
      </c>
      <c r="X339" s="42">
        <v>0.436</v>
      </c>
    </row>
    <row r="340" spans="1:24" ht="15" thickBot="1">
      <c r="A340" s="3" t="s">
        <v>2916</v>
      </c>
      <c r="B340" s="3" t="s">
        <v>356</v>
      </c>
      <c r="C340" s="3" t="s">
        <v>1359</v>
      </c>
      <c r="D340" s="3" t="s">
        <v>1360</v>
      </c>
      <c r="E340" s="3">
        <v>603978</v>
      </c>
      <c r="F340" s="3">
        <v>1</v>
      </c>
      <c r="G340" s="3" t="s">
        <v>1377</v>
      </c>
      <c r="H340" s="3" t="s">
        <v>20</v>
      </c>
      <c r="I340" s="4" t="s">
        <v>50</v>
      </c>
      <c r="J340" s="4" t="s">
        <v>51</v>
      </c>
      <c r="K340" s="4" t="s">
        <v>1378</v>
      </c>
      <c r="L340" s="4" t="s">
        <v>1379</v>
      </c>
      <c r="M340" s="4" t="s">
        <v>22</v>
      </c>
      <c r="N340" s="4" t="s">
        <v>23</v>
      </c>
      <c r="O340" s="4" t="s">
        <v>27</v>
      </c>
      <c r="P340" s="4" t="s">
        <v>28</v>
      </c>
      <c r="Q340" s="24">
        <v>31</v>
      </c>
      <c r="R340" s="25">
        <v>2</v>
      </c>
      <c r="S340" s="39">
        <v>0</v>
      </c>
      <c r="T340" s="7" t="s">
        <v>2910</v>
      </c>
      <c r="V340" s="7" t="str">
        <f>+IF(U340="","",IF(U340="FINES",CONCATENATE("R",IF(OR(B340="16",B340="21",B340="22",B340="23"),"16212223",IF(OR(B340="15",B340="17",B340="24",B340="25"),"15172425",B340))),IF(U340="CEBAS","UNICO",IF(VALUE(B340)&lt;=11,"AMBA","INTERIOR"))))</f>
        <v/>
      </c>
      <c r="W340" s="38" t="str">
        <f>+IF(U340="","-",CONCATENATE(U340,"_",V340))</f>
        <v>-</v>
      </c>
      <c r="X340" s="42">
        <v>0.438</v>
      </c>
    </row>
    <row r="341" spans="1:24" ht="15" thickBot="1">
      <c r="A341" s="5" t="s">
        <v>2916</v>
      </c>
      <c r="B341" s="5" t="s">
        <v>1532</v>
      </c>
      <c r="C341" s="5" t="s">
        <v>1530</v>
      </c>
      <c r="D341" s="5" t="s">
        <v>1531</v>
      </c>
      <c r="E341" s="5">
        <v>611864</v>
      </c>
      <c r="F341" s="5">
        <v>1</v>
      </c>
      <c r="G341" s="5" t="s">
        <v>1602</v>
      </c>
      <c r="H341" s="5" t="s">
        <v>20</v>
      </c>
      <c r="I341" s="6" t="s">
        <v>50</v>
      </c>
      <c r="J341" s="6" t="s">
        <v>51</v>
      </c>
      <c r="K341" s="6" t="s">
        <v>1603</v>
      </c>
      <c r="L341" s="6" t="s">
        <v>1604</v>
      </c>
      <c r="M341" s="6" t="s">
        <v>22</v>
      </c>
      <c r="N341" s="6" t="s">
        <v>23</v>
      </c>
      <c r="O341" s="6" t="s">
        <v>27</v>
      </c>
      <c r="P341" s="6" t="s">
        <v>28</v>
      </c>
      <c r="Q341" s="22">
        <v>12</v>
      </c>
      <c r="R341" s="23">
        <v>1</v>
      </c>
      <c r="S341" s="39">
        <v>0</v>
      </c>
      <c r="T341" s="7" t="s">
        <v>2910</v>
      </c>
      <c r="V341" s="7" t="str">
        <f>+IF(U341="","",IF(U341="FINES",CONCATENATE("R",IF(OR(B341="16",B341="21",B341="22",B341="23"),"16212223",IF(OR(B341="15",B341="17",B341="24",B341="25"),"15172425",B341))),IF(U341="CEBAS","UNICO",IF(VALUE(B341)&lt;=11,"AMBA","INTERIOR"))))</f>
        <v/>
      </c>
      <c r="W341" s="38" t="str">
        <f>+IF(U341="","-",CONCATENATE(U341,"_",V341))</f>
        <v>-</v>
      </c>
      <c r="X341" s="42">
        <v>0.438</v>
      </c>
    </row>
    <row r="342" spans="1:24" ht="15" thickBot="1">
      <c r="A342" s="5" t="s">
        <v>2916</v>
      </c>
      <c r="B342" s="5" t="s">
        <v>1532</v>
      </c>
      <c r="C342" s="5" t="s">
        <v>1530</v>
      </c>
      <c r="D342" s="5" t="s">
        <v>1531</v>
      </c>
      <c r="E342" s="5">
        <v>614468</v>
      </c>
      <c r="F342" s="5">
        <v>0</v>
      </c>
      <c r="G342" s="5" t="s">
        <v>1543</v>
      </c>
      <c r="H342" s="5" t="s">
        <v>20</v>
      </c>
      <c r="I342" s="6" t="s">
        <v>25</v>
      </c>
      <c r="J342" s="6" t="s">
        <v>21</v>
      </c>
      <c r="K342" s="6"/>
      <c r="L342" s="6" t="s">
        <v>1544</v>
      </c>
      <c r="M342" s="6" t="s">
        <v>22</v>
      </c>
      <c r="N342" s="6" t="s">
        <v>134</v>
      </c>
      <c r="O342" s="6" t="s">
        <v>27</v>
      </c>
      <c r="P342" s="6" t="s">
        <v>28</v>
      </c>
      <c r="Q342" s="22">
        <v>15</v>
      </c>
      <c r="R342" s="23">
        <v>1</v>
      </c>
      <c r="S342" s="39">
        <v>0</v>
      </c>
      <c r="T342" s="7" t="s">
        <v>2910</v>
      </c>
      <c r="V342" s="7" t="str">
        <f>+IF(U342="","",IF(U342="FINES",CONCATENATE("R",IF(OR(B342="16",B342="21",B342="22",B342="23"),"16212223",IF(OR(B342="15",B342="17",B342="24",B342="25"),"15172425",B342))),IF(U342="CEBAS","UNICO",IF(VALUE(B342)&lt;=11,"AMBA","INTERIOR"))))</f>
        <v/>
      </c>
      <c r="W342" s="38" t="str">
        <f>+IF(U342="","-",CONCATENATE(U342,"_",V342))</f>
        <v>-</v>
      </c>
      <c r="X342" s="42">
        <v>0.442</v>
      </c>
    </row>
    <row r="343" spans="1:24" ht="15" thickBot="1">
      <c r="A343" s="5" t="s">
        <v>2916</v>
      </c>
      <c r="B343" s="5" t="s">
        <v>206</v>
      </c>
      <c r="C343" s="5" t="s">
        <v>2160</v>
      </c>
      <c r="D343" s="5" t="s">
        <v>2161</v>
      </c>
      <c r="E343" s="5">
        <v>608466</v>
      </c>
      <c r="F343" s="5">
        <v>0</v>
      </c>
      <c r="G343" s="5" t="s">
        <v>2162</v>
      </c>
      <c r="H343" s="5" t="s">
        <v>20</v>
      </c>
      <c r="I343" s="6" t="s">
        <v>50</v>
      </c>
      <c r="J343" s="6" t="s">
        <v>21</v>
      </c>
      <c r="K343" s="6"/>
      <c r="L343" s="6" t="s">
        <v>543</v>
      </c>
      <c r="M343" s="6" t="s">
        <v>22</v>
      </c>
      <c r="N343" s="6" t="s">
        <v>23</v>
      </c>
      <c r="O343" s="6" t="s">
        <v>27</v>
      </c>
      <c r="P343" s="6" t="s">
        <v>28</v>
      </c>
      <c r="Q343" s="22">
        <v>34</v>
      </c>
      <c r="R343" s="23">
        <v>1</v>
      </c>
      <c r="S343" s="39">
        <v>0</v>
      </c>
      <c r="T343" s="7" t="s">
        <v>2910</v>
      </c>
      <c r="V343" s="7" t="str">
        <f>+IF(U343="","",IF(U343="FINES",CONCATENATE("R",IF(OR(B343="16",B343="21",B343="22",B343="23"),"16212223",IF(OR(B343="15",B343="17",B343="24",B343="25"),"15172425",B343))),IF(U343="CEBAS","UNICO",IF(VALUE(B343)&lt;=11,"AMBA","INTERIOR"))))</f>
        <v/>
      </c>
      <c r="W343" s="38" t="str">
        <f>+IF(U343="","-",CONCATENATE(U343,"_",V343))</f>
        <v>-</v>
      </c>
      <c r="X343" s="42">
        <v>0.44400000000000001</v>
      </c>
    </row>
    <row r="344" spans="1:24" ht="15" thickBot="1">
      <c r="A344" s="5" t="s">
        <v>2916</v>
      </c>
      <c r="B344" s="5" t="s">
        <v>203</v>
      </c>
      <c r="C344" s="5" t="s">
        <v>450</v>
      </c>
      <c r="D344" s="5" t="s">
        <v>452</v>
      </c>
      <c r="E344" s="5">
        <v>611895</v>
      </c>
      <c r="F344" s="5">
        <v>1</v>
      </c>
      <c r="G344" s="5" t="s">
        <v>456</v>
      </c>
      <c r="H344" s="5" t="s">
        <v>20</v>
      </c>
      <c r="I344" s="6" t="s">
        <v>50</v>
      </c>
      <c r="J344" s="6" t="s">
        <v>51</v>
      </c>
      <c r="K344" s="6" t="s">
        <v>457</v>
      </c>
      <c r="L344" s="6" t="s">
        <v>458</v>
      </c>
      <c r="M344" s="6" t="s">
        <v>22</v>
      </c>
      <c r="N344" s="6" t="s">
        <v>23</v>
      </c>
      <c r="O344" s="6" t="s">
        <v>27</v>
      </c>
      <c r="P344" s="6" t="s">
        <v>28</v>
      </c>
      <c r="Q344" s="22">
        <v>11</v>
      </c>
      <c r="R344" s="23">
        <v>1</v>
      </c>
      <c r="S344" s="39">
        <v>0</v>
      </c>
      <c r="T344" s="7" t="s">
        <v>2910</v>
      </c>
      <c r="V344" s="7" t="str">
        <f>+IF(U344="","",IF(U344="FINES",CONCATENATE("R",IF(OR(B344="16",B344="21",B344="22",B344="23"),"16212223",IF(OR(B344="15",B344="17",B344="24",B344="25"),"15172425",B344))),IF(U344="CEBAS","UNICO",IF(VALUE(B344)&lt;=11,"AMBA","INTERIOR"))))</f>
        <v/>
      </c>
      <c r="W344" s="38" t="str">
        <f>+IF(U344="","-",CONCATENATE(U344,"_",V344))</f>
        <v>-</v>
      </c>
      <c r="X344" s="42">
        <v>0.44400000000000001</v>
      </c>
    </row>
    <row r="345" spans="1:24" ht="15" thickBot="1">
      <c r="A345" s="3" t="s">
        <v>2916</v>
      </c>
      <c r="B345" s="3" t="s">
        <v>1532</v>
      </c>
      <c r="C345" s="3" t="s">
        <v>1530</v>
      </c>
      <c r="D345" s="3" t="s">
        <v>1531</v>
      </c>
      <c r="E345" s="3">
        <v>601496</v>
      </c>
      <c r="F345" s="3">
        <v>2</v>
      </c>
      <c r="G345" s="3" t="s">
        <v>1597</v>
      </c>
      <c r="H345" s="3" t="s">
        <v>20</v>
      </c>
      <c r="I345" s="4" t="s">
        <v>50</v>
      </c>
      <c r="J345" s="4" t="s">
        <v>51</v>
      </c>
      <c r="K345" s="4" t="s">
        <v>1569</v>
      </c>
      <c r="L345" s="4" t="s">
        <v>1598</v>
      </c>
      <c r="M345" s="4" t="s">
        <v>22</v>
      </c>
      <c r="N345" s="4" t="s">
        <v>23</v>
      </c>
      <c r="O345" s="4" t="s">
        <v>27</v>
      </c>
      <c r="P345" s="4" t="s">
        <v>28</v>
      </c>
      <c r="Q345" s="24">
        <v>20</v>
      </c>
      <c r="R345" s="25">
        <v>2</v>
      </c>
      <c r="S345" s="39">
        <v>0</v>
      </c>
      <c r="T345" s="7" t="s">
        <v>2910</v>
      </c>
      <c r="V345" s="7" t="str">
        <f>+IF(U345="","",IF(U345="FINES",CONCATENATE("R",IF(OR(B345="16",B345="21",B345="22",B345="23"),"16212223",IF(OR(B345="15",B345="17",B345="24",B345="25"),"15172425",B345))),IF(U345="CEBAS","UNICO",IF(VALUE(B345)&lt;=11,"AMBA","INTERIOR"))))</f>
        <v/>
      </c>
      <c r="W345" s="38" t="str">
        <f>+IF(U345="","-",CONCATENATE(U345,"_",V345))</f>
        <v>-</v>
      </c>
      <c r="X345" s="42">
        <v>0.44400000000000001</v>
      </c>
    </row>
    <row r="346" spans="1:24" ht="15" thickBot="1">
      <c r="A346" s="3" t="s">
        <v>2916</v>
      </c>
      <c r="B346" s="3" t="s">
        <v>223</v>
      </c>
      <c r="C346" s="3" t="s">
        <v>714</v>
      </c>
      <c r="D346" s="3" t="s">
        <v>715</v>
      </c>
      <c r="E346" s="3">
        <v>611254</v>
      </c>
      <c r="F346" s="3">
        <v>0</v>
      </c>
      <c r="G346" s="3" t="s">
        <v>720</v>
      </c>
      <c r="H346" s="3" t="s">
        <v>20</v>
      </c>
      <c r="I346" s="4" t="s">
        <v>50</v>
      </c>
      <c r="J346" s="4" t="s">
        <v>21</v>
      </c>
      <c r="K346" s="4"/>
      <c r="L346" s="4" t="s">
        <v>721</v>
      </c>
      <c r="M346" s="4" t="s">
        <v>22</v>
      </c>
      <c r="N346" s="4" t="s">
        <v>23</v>
      </c>
      <c r="O346" s="4" t="s">
        <v>27</v>
      </c>
      <c r="P346" s="4" t="s">
        <v>28</v>
      </c>
      <c r="Q346" s="24">
        <v>5</v>
      </c>
      <c r="R346" s="25">
        <v>1</v>
      </c>
      <c r="S346" s="39">
        <v>0</v>
      </c>
      <c r="T346" s="7" t="s">
        <v>2910</v>
      </c>
      <c r="V346" s="7" t="str">
        <f>+IF(U346="","",IF(U346="FINES",CONCATENATE("R",IF(OR(B346="16",B346="21",B346="22",B346="23"),"16212223",IF(OR(B346="15",B346="17",B346="24",B346="25"),"15172425",B346))),IF(U346="CEBAS","UNICO",IF(VALUE(B346)&lt;=11,"AMBA","INTERIOR"))))</f>
        <v/>
      </c>
      <c r="W346" s="38" t="str">
        <f>+IF(U346="","-",CONCATENATE(U346,"_",V346))</f>
        <v>-</v>
      </c>
      <c r="X346" s="42">
        <v>0.44500000000000001</v>
      </c>
    </row>
    <row r="347" spans="1:24" ht="15" thickBot="1">
      <c r="A347" s="3" t="s">
        <v>2916</v>
      </c>
      <c r="B347" s="3" t="s">
        <v>135</v>
      </c>
      <c r="C347" s="3" t="s">
        <v>1330</v>
      </c>
      <c r="D347" s="3" t="s">
        <v>1331</v>
      </c>
      <c r="E347" s="3">
        <v>609753</v>
      </c>
      <c r="F347" s="3">
        <v>2</v>
      </c>
      <c r="G347" s="3" t="s">
        <v>1335</v>
      </c>
      <c r="H347" s="3" t="s">
        <v>20</v>
      </c>
      <c r="I347" s="4" t="s">
        <v>50</v>
      </c>
      <c r="J347" s="4" t="s">
        <v>51</v>
      </c>
      <c r="K347" s="4" t="s">
        <v>1334</v>
      </c>
      <c r="L347" s="4" t="s">
        <v>528</v>
      </c>
      <c r="M347" s="4" t="s">
        <v>22</v>
      </c>
      <c r="N347" s="4" t="s">
        <v>23</v>
      </c>
      <c r="O347" s="4" t="s">
        <v>27</v>
      </c>
      <c r="P347" s="4" t="s">
        <v>28</v>
      </c>
      <c r="Q347" s="24">
        <v>50</v>
      </c>
      <c r="R347" s="25">
        <v>3</v>
      </c>
      <c r="S347" s="39">
        <v>0</v>
      </c>
      <c r="T347" s="7" t="s">
        <v>2910</v>
      </c>
      <c r="V347" s="7" t="str">
        <f>+IF(U347="","",IF(U347="FINES",CONCATENATE("R",IF(OR(B347="16",B347="21",B347="22",B347="23"),"16212223",IF(OR(B347="15",B347="17",B347="24",B347="25"),"15172425",B347))),IF(U347="CEBAS","UNICO",IF(VALUE(B347)&lt;=11,"AMBA","INTERIOR"))))</f>
        <v/>
      </c>
      <c r="W347" s="38" t="str">
        <f>+IF(U347="","-",CONCATENATE(U347,"_",V347))</f>
        <v>-</v>
      </c>
      <c r="X347" s="42">
        <v>0.44800000000000001</v>
      </c>
    </row>
    <row r="348" spans="1:24" ht="15" thickBot="1">
      <c r="A348" s="5" t="s">
        <v>2916</v>
      </c>
      <c r="B348" s="5" t="s">
        <v>222</v>
      </c>
      <c r="C348" s="5" t="s">
        <v>227</v>
      </c>
      <c r="D348" s="5" t="s">
        <v>2603</v>
      </c>
      <c r="E348" s="5">
        <v>613902</v>
      </c>
      <c r="F348" s="5">
        <v>2</v>
      </c>
      <c r="G348" s="5" t="s">
        <v>2612</v>
      </c>
      <c r="H348" s="5" t="s">
        <v>20</v>
      </c>
      <c r="I348" s="6" t="s">
        <v>50</v>
      </c>
      <c r="J348" s="6" t="s">
        <v>51</v>
      </c>
      <c r="K348" s="6" t="s">
        <v>2605</v>
      </c>
      <c r="L348" s="6" t="s">
        <v>2613</v>
      </c>
      <c r="M348" s="6" t="s">
        <v>22</v>
      </c>
      <c r="N348" s="6" t="s">
        <v>23</v>
      </c>
      <c r="O348" s="6" t="s">
        <v>27</v>
      </c>
      <c r="P348" s="6" t="s">
        <v>28</v>
      </c>
      <c r="Q348" s="22">
        <v>16</v>
      </c>
      <c r="R348" s="23">
        <v>1</v>
      </c>
      <c r="S348" s="39">
        <v>0</v>
      </c>
      <c r="T348" s="7" t="s">
        <v>2910</v>
      </c>
      <c r="V348" s="7" t="str">
        <f>+IF(U348="","",IF(U348="FINES",CONCATENATE("R",IF(OR(B348="16",B348="21",B348="22",B348="23"),"16212223",IF(OR(B348="15",B348="17",B348="24",B348="25"),"15172425",B348))),IF(U348="CEBAS","UNICO",IF(VALUE(B348)&lt;=11,"AMBA","INTERIOR"))))</f>
        <v/>
      </c>
      <c r="W348" s="38" t="str">
        <f>+IF(U348="","-",CONCATENATE(U348,"_",V348))</f>
        <v>-</v>
      </c>
      <c r="X348" s="42">
        <v>0.44900000000000001</v>
      </c>
    </row>
    <row r="349" spans="1:24" ht="15" thickBot="1">
      <c r="A349" s="5" t="s">
        <v>2916</v>
      </c>
      <c r="B349" s="5" t="s">
        <v>257</v>
      </c>
      <c r="C349" s="5" t="s">
        <v>254</v>
      </c>
      <c r="D349" s="5" t="s">
        <v>256</v>
      </c>
      <c r="E349" s="5">
        <v>613279</v>
      </c>
      <c r="F349" s="5">
        <v>3</v>
      </c>
      <c r="G349" s="5" t="s">
        <v>314</v>
      </c>
      <c r="H349" s="5" t="s">
        <v>20</v>
      </c>
      <c r="I349" s="6" t="s">
        <v>50</v>
      </c>
      <c r="J349" s="6" t="s">
        <v>51</v>
      </c>
      <c r="K349" s="6" t="s">
        <v>264</v>
      </c>
      <c r="L349" s="6" t="s">
        <v>315</v>
      </c>
      <c r="M349" s="6" t="s">
        <v>22</v>
      </c>
      <c r="N349" s="6" t="s">
        <v>23</v>
      </c>
      <c r="O349" s="6" t="s">
        <v>27</v>
      </c>
      <c r="P349" s="6" t="s">
        <v>28</v>
      </c>
      <c r="Q349" s="22">
        <v>81</v>
      </c>
      <c r="R349" s="23">
        <v>5</v>
      </c>
      <c r="S349" s="39">
        <v>0</v>
      </c>
      <c r="T349" s="7" t="s">
        <v>2910</v>
      </c>
      <c r="V349" s="7" t="str">
        <f>+IF(U349="","",IF(U349="FINES",CONCATENATE("R",IF(OR(B349="16",B349="21",B349="22",B349="23"),"16212223",IF(OR(B349="15",B349="17",B349="24",B349="25"),"15172425",B349))),IF(U349="CEBAS","UNICO",IF(VALUE(B349)&lt;=11,"AMBA","INTERIOR"))))</f>
        <v/>
      </c>
      <c r="W349" s="38" t="str">
        <f>+IF(U349="","-",CONCATENATE(U349,"_",V349))</f>
        <v>-</v>
      </c>
      <c r="X349" s="42">
        <v>0.44900000000000001</v>
      </c>
    </row>
    <row r="350" spans="1:24" ht="15" thickBot="1">
      <c r="A350" s="3" t="s">
        <v>2916</v>
      </c>
      <c r="B350" s="3" t="s">
        <v>410</v>
      </c>
      <c r="C350" s="3" t="s">
        <v>570</v>
      </c>
      <c r="D350" s="3" t="s">
        <v>2717</v>
      </c>
      <c r="E350" s="3">
        <v>607890</v>
      </c>
      <c r="F350" s="3">
        <v>2</v>
      </c>
      <c r="G350" s="3" t="s">
        <v>2725</v>
      </c>
      <c r="H350" s="3" t="s">
        <v>20</v>
      </c>
      <c r="I350" s="4" t="s">
        <v>50</v>
      </c>
      <c r="J350" s="4" t="s">
        <v>51</v>
      </c>
      <c r="K350" s="4" t="s">
        <v>2720</v>
      </c>
      <c r="L350" s="4" t="s">
        <v>2726</v>
      </c>
      <c r="M350" s="4" t="s">
        <v>22</v>
      </c>
      <c r="N350" s="4" t="s">
        <v>23</v>
      </c>
      <c r="O350" s="4" t="s">
        <v>27</v>
      </c>
      <c r="P350" s="4" t="s">
        <v>28</v>
      </c>
      <c r="Q350" s="24">
        <v>32</v>
      </c>
      <c r="R350" s="25">
        <v>4</v>
      </c>
      <c r="S350" s="39">
        <v>0</v>
      </c>
      <c r="T350" s="7" t="s">
        <v>2910</v>
      </c>
      <c r="V350" s="7" t="str">
        <f>+IF(U350="","",IF(U350="FINES",CONCATENATE("R",IF(OR(B350="16",B350="21",B350="22",B350="23"),"16212223",IF(OR(B350="15",B350="17",B350="24",B350="25"),"15172425",B350))),IF(U350="CEBAS","UNICO",IF(VALUE(B350)&lt;=11,"AMBA","INTERIOR"))))</f>
        <v/>
      </c>
      <c r="W350" s="38" t="str">
        <f>+IF(U350="","-",CONCATENATE(U350,"_",V350))</f>
        <v>-</v>
      </c>
      <c r="X350" s="42">
        <v>0.45100000000000001</v>
      </c>
    </row>
    <row r="351" spans="1:24" ht="15" thickBot="1">
      <c r="A351" s="3" t="s">
        <v>2916</v>
      </c>
      <c r="B351" s="3" t="s">
        <v>140</v>
      </c>
      <c r="C351" s="3" t="s">
        <v>2149</v>
      </c>
      <c r="D351" s="3" t="s">
        <v>2150</v>
      </c>
      <c r="E351" s="3">
        <v>610868</v>
      </c>
      <c r="F351" s="3">
        <v>2</v>
      </c>
      <c r="G351" s="3" t="s">
        <v>2154</v>
      </c>
      <c r="H351" s="3" t="s">
        <v>20</v>
      </c>
      <c r="I351" s="4" t="s">
        <v>50</v>
      </c>
      <c r="J351" s="4" t="s">
        <v>51</v>
      </c>
      <c r="K351" s="4" t="s">
        <v>2153</v>
      </c>
      <c r="L351" s="4" t="s">
        <v>528</v>
      </c>
      <c r="M351" s="4" t="s">
        <v>22</v>
      </c>
      <c r="N351" s="4" t="s">
        <v>23</v>
      </c>
      <c r="O351" s="4" t="s">
        <v>27</v>
      </c>
      <c r="P351" s="4" t="s">
        <v>28</v>
      </c>
      <c r="Q351" s="24">
        <v>32</v>
      </c>
      <c r="R351" s="25">
        <v>2</v>
      </c>
      <c r="S351" s="39">
        <v>0</v>
      </c>
      <c r="T351" s="7" t="s">
        <v>2910</v>
      </c>
      <c r="U351" s="7"/>
      <c r="V351" s="7" t="str">
        <f>+IF(U351="","",IF(U351="FINES",CONCATENATE("R",IF(OR(B351="16",B351="21",B351="22",B351="23"),"16212223",IF(OR(B351="15",B351="17",B351="24",B351="25"),"15172425",B351))),IF(U351="CEBAS","UNICO",IF(VALUE(B351)&lt;=11,"AMBA","INTERIOR"))))</f>
        <v/>
      </c>
      <c r="W351" s="38" t="str">
        <f>+IF(U351="","-",CONCATENATE(U351,"_",V351))</f>
        <v>-</v>
      </c>
      <c r="X351" s="42">
        <v>0.45100000000000001</v>
      </c>
    </row>
    <row r="352" spans="1:24" ht="15" thickBot="1">
      <c r="A352" s="5" t="s">
        <v>2916</v>
      </c>
      <c r="B352" s="5" t="s">
        <v>203</v>
      </c>
      <c r="C352" s="5" t="s">
        <v>450</v>
      </c>
      <c r="D352" s="5" t="s">
        <v>452</v>
      </c>
      <c r="E352" s="5">
        <v>605439</v>
      </c>
      <c r="F352" s="5">
        <v>2</v>
      </c>
      <c r="G352" s="5" t="s">
        <v>479</v>
      </c>
      <c r="H352" s="5" t="s">
        <v>20</v>
      </c>
      <c r="I352" s="6" t="s">
        <v>50</v>
      </c>
      <c r="J352" s="6" t="s">
        <v>51</v>
      </c>
      <c r="K352" s="6" t="s">
        <v>477</v>
      </c>
      <c r="L352" s="6" t="s">
        <v>480</v>
      </c>
      <c r="M352" s="6" t="s">
        <v>22</v>
      </c>
      <c r="N352" s="6" t="s">
        <v>23</v>
      </c>
      <c r="O352" s="6" t="s">
        <v>27</v>
      </c>
      <c r="P352" s="6" t="s">
        <v>28</v>
      </c>
      <c r="Q352" s="22">
        <v>14</v>
      </c>
      <c r="R352" s="23">
        <v>1</v>
      </c>
      <c r="S352" s="39">
        <v>0</v>
      </c>
      <c r="T352" s="7" t="s">
        <v>2910</v>
      </c>
      <c r="U352" s="7"/>
      <c r="V352" s="7" t="str">
        <f>+IF(U352="","",IF(U352="FINES",CONCATENATE("R",IF(OR(B352="16",B352="21",B352="22",B352="23"),"16212223",IF(OR(B352="15",B352="17",B352="24",B352="25"),"15172425",B352))),IF(U352="CEBAS","UNICO",IF(VALUE(B352)&lt;=11,"AMBA","INTERIOR"))))</f>
        <v/>
      </c>
      <c r="W352" s="38" t="str">
        <f>+IF(U352="","-",CONCATENATE(U352,"_",V352))</f>
        <v>-</v>
      </c>
      <c r="X352" s="42">
        <v>0.45500000000000002</v>
      </c>
    </row>
    <row r="353" spans="1:24" ht="15" thickBot="1">
      <c r="A353" s="5" t="s">
        <v>2916</v>
      </c>
      <c r="B353" s="5" t="s">
        <v>225</v>
      </c>
      <c r="C353" s="5" t="s">
        <v>942</v>
      </c>
      <c r="D353" s="5" t="s">
        <v>943</v>
      </c>
      <c r="E353" s="5">
        <v>611694</v>
      </c>
      <c r="F353" s="5">
        <v>1</v>
      </c>
      <c r="G353" s="5" t="s">
        <v>950</v>
      </c>
      <c r="H353" s="5" t="s">
        <v>20</v>
      </c>
      <c r="I353" s="6" t="s">
        <v>50</v>
      </c>
      <c r="J353" s="6" t="s">
        <v>51</v>
      </c>
      <c r="K353" s="6" t="s">
        <v>951</v>
      </c>
      <c r="L353" s="6" t="s">
        <v>952</v>
      </c>
      <c r="M353" s="6" t="s">
        <v>22</v>
      </c>
      <c r="N353" s="6" t="s">
        <v>23</v>
      </c>
      <c r="O353" s="6" t="s">
        <v>27</v>
      </c>
      <c r="P353" s="6" t="s">
        <v>28</v>
      </c>
      <c r="Q353" s="22">
        <v>23</v>
      </c>
      <c r="R353" s="23">
        <v>2</v>
      </c>
      <c r="S353" s="39">
        <v>0</v>
      </c>
      <c r="T353" s="7" t="s">
        <v>2910</v>
      </c>
      <c r="U353" s="7"/>
      <c r="V353" s="7" t="str">
        <f>+IF(U353="","",IF(U353="FINES",CONCATENATE("R",IF(OR(B353="16",B353="21",B353="22",B353="23"),"16212223",IF(OR(B353="15",B353="17",B353="24",B353="25"),"15172425",B353))),IF(U353="CEBAS","UNICO",IF(VALUE(B353)&lt;=11,"AMBA","INTERIOR"))))</f>
        <v/>
      </c>
      <c r="W353" s="38" t="str">
        <f>+IF(U353="","-",CONCATENATE(U353,"_",V353))</f>
        <v>-</v>
      </c>
      <c r="X353" s="42">
        <v>0.45800000000000002</v>
      </c>
    </row>
    <row r="354" spans="1:24" ht="15" thickBot="1">
      <c r="A354" s="3" t="s">
        <v>2916</v>
      </c>
      <c r="B354" s="3" t="s">
        <v>1532</v>
      </c>
      <c r="C354" s="3" t="s">
        <v>1530</v>
      </c>
      <c r="D354" s="3" t="s">
        <v>1531</v>
      </c>
      <c r="E354" s="3">
        <v>614406</v>
      </c>
      <c r="F354" s="3">
        <v>0</v>
      </c>
      <c r="G354" s="3" t="s">
        <v>1533</v>
      </c>
      <c r="H354" s="3" t="s">
        <v>20</v>
      </c>
      <c r="I354" s="4" t="s">
        <v>25</v>
      </c>
      <c r="J354" s="4" t="s">
        <v>21</v>
      </c>
      <c r="K354" s="4"/>
      <c r="L354" s="4" t="s">
        <v>1534</v>
      </c>
      <c r="M354" s="4" t="s">
        <v>22</v>
      </c>
      <c r="N354" s="4" t="s">
        <v>23</v>
      </c>
      <c r="O354" s="4" t="s">
        <v>27</v>
      </c>
      <c r="P354" s="4" t="s">
        <v>28</v>
      </c>
      <c r="Q354" s="24">
        <v>13</v>
      </c>
      <c r="R354" s="25">
        <v>1</v>
      </c>
      <c r="S354" s="39">
        <v>0</v>
      </c>
      <c r="T354" s="7" t="s">
        <v>2910</v>
      </c>
      <c r="U354" s="7"/>
      <c r="V354" s="7" t="str">
        <f>+IF(U354="","",IF(U354="FINES",CONCATENATE("R",IF(OR(B354="16",B354="21",B354="22",B354="23"),"16212223",IF(OR(B354="15",B354="17",B354="24",B354="25"),"15172425",B354))),IF(U354="CEBAS","UNICO",IF(VALUE(B354)&lt;=11,"AMBA","INTERIOR"))))</f>
        <v/>
      </c>
      <c r="W354" s="38" t="str">
        <f>+IF(U354="","-",CONCATENATE(U354,"_",V354))</f>
        <v>-</v>
      </c>
      <c r="X354" s="42">
        <v>0.46200000000000002</v>
      </c>
    </row>
    <row r="355" spans="1:24" ht="15" thickBot="1">
      <c r="A355" s="3" t="s">
        <v>2916</v>
      </c>
      <c r="B355" s="3" t="s">
        <v>225</v>
      </c>
      <c r="C355" s="3" t="s">
        <v>942</v>
      </c>
      <c r="D355" s="3" t="s">
        <v>943</v>
      </c>
      <c r="E355" s="3">
        <v>609144</v>
      </c>
      <c r="F355" s="3">
        <v>2</v>
      </c>
      <c r="G355" s="3" t="s">
        <v>964</v>
      </c>
      <c r="H355" s="3" t="s">
        <v>20</v>
      </c>
      <c r="I355" s="4" t="s">
        <v>50</v>
      </c>
      <c r="J355" s="4" t="s">
        <v>51</v>
      </c>
      <c r="K355" s="4" t="s">
        <v>962</v>
      </c>
      <c r="L355" s="4" t="s">
        <v>369</v>
      </c>
      <c r="M355" s="4" t="s">
        <v>22</v>
      </c>
      <c r="N355" s="4" t="s">
        <v>23</v>
      </c>
      <c r="O355" s="4" t="s">
        <v>27</v>
      </c>
      <c r="P355" s="4" t="s">
        <v>28</v>
      </c>
      <c r="Q355" s="24">
        <v>45</v>
      </c>
      <c r="R355" s="25">
        <v>3</v>
      </c>
      <c r="S355" s="39">
        <v>0</v>
      </c>
      <c r="T355" s="7" t="s">
        <v>2910</v>
      </c>
      <c r="U355" s="7"/>
      <c r="V355" s="7" t="str">
        <f>+IF(U355="","",IF(U355="FINES",CONCATENATE("R",IF(OR(B355="16",B355="21",B355="22",B355="23"),"16212223",IF(OR(B355="15",B355="17",B355="24",B355="25"),"15172425",B355))),IF(U355="CEBAS","UNICO",IF(VALUE(B355)&lt;=11,"AMBA","INTERIOR"))))</f>
        <v/>
      </c>
      <c r="W355" s="38" t="str">
        <f>+IF(U355="","-",CONCATENATE(U355,"_",V355))</f>
        <v>-</v>
      </c>
      <c r="X355" s="42">
        <v>0.46300000000000002</v>
      </c>
    </row>
    <row r="356" spans="1:24" ht="15" thickBot="1">
      <c r="A356" s="3" t="s">
        <v>2916</v>
      </c>
      <c r="B356" s="3" t="s">
        <v>356</v>
      </c>
      <c r="C356" s="3" t="s">
        <v>1359</v>
      </c>
      <c r="D356" s="3" t="s">
        <v>1360</v>
      </c>
      <c r="E356" s="3">
        <v>602956</v>
      </c>
      <c r="F356" s="3">
        <v>1</v>
      </c>
      <c r="G356" s="3" t="s">
        <v>1369</v>
      </c>
      <c r="H356" s="3" t="s">
        <v>20</v>
      </c>
      <c r="I356" s="4" t="s">
        <v>50</v>
      </c>
      <c r="J356" s="4" t="s">
        <v>51</v>
      </c>
      <c r="K356" s="4" t="s">
        <v>1367</v>
      </c>
      <c r="L356" s="4" t="s">
        <v>1370</v>
      </c>
      <c r="M356" s="4" t="s">
        <v>22</v>
      </c>
      <c r="N356" s="4" t="s">
        <v>23</v>
      </c>
      <c r="O356" s="4" t="s">
        <v>27</v>
      </c>
      <c r="P356" s="4" t="s">
        <v>28</v>
      </c>
      <c r="Q356" s="24">
        <v>22</v>
      </c>
      <c r="R356" s="25">
        <v>2</v>
      </c>
      <c r="S356" s="39">
        <v>0</v>
      </c>
      <c r="T356" s="7" t="s">
        <v>2910</v>
      </c>
      <c r="U356" s="7"/>
      <c r="V356" s="7" t="str">
        <f>+IF(U356="","",IF(U356="FINES",CONCATENATE("R",IF(OR(B356="16",B356="21",B356="22",B356="23"),"16212223",IF(OR(B356="15",B356="17",B356="24",B356="25"),"15172425",B356))),IF(U356="CEBAS","UNICO",IF(VALUE(B356)&lt;=11,"AMBA","INTERIOR"))))</f>
        <v/>
      </c>
      <c r="W356" s="38" t="str">
        <f>+IF(U356="","-",CONCATENATE(U356,"_",V356))</f>
        <v>-</v>
      </c>
      <c r="X356" s="42">
        <v>0.46300000000000002</v>
      </c>
    </row>
    <row r="357" spans="1:24" ht="15" thickBot="1">
      <c r="A357" s="3" t="s">
        <v>2916</v>
      </c>
      <c r="B357" s="3" t="s">
        <v>1860</v>
      </c>
      <c r="C357" s="3" t="s">
        <v>875</v>
      </c>
      <c r="D357" s="3" t="s">
        <v>2816</v>
      </c>
      <c r="E357" s="3">
        <v>602107</v>
      </c>
      <c r="F357" s="3">
        <v>1</v>
      </c>
      <c r="G357" s="3" t="s">
        <v>2817</v>
      </c>
      <c r="H357" s="3" t="s">
        <v>20</v>
      </c>
      <c r="I357" s="4" t="s">
        <v>50</v>
      </c>
      <c r="J357" s="4" t="s">
        <v>51</v>
      </c>
      <c r="K357" s="4" t="s">
        <v>2818</v>
      </c>
      <c r="L357" s="4" t="s">
        <v>765</v>
      </c>
      <c r="M357" s="4" t="s">
        <v>22</v>
      </c>
      <c r="N357" s="4" t="s">
        <v>23</v>
      </c>
      <c r="O357" s="4" t="s">
        <v>27</v>
      </c>
      <c r="P357" s="4" t="s">
        <v>28</v>
      </c>
      <c r="Q357" s="24">
        <v>22</v>
      </c>
      <c r="R357" s="25">
        <v>2</v>
      </c>
      <c r="S357" s="39">
        <v>0</v>
      </c>
      <c r="T357" s="7" t="s">
        <v>2910</v>
      </c>
      <c r="U357" s="7"/>
      <c r="V357" s="7" t="str">
        <f>+IF(U357="","",IF(U357="FINES",CONCATENATE("R",IF(OR(B357="16",B357="21",B357="22",B357="23"),"16212223",IF(OR(B357="15",B357="17",B357="24",B357="25"),"15172425",B357))),IF(U357="CEBAS","UNICO",IF(VALUE(B357)&lt;=11,"AMBA","INTERIOR"))))</f>
        <v/>
      </c>
      <c r="W357" s="38" t="str">
        <f>+IF(U357="","-",CONCATENATE(U357,"_",V357))</f>
        <v>-</v>
      </c>
      <c r="X357" s="42">
        <v>0.46300000000000002</v>
      </c>
    </row>
    <row r="358" spans="1:24" ht="15" thickBot="1">
      <c r="A358" s="5" t="s">
        <v>2916</v>
      </c>
      <c r="B358" s="5" t="s">
        <v>817</v>
      </c>
      <c r="C358" s="5" t="s">
        <v>600</v>
      </c>
      <c r="D358" s="5" t="s">
        <v>2661</v>
      </c>
      <c r="E358" s="5">
        <v>610597</v>
      </c>
      <c r="F358" s="5">
        <v>2</v>
      </c>
      <c r="G358" s="5" t="s">
        <v>2665</v>
      </c>
      <c r="H358" s="5" t="s">
        <v>20</v>
      </c>
      <c r="I358" s="6" t="s">
        <v>50</v>
      </c>
      <c r="J358" s="6" t="s">
        <v>51</v>
      </c>
      <c r="K358" s="6" t="s">
        <v>2663</v>
      </c>
      <c r="L358" s="6" t="s">
        <v>2666</v>
      </c>
      <c r="M358" s="6" t="s">
        <v>22</v>
      </c>
      <c r="N358" s="6" t="s">
        <v>23</v>
      </c>
      <c r="O358" s="6" t="s">
        <v>27</v>
      </c>
      <c r="P358" s="6" t="s">
        <v>28</v>
      </c>
      <c r="Q358" s="22">
        <v>12</v>
      </c>
      <c r="R358" s="23">
        <v>2</v>
      </c>
      <c r="S358" s="39">
        <v>0</v>
      </c>
      <c r="T358" s="7" t="s">
        <v>2910</v>
      </c>
      <c r="U358" s="7"/>
      <c r="V358" s="7" t="str">
        <f>+IF(U358="","",IF(U358="FINES",CONCATENATE("R",IF(OR(B358="16",B358="21",B358="22",B358="23"),"16212223",IF(OR(B358="15",B358="17",B358="24",B358="25"),"15172425",B358))),IF(U358="CEBAS","UNICO",IF(VALUE(B358)&lt;=11,"AMBA","INTERIOR"))))</f>
        <v/>
      </c>
      <c r="W358" s="38" t="str">
        <f>+IF(U358="","-",CONCATENATE(U358,"_",V358))</f>
        <v>-</v>
      </c>
      <c r="X358" s="42">
        <v>0.46300000000000002</v>
      </c>
    </row>
    <row r="359" spans="1:24" ht="15" thickBot="1">
      <c r="A359" s="3" t="s">
        <v>2916</v>
      </c>
      <c r="B359" s="3" t="s">
        <v>140</v>
      </c>
      <c r="C359" s="3" t="s">
        <v>2277</v>
      </c>
      <c r="D359" s="3" t="s">
        <v>2278</v>
      </c>
      <c r="E359" s="3">
        <v>601234</v>
      </c>
      <c r="F359" s="3">
        <v>2</v>
      </c>
      <c r="G359" s="3" t="s">
        <v>2286</v>
      </c>
      <c r="H359" s="3" t="s">
        <v>20</v>
      </c>
      <c r="I359" s="4" t="s">
        <v>50</v>
      </c>
      <c r="J359" s="4" t="s">
        <v>51</v>
      </c>
      <c r="K359" s="4" t="s">
        <v>2284</v>
      </c>
      <c r="L359" s="4" t="s">
        <v>2287</v>
      </c>
      <c r="M359" s="4" t="s">
        <v>22</v>
      </c>
      <c r="N359" s="4" t="s">
        <v>23</v>
      </c>
      <c r="O359" s="4" t="s">
        <v>27</v>
      </c>
      <c r="P359" s="4" t="s">
        <v>28</v>
      </c>
      <c r="Q359" s="24">
        <v>11</v>
      </c>
      <c r="R359" s="25">
        <v>1</v>
      </c>
      <c r="S359" s="39">
        <v>0</v>
      </c>
      <c r="T359" s="7" t="s">
        <v>2910</v>
      </c>
      <c r="U359" s="7"/>
      <c r="V359" s="7" t="str">
        <f>+IF(U359="","",IF(U359="FINES",CONCATENATE("R",IF(OR(B359="16",B359="21",B359="22",B359="23"),"16212223",IF(OR(B359="15",B359="17",B359="24",B359="25"),"15172425",B359))),IF(U359="CEBAS","UNICO",IF(VALUE(B359)&lt;=11,"AMBA","INTERIOR"))))</f>
        <v/>
      </c>
      <c r="W359" s="38" t="str">
        <f>+IF(U359="","-",CONCATENATE(U359,"_",V359))</f>
        <v>-</v>
      </c>
      <c r="X359" s="42">
        <v>0.46500000000000002</v>
      </c>
    </row>
    <row r="360" spans="1:24" ht="15" thickBot="1">
      <c r="A360" s="3" t="s">
        <v>2916</v>
      </c>
      <c r="B360" s="3" t="s">
        <v>1257</v>
      </c>
      <c r="C360" s="3" t="s">
        <v>519</v>
      </c>
      <c r="D360" s="3" t="s">
        <v>2470</v>
      </c>
      <c r="E360" s="3">
        <v>602305</v>
      </c>
      <c r="F360" s="3">
        <v>3</v>
      </c>
      <c r="G360" s="3" t="s">
        <v>2475</v>
      </c>
      <c r="H360" s="3" t="s">
        <v>20</v>
      </c>
      <c r="I360" s="4" t="s">
        <v>50</v>
      </c>
      <c r="J360" s="4" t="s">
        <v>51</v>
      </c>
      <c r="K360" s="4" t="s">
        <v>2474</v>
      </c>
      <c r="L360" s="4" t="s">
        <v>526</v>
      </c>
      <c r="M360" s="4" t="s">
        <v>22</v>
      </c>
      <c r="N360" s="4" t="s">
        <v>23</v>
      </c>
      <c r="O360" s="4" t="s">
        <v>27</v>
      </c>
      <c r="P360" s="4" t="s">
        <v>28</v>
      </c>
      <c r="Q360" s="24">
        <v>32</v>
      </c>
      <c r="R360" s="25">
        <v>2</v>
      </c>
      <c r="S360" s="39">
        <v>0</v>
      </c>
      <c r="T360" s="7" t="s">
        <v>2910</v>
      </c>
      <c r="U360" s="7"/>
      <c r="V360" s="7" t="str">
        <f>+IF(U360="","",IF(U360="FINES",CONCATENATE("R",IF(OR(B360="16",B360="21",B360="22",B360="23"),"16212223",IF(OR(B360="15",B360="17",B360="24",B360="25"),"15172425",B360))),IF(U360="CEBAS","UNICO",IF(VALUE(B360)&lt;=11,"AMBA","INTERIOR"))))</f>
        <v/>
      </c>
      <c r="W360" s="38" t="str">
        <f>+IF(U360="","-",CONCATENATE(U360,"_",V360))</f>
        <v>-</v>
      </c>
      <c r="X360" s="42">
        <v>0.46600000000000003</v>
      </c>
    </row>
    <row r="361" spans="1:24" ht="15" thickBot="1">
      <c r="A361" s="3" t="s">
        <v>2916</v>
      </c>
      <c r="B361" s="3" t="s">
        <v>817</v>
      </c>
      <c r="C361" s="3" t="s">
        <v>2080</v>
      </c>
      <c r="D361" s="3" t="s">
        <v>2081</v>
      </c>
      <c r="E361" s="3">
        <v>602079</v>
      </c>
      <c r="F361" s="3">
        <v>1</v>
      </c>
      <c r="G361" s="3" t="s">
        <v>2092</v>
      </c>
      <c r="H361" s="3" t="s">
        <v>20</v>
      </c>
      <c r="I361" s="4" t="s">
        <v>50</v>
      </c>
      <c r="J361" s="4" t="s">
        <v>51</v>
      </c>
      <c r="K361" s="4" t="s">
        <v>2093</v>
      </c>
      <c r="L361" s="4" t="s">
        <v>260</v>
      </c>
      <c r="M361" s="4" t="s">
        <v>22</v>
      </c>
      <c r="N361" s="4" t="s">
        <v>23</v>
      </c>
      <c r="O361" s="4" t="s">
        <v>27</v>
      </c>
      <c r="P361" s="4" t="s">
        <v>28</v>
      </c>
      <c r="Q361" s="24">
        <v>49</v>
      </c>
      <c r="R361" s="25">
        <v>3</v>
      </c>
      <c r="S361" s="39">
        <v>0</v>
      </c>
      <c r="T361" s="7" t="s">
        <v>2910</v>
      </c>
      <c r="V361" s="7" t="str">
        <f>+IF(U361="","",IF(U361="FINES",CONCATENATE("R",IF(OR(B361="16",B361="21",B361="22",B361="23"),"16212223",IF(OR(B361="15",B361="17",B361="24",B361="25"),"15172425",B361))),IF(U361="CEBAS","UNICO",IF(VALUE(B361)&lt;=11,"AMBA","INTERIOR"))))</f>
        <v/>
      </c>
      <c r="W361" s="38" t="str">
        <f>+IF(U361="","-",CONCATENATE(U361,"_",V361))</f>
        <v>-</v>
      </c>
      <c r="X361" s="42">
        <v>0.46700000000000003</v>
      </c>
    </row>
    <row r="362" spans="1:24" ht="15" thickBot="1">
      <c r="A362" s="3" t="s">
        <v>2916</v>
      </c>
      <c r="B362" s="3" t="s">
        <v>204</v>
      </c>
      <c r="C362" s="3" t="s">
        <v>137</v>
      </c>
      <c r="D362" s="3" t="s">
        <v>2629</v>
      </c>
      <c r="E362" s="3">
        <v>606722</v>
      </c>
      <c r="F362" s="3">
        <v>1</v>
      </c>
      <c r="G362" s="3" t="s">
        <v>2641</v>
      </c>
      <c r="H362" s="3" t="s">
        <v>20</v>
      </c>
      <c r="I362" s="4" t="s">
        <v>50</v>
      </c>
      <c r="J362" s="4" t="s">
        <v>51</v>
      </c>
      <c r="K362" s="4" t="s">
        <v>2642</v>
      </c>
      <c r="L362" s="4" t="s">
        <v>262</v>
      </c>
      <c r="M362" s="4" t="s">
        <v>22</v>
      </c>
      <c r="N362" s="4" t="s">
        <v>23</v>
      </c>
      <c r="O362" s="4" t="s">
        <v>27</v>
      </c>
      <c r="P362" s="4" t="s">
        <v>28</v>
      </c>
      <c r="Q362" s="24">
        <v>19</v>
      </c>
      <c r="R362" s="25">
        <v>3</v>
      </c>
      <c r="S362" s="39">
        <v>0</v>
      </c>
      <c r="T362" s="7" t="s">
        <v>2910</v>
      </c>
      <c r="V362" s="7" t="str">
        <f>+IF(U362="","",IF(U362="FINES",CONCATENATE("R",IF(OR(B362="16",B362="21",B362="22",B362="23"),"16212223",IF(OR(B362="15",B362="17",B362="24",B362="25"),"15172425",B362))),IF(U362="CEBAS","UNICO",IF(VALUE(B362)&lt;=11,"AMBA","INTERIOR"))))</f>
        <v/>
      </c>
      <c r="W362" s="38" t="str">
        <f>+IF(U362="","-",CONCATENATE(U362,"_",V362))</f>
        <v>-</v>
      </c>
      <c r="X362" s="42">
        <v>0.46899999999999997</v>
      </c>
    </row>
    <row r="363" spans="1:24" ht="15" thickBot="1">
      <c r="A363" s="3" t="s">
        <v>2916</v>
      </c>
      <c r="B363" s="3" t="s">
        <v>1780</v>
      </c>
      <c r="C363" s="3" t="s">
        <v>1248</v>
      </c>
      <c r="D363" s="3" t="s">
        <v>2348</v>
      </c>
      <c r="E363" s="3">
        <v>610729</v>
      </c>
      <c r="F363" s="3">
        <v>1</v>
      </c>
      <c r="G363" s="3" t="s">
        <v>2356</v>
      </c>
      <c r="H363" s="3" t="s">
        <v>20</v>
      </c>
      <c r="I363" s="4" t="s">
        <v>50</v>
      </c>
      <c r="J363" s="4" t="s">
        <v>51</v>
      </c>
      <c r="K363" s="4" t="s">
        <v>2357</v>
      </c>
      <c r="L363" s="4" t="s">
        <v>2358</v>
      </c>
      <c r="M363" s="4" t="s">
        <v>22</v>
      </c>
      <c r="N363" s="4" t="s">
        <v>23</v>
      </c>
      <c r="O363" s="4" t="s">
        <v>27</v>
      </c>
      <c r="P363" s="4" t="s">
        <v>28</v>
      </c>
      <c r="Q363" s="24">
        <v>21</v>
      </c>
      <c r="R363" s="25">
        <v>2</v>
      </c>
      <c r="S363" s="39">
        <v>0</v>
      </c>
      <c r="T363" s="7" t="s">
        <v>2910</v>
      </c>
      <c r="U363" s="7"/>
      <c r="V363" s="7" t="str">
        <f>+IF(U363="","",IF(U363="FINES",CONCATENATE("R",IF(OR(B363="16",B363="21",B363="22",B363="23"),"16212223",IF(OR(B363="15",B363="17",B363="24",B363="25"),"15172425",B363))),IF(U363="CEBAS","UNICO",IF(VALUE(B363)&lt;=11,"AMBA","INTERIOR"))))</f>
        <v/>
      </c>
      <c r="W363" s="38" t="str">
        <f>+IF(U363="","-",CONCATENATE(U363,"_",V363))</f>
        <v>-</v>
      </c>
      <c r="X363" s="42">
        <v>0.47099999999999997</v>
      </c>
    </row>
    <row r="364" spans="1:24" ht="15" thickBot="1">
      <c r="A364" s="5" t="s">
        <v>2916</v>
      </c>
      <c r="B364" s="5" t="s">
        <v>1860</v>
      </c>
      <c r="C364" s="5" t="s">
        <v>1858</v>
      </c>
      <c r="D364" s="5" t="s">
        <v>1859</v>
      </c>
      <c r="E364" s="5">
        <v>614541</v>
      </c>
      <c r="F364" s="5">
        <v>0</v>
      </c>
      <c r="G364" s="5" t="s">
        <v>1865</v>
      </c>
      <c r="H364" s="5" t="s">
        <v>20</v>
      </c>
      <c r="I364" s="6" t="s">
        <v>25</v>
      </c>
      <c r="J364" s="6" t="s">
        <v>21</v>
      </c>
      <c r="K364" s="6"/>
      <c r="L364" s="6" t="s">
        <v>1866</v>
      </c>
      <c r="M364" s="6" t="s">
        <v>22</v>
      </c>
      <c r="N364" s="6" t="s">
        <v>23</v>
      </c>
      <c r="O364" s="6" t="s">
        <v>27</v>
      </c>
      <c r="P364" s="6" t="s">
        <v>28</v>
      </c>
      <c r="Q364" s="22">
        <v>15</v>
      </c>
      <c r="R364" s="23">
        <v>1</v>
      </c>
      <c r="S364" s="39">
        <v>0</v>
      </c>
      <c r="T364" s="7" t="s">
        <v>2910</v>
      </c>
      <c r="U364" s="7"/>
      <c r="V364" s="7" t="str">
        <f>+IF(U364="","",IF(U364="FINES",CONCATENATE("R",IF(OR(B364="16",B364="21",B364="22",B364="23"),"16212223",IF(OR(B364="15",B364="17",B364="24",B364="25"),"15172425",B364))),IF(U364="CEBAS","UNICO",IF(VALUE(B364)&lt;=11,"AMBA","INTERIOR"))))</f>
        <v/>
      </c>
      <c r="W364" s="38" t="str">
        <f>+IF(U364="","-",CONCATENATE(U364,"_",V364))</f>
        <v>-</v>
      </c>
      <c r="X364" s="42">
        <v>0.47299999999999998</v>
      </c>
    </row>
    <row r="365" spans="1:24" ht="15" thickBot="1">
      <c r="A365" s="3" t="s">
        <v>2916</v>
      </c>
      <c r="B365" s="3" t="s">
        <v>1860</v>
      </c>
      <c r="C365" s="3" t="s">
        <v>1858</v>
      </c>
      <c r="D365" s="3" t="s">
        <v>1859</v>
      </c>
      <c r="E365" s="3">
        <v>603278</v>
      </c>
      <c r="F365" s="3">
        <v>4</v>
      </c>
      <c r="G365" s="3" t="s">
        <v>1891</v>
      </c>
      <c r="H365" s="3" t="s">
        <v>20</v>
      </c>
      <c r="I365" s="4" t="s">
        <v>50</v>
      </c>
      <c r="J365" s="4" t="s">
        <v>51</v>
      </c>
      <c r="K365" s="4" t="s">
        <v>1878</v>
      </c>
      <c r="L365" s="4" t="s">
        <v>1892</v>
      </c>
      <c r="M365" s="4" t="s">
        <v>22</v>
      </c>
      <c r="N365" s="4" t="s">
        <v>23</v>
      </c>
      <c r="O365" s="4" t="s">
        <v>27</v>
      </c>
      <c r="P365" s="4" t="s">
        <v>28</v>
      </c>
      <c r="Q365" s="24">
        <v>48</v>
      </c>
      <c r="R365" s="25">
        <v>2</v>
      </c>
      <c r="S365" s="39">
        <v>0</v>
      </c>
      <c r="T365" s="7" t="s">
        <v>2910</v>
      </c>
      <c r="V365" s="7" t="str">
        <f>+IF(U365="","",IF(U365="FINES",CONCATENATE("R",IF(OR(B365="16",B365="21",B365="22",B365="23"),"16212223",IF(OR(B365="15",B365="17",B365="24",B365="25"),"15172425",B365))),IF(U365="CEBAS","UNICO",IF(VALUE(B365)&lt;=11,"AMBA","INTERIOR"))))</f>
        <v/>
      </c>
      <c r="W365" s="38" t="str">
        <f>+IF(U365="","-",CONCATENATE(U365,"_",V365))</f>
        <v>-</v>
      </c>
      <c r="X365" s="42">
        <v>0.47399999999999998</v>
      </c>
    </row>
    <row r="366" spans="1:24" ht="15" thickBot="1">
      <c r="A366" s="3" t="s">
        <v>2916</v>
      </c>
      <c r="B366" s="3" t="s">
        <v>140</v>
      </c>
      <c r="C366" s="3" t="s">
        <v>2149</v>
      </c>
      <c r="D366" s="3" t="s">
        <v>2150</v>
      </c>
      <c r="E366" s="3">
        <v>610868</v>
      </c>
      <c r="F366" s="3">
        <v>3</v>
      </c>
      <c r="G366" s="3" t="s">
        <v>2156</v>
      </c>
      <c r="H366" s="3" t="s">
        <v>20</v>
      </c>
      <c r="I366" s="4" t="s">
        <v>50</v>
      </c>
      <c r="J366" s="4" t="s">
        <v>51</v>
      </c>
      <c r="K366" s="4" t="s">
        <v>2153</v>
      </c>
      <c r="L366" s="4" t="s">
        <v>778</v>
      </c>
      <c r="M366" s="4" t="s">
        <v>22</v>
      </c>
      <c r="N366" s="4" t="s">
        <v>23</v>
      </c>
      <c r="O366" s="4" t="s">
        <v>27</v>
      </c>
      <c r="P366" s="4" t="s">
        <v>28</v>
      </c>
      <c r="Q366" s="24">
        <v>15</v>
      </c>
      <c r="R366" s="25">
        <v>1</v>
      </c>
      <c r="S366" s="39">
        <v>0</v>
      </c>
      <c r="T366" s="7" t="s">
        <v>2910</v>
      </c>
      <c r="V366" s="7" t="str">
        <f>+IF(U366="","",IF(U366="FINES",CONCATENATE("R",IF(OR(B366="16",B366="21",B366="22",B366="23"),"16212223",IF(OR(B366="15",B366="17",B366="24",B366="25"),"15172425",B366))),IF(U366="CEBAS","UNICO",IF(VALUE(B366)&lt;=11,"AMBA","INTERIOR"))))</f>
        <v/>
      </c>
      <c r="W366" s="38" t="str">
        <f>+IF(U366="","-",CONCATENATE(U366,"_",V366))</f>
        <v>-</v>
      </c>
      <c r="X366" s="42">
        <v>0.47899999999999998</v>
      </c>
    </row>
    <row r="367" spans="1:24" ht="15" thickBot="1">
      <c r="A367" s="3" t="s">
        <v>2916</v>
      </c>
      <c r="B367" s="3" t="s">
        <v>1860</v>
      </c>
      <c r="C367" s="3" t="s">
        <v>224</v>
      </c>
      <c r="D367" s="3" t="s">
        <v>2837</v>
      </c>
      <c r="E367" s="3">
        <v>613698</v>
      </c>
      <c r="F367" s="3">
        <v>2</v>
      </c>
      <c r="G367" s="3" t="s">
        <v>2847</v>
      </c>
      <c r="H367" s="3" t="s">
        <v>20</v>
      </c>
      <c r="I367" s="4" t="s">
        <v>50</v>
      </c>
      <c r="J367" s="4" t="s">
        <v>51</v>
      </c>
      <c r="K367" s="4" t="s">
        <v>2846</v>
      </c>
      <c r="L367" s="4" t="s">
        <v>786</v>
      </c>
      <c r="M367" s="4" t="s">
        <v>22</v>
      </c>
      <c r="N367" s="4" t="s">
        <v>23</v>
      </c>
      <c r="O367" s="4" t="s">
        <v>27</v>
      </c>
      <c r="P367" s="4" t="s">
        <v>28</v>
      </c>
      <c r="Q367" s="24">
        <v>26</v>
      </c>
      <c r="R367" s="25">
        <v>2</v>
      </c>
      <c r="S367" s="39">
        <v>0</v>
      </c>
      <c r="T367" s="7" t="s">
        <v>2910</v>
      </c>
      <c r="V367" s="7" t="str">
        <f>+IF(U367="","",IF(U367="FINES",CONCATENATE("R",IF(OR(B367="16",B367="21",B367="22",B367="23"),"16212223",IF(OR(B367="15",B367="17",B367="24",B367="25"),"15172425",B367))),IF(U367="CEBAS","UNICO",IF(VALUE(B367)&lt;=11,"AMBA","INTERIOR"))))</f>
        <v/>
      </c>
      <c r="W367" s="38" t="str">
        <f>+IF(U367="","-",CONCATENATE(U367,"_",V367))</f>
        <v>-</v>
      </c>
      <c r="X367" s="42">
        <v>0.48099999999999998</v>
      </c>
    </row>
    <row r="368" spans="1:24" ht="15" thickBot="1">
      <c r="A368" s="3" t="s">
        <v>2916</v>
      </c>
      <c r="B368" s="3" t="s">
        <v>1532</v>
      </c>
      <c r="C368" s="3" t="s">
        <v>1530</v>
      </c>
      <c r="D368" s="3" t="s">
        <v>1531</v>
      </c>
      <c r="E368" s="3">
        <v>608696</v>
      </c>
      <c r="F368" s="3">
        <v>2</v>
      </c>
      <c r="G368" s="3" t="s">
        <v>1614</v>
      </c>
      <c r="H368" s="3" t="s">
        <v>20</v>
      </c>
      <c r="I368" s="4" t="s">
        <v>50</v>
      </c>
      <c r="J368" s="4" t="s">
        <v>51</v>
      </c>
      <c r="K368" s="4" t="s">
        <v>1615</v>
      </c>
      <c r="L368" s="4" t="s">
        <v>1616</v>
      </c>
      <c r="M368" s="4" t="s">
        <v>22</v>
      </c>
      <c r="N368" s="4" t="s">
        <v>23</v>
      </c>
      <c r="O368" s="4" t="s">
        <v>27</v>
      </c>
      <c r="P368" s="4" t="s">
        <v>28</v>
      </c>
      <c r="Q368" s="24">
        <v>12</v>
      </c>
      <c r="R368" s="25">
        <v>1</v>
      </c>
      <c r="S368" s="39">
        <v>0</v>
      </c>
      <c r="T368" s="7" t="s">
        <v>2910</v>
      </c>
      <c r="V368" s="7" t="str">
        <f>+IF(U368="","",IF(U368="FINES",CONCATENATE("R",IF(OR(B368="16",B368="21",B368="22",B368="23"),"16212223",IF(OR(B368="15",B368="17",B368="24",B368="25"),"15172425",B368))),IF(U368="CEBAS","UNICO",IF(VALUE(B368)&lt;=11,"AMBA","INTERIOR"))))</f>
        <v/>
      </c>
      <c r="W368" s="38" t="str">
        <f>+IF(U368="","-",CONCATENATE(U368,"_",V368))</f>
        <v>-</v>
      </c>
      <c r="X368" s="42">
        <v>0.48599999999999999</v>
      </c>
    </row>
    <row r="369" spans="1:24" ht="15" thickBot="1">
      <c r="A369" s="3" t="s">
        <v>2916</v>
      </c>
      <c r="B369" s="3" t="s">
        <v>225</v>
      </c>
      <c r="C369" s="3" t="s">
        <v>942</v>
      </c>
      <c r="D369" s="3" t="s">
        <v>943</v>
      </c>
      <c r="E369" s="3">
        <v>604925</v>
      </c>
      <c r="F369" s="3">
        <v>2</v>
      </c>
      <c r="G369" s="3" t="s">
        <v>968</v>
      </c>
      <c r="H369" s="3" t="s">
        <v>20</v>
      </c>
      <c r="I369" s="4" t="s">
        <v>50</v>
      </c>
      <c r="J369" s="4" t="s">
        <v>51</v>
      </c>
      <c r="K369" s="4" t="s">
        <v>954</v>
      </c>
      <c r="L369" s="4" t="s">
        <v>969</v>
      </c>
      <c r="M369" s="4" t="s">
        <v>22</v>
      </c>
      <c r="N369" s="4" t="s">
        <v>23</v>
      </c>
      <c r="O369" s="4" t="s">
        <v>27</v>
      </c>
      <c r="P369" s="4" t="s">
        <v>28</v>
      </c>
      <c r="Q369" s="24">
        <v>10</v>
      </c>
      <c r="R369" s="25">
        <v>1</v>
      </c>
      <c r="S369" s="39">
        <v>0</v>
      </c>
      <c r="T369" s="7" t="s">
        <v>2910</v>
      </c>
      <c r="V369" s="7" t="str">
        <f>+IF(U369="","",IF(U369="FINES",CONCATENATE("R",IF(OR(B369="16",B369="21",B369="22",B369="23"),"16212223",IF(OR(B369="15",B369="17",B369="24",B369="25"),"15172425",B369))),IF(U369="CEBAS","UNICO",IF(VALUE(B369)&lt;=11,"AMBA","INTERIOR"))))</f>
        <v/>
      </c>
      <c r="W369" s="38" t="str">
        <f>+IF(U369="","-",CONCATENATE(U369,"_",V369))</f>
        <v>-</v>
      </c>
      <c r="X369" s="42">
        <v>0.48699999999999999</v>
      </c>
    </row>
    <row r="370" spans="1:24" ht="15" thickBot="1">
      <c r="A370" s="5" t="s">
        <v>2916</v>
      </c>
      <c r="B370" s="5" t="s">
        <v>257</v>
      </c>
      <c r="C370" s="5" t="s">
        <v>772</v>
      </c>
      <c r="D370" s="5" t="s">
        <v>773</v>
      </c>
      <c r="E370" s="5">
        <v>608920</v>
      </c>
      <c r="F370" s="5">
        <v>2</v>
      </c>
      <c r="G370" s="5" t="s">
        <v>790</v>
      </c>
      <c r="H370" s="5" t="s">
        <v>20</v>
      </c>
      <c r="I370" s="6" t="s">
        <v>50</v>
      </c>
      <c r="J370" s="6" t="s">
        <v>51</v>
      </c>
      <c r="K370" s="6" t="s">
        <v>785</v>
      </c>
      <c r="L370" s="6" t="s">
        <v>791</v>
      </c>
      <c r="M370" s="6" t="s">
        <v>22</v>
      </c>
      <c r="N370" s="6" t="s">
        <v>23</v>
      </c>
      <c r="O370" s="6" t="s">
        <v>27</v>
      </c>
      <c r="P370" s="6" t="s">
        <v>28</v>
      </c>
      <c r="Q370" s="22">
        <v>39</v>
      </c>
      <c r="R370" s="23">
        <v>3</v>
      </c>
      <c r="S370" s="39">
        <v>0</v>
      </c>
      <c r="T370" s="7" t="s">
        <v>2910</v>
      </c>
      <c r="V370" s="7" t="str">
        <f>+IF(U370="","",IF(U370="FINES",CONCATENATE("R",IF(OR(B370="16",B370="21",B370="22",B370="23"),"16212223",IF(OR(B370="15",B370="17",B370="24",B370="25"),"15172425",B370))),IF(U370="CEBAS","UNICO",IF(VALUE(B370)&lt;=11,"AMBA","INTERIOR"))))</f>
        <v/>
      </c>
      <c r="W370" s="38" t="str">
        <f>+IF(U370="","-",CONCATENATE(U370,"_",V370))</f>
        <v>-</v>
      </c>
      <c r="X370" s="42">
        <v>0.48699999999999999</v>
      </c>
    </row>
    <row r="371" spans="1:24" ht="15" thickBot="1">
      <c r="A371" s="5" t="s">
        <v>2916</v>
      </c>
      <c r="B371" s="5" t="s">
        <v>222</v>
      </c>
      <c r="C371" s="5" t="s">
        <v>1154</v>
      </c>
      <c r="D371" s="5" t="s">
        <v>1155</v>
      </c>
      <c r="E371" s="5">
        <v>605769</v>
      </c>
      <c r="F371" s="5">
        <v>3</v>
      </c>
      <c r="G371" s="5" t="s">
        <v>1168</v>
      </c>
      <c r="H371" s="5" t="s">
        <v>20</v>
      </c>
      <c r="I371" s="6" t="s">
        <v>50</v>
      </c>
      <c r="J371" s="6" t="s">
        <v>51</v>
      </c>
      <c r="K371" s="6" t="s">
        <v>1163</v>
      </c>
      <c r="L371" s="6" t="s">
        <v>825</v>
      </c>
      <c r="M371" s="6" t="s">
        <v>22</v>
      </c>
      <c r="N371" s="6" t="s">
        <v>23</v>
      </c>
      <c r="O371" s="6" t="s">
        <v>27</v>
      </c>
      <c r="P371" s="6" t="s">
        <v>28</v>
      </c>
      <c r="Q371" s="22">
        <v>39</v>
      </c>
      <c r="R371" s="23">
        <v>3</v>
      </c>
      <c r="S371" s="39">
        <v>0</v>
      </c>
      <c r="T371" s="7" t="s">
        <v>2910</v>
      </c>
      <c r="V371" s="7" t="str">
        <f>+IF(U371="","",IF(U371="FINES",CONCATENATE("R",IF(OR(B371="16",B371="21",B371="22",B371="23"),"16212223",IF(OR(B371="15",B371="17",B371="24",B371="25"),"15172425",B371))),IF(U371="CEBAS","UNICO",IF(VALUE(B371)&lt;=11,"AMBA","INTERIOR"))))</f>
        <v/>
      </c>
      <c r="W371" s="38" t="str">
        <f>+IF(U371="","-",CONCATENATE(U371,"_",V371))</f>
        <v>-</v>
      </c>
      <c r="X371" s="42">
        <v>0.48899999999999999</v>
      </c>
    </row>
    <row r="372" spans="1:24" ht="15" thickBot="1">
      <c r="A372" s="5" t="s">
        <v>2916</v>
      </c>
      <c r="B372" s="5" t="s">
        <v>135</v>
      </c>
      <c r="C372" s="5" t="s">
        <v>1330</v>
      </c>
      <c r="D372" s="5" t="s">
        <v>1331</v>
      </c>
      <c r="E372" s="5">
        <v>603548</v>
      </c>
      <c r="F372" s="5">
        <v>0</v>
      </c>
      <c r="G372" s="5" t="s">
        <v>1336</v>
      </c>
      <c r="H372" s="5" t="s">
        <v>20</v>
      </c>
      <c r="I372" s="6" t="s">
        <v>50</v>
      </c>
      <c r="J372" s="6" t="s">
        <v>21</v>
      </c>
      <c r="K372" s="6"/>
      <c r="L372" s="6" t="s">
        <v>533</v>
      </c>
      <c r="M372" s="6" t="s">
        <v>22</v>
      </c>
      <c r="N372" s="6" t="s">
        <v>23</v>
      </c>
      <c r="O372" s="6" t="s">
        <v>27</v>
      </c>
      <c r="P372" s="6" t="s">
        <v>28</v>
      </c>
      <c r="Q372" s="22">
        <v>35</v>
      </c>
      <c r="R372" s="23">
        <v>2</v>
      </c>
      <c r="S372" s="39">
        <v>0</v>
      </c>
      <c r="T372" s="7" t="s">
        <v>2910</v>
      </c>
      <c r="V372" s="7" t="str">
        <f>+IF(U372="","",IF(U372="FINES",CONCATENATE("R",IF(OR(B372="16",B372="21",B372="22",B372="23"),"16212223",IF(OR(B372="15",B372="17",B372="24",B372="25"),"15172425",B372))),IF(U372="CEBAS","UNICO",IF(VALUE(B372)&lt;=11,"AMBA","INTERIOR"))))</f>
        <v/>
      </c>
      <c r="W372" s="38" t="str">
        <f>+IF(U372="","-",CONCATENATE(U372,"_",V372))</f>
        <v>-</v>
      </c>
      <c r="X372" s="42">
        <v>0.48899999999999999</v>
      </c>
    </row>
    <row r="373" spans="1:24" ht="15" thickBot="1">
      <c r="A373" s="5" t="s">
        <v>2916</v>
      </c>
      <c r="B373" s="5" t="s">
        <v>1532</v>
      </c>
      <c r="C373" s="5" t="s">
        <v>1530</v>
      </c>
      <c r="D373" s="5" t="s">
        <v>1531</v>
      </c>
      <c r="E373" s="5">
        <v>614434</v>
      </c>
      <c r="F373" s="5">
        <v>0</v>
      </c>
      <c r="G373" s="5" t="s">
        <v>1551</v>
      </c>
      <c r="H373" s="5" t="s">
        <v>20</v>
      </c>
      <c r="I373" s="6" t="s">
        <v>25</v>
      </c>
      <c r="J373" s="6" t="s">
        <v>21</v>
      </c>
      <c r="K373" s="6"/>
      <c r="L373" s="6" t="s">
        <v>1552</v>
      </c>
      <c r="M373" s="6" t="s">
        <v>22</v>
      </c>
      <c r="N373" s="6" t="s">
        <v>23</v>
      </c>
      <c r="O373" s="6" t="s">
        <v>27</v>
      </c>
      <c r="P373" s="6" t="s">
        <v>28</v>
      </c>
      <c r="Q373" s="22">
        <v>10</v>
      </c>
      <c r="R373" s="23">
        <v>1</v>
      </c>
      <c r="S373" s="39">
        <v>0</v>
      </c>
      <c r="T373" s="7" t="s">
        <v>2910</v>
      </c>
      <c r="V373" s="7" t="str">
        <f>+IF(U373="","",IF(U373="FINES",CONCATENATE("R",IF(OR(B373="16",B373="21",B373="22",B373="23"),"16212223",IF(OR(B373="15",B373="17",B373="24",B373="25"),"15172425",B373))),IF(U373="CEBAS","UNICO",IF(VALUE(B373)&lt;=11,"AMBA","INTERIOR"))))</f>
        <v/>
      </c>
      <c r="W373" s="38" t="str">
        <f>+IF(U373="","-",CONCATENATE(U373,"_",V373))</f>
        <v>-</v>
      </c>
      <c r="X373" s="42">
        <v>0.49</v>
      </c>
    </row>
    <row r="374" spans="1:24" ht="15" thickBot="1">
      <c r="A374" s="5" t="s">
        <v>2916</v>
      </c>
      <c r="B374" s="5" t="s">
        <v>225</v>
      </c>
      <c r="C374" s="5" t="s">
        <v>942</v>
      </c>
      <c r="D374" s="5" t="s">
        <v>943</v>
      </c>
      <c r="E374" s="5">
        <v>609144</v>
      </c>
      <c r="F374" s="5">
        <v>3</v>
      </c>
      <c r="G374" s="5" t="s">
        <v>1000</v>
      </c>
      <c r="H374" s="5" t="s">
        <v>20</v>
      </c>
      <c r="I374" s="6" t="s">
        <v>50</v>
      </c>
      <c r="J374" s="6" t="s">
        <v>51</v>
      </c>
      <c r="K374" s="6" t="s">
        <v>962</v>
      </c>
      <c r="L374" s="6" t="s">
        <v>307</v>
      </c>
      <c r="M374" s="6" t="s">
        <v>22</v>
      </c>
      <c r="N374" s="6" t="s">
        <v>23</v>
      </c>
      <c r="O374" s="6" t="s">
        <v>27</v>
      </c>
      <c r="P374" s="6" t="s">
        <v>28</v>
      </c>
      <c r="Q374" s="22">
        <v>29</v>
      </c>
      <c r="R374" s="23">
        <v>2</v>
      </c>
      <c r="S374" s="39">
        <v>0</v>
      </c>
      <c r="T374" s="7" t="s">
        <v>2910</v>
      </c>
      <c r="V374" s="7" t="str">
        <f>+IF(U374="","",IF(U374="FINES",CONCATENATE("R",IF(OR(B374="16",B374="21",B374="22",B374="23"),"16212223",IF(OR(B374="15",B374="17",B374="24",B374="25"),"15172425",B374))),IF(U374="CEBAS","UNICO",IF(VALUE(B374)&lt;=11,"AMBA","INTERIOR"))))</f>
        <v/>
      </c>
      <c r="W374" s="38" t="str">
        <f>+IF(U374="","-",CONCATENATE(U374,"_",V374))</f>
        <v>-</v>
      </c>
      <c r="X374" s="42">
        <v>0.49099999999999999</v>
      </c>
    </row>
    <row r="375" spans="1:24" ht="15" thickBot="1">
      <c r="A375" s="3" t="s">
        <v>2916</v>
      </c>
      <c r="B375" s="3" t="s">
        <v>135</v>
      </c>
      <c r="C375" s="3" t="s">
        <v>727</v>
      </c>
      <c r="D375" s="3" t="s">
        <v>728</v>
      </c>
      <c r="E375" s="3">
        <v>608058</v>
      </c>
      <c r="F375" s="3">
        <v>3</v>
      </c>
      <c r="G375" s="3" t="s">
        <v>733</v>
      </c>
      <c r="H375" s="3" t="s">
        <v>20</v>
      </c>
      <c r="I375" s="4" t="s">
        <v>50</v>
      </c>
      <c r="J375" s="4" t="s">
        <v>51</v>
      </c>
      <c r="K375" s="4" t="s">
        <v>731</v>
      </c>
      <c r="L375" s="4" t="s">
        <v>734</v>
      </c>
      <c r="M375" s="4" t="s">
        <v>22</v>
      </c>
      <c r="N375" s="4" t="s">
        <v>23</v>
      </c>
      <c r="O375" s="4" t="s">
        <v>27</v>
      </c>
      <c r="P375" s="4" t="s">
        <v>28</v>
      </c>
      <c r="Q375" s="24">
        <v>39</v>
      </c>
      <c r="R375" s="25">
        <v>3</v>
      </c>
      <c r="S375" s="39">
        <v>0</v>
      </c>
      <c r="T375" s="7" t="s">
        <v>2910</v>
      </c>
      <c r="V375" s="7" t="str">
        <f>+IF(U375="","",IF(U375="FINES",CONCATENATE("R",IF(OR(B375="16",B375="21",B375="22",B375="23"),"16212223",IF(OR(B375="15",B375="17",B375="24",B375="25"),"15172425",B375))),IF(U375="CEBAS","UNICO",IF(VALUE(B375)&lt;=11,"AMBA","INTERIOR"))))</f>
        <v/>
      </c>
      <c r="W375" s="38" t="str">
        <f>+IF(U375="","-",CONCATENATE(U375,"_",V375))</f>
        <v>-</v>
      </c>
      <c r="X375" s="42">
        <v>0.49299999999999999</v>
      </c>
    </row>
    <row r="376" spans="1:24" ht="15" thickBot="1">
      <c r="A376" s="3" t="s">
        <v>2916</v>
      </c>
      <c r="B376" s="3" t="s">
        <v>516</v>
      </c>
      <c r="C376" s="3" t="s">
        <v>889</v>
      </c>
      <c r="D376" s="3" t="s">
        <v>2458</v>
      </c>
      <c r="E376" s="3">
        <v>600026</v>
      </c>
      <c r="F376" s="3">
        <v>1</v>
      </c>
      <c r="G376" s="3" t="s">
        <v>2461</v>
      </c>
      <c r="H376" s="3" t="s">
        <v>20</v>
      </c>
      <c r="I376" s="4" t="s">
        <v>50</v>
      </c>
      <c r="J376" s="4" t="s">
        <v>51</v>
      </c>
      <c r="K376" s="4" t="s">
        <v>2462</v>
      </c>
      <c r="L376" s="4" t="s">
        <v>754</v>
      </c>
      <c r="M376" s="4" t="s">
        <v>22</v>
      </c>
      <c r="N376" s="4" t="s">
        <v>23</v>
      </c>
      <c r="O376" s="4" t="s">
        <v>27</v>
      </c>
      <c r="P376" s="4" t="s">
        <v>28</v>
      </c>
      <c r="Q376" s="24">
        <v>3</v>
      </c>
      <c r="R376" s="25">
        <v>1</v>
      </c>
      <c r="S376" s="39">
        <v>0</v>
      </c>
      <c r="T376" s="7" t="s">
        <v>2910</v>
      </c>
      <c r="V376" s="7" t="str">
        <f>+IF(U376="","",IF(U376="FINES",CONCATENATE("R",IF(OR(B376="16",B376="21",B376="22",B376="23"),"16212223",IF(OR(B376="15",B376="17",B376="24",B376="25"),"15172425",B376))),IF(U376="CEBAS","UNICO",IF(VALUE(B376)&lt;=11,"AMBA","INTERIOR"))))</f>
        <v/>
      </c>
      <c r="W376" s="38" t="str">
        <f>+IF(U376="","-",CONCATENATE(U376,"_",V376))</f>
        <v>-</v>
      </c>
      <c r="X376" s="42">
        <v>0.49399999999999999</v>
      </c>
    </row>
    <row r="377" spans="1:24" ht="15" thickBot="1">
      <c r="A377" s="3" t="s">
        <v>2916</v>
      </c>
      <c r="B377" s="3" t="s">
        <v>140</v>
      </c>
      <c r="C377" s="3" t="s">
        <v>2277</v>
      </c>
      <c r="D377" s="3" t="s">
        <v>2278</v>
      </c>
      <c r="E377" s="3">
        <v>600821</v>
      </c>
      <c r="F377" s="3">
        <v>1</v>
      </c>
      <c r="G377" s="3" t="s">
        <v>2293</v>
      </c>
      <c r="H377" s="3" t="s">
        <v>20</v>
      </c>
      <c r="I377" s="4" t="s">
        <v>50</v>
      </c>
      <c r="J377" s="4" t="s">
        <v>51</v>
      </c>
      <c r="K377" s="4" t="s">
        <v>2290</v>
      </c>
      <c r="L377" s="4" t="s">
        <v>260</v>
      </c>
      <c r="M377" s="4" t="s">
        <v>22</v>
      </c>
      <c r="N377" s="4" t="s">
        <v>23</v>
      </c>
      <c r="O377" s="4" t="s">
        <v>27</v>
      </c>
      <c r="P377" s="4" t="s">
        <v>28</v>
      </c>
      <c r="Q377" s="24">
        <v>14</v>
      </c>
      <c r="R377" s="25">
        <v>1</v>
      </c>
      <c r="S377" s="39">
        <v>0</v>
      </c>
      <c r="T377" s="7" t="s">
        <v>2910</v>
      </c>
      <c r="U377" s="7"/>
      <c r="V377" s="7" t="str">
        <f>+IF(U377="","",IF(U377="FINES",CONCATENATE("R",IF(OR(B377="16",B377="21",B377="22",B377="23"),"16212223",IF(OR(B377="15",B377="17",B377="24",B377="25"),"15172425",B377))),IF(U377="CEBAS","UNICO",IF(VALUE(B377)&lt;=11,"AMBA","INTERIOR"))))</f>
        <v/>
      </c>
      <c r="W377" s="38" t="str">
        <f>+IF(U377="","-",CONCATENATE(U377,"_",V377))</f>
        <v>-</v>
      </c>
      <c r="X377" s="42">
        <v>0.495</v>
      </c>
    </row>
    <row r="378" spans="1:24" ht="15" thickBot="1">
      <c r="A378" s="3" t="s">
        <v>2916</v>
      </c>
      <c r="B378" s="3" t="s">
        <v>257</v>
      </c>
      <c r="C378" s="3" t="s">
        <v>772</v>
      </c>
      <c r="D378" s="3" t="s">
        <v>773</v>
      </c>
      <c r="E378" s="3">
        <v>604934</v>
      </c>
      <c r="F378" s="3">
        <v>2</v>
      </c>
      <c r="G378" s="3" t="s">
        <v>792</v>
      </c>
      <c r="H378" s="3" t="s">
        <v>20</v>
      </c>
      <c r="I378" s="4" t="s">
        <v>50</v>
      </c>
      <c r="J378" s="4" t="s">
        <v>51</v>
      </c>
      <c r="K378" s="4" t="s">
        <v>788</v>
      </c>
      <c r="L378" s="4" t="s">
        <v>471</v>
      </c>
      <c r="M378" s="4" t="s">
        <v>22</v>
      </c>
      <c r="N378" s="4" t="s">
        <v>23</v>
      </c>
      <c r="O378" s="4" t="s">
        <v>27</v>
      </c>
      <c r="P378" s="4" t="s">
        <v>28</v>
      </c>
      <c r="Q378" s="24">
        <v>11</v>
      </c>
      <c r="R378" s="25">
        <v>1</v>
      </c>
      <c r="S378" s="39">
        <v>0</v>
      </c>
      <c r="T378" s="7" t="s">
        <v>2910</v>
      </c>
      <c r="U378" s="7"/>
      <c r="V378" s="7" t="str">
        <f>+IF(U378="","",IF(U378="FINES",CONCATENATE("R",IF(OR(B378="16",B378="21",B378="22",B378="23"),"16212223",IF(OR(B378="15",B378="17",B378="24",B378="25"),"15172425",B378))),IF(U378="CEBAS","UNICO",IF(VALUE(B378)&lt;=11,"AMBA","INTERIOR"))))</f>
        <v/>
      </c>
      <c r="W378" s="38" t="str">
        <f>+IF(U378="","-",CONCATENATE(U378,"_",V378))</f>
        <v>-</v>
      </c>
      <c r="X378" s="42">
        <v>0.496</v>
      </c>
    </row>
    <row r="379" spans="1:24" ht="15" thickBot="1">
      <c r="A379" s="3" t="s">
        <v>2916</v>
      </c>
      <c r="B379" s="3" t="s">
        <v>225</v>
      </c>
      <c r="C379" s="3" t="s">
        <v>876</v>
      </c>
      <c r="D379" s="3" t="s">
        <v>877</v>
      </c>
      <c r="E379" s="3">
        <v>603202</v>
      </c>
      <c r="F379" s="3">
        <v>0</v>
      </c>
      <c r="G379" s="3" t="s">
        <v>878</v>
      </c>
      <c r="H379" s="3" t="s">
        <v>20</v>
      </c>
      <c r="I379" s="4" t="s">
        <v>50</v>
      </c>
      <c r="J379" s="4" t="s">
        <v>21</v>
      </c>
      <c r="K379" s="4"/>
      <c r="L379" s="4" t="s">
        <v>235</v>
      </c>
      <c r="M379" s="4" t="s">
        <v>22</v>
      </c>
      <c r="N379" s="4" t="s">
        <v>23</v>
      </c>
      <c r="O379" s="4" t="s">
        <v>27</v>
      </c>
      <c r="P379" s="4" t="s">
        <v>28</v>
      </c>
      <c r="Q379" s="24">
        <v>20</v>
      </c>
      <c r="R379" s="25">
        <v>2</v>
      </c>
      <c r="S379" s="39">
        <v>0</v>
      </c>
      <c r="T379" s="7" t="s">
        <v>2910</v>
      </c>
      <c r="U379" s="7"/>
      <c r="V379" s="7" t="str">
        <f>+IF(U379="","",IF(U379="FINES",CONCATENATE("R",IF(OR(B379="16",B379="21",B379="22",B379="23"),"16212223",IF(OR(B379="15",B379="17",B379="24",B379="25"),"15172425",B379))),IF(U379="CEBAS","UNICO",IF(VALUE(B379)&lt;=11,"AMBA","INTERIOR"))))</f>
        <v/>
      </c>
      <c r="W379" s="38" t="str">
        <f>+IF(U379="","-",CONCATENATE(U379,"_",V379))</f>
        <v>-</v>
      </c>
      <c r="X379" s="42">
        <v>0.498</v>
      </c>
    </row>
    <row r="380" spans="1:24" ht="15" thickBot="1">
      <c r="A380" s="3" t="s">
        <v>2916</v>
      </c>
      <c r="B380" s="3" t="s">
        <v>356</v>
      </c>
      <c r="C380" s="3" t="s">
        <v>805</v>
      </c>
      <c r="D380" s="3" t="s">
        <v>2500</v>
      </c>
      <c r="E380" s="3">
        <v>607663</v>
      </c>
      <c r="F380" s="3">
        <v>2</v>
      </c>
      <c r="G380" s="3" t="s">
        <v>2535</v>
      </c>
      <c r="H380" s="3" t="s">
        <v>20</v>
      </c>
      <c r="I380" s="4" t="s">
        <v>50</v>
      </c>
      <c r="J380" s="4" t="s">
        <v>51</v>
      </c>
      <c r="K380" s="4" t="s">
        <v>2515</v>
      </c>
      <c r="L380" s="4" t="s">
        <v>2536</v>
      </c>
      <c r="M380" s="4" t="s">
        <v>22</v>
      </c>
      <c r="N380" s="4" t="s">
        <v>23</v>
      </c>
      <c r="O380" s="4" t="s">
        <v>27</v>
      </c>
      <c r="P380" s="4" t="s">
        <v>28</v>
      </c>
      <c r="Q380" s="24">
        <v>46</v>
      </c>
      <c r="R380" s="25">
        <v>3</v>
      </c>
      <c r="S380" s="39">
        <v>0</v>
      </c>
      <c r="T380" s="7" t="s">
        <v>2910</v>
      </c>
      <c r="U380" s="7"/>
      <c r="V380" s="7" t="str">
        <f>+IF(U380="","",IF(U380="FINES",CONCATENATE("R",IF(OR(B380="16",B380="21",B380="22",B380="23"),"16212223",IF(OR(B380="15",B380="17",B380="24",B380="25"),"15172425",B380))),IF(U380="CEBAS","UNICO",IF(VALUE(B380)&lt;=11,"AMBA","INTERIOR"))))</f>
        <v/>
      </c>
      <c r="W380" s="38" t="str">
        <f>+IF(U380="","-",CONCATENATE(U380,"_",V380))</f>
        <v>-</v>
      </c>
      <c r="X380" s="42">
        <v>0.499</v>
      </c>
    </row>
    <row r="381" spans="1:24" ht="15" thickBot="1">
      <c r="A381" s="3" t="s">
        <v>2916</v>
      </c>
      <c r="B381" s="3" t="s">
        <v>140</v>
      </c>
      <c r="C381" s="3" t="s">
        <v>2277</v>
      </c>
      <c r="D381" s="3" t="s">
        <v>2278</v>
      </c>
      <c r="E381" s="3">
        <v>600821</v>
      </c>
      <c r="F381" s="3">
        <v>4</v>
      </c>
      <c r="G381" s="3" t="s">
        <v>2289</v>
      </c>
      <c r="H381" s="3" t="s">
        <v>20</v>
      </c>
      <c r="I381" s="4" t="s">
        <v>50</v>
      </c>
      <c r="J381" s="4" t="s">
        <v>51</v>
      </c>
      <c r="K381" s="4" t="s">
        <v>2290</v>
      </c>
      <c r="L381" s="4" t="s">
        <v>783</v>
      </c>
      <c r="M381" s="4" t="s">
        <v>22</v>
      </c>
      <c r="N381" s="4" t="s">
        <v>23</v>
      </c>
      <c r="O381" s="4" t="s">
        <v>27</v>
      </c>
      <c r="P381" s="4" t="s">
        <v>28</v>
      </c>
      <c r="Q381" s="24">
        <v>14</v>
      </c>
      <c r="R381" s="25">
        <v>1</v>
      </c>
      <c r="S381" s="39">
        <v>0</v>
      </c>
      <c r="T381" s="7" t="s">
        <v>2910</v>
      </c>
      <c r="U381" s="7"/>
      <c r="V381" s="7" t="str">
        <f>+IF(U381="","",IF(U381="FINES",CONCATENATE("R",IF(OR(B381="16",B381="21",B381="22",B381="23"),"16212223",IF(OR(B381="15",B381="17",B381="24",B381="25"),"15172425",B381))),IF(U381="CEBAS","UNICO",IF(VALUE(B381)&lt;=11,"AMBA","INTERIOR"))))</f>
        <v/>
      </c>
      <c r="W381" s="38" t="str">
        <f>+IF(U381="","-",CONCATENATE(U381,"_",V381))</f>
        <v>-</v>
      </c>
      <c r="X381" s="42">
        <v>0.499</v>
      </c>
    </row>
    <row r="382" spans="1:24" ht="15" thickBot="1">
      <c r="A382" s="3" t="s">
        <v>2916</v>
      </c>
      <c r="B382" s="3" t="s">
        <v>203</v>
      </c>
      <c r="C382" s="3" t="s">
        <v>450</v>
      </c>
      <c r="D382" s="3" t="s">
        <v>452</v>
      </c>
      <c r="E382" s="3">
        <v>605439</v>
      </c>
      <c r="F382" s="3">
        <v>1</v>
      </c>
      <c r="G382" s="3" t="s">
        <v>476</v>
      </c>
      <c r="H382" s="3" t="s">
        <v>20</v>
      </c>
      <c r="I382" s="4" t="s">
        <v>50</v>
      </c>
      <c r="J382" s="4" t="s">
        <v>51</v>
      </c>
      <c r="K382" s="4" t="s">
        <v>477</v>
      </c>
      <c r="L382" s="4" t="s">
        <v>478</v>
      </c>
      <c r="M382" s="4" t="s">
        <v>22</v>
      </c>
      <c r="N382" s="4" t="s">
        <v>23</v>
      </c>
      <c r="O382" s="4" t="s">
        <v>27</v>
      </c>
      <c r="P382" s="4" t="s">
        <v>28</v>
      </c>
      <c r="Q382" s="24">
        <v>28</v>
      </c>
      <c r="R382" s="25">
        <v>2</v>
      </c>
      <c r="S382" s="39">
        <v>0</v>
      </c>
      <c r="T382" s="7" t="s">
        <v>2910</v>
      </c>
      <c r="U382" s="7"/>
      <c r="V382" s="7" t="str">
        <f>+IF(U382="","",IF(U382="FINES",CONCATENATE("R",IF(OR(B382="16",B382="21",B382="22",B382="23"),"16212223",IF(OR(B382="15",B382="17",B382="24",B382="25"),"15172425",B382))),IF(U382="CEBAS","UNICO",IF(VALUE(B382)&lt;=11,"AMBA","INTERIOR"))))</f>
        <v/>
      </c>
      <c r="W382" s="38" t="str">
        <f>+IF(U382="","-",CONCATENATE(U382,"_",V382))</f>
        <v>-</v>
      </c>
      <c r="X382" s="42">
        <v>0.5</v>
      </c>
    </row>
    <row r="383" spans="1:24" ht="15" thickBot="1">
      <c r="A383" s="3" t="s">
        <v>2916</v>
      </c>
      <c r="B383" s="3" t="s">
        <v>1257</v>
      </c>
      <c r="C383" s="3" t="s">
        <v>2237</v>
      </c>
      <c r="D383" s="3" t="s">
        <v>2238</v>
      </c>
      <c r="E383" s="3">
        <v>614386</v>
      </c>
      <c r="F383" s="3">
        <v>0</v>
      </c>
      <c r="G383" s="3" t="s">
        <v>2243</v>
      </c>
      <c r="H383" s="3" t="s">
        <v>20</v>
      </c>
      <c r="I383" s="4" t="s">
        <v>25</v>
      </c>
      <c r="J383" s="4" t="s">
        <v>21</v>
      </c>
      <c r="K383" s="4"/>
      <c r="L383" s="4" t="s">
        <v>2244</v>
      </c>
      <c r="M383" s="4" t="s">
        <v>22</v>
      </c>
      <c r="N383" s="4" t="s">
        <v>23</v>
      </c>
      <c r="O383" s="4" t="s">
        <v>27</v>
      </c>
      <c r="P383" s="4" t="s">
        <v>28</v>
      </c>
      <c r="Q383" s="24">
        <v>10</v>
      </c>
      <c r="R383" s="25">
        <v>1</v>
      </c>
      <c r="S383" s="39">
        <v>0</v>
      </c>
      <c r="T383" s="7" t="s">
        <v>2910</v>
      </c>
      <c r="U383" s="7"/>
      <c r="V383" s="7" t="str">
        <f>+IF(U383="","",IF(U383="FINES",CONCATENATE("R",IF(OR(B383="16",B383="21",B383="22",B383="23"),"16212223",IF(OR(B383="15",B383="17",B383="24",B383="25"),"15172425",B383))),IF(U383="CEBAS","UNICO",IF(VALUE(B383)&lt;=11,"AMBA","INTERIOR"))))</f>
        <v/>
      </c>
      <c r="W383" s="38" t="str">
        <f>+IF(U383="","-",CONCATENATE(U383,"_",V383))</f>
        <v>-</v>
      </c>
      <c r="X383" s="42">
        <v>0.501</v>
      </c>
    </row>
    <row r="384" spans="1:24" ht="15" thickBot="1">
      <c r="A384" s="3" t="s">
        <v>2916</v>
      </c>
      <c r="B384" s="3" t="s">
        <v>1532</v>
      </c>
      <c r="C384" s="3" t="s">
        <v>1530</v>
      </c>
      <c r="D384" s="3" t="s">
        <v>1531</v>
      </c>
      <c r="E384" s="3">
        <v>608514</v>
      </c>
      <c r="F384" s="3">
        <v>1</v>
      </c>
      <c r="G384" s="3" t="s">
        <v>1562</v>
      </c>
      <c r="H384" s="3" t="s">
        <v>20</v>
      </c>
      <c r="I384" s="4" t="s">
        <v>50</v>
      </c>
      <c r="J384" s="4" t="s">
        <v>51</v>
      </c>
      <c r="K384" s="4" t="s">
        <v>1563</v>
      </c>
      <c r="L384" s="4" t="s">
        <v>1564</v>
      </c>
      <c r="M384" s="4" t="s">
        <v>22</v>
      </c>
      <c r="N384" s="4" t="s">
        <v>23</v>
      </c>
      <c r="O384" s="4" t="s">
        <v>27</v>
      </c>
      <c r="P384" s="4" t="s">
        <v>28</v>
      </c>
      <c r="Q384" s="24">
        <v>10</v>
      </c>
      <c r="R384" s="25">
        <v>1</v>
      </c>
      <c r="S384" s="39">
        <v>0</v>
      </c>
      <c r="T384" s="7" t="s">
        <v>2910</v>
      </c>
      <c r="U384" s="7"/>
      <c r="V384" s="7" t="str">
        <f>+IF(U384="","",IF(U384="FINES",CONCATENATE("R",IF(OR(B384="16",B384="21",B384="22",B384="23"),"16212223",IF(OR(B384="15",B384="17",B384="24",B384="25"),"15172425",B384))),IF(U384="CEBAS","UNICO",IF(VALUE(B384)&lt;=11,"AMBA","INTERIOR"))))</f>
        <v/>
      </c>
      <c r="W384" s="38" t="str">
        <f>+IF(U384="","-",CONCATENATE(U384,"_",V384))</f>
        <v>-</v>
      </c>
      <c r="X384" s="42">
        <v>0.501</v>
      </c>
    </row>
    <row r="385" spans="1:24" ht="15" thickBot="1">
      <c r="A385" s="5" t="s">
        <v>2916</v>
      </c>
      <c r="B385" s="5" t="s">
        <v>19</v>
      </c>
      <c r="C385" s="5" t="s">
        <v>17</v>
      </c>
      <c r="D385" s="5" t="s">
        <v>18</v>
      </c>
      <c r="E385" s="5">
        <v>608979</v>
      </c>
      <c r="F385" s="5">
        <v>3</v>
      </c>
      <c r="G385" s="5" t="s">
        <v>101</v>
      </c>
      <c r="H385" s="5" t="s">
        <v>20</v>
      </c>
      <c r="I385" s="6" t="s">
        <v>50</v>
      </c>
      <c r="J385" s="6" t="s">
        <v>51</v>
      </c>
      <c r="K385" s="6" t="s">
        <v>52</v>
      </c>
      <c r="L385" s="6" t="s">
        <v>102</v>
      </c>
      <c r="M385" s="6" t="s">
        <v>22</v>
      </c>
      <c r="N385" s="6" t="s">
        <v>23</v>
      </c>
      <c r="O385" s="6" t="s">
        <v>27</v>
      </c>
      <c r="P385" s="6" t="s">
        <v>28</v>
      </c>
      <c r="Q385" s="22">
        <v>31</v>
      </c>
      <c r="R385" s="23">
        <v>3</v>
      </c>
      <c r="S385" s="39">
        <v>0</v>
      </c>
      <c r="T385" s="7" t="s">
        <v>2910</v>
      </c>
      <c r="U385" s="7"/>
      <c r="V385" s="7" t="str">
        <f>+IF(U385="","",IF(U385="FINES",CONCATENATE("R",IF(OR(B385="16",B385="21",B385="22",B385="23"),"16212223",IF(OR(B385="15",B385="17",B385="24",B385="25"),"15172425",B385))),IF(U385="CEBAS","UNICO",IF(VALUE(B385)&lt;=11,"AMBA","INTERIOR"))))</f>
        <v/>
      </c>
      <c r="W385" s="38" t="str">
        <f>+IF(U385="","-",CONCATENATE(U385,"_",V385))</f>
        <v>-</v>
      </c>
      <c r="X385" s="42">
        <v>0.502</v>
      </c>
    </row>
    <row r="386" spans="1:24" ht="15" thickBot="1">
      <c r="A386" s="3" t="s">
        <v>2916</v>
      </c>
      <c r="B386" s="3" t="s">
        <v>225</v>
      </c>
      <c r="C386" s="3" t="s">
        <v>942</v>
      </c>
      <c r="D386" s="3" t="s">
        <v>943</v>
      </c>
      <c r="E386" s="3">
        <v>605101</v>
      </c>
      <c r="F386" s="3">
        <v>1</v>
      </c>
      <c r="G386" s="3" t="s">
        <v>994</v>
      </c>
      <c r="H386" s="3" t="s">
        <v>20</v>
      </c>
      <c r="I386" s="4" t="s">
        <v>50</v>
      </c>
      <c r="J386" s="4" t="s">
        <v>51</v>
      </c>
      <c r="K386" s="4" t="s">
        <v>995</v>
      </c>
      <c r="L386" s="4" t="s">
        <v>996</v>
      </c>
      <c r="M386" s="4" t="s">
        <v>22</v>
      </c>
      <c r="N386" s="4" t="s">
        <v>23</v>
      </c>
      <c r="O386" s="4" t="s">
        <v>27</v>
      </c>
      <c r="P386" s="4" t="s">
        <v>28</v>
      </c>
      <c r="Q386" s="24">
        <v>37</v>
      </c>
      <c r="R386" s="25">
        <v>2</v>
      </c>
      <c r="S386" s="39">
        <v>0</v>
      </c>
      <c r="T386" s="7" t="s">
        <v>2910</v>
      </c>
      <c r="U386" s="7"/>
      <c r="V386" s="7" t="str">
        <f>+IF(U386="","",IF(U386="FINES",CONCATENATE("R",IF(OR(B386="16",B386="21",B386="22",B386="23"),"16212223",IF(OR(B386="15",B386="17",B386="24",B386="25"),"15172425",B386))),IF(U386="CEBAS","UNICO",IF(VALUE(B386)&lt;=11,"AMBA","INTERIOR"))))</f>
        <v/>
      </c>
      <c r="W386" s="38" t="str">
        <f>+IF(U386="","-",CONCATENATE(U386,"_",V386))</f>
        <v>-</v>
      </c>
      <c r="X386" s="42">
        <v>0.502</v>
      </c>
    </row>
    <row r="387" spans="1:24" ht="15" thickBot="1">
      <c r="A387" s="5" t="s">
        <v>2916</v>
      </c>
      <c r="B387" s="5" t="s">
        <v>817</v>
      </c>
      <c r="C387" s="5" t="s">
        <v>600</v>
      </c>
      <c r="D387" s="5" t="s">
        <v>2661</v>
      </c>
      <c r="E387" s="5">
        <v>606804</v>
      </c>
      <c r="F387" s="5">
        <v>3</v>
      </c>
      <c r="G387" s="5" t="s">
        <v>2685</v>
      </c>
      <c r="H387" s="5" t="s">
        <v>20</v>
      </c>
      <c r="I387" s="6" t="s">
        <v>50</v>
      </c>
      <c r="J387" s="6" t="s">
        <v>51</v>
      </c>
      <c r="K387" s="6" t="s">
        <v>2671</v>
      </c>
      <c r="L387" s="6" t="s">
        <v>2686</v>
      </c>
      <c r="M387" s="6" t="s">
        <v>22</v>
      </c>
      <c r="N387" s="6" t="s">
        <v>23</v>
      </c>
      <c r="O387" s="6" t="s">
        <v>27</v>
      </c>
      <c r="P387" s="6" t="s">
        <v>28</v>
      </c>
      <c r="Q387" s="22">
        <v>17</v>
      </c>
      <c r="R387" s="23">
        <v>1</v>
      </c>
      <c r="S387" s="39">
        <v>0</v>
      </c>
      <c r="T387" s="7" t="s">
        <v>2910</v>
      </c>
      <c r="U387" s="7"/>
      <c r="V387" s="7" t="str">
        <f>+IF(U387="","",IF(U387="FINES",CONCATENATE("R",IF(OR(B387="16",B387="21",B387="22",B387="23"),"16212223",IF(OR(B387="15",B387="17",B387="24",B387="25"),"15172425",B387))),IF(U387="CEBAS","UNICO",IF(VALUE(B387)&lt;=11,"AMBA","INTERIOR"))))</f>
        <v/>
      </c>
      <c r="W387" s="38" t="str">
        <f>+IF(U387="","-",CONCATENATE(U387,"_",V387))</f>
        <v>-</v>
      </c>
      <c r="X387" s="42">
        <v>0.502</v>
      </c>
    </row>
    <row r="388" spans="1:24" ht="15" thickBot="1">
      <c r="A388" s="3" t="s">
        <v>2916</v>
      </c>
      <c r="B388" s="3" t="s">
        <v>817</v>
      </c>
      <c r="C388" s="3" t="s">
        <v>2080</v>
      </c>
      <c r="D388" s="3" t="s">
        <v>2081</v>
      </c>
      <c r="E388" s="3">
        <v>612047</v>
      </c>
      <c r="F388" s="3">
        <v>1</v>
      </c>
      <c r="G388" s="3" t="s">
        <v>2116</v>
      </c>
      <c r="H388" s="3" t="s">
        <v>20</v>
      </c>
      <c r="I388" s="4" t="s">
        <v>50</v>
      </c>
      <c r="J388" s="4" t="s">
        <v>51</v>
      </c>
      <c r="K388" s="4" t="s">
        <v>2117</v>
      </c>
      <c r="L388" s="4" t="s">
        <v>2118</v>
      </c>
      <c r="M388" s="4" t="s">
        <v>22</v>
      </c>
      <c r="N388" s="4" t="s">
        <v>23</v>
      </c>
      <c r="O388" s="4" t="s">
        <v>27</v>
      </c>
      <c r="P388" s="4" t="s">
        <v>28</v>
      </c>
      <c r="Q388" s="24">
        <v>47</v>
      </c>
      <c r="R388" s="25">
        <v>3</v>
      </c>
      <c r="S388" s="39">
        <v>0</v>
      </c>
      <c r="T388" s="7" t="s">
        <v>2910</v>
      </c>
      <c r="U388" s="7"/>
      <c r="V388" s="7" t="str">
        <f>+IF(U388="","",IF(U388="FINES",CONCATENATE("R",IF(OR(B388="16",B388="21",B388="22",B388="23"),"16212223",IF(OR(B388="15",B388="17",B388="24",B388="25"),"15172425",B388))),IF(U388="CEBAS","UNICO",IF(VALUE(B388)&lt;=11,"AMBA","INTERIOR"))))</f>
        <v/>
      </c>
      <c r="W388" s="38" t="str">
        <f>+IF(U388="","-",CONCATENATE(U388,"_",V388))</f>
        <v>-</v>
      </c>
      <c r="X388" s="42">
        <v>0.503</v>
      </c>
    </row>
    <row r="389" spans="1:24" ht="15" thickBot="1">
      <c r="A389" s="3" t="s">
        <v>2916</v>
      </c>
      <c r="B389" s="3" t="s">
        <v>356</v>
      </c>
      <c r="C389" s="3" t="s">
        <v>805</v>
      </c>
      <c r="D389" s="3" t="s">
        <v>2500</v>
      </c>
      <c r="E389" s="3">
        <v>603807</v>
      </c>
      <c r="F389" s="3">
        <v>2</v>
      </c>
      <c r="G389" s="3" t="s">
        <v>2508</v>
      </c>
      <c r="H389" s="3" t="s">
        <v>20</v>
      </c>
      <c r="I389" s="4" t="s">
        <v>50</v>
      </c>
      <c r="J389" s="4" t="s">
        <v>51</v>
      </c>
      <c r="K389" s="4" t="s">
        <v>2502</v>
      </c>
      <c r="L389" s="4" t="s">
        <v>1883</v>
      </c>
      <c r="M389" s="4" t="s">
        <v>22</v>
      </c>
      <c r="N389" s="4" t="s">
        <v>23</v>
      </c>
      <c r="O389" s="4" t="s">
        <v>27</v>
      </c>
      <c r="P389" s="4" t="s">
        <v>28</v>
      </c>
      <c r="Q389" s="24">
        <v>15</v>
      </c>
      <c r="R389" s="25">
        <v>1</v>
      </c>
      <c r="S389" s="39">
        <v>0</v>
      </c>
      <c r="T389" s="7" t="s">
        <v>2910</v>
      </c>
      <c r="U389" s="7"/>
      <c r="V389" s="7" t="str">
        <f>+IF(U389="","",IF(U389="FINES",CONCATENATE("R",IF(OR(B389="16",B389="21",B389="22",B389="23"),"16212223",IF(OR(B389="15",B389="17",B389="24",B389="25"),"15172425",B389))),IF(U389="CEBAS","UNICO",IF(VALUE(B389)&lt;=11,"AMBA","INTERIOR"))))</f>
        <v/>
      </c>
      <c r="W389" s="38" t="str">
        <f>+IF(U389="","-",CONCATENATE(U389,"_",V389))</f>
        <v>-</v>
      </c>
      <c r="X389" s="42">
        <v>0.503</v>
      </c>
    </row>
    <row r="390" spans="1:24" ht="15" thickBot="1">
      <c r="A390" s="3" t="s">
        <v>2916</v>
      </c>
      <c r="B390" s="3" t="s">
        <v>221</v>
      </c>
      <c r="C390" s="3" t="s">
        <v>230</v>
      </c>
      <c r="D390" s="3" t="s">
        <v>432</v>
      </c>
      <c r="E390" s="3">
        <v>605510</v>
      </c>
      <c r="F390" s="3">
        <v>4</v>
      </c>
      <c r="G390" s="3" t="s">
        <v>441</v>
      </c>
      <c r="H390" s="3" t="s">
        <v>20</v>
      </c>
      <c r="I390" s="4" t="s">
        <v>50</v>
      </c>
      <c r="J390" s="4" t="s">
        <v>51</v>
      </c>
      <c r="K390" s="4" t="s">
        <v>434</v>
      </c>
      <c r="L390" s="4" t="s">
        <v>442</v>
      </c>
      <c r="M390" s="4" t="s">
        <v>22</v>
      </c>
      <c r="N390" s="4" t="s">
        <v>23</v>
      </c>
      <c r="O390" s="4" t="s">
        <v>27</v>
      </c>
      <c r="P390" s="4" t="s">
        <v>28</v>
      </c>
      <c r="Q390" s="24">
        <v>16</v>
      </c>
      <c r="R390" s="25">
        <v>2</v>
      </c>
      <c r="S390" s="39">
        <v>0</v>
      </c>
      <c r="T390" s="7" t="s">
        <v>2910</v>
      </c>
      <c r="U390" s="7"/>
      <c r="V390" s="7" t="str">
        <f>+IF(U390="","",IF(U390="FINES",CONCATENATE("R",IF(OR(B390="16",B390="21",B390="22",B390="23"),"16212223",IF(OR(B390="15",B390="17",B390="24",B390="25"),"15172425",B390))),IF(U390="CEBAS","UNICO",IF(VALUE(B390)&lt;=11,"AMBA","INTERIOR"))))</f>
        <v/>
      </c>
      <c r="W390" s="38" t="str">
        <f>+IF(U390="","-",CONCATENATE(U390,"_",V390))</f>
        <v>-</v>
      </c>
      <c r="X390" s="42">
        <v>0.504</v>
      </c>
    </row>
    <row r="391" spans="1:24" ht="15" thickBot="1">
      <c r="A391" s="5" t="s">
        <v>2916</v>
      </c>
      <c r="B391" s="5" t="s">
        <v>135</v>
      </c>
      <c r="C391" s="5" t="s">
        <v>1330</v>
      </c>
      <c r="D391" s="5" t="s">
        <v>1331</v>
      </c>
      <c r="E391" s="5">
        <v>609753</v>
      </c>
      <c r="F391" s="5">
        <v>1</v>
      </c>
      <c r="G391" s="5" t="s">
        <v>1333</v>
      </c>
      <c r="H391" s="5" t="s">
        <v>20</v>
      </c>
      <c r="I391" s="6" t="s">
        <v>50</v>
      </c>
      <c r="J391" s="6" t="s">
        <v>51</v>
      </c>
      <c r="K391" s="6" t="s">
        <v>1334</v>
      </c>
      <c r="L391" s="6" t="s">
        <v>754</v>
      </c>
      <c r="M391" s="6" t="s">
        <v>22</v>
      </c>
      <c r="N391" s="6" t="s">
        <v>23</v>
      </c>
      <c r="O391" s="6" t="s">
        <v>27</v>
      </c>
      <c r="P391" s="6" t="s">
        <v>28</v>
      </c>
      <c r="Q391" s="22">
        <v>28</v>
      </c>
      <c r="R391" s="23">
        <v>2</v>
      </c>
      <c r="S391" s="39">
        <v>0</v>
      </c>
      <c r="T391" s="7" t="s">
        <v>2910</v>
      </c>
      <c r="U391" s="7"/>
      <c r="V391" s="7" t="str">
        <f>+IF(U391="","",IF(U391="FINES",CONCATENATE("R",IF(OR(B391="16",B391="21",B391="22",B391="23"),"16212223",IF(OR(B391="15",B391="17",B391="24",B391="25"),"15172425",B391))),IF(U391="CEBAS","UNICO",IF(VALUE(B391)&lt;=11,"AMBA","INTERIOR"))))</f>
        <v/>
      </c>
      <c r="W391" s="38" t="str">
        <f>+IF(U391="","-",CONCATENATE(U391,"_",V391))</f>
        <v>-</v>
      </c>
      <c r="X391" s="42">
        <v>0.505</v>
      </c>
    </row>
    <row r="392" spans="1:24" ht="15" thickBot="1">
      <c r="A392" s="5" t="s">
        <v>2916</v>
      </c>
      <c r="B392" s="5" t="s">
        <v>1257</v>
      </c>
      <c r="C392" s="5" t="s">
        <v>2237</v>
      </c>
      <c r="D392" s="5" t="s">
        <v>2238</v>
      </c>
      <c r="E392" s="5">
        <v>612075</v>
      </c>
      <c r="F392" s="5">
        <v>2</v>
      </c>
      <c r="G392" s="5" t="s">
        <v>2256</v>
      </c>
      <c r="H392" s="5" t="s">
        <v>20</v>
      </c>
      <c r="I392" s="6" t="s">
        <v>50</v>
      </c>
      <c r="J392" s="6" t="s">
        <v>51</v>
      </c>
      <c r="K392" s="6" t="s">
        <v>2248</v>
      </c>
      <c r="L392" s="6" t="s">
        <v>783</v>
      </c>
      <c r="M392" s="6" t="s">
        <v>22</v>
      </c>
      <c r="N392" s="6" t="s">
        <v>23</v>
      </c>
      <c r="O392" s="6" t="s">
        <v>27</v>
      </c>
      <c r="P392" s="6" t="s">
        <v>28</v>
      </c>
      <c r="Q392" s="22">
        <v>26</v>
      </c>
      <c r="R392" s="23">
        <v>2</v>
      </c>
      <c r="S392" s="39">
        <v>0</v>
      </c>
      <c r="T392" s="7" t="s">
        <v>2910</v>
      </c>
      <c r="U392" s="7"/>
      <c r="V392" s="7" t="str">
        <f>+IF(U392="","",IF(U392="FINES",CONCATENATE("R",IF(OR(B392="16",B392="21",B392="22",B392="23"),"16212223",IF(OR(B392="15",B392="17",B392="24",B392="25"),"15172425",B392))),IF(U392="CEBAS","UNICO",IF(VALUE(B392)&lt;=11,"AMBA","INTERIOR"))))</f>
        <v/>
      </c>
      <c r="W392" s="38" t="str">
        <f>+IF(U392="","-",CONCATENATE(U392,"_",V392))</f>
        <v>-</v>
      </c>
      <c r="X392" s="42">
        <v>0.50600000000000001</v>
      </c>
    </row>
    <row r="393" spans="1:24" ht="15" thickBot="1">
      <c r="A393" s="5" t="s">
        <v>2916</v>
      </c>
      <c r="B393" s="5" t="s">
        <v>1257</v>
      </c>
      <c r="C393" s="5" t="s">
        <v>1255</v>
      </c>
      <c r="D393" s="5" t="s">
        <v>1256</v>
      </c>
      <c r="E393" s="5">
        <v>602531</v>
      </c>
      <c r="F393" s="5">
        <v>1</v>
      </c>
      <c r="G393" s="5" t="s">
        <v>1263</v>
      </c>
      <c r="H393" s="5" t="s">
        <v>20</v>
      </c>
      <c r="I393" s="6" t="s">
        <v>50</v>
      </c>
      <c r="J393" s="6" t="s">
        <v>51</v>
      </c>
      <c r="K393" s="6" t="s">
        <v>1264</v>
      </c>
      <c r="L393" s="6" t="s">
        <v>438</v>
      </c>
      <c r="M393" s="6" t="s">
        <v>22</v>
      </c>
      <c r="N393" s="6" t="s">
        <v>23</v>
      </c>
      <c r="O393" s="6" t="s">
        <v>27</v>
      </c>
      <c r="P393" s="6" t="s">
        <v>28</v>
      </c>
      <c r="Q393" s="22">
        <v>26</v>
      </c>
      <c r="R393" s="23">
        <v>2</v>
      </c>
      <c r="S393" s="39">
        <v>0</v>
      </c>
      <c r="T393" s="7" t="s">
        <v>2910</v>
      </c>
      <c r="U393" s="7"/>
      <c r="V393" s="7" t="str">
        <f>+IF(U393="","",IF(U393="FINES",CONCATENATE("R",IF(OR(B393="16",B393="21",B393="22",B393="23"),"16212223",IF(OR(B393="15",B393="17",B393="24",B393="25"),"15172425",B393))),IF(U393="CEBAS","UNICO",IF(VALUE(B393)&lt;=11,"AMBA","INTERIOR"))))</f>
        <v/>
      </c>
      <c r="W393" s="38" t="str">
        <f>+IF(U393="","-",CONCATENATE(U393,"_",V393))</f>
        <v>-</v>
      </c>
      <c r="X393" s="42">
        <v>0.50600000000000001</v>
      </c>
    </row>
    <row r="394" spans="1:24" ht="15" thickBot="1">
      <c r="A394" s="3" t="s">
        <v>2916</v>
      </c>
      <c r="B394" s="3" t="s">
        <v>598</v>
      </c>
      <c r="C394" s="3" t="s">
        <v>1190</v>
      </c>
      <c r="D394" s="3" t="s">
        <v>1191</v>
      </c>
      <c r="E394" s="3">
        <v>606608</v>
      </c>
      <c r="F394" s="3">
        <v>0</v>
      </c>
      <c r="G394" s="3" t="s">
        <v>1192</v>
      </c>
      <c r="H394" s="3" t="s">
        <v>20</v>
      </c>
      <c r="I394" s="4" t="s">
        <v>50</v>
      </c>
      <c r="J394" s="4" t="s">
        <v>21</v>
      </c>
      <c r="K394" s="4"/>
      <c r="L394" s="4" t="s">
        <v>1193</v>
      </c>
      <c r="M394" s="4" t="s">
        <v>22</v>
      </c>
      <c r="N394" s="4" t="s">
        <v>23</v>
      </c>
      <c r="O394" s="4" t="s">
        <v>27</v>
      </c>
      <c r="P394" s="4" t="s">
        <v>28</v>
      </c>
      <c r="Q394" s="24">
        <v>56</v>
      </c>
      <c r="R394" s="25">
        <v>4</v>
      </c>
      <c r="S394" s="39">
        <v>0</v>
      </c>
      <c r="T394" s="7" t="s">
        <v>2910</v>
      </c>
      <c r="U394" s="7"/>
      <c r="V394" s="7" t="str">
        <f>+IF(U394="","",IF(U394="FINES",CONCATENATE("R",IF(OR(B394="16",B394="21",B394="22",B394="23"),"16212223",IF(OR(B394="15",B394="17",B394="24",B394="25"),"15172425",B394))),IF(U394="CEBAS","UNICO",IF(VALUE(B394)&lt;=11,"AMBA","INTERIOR"))))</f>
        <v/>
      </c>
      <c r="W394" s="38" t="str">
        <f>+IF(U394="","-",CONCATENATE(U394,"_",V394))</f>
        <v>-</v>
      </c>
      <c r="X394" s="42">
        <v>0.50700000000000001</v>
      </c>
    </row>
    <row r="395" spans="1:24" ht="15" thickBot="1">
      <c r="A395" s="3" t="s">
        <v>2916</v>
      </c>
      <c r="B395" s="3" t="s">
        <v>135</v>
      </c>
      <c r="C395" s="3" t="s">
        <v>727</v>
      </c>
      <c r="D395" s="3" t="s">
        <v>728</v>
      </c>
      <c r="E395" s="3">
        <v>608058</v>
      </c>
      <c r="F395" s="3">
        <v>1</v>
      </c>
      <c r="G395" s="3" t="s">
        <v>730</v>
      </c>
      <c r="H395" s="3" t="s">
        <v>20</v>
      </c>
      <c r="I395" s="4" t="s">
        <v>50</v>
      </c>
      <c r="J395" s="4" t="s">
        <v>51</v>
      </c>
      <c r="K395" s="4" t="s">
        <v>731</v>
      </c>
      <c r="L395" s="4" t="s">
        <v>545</v>
      </c>
      <c r="M395" s="4" t="s">
        <v>22</v>
      </c>
      <c r="N395" s="4" t="s">
        <v>23</v>
      </c>
      <c r="O395" s="4" t="s">
        <v>27</v>
      </c>
      <c r="P395" s="4" t="s">
        <v>28</v>
      </c>
      <c r="Q395" s="24">
        <v>28</v>
      </c>
      <c r="R395" s="25">
        <v>2</v>
      </c>
      <c r="S395" s="39">
        <v>0</v>
      </c>
      <c r="T395" s="7" t="s">
        <v>2910</v>
      </c>
      <c r="U395" s="7"/>
      <c r="V395" s="7" t="str">
        <f>+IF(U395="","",IF(U395="FINES",CONCATENATE("R",IF(OR(B395="16",B395="21",B395="22",B395="23"),"16212223",IF(OR(B395="15",B395="17",B395="24",B395="25"),"15172425",B395))),IF(U395="CEBAS","UNICO",IF(VALUE(B395)&lt;=11,"AMBA","INTERIOR"))))</f>
        <v/>
      </c>
      <c r="W395" s="38" t="str">
        <f>+IF(U395="","-",CONCATENATE(U395,"_",V395))</f>
        <v>-</v>
      </c>
      <c r="X395" s="42">
        <v>0.50800000000000001</v>
      </c>
    </row>
    <row r="396" spans="1:24" ht="15" thickBot="1">
      <c r="A396" s="3" t="s">
        <v>2916</v>
      </c>
      <c r="B396" s="3" t="s">
        <v>222</v>
      </c>
      <c r="C396" s="3" t="s">
        <v>227</v>
      </c>
      <c r="D396" s="3" t="s">
        <v>2603</v>
      </c>
      <c r="E396" s="3">
        <v>610656</v>
      </c>
      <c r="F396" s="3">
        <v>3</v>
      </c>
      <c r="G396" s="3" t="s">
        <v>2618</v>
      </c>
      <c r="H396" s="3" t="s">
        <v>20</v>
      </c>
      <c r="I396" s="4" t="s">
        <v>50</v>
      </c>
      <c r="J396" s="4" t="s">
        <v>51</v>
      </c>
      <c r="K396" s="4" t="s">
        <v>2610</v>
      </c>
      <c r="L396" s="4" t="s">
        <v>2619</v>
      </c>
      <c r="M396" s="4" t="s">
        <v>22</v>
      </c>
      <c r="N396" s="4" t="s">
        <v>23</v>
      </c>
      <c r="O396" s="4" t="s">
        <v>27</v>
      </c>
      <c r="P396" s="4" t="s">
        <v>28</v>
      </c>
      <c r="Q396" s="24">
        <v>23</v>
      </c>
      <c r="R396" s="25">
        <v>2</v>
      </c>
      <c r="S396" s="39">
        <v>0</v>
      </c>
      <c r="T396" s="7" t="s">
        <v>2910</v>
      </c>
      <c r="U396" s="7"/>
      <c r="V396" s="7" t="str">
        <f>+IF(U396="","",IF(U396="FINES",CONCATENATE("R",IF(OR(B396="16",B396="21",B396="22",B396="23"),"16212223",IF(OR(B396="15",B396="17",B396="24",B396="25"),"15172425",B396))),IF(U396="CEBAS","UNICO",IF(VALUE(B396)&lt;=11,"AMBA","INTERIOR"))))</f>
        <v/>
      </c>
      <c r="W396" s="38" t="str">
        <f>+IF(U396="","-",CONCATENATE(U396,"_",V396))</f>
        <v>-</v>
      </c>
      <c r="X396" s="42">
        <v>0.51400000000000001</v>
      </c>
    </row>
    <row r="397" spans="1:24" ht="15" thickBot="1">
      <c r="A397" s="5" t="s">
        <v>2916</v>
      </c>
      <c r="B397" s="5" t="s">
        <v>221</v>
      </c>
      <c r="C397" s="5" t="s">
        <v>230</v>
      </c>
      <c r="D397" s="5" t="s">
        <v>432</v>
      </c>
      <c r="E397" s="5">
        <v>605510</v>
      </c>
      <c r="F397" s="5">
        <v>3</v>
      </c>
      <c r="G397" s="5" t="s">
        <v>433</v>
      </c>
      <c r="H397" s="5" t="s">
        <v>20</v>
      </c>
      <c r="I397" s="6" t="s">
        <v>50</v>
      </c>
      <c r="J397" s="6" t="s">
        <v>51</v>
      </c>
      <c r="K397" s="6" t="s">
        <v>434</v>
      </c>
      <c r="L397" s="6" t="s">
        <v>435</v>
      </c>
      <c r="M397" s="6" t="s">
        <v>22</v>
      </c>
      <c r="N397" s="6" t="s">
        <v>23</v>
      </c>
      <c r="O397" s="6" t="s">
        <v>27</v>
      </c>
      <c r="P397" s="6" t="s">
        <v>28</v>
      </c>
      <c r="Q397" s="22">
        <v>21</v>
      </c>
      <c r="R397" s="23">
        <v>2</v>
      </c>
      <c r="S397" s="39">
        <v>0</v>
      </c>
      <c r="T397" s="7" t="s">
        <v>2910</v>
      </c>
      <c r="U397" s="7"/>
      <c r="V397" s="7" t="str">
        <f>+IF(U397="","",IF(U397="FINES",CONCATENATE("R",IF(OR(B397="16",B397="21",B397="22",B397="23"),"16212223",IF(OR(B397="15",B397="17",B397="24",B397="25"),"15172425",B397))),IF(U397="CEBAS","UNICO",IF(VALUE(B397)&lt;=11,"AMBA","INTERIOR"))))</f>
        <v/>
      </c>
      <c r="W397" s="38" t="str">
        <f>+IF(U397="","-",CONCATENATE(U397,"_",V397))</f>
        <v>-</v>
      </c>
      <c r="X397" s="42">
        <v>0.51400000000000001</v>
      </c>
    </row>
    <row r="398" spans="1:24" ht="15" thickBot="1">
      <c r="A398" s="3" t="s">
        <v>2916</v>
      </c>
      <c r="B398" s="3" t="s">
        <v>205</v>
      </c>
      <c r="C398" s="3" t="s">
        <v>654</v>
      </c>
      <c r="D398" s="3" t="s">
        <v>655</v>
      </c>
      <c r="E398" s="3">
        <v>618230</v>
      </c>
      <c r="F398" s="3">
        <v>0</v>
      </c>
      <c r="G398" s="3" t="s">
        <v>661</v>
      </c>
      <c r="H398" s="3" t="s">
        <v>20</v>
      </c>
      <c r="I398" s="4" t="s">
        <v>50</v>
      </c>
      <c r="J398" s="4" t="s">
        <v>21</v>
      </c>
      <c r="K398" s="4"/>
      <c r="L398" s="4" t="s">
        <v>650</v>
      </c>
      <c r="M398" s="4" t="s">
        <v>199</v>
      </c>
      <c r="N398" s="4" t="s">
        <v>23</v>
      </c>
      <c r="O398" s="4" t="s">
        <v>27</v>
      </c>
      <c r="P398" s="4" t="s">
        <v>28</v>
      </c>
      <c r="Q398" s="24">
        <v>12</v>
      </c>
      <c r="R398" s="25">
        <v>1</v>
      </c>
      <c r="S398" s="39">
        <v>0</v>
      </c>
      <c r="T398" s="7" t="s">
        <v>2910</v>
      </c>
      <c r="V398" s="7" t="str">
        <f>+IF(U398="","",IF(U398="FINES",CONCATENATE("R",IF(OR(B398="16",B398="21",B398="22",B398="23"),"16212223",IF(OR(B398="15",B398="17",B398="24",B398="25"),"15172425",B398))),IF(U398="CEBAS","UNICO",IF(VALUE(B398)&lt;=11,"AMBA","INTERIOR"))))</f>
        <v/>
      </c>
      <c r="W398" s="38" t="str">
        <f>+IF(U398="","-",CONCATENATE(U398,"_",V398))</f>
        <v>-</v>
      </c>
      <c r="X398" s="42">
        <v>0.51800000000000002</v>
      </c>
    </row>
    <row r="399" spans="1:24" ht="15" thickBot="1">
      <c r="A399" s="5" t="s">
        <v>2916</v>
      </c>
      <c r="B399" s="5" t="s">
        <v>1532</v>
      </c>
      <c r="C399" s="5" t="s">
        <v>1530</v>
      </c>
      <c r="D399" s="5" t="s">
        <v>1531</v>
      </c>
      <c r="E399" s="5">
        <v>602213</v>
      </c>
      <c r="F399" s="5">
        <v>1</v>
      </c>
      <c r="G399" s="5" t="s">
        <v>1642</v>
      </c>
      <c r="H399" s="5" t="s">
        <v>20</v>
      </c>
      <c r="I399" s="6" t="s">
        <v>50</v>
      </c>
      <c r="J399" s="6" t="s">
        <v>51</v>
      </c>
      <c r="K399" s="6" t="s">
        <v>1643</v>
      </c>
      <c r="L399" s="6" t="s">
        <v>1644</v>
      </c>
      <c r="M399" s="6" t="s">
        <v>22</v>
      </c>
      <c r="N399" s="6" t="s">
        <v>23</v>
      </c>
      <c r="O399" s="6" t="s">
        <v>27</v>
      </c>
      <c r="P399" s="6" t="s">
        <v>28</v>
      </c>
      <c r="Q399" s="22">
        <v>21</v>
      </c>
      <c r="R399" s="23">
        <v>2</v>
      </c>
      <c r="S399" s="39">
        <v>0</v>
      </c>
      <c r="T399" s="7" t="s">
        <v>2910</v>
      </c>
      <c r="V399" s="7" t="str">
        <f>+IF(U399="","",IF(U399="FINES",CONCATENATE("R",IF(OR(B399="16",B399="21",B399="22",B399="23"),"16212223",IF(OR(B399="15",B399="17",B399="24",B399="25"),"15172425",B399))),IF(U399="CEBAS","UNICO",IF(VALUE(B399)&lt;=11,"AMBA","INTERIOR"))))</f>
        <v/>
      </c>
      <c r="W399" s="38" t="str">
        <f>+IF(U399="","-",CONCATENATE(U399,"_",V399))</f>
        <v>-</v>
      </c>
      <c r="X399" s="42">
        <v>0.51900000000000002</v>
      </c>
    </row>
    <row r="400" spans="1:24" ht="15" thickBot="1">
      <c r="A400" s="3" t="s">
        <v>2916</v>
      </c>
      <c r="B400" s="3" t="s">
        <v>1257</v>
      </c>
      <c r="C400" s="3" t="s">
        <v>2237</v>
      </c>
      <c r="D400" s="3" t="s">
        <v>2238</v>
      </c>
      <c r="E400" s="3">
        <v>612307</v>
      </c>
      <c r="F400" s="3">
        <v>1</v>
      </c>
      <c r="G400" s="3" t="s">
        <v>2252</v>
      </c>
      <c r="H400" s="3" t="s">
        <v>20</v>
      </c>
      <c r="I400" s="4" t="s">
        <v>50</v>
      </c>
      <c r="J400" s="4" t="s">
        <v>51</v>
      </c>
      <c r="K400" s="4" t="s">
        <v>2253</v>
      </c>
      <c r="L400" s="4" t="s">
        <v>778</v>
      </c>
      <c r="M400" s="4" t="s">
        <v>22</v>
      </c>
      <c r="N400" s="4" t="s">
        <v>23</v>
      </c>
      <c r="O400" s="4" t="s">
        <v>27</v>
      </c>
      <c r="P400" s="4" t="s">
        <v>28</v>
      </c>
      <c r="Q400" s="24">
        <v>10</v>
      </c>
      <c r="R400" s="25">
        <v>1</v>
      </c>
      <c r="S400" s="39">
        <v>0</v>
      </c>
      <c r="T400" s="7" t="s">
        <v>2910</v>
      </c>
      <c r="V400" s="7" t="str">
        <f>+IF(U400="","",IF(U400="FINES",CONCATENATE("R",IF(OR(B400="16",B400="21",B400="22",B400="23"),"16212223",IF(OR(B400="15",B400="17",B400="24",B400="25"),"15172425",B400))),IF(U400="CEBAS","UNICO",IF(VALUE(B400)&lt;=11,"AMBA","INTERIOR"))))</f>
        <v/>
      </c>
      <c r="W400" s="38" t="str">
        <f>+IF(U400="","-",CONCATENATE(U400,"_",V400))</f>
        <v>-</v>
      </c>
      <c r="X400" s="42">
        <v>0.51900000000000002</v>
      </c>
    </row>
    <row r="401" spans="1:24" ht="15" thickBot="1">
      <c r="A401" s="5" t="s">
        <v>2916</v>
      </c>
      <c r="B401" s="5" t="s">
        <v>817</v>
      </c>
      <c r="C401" s="5" t="s">
        <v>2080</v>
      </c>
      <c r="D401" s="5" t="s">
        <v>2081</v>
      </c>
      <c r="E401" s="5">
        <v>610361</v>
      </c>
      <c r="F401" s="5">
        <v>2</v>
      </c>
      <c r="G401" s="5" t="s">
        <v>2127</v>
      </c>
      <c r="H401" s="5" t="s">
        <v>20</v>
      </c>
      <c r="I401" s="6" t="s">
        <v>50</v>
      </c>
      <c r="J401" s="6" t="s">
        <v>51</v>
      </c>
      <c r="K401" s="6" t="s">
        <v>2102</v>
      </c>
      <c r="L401" s="6" t="s">
        <v>2128</v>
      </c>
      <c r="M401" s="6" t="s">
        <v>22</v>
      </c>
      <c r="N401" s="6" t="s">
        <v>23</v>
      </c>
      <c r="O401" s="6" t="s">
        <v>27</v>
      </c>
      <c r="P401" s="6" t="s">
        <v>28</v>
      </c>
      <c r="Q401" s="22">
        <v>16</v>
      </c>
      <c r="R401" s="23">
        <v>1</v>
      </c>
      <c r="S401" s="39">
        <v>0</v>
      </c>
      <c r="T401" s="7" t="s">
        <v>2910</v>
      </c>
      <c r="V401" s="7" t="str">
        <f>+IF(U401="","",IF(U401="FINES",CONCATENATE("R",IF(OR(B401="16",B401="21",B401="22",B401="23"),"16212223",IF(OR(B401="15",B401="17",B401="24",B401="25"),"15172425",B401))),IF(U401="CEBAS","UNICO",IF(VALUE(B401)&lt;=11,"AMBA","INTERIOR"))))</f>
        <v/>
      </c>
      <c r="W401" s="38" t="str">
        <f>+IF(U401="","-",CONCATENATE(U401,"_",V401))</f>
        <v>-</v>
      </c>
      <c r="X401" s="42">
        <v>0.52100000000000002</v>
      </c>
    </row>
    <row r="402" spans="1:24" ht="15" thickBot="1">
      <c r="A402" s="5" t="s">
        <v>2916</v>
      </c>
      <c r="B402" s="5" t="s">
        <v>221</v>
      </c>
      <c r="C402" s="5" t="s">
        <v>230</v>
      </c>
      <c r="D402" s="5" t="s">
        <v>432</v>
      </c>
      <c r="E402" s="5">
        <v>605510</v>
      </c>
      <c r="F402" s="5">
        <v>2</v>
      </c>
      <c r="G402" s="5" t="s">
        <v>439</v>
      </c>
      <c r="H402" s="5" t="s">
        <v>20</v>
      </c>
      <c r="I402" s="6" t="s">
        <v>50</v>
      </c>
      <c r="J402" s="6" t="s">
        <v>51</v>
      </c>
      <c r="K402" s="6" t="s">
        <v>434</v>
      </c>
      <c r="L402" s="6" t="s">
        <v>440</v>
      </c>
      <c r="M402" s="6" t="s">
        <v>22</v>
      </c>
      <c r="N402" s="6" t="s">
        <v>23</v>
      </c>
      <c r="O402" s="6" t="s">
        <v>27</v>
      </c>
      <c r="P402" s="6" t="s">
        <v>28</v>
      </c>
      <c r="Q402" s="22">
        <v>17</v>
      </c>
      <c r="R402" s="23">
        <v>2</v>
      </c>
      <c r="S402" s="39">
        <v>0</v>
      </c>
      <c r="T402" s="7" t="s">
        <v>2910</v>
      </c>
      <c r="V402" s="7" t="str">
        <f>+IF(U402="","",IF(U402="FINES",CONCATENATE("R",IF(OR(B402="16",B402="21",B402="22",B402="23"),"16212223",IF(OR(B402="15",B402="17",B402="24",B402="25"),"15172425",B402))),IF(U402="CEBAS","UNICO",IF(VALUE(B402)&lt;=11,"AMBA","INTERIOR"))))</f>
        <v/>
      </c>
      <c r="W402" s="38" t="str">
        <f>+IF(U402="","-",CONCATENATE(U402,"_",V402))</f>
        <v>-</v>
      </c>
      <c r="X402" s="42">
        <v>0.52200000000000002</v>
      </c>
    </row>
    <row r="403" spans="1:24" ht="15" thickBot="1">
      <c r="A403" s="3" t="s">
        <v>2916</v>
      </c>
      <c r="B403" s="3" t="s">
        <v>1532</v>
      </c>
      <c r="C403" s="3" t="s">
        <v>1530</v>
      </c>
      <c r="D403" s="3" t="s">
        <v>1531</v>
      </c>
      <c r="E403" s="3">
        <v>612438</v>
      </c>
      <c r="F403" s="3">
        <v>2</v>
      </c>
      <c r="G403" s="3" t="s">
        <v>1589</v>
      </c>
      <c r="H403" s="3" t="s">
        <v>20</v>
      </c>
      <c r="I403" s="4" t="s">
        <v>50</v>
      </c>
      <c r="J403" s="4" t="s">
        <v>51</v>
      </c>
      <c r="K403" s="4" t="s">
        <v>1558</v>
      </c>
      <c r="L403" s="4" t="s">
        <v>1590</v>
      </c>
      <c r="M403" s="4" t="s">
        <v>22</v>
      </c>
      <c r="N403" s="4" t="s">
        <v>23</v>
      </c>
      <c r="O403" s="4" t="s">
        <v>27</v>
      </c>
      <c r="P403" s="4" t="s">
        <v>28</v>
      </c>
      <c r="Q403" s="24">
        <v>49</v>
      </c>
      <c r="R403" s="25">
        <v>4</v>
      </c>
      <c r="S403" s="39">
        <v>0</v>
      </c>
      <c r="T403" s="7" t="s">
        <v>2910</v>
      </c>
      <c r="V403" s="7" t="str">
        <f>+IF(U403="","",IF(U403="FINES",CONCATENATE("R",IF(OR(B403="16",B403="21",B403="22",B403="23"),"16212223",IF(OR(B403="15",B403="17",B403="24",B403="25"),"15172425",B403))),IF(U403="CEBAS","UNICO",IF(VALUE(B403)&lt;=11,"AMBA","INTERIOR"))))</f>
        <v/>
      </c>
      <c r="W403" s="38" t="str">
        <f>+IF(U403="","-",CONCATENATE(U403,"_",V403))</f>
        <v>-</v>
      </c>
      <c r="X403" s="42">
        <v>0.52300000000000002</v>
      </c>
    </row>
    <row r="404" spans="1:24" ht="15" thickBot="1">
      <c r="A404" s="5" t="s">
        <v>2916</v>
      </c>
      <c r="B404" s="5" t="s">
        <v>1780</v>
      </c>
      <c r="C404" s="5" t="s">
        <v>1778</v>
      </c>
      <c r="D404" s="5" t="s">
        <v>1779</v>
      </c>
      <c r="E404" s="5">
        <v>609921</v>
      </c>
      <c r="F404" s="5">
        <v>1</v>
      </c>
      <c r="G404" s="5" t="s">
        <v>1795</v>
      </c>
      <c r="H404" s="5" t="s">
        <v>20</v>
      </c>
      <c r="I404" s="6" t="s">
        <v>50</v>
      </c>
      <c r="J404" s="6" t="s">
        <v>51</v>
      </c>
      <c r="K404" s="6" t="s">
        <v>1796</v>
      </c>
      <c r="L404" s="6" t="s">
        <v>1797</v>
      </c>
      <c r="M404" s="6" t="s">
        <v>22</v>
      </c>
      <c r="N404" s="6" t="s">
        <v>23</v>
      </c>
      <c r="O404" s="6" t="s">
        <v>27</v>
      </c>
      <c r="P404" s="6" t="s">
        <v>28</v>
      </c>
      <c r="Q404" s="22">
        <v>10</v>
      </c>
      <c r="R404" s="23">
        <v>1</v>
      </c>
      <c r="S404" s="39">
        <v>0</v>
      </c>
      <c r="T404" s="7" t="s">
        <v>2910</v>
      </c>
      <c r="U404" s="7"/>
      <c r="V404" s="7" t="str">
        <f>+IF(U404="","",IF(U404="FINES",CONCATENATE("R",IF(OR(B404="16",B404="21",B404="22",B404="23"),"16212223",IF(OR(B404="15",B404="17",B404="24",B404="25"),"15172425",B404))),IF(U404="CEBAS","UNICO",IF(VALUE(B404)&lt;=11,"AMBA","INTERIOR"))))</f>
        <v/>
      </c>
      <c r="W404" s="38" t="str">
        <f>+IF(U404="","-",CONCATENATE(U404,"_",V404))</f>
        <v>-</v>
      </c>
      <c r="X404" s="42">
        <v>0.52700000000000002</v>
      </c>
    </row>
    <row r="405" spans="1:24" ht="15" thickBot="1">
      <c r="A405" s="5" t="s">
        <v>2916</v>
      </c>
      <c r="B405" s="5" t="s">
        <v>257</v>
      </c>
      <c r="C405" s="5" t="s">
        <v>2337</v>
      </c>
      <c r="D405" s="5" t="s">
        <v>2338</v>
      </c>
      <c r="E405" s="5">
        <v>604995</v>
      </c>
      <c r="F405" s="5">
        <v>1</v>
      </c>
      <c r="G405" s="5" t="s">
        <v>2339</v>
      </c>
      <c r="H405" s="5" t="s">
        <v>20</v>
      </c>
      <c r="I405" s="6" t="s">
        <v>50</v>
      </c>
      <c r="J405" s="6" t="s">
        <v>51</v>
      </c>
      <c r="K405" s="6" t="s">
        <v>2340</v>
      </c>
      <c r="L405" s="6" t="s">
        <v>428</v>
      </c>
      <c r="M405" s="6" t="s">
        <v>22</v>
      </c>
      <c r="N405" s="6" t="s">
        <v>23</v>
      </c>
      <c r="O405" s="6" t="s">
        <v>27</v>
      </c>
      <c r="P405" s="6" t="s">
        <v>28</v>
      </c>
      <c r="Q405" s="22">
        <v>29</v>
      </c>
      <c r="R405" s="23">
        <v>3</v>
      </c>
      <c r="S405" s="39">
        <v>0</v>
      </c>
      <c r="T405" s="7" t="s">
        <v>2910</v>
      </c>
      <c r="U405" s="7"/>
      <c r="V405" s="7" t="str">
        <f>+IF(U405="","",IF(U405="FINES",CONCATENATE("R",IF(OR(B405="16",B405="21",B405="22",B405="23"),"16212223",IF(OR(B405="15",B405="17",B405="24",B405="25"),"15172425",B405))),IF(U405="CEBAS","UNICO",IF(VALUE(B405)&lt;=11,"AMBA","INTERIOR"))))</f>
        <v/>
      </c>
      <c r="W405" s="38" t="str">
        <f>+IF(U405="","-",CONCATENATE(U405,"_",V405))</f>
        <v>-</v>
      </c>
      <c r="X405" s="42">
        <v>0.52900000000000003</v>
      </c>
    </row>
    <row r="406" spans="1:24" ht="15" thickBot="1">
      <c r="A406" s="3" t="s">
        <v>2916</v>
      </c>
      <c r="B406" s="3" t="s">
        <v>1780</v>
      </c>
      <c r="C406" s="3" t="s">
        <v>238</v>
      </c>
      <c r="D406" s="3" t="s">
        <v>2887</v>
      </c>
      <c r="E406" s="3">
        <v>605622</v>
      </c>
      <c r="F406" s="3">
        <v>2</v>
      </c>
      <c r="G406" s="3" t="s">
        <v>2890</v>
      </c>
      <c r="H406" s="3" t="s">
        <v>20</v>
      </c>
      <c r="I406" s="4" t="s">
        <v>50</v>
      </c>
      <c r="J406" s="4" t="s">
        <v>51</v>
      </c>
      <c r="K406" s="4" t="s">
        <v>2889</v>
      </c>
      <c r="L406" s="4" t="s">
        <v>526</v>
      </c>
      <c r="M406" s="4" t="s">
        <v>22</v>
      </c>
      <c r="N406" s="4" t="s">
        <v>23</v>
      </c>
      <c r="O406" s="4" t="s">
        <v>27</v>
      </c>
      <c r="P406" s="4" t="s">
        <v>28</v>
      </c>
      <c r="Q406" s="24">
        <v>41</v>
      </c>
      <c r="R406" s="25">
        <v>4</v>
      </c>
      <c r="S406" s="39">
        <v>0</v>
      </c>
      <c r="T406" s="7" t="s">
        <v>2910</v>
      </c>
      <c r="U406" s="7"/>
      <c r="V406" s="7" t="str">
        <f>+IF(U406="","",IF(U406="FINES",CONCATENATE("R",IF(OR(B406="16",B406="21",B406="22",B406="23"),"16212223",IF(OR(B406="15",B406="17",B406="24",B406="25"),"15172425",B406))),IF(U406="CEBAS","UNICO",IF(VALUE(B406)&lt;=11,"AMBA","INTERIOR"))))</f>
        <v/>
      </c>
      <c r="W406" s="38" t="str">
        <f>+IF(U406="","-",CONCATENATE(U406,"_",V406))</f>
        <v>-</v>
      </c>
      <c r="X406" s="42">
        <v>0.53200000000000003</v>
      </c>
    </row>
    <row r="407" spans="1:24" ht="15" thickBot="1">
      <c r="A407" s="3" t="s">
        <v>2916</v>
      </c>
      <c r="B407" s="3" t="s">
        <v>257</v>
      </c>
      <c r="C407" s="3" t="s">
        <v>253</v>
      </c>
      <c r="D407" s="3" t="s">
        <v>2759</v>
      </c>
      <c r="E407" s="3">
        <v>609576</v>
      </c>
      <c r="F407" s="3">
        <v>1</v>
      </c>
      <c r="G407" s="3" t="s">
        <v>2762</v>
      </c>
      <c r="H407" s="3" t="s">
        <v>20</v>
      </c>
      <c r="I407" s="4" t="s">
        <v>50</v>
      </c>
      <c r="J407" s="4" t="s">
        <v>51</v>
      </c>
      <c r="K407" s="4" t="s">
        <v>2761</v>
      </c>
      <c r="L407" s="4" t="s">
        <v>526</v>
      </c>
      <c r="M407" s="4" t="s">
        <v>22</v>
      </c>
      <c r="N407" s="4" t="s">
        <v>23</v>
      </c>
      <c r="O407" s="4" t="s">
        <v>27</v>
      </c>
      <c r="P407" s="4" t="s">
        <v>28</v>
      </c>
      <c r="Q407" s="24">
        <v>34</v>
      </c>
      <c r="R407" s="25">
        <v>2</v>
      </c>
      <c r="S407" s="39">
        <v>0</v>
      </c>
      <c r="T407" s="7" t="s">
        <v>2910</v>
      </c>
      <c r="V407" s="7" t="str">
        <f>+IF(U407="","",IF(U407="FINES",CONCATENATE("R",IF(OR(B407="16",B407="21",B407="22",B407="23"),"16212223",IF(OR(B407="15",B407="17",B407="24",B407="25"),"15172425",B407))),IF(U407="CEBAS","UNICO",IF(VALUE(B407)&lt;=11,"AMBA","INTERIOR"))))</f>
        <v/>
      </c>
      <c r="W407" s="38" t="str">
        <f>+IF(U407="","-",CONCATENATE(U407,"_",V407))</f>
        <v>-</v>
      </c>
      <c r="X407" s="42">
        <v>0.53200000000000003</v>
      </c>
    </row>
    <row r="408" spans="1:24" ht="15" thickBot="1">
      <c r="A408" s="5" t="s">
        <v>2916</v>
      </c>
      <c r="B408" s="5" t="s">
        <v>225</v>
      </c>
      <c r="C408" s="5" t="s">
        <v>942</v>
      </c>
      <c r="D408" s="5" t="s">
        <v>943</v>
      </c>
      <c r="E408" s="5">
        <v>609144</v>
      </c>
      <c r="F408" s="5">
        <v>1</v>
      </c>
      <c r="G408" s="5" t="s">
        <v>961</v>
      </c>
      <c r="H408" s="5" t="s">
        <v>20</v>
      </c>
      <c r="I408" s="6" t="s">
        <v>50</v>
      </c>
      <c r="J408" s="6" t="s">
        <v>51</v>
      </c>
      <c r="K408" s="6" t="s">
        <v>962</v>
      </c>
      <c r="L408" s="6" t="s">
        <v>963</v>
      </c>
      <c r="M408" s="6" t="s">
        <v>22</v>
      </c>
      <c r="N408" s="6" t="s">
        <v>23</v>
      </c>
      <c r="O408" s="6" t="s">
        <v>27</v>
      </c>
      <c r="P408" s="6" t="s">
        <v>28</v>
      </c>
      <c r="Q408" s="22">
        <v>27</v>
      </c>
      <c r="R408" s="23">
        <v>2</v>
      </c>
      <c r="S408" s="39">
        <v>0</v>
      </c>
      <c r="T408" s="7" t="s">
        <v>2910</v>
      </c>
      <c r="U408" s="7"/>
      <c r="V408" s="7" t="str">
        <f>+IF(U408="","",IF(U408="FINES",CONCATENATE("R",IF(OR(B408="16",B408="21",B408="22",B408="23"),"16212223",IF(OR(B408="15",B408="17",B408="24",B408="25"),"15172425",B408))),IF(U408="CEBAS","UNICO",IF(VALUE(B408)&lt;=11,"AMBA","INTERIOR"))))</f>
        <v/>
      </c>
      <c r="W408" s="38" t="str">
        <f>+IF(U408="","-",CONCATENATE(U408,"_",V408))</f>
        <v>-</v>
      </c>
      <c r="X408" s="42">
        <v>0.53500000000000003</v>
      </c>
    </row>
    <row r="409" spans="1:24" ht="15" thickBot="1">
      <c r="A409" s="5" t="s">
        <v>2916</v>
      </c>
      <c r="B409" s="5" t="s">
        <v>225</v>
      </c>
      <c r="C409" s="5" t="s">
        <v>876</v>
      </c>
      <c r="D409" s="5" t="s">
        <v>877</v>
      </c>
      <c r="E409" s="5">
        <v>609292</v>
      </c>
      <c r="F409" s="5">
        <v>2</v>
      </c>
      <c r="G409" s="5" t="s">
        <v>883</v>
      </c>
      <c r="H409" s="5" t="s">
        <v>20</v>
      </c>
      <c r="I409" s="6" t="s">
        <v>50</v>
      </c>
      <c r="J409" s="6" t="s">
        <v>51</v>
      </c>
      <c r="K409" s="6" t="s">
        <v>880</v>
      </c>
      <c r="L409" s="6" t="s">
        <v>528</v>
      </c>
      <c r="M409" s="6" t="s">
        <v>22</v>
      </c>
      <c r="N409" s="6" t="s">
        <v>23</v>
      </c>
      <c r="O409" s="6" t="s">
        <v>27</v>
      </c>
      <c r="P409" s="6" t="s">
        <v>28</v>
      </c>
      <c r="Q409" s="22">
        <v>26</v>
      </c>
      <c r="R409" s="23">
        <v>2</v>
      </c>
      <c r="S409" s="39">
        <v>0</v>
      </c>
      <c r="T409" s="7" t="s">
        <v>2910</v>
      </c>
      <c r="U409" s="7"/>
      <c r="V409" s="7" t="str">
        <f>+IF(U409="","",IF(U409="FINES",CONCATENATE("R",IF(OR(B409="16",B409="21",B409="22",B409="23"),"16212223",IF(OR(B409="15",B409="17",B409="24",B409="25"),"15172425",B409))),IF(U409="CEBAS","UNICO",IF(VALUE(B409)&lt;=11,"AMBA","INTERIOR"))))</f>
        <v/>
      </c>
      <c r="W409" s="38" t="str">
        <f>+IF(U409="","-",CONCATENATE(U409,"_",V409))</f>
        <v>-</v>
      </c>
      <c r="X409" s="42">
        <v>0.53600000000000003</v>
      </c>
    </row>
    <row r="410" spans="1:24" ht="15" thickBot="1">
      <c r="A410" s="5" t="s">
        <v>2916</v>
      </c>
      <c r="B410" s="5" t="s">
        <v>257</v>
      </c>
      <c r="C410" s="5" t="s">
        <v>254</v>
      </c>
      <c r="D410" s="5" t="s">
        <v>256</v>
      </c>
      <c r="E410" s="5">
        <v>601702</v>
      </c>
      <c r="F410" s="5">
        <v>2</v>
      </c>
      <c r="G410" s="5" t="s">
        <v>281</v>
      </c>
      <c r="H410" s="5" t="s">
        <v>20</v>
      </c>
      <c r="I410" s="6" t="s">
        <v>50</v>
      </c>
      <c r="J410" s="6" t="s">
        <v>51</v>
      </c>
      <c r="K410" s="6" t="s">
        <v>279</v>
      </c>
      <c r="L410" s="6" t="s">
        <v>282</v>
      </c>
      <c r="M410" s="6" t="s">
        <v>22</v>
      </c>
      <c r="N410" s="6" t="s">
        <v>23</v>
      </c>
      <c r="O410" s="6" t="s">
        <v>27</v>
      </c>
      <c r="P410" s="6" t="s">
        <v>28</v>
      </c>
      <c r="Q410" s="22">
        <v>53</v>
      </c>
      <c r="R410" s="23">
        <v>3</v>
      </c>
      <c r="S410" s="39">
        <v>0</v>
      </c>
      <c r="T410" s="7" t="s">
        <v>2910</v>
      </c>
      <c r="V410" s="7" t="str">
        <f>+IF(U410="","",IF(U410="FINES",CONCATENATE("R",IF(OR(B410="16",B410="21",B410="22",B410="23"),"16212223",IF(OR(B410="15",B410="17",B410="24",B410="25"),"15172425",B410))),IF(U410="CEBAS","UNICO",IF(VALUE(B410)&lt;=11,"AMBA","INTERIOR"))))</f>
        <v/>
      </c>
      <c r="W410" s="38" t="str">
        <f>+IF(U410="","-",CONCATENATE(U410,"_",V410))</f>
        <v>-</v>
      </c>
      <c r="X410" s="42">
        <v>0.53900000000000003</v>
      </c>
    </row>
    <row r="411" spans="1:24" ht="15" thickBot="1">
      <c r="A411" s="5" t="s">
        <v>2916</v>
      </c>
      <c r="B411" s="5" t="s">
        <v>225</v>
      </c>
      <c r="C411" s="5" t="s">
        <v>942</v>
      </c>
      <c r="D411" s="5" t="s">
        <v>943</v>
      </c>
      <c r="E411" s="5">
        <v>609275</v>
      </c>
      <c r="F411" s="5">
        <v>3</v>
      </c>
      <c r="G411" s="5" t="s">
        <v>997</v>
      </c>
      <c r="H411" s="5" t="s">
        <v>20</v>
      </c>
      <c r="I411" s="6" t="s">
        <v>50</v>
      </c>
      <c r="J411" s="6" t="s">
        <v>51</v>
      </c>
      <c r="K411" s="6" t="s">
        <v>978</v>
      </c>
      <c r="L411" s="6" t="s">
        <v>303</v>
      </c>
      <c r="M411" s="6" t="s">
        <v>22</v>
      </c>
      <c r="N411" s="6" t="s">
        <v>23</v>
      </c>
      <c r="O411" s="6" t="s">
        <v>27</v>
      </c>
      <c r="P411" s="6" t="s">
        <v>28</v>
      </c>
      <c r="Q411" s="22">
        <v>87</v>
      </c>
      <c r="R411" s="23">
        <v>4</v>
      </c>
      <c r="S411" s="39">
        <v>0</v>
      </c>
      <c r="T411" s="7" t="s">
        <v>2910</v>
      </c>
      <c r="V411" s="7" t="str">
        <f>+IF(U411="","",IF(U411="FINES",CONCATENATE("R",IF(OR(B411="16",B411="21",B411="22",B411="23"),"16212223",IF(OR(B411="15",B411="17",B411="24",B411="25"),"15172425",B411))),IF(U411="CEBAS","UNICO",IF(VALUE(B411)&lt;=11,"AMBA","INTERIOR"))))</f>
        <v/>
      </c>
      <c r="W411" s="38" t="str">
        <f>+IF(U411="","-",CONCATENATE(U411,"_",V411))</f>
        <v>-</v>
      </c>
      <c r="X411" s="42">
        <v>0.53900000000000003</v>
      </c>
    </row>
    <row r="412" spans="1:24" ht="15" thickBot="1">
      <c r="A412" s="5" t="s">
        <v>2916</v>
      </c>
      <c r="B412" s="5" t="s">
        <v>410</v>
      </c>
      <c r="C412" s="5" t="s">
        <v>423</v>
      </c>
      <c r="D412" s="5" t="s">
        <v>425</v>
      </c>
      <c r="E412" s="5">
        <v>603503</v>
      </c>
      <c r="F412" s="5">
        <v>1</v>
      </c>
      <c r="G412" s="5" t="s">
        <v>426</v>
      </c>
      <c r="H412" s="5" t="s">
        <v>20</v>
      </c>
      <c r="I412" s="6" t="s">
        <v>50</v>
      </c>
      <c r="J412" s="6" t="s">
        <v>51</v>
      </c>
      <c r="K412" s="6" t="s">
        <v>427</v>
      </c>
      <c r="L412" s="6" t="s">
        <v>428</v>
      </c>
      <c r="M412" s="6" t="s">
        <v>22</v>
      </c>
      <c r="N412" s="6" t="s">
        <v>23</v>
      </c>
      <c r="O412" s="6" t="s">
        <v>27</v>
      </c>
      <c r="P412" s="6" t="s">
        <v>28</v>
      </c>
      <c r="Q412" s="22">
        <v>11</v>
      </c>
      <c r="R412" s="23">
        <v>1</v>
      </c>
      <c r="S412" s="39">
        <v>0</v>
      </c>
      <c r="T412" s="7" t="s">
        <v>2910</v>
      </c>
      <c r="V412" s="7" t="str">
        <f>+IF(U412="","",IF(U412="FINES",CONCATENATE("R",IF(OR(B412="16",B412="21",B412="22",B412="23"),"16212223",IF(OR(B412="15",B412="17",B412="24",B412="25"),"15172425",B412))),IF(U412="CEBAS","UNICO",IF(VALUE(B412)&lt;=11,"AMBA","INTERIOR"))))</f>
        <v/>
      </c>
      <c r="W412" s="38" t="str">
        <f>+IF(U412="","-",CONCATENATE(U412,"_",V412))</f>
        <v>-</v>
      </c>
      <c r="X412" s="42">
        <v>0.54</v>
      </c>
    </row>
    <row r="413" spans="1:24" ht="15" thickBot="1">
      <c r="A413" s="3" t="s">
        <v>2916</v>
      </c>
      <c r="B413" s="3" t="s">
        <v>140</v>
      </c>
      <c r="C413" s="3" t="s">
        <v>539</v>
      </c>
      <c r="D413" s="3" t="s">
        <v>541</v>
      </c>
      <c r="E413" s="3">
        <v>605213</v>
      </c>
      <c r="F413" s="3">
        <v>0</v>
      </c>
      <c r="G413" s="3" t="s">
        <v>542</v>
      </c>
      <c r="H413" s="3" t="s">
        <v>20</v>
      </c>
      <c r="I413" s="4" t="s">
        <v>50</v>
      </c>
      <c r="J413" s="4" t="s">
        <v>21</v>
      </c>
      <c r="K413" s="4"/>
      <c r="L413" s="4" t="s">
        <v>543</v>
      </c>
      <c r="M413" s="4" t="s">
        <v>22</v>
      </c>
      <c r="N413" s="4" t="s">
        <v>23</v>
      </c>
      <c r="O413" s="4" t="s">
        <v>27</v>
      </c>
      <c r="P413" s="4" t="s">
        <v>28</v>
      </c>
      <c r="Q413" s="24">
        <v>57</v>
      </c>
      <c r="R413" s="25">
        <v>4</v>
      </c>
      <c r="S413" s="39">
        <v>0</v>
      </c>
      <c r="T413" s="7" t="s">
        <v>2910</v>
      </c>
      <c r="U413" s="7"/>
      <c r="V413" s="7" t="str">
        <f>+IF(U413="","",IF(U413="FINES",CONCATENATE("R",IF(OR(B413="16",B413="21",B413="22",B413="23"),"16212223",IF(OR(B413="15",B413="17",B413="24",B413="25"),"15172425",B413))),IF(U413="CEBAS","UNICO",IF(VALUE(B413)&lt;=11,"AMBA","INTERIOR"))))</f>
        <v/>
      </c>
      <c r="W413" s="38" t="str">
        <f>+IF(U413="","-",CONCATENATE(U413,"_",V413))</f>
        <v>-</v>
      </c>
      <c r="X413" s="42">
        <v>0.54200000000000004</v>
      </c>
    </row>
    <row r="414" spans="1:24" ht="15" thickBot="1">
      <c r="A414" s="3" t="s">
        <v>2916</v>
      </c>
      <c r="B414" s="3" t="s">
        <v>225</v>
      </c>
      <c r="C414" s="3" t="s">
        <v>876</v>
      </c>
      <c r="D414" s="3" t="s">
        <v>877</v>
      </c>
      <c r="E414" s="3">
        <v>621711</v>
      </c>
      <c r="F414" s="3">
        <v>0</v>
      </c>
      <c r="G414" s="3" t="s">
        <v>882</v>
      </c>
      <c r="H414" s="3" t="s">
        <v>20</v>
      </c>
      <c r="I414" s="4" t="s">
        <v>50</v>
      </c>
      <c r="J414" s="4" t="s">
        <v>21</v>
      </c>
      <c r="K414" s="4"/>
      <c r="L414" s="4" t="s">
        <v>672</v>
      </c>
      <c r="M414" s="4" t="s">
        <v>22</v>
      </c>
      <c r="N414" s="4" t="s">
        <v>23</v>
      </c>
      <c r="O414" s="4" t="s">
        <v>27</v>
      </c>
      <c r="P414" s="4" t="s">
        <v>28</v>
      </c>
      <c r="Q414" s="24">
        <v>12</v>
      </c>
      <c r="R414" s="25">
        <v>1</v>
      </c>
      <c r="S414" s="39">
        <v>0</v>
      </c>
      <c r="T414" s="7" t="s">
        <v>2910</v>
      </c>
      <c r="V414" s="7" t="str">
        <f>+IF(U414="","",IF(U414="FINES",CONCATENATE("R",IF(OR(B414="16",B414="21",B414="22",B414="23"),"16212223",IF(OR(B414="15",B414="17",B414="24",B414="25"),"15172425",B414))),IF(U414="CEBAS","UNICO",IF(VALUE(B414)&lt;=11,"AMBA","INTERIOR"))))</f>
        <v/>
      </c>
      <c r="W414" s="38" t="str">
        <f>+IF(U414="","-",CONCATENATE(U414,"_",V414))</f>
        <v>-</v>
      </c>
      <c r="X414" s="42">
        <v>0.54200000000000004</v>
      </c>
    </row>
    <row r="415" spans="1:24" ht="15" thickBot="1">
      <c r="A415" s="5" t="s">
        <v>2916</v>
      </c>
      <c r="B415" s="5" t="s">
        <v>1860</v>
      </c>
      <c r="C415" s="5" t="s">
        <v>224</v>
      </c>
      <c r="D415" s="5" t="s">
        <v>2837</v>
      </c>
      <c r="E415" s="5">
        <v>613704</v>
      </c>
      <c r="F415" s="5">
        <v>3</v>
      </c>
      <c r="G415" s="5" t="s">
        <v>2852</v>
      </c>
      <c r="H415" s="5" t="s">
        <v>20</v>
      </c>
      <c r="I415" s="6" t="s">
        <v>50</v>
      </c>
      <c r="J415" s="6" t="s">
        <v>51</v>
      </c>
      <c r="K415" s="6" t="s">
        <v>2849</v>
      </c>
      <c r="L415" s="6" t="s">
        <v>471</v>
      </c>
      <c r="M415" s="6" t="s">
        <v>22</v>
      </c>
      <c r="N415" s="6" t="s">
        <v>23</v>
      </c>
      <c r="O415" s="6" t="s">
        <v>27</v>
      </c>
      <c r="P415" s="6" t="s">
        <v>28</v>
      </c>
      <c r="Q415" s="22">
        <v>8</v>
      </c>
      <c r="R415" s="23">
        <v>1</v>
      </c>
      <c r="S415" s="39">
        <v>0</v>
      </c>
      <c r="T415" s="7" t="s">
        <v>2910</v>
      </c>
      <c r="U415" s="7"/>
      <c r="V415" s="7" t="str">
        <f>+IF(U415="","",IF(U415="FINES",CONCATENATE("R",IF(OR(B415="16",B415="21",B415="22",B415="23"),"16212223",IF(OR(B415="15",B415="17",B415="24",B415="25"),"15172425",B415))),IF(U415="CEBAS","UNICO",IF(VALUE(B415)&lt;=11,"AMBA","INTERIOR"))))</f>
        <v/>
      </c>
      <c r="W415" s="38" t="str">
        <f>+IF(U415="","-",CONCATENATE(U415,"_",V415))</f>
        <v>-</v>
      </c>
      <c r="X415" s="42">
        <v>0.54200000000000004</v>
      </c>
    </row>
    <row r="416" spans="1:24" ht="15" thickBot="1">
      <c r="A416" s="3" t="s">
        <v>2916</v>
      </c>
      <c r="B416" s="3" t="s">
        <v>356</v>
      </c>
      <c r="C416" s="3" t="s">
        <v>805</v>
      </c>
      <c r="D416" s="3" t="s">
        <v>2500</v>
      </c>
      <c r="E416" s="3">
        <v>611346</v>
      </c>
      <c r="F416" s="3">
        <v>2</v>
      </c>
      <c r="G416" s="3" t="s">
        <v>2520</v>
      </c>
      <c r="H416" s="3" t="s">
        <v>20</v>
      </c>
      <c r="I416" s="4" t="s">
        <v>50</v>
      </c>
      <c r="J416" s="4" t="s">
        <v>51</v>
      </c>
      <c r="K416" s="4" t="s">
        <v>2506</v>
      </c>
      <c r="L416" s="4" t="s">
        <v>280</v>
      </c>
      <c r="M416" s="4" t="s">
        <v>22</v>
      </c>
      <c r="N416" s="4" t="s">
        <v>23</v>
      </c>
      <c r="O416" s="4" t="s">
        <v>27</v>
      </c>
      <c r="P416" s="4" t="s">
        <v>28</v>
      </c>
      <c r="Q416" s="24">
        <v>30</v>
      </c>
      <c r="R416" s="25">
        <v>2</v>
      </c>
      <c r="S416" s="39">
        <v>0</v>
      </c>
      <c r="T416" s="7" t="s">
        <v>2910</v>
      </c>
      <c r="U416" s="7"/>
      <c r="V416" s="7" t="str">
        <f>+IF(U416="","",IF(U416="FINES",CONCATENATE("R",IF(OR(B416="16",B416="21",B416="22",B416="23"),"16212223",IF(OR(B416="15",B416="17",B416="24",B416="25"),"15172425",B416))),IF(U416="CEBAS","UNICO",IF(VALUE(B416)&lt;=11,"AMBA","INTERIOR"))))</f>
        <v/>
      </c>
      <c r="W416" s="38" t="str">
        <f>+IF(U416="","-",CONCATENATE(U416,"_",V416))</f>
        <v>-</v>
      </c>
      <c r="X416" s="42">
        <v>0.54400000000000004</v>
      </c>
    </row>
    <row r="417" spans="1:24" ht="15" thickBot="1">
      <c r="A417" s="3" t="s">
        <v>2916</v>
      </c>
      <c r="B417" s="3" t="s">
        <v>222</v>
      </c>
      <c r="C417" s="3" t="s">
        <v>2047</v>
      </c>
      <c r="D417" s="3" t="s">
        <v>2048</v>
      </c>
      <c r="E417" s="3">
        <v>613145</v>
      </c>
      <c r="F417" s="3">
        <v>3</v>
      </c>
      <c r="G417" s="3" t="s">
        <v>2054</v>
      </c>
      <c r="H417" s="3" t="s">
        <v>20</v>
      </c>
      <c r="I417" s="4" t="s">
        <v>50</v>
      </c>
      <c r="J417" s="4" t="s">
        <v>51</v>
      </c>
      <c r="K417" s="4" t="s">
        <v>2050</v>
      </c>
      <c r="L417" s="4" t="s">
        <v>2055</v>
      </c>
      <c r="M417" s="4" t="s">
        <v>22</v>
      </c>
      <c r="N417" s="4" t="s">
        <v>23</v>
      </c>
      <c r="O417" s="4" t="s">
        <v>27</v>
      </c>
      <c r="P417" s="4" t="s">
        <v>28</v>
      </c>
      <c r="Q417" s="24">
        <v>15</v>
      </c>
      <c r="R417" s="25">
        <v>1</v>
      </c>
      <c r="S417" s="39">
        <v>0</v>
      </c>
      <c r="T417" s="7" t="s">
        <v>2910</v>
      </c>
      <c r="U417" s="7"/>
      <c r="V417" s="7" t="str">
        <f>+IF(U417="","",IF(U417="FINES",CONCATENATE("R",IF(OR(B417="16",B417="21",B417="22",B417="23"),"16212223",IF(OR(B417="15",B417="17",B417="24",B417="25"),"15172425",B417))),IF(U417="CEBAS","UNICO",IF(VALUE(B417)&lt;=11,"AMBA","INTERIOR"))))</f>
        <v/>
      </c>
      <c r="W417" s="38" t="str">
        <f>+IF(U417="","-",CONCATENATE(U417,"_",V417))</f>
        <v>-</v>
      </c>
      <c r="X417" s="42">
        <v>0.54400000000000004</v>
      </c>
    </row>
    <row r="418" spans="1:24" ht="15" thickBot="1">
      <c r="A418" s="5" t="s">
        <v>2916</v>
      </c>
      <c r="B418" s="5" t="s">
        <v>356</v>
      </c>
      <c r="C418" s="5" t="s">
        <v>1359</v>
      </c>
      <c r="D418" s="5" t="s">
        <v>1360</v>
      </c>
      <c r="E418" s="5">
        <v>602956</v>
      </c>
      <c r="F418" s="5">
        <v>3</v>
      </c>
      <c r="G418" s="5" t="s">
        <v>1395</v>
      </c>
      <c r="H418" s="5" t="s">
        <v>20</v>
      </c>
      <c r="I418" s="6" t="s">
        <v>50</v>
      </c>
      <c r="J418" s="6" t="s">
        <v>51</v>
      </c>
      <c r="K418" s="6" t="s">
        <v>1367</v>
      </c>
      <c r="L418" s="6" t="s">
        <v>1396</v>
      </c>
      <c r="M418" s="6" t="s">
        <v>22</v>
      </c>
      <c r="N418" s="6" t="s">
        <v>23</v>
      </c>
      <c r="O418" s="6" t="s">
        <v>27</v>
      </c>
      <c r="P418" s="6" t="s">
        <v>28</v>
      </c>
      <c r="Q418" s="22">
        <v>15</v>
      </c>
      <c r="R418" s="23">
        <v>1</v>
      </c>
      <c r="S418" s="39">
        <v>0</v>
      </c>
      <c r="T418" s="7" t="s">
        <v>2910</v>
      </c>
      <c r="V418" s="7" t="str">
        <f>+IF(U418="","",IF(U418="FINES",CONCATENATE("R",IF(OR(B418="16",B418="21",B418="22",B418="23"),"16212223",IF(OR(B418="15",B418="17",B418="24",B418="25"),"15172425",B418))),IF(U418="CEBAS","UNICO",IF(VALUE(B418)&lt;=11,"AMBA","INTERIOR"))))</f>
        <v/>
      </c>
      <c r="W418" s="38" t="str">
        <f>+IF(U418="","-",CONCATENATE(U418,"_",V418))</f>
        <v>-</v>
      </c>
      <c r="X418" s="42">
        <v>0.54400000000000004</v>
      </c>
    </row>
    <row r="419" spans="1:24" ht="15" thickBot="1">
      <c r="A419" s="3" t="s">
        <v>2916</v>
      </c>
      <c r="B419" s="3" t="s">
        <v>225</v>
      </c>
      <c r="C419" s="3" t="s">
        <v>942</v>
      </c>
      <c r="D419" s="3" t="s">
        <v>943</v>
      </c>
      <c r="E419" s="3">
        <v>614469</v>
      </c>
      <c r="F419" s="3">
        <v>0</v>
      </c>
      <c r="G419" s="3" t="s">
        <v>948</v>
      </c>
      <c r="H419" s="3" t="s">
        <v>20</v>
      </c>
      <c r="I419" s="4" t="s">
        <v>25</v>
      </c>
      <c r="J419" s="4" t="s">
        <v>21</v>
      </c>
      <c r="K419" s="4"/>
      <c r="L419" s="4" t="s">
        <v>949</v>
      </c>
      <c r="M419" s="4" t="s">
        <v>22</v>
      </c>
      <c r="N419" s="4" t="s">
        <v>134</v>
      </c>
      <c r="O419" s="4" t="s">
        <v>27</v>
      </c>
      <c r="P419" s="4" t="s">
        <v>28</v>
      </c>
      <c r="Q419" s="24">
        <v>17</v>
      </c>
      <c r="R419" s="25">
        <v>1</v>
      </c>
      <c r="S419" s="39">
        <v>0</v>
      </c>
      <c r="T419" s="7" t="s">
        <v>2910</v>
      </c>
      <c r="V419" s="7" t="str">
        <f>+IF(U419="","",IF(U419="FINES",CONCATENATE("R",IF(OR(B419="16",B419="21",B419="22",B419="23"),"16212223",IF(OR(B419="15",B419="17",B419="24",B419="25"),"15172425",B419))),IF(U419="CEBAS","UNICO",IF(VALUE(B419)&lt;=11,"AMBA","INTERIOR"))))</f>
        <v/>
      </c>
      <c r="W419" s="38" t="str">
        <f>+IF(U419="","-",CONCATENATE(U419,"_",V419))</f>
        <v>-</v>
      </c>
      <c r="X419" s="42">
        <v>0.54800000000000004</v>
      </c>
    </row>
    <row r="420" spans="1:24" ht="15" thickBot="1">
      <c r="A420" s="5" t="s">
        <v>2916</v>
      </c>
      <c r="B420" s="5" t="s">
        <v>352</v>
      </c>
      <c r="C420" s="5" t="s">
        <v>349</v>
      </c>
      <c r="D420" s="5" t="s">
        <v>2397</v>
      </c>
      <c r="E420" s="5">
        <v>604248</v>
      </c>
      <c r="F420" s="5">
        <v>1</v>
      </c>
      <c r="G420" s="5" t="s">
        <v>2400</v>
      </c>
      <c r="H420" s="5" t="s">
        <v>20</v>
      </c>
      <c r="I420" s="6" t="s">
        <v>50</v>
      </c>
      <c r="J420" s="6" t="s">
        <v>51</v>
      </c>
      <c r="K420" s="6" t="s">
        <v>2401</v>
      </c>
      <c r="L420" s="6" t="s">
        <v>1226</v>
      </c>
      <c r="M420" s="6" t="s">
        <v>22</v>
      </c>
      <c r="N420" s="6" t="s">
        <v>23</v>
      </c>
      <c r="O420" s="6" t="s">
        <v>27</v>
      </c>
      <c r="P420" s="6" t="s">
        <v>28</v>
      </c>
      <c r="Q420" s="22">
        <v>27</v>
      </c>
      <c r="R420" s="23">
        <v>2</v>
      </c>
      <c r="S420" s="39">
        <v>0</v>
      </c>
      <c r="T420" s="7" t="s">
        <v>2910</v>
      </c>
      <c r="U420" s="7"/>
      <c r="V420" s="7" t="str">
        <f>+IF(U420="","",IF(U420="FINES",CONCATENATE("R",IF(OR(B420="16",B420="21",B420="22",B420="23"),"16212223",IF(OR(B420="15",B420="17",B420="24",B420="25"),"15172425",B420))),IF(U420="CEBAS","UNICO",IF(VALUE(B420)&lt;=11,"AMBA","INTERIOR"))))</f>
        <v/>
      </c>
      <c r="W420" s="38" t="str">
        <f>+IF(U420="","-",CONCATENATE(U420,"_",V420))</f>
        <v>-</v>
      </c>
      <c r="X420" s="42">
        <v>0.55300000000000005</v>
      </c>
    </row>
    <row r="421" spans="1:24" ht="15" thickBot="1">
      <c r="A421" s="3" t="s">
        <v>2916</v>
      </c>
      <c r="B421" s="3" t="s">
        <v>817</v>
      </c>
      <c r="C421" s="3" t="s">
        <v>600</v>
      </c>
      <c r="D421" s="3" t="s">
        <v>2661</v>
      </c>
      <c r="E421" s="3">
        <v>610151</v>
      </c>
      <c r="F421" s="3">
        <v>1</v>
      </c>
      <c r="G421" s="3" t="s">
        <v>2682</v>
      </c>
      <c r="H421" s="3" t="s">
        <v>20</v>
      </c>
      <c r="I421" s="4" t="s">
        <v>50</v>
      </c>
      <c r="J421" s="4" t="s">
        <v>51</v>
      </c>
      <c r="K421" s="4" t="s">
        <v>2683</v>
      </c>
      <c r="L421" s="4" t="s">
        <v>2684</v>
      </c>
      <c r="M421" s="4" t="s">
        <v>22</v>
      </c>
      <c r="N421" s="4" t="s">
        <v>23</v>
      </c>
      <c r="O421" s="4" t="s">
        <v>27</v>
      </c>
      <c r="P421" s="4" t="s">
        <v>28</v>
      </c>
      <c r="Q421" s="24">
        <v>46</v>
      </c>
      <c r="R421" s="25">
        <v>3</v>
      </c>
      <c r="S421" s="39">
        <v>0</v>
      </c>
      <c r="T421" s="7" t="s">
        <v>2910</v>
      </c>
      <c r="V421" s="7" t="str">
        <f>+IF(U421="","",IF(U421="FINES",CONCATENATE("R",IF(OR(B421="16",B421="21",B421="22",B421="23"),"16212223",IF(OR(B421="15",B421="17",B421="24",B421="25"),"15172425",B421))),IF(U421="CEBAS","UNICO",IF(VALUE(B421)&lt;=11,"AMBA","INTERIOR"))))</f>
        <v/>
      </c>
      <c r="W421" s="38" t="str">
        <f>+IF(U421="","-",CONCATENATE(U421,"_",V421))</f>
        <v>-</v>
      </c>
      <c r="X421" s="42">
        <v>0.55400000000000005</v>
      </c>
    </row>
    <row r="422" spans="1:24" ht="15" thickBot="1">
      <c r="A422" s="5" t="s">
        <v>2916</v>
      </c>
      <c r="B422" s="5" t="s">
        <v>1532</v>
      </c>
      <c r="C422" s="5" t="s">
        <v>1530</v>
      </c>
      <c r="D422" s="5" t="s">
        <v>1531</v>
      </c>
      <c r="E422" s="5">
        <v>614462</v>
      </c>
      <c r="F422" s="5">
        <v>0</v>
      </c>
      <c r="G422" s="5" t="s">
        <v>1539</v>
      </c>
      <c r="H422" s="5" t="s">
        <v>20</v>
      </c>
      <c r="I422" s="6" t="s">
        <v>25</v>
      </c>
      <c r="J422" s="6" t="s">
        <v>21</v>
      </c>
      <c r="K422" s="6"/>
      <c r="L422" s="6" t="s">
        <v>1540</v>
      </c>
      <c r="M422" s="6" t="s">
        <v>22</v>
      </c>
      <c r="N422" s="6" t="s">
        <v>23</v>
      </c>
      <c r="O422" s="6" t="s">
        <v>27</v>
      </c>
      <c r="P422" s="6" t="s">
        <v>28</v>
      </c>
      <c r="Q422" s="22">
        <v>17</v>
      </c>
      <c r="R422" s="23">
        <v>1</v>
      </c>
      <c r="S422" s="39">
        <v>0</v>
      </c>
      <c r="T422" s="7" t="s">
        <v>2910</v>
      </c>
      <c r="V422" s="7" t="str">
        <f>+IF(U422="","",IF(U422="FINES",CONCATENATE("R",IF(OR(B422="16",B422="21",B422="22",B422="23"),"16212223",IF(OR(B422="15",B422="17",B422="24",B422="25"),"15172425",B422))),IF(U422="CEBAS","UNICO",IF(VALUE(B422)&lt;=11,"AMBA","INTERIOR"))))</f>
        <v/>
      </c>
      <c r="W422" s="38" t="str">
        <f>+IF(U422="","-",CONCATENATE(U422,"_",V422))</f>
        <v>-</v>
      </c>
      <c r="X422" s="42">
        <v>0.55500000000000005</v>
      </c>
    </row>
    <row r="423" spans="1:24" ht="15" thickBot="1">
      <c r="A423" s="3" t="s">
        <v>2916</v>
      </c>
      <c r="B423" s="3" t="s">
        <v>257</v>
      </c>
      <c r="C423" s="3" t="s">
        <v>415</v>
      </c>
      <c r="D423" s="3" t="s">
        <v>2770</v>
      </c>
      <c r="E423" s="3">
        <v>613688</v>
      </c>
      <c r="F423" s="3">
        <v>3</v>
      </c>
      <c r="G423" s="3" t="s">
        <v>2776</v>
      </c>
      <c r="H423" s="3" t="s">
        <v>20</v>
      </c>
      <c r="I423" s="4" t="s">
        <v>50</v>
      </c>
      <c r="J423" s="4" t="s">
        <v>51</v>
      </c>
      <c r="K423" s="4" t="s">
        <v>2772</v>
      </c>
      <c r="L423" s="4" t="s">
        <v>533</v>
      </c>
      <c r="M423" s="4" t="s">
        <v>22</v>
      </c>
      <c r="N423" s="4" t="s">
        <v>23</v>
      </c>
      <c r="O423" s="4" t="s">
        <v>27</v>
      </c>
      <c r="P423" s="4" t="s">
        <v>28</v>
      </c>
      <c r="Q423" s="24">
        <v>11</v>
      </c>
      <c r="R423" s="25">
        <v>1</v>
      </c>
      <c r="S423" s="39">
        <v>0</v>
      </c>
      <c r="T423" s="7" t="s">
        <v>2910</v>
      </c>
      <c r="U423" s="7"/>
      <c r="V423" s="7" t="str">
        <f>+IF(U423="","",IF(U423="FINES",CONCATENATE("R",IF(OR(B423="16",B423="21",B423="22",B423="23"),"16212223",IF(OR(B423="15",B423="17",B423="24",B423="25"),"15172425",B423))),IF(U423="CEBAS","UNICO",IF(VALUE(B423)&lt;=11,"AMBA","INTERIOR"))))</f>
        <v/>
      </c>
      <c r="W423" s="38" t="str">
        <f>+IF(U423="","-",CONCATENATE(U423,"_",V423))</f>
        <v>-</v>
      </c>
      <c r="X423" s="42">
        <v>0.55600000000000005</v>
      </c>
    </row>
    <row r="424" spans="1:24" ht="15" thickBot="1">
      <c r="A424" s="5" t="s">
        <v>2916</v>
      </c>
      <c r="B424" s="5" t="s">
        <v>220</v>
      </c>
      <c r="C424" s="5" t="s">
        <v>218</v>
      </c>
      <c r="D424" s="5" t="s">
        <v>2711</v>
      </c>
      <c r="E424" s="5">
        <v>611788</v>
      </c>
      <c r="F424" s="5">
        <v>0</v>
      </c>
      <c r="G424" s="5" t="s">
        <v>2712</v>
      </c>
      <c r="H424" s="5" t="s">
        <v>20</v>
      </c>
      <c r="I424" s="6" t="s">
        <v>50</v>
      </c>
      <c r="J424" s="6" t="s">
        <v>21</v>
      </c>
      <c r="K424" s="6"/>
      <c r="L424" s="6" t="s">
        <v>545</v>
      </c>
      <c r="M424" s="6" t="s">
        <v>22</v>
      </c>
      <c r="N424" s="6" t="s">
        <v>23</v>
      </c>
      <c r="O424" s="6" t="s">
        <v>27</v>
      </c>
      <c r="P424" s="6" t="s">
        <v>28</v>
      </c>
      <c r="Q424" s="22">
        <v>9</v>
      </c>
      <c r="R424" s="23">
        <v>1</v>
      </c>
      <c r="S424" s="39">
        <v>0</v>
      </c>
      <c r="T424" s="7" t="s">
        <v>2910</v>
      </c>
      <c r="V424" s="7" t="str">
        <f>+IF(U424="","",IF(U424="FINES",CONCATENATE("R",IF(OR(B424="16",B424="21",B424="22",B424="23"),"16212223",IF(OR(B424="15",B424="17",B424="24",B424="25"),"15172425",B424))),IF(U424="CEBAS","UNICO",IF(VALUE(B424)&lt;=11,"AMBA","INTERIOR"))))</f>
        <v/>
      </c>
      <c r="W424" s="38" t="str">
        <f>+IF(U424="","-",CONCATENATE(U424,"_",V424))</f>
        <v>-</v>
      </c>
      <c r="X424" s="42">
        <v>0.55700000000000005</v>
      </c>
    </row>
    <row r="425" spans="1:24" ht="15" thickBot="1">
      <c r="A425" s="5" t="s">
        <v>2916</v>
      </c>
      <c r="B425" s="5" t="s">
        <v>138</v>
      </c>
      <c r="C425" s="5" t="s">
        <v>2199</v>
      </c>
      <c r="D425" s="5" t="s">
        <v>2200</v>
      </c>
      <c r="E425" s="5">
        <v>604332</v>
      </c>
      <c r="F425" s="5">
        <v>1</v>
      </c>
      <c r="G425" s="5" t="s">
        <v>2201</v>
      </c>
      <c r="H425" s="5" t="s">
        <v>20</v>
      </c>
      <c r="I425" s="6" t="s">
        <v>50</v>
      </c>
      <c r="J425" s="6" t="s">
        <v>51</v>
      </c>
      <c r="K425" s="6" t="s">
        <v>2202</v>
      </c>
      <c r="L425" s="6" t="s">
        <v>545</v>
      </c>
      <c r="M425" s="6" t="s">
        <v>200</v>
      </c>
      <c r="N425" s="6" t="s">
        <v>23</v>
      </c>
      <c r="O425" s="6" t="s">
        <v>27</v>
      </c>
      <c r="P425" s="6" t="s">
        <v>28</v>
      </c>
      <c r="Q425" s="22">
        <v>48</v>
      </c>
      <c r="R425" s="23">
        <v>3</v>
      </c>
      <c r="S425" s="39">
        <v>0</v>
      </c>
      <c r="T425" s="7" t="s">
        <v>2910</v>
      </c>
      <c r="V425" s="7" t="str">
        <f>+IF(U425="","",IF(U425="FINES",CONCATENATE("R",IF(OR(B425="16",B425="21",B425="22",B425="23"),"16212223",IF(OR(B425="15",B425="17",B425="24",B425="25"),"15172425",B425))),IF(U425="CEBAS","UNICO",IF(VALUE(B425)&lt;=11,"AMBA","INTERIOR"))))</f>
        <v/>
      </c>
      <c r="W425" s="38" t="str">
        <f>+IF(U425="","-",CONCATENATE(U425,"_",V425))</f>
        <v>-</v>
      </c>
      <c r="X425" s="42">
        <v>0.55900000000000005</v>
      </c>
    </row>
    <row r="426" spans="1:24" ht="15" thickBot="1">
      <c r="A426" s="5" t="s">
        <v>2916</v>
      </c>
      <c r="B426" s="5" t="s">
        <v>221</v>
      </c>
      <c r="C426" s="5" t="s">
        <v>558</v>
      </c>
      <c r="D426" s="5" t="s">
        <v>1960</v>
      </c>
      <c r="E426" s="5">
        <v>621714</v>
      </c>
      <c r="F426" s="5">
        <v>0</v>
      </c>
      <c r="G426" s="5" t="s">
        <v>1964</v>
      </c>
      <c r="H426" s="5" t="s">
        <v>20</v>
      </c>
      <c r="I426" s="6" t="s">
        <v>50</v>
      </c>
      <c r="J426" s="6" t="s">
        <v>21</v>
      </c>
      <c r="K426" s="6"/>
      <c r="L426" s="6" t="s">
        <v>650</v>
      </c>
      <c r="M426" s="6" t="s">
        <v>22</v>
      </c>
      <c r="N426" s="6" t="s">
        <v>23</v>
      </c>
      <c r="O426" s="6" t="s">
        <v>27</v>
      </c>
      <c r="P426" s="6" t="s">
        <v>28</v>
      </c>
      <c r="Q426" s="22">
        <v>26</v>
      </c>
      <c r="R426" s="23">
        <v>1</v>
      </c>
      <c r="S426" s="39">
        <v>0</v>
      </c>
      <c r="T426" s="7" t="s">
        <v>2910</v>
      </c>
      <c r="U426" s="7"/>
      <c r="V426" s="7" t="str">
        <f>+IF(U426="","",IF(U426="FINES",CONCATENATE("R",IF(OR(B426="16",B426="21",B426="22",B426="23"),"16212223",IF(OR(B426="15",B426="17",B426="24",B426="25"),"15172425",B426))),IF(U426="CEBAS","UNICO",IF(VALUE(B426)&lt;=11,"AMBA","INTERIOR"))))</f>
        <v/>
      </c>
      <c r="W426" s="38" t="str">
        <f>+IF(U426="","-",CONCATENATE(U426,"_",V426))</f>
        <v>-</v>
      </c>
      <c r="X426" s="42">
        <v>0.56000000000000005</v>
      </c>
    </row>
    <row r="427" spans="1:24" ht="15" thickBot="1">
      <c r="A427" s="5" t="s">
        <v>2916</v>
      </c>
      <c r="B427" s="5" t="s">
        <v>1860</v>
      </c>
      <c r="C427" s="5" t="s">
        <v>1858</v>
      </c>
      <c r="D427" s="5" t="s">
        <v>1859</v>
      </c>
      <c r="E427" s="5">
        <v>606296</v>
      </c>
      <c r="F427" s="5">
        <v>1</v>
      </c>
      <c r="G427" s="5" t="s">
        <v>1873</v>
      </c>
      <c r="H427" s="5" t="s">
        <v>20</v>
      </c>
      <c r="I427" s="6" t="s">
        <v>50</v>
      </c>
      <c r="J427" s="6" t="s">
        <v>51</v>
      </c>
      <c r="K427" s="6" t="s">
        <v>1874</v>
      </c>
      <c r="L427" s="6" t="s">
        <v>621</v>
      </c>
      <c r="M427" s="6" t="s">
        <v>22</v>
      </c>
      <c r="N427" s="6" t="s">
        <v>23</v>
      </c>
      <c r="O427" s="6" t="s">
        <v>27</v>
      </c>
      <c r="P427" s="6" t="s">
        <v>28</v>
      </c>
      <c r="Q427" s="22">
        <v>55</v>
      </c>
      <c r="R427" s="23">
        <v>4</v>
      </c>
      <c r="S427" s="39">
        <v>0</v>
      </c>
      <c r="T427" s="7" t="s">
        <v>2910</v>
      </c>
      <c r="U427" s="7"/>
      <c r="V427" s="7" t="str">
        <f>+IF(U427="","",IF(U427="FINES",CONCATENATE("R",IF(OR(B427="16",B427="21",B427="22",B427="23"),"16212223",IF(OR(B427="15",B427="17",B427="24",B427="25"),"15172425",B427))),IF(U427="CEBAS","UNICO",IF(VALUE(B427)&lt;=11,"AMBA","INTERIOR"))))</f>
        <v/>
      </c>
      <c r="W427" s="38" t="str">
        <f>+IF(U427="","-",CONCATENATE(U427,"_",V427))</f>
        <v>-</v>
      </c>
      <c r="X427" s="42">
        <v>0.56000000000000005</v>
      </c>
    </row>
    <row r="428" spans="1:24" ht="15" thickBot="1">
      <c r="A428" s="3" t="s">
        <v>2916</v>
      </c>
      <c r="B428" s="3" t="s">
        <v>1532</v>
      </c>
      <c r="C428" s="3" t="s">
        <v>1530</v>
      </c>
      <c r="D428" s="3" t="s">
        <v>1531</v>
      </c>
      <c r="E428" s="3">
        <v>608176</v>
      </c>
      <c r="F428" s="3">
        <v>1</v>
      </c>
      <c r="G428" s="3" t="s">
        <v>1605</v>
      </c>
      <c r="H428" s="3" t="s">
        <v>20</v>
      </c>
      <c r="I428" s="4" t="s">
        <v>50</v>
      </c>
      <c r="J428" s="4" t="s">
        <v>51</v>
      </c>
      <c r="K428" s="4" t="s">
        <v>1606</v>
      </c>
      <c r="L428" s="4" t="s">
        <v>1607</v>
      </c>
      <c r="M428" s="4" t="s">
        <v>22</v>
      </c>
      <c r="N428" s="4" t="s">
        <v>23</v>
      </c>
      <c r="O428" s="4" t="s">
        <v>27</v>
      </c>
      <c r="P428" s="4" t="s">
        <v>28</v>
      </c>
      <c r="Q428" s="24">
        <v>15</v>
      </c>
      <c r="R428" s="25">
        <v>1</v>
      </c>
      <c r="S428" s="39">
        <v>0</v>
      </c>
      <c r="T428" s="7" t="s">
        <v>2910</v>
      </c>
      <c r="V428" s="7" t="str">
        <f>+IF(U428="","",IF(U428="FINES",CONCATENATE("R",IF(OR(B428="16",B428="21",B428="22",B428="23"),"16212223",IF(OR(B428="15",B428="17",B428="24",B428="25"),"15172425",B428))),IF(U428="CEBAS","UNICO",IF(VALUE(B428)&lt;=11,"AMBA","INTERIOR"))))</f>
        <v/>
      </c>
      <c r="W428" s="38" t="str">
        <f>+IF(U428="","-",CONCATENATE(U428,"_",V428))</f>
        <v>-</v>
      </c>
      <c r="X428" s="42">
        <v>0.56100000000000005</v>
      </c>
    </row>
    <row r="429" spans="1:24" ht="15" thickBot="1">
      <c r="A429" s="5" t="s">
        <v>2916</v>
      </c>
      <c r="B429" s="5" t="s">
        <v>1860</v>
      </c>
      <c r="C429" s="5" t="s">
        <v>1858</v>
      </c>
      <c r="D429" s="5" t="s">
        <v>1859</v>
      </c>
      <c r="E429" s="5">
        <v>606296</v>
      </c>
      <c r="F429" s="5">
        <v>2</v>
      </c>
      <c r="G429" s="5" t="s">
        <v>1876</v>
      </c>
      <c r="H429" s="5" t="s">
        <v>20</v>
      </c>
      <c r="I429" s="6" t="s">
        <v>50</v>
      </c>
      <c r="J429" s="6" t="s">
        <v>51</v>
      </c>
      <c r="K429" s="6" t="s">
        <v>1874</v>
      </c>
      <c r="L429" s="6" t="s">
        <v>440</v>
      </c>
      <c r="M429" s="6" t="s">
        <v>22</v>
      </c>
      <c r="N429" s="6" t="s">
        <v>23</v>
      </c>
      <c r="O429" s="6" t="s">
        <v>27</v>
      </c>
      <c r="P429" s="6" t="s">
        <v>28</v>
      </c>
      <c r="Q429" s="22">
        <v>59</v>
      </c>
      <c r="R429" s="23">
        <v>4</v>
      </c>
      <c r="S429" s="39">
        <v>0</v>
      </c>
      <c r="T429" s="7" t="s">
        <v>2910</v>
      </c>
      <c r="U429" s="7"/>
      <c r="V429" s="7" t="str">
        <f>+IF(U429="","",IF(U429="FINES",CONCATENATE("R",IF(OR(B429="16",B429="21",B429="22",B429="23"),"16212223",IF(OR(B429="15",B429="17",B429="24",B429="25"),"15172425",B429))),IF(U429="CEBAS","UNICO",IF(VALUE(B429)&lt;=11,"AMBA","INTERIOR"))))</f>
        <v/>
      </c>
      <c r="W429" s="38" t="str">
        <f>+IF(U429="","-",CONCATENATE(U429,"_",V429))</f>
        <v>-</v>
      </c>
      <c r="X429" s="42">
        <v>0.56100000000000005</v>
      </c>
    </row>
    <row r="430" spans="1:24" ht="15" thickBot="1">
      <c r="A430" s="3" t="s">
        <v>2916</v>
      </c>
      <c r="B430" s="3" t="s">
        <v>817</v>
      </c>
      <c r="C430" s="3" t="s">
        <v>600</v>
      </c>
      <c r="D430" s="3" t="s">
        <v>2661</v>
      </c>
      <c r="E430" s="3">
        <v>611672</v>
      </c>
      <c r="F430" s="3">
        <v>1</v>
      </c>
      <c r="G430" s="3" t="s">
        <v>2673</v>
      </c>
      <c r="H430" s="3" t="s">
        <v>20</v>
      </c>
      <c r="I430" s="4" t="s">
        <v>50</v>
      </c>
      <c r="J430" s="4" t="s">
        <v>51</v>
      </c>
      <c r="K430" s="4" t="s">
        <v>2674</v>
      </c>
      <c r="L430" s="4" t="s">
        <v>2675</v>
      </c>
      <c r="M430" s="4" t="s">
        <v>22</v>
      </c>
      <c r="N430" s="4" t="s">
        <v>23</v>
      </c>
      <c r="O430" s="4" t="s">
        <v>27</v>
      </c>
      <c r="P430" s="4" t="s">
        <v>28</v>
      </c>
      <c r="Q430" s="24">
        <v>77</v>
      </c>
      <c r="R430" s="25">
        <v>7</v>
      </c>
      <c r="S430" s="39">
        <v>0</v>
      </c>
      <c r="T430" s="7" t="s">
        <v>2910</v>
      </c>
      <c r="U430" s="7"/>
      <c r="V430" s="7" t="str">
        <f>+IF(U430="","",IF(U430="FINES",CONCATENATE("R",IF(OR(B430="16",B430="21",B430="22",B430="23"),"16212223",IF(OR(B430="15",B430="17",B430="24",B430="25"),"15172425",B430))),IF(U430="CEBAS","UNICO",IF(VALUE(B430)&lt;=11,"AMBA","INTERIOR"))))</f>
        <v/>
      </c>
      <c r="W430" s="38" t="str">
        <f>+IF(U430="","-",CONCATENATE(U430,"_",V430))</f>
        <v>-</v>
      </c>
      <c r="X430" s="42">
        <v>0.56299999999999994</v>
      </c>
    </row>
    <row r="431" spans="1:24" ht="15" thickBot="1">
      <c r="A431" s="3" t="s">
        <v>2916</v>
      </c>
      <c r="B431" s="3" t="s">
        <v>1860</v>
      </c>
      <c r="C431" s="3" t="s">
        <v>224</v>
      </c>
      <c r="D431" s="3" t="s">
        <v>2837</v>
      </c>
      <c r="E431" s="3">
        <v>613696</v>
      </c>
      <c r="F431" s="3">
        <v>2</v>
      </c>
      <c r="G431" s="3" t="s">
        <v>2841</v>
      </c>
      <c r="H431" s="3" t="s">
        <v>20</v>
      </c>
      <c r="I431" s="4" t="s">
        <v>50</v>
      </c>
      <c r="J431" s="4" t="s">
        <v>51</v>
      </c>
      <c r="K431" s="4" t="s">
        <v>2842</v>
      </c>
      <c r="L431" s="4" t="s">
        <v>621</v>
      </c>
      <c r="M431" s="4" t="s">
        <v>22</v>
      </c>
      <c r="N431" s="4" t="s">
        <v>23</v>
      </c>
      <c r="O431" s="4" t="s">
        <v>27</v>
      </c>
      <c r="P431" s="4" t="s">
        <v>28</v>
      </c>
      <c r="Q431" s="24">
        <v>7</v>
      </c>
      <c r="R431" s="25">
        <v>1</v>
      </c>
      <c r="S431" s="39">
        <v>0</v>
      </c>
      <c r="T431" s="7" t="s">
        <v>2910</v>
      </c>
      <c r="V431" s="7" t="str">
        <f>+IF(U431="","",IF(U431="FINES",CONCATENATE("R",IF(OR(B431="16",B431="21",B431="22",B431="23"),"16212223",IF(OR(B431="15",B431="17",B431="24",B431="25"),"15172425",B431))),IF(U431="CEBAS","UNICO",IF(VALUE(B431)&lt;=11,"AMBA","INTERIOR"))))</f>
        <v/>
      </c>
      <c r="W431" s="38" t="str">
        <f>+IF(U431="","-",CONCATENATE(U431,"_",V431))</f>
        <v>-</v>
      </c>
      <c r="X431" s="42">
        <v>0.56299999999999994</v>
      </c>
    </row>
    <row r="432" spans="1:24" ht="15" thickBot="1">
      <c r="A432" s="3" t="s">
        <v>2916</v>
      </c>
      <c r="B432" s="3" t="s">
        <v>19</v>
      </c>
      <c r="C432" s="3" t="s">
        <v>17</v>
      </c>
      <c r="D432" s="3" t="s">
        <v>18</v>
      </c>
      <c r="E432" s="3">
        <v>614461</v>
      </c>
      <c r="F432" s="3">
        <v>0</v>
      </c>
      <c r="G432" s="3" t="s">
        <v>45</v>
      </c>
      <c r="H432" s="3" t="s">
        <v>20</v>
      </c>
      <c r="I432" s="4" t="s">
        <v>25</v>
      </c>
      <c r="J432" s="4" t="s">
        <v>21</v>
      </c>
      <c r="K432" s="4"/>
      <c r="L432" s="4" t="s">
        <v>46</v>
      </c>
      <c r="M432" s="4" t="s">
        <v>22</v>
      </c>
      <c r="N432" s="4" t="s">
        <v>23</v>
      </c>
      <c r="O432" s="4" t="s">
        <v>27</v>
      </c>
      <c r="P432" s="4" t="s">
        <v>28</v>
      </c>
      <c r="Q432" s="24">
        <v>39</v>
      </c>
      <c r="R432" s="25">
        <v>2</v>
      </c>
      <c r="S432" s="39">
        <v>0</v>
      </c>
      <c r="T432" s="7" t="s">
        <v>2910</v>
      </c>
      <c r="U432" s="7"/>
      <c r="V432" s="7" t="str">
        <f>+IF(U432="","",IF(U432="FINES",CONCATENATE("R",IF(OR(B432="16",B432="21",B432="22",B432="23"),"16212223",IF(OR(B432="15",B432="17",B432="24",B432="25"),"15172425",B432))),IF(U432="CEBAS","UNICO",IF(VALUE(B432)&lt;=11,"AMBA","INTERIOR"))))</f>
        <v/>
      </c>
      <c r="W432" s="38" t="str">
        <f>+IF(U432="","-",CONCATENATE(U432,"_",V432))</f>
        <v>-</v>
      </c>
      <c r="X432" s="42">
        <v>0.56399999999999995</v>
      </c>
    </row>
    <row r="433" spans="1:24" ht="15" thickBot="1">
      <c r="A433" s="3" t="s">
        <v>2916</v>
      </c>
      <c r="B433" s="3" t="s">
        <v>138</v>
      </c>
      <c r="C433" s="3" t="s">
        <v>2199</v>
      </c>
      <c r="D433" s="3" t="s">
        <v>2200</v>
      </c>
      <c r="E433" s="3">
        <v>604332</v>
      </c>
      <c r="F433" s="3">
        <v>2</v>
      </c>
      <c r="G433" s="3" t="s">
        <v>2203</v>
      </c>
      <c r="H433" s="3" t="s">
        <v>20</v>
      </c>
      <c r="I433" s="4" t="s">
        <v>50</v>
      </c>
      <c r="J433" s="4" t="s">
        <v>51</v>
      </c>
      <c r="K433" s="4" t="s">
        <v>2202</v>
      </c>
      <c r="L433" s="4" t="s">
        <v>672</v>
      </c>
      <c r="M433" s="4" t="s">
        <v>200</v>
      </c>
      <c r="N433" s="4" t="s">
        <v>23</v>
      </c>
      <c r="O433" s="4" t="s">
        <v>27</v>
      </c>
      <c r="P433" s="4" t="s">
        <v>28</v>
      </c>
      <c r="Q433" s="24">
        <v>15</v>
      </c>
      <c r="R433" s="25">
        <v>2</v>
      </c>
      <c r="S433" s="39">
        <v>0</v>
      </c>
      <c r="T433" s="7" t="s">
        <v>2910</v>
      </c>
      <c r="U433" s="7"/>
      <c r="V433" s="7" t="str">
        <f>+IF(U433="","",IF(U433="FINES",CONCATENATE("R",IF(OR(B433="16",B433="21",B433="22",B433="23"),"16212223",IF(OR(B433="15",B433="17",B433="24",B433="25"),"15172425",B433))),IF(U433="CEBAS","UNICO",IF(VALUE(B433)&lt;=11,"AMBA","INTERIOR"))))</f>
        <v/>
      </c>
      <c r="W433" s="38" t="str">
        <f>+IF(U433="","-",CONCATENATE(U433,"_",V433))</f>
        <v>-</v>
      </c>
      <c r="X433" s="42">
        <v>0.56499999999999995</v>
      </c>
    </row>
    <row r="434" spans="1:24" ht="15" thickBot="1">
      <c r="A434" s="3" t="s">
        <v>2916</v>
      </c>
      <c r="B434" s="3" t="s">
        <v>135</v>
      </c>
      <c r="C434" s="3" t="s">
        <v>1217</v>
      </c>
      <c r="D434" s="3" t="s">
        <v>1218</v>
      </c>
      <c r="E434" s="3">
        <v>604293</v>
      </c>
      <c r="F434" s="3">
        <v>6</v>
      </c>
      <c r="G434" s="3" t="s">
        <v>1227</v>
      </c>
      <c r="H434" s="3" t="s">
        <v>20</v>
      </c>
      <c r="I434" s="4" t="s">
        <v>50</v>
      </c>
      <c r="J434" s="4" t="s">
        <v>51</v>
      </c>
      <c r="K434" s="4" t="s">
        <v>1220</v>
      </c>
      <c r="L434" s="4" t="s">
        <v>1228</v>
      </c>
      <c r="M434" s="4" t="s">
        <v>22</v>
      </c>
      <c r="N434" s="4" t="s">
        <v>23</v>
      </c>
      <c r="O434" s="4" t="s">
        <v>27</v>
      </c>
      <c r="P434" s="4" t="s">
        <v>28</v>
      </c>
      <c r="Q434" s="24">
        <v>7</v>
      </c>
      <c r="R434" s="25">
        <v>1</v>
      </c>
      <c r="S434" s="39">
        <v>0</v>
      </c>
      <c r="T434" s="7" t="s">
        <v>2910</v>
      </c>
      <c r="V434" s="7" t="str">
        <f>+IF(U434="","",IF(U434="FINES",CONCATENATE("R",IF(OR(B434="16",B434="21",B434="22",B434="23"),"16212223",IF(OR(B434="15",B434="17",B434="24",B434="25"),"15172425",B434))),IF(U434="CEBAS","UNICO",IF(VALUE(B434)&lt;=11,"AMBA","INTERIOR"))))</f>
        <v/>
      </c>
      <c r="W434" s="38" t="str">
        <f>+IF(U434="","-",CONCATENATE(U434,"_",V434))</f>
        <v>-</v>
      </c>
      <c r="X434" s="42">
        <v>0.56499999999999995</v>
      </c>
    </row>
    <row r="435" spans="1:24" ht="15" thickBot="1">
      <c r="A435" s="5" t="s">
        <v>2916</v>
      </c>
      <c r="B435" s="5" t="s">
        <v>1780</v>
      </c>
      <c r="C435" s="5" t="s">
        <v>1778</v>
      </c>
      <c r="D435" s="5" t="s">
        <v>1779</v>
      </c>
      <c r="E435" s="5">
        <v>610077</v>
      </c>
      <c r="F435" s="5">
        <v>2</v>
      </c>
      <c r="G435" s="5" t="s">
        <v>1801</v>
      </c>
      <c r="H435" s="5" t="s">
        <v>20</v>
      </c>
      <c r="I435" s="6" t="s">
        <v>50</v>
      </c>
      <c r="J435" s="6" t="s">
        <v>51</v>
      </c>
      <c r="K435" s="6" t="s">
        <v>1802</v>
      </c>
      <c r="L435" s="6" t="s">
        <v>783</v>
      </c>
      <c r="M435" s="6" t="s">
        <v>22</v>
      </c>
      <c r="N435" s="6" t="s">
        <v>23</v>
      </c>
      <c r="O435" s="6" t="s">
        <v>27</v>
      </c>
      <c r="P435" s="6" t="s">
        <v>28</v>
      </c>
      <c r="Q435" s="22">
        <v>18</v>
      </c>
      <c r="R435" s="23">
        <v>2</v>
      </c>
      <c r="S435" s="39">
        <v>0</v>
      </c>
      <c r="T435" s="7" t="s">
        <v>2910</v>
      </c>
      <c r="V435" s="7" t="str">
        <f>+IF(U435="","",IF(U435="FINES",CONCATENATE("R",IF(OR(B435="16",B435="21",B435="22",B435="23"),"16212223",IF(OR(B435="15",B435="17",B435="24",B435="25"),"15172425",B435))),IF(U435="CEBAS","UNICO",IF(VALUE(B435)&lt;=11,"AMBA","INTERIOR"))))</f>
        <v/>
      </c>
      <c r="W435" s="38" t="str">
        <f>+IF(U435="","-",CONCATENATE(U435,"_",V435))</f>
        <v>-</v>
      </c>
      <c r="X435" s="42">
        <v>0.56799999999999995</v>
      </c>
    </row>
    <row r="436" spans="1:24" ht="15" thickBot="1">
      <c r="A436" s="5" t="s">
        <v>2916</v>
      </c>
      <c r="B436" s="5" t="s">
        <v>204</v>
      </c>
      <c r="C436" s="5" t="s">
        <v>1084</v>
      </c>
      <c r="D436" s="5" t="s">
        <v>1085</v>
      </c>
      <c r="E436" s="5">
        <v>612517</v>
      </c>
      <c r="F436" s="5">
        <v>3</v>
      </c>
      <c r="G436" s="5" t="s">
        <v>1101</v>
      </c>
      <c r="H436" s="5" t="s">
        <v>20</v>
      </c>
      <c r="I436" s="6" t="s">
        <v>50</v>
      </c>
      <c r="J436" s="6" t="s">
        <v>51</v>
      </c>
      <c r="K436" s="6" t="s">
        <v>1099</v>
      </c>
      <c r="L436" s="6" t="s">
        <v>63</v>
      </c>
      <c r="M436" s="6" t="s">
        <v>22</v>
      </c>
      <c r="N436" s="6" t="s">
        <v>23</v>
      </c>
      <c r="O436" s="6" t="s">
        <v>27</v>
      </c>
      <c r="P436" s="6" t="s">
        <v>28</v>
      </c>
      <c r="Q436" s="22">
        <v>16</v>
      </c>
      <c r="R436" s="23">
        <v>1</v>
      </c>
      <c r="S436" s="39">
        <v>0</v>
      </c>
      <c r="T436" s="7" t="s">
        <v>2910</v>
      </c>
      <c r="V436" s="7" t="str">
        <f>+IF(U436="","",IF(U436="FINES",CONCATENATE("R",IF(OR(B436="16",B436="21",B436="22",B436="23"),"16212223",IF(OR(B436="15",B436="17",B436="24",B436="25"),"15172425",B436))),IF(U436="CEBAS","UNICO",IF(VALUE(B436)&lt;=11,"AMBA","INTERIOR"))))</f>
        <v/>
      </c>
      <c r="W436" s="38" t="str">
        <f>+IF(U436="","-",CONCATENATE(U436,"_",V436))</f>
        <v>-</v>
      </c>
      <c r="X436" s="42">
        <v>0.56799999999999995</v>
      </c>
    </row>
    <row r="437" spans="1:24" ht="15" thickBot="1">
      <c r="A437" s="5" t="s">
        <v>2916</v>
      </c>
      <c r="B437" s="5" t="s">
        <v>1532</v>
      </c>
      <c r="C437" s="5" t="s">
        <v>1530</v>
      </c>
      <c r="D437" s="5" t="s">
        <v>1531</v>
      </c>
      <c r="E437" s="5">
        <v>611493</v>
      </c>
      <c r="F437" s="5">
        <v>4</v>
      </c>
      <c r="G437" s="5" t="s">
        <v>1577</v>
      </c>
      <c r="H437" s="5" t="s">
        <v>20</v>
      </c>
      <c r="I437" s="6" t="s">
        <v>50</v>
      </c>
      <c r="J437" s="6" t="s">
        <v>51</v>
      </c>
      <c r="K437" s="6" t="s">
        <v>1578</v>
      </c>
      <c r="L437" s="6" t="s">
        <v>1579</v>
      </c>
      <c r="M437" s="6" t="s">
        <v>22</v>
      </c>
      <c r="N437" s="6" t="s">
        <v>134</v>
      </c>
      <c r="O437" s="6" t="s">
        <v>27</v>
      </c>
      <c r="P437" s="6" t="s">
        <v>28</v>
      </c>
      <c r="Q437" s="22">
        <v>20</v>
      </c>
      <c r="R437" s="23">
        <v>2</v>
      </c>
      <c r="S437" s="39">
        <v>0</v>
      </c>
      <c r="T437" s="7" t="s">
        <v>2910</v>
      </c>
      <c r="V437" s="7" t="str">
        <f>+IF(U437="","",IF(U437="FINES",CONCATENATE("R",IF(OR(B437="16",B437="21",B437="22",B437="23"),"16212223",IF(OR(B437="15",B437="17",B437="24",B437="25"),"15172425",B437))),IF(U437="CEBAS","UNICO",IF(VALUE(B437)&lt;=11,"AMBA","INTERIOR"))))</f>
        <v/>
      </c>
      <c r="W437" s="38" t="str">
        <f>+IF(U437="","-",CONCATENATE(U437,"_",V437))</f>
        <v>-</v>
      </c>
      <c r="X437" s="42">
        <v>0.56799999999999995</v>
      </c>
    </row>
    <row r="438" spans="1:24" ht="15" thickBot="1">
      <c r="A438" s="3" t="s">
        <v>2916</v>
      </c>
      <c r="B438" s="3" t="s">
        <v>1532</v>
      </c>
      <c r="C438" s="3" t="s">
        <v>1530</v>
      </c>
      <c r="D438" s="3" t="s">
        <v>1531</v>
      </c>
      <c r="E438" s="3">
        <v>614466</v>
      </c>
      <c r="F438" s="3">
        <v>0</v>
      </c>
      <c r="G438" s="3" t="s">
        <v>1541</v>
      </c>
      <c r="H438" s="3" t="s">
        <v>20</v>
      </c>
      <c r="I438" s="4" t="s">
        <v>25</v>
      </c>
      <c r="J438" s="4" t="s">
        <v>21</v>
      </c>
      <c r="K438" s="4"/>
      <c r="L438" s="4" t="s">
        <v>1542</v>
      </c>
      <c r="M438" s="4" t="s">
        <v>22</v>
      </c>
      <c r="N438" s="4" t="s">
        <v>23</v>
      </c>
      <c r="O438" s="4" t="s">
        <v>27</v>
      </c>
      <c r="P438" s="4" t="s">
        <v>28</v>
      </c>
      <c r="Q438" s="24">
        <v>12</v>
      </c>
      <c r="R438" s="25">
        <v>1</v>
      </c>
      <c r="S438" s="39">
        <v>0</v>
      </c>
      <c r="T438" s="7" t="s">
        <v>2910</v>
      </c>
      <c r="V438" s="7" t="str">
        <f>+IF(U438="","",IF(U438="FINES",CONCATENATE("R",IF(OR(B438="16",B438="21",B438="22",B438="23"),"16212223",IF(OR(B438="15",B438="17",B438="24",B438="25"),"15172425",B438))),IF(U438="CEBAS","UNICO",IF(VALUE(B438)&lt;=11,"AMBA","INTERIOR"))))</f>
        <v/>
      </c>
      <c r="W438" s="38" t="str">
        <f>+IF(U438="","-",CONCATENATE(U438,"_",V438))</f>
        <v>-</v>
      </c>
      <c r="X438" s="42">
        <v>0.56899999999999995</v>
      </c>
    </row>
    <row r="439" spans="1:24" ht="15" thickBot="1">
      <c r="A439" s="3" t="s">
        <v>2916</v>
      </c>
      <c r="B439" s="3" t="s">
        <v>1860</v>
      </c>
      <c r="C439" s="3" t="s">
        <v>224</v>
      </c>
      <c r="D439" s="3" t="s">
        <v>2837</v>
      </c>
      <c r="E439" s="3">
        <v>613704</v>
      </c>
      <c r="F439" s="3">
        <v>2</v>
      </c>
      <c r="G439" s="3" t="s">
        <v>2850</v>
      </c>
      <c r="H439" s="3" t="s">
        <v>20</v>
      </c>
      <c r="I439" s="4" t="s">
        <v>50</v>
      </c>
      <c r="J439" s="4" t="s">
        <v>51</v>
      </c>
      <c r="K439" s="4" t="s">
        <v>2849</v>
      </c>
      <c r="L439" s="4" t="s">
        <v>2851</v>
      </c>
      <c r="M439" s="4" t="s">
        <v>22</v>
      </c>
      <c r="N439" s="4" t="s">
        <v>23</v>
      </c>
      <c r="O439" s="4" t="s">
        <v>27</v>
      </c>
      <c r="P439" s="4" t="s">
        <v>28</v>
      </c>
      <c r="Q439" s="24">
        <v>8</v>
      </c>
      <c r="R439" s="25">
        <v>1</v>
      </c>
      <c r="S439" s="39">
        <v>0</v>
      </c>
      <c r="T439" s="7" t="s">
        <v>2910</v>
      </c>
      <c r="V439" s="7" t="str">
        <f>+IF(U439="","",IF(U439="FINES",CONCATENATE("R",IF(OR(B439="16",B439="21",B439="22",B439="23"),"16212223",IF(OR(B439="15",B439="17",B439="24",B439="25"),"15172425",B439))),IF(U439="CEBAS","UNICO",IF(VALUE(B439)&lt;=11,"AMBA","INTERIOR"))))</f>
        <v/>
      </c>
      <c r="W439" s="38" t="str">
        <f>+IF(U439="","-",CONCATENATE(U439,"_",V439))</f>
        <v>-</v>
      </c>
      <c r="X439" s="42">
        <v>0.56899999999999995</v>
      </c>
    </row>
    <row r="440" spans="1:24" ht="15" thickBot="1">
      <c r="A440" s="5" t="s">
        <v>2916</v>
      </c>
      <c r="B440" s="5" t="s">
        <v>225</v>
      </c>
      <c r="C440" s="5" t="s">
        <v>942</v>
      </c>
      <c r="D440" s="5" t="s">
        <v>943</v>
      </c>
      <c r="E440" s="5">
        <v>614467</v>
      </c>
      <c r="F440" s="5">
        <v>0</v>
      </c>
      <c r="G440" s="5" t="s">
        <v>946</v>
      </c>
      <c r="H440" s="5" t="s">
        <v>20</v>
      </c>
      <c r="I440" s="6" t="s">
        <v>25</v>
      </c>
      <c r="J440" s="6" t="s">
        <v>21</v>
      </c>
      <c r="K440" s="6"/>
      <c r="L440" s="6" t="s">
        <v>947</v>
      </c>
      <c r="M440" s="6" t="s">
        <v>22</v>
      </c>
      <c r="N440" s="6" t="s">
        <v>23</v>
      </c>
      <c r="O440" s="6" t="s">
        <v>27</v>
      </c>
      <c r="P440" s="6" t="s">
        <v>28</v>
      </c>
      <c r="Q440" s="22">
        <v>15</v>
      </c>
      <c r="R440" s="23">
        <v>1</v>
      </c>
      <c r="S440" s="39">
        <v>0</v>
      </c>
      <c r="T440" s="7" t="s">
        <v>2910</v>
      </c>
      <c r="V440" s="7" t="str">
        <f>+IF(U440="","",IF(U440="FINES",CONCATENATE("R",IF(OR(B440="16",B440="21",B440="22",B440="23"),"16212223",IF(OR(B440="15",B440="17",B440="24",B440="25"),"15172425",B440))),IF(U440="CEBAS","UNICO",IF(VALUE(B440)&lt;=11,"AMBA","INTERIOR"))))</f>
        <v/>
      </c>
      <c r="W440" s="38" t="str">
        <f>+IF(U440="","-",CONCATENATE(U440,"_",V440))</f>
        <v>-</v>
      </c>
      <c r="X440" s="42">
        <v>0.56999999999999995</v>
      </c>
    </row>
    <row r="441" spans="1:24" ht="15" thickBot="1">
      <c r="A441" s="3" t="s">
        <v>2916</v>
      </c>
      <c r="B441" s="3" t="s">
        <v>19</v>
      </c>
      <c r="C441" s="3" t="s">
        <v>17</v>
      </c>
      <c r="D441" s="3" t="s">
        <v>18</v>
      </c>
      <c r="E441" s="3">
        <v>611389</v>
      </c>
      <c r="F441" s="3">
        <v>1</v>
      </c>
      <c r="G441" s="3" t="s">
        <v>61</v>
      </c>
      <c r="H441" s="3" t="s">
        <v>20</v>
      </c>
      <c r="I441" s="4" t="s">
        <v>50</v>
      </c>
      <c r="J441" s="4" t="s">
        <v>51</v>
      </c>
      <c r="K441" s="4" t="s">
        <v>62</v>
      </c>
      <c r="L441" s="4" t="s">
        <v>63</v>
      </c>
      <c r="M441" s="4" t="s">
        <v>22</v>
      </c>
      <c r="N441" s="4" t="s">
        <v>23</v>
      </c>
      <c r="O441" s="4" t="s">
        <v>27</v>
      </c>
      <c r="P441" s="4" t="s">
        <v>28</v>
      </c>
      <c r="Q441" s="24">
        <v>15</v>
      </c>
      <c r="R441" s="25">
        <v>1</v>
      </c>
      <c r="S441" s="39">
        <v>0</v>
      </c>
      <c r="T441" s="7" t="s">
        <v>2910</v>
      </c>
      <c r="V441" s="7" t="str">
        <f>+IF(U441="","",IF(U441="FINES",CONCATENATE("R",IF(OR(B441="16",B441="21",B441="22",B441="23"),"16212223",IF(OR(B441="15",B441="17",B441="24",B441="25"),"15172425",B441))),IF(U441="CEBAS","UNICO",IF(VALUE(B441)&lt;=11,"AMBA","INTERIOR"))))</f>
        <v/>
      </c>
      <c r="W441" s="38" t="str">
        <f>+IF(U441="","-",CONCATENATE(U441,"_",V441))</f>
        <v>-</v>
      </c>
      <c r="X441" s="42">
        <v>0.56999999999999995</v>
      </c>
    </row>
    <row r="442" spans="1:24" ht="15" thickBot="1">
      <c r="A442" s="5" t="s">
        <v>2916</v>
      </c>
      <c r="B442" s="5" t="s">
        <v>1780</v>
      </c>
      <c r="C442" s="5" t="s">
        <v>1248</v>
      </c>
      <c r="D442" s="5" t="s">
        <v>2348</v>
      </c>
      <c r="E442" s="5">
        <v>613680</v>
      </c>
      <c r="F442" s="5">
        <v>2</v>
      </c>
      <c r="G442" s="5" t="s">
        <v>2359</v>
      </c>
      <c r="H442" s="5" t="s">
        <v>20</v>
      </c>
      <c r="I442" s="6" t="s">
        <v>50</v>
      </c>
      <c r="J442" s="6" t="s">
        <v>51</v>
      </c>
      <c r="K442" s="6" t="s">
        <v>2354</v>
      </c>
      <c r="L442" s="6" t="s">
        <v>465</v>
      </c>
      <c r="M442" s="6" t="s">
        <v>22</v>
      </c>
      <c r="N442" s="6" t="s">
        <v>23</v>
      </c>
      <c r="O442" s="6" t="s">
        <v>27</v>
      </c>
      <c r="P442" s="6" t="s">
        <v>28</v>
      </c>
      <c r="Q442" s="22">
        <v>5</v>
      </c>
      <c r="R442" s="23">
        <v>1</v>
      </c>
      <c r="S442" s="39">
        <v>0</v>
      </c>
      <c r="T442" s="7" t="s">
        <v>2910</v>
      </c>
      <c r="V442" s="7" t="str">
        <f>+IF(U442="","",IF(U442="FINES",CONCATENATE("R",IF(OR(B442="16",B442="21",B442="22",B442="23"),"16212223",IF(OR(B442="15",B442="17",B442="24",B442="25"),"15172425",B442))),IF(U442="CEBAS","UNICO",IF(VALUE(B442)&lt;=11,"AMBA","INTERIOR"))))</f>
        <v/>
      </c>
      <c r="W442" s="38" t="str">
        <f>+IF(U442="","-",CONCATENATE(U442,"_",V442))</f>
        <v>-</v>
      </c>
      <c r="X442" s="42">
        <v>0.57199999999999995</v>
      </c>
    </row>
    <row r="443" spans="1:24" ht="15" thickBot="1">
      <c r="A443" s="5" t="s">
        <v>2916</v>
      </c>
      <c r="B443" s="5" t="s">
        <v>1780</v>
      </c>
      <c r="C443" s="5" t="s">
        <v>1778</v>
      </c>
      <c r="D443" s="5" t="s">
        <v>1779</v>
      </c>
      <c r="E443" s="5">
        <v>614532</v>
      </c>
      <c r="F443" s="5">
        <v>0</v>
      </c>
      <c r="G443" s="5" t="s">
        <v>1787</v>
      </c>
      <c r="H443" s="5" t="s">
        <v>20</v>
      </c>
      <c r="I443" s="6" t="s">
        <v>25</v>
      </c>
      <c r="J443" s="6" t="s">
        <v>21</v>
      </c>
      <c r="K443" s="6"/>
      <c r="L443" s="6" t="s">
        <v>1788</v>
      </c>
      <c r="M443" s="6" t="s">
        <v>22</v>
      </c>
      <c r="N443" s="6" t="s">
        <v>23</v>
      </c>
      <c r="O443" s="6" t="s">
        <v>27</v>
      </c>
      <c r="P443" s="6" t="s">
        <v>28</v>
      </c>
      <c r="Q443" s="22">
        <v>16</v>
      </c>
      <c r="R443" s="23">
        <v>1</v>
      </c>
      <c r="S443" s="39">
        <v>0</v>
      </c>
      <c r="T443" s="7" t="s">
        <v>2910</v>
      </c>
      <c r="V443" s="7" t="str">
        <f>+IF(U443="","",IF(U443="FINES",CONCATENATE("R",IF(OR(B443="16",B443="21",B443="22",B443="23"),"16212223",IF(OR(B443="15",B443="17",B443="24",B443="25"),"15172425",B443))),IF(U443="CEBAS","UNICO",IF(VALUE(B443)&lt;=11,"AMBA","INTERIOR"))))</f>
        <v/>
      </c>
      <c r="W443" s="38" t="str">
        <f>+IF(U443="","-",CONCATENATE(U443,"_",V443))</f>
        <v>-</v>
      </c>
      <c r="X443" s="42">
        <v>0.57799999999999996</v>
      </c>
    </row>
    <row r="444" spans="1:24" ht="15" thickBot="1">
      <c r="A444" s="5" t="s">
        <v>2916</v>
      </c>
      <c r="B444" s="5" t="s">
        <v>356</v>
      </c>
      <c r="C444" s="5" t="s">
        <v>1359</v>
      </c>
      <c r="D444" s="5" t="s">
        <v>1360</v>
      </c>
      <c r="E444" s="5">
        <v>602956</v>
      </c>
      <c r="F444" s="5">
        <v>4</v>
      </c>
      <c r="G444" s="5" t="s">
        <v>1366</v>
      </c>
      <c r="H444" s="5" t="s">
        <v>20</v>
      </c>
      <c r="I444" s="6" t="s">
        <v>50</v>
      </c>
      <c r="J444" s="6" t="s">
        <v>51</v>
      </c>
      <c r="K444" s="6" t="s">
        <v>1367</v>
      </c>
      <c r="L444" s="6" t="s">
        <v>1368</v>
      </c>
      <c r="M444" s="6" t="s">
        <v>22</v>
      </c>
      <c r="N444" s="6" t="s">
        <v>23</v>
      </c>
      <c r="O444" s="6" t="s">
        <v>27</v>
      </c>
      <c r="P444" s="6" t="s">
        <v>28</v>
      </c>
      <c r="Q444" s="22">
        <v>41</v>
      </c>
      <c r="R444" s="23">
        <v>3</v>
      </c>
      <c r="S444" s="39">
        <v>0</v>
      </c>
      <c r="T444" s="7" t="s">
        <v>2910</v>
      </c>
      <c r="V444" s="7" t="str">
        <f>+IF(U444="","",IF(U444="FINES",CONCATENATE("R",IF(OR(B444="16",B444="21",B444="22",B444="23"),"16212223",IF(OR(B444="15",B444="17",B444="24",B444="25"),"15172425",B444))),IF(U444="CEBAS","UNICO",IF(VALUE(B444)&lt;=11,"AMBA","INTERIOR"))))</f>
        <v/>
      </c>
      <c r="W444" s="38" t="str">
        <f>+IF(U444="","-",CONCATENATE(U444,"_",V444))</f>
        <v>-</v>
      </c>
      <c r="X444" s="42">
        <v>0.57899999999999996</v>
      </c>
    </row>
    <row r="445" spans="1:24" ht="15" thickBot="1">
      <c r="A445" s="5" t="s">
        <v>2916</v>
      </c>
      <c r="B445" s="5" t="s">
        <v>817</v>
      </c>
      <c r="C445" s="5" t="s">
        <v>2080</v>
      </c>
      <c r="D445" s="5" t="s">
        <v>2081</v>
      </c>
      <c r="E445" s="5">
        <v>607786</v>
      </c>
      <c r="F445" s="5">
        <v>3</v>
      </c>
      <c r="G445" s="5" t="s">
        <v>2103</v>
      </c>
      <c r="H445" s="5" t="s">
        <v>20</v>
      </c>
      <c r="I445" s="6" t="s">
        <v>50</v>
      </c>
      <c r="J445" s="6" t="s">
        <v>51</v>
      </c>
      <c r="K445" s="6" t="s">
        <v>2095</v>
      </c>
      <c r="L445" s="6" t="s">
        <v>2104</v>
      </c>
      <c r="M445" s="6" t="s">
        <v>22</v>
      </c>
      <c r="N445" s="6" t="s">
        <v>23</v>
      </c>
      <c r="O445" s="6" t="s">
        <v>27</v>
      </c>
      <c r="P445" s="6" t="s">
        <v>28</v>
      </c>
      <c r="Q445" s="22">
        <v>26</v>
      </c>
      <c r="R445" s="23">
        <v>2</v>
      </c>
      <c r="S445" s="39">
        <v>0</v>
      </c>
      <c r="T445" s="7" t="s">
        <v>2910</v>
      </c>
      <c r="V445" s="7" t="str">
        <f>+IF(U445="","",IF(U445="FINES",CONCATENATE("R",IF(OR(B445="16",B445="21",B445="22",B445="23"),"16212223",IF(OR(B445="15",B445="17",B445="24",B445="25"),"15172425",B445))),IF(U445="CEBAS","UNICO",IF(VALUE(B445)&lt;=11,"AMBA","INTERIOR"))))</f>
        <v/>
      </c>
      <c r="W445" s="38" t="str">
        <f>+IF(U445="","-",CONCATENATE(U445,"_",V445))</f>
        <v>-</v>
      </c>
      <c r="X445" s="42">
        <v>0.57999999999999996</v>
      </c>
    </row>
    <row r="446" spans="1:24" ht="15" thickBot="1">
      <c r="A446" s="3" t="s">
        <v>2916</v>
      </c>
      <c r="B446" s="3" t="s">
        <v>410</v>
      </c>
      <c r="C446" s="3" t="s">
        <v>570</v>
      </c>
      <c r="D446" s="3" t="s">
        <v>2717</v>
      </c>
      <c r="E446" s="3">
        <v>602479</v>
      </c>
      <c r="F446" s="3">
        <v>0</v>
      </c>
      <c r="G446" s="3" t="s">
        <v>2722</v>
      </c>
      <c r="H446" s="3" t="s">
        <v>20</v>
      </c>
      <c r="I446" s="4" t="s">
        <v>50</v>
      </c>
      <c r="J446" s="4" t="s">
        <v>21</v>
      </c>
      <c r="K446" s="4"/>
      <c r="L446" s="4" t="s">
        <v>650</v>
      </c>
      <c r="M446" s="4" t="s">
        <v>22</v>
      </c>
      <c r="N446" s="4" t="s">
        <v>23</v>
      </c>
      <c r="O446" s="4" t="s">
        <v>27</v>
      </c>
      <c r="P446" s="4" t="s">
        <v>28</v>
      </c>
      <c r="Q446" s="24">
        <v>90</v>
      </c>
      <c r="R446" s="25">
        <v>6</v>
      </c>
      <c r="S446" s="39">
        <v>0</v>
      </c>
      <c r="T446" s="7" t="s">
        <v>2910</v>
      </c>
      <c r="V446" s="7" t="str">
        <f>+IF(U446="","",IF(U446="FINES",CONCATENATE("R",IF(OR(B446="16",B446="21",B446="22",B446="23"),"16212223",IF(OR(B446="15",B446="17",B446="24",B446="25"),"15172425",B446))),IF(U446="CEBAS","UNICO",IF(VALUE(B446)&lt;=11,"AMBA","INTERIOR"))))</f>
        <v/>
      </c>
      <c r="W446" s="38" t="str">
        <f>+IF(U446="","-",CONCATENATE(U446,"_",V446))</f>
        <v>-</v>
      </c>
      <c r="X446" s="42">
        <v>0.58099999999999996</v>
      </c>
    </row>
    <row r="447" spans="1:24" ht="15" thickBot="1">
      <c r="A447" s="3" t="s">
        <v>2916</v>
      </c>
      <c r="B447" s="3" t="s">
        <v>356</v>
      </c>
      <c r="C447" s="3" t="s">
        <v>1359</v>
      </c>
      <c r="D447" s="3" t="s">
        <v>1360</v>
      </c>
      <c r="E447" s="3">
        <v>602444</v>
      </c>
      <c r="F447" s="3">
        <v>1</v>
      </c>
      <c r="G447" s="3" t="s">
        <v>1372</v>
      </c>
      <c r="H447" s="3" t="s">
        <v>20</v>
      </c>
      <c r="I447" s="4" t="s">
        <v>50</v>
      </c>
      <c r="J447" s="4" t="s">
        <v>51</v>
      </c>
      <c r="K447" s="4" t="s">
        <v>1373</v>
      </c>
      <c r="L447" s="4" t="s">
        <v>1374</v>
      </c>
      <c r="M447" s="4" t="s">
        <v>22</v>
      </c>
      <c r="N447" s="4" t="s">
        <v>23</v>
      </c>
      <c r="O447" s="4" t="s">
        <v>27</v>
      </c>
      <c r="P447" s="4" t="s">
        <v>28</v>
      </c>
      <c r="Q447" s="24">
        <v>15</v>
      </c>
      <c r="R447" s="25">
        <v>1</v>
      </c>
      <c r="S447" s="39">
        <v>0</v>
      </c>
      <c r="T447" s="7" t="s">
        <v>2910</v>
      </c>
      <c r="V447" s="7" t="str">
        <f>+IF(U447="","",IF(U447="FINES",CONCATENATE("R",IF(OR(B447="16",B447="21",B447="22",B447="23"),"16212223",IF(OR(B447="15",B447="17",B447="24",B447="25"),"15172425",B447))),IF(U447="CEBAS","UNICO",IF(VALUE(B447)&lt;=11,"AMBA","INTERIOR"))))</f>
        <v/>
      </c>
      <c r="W447" s="38" t="str">
        <f>+IF(U447="","-",CONCATENATE(U447,"_",V447))</f>
        <v>-</v>
      </c>
      <c r="X447" s="42">
        <v>0.58299999999999996</v>
      </c>
    </row>
    <row r="448" spans="1:24" ht="15" thickBot="1">
      <c r="A448" s="5" t="s">
        <v>2916</v>
      </c>
      <c r="B448" s="5" t="s">
        <v>203</v>
      </c>
      <c r="C448" s="5" t="s">
        <v>1986</v>
      </c>
      <c r="D448" s="5" t="s">
        <v>1987</v>
      </c>
      <c r="E448" s="5">
        <v>613144</v>
      </c>
      <c r="F448" s="5">
        <v>2</v>
      </c>
      <c r="G448" s="5" t="s">
        <v>1994</v>
      </c>
      <c r="H448" s="5" t="s">
        <v>20</v>
      </c>
      <c r="I448" s="6" t="s">
        <v>50</v>
      </c>
      <c r="J448" s="6" t="s">
        <v>51</v>
      </c>
      <c r="K448" s="6" t="s">
        <v>1993</v>
      </c>
      <c r="L448" s="6" t="s">
        <v>1995</v>
      </c>
      <c r="M448" s="6" t="s">
        <v>199</v>
      </c>
      <c r="N448" s="6" t="s">
        <v>23</v>
      </c>
      <c r="O448" s="6" t="s">
        <v>27</v>
      </c>
      <c r="P448" s="6" t="s">
        <v>28</v>
      </c>
      <c r="Q448" s="22">
        <v>15</v>
      </c>
      <c r="R448" s="23">
        <v>1</v>
      </c>
      <c r="S448" s="39">
        <v>0</v>
      </c>
      <c r="T448" s="7" t="s">
        <v>2910</v>
      </c>
      <c r="V448" s="7" t="str">
        <f>+IF(U448="","",IF(U448="FINES",CONCATENATE("R",IF(OR(B448="16",B448="21",B448="22",B448="23"),"16212223",IF(OR(B448="15",B448="17",B448="24",B448="25"),"15172425",B448))),IF(U448="CEBAS","UNICO",IF(VALUE(B448)&lt;=11,"AMBA","INTERIOR"))))</f>
        <v/>
      </c>
      <c r="W448" s="38" t="str">
        <f>+IF(U448="","-",CONCATENATE(U448,"_",V448))</f>
        <v>-</v>
      </c>
      <c r="X448" s="42">
        <v>0.58499999999999996</v>
      </c>
    </row>
    <row r="449" spans="1:24" ht="15" thickBot="1">
      <c r="A449" s="5" t="s">
        <v>2916</v>
      </c>
      <c r="B449" s="5" t="s">
        <v>1532</v>
      </c>
      <c r="C449" s="5" t="s">
        <v>1530</v>
      </c>
      <c r="D449" s="5" t="s">
        <v>1531</v>
      </c>
      <c r="E449" s="5">
        <v>608176</v>
      </c>
      <c r="F449" s="5">
        <v>2</v>
      </c>
      <c r="G449" s="5" t="s">
        <v>1617</v>
      </c>
      <c r="H449" s="5" t="s">
        <v>20</v>
      </c>
      <c r="I449" s="6" t="s">
        <v>50</v>
      </c>
      <c r="J449" s="6" t="s">
        <v>51</v>
      </c>
      <c r="K449" s="6" t="s">
        <v>1606</v>
      </c>
      <c r="L449" s="6" t="s">
        <v>1618</v>
      </c>
      <c r="M449" s="6" t="s">
        <v>22</v>
      </c>
      <c r="N449" s="6" t="s">
        <v>23</v>
      </c>
      <c r="O449" s="6" t="s">
        <v>27</v>
      </c>
      <c r="P449" s="6" t="s">
        <v>28</v>
      </c>
      <c r="Q449" s="22">
        <v>14</v>
      </c>
      <c r="R449" s="23">
        <v>1</v>
      </c>
      <c r="S449" s="39">
        <v>0</v>
      </c>
      <c r="T449" s="7" t="s">
        <v>2910</v>
      </c>
      <c r="V449" s="7" t="str">
        <f>+IF(U449="","",IF(U449="FINES",CONCATENATE("R",IF(OR(B449="16",B449="21",B449="22",B449="23"),"16212223",IF(OR(B449="15",B449="17",B449="24",B449="25"),"15172425",B449))),IF(U449="CEBAS","UNICO",IF(VALUE(B449)&lt;=11,"AMBA","INTERIOR"))))</f>
        <v/>
      </c>
      <c r="W449" s="38" t="str">
        <f>+IF(U449="","-",CONCATENATE(U449,"_",V449))</f>
        <v>-</v>
      </c>
      <c r="X449" s="42">
        <v>0.58699999999999997</v>
      </c>
    </row>
    <row r="450" spans="1:24" ht="15" thickBot="1">
      <c r="A450" s="3" t="s">
        <v>2916</v>
      </c>
      <c r="B450" s="3" t="s">
        <v>203</v>
      </c>
      <c r="C450" s="3" t="s">
        <v>1986</v>
      </c>
      <c r="D450" s="3" t="s">
        <v>1987</v>
      </c>
      <c r="E450" s="3">
        <v>603157</v>
      </c>
      <c r="F450" s="3">
        <v>2</v>
      </c>
      <c r="G450" s="3" t="s">
        <v>1990</v>
      </c>
      <c r="H450" s="3" t="s">
        <v>20</v>
      </c>
      <c r="I450" s="4" t="s">
        <v>50</v>
      </c>
      <c r="J450" s="4" t="s">
        <v>51</v>
      </c>
      <c r="K450" s="4" t="s">
        <v>1989</v>
      </c>
      <c r="L450" s="4" t="s">
        <v>754</v>
      </c>
      <c r="M450" s="4" t="s">
        <v>22</v>
      </c>
      <c r="N450" s="4" t="s">
        <v>23</v>
      </c>
      <c r="O450" s="4" t="s">
        <v>27</v>
      </c>
      <c r="P450" s="4" t="s">
        <v>28</v>
      </c>
      <c r="Q450" s="24">
        <v>36</v>
      </c>
      <c r="R450" s="25">
        <v>3</v>
      </c>
      <c r="S450" s="39">
        <v>0</v>
      </c>
      <c r="T450" s="7" t="s">
        <v>2910</v>
      </c>
      <c r="V450" s="7" t="str">
        <f>+IF(U450="","",IF(U450="FINES",CONCATENATE("R",IF(OR(B450="16",B450="21",B450="22",B450="23"),"16212223",IF(OR(B450="15",B450="17",B450="24",B450="25"),"15172425",B450))),IF(U450="CEBAS","UNICO",IF(VALUE(B450)&lt;=11,"AMBA","INTERIOR"))))</f>
        <v/>
      </c>
      <c r="W450" s="38" t="str">
        <f>+IF(U450="","-",CONCATENATE(U450,"_",V450))</f>
        <v>-</v>
      </c>
      <c r="X450" s="42">
        <v>0.58699999999999997</v>
      </c>
    </row>
    <row r="451" spans="1:24" ht="15" thickBot="1">
      <c r="A451" s="5" t="s">
        <v>2916</v>
      </c>
      <c r="B451" s="5" t="s">
        <v>257</v>
      </c>
      <c r="C451" s="5" t="s">
        <v>415</v>
      </c>
      <c r="D451" s="5" t="s">
        <v>2770</v>
      </c>
      <c r="E451" s="5">
        <v>613688</v>
      </c>
      <c r="F451" s="5">
        <v>1</v>
      </c>
      <c r="G451" s="5" t="s">
        <v>2771</v>
      </c>
      <c r="H451" s="5" t="s">
        <v>20</v>
      </c>
      <c r="I451" s="6" t="s">
        <v>50</v>
      </c>
      <c r="J451" s="6" t="s">
        <v>51</v>
      </c>
      <c r="K451" s="6" t="s">
        <v>2772</v>
      </c>
      <c r="L451" s="6" t="s">
        <v>672</v>
      </c>
      <c r="M451" s="6" t="s">
        <v>22</v>
      </c>
      <c r="N451" s="6" t="s">
        <v>23</v>
      </c>
      <c r="O451" s="6" t="s">
        <v>27</v>
      </c>
      <c r="P451" s="6" t="s">
        <v>28</v>
      </c>
      <c r="Q451" s="22">
        <v>34</v>
      </c>
      <c r="R451" s="23">
        <v>3</v>
      </c>
      <c r="S451" s="39">
        <v>0</v>
      </c>
      <c r="T451" s="7" t="s">
        <v>2910</v>
      </c>
      <c r="V451" s="7" t="str">
        <f>+IF(U451="","",IF(U451="FINES",CONCATENATE("R",IF(OR(B451="16",B451="21",B451="22",B451="23"),"16212223",IF(OR(B451="15",B451="17",B451="24",B451="25"),"15172425",B451))),IF(U451="CEBAS","UNICO",IF(VALUE(B451)&lt;=11,"AMBA","INTERIOR"))))</f>
        <v/>
      </c>
      <c r="W451" s="38" t="str">
        <f>+IF(U451="","-",CONCATENATE(U451,"_",V451))</f>
        <v>-</v>
      </c>
      <c r="X451" s="42">
        <v>0.58799999999999997</v>
      </c>
    </row>
    <row r="452" spans="1:24" ht="15" thickBot="1">
      <c r="A452" s="5" t="s">
        <v>2916</v>
      </c>
      <c r="B452" s="5" t="s">
        <v>222</v>
      </c>
      <c r="C452" s="5" t="s">
        <v>1154</v>
      </c>
      <c r="D452" s="5" t="s">
        <v>1155</v>
      </c>
      <c r="E452" s="5">
        <v>600164</v>
      </c>
      <c r="F452" s="5">
        <v>3</v>
      </c>
      <c r="G452" s="5" t="s">
        <v>1165</v>
      </c>
      <c r="H452" s="5" t="s">
        <v>20</v>
      </c>
      <c r="I452" s="6" t="s">
        <v>50</v>
      </c>
      <c r="J452" s="6" t="s">
        <v>51</v>
      </c>
      <c r="K452" s="6" t="s">
        <v>1157</v>
      </c>
      <c r="L452" s="6" t="s">
        <v>440</v>
      </c>
      <c r="M452" s="6" t="s">
        <v>22</v>
      </c>
      <c r="N452" s="6" t="s">
        <v>23</v>
      </c>
      <c r="O452" s="6" t="s">
        <v>27</v>
      </c>
      <c r="P452" s="6" t="s">
        <v>28</v>
      </c>
      <c r="Q452" s="22">
        <v>32</v>
      </c>
      <c r="R452" s="23">
        <v>3</v>
      </c>
      <c r="S452" s="39">
        <v>0</v>
      </c>
      <c r="T452" s="7" t="s">
        <v>2910</v>
      </c>
      <c r="V452" s="7" t="str">
        <f>+IF(U452="","",IF(U452="FINES",CONCATENATE("R",IF(OR(B452="16",B452="21",B452="22",B452="23"),"16212223",IF(OR(B452="15",B452="17",B452="24",B452="25"),"15172425",B452))),IF(U452="CEBAS","UNICO",IF(VALUE(B452)&lt;=11,"AMBA","INTERIOR"))))</f>
        <v/>
      </c>
      <c r="W452" s="38" t="str">
        <f>+IF(U452="","-",CONCATENATE(U452,"_",V452))</f>
        <v>-</v>
      </c>
      <c r="X452" s="42">
        <v>0.58899999999999997</v>
      </c>
    </row>
    <row r="453" spans="1:24" ht="15" thickBot="1">
      <c r="A453" s="5" t="s">
        <v>2916</v>
      </c>
      <c r="B453" s="5" t="s">
        <v>1257</v>
      </c>
      <c r="C453" s="5" t="s">
        <v>519</v>
      </c>
      <c r="D453" s="5" t="s">
        <v>2470</v>
      </c>
      <c r="E453" s="5">
        <v>612050</v>
      </c>
      <c r="F453" s="5">
        <v>1</v>
      </c>
      <c r="G453" s="5" t="s">
        <v>2476</v>
      </c>
      <c r="H453" s="5" t="s">
        <v>20</v>
      </c>
      <c r="I453" s="6" t="s">
        <v>50</v>
      </c>
      <c r="J453" s="6" t="s">
        <v>51</v>
      </c>
      <c r="K453" s="6" t="s">
        <v>2477</v>
      </c>
      <c r="L453" s="6" t="s">
        <v>619</v>
      </c>
      <c r="M453" s="6" t="s">
        <v>22</v>
      </c>
      <c r="N453" s="6" t="s">
        <v>23</v>
      </c>
      <c r="O453" s="6" t="s">
        <v>27</v>
      </c>
      <c r="P453" s="6" t="s">
        <v>28</v>
      </c>
      <c r="Q453" s="22">
        <v>28</v>
      </c>
      <c r="R453" s="23">
        <v>2</v>
      </c>
      <c r="S453" s="39">
        <v>0</v>
      </c>
      <c r="T453" s="7" t="s">
        <v>2910</v>
      </c>
      <c r="V453" s="7" t="str">
        <f>+IF(U453="","",IF(U453="FINES",CONCATENATE("R",IF(OR(B453="16",B453="21",B453="22",B453="23"),"16212223",IF(OR(B453="15",B453="17",B453="24",B453="25"),"15172425",B453))),IF(U453="CEBAS","UNICO",IF(VALUE(B453)&lt;=11,"AMBA","INTERIOR"))))</f>
        <v/>
      </c>
      <c r="W453" s="38" t="str">
        <f>+IF(U453="","-",CONCATENATE(U453,"_",V453))</f>
        <v>-</v>
      </c>
      <c r="X453" s="42">
        <v>0.59099999999999997</v>
      </c>
    </row>
    <row r="454" spans="1:24" ht="15" thickBot="1">
      <c r="A454" s="3" t="s">
        <v>2916</v>
      </c>
      <c r="B454" s="3" t="s">
        <v>222</v>
      </c>
      <c r="C454" s="3" t="s">
        <v>2047</v>
      </c>
      <c r="D454" s="3" t="s">
        <v>2048</v>
      </c>
      <c r="E454" s="3">
        <v>613145</v>
      </c>
      <c r="F454" s="3">
        <v>1</v>
      </c>
      <c r="G454" s="3" t="s">
        <v>2049</v>
      </c>
      <c r="H454" s="3" t="s">
        <v>20</v>
      </c>
      <c r="I454" s="4" t="s">
        <v>50</v>
      </c>
      <c r="J454" s="4" t="s">
        <v>51</v>
      </c>
      <c r="K454" s="4" t="s">
        <v>2050</v>
      </c>
      <c r="L454" s="4" t="s">
        <v>428</v>
      </c>
      <c r="M454" s="4" t="s">
        <v>22</v>
      </c>
      <c r="N454" s="4" t="s">
        <v>23</v>
      </c>
      <c r="O454" s="4" t="s">
        <v>27</v>
      </c>
      <c r="P454" s="4" t="s">
        <v>28</v>
      </c>
      <c r="Q454" s="24">
        <v>30</v>
      </c>
      <c r="R454" s="25">
        <v>2</v>
      </c>
      <c r="S454" s="39">
        <v>0</v>
      </c>
      <c r="T454" s="7" t="s">
        <v>2910</v>
      </c>
      <c r="V454" s="7" t="str">
        <f>+IF(U454="","",IF(U454="FINES",CONCATENATE("R",IF(OR(B454="16",B454="21",B454="22",B454="23"),"16212223",IF(OR(B454="15",B454="17",B454="24",B454="25"),"15172425",B454))),IF(U454="CEBAS","UNICO",IF(VALUE(B454)&lt;=11,"AMBA","INTERIOR"))))</f>
        <v/>
      </c>
      <c r="W454" s="38" t="str">
        <f>+IF(U454="","-",CONCATENATE(U454,"_",V454))</f>
        <v>-</v>
      </c>
      <c r="X454" s="42">
        <v>0.59399999999999997</v>
      </c>
    </row>
    <row r="455" spans="1:24" ht="15" thickBot="1">
      <c r="A455" s="3" t="s">
        <v>2916</v>
      </c>
      <c r="B455" s="3" t="s">
        <v>356</v>
      </c>
      <c r="C455" s="3" t="s">
        <v>353</v>
      </c>
      <c r="D455" s="3" t="s">
        <v>355</v>
      </c>
      <c r="E455" s="3">
        <v>616672</v>
      </c>
      <c r="F455" s="3">
        <v>0</v>
      </c>
      <c r="G455" s="3" t="s">
        <v>418</v>
      </c>
      <c r="H455" s="3" t="s">
        <v>210</v>
      </c>
      <c r="I455" s="4" t="s">
        <v>201</v>
      </c>
      <c r="J455" s="4" t="s">
        <v>21</v>
      </c>
      <c r="K455" s="4"/>
      <c r="L455" s="4" t="s">
        <v>419</v>
      </c>
      <c r="M455" s="4" t="s">
        <v>22</v>
      </c>
      <c r="N455" s="4" t="s">
        <v>134</v>
      </c>
      <c r="O455" s="4" t="s">
        <v>27</v>
      </c>
      <c r="P455" s="4" t="s">
        <v>144</v>
      </c>
      <c r="Q455" s="24">
        <v>94</v>
      </c>
      <c r="R455" s="25">
        <v>3</v>
      </c>
      <c r="S455" s="39">
        <v>0</v>
      </c>
      <c r="T455" s="7" t="s">
        <v>2909</v>
      </c>
      <c r="V455" s="7" t="str">
        <f>+IF(U455="","",IF(U455="FINES",CONCATENATE("R",IF(OR(B455="16",B455="21",B455="22",B455="23"),"16212223",IF(OR(B455="15",B455="17",B455="24",B455="25"),"15172425",B455))),IF(U455="CEBAS","UNICO",IF(VALUE(B455)&lt;=11,"AMBA","INTERIOR"))))</f>
        <v/>
      </c>
      <c r="W455" s="38" t="str">
        <f>+IF(U455="","-",CONCATENATE(U455,"_",V455))</f>
        <v>-</v>
      </c>
      <c r="X455" s="42">
        <v>0.59599999999999997</v>
      </c>
    </row>
    <row r="456" spans="1:24" ht="15" thickBot="1">
      <c r="A456" s="3" t="s">
        <v>2916</v>
      </c>
      <c r="B456" s="3" t="s">
        <v>217</v>
      </c>
      <c r="C456" s="3" t="s">
        <v>2206</v>
      </c>
      <c r="D456" s="3" t="s">
        <v>2207</v>
      </c>
      <c r="E456" s="3">
        <v>606465</v>
      </c>
      <c r="F456" s="3">
        <v>0</v>
      </c>
      <c r="G456" s="3" t="s">
        <v>2208</v>
      </c>
      <c r="H456" s="3" t="s">
        <v>20</v>
      </c>
      <c r="I456" s="4" t="s">
        <v>50</v>
      </c>
      <c r="J456" s="4" t="s">
        <v>21</v>
      </c>
      <c r="K456" s="4"/>
      <c r="L456" s="4" t="s">
        <v>543</v>
      </c>
      <c r="M456" s="4" t="s">
        <v>22</v>
      </c>
      <c r="N456" s="4" t="s">
        <v>23</v>
      </c>
      <c r="O456" s="4" t="s">
        <v>27</v>
      </c>
      <c r="P456" s="4" t="s">
        <v>28</v>
      </c>
      <c r="Q456" s="24">
        <v>12</v>
      </c>
      <c r="R456" s="25">
        <v>2</v>
      </c>
      <c r="S456" s="39">
        <v>0</v>
      </c>
      <c r="T456" s="7" t="s">
        <v>2910</v>
      </c>
      <c r="V456" s="7" t="str">
        <f>+IF(U456="","",IF(U456="FINES",CONCATENATE("R",IF(OR(B456="16",B456="21",B456="22",B456="23"),"16212223",IF(OR(B456="15",B456="17",B456="24",B456="25"),"15172425",B456))),IF(U456="CEBAS","UNICO",IF(VALUE(B456)&lt;=11,"AMBA","INTERIOR"))))</f>
        <v/>
      </c>
      <c r="W456" s="38" t="str">
        <f>+IF(U456="","-",CONCATENATE(U456,"_",V456))</f>
        <v>-</v>
      </c>
      <c r="X456" s="42">
        <v>0.59799999999999998</v>
      </c>
    </row>
    <row r="457" spans="1:24" ht="15" thickBot="1">
      <c r="A457" s="5" t="s">
        <v>2916</v>
      </c>
      <c r="B457" s="5" t="s">
        <v>257</v>
      </c>
      <c r="C457" s="5" t="s">
        <v>415</v>
      </c>
      <c r="D457" s="5" t="s">
        <v>2770</v>
      </c>
      <c r="E457" s="5">
        <v>620880</v>
      </c>
      <c r="F457" s="5">
        <v>0</v>
      </c>
      <c r="G457" s="5" t="s">
        <v>2789</v>
      </c>
      <c r="H457" s="5" t="s">
        <v>207</v>
      </c>
      <c r="I457" s="6" t="s">
        <v>201</v>
      </c>
      <c r="J457" s="6" t="s">
        <v>21</v>
      </c>
      <c r="K457" s="6"/>
      <c r="L457" s="6" t="s">
        <v>2790</v>
      </c>
      <c r="M457" s="6" t="s">
        <v>22</v>
      </c>
      <c r="N457" s="6" t="s">
        <v>23</v>
      </c>
      <c r="O457" s="6" t="s">
        <v>27</v>
      </c>
      <c r="P457" s="6" t="s">
        <v>144</v>
      </c>
      <c r="Q457" s="22">
        <v>113</v>
      </c>
      <c r="R457" s="23">
        <v>3</v>
      </c>
      <c r="S457" s="39">
        <v>0</v>
      </c>
      <c r="T457" s="7" t="s">
        <v>2909</v>
      </c>
      <c r="V457" s="7" t="str">
        <f>+IF(U457="","",IF(U457="FINES",CONCATENATE("R",IF(OR(B457="16",B457="21",B457="22",B457="23"),"16212223",IF(OR(B457="15",B457="17",B457="24",B457="25"),"15172425",B457))),IF(U457="CEBAS","UNICO",IF(VALUE(B457)&lt;=11,"AMBA","INTERIOR"))))</f>
        <v/>
      </c>
      <c r="W457" s="38" t="str">
        <f>+IF(U457="","-",CONCATENATE(U457,"_",V457))</f>
        <v>-</v>
      </c>
      <c r="X457" s="42">
        <v>0.59799999999999998</v>
      </c>
    </row>
    <row r="458" spans="1:24" ht="15" thickBot="1">
      <c r="A458" s="5" t="s">
        <v>2916</v>
      </c>
      <c r="B458" s="5" t="s">
        <v>221</v>
      </c>
      <c r="C458" s="5" t="s">
        <v>558</v>
      </c>
      <c r="D458" s="5" t="s">
        <v>1960</v>
      </c>
      <c r="E458" s="5">
        <v>613647</v>
      </c>
      <c r="F458" s="5">
        <v>3</v>
      </c>
      <c r="G458" s="5" t="s">
        <v>1967</v>
      </c>
      <c r="H458" s="5" t="s">
        <v>20</v>
      </c>
      <c r="I458" s="6" t="s">
        <v>50</v>
      </c>
      <c r="J458" s="6" t="s">
        <v>51</v>
      </c>
      <c r="K458" s="6" t="s">
        <v>1968</v>
      </c>
      <c r="L458" s="6" t="s">
        <v>1969</v>
      </c>
      <c r="M458" s="6" t="s">
        <v>22</v>
      </c>
      <c r="N458" s="6" t="s">
        <v>23</v>
      </c>
      <c r="O458" s="6" t="s">
        <v>27</v>
      </c>
      <c r="P458" s="6" t="s">
        <v>28</v>
      </c>
      <c r="Q458" s="22">
        <v>18</v>
      </c>
      <c r="R458" s="23">
        <v>1</v>
      </c>
      <c r="S458" s="39">
        <v>0</v>
      </c>
      <c r="T458" s="7" t="s">
        <v>2910</v>
      </c>
      <c r="V458" s="7" t="str">
        <f>+IF(U458="","",IF(U458="FINES",CONCATENATE("R",IF(OR(B458="16",B458="21",B458="22",B458="23"),"16212223",IF(OR(B458="15",B458="17",B458="24",B458="25"),"15172425",B458))),IF(U458="CEBAS","UNICO",IF(VALUE(B458)&lt;=11,"AMBA","INTERIOR"))))</f>
        <v/>
      </c>
      <c r="W458" s="38" t="str">
        <f>+IF(U458="","-",CONCATENATE(U458,"_",V458))</f>
        <v>-</v>
      </c>
      <c r="X458" s="42">
        <v>0.6</v>
      </c>
    </row>
    <row r="459" spans="1:24" ht="15" thickBot="1">
      <c r="A459" s="5" t="s">
        <v>2916</v>
      </c>
      <c r="B459" s="5" t="s">
        <v>1257</v>
      </c>
      <c r="C459" s="5" t="s">
        <v>2213</v>
      </c>
      <c r="D459" s="5" t="s">
        <v>2214</v>
      </c>
      <c r="E459" s="5">
        <v>607654</v>
      </c>
      <c r="F459" s="5">
        <v>1</v>
      </c>
      <c r="G459" s="5" t="s">
        <v>2223</v>
      </c>
      <c r="H459" s="5" t="s">
        <v>20</v>
      </c>
      <c r="I459" s="6" t="s">
        <v>50</v>
      </c>
      <c r="J459" s="6" t="s">
        <v>51</v>
      </c>
      <c r="K459" s="6" t="s">
        <v>2224</v>
      </c>
      <c r="L459" s="6" t="s">
        <v>2225</v>
      </c>
      <c r="M459" s="6" t="s">
        <v>22</v>
      </c>
      <c r="N459" s="6" t="s">
        <v>23</v>
      </c>
      <c r="O459" s="6" t="s">
        <v>27</v>
      </c>
      <c r="P459" s="6" t="s">
        <v>28</v>
      </c>
      <c r="Q459" s="22">
        <v>30</v>
      </c>
      <c r="R459" s="23">
        <v>3</v>
      </c>
      <c r="S459" s="39">
        <v>0</v>
      </c>
      <c r="T459" s="7" t="s">
        <v>2910</v>
      </c>
      <c r="V459" s="7" t="str">
        <f>+IF(U459="","",IF(U459="FINES",CONCATENATE("R",IF(OR(B459="16",B459="21",B459="22",B459="23"),"16212223",IF(OR(B459="15",B459="17",B459="24",B459="25"),"15172425",B459))),IF(U459="CEBAS","UNICO",IF(VALUE(B459)&lt;=11,"AMBA","INTERIOR"))))</f>
        <v/>
      </c>
      <c r="W459" s="38" t="str">
        <f>+IF(U459="","-",CONCATENATE(U459,"_",V459))</f>
        <v>-</v>
      </c>
      <c r="X459" s="42">
        <v>0.60499999999999998</v>
      </c>
    </row>
    <row r="460" spans="1:24" ht="15" thickBot="1">
      <c r="A460" s="3" t="s">
        <v>2916</v>
      </c>
      <c r="B460" s="3" t="s">
        <v>598</v>
      </c>
      <c r="C460" s="3" t="s">
        <v>748</v>
      </c>
      <c r="D460" s="3" t="s">
        <v>2452</v>
      </c>
      <c r="E460" s="3">
        <v>612051</v>
      </c>
      <c r="F460" s="3">
        <v>2</v>
      </c>
      <c r="G460" s="3" t="s">
        <v>2455</v>
      </c>
      <c r="H460" s="3" t="s">
        <v>20</v>
      </c>
      <c r="I460" s="4" t="s">
        <v>50</v>
      </c>
      <c r="J460" s="4" t="s">
        <v>51</v>
      </c>
      <c r="K460" s="4" t="s">
        <v>2454</v>
      </c>
      <c r="L460" s="4" t="s">
        <v>526</v>
      </c>
      <c r="M460" s="4" t="s">
        <v>22</v>
      </c>
      <c r="N460" s="4" t="s">
        <v>23</v>
      </c>
      <c r="O460" s="4" t="s">
        <v>27</v>
      </c>
      <c r="P460" s="4" t="s">
        <v>28</v>
      </c>
      <c r="Q460" s="24">
        <v>16</v>
      </c>
      <c r="R460" s="25">
        <v>1</v>
      </c>
      <c r="S460" s="39">
        <v>0</v>
      </c>
      <c r="T460" s="7" t="s">
        <v>2910</v>
      </c>
      <c r="V460" s="7" t="str">
        <f>+IF(U460="","",IF(U460="FINES",CONCATENATE("R",IF(OR(B460="16",B460="21",B460="22",B460="23"),"16212223",IF(OR(B460="15",B460="17",B460="24",B460="25"),"15172425",B460))),IF(U460="CEBAS","UNICO",IF(VALUE(B460)&lt;=11,"AMBA","INTERIOR"))))</f>
        <v/>
      </c>
      <c r="W460" s="38" t="str">
        <f>+IF(U460="","-",CONCATENATE(U460,"_",V460))</f>
        <v>-</v>
      </c>
      <c r="X460" s="42">
        <v>0.60499999999999998</v>
      </c>
    </row>
    <row r="461" spans="1:24" ht="15" thickBot="1">
      <c r="A461" s="3" t="s">
        <v>2916</v>
      </c>
      <c r="B461" s="3" t="s">
        <v>223</v>
      </c>
      <c r="C461" s="3" t="s">
        <v>1195</v>
      </c>
      <c r="D461" s="3" t="s">
        <v>1196</v>
      </c>
      <c r="E461" s="3">
        <v>604821</v>
      </c>
      <c r="F461" s="3">
        <v>0</v>
      </c>
      <c r="G461" s="3" t="s">
        <v>1197</v>
      </c>
      <c r="H461" s="3" t="s">
        <v>20</v>
      </c>
      <c r="I461" s="4" t="s">
        <v>50</v>
      </c>
      <c r="J461" s="4" t="s">
        <v>21</v>
      </c>
      <c r="K461" s="4"/>
      <c r="L461" s="4" t="s">
        <v>1198</v>
      </c>
      <c r="M461" s="4" t="s">
        <v>200</v>
      </c>
      <c r="N461" s="4" t="s">
        <v>23</v>
      </c>
      <c r="O461" s="4" t="s">
        <v>27</v>
      </c>
      <c r="P461" s="4" t="s">
        <v>28</v>
      </c>
      <c r="Q461" s="24">
        <v>5</v>
      </c>
      <c r="R461" s="25">
        <v>1</v>
      </c>
      <c r="S461" s="39">
        <v>0</v>
      </c>
      <c r="T461" s="7" t="s">
        <v>2910</v>
      </c>
      <c r="V461" s="7" t="str">
        <f>+IF(U461="","",IF(U461="FINES",CONCATENATE("R",IF(OR(B461="16",B461="21",B461="22",B461="23"),"16212223",IF(OR(B461="15",B461="17",B461="24",B461="25"),"15172425",B461))),IF(U461="CEBAS","UNICO",IF(VALUE(B461)&lt;=11,"AMBA","INTERIOR"))))</f>
        <v/>
      </c>
      <c r="W461" s="38" t="str">
        <f>+IF(U461="","-",CONCATENATE(U461,"_",V461))</f>
        <v>-</v>
      </c>
      <c r="X461" s="42">
        <v>0.60499999999999998</v>
      </c>
    </row>
    <row r="462" spans="1:24" ht="15" thickBot="1">
      <c r="A462" s="3" t="s">
        <v>2916</v>
      </c>
      <c r="B462" s="3" t="s">
        <v>19</v>
      </c>
      <c r="C462" s="3" t="s">
        <v>252</v>
      </c>
      <c r="D462" s="3" t="s">
        <v>2566</v>
      </c>
      <c r="E462" s="3">
        <v>602838</v>
      </c>
      <c r="F462" s="3">
        <v>3</v>
      </c>
      <c r="G462" s="3" t="s">
        <v>2577</v>
      </c>
      <c r="H462" s="3" t="s">
        <v>20</v>
      </c>
      <c r="I462" s="4" t="s">
        <v>50</v>
      </c>
      <c r="J462" s="4" t="s">
        <v>51</v>
      </c>
      <c r="K462" s="4" t="s">
        <v>2573</v>
      </c>
      <c r="L462" s="4" t="s">
        <v>1167</v>
      </c>
      <c r="M462" s="4" t="s">
        <v>22</v>
      </c>
      <c r="N462" s="4" t="s">
        <v>23</v>
      </c>
      <c r="O462" s="4" t="s">
        <v>27</v>
      </c>
      <c r="P462" s="4" t="s">
        <v>28</v>
      </c>
      <c r="Q462" s="24">
        <v>32</v>
      </c>
      <c r="R462" s="25">
        <v>3</v>
      </c>
      <c r="S462" s="39">
        <v>0</v>
      </c>
      <c r="T462" s="7" t="s">
        <v>2910</v>
      </c>
      <c r="V462" s="7" t="str">
        <f>+IF(U462="","",IF(U462="FINES",CONCATENATE("R",IF(OR(B462="16",B462="21",B462="22",B462="23"),"16212223",IF(OR(B462="15",B462="17",B462="24",B462="25"),"15172425",B462))),IF(U462="CEBAS","UNICO",IF(VALUE(B462)&lt;=11,"AMBA","INTERIOR"))))</f>
        <v/>
      </c>
      <c r="W462" s="38" t="str">
        <f>+IF(U462="","-",CONCATENATE(U462,"_",V462))</f>
        <v>-</v>
      </c>
      <c r="X462" s="42">
        <v>0.60799999999999998</v>
      </c>
    </row>
    <row r="463" spans="1:24" ht="15" thickBot="1">
      <c r="A463" s="5" t="s">
        <v>2916</v>
      </c>
      <c r="B463" s="5" t="s">
        <v>203</v>
      </c>
      <c r="C463" s="5" t="s">
        <v>331</v>
      </c>
      <c r="D463" s="5" t="s">
        <v>2491</v>
      </c>
      <c r="E463" s="5">
        <v>607566</v>
      </c>
      <c r="F463" s="5">
        <v>1</v>
      </c>
      <c r="G463" s="5" t="s">
        <v>2494</v>
      </c>
      <c r="H463" s="5" t="s">
        <v>20</v>
      </c>
      <c r="I463" s="6" t="s">
        <v>50</v>
      </c>
      <c r="J463" s="6" t="s">
        <v>51</v>
      </c>
      <c r="K463" s="6" t="s">
        <v>2495</v>
      </c>
      <c r="L463" s="6" t="s">
        <v>2496</v>
      </c>
      <c r="M463" s="6" t="s">
        <v>22</v>
      </c>
      <c r="N463" s="6" t="s">
        <v>23</v>
      </c>
      <c r="O463" s="6" t="s">
        <v>27</v>
      </c>
      <c r="P463" s="6" t="s">
        <v>28</v>
      </c>
      <c r="Q463" s="22">
        <v>45</v>
      </c>
      <c r="R463" s="23">
        <v>3</v>
      </c>
      <c r="S463" s="39">
        <v>0</v>
      </c>
      <c r="T463" s="7" t="s">
        <v>2910</v>
      </c>
      <c r="V463" s="7" t="str">
        <f>+IF(U463="","",IF(U463="FINES",CONCATENATE("R",IF(OR(B463="16",B463="21",B463="22",B463="23"),"16212223",IF(OR(B463="15",B463="17",B463="24",B463="25"),"15172425",B463))),IF(U463="CEBAS","UNICO",IF(VALUE(B463)&lt;=11,"AMBA","INTERIOR"))))</f>
        <v/>
      </c>
      <c r="W463" s="38" t="str">
        <f>+IF(U463="","-",CONCATENATE(U463,"_",V463))</f>
        <v>-</v>
      </c>
      <c r="X463" s="42">
        <v>0.60799999999999998</v>
      </c>
    </row>
    <row r="464" spans="1:24" ht="15" thickBot="1">
      <c r="A464" s="3" t="s">
        <v>2916</v>
      </c>
      <c r="B464" s="3" t="s">
        <v>138</v>
      </c>
      <c r="C464" s="3" t="s">
        <v>540</v>
      </c>
      <c r="D464" s="3" t="s">
        <v>1766</v>
      </c>
      <c r="E464" s="3">
        <v>609593</v>
      </c>
      <c r="F464" s="3">
        <v>3</v>
      </c>
      <c r="G464" s="3" t="s">
        <v>1770</v>
      </c>
      <c r="H464" s="3" t="s">
        <v>20</v>
      </c>
      <c r="I464" s="4" t="s">
        <v>50</v>
      </c>
      <c r="J464" s="4" t="s">
        <v>51</v>
      </c>
      <c r="K464" s="4" t="s">
        <v>1768</v>
      </c>
      <c r="L464" s="4" t="s">
        <v>619</v>
      </c>
      <c r="M464" s="4" t="s">
        <v>22</v>
      </c>
      <c r="N464" s="4" t="s">
        <v>23</v>
      </c>
      <c r="O464" s="4" t="s">
        <v>27</v>
      </c>
      <c r="P464" s="4" t="s">
        <v>28</v>
      </c>
      <c r="Q464" s="24">
        <v>14</v>
      </c>
      <c r="R464" s="25">
        <v>1</v>
      </c>
      <c r="S464" s="39">
        <v>0</v>
      </c>
      <c r="T464" s="7" t="s">
        <v>2910</v>
      </c>
      <c r="V464" s="7" t="str">
        <f>+IF(U464="","",IF(U464="FINES",CONCATENATE("R",IF(OR(B464="16",B464="21",B464="22",B464="23"),"16212223",IF(OR(B464="15",B464="17",B464="24",B464="25"),"15172425",B464))),IF(U464="CEBAS","UNICO",IF(VALUE(B464)&lt;=11,"AMBA","INTERIOR"))))</f>
        <v/>
      </c>
      <c r="W464" s="38" t="str">
        <f>+IF(U464="","-",CONCATENATE(U464,"_",V464))</f>
        <v>-</v>
      </c>
      <c r="X464" s="42">
        <v>0.60899999999999999</v>
      </c>
    </row>
    <row r="465" spans="1:24" ht="15" thickBot="1">
      <c r="A465" s="5" t="s">
        <v>2916</v>
      </c>
      <c r="B465" s="5" t="s">
        <v>516</v>
      </c>
      <c r="C465" s="5" t="s">
        <v>890</v>
      </c>
      <c r="D465" s="5" t="s">
        <v>891</v>
      </c>
      <c r="E465" s="5">
        <v>603367</v>
      </c>
      <c r="F465" s="5">
        <v>0</v>
      </c>
      <c r="G465" s="5" t="s">
        <v>892</v>
      </c>
      <c r="H465" s="5" t="s">
        <v>20</v>
      </c>
      <c r="I465" s="6" t="s">
        <v>50</v>
      </c>
      <c r="J465" s="6" t="s">
        <v>21</v>
      </c>
      <c r="K465" s="6"/>
      <c r="L465" s="6" t="s">
        <v>893</v>
      </c>
      <c r="M465" s="6" t="s">
        <v>22</v>
      </c>
      <c r="N465" s="6" t="s">
        <v>23</v>
      </c>
      <c r="O465" s="6" t="s">
        <v>27</v>
      </c>
      <c r="P465" s="6" t="s">
        <v>28</v>
      </c>
      <c r="Q465" s="22">
        <v>14</v>
      </c>
      <c r="R465" s="23">
        <v>2</v>
      </c>
      <c r="S465" s="39">
        <v>0</v>
      </c>
      <c r="T465" s="7" t="s">
        <v>2910</v>
      </c>
      <c r="U465" s="7"/>
      <c r="V465" s="7" t="str">
        <f>+IF(U465="","",IF(U465="FINES",CONCATENATE("R",IF(OR(B465="16",B465="21",B465="22",B465="23"),"16212223",IF(OR(B465="15",B465="17",B465="24",B465="25"),"15172425",B465))),IF(U465="CEBAS","UNICO",IF(VALUE(B465)&lt;=11,"AMBA","INTERIOR"))))</f>
        <v/>
      </c>
      <c r="W465" s="38" t="str">
        <f>+IF(U465="","-",CONCATENATE(U465,"_",V465))</f>
        <v>-</v>
      </c>
      <c r="X465" s="42">
        <v>0.60899999999999999</v>
      </c>
    </row>
    <row r="466" spans="1:24" ht="15" thickBot="1">
      <c r="A466" s="5" t="s">
        <v>2916</v>
      </c>
      <c r="B466" s="5" t="s">
        <v>1532</v>
      </c>
      <c r="C466" s="5" t="s">
        <v>1530</v>
      </c>
      <c r="D466" s="5" t="s">
        <v>1531</v>
      </c>
      <c r="E466" s="5">
        <v>612828</v>
      </c>
      <c r="F466" s="5">
        <v>1</v>
      </c>
      <c r="G466" s="5" t="s">
        <v>1621</v>
      </c>
      <c r="H466" s="5" t="s">
        <v>20</v>
      </c>
      <c r="I466" s="6" t="s">
        <v>50</v>
      </c>
      <c r="J466" s="6" t="s">
        <v>51</v>
      </c>
      <c r="K466" s="6" t="s">
        <v>1622</v>
      </c>
      <c r="L466" s="6" t="s">
        <v>1623</v>
      </c>
      <c r="M466" s="6" t="s">
        <v>22</v>
      </c>
      <c r="N466" s="6" t="s">
        <v>23</v>
      </c>
      <c r="O466" s="6" t="s">
        <v>27</v>
      </c>
      <c r="P466" s="6" t="s">
        <v>28</v>
      </c>
      <c r="Q466" s="22">
        <v>14</v>
      </c>
      <c r="R466" s="23">
        <v>1</v>
      </c>
      <c r="S466" s="39">
        <v>0</v>
      </c>
      <c r="T466" s="7" t="s">
        <v>2910</v>
      </c>
      <c r="U466" s="7"/>
      <c r="V466" s="7" t="str">
        <f>+IF(U466="","",IF(U466="FINES",CONCATENATE("R",IF(OR(B466="16",B466="21",B466="22",B466="23"),"16212223",IF(OR(B466="15",B466="17",B466="24",B466="25"),"15172425",B466))),IF(U466="CEBAS","UNICO",IF(VALUE(B466)&lt;=11,"AMBA","INTERIOR"))))</f>
        <v/>
      </c>
      <c r="W466" s="38" t="str">
        <f>+IF(U466="","-",CONCATENATE(U466,"_",V466))</f>
        <v>-</v>
      </c>
      <c r="X466" s="42">
        <v>0.61399999999999999</v>
      </c>
    </row>
    <row r="467" spans="1:24" ht="15" thickBot="1">
      <c r="A467" s="5" t="s">
        <v>2916</v>
      </c>
      <c r="B467" s="5" t="s">
        <v>257</v>
      </c>
      <c r="C467" s="5" t="s">
        <v>772</v>
      </c>
      <c r="D467" s="5" t="s">
        <v>773</v>
      </c>
      <c r="E467" s="5">
        <v>602617</v>
      </c>
      <c r="F467" s="5">
        <v>1</v>
      </c>
      <c r="G467" s="5" t="s">
        <v>781</v>
      </c>
      <c r="H467" s="5" t="s">
        <v>20</v>
      </c>
      <c r="I467" s="6" t="s">
        <v>50</v>
      </c>
      <c r="J467" s="6" t="s">
        <v>51</v>
      </c>
      <c r="K467" s="6" t="s">
        <v>780</v>
      </c>
      <c r="L467" s="6" t="s">
        <v>440</v>
      </c>
      <c r="M467" s="6" t="s">
        <v>22</v>
      </c>
      <c r="N467" s="6" t="s">
        <v>23</v>
      </c>
      <c r="O467" s="6" t="s">
        <v>27</v>
      </c>
      <c r="P467" s="6" t="s">
        <v>28</v>
      </c>
      <c r="Q467" s="22">
        <v>18</v>
      </c>
      <c r="R467" s="23">
        <v>3</v>
      </c>
      <c r="S467" s="39">
        <v>0</v>
      </c>
      <c r="T467" s="7" t="s">
        <v>2910</v>
      </c>
      <c r="U467" s="7"/>
      <c r="V467" s="7" t="str">
        <f>+IF(U467="","",IF(U467="FINES",CONCATENATE("R",IF(OR(B467="16",B467="21",B467="22",B467="23"),"16212223",IF(OR(B467="15",B467="17",B467="24",B467="25"),"15172425",B467))),IF(U467="CEBAS","UNICO",IF(VALUE(B467)&lt;=11,"AMBA","INTERIOR"))))</f>
        <v/>
      </c>
      <c r="W467" s="38" t="str">
        <f>+IF(U467="","-",CONCATENATE(U467,"_",V467))</f>
        <v>-</v>
      </c>
      <c r="X467" s="42">
        <v>0.61399999999999999</v>
      </c>
    </row>
    <row r="468" spans="1:24" ht="15" thickBot="1">
      <c r="A468" s="3" t="s">
        <v>2916</v>
      </c>
      <c r="B468" s="3" t="s">
        <v>203</v>
      </c>
      <c r="C468" s="3" t="s">
        <v>450</v>
      </c>
      <c r="D468" s="3" t="s">
        <v>452</v>
      </c>
      <c r="E468" s="3">
        <v>605440</v>
      </c>
      <c r="F468" s="3">
        <v>1</v>
      </c>
      <c r="G468" s="3" t="s">
        <v>463</v>
      </c>
      <c r="H468" s="3" t="s">
        <v>20</v>
      </c>
      <c r="I468" s="4" t="s">
        <v>50</v>
      </c>
      <c r="J468" s="4" t="s">
        <v>51</v>
      </c>
      <c r="K468" s="4" t="s">
        <v>464</v>
      </c>
      <c r="L468" s="4" t="s">
        <v>465</v>
      </c>
      <c r="M468" s="4" t="s">
        <v>22</v>
      </c>
      <c r="N468" s="4" t="s">
        <v>23</v>
      </c>
      <c r="O468" s="4" t="s">
        <v>27</v>
      </c>
      <c r="P468" s="4" t="s">
        <v>28</v>
      </c>
      <c r="Q468" s="24">
        <v>30</v>
      </c>
      <c r="R468" s="25">
        <v>2</v>
      </c>
      <c r="S468" s="39">
        <v>0</v>
      </c>
      <c r="T468" s="7" t="s">
        <v>2910</v>
      </c>
      <c r="U468" s="7"/>
      <c r="V468" s="7" t="str">
        <f>+IF(U468="","",IF(U468="FINES",CONCATENATE("R",IF(OR(B468="16",B468="21",B468="22",B468="23"),"16212223",IF(OR(B468="15",B468="17",B468="24",B468="25"),"15172425",B468))),IF(U468="CEBAS","UNICO",IF(VALUE(B468)&lt;=11,"AMBA","INTERIOR"))))</f>
        <v/>
      </c>
      <c r="W468" s="38" t="str">
        <f>+IF(U468="","-",CONCATENATE(U468,"_",V468))</f>
        <v>-</v>
      </c>
      <c r="X468" s="42">
        <v>0.61599999999999999</v>
      </c>
    </row>
    <row r="469" spans="1:24" ht="15" thickBot="1">
      <c r="A469" s="5" t="s">
        <v>2916</v>
      </c>
      <c r="B469" s="5" t="s">
        <v>516</v>
      </c>
      <c r="C469" s="5" t="s">
        <v>1348</v>
      </c>
      <c r="D469" s="5" t="s">
        <v>1349</v>
      </c>
      <c r="E469" s="5">
        <v>607974</v>
      </c>
      <c r="F469" s="5">
        <v>1</v>
      </c>
      <c r="G469" s="5" t="s">
        <v>1350</v>
      </c>
      <c r="H469" s="5" t="s">
        <v>20</v>
      </c>
      <c r="I469" s="6" t="s">
        <v>50</v>
      </c>
      <c r="J469" s="6" t="s">
        <v>51</v>
      </c>
      <c r="K469" s="6" t="s">
        <v>1351</v>
      </c>
      <c r="L469" s="6" t="s">
        <v>428</v>
      </c>
      <c r="M469" s="6" t="s">
        <v>22</v>
      </c>
      <c r="N469" s="6" t="s">
        <v>23</v>
      </c>
      <c r="O469" s="6" t="s">
        <v>27</v>
      </c>
      <c r="P469" s="6" t="s">
        <v>28</v>
      </c>
      <c r="Q469" s="22">
        <v>11</v>
      </c>
      <c r="R469" s="23">
        <v>1</v>
      </c>
      <c r="S469" s="39">
        <v>0</v>
      </c>
      <c r="T469" s="7" t="s">
        <v>2910</v>
      </c>
      <c r="U469" s="7"/>
      <c r="V469" s="7" t="str">
        <f>+IF(U469="","",IF(U469="FINES",CONCATENATE("R",IF(OR(B469="16",B469="21",B469="22",B469="23"),"16212223",IF(OR(B469="15",B469="17",B469="24",B469="25"),"15172425",B469))),IF(U469="CEBAS","UNICO",IF(VALUE(B469)&lt;=11,"AMBA","INTERIOR"))))</f>
        <v/>
      </c>
      <c r="W469" s="38" t="str">
        <f>+IF(U469="","-",CONCATENATE(U469,"_",V469))</f>
        <v>-</v>
      </c>
      <c r="X469" s="42">
        <v>0.61599999999999999</v>
      </c>
    </row>
    <row r="470" spans="1:24" ht="15" thickBot="1">
      <c r="A470" s="5" t="s">
        <v>2916</v>
      </c>
      <c r="B470" s="5" t="s">
        <v>1257</v>
      </c>
      <c r="C470" s="5" t="s">
        <v>1255</v>
      </c>
      <c r="D470" s="5" t="s">
        <v>1256</v>
      </c>
      <c r="E470" s="5">
        <v>616789</v>
      </c>
      <c r="F470" s="5">
        <v>0</v>
      </c>
      <c r="G470" s="5" t="s">
        <v>1313</v>
      </c>
      <c r="H470" s="5" t="s">
        <v>210</v>
      </c>
      <c r="I470" s="6" t="s">
        <v>201</v>
      </c>
      <c r="J470" s="6" t="s">
        <v>21</v>
      </c>
      <c r="K470" s="6"/>
      <c r="L470" s="6" t="s">
        <v>1314</v>
      </c>
      <c r="M470" s="6" t="s">
        <v>22</v>
      </c>
      <c r="N470" s="6" t="s">
        <v>23</v>
      </c>
      <c r="O470" s="6" t="s">
        <v>27</v>
      </c>
      <c r="P470" s="6" t="s">
        <v>144</v>
      </c>
      <c r="Q470" s="22">
        <v>92</v>
      </c>
      <c r="R470" s="23">
        <v>5</v>
      </c>
      <c r="S470" s="39">
        <v>0</v>
      </c>
      <c r="T470" s="7" t="s">
        <v>2909</v>
      </c>
      <c r="U470" s="7"/>
      <c r="V470" s="7" t="str">
        <f>+IF(U470="","",IF(U470="FINES",CONCATENATE("R",IF(OR(B470="16",B470="21",B470="22",B470="23"),"16212223",IF(OR(B470="15",B470="17",B470="24",B470="25"),"15172425",B470))),IF(U470="CEBAS","UNICO",IF(VALUE(B470)&lt;=11,"AMBA","INTERIOR"))))</f>
        <v/>
      </c>
      <c r="W470" s="38" t="str">
        <f>+IF(U470="","-",CONCATENATE(U470,"_",V470))</f>
        <v>-</v>
      </c>
      <c r="X470" s="42">
        <v>0.61599999999999999</v>
      </c>
    </row>
    <row r="471" spans="1:24" ht="15" thickBot="1">
      <c r="A471" s="5" t="s">
        <v>2916</v>
      </c>
      <c r="B471" s="5" t="s">
        <v>138</v>
      </c>
      <c r="C471" s="5" t="s">
        <v>436</v>
      </c>
      <c r="D471" s="5" t="s">
        <v>1067</v>
      </c>
      <c r="E471" s="5">
        <v>603026</v>
      </c>
      <c r="F471" s="5">
        <v>0</v>
      </c>
      <c r="G471" s="5" t="s">
        <v>1070</v>
      </c>
      <c r="H471" s="5" t="s">
        <v>20</v>
      </c>
      <c r="I471" s="6" t="s">
        <v>50</v>
      </c>
      <c r="J471" s="6" t="s">
        <v>21</v>
      </c>
      <c r="K471" s="6"/>
      <c r="L471" s="6" t="s">
        <v>545</v>
      </c>
      <c r="M471" s="6" t="s">
        <v>200</v>
      </c>
      <c r="N471" s="6" t="s">
        <v>23</v>
      </c>
      <c r="O471" s="6" t="s">
        <v>27</v>
      </c>
      <c r="P471" s="6" t="s">
        <v>28</v>
      </c>
      <c r="Q471" s="22">
        <v>24</v>
      </c>
      <c r="R471" s="23">
        <v>3</v>
      </c>
      <c r="S471" s="39">
        <v>0</v>
      </c>
      <c r="T471" s="7" t="s">
        <v>2910</v>
      </c>
      <c r="U471" s="7"/>
      <c r="V471" s="7" t="str">
        <f>+IF(U471="","",IF(U471="FINES",CONCATENATE("R",IF(OR(B471="16",B471="21",B471="22",B471="23"),"16212223",IF(OR(B471="15",B471="17",B471="24",B471="25"),"15172425",B471))),IF(U471="CEBAS","UNICO",IF(VALUE(B471)&lt;=11,"AMBA","INTERIOR"))))</f>
        <v/>
      </c>
      <c r="W471" s="38" t="str">
        <f>+IF(U471="","-",CONCATENATE(U471,"_",V471))</f>
        <v>-</v>
      </c>
      <c r="X471" s="42">
        <v>0.62</v>
      </c>
    </row>
    <row r="472" spans="1:24" ht="15" thickBot="1">
      <c r="A472" s="5" t="s">
        <v>2916</v>
      </c>
      <c r="B472" s="5" t="s">
        <v>135</v>
      </c>
      <c r="C472" s="5" t="s">
        <v>727</v>
      </c>
      <c r="D472" s="5" t="s">
        <v>728</v>
      </c>
      <c r="E472" s="5">
        <v>603433</v>
      </c>
      <c r="F472" s="5">
        <v>0</v>
      </c>
      <c r="G472" s="5" t="s">
        <v>729</v>
      </c>
      <c r="H472" s="5" t="s">
        <v>20</v>
      </c>
      <c r="I472" s="6" t="s">
        <v>50</v>
      </c>
      <c r="J472" s="6" t="s">
        <v>21</v>
      </c>
      <c r="K472" s="6"/>
      <c r="L472" s="6" t="s">
        <v>235</v>
      </c>
      <c r="M472" s="6" t="s">
        <v>22</v>
      </c>
      <c r="N472" s="6" t="s">
        <v>23</v>
      </c>
      <c r="O472" s="6" t="s">
        <v>27</v>
      </c>
      <c r="P472" s="6" t="s">
        <v>28</v>
      </c>
      <c r="Q472" s="22">
        <v>15</v>
      </c>
      <c r="R472" s="23">
        <v>1</v>
      </c>
      <c r="S472" s="39">
        <v>0</v>
      </c>
      <c r="T472" s="7" t="s">
        <v>2910</v>
      </c>
      <c r="U472" s="7"/>
      <c r="V472" s="7" t="str">
        <f>+IF(U472="","",IF(U472="FINES",CONCATENATE("R",IF(OR(B472="16",B472="21",B472="22",B472="23"),"16212223",IF(OR(B472="15",B472="17",B472="24",B472="25"),"15172425",B472))),IF(U472="CEBAS","UNICO",IF(VALUE(B472)&lt;=11,"AMBA","INTERIOR"))))</f>
        <v/>
      </c>
      <c r="W472" s="38" t="str">
        <f>+IF(U472="","-",CONCATENATE(U472,"_",V472))</f>
        <v>-</v>
      </c>
      <c r="X472" s="42">
        <v>0.621</v>
      </c>
    </row>
    <row r="473" spans="1:24" ht="15" thickBot="1">
      <c r="A473" s="3" t="s">
        <v>2916</v>
      </c>
      <c r="B473" s="3" t="s">
        <v>1860</v>
      </c>
      <c r="C473" s="3" t="s">
        <v>1858</v>
      </c>
      <c r="D473" s="3" t="s">
        <v>1859</v>
      </c>
      <c r="E473" s="3">
        <v>609621</v>
      </c>
      <c r="F473" s="3">
        <v>3</v>
      </c>
      <c r="G473" s="3" t="s">
        <v>1884</v>
      </c>
      <c r="H473" s="3" t="s">
        <v>20</v>
      </c>
      <c r="I473" s="4" t="s">
        <v>50</v>
      </c>
      <c r="J473" s="4" t="s">
        <v>51</v>
      </c>
      <c r="K473" s="4" t="s">
        <v>1870</v>
      </c>
      <c r="L473" s="4" t="s">
        <v>1885</v>
      </c>
      <c r="M473" s="4" t="s">
        <v>22</v>
      </c>
      <c r="N473" s="4" t="s">
        <v>23</v>
      </c>
      <c r="O473" s="4" t="s">
        <v>27</v>
      </c>
      <c r="P473" s="4" t="s">
        <v>28</v>
      </c>
      <c r="Q473" s="24">
        <v>15</v>
      </c>
      <c r="R473" s="25">
        <v>1</v>
      </c>
      <c r="S473" s="39">
        <v>0</v>
      </c>
      <c r="T473" s="7" t="s">
        <v>2910</v>
      </c>
      <c r="U473" s="7"/>
      <c r="V473" s="7" t="str">
        <f>+IF(U473="","",IF(U473="FINES",CONCATENATE("R",IF(OR(B473="16",B473="21",B473="22",B473="23"),"16212223",IF(OR(B473="15",B473="17",B473="24",B473="25"),"15172425",B473))),IF(U473="CEBAS","UNICO",IF(VALUE(B473)&lt;=11,"AMBA","INTERIOR"))))</f>
        <v/>
      </c>
      <c r="W473" s="38" t="str">
        <f>+IF(U473="","-",CONCATENATE(U473,"_",V473))</f>
        <v>-</v>
      </c>
      <c r="X473" s="42">
        <v>0.622</v>
      </c>
    </row>
    <row r="474" spans="1:24" ht="15" thickBot="1">
      <c r="A474" s="3" t="s">
        <v>2916</v>
      </c>
      <c r="B474" s="3" t="s">
        <v>217</v>
      </c>
      <c r="C474" s="3" t="s">
        <v>2027</v>
      </c>
      <c r="D474" s="3" t="s">
        <v>2028</v>
      </c>
      <c r="E474" s="3">
        <v>601475</v>
      </c>
      <c r="F474" s="3">
        <v>3</v>
      </c>
      <c r="G474" s="3" t="s">
        <v>2032</v>
      </c>
      <c r="H474" s="3" t="s">
        <v>20</v>
      </c>
      <c r="I474" s="4" t="s">
        <v>50</v>
      </c>
      <c r="J474" s="4" t="s">
        <v>51</v>
      </c>
      <c r="K474" s="4" t="s">
        <v>2030</v>
      </c>
      <c r="L474" s="4" t="s">
        <v>778</v>
      </c>
      <c r="M474" s="4" t="s">
        <v>22</v>
      </c>
      <c r="N474" s="4" t="s">
        <v>23</v>
      </c>
      <c r="O474" s="4" t="s">
        <v>27</v>
      </c>
      <c r="P474" s="4" t="s">
        <v>28</v>
      </c>
      <c r="Q474" s="24">
        <v>43</v>
      </c>
      <c r="R474" s="25">
        <v>4</v>
      </c>
      <c r="S474" s="39">
        <v>0</v>
      </c>
      <c r="T474" s="7" t="s">
        <v>2910</v>
      </c>
      <c r="U474" s="7"/>
      <c r="V474" s="7" t="str">
        <f>+IF(U474="","",IF(U474="FINES",CONCATENATE("R",IF(OR(B474="16",B474="21",B474="22",B474="23"),"16212223",IF(OR(B474="15",B474="17",B474="24",B474="25"),"15172425",B474))),IF(U474="CEBAS","UNICO",IF(VALUE(B474)&lt;=11,"AMBA","INTERIOR"))))</f>
        <v/>
      </c>
      <c r="W474" s="38" t="str">
        <f>+IF(U474="","-",CONCATENATE(U474,"_",V474))</f>
        <v>-</v>
      </c>
      <c r="X474" s="42">
        <v>0.624</v>
      </c>
    </row>
    <row r="475" spans="1:24" ht="15" thickBot="1">
      <c r="A475" s="5" t="s">
        <v>2916</v>
      </c>
      <c r="B475" s="5" t="s">
        <v>220</v>
      </c>
      <c r="C475" s="5" t="s">
        <v>726</v>
      </c>
      <c r="D475" s="5" t="s">
        <v>2434</v>
      </c>
      <c r="E475" s="5">
        <v>616865</v>
      </c>
      <c r="F475" s="5">
        <v>0</v>
      </c>
      <c r="G475" s="5" t="s">
        <v>2440</v>
      </c>
      <c r="H475" s="5" t="s">
        <v>20</v>
      </c>
      <c r="I475" s="6" t="s">
        <v>50</v>
      </c>
      <c r="J475" s="6" t="s">
        <v>21</v>
      </c>
      <c r="K475" s="6"/>
      <c r="L475" s="6" t="s">
        <v>1226</v>
      </c>
      <c r="M475" s="6" t="s">
        <v>22</v>
      </c>
      <c r="N475" s="6" t="s">
        <v>23</v>
      </c>
      <c r="O475" s="6" t="s">
        <v>27</v>
      </c>
      <c r="P475" s="6" t="s">
        <v>28</v>
      </c>
      <c r="Q475" s="22">
        <v>11</v>
      </c>
      <c r="R475" s="23">
        <v>1</v>
      </c>
      <c r="S475" s="39">
        <v>0</v>
      </c>
      <c r="T475" s="7" t="s">
        <v>2910</v>
      </c>
      <c r="U475" s="7"/>
      <c r="V475" s="7" t="str">
        <f>+IF(U475="","",IF(U475="FINES",CONCATENATE("R",IF(OR(B475="16",B475="21",B475="22",B475="23"),"16212223",IF(OR(B475="15",B475="17",B475="24",B475="25"),"15172425",B475))),IF(U475="CEBAS","UNICO",IF(VALUE(B475)&lt;=11,"AMBA","INTERIOR"))))</f>
        <v/>
      </c>
      <c r="W475" s="38" t="str">
        <f>+IF(U475="","-",CONCATENATE(U475,"_",V475))</f>
        <v>-</v>
      </c>
      <c r="X475" s="42">
        <v>0.625</v>
      </c>
    </row>
    <row r="476" spans="1:24" ht="15" thickBot="1">
      <c r="A476" s="3" t="s">
        <v>2916</v>
      </c>
      <c r="B476" s="3" t="s">
        <v>1532</v>
      </c>
      <c r="C476" s="3" t="s">
        <v>1530</v>
      </c>
      <c r="D476" s="3" t="s">
        <v>1531</v>
      </c>
      <c r="E476" s="3">
        <v>612436</v>
      </c>
      <c r="F476" s="3">
        <v>2</v>
      </c>
      <c r="G476" s="3" t="s">
        <v>1580</v>
      </c>
      <c r="H476" s="3" t="s">
        <v>20</v>
      </c>
      <c r="I476" s="4" t="s">
        <v>50</v>
      </c>
      <c r="J476" s="4" t="s">
        <v>51</v>
      </c>
      <c r="K476" s="4" t="s">
        <v>1566</v>
      </c>
      <c r="L476" s="4" t="s">
        <v>1581</v>
      </c>
      <c r="M476" s="4" t="s">
        <v>22</v>
      </c>
      <c r="N476" s="4" t="s">
        <v>23</v>
      </c>
      <c r="O476" s="4" t="s">
        <v>27</v>
      </c>
      <c r="P476" s="4" t="s">
        <v>28</v>
      </c>
      <c r="Q476" s="24">
        <v>24</v>
      </c>
      <c r="R476" s="25">
        <v>1</v>
      </c>
      <c r="S476" s="39">
        <v>0</v>
      </c>
      <c r="T476" s="7" t="s">
        <v>2910</v>
      </c>
      <c r="U476" s="7"/>
      <c r="V476" s="7" t="str">
        <f>+IF(U476="","",IF(U476="FINES",CONCATENATE("R",IF(OR(B476="16",B476="21",B476="22",B476="23"),"16212223",IF(OR(B476="15",B476="17",B476="24",B476="25"),"15172425",B476))),IF(U476="CEBAS","UNICO",IF(VALUE(B476)&lt;=11,"AMBA","INTERIOR"))))</f>
        <v/>
      </c>
      <c r="W476" s="38" t="str">
        <f>+IF(U476="","-",CONCATENATE(U476,"_",V476))</f>
        <v>-</v>
      </c>
      <c r="X476" s="42">
        <v>0.625</v>
      </c>
    </row>
    <row r="477" spans="1:24" ht="15" thickBot="1">
      <c r="A477" s="3" t="s">
        <v>2916</v>
      </c>
      <c r="B477" s="3" t="s">
        <v>356</v>
      </c>
      <c r="C477" s="3" t="s">
        <v>353</v>
      </c>
      <c r="D477" s="3" t="s">
        <v>355</v>
      </c>
      <c r="E477" s="3">
        <v>602025</v>
      </c>
      <c r="F477" s="3">
        <v>1</v>
      </c>
      <c r="G477" s="3" t="s">
        <v>370</v>
      </c>
      <c r="H477" s="3" t="s">
        <v>20</v>
      </c>
      <c r="I477" s="4" t="s">
        <v>50</v>
      </c>
      <c r="J477" s="4" t="s">
        <v>51</v>
      </c>
      <c r="K477" s="4" t="s">
        <v>371</v>
      </c>
      <c r="L477" s="4" t="s">
        <v>372</v>
      </c>
      <c r="M477" s="4" t="s">
        <v>22</v>
      </c>
      <c r="N477" s="4" t="s">
        <v>23</v>
      </c>
      <c r="O477" s="4" t="s">
        <v>27</v>
      </c>
      <c r="P477" s="4" t="s">
        <v>28</v>
      </c>
      <c r="Q477" s="24">
        <v>41</v>
      </c>
      <c r="R477" s="25">
        <v>4</v>
      </c>
      <c r="S477" s="39">
        <v>0</v>
      </c>
      <c r="T477" s="7" t="s">
        <v>2910</v>
      </c>
      <c r="U477" s="7"/>
      <c r="V477" s="7" t="str">
        <f>+IF(U477="","",IF(U477="FINES",CONCATENATE("R",IF(OR(B477="16",B477="21",B477="22",B477="23"),"16212223",IF(OR(B477="15",B477="17",B477="24",B477="25"),"15172425",B477))),IF(U477="CEBAS","UNICO",IF(VALUE(B477)&lt;=11,"AMBA","INTERIOR"))))</f>
        <v/>
      </c>
      <c r="W477" s="38" t="str">
        <f>+IF(U477="","-",CONCATENATE(U477,"_",V477))</f>
        <v>-</v>
      </c>
      <c r="X477" s="42">
        <v>0.628</v>
      </c>
    </row>
    <row r="478" spans="1:24" ht="15" thickBot="1">
      <c r="A478" s="3" t="s">
        <v>2916</v>
      </c>
      <c r="B478" s="3" t="s">
        <v>140</v>
      </c>
      <c r="C478" s="3" t="s">
        <v>2322</v>
      </c>
      <c r="D478" s="3" t="s">
        <v>2323</v>
      </c>
      <c r="E478" s="3">
        <v>605723</v>
      </c>
      <c r="F478" s="3">
        <v>0</v>
      </c>
      <c r="G478" s="3" t="s">
        <v>2325</v>
      </c>
      <c r="H478" s="3" t="s">
        <v>20</v>
      </c>
      <c r="I478" s="4" t="s">
        <v>50</v>
      </c>
      <c r="J478" s="4" t="s">
        <v>21</v>
      </c>
      <c r="K478" s="4"/>
      <c r="L478" s="4" t="s">
        <v>545</v>
      </c>
      <c r="M478" s="4" t="s">
        <v>22</v>
      </c>
      <c r="N478" s="4" t="s">
        <v>23</v>
      </c>
      <c r="O478" s="4" t="s">
        <v>27</v>
      </c>
      <c r="P478" s="4" t="s">
        <v>28</v>
      </c>
      <c r="Q478" s="24">
        <v>30</v>
      </c>
      <c r="R478" s="25">
        <v>2</v>
      </c>
      <c r="S478" s="39">
        <v>0</v>
      </c>
      <c r="T478" s="7" t="s">
        <v>2910</v>
      </c>
      <c r="U478" s="7"/>
      <c r="V478" s="7" t="str">
        <f>+IF(U478="","",IF(U478="FINES",CONCATENATE("R",IF(OR(B478="16",B478="21",B478="22",B478="23"),"16212223",IF(OR(B478="15",B478="17",B478="24",B478="25"),"15172425",B478))),IF(U478="CEBAS","UNICO",IF(VALUE(B478)&lt;=11,"AMBA","INTERIOR"))))</f>
        <v/>
      </c>
      <c r="W478" s="38" t="str">
        <f>+IF(U478="","-",CONCATENATE(U478,"_",V478))</f>
        <v>-</v>
      </c>
      <c r="X478" s="42">
        <v>0.629</v>
      </c>
    </row>
    <row r="479" spans="1:24" ht="15" thickBot="1">
      <c r="A479" s="5" t="s">
        <v>2916</v>
      </c>
      <c r="B479" s="5" t="s">
        <v>223</v>
      </c>
      <c r="C479" s="5" t="s">
        <v>2184</v>
      </c>
      <c r="D479" s="5" t="s">
        <v>2185</v>
      </c>
      <c r="E479" s="5">
        <v>603998</v>
      </c>
      <c r="F479" s="5">
        <v>0</v>
      </c>
      <c r="G479" s="5" t="s">
        <v>2186</v>
      </c>
      <c r="H479" s="5" t="s">
        <v>20</v>
      </c>
      <c r="I479" s="6" t="s">
        <v>50</v>
      </c>
      <c r="J479" s="6" t="s">
        <v>21</v>
      </c>
      <c r="K479" s="6"/>
      <c r="L479" s="6" t="s">
        <v>2187</v>
      </c>
      <c r="M479" s="6" t="s">
        <v>22</v>
      </c>
      <c r="N479" s="6" t="s">
        <v>23</v>
      </c>
      <c r="O479" s="6" t="s">
        <v>27</v>
      </c>
      <c r="P479" s="6" t="s">
        <v>28</v>
      </c>
      <c r="Q479" s="22">
        <v>2</v>
      </c>
      <c r="R479" s="23">
        <v>1</v>
      </c>
      <c r="S479" s="39">
        <v>0</v>
      </c>
      <c r="T479" s="7" t="s">
        <v>2910</v>
      </c>
      <c r="U479" s="7"/>
      <c r="V479" s="7" t="str">
        <f>+IF(U479="","",IF(U479="FINES",CONCATENATE("R",IF(OR(B479="16",B479="21",B479="22",B479="23"),"16212223",IF(OR(B479="15",B479="17",B479="24",B479="25"),"15172425",B479))),IF(U479="CEBAS","UNICO",IF(VALUE(B479)&lt;=11,"AMBA","INTERIOR"))))</f>
        <v/>
      </c>
      <c r="W479" s="38" t="str">
        <f>+IF(U479="","-",CONCATENATE(U479,"_",V479))</f>
        <v>-</v>
      </c>
      <c r="X479" s="42">
        <v>0.63200000000000001</v>
      </c>
    </row>
    <row r="480" spans="1:24" ht="15" thickBot="1">
      <c r="A480" s="5" t="s">
        <v>2916</v>
      </c>
      <c r="B480" s="5" t="s">
        <v>19</v>
      </c>
      <c r="C480" s="5" t="s">
        <v>1480</v>
      </c>
      <c r="D480" s="5" t="s">
        <v>1481</v>
      </c>
      <c r="E480" s="5">
        <v>601069</v>
      </c>
      <c r="F480" s="5">
        <v>2</v>
      </c>
      <c r="G480" s="5" t="s">
        <v>1484</v>
      </c>
      <c r="H480" s="5" t="s">
        <v>20</v>
      </c>
      <c r="I480" s="6" t="s">
        <v>50</v>
      </c>
      <c r="J480" s="6" t="s">
        <v>51</v>
      </c>
      <c r="K480" s="6" t="s">
        <v>1483</v>
      </c>
      <c r="L480" s="6" t="s">
        <v>754</v>
      </c>
      <c r="M480" s="6" t="s">
        <v>22</v>
      </c>
      <c r="N480" s="6" t="s">
        <v>23</v>
      </c>
      <c r="O480" s="6" t="s">
        <v>27</v>
      </c>
      <c r="P480" s="6" t="s">
        <v>28</v>
      </c>
      <c r="Q480" s="22">
        <v>33</v>
      </c>
      <c r="R480" s="23">
        <v>2</v>
      </c>
      <c r="S480" s="39">
        <v>0</v>
      </c>
      <c r="T480" s="7" t="s">
        <v>2910</v>
      </c>
      <c r="U480" s="7"/>
      <c r="V480" s="7" t="str">
        <f>+IF(U480="","",IF(U480="FINES",CONCATENATE("R",IF(OR(B480="16",B480="21",B480="22",B480="23"),"16212223",IF(OR(B480="15",B480="17",B480="24",B480="25"),"15172425",B480))),IF(U480="CEBAS","UNICO",IF(VALUE(B480)&lt;=11,"AMBA","INTERIOR"))))</f>
        <v/>
      </c>
      <c r="W480" s="38" t="str">
        <f>+IF(U480="","-",CONCATENATE(U480,"_",V480))</f>
        <v>-</v>
      </c>
      <c r="X480" s="42">
        <v>0.63300000000000001</v>
      </c>
    </row>
    <row r="481" spans="1:24" ht="15" thickBot="1">
      <c r="A481" s="3" t="s">
        <v>2916</v>
      </c>
      <c r="B481" s="3" t="s">
        <v>225</v>
      </c>
      <c r="C481" s="3" t="s">
        <v>942</v>
      </c>
      <c r="D481" s="3" t="s">
        <v>943</v>
      </c>
      <c r="E481" s="3">
        <v>603165</v>
      </c>
      <c r="F481" s="3">
        <v>3</v>
      </c>
      <c r="G481" s="3" t="s">
        <v>983</v>
      </c>
      <c r="H481" s="3" t="s">
        <v>20</v>
      </c>
      <c r="I481" s="4" t="s">
        <v>50</v>
      </c>
      <c r="J481" s="4" t="s">
        <v>51</v>
      </c>
      <c r="K481" s="4" t="s">
        <v>971</v>
      </c>
      <c r="L481" s="4" t="s">
        <v>840</v>
      </c>
      <c r="M481" s="4" t="s">
        <v>22</v>
      </c>
      <c r="N481" s="4" t="s">
        <v>23</v>
      </c>
      <c r="O481" s="4" t="s">
        <v>27</v>
      </c>
      <c r="P481" s="4" t="s">
        <v>28</v>
      </c>
      <c r="Q481" s="24">
        <v>14</v>
      </c>
      <c r="R481" s="25">
        <v>2</v>
      </c>
      <c r="S481" s="39">
        <v>0</v>
      </c>
      <c r="T481" s="7" t="s">
        <v>2910</v>
      </c>
      <c r="U481" s="7"/>
      <c r="V481" s="7" t="str">
        <f>+IF(U481="","",IF(U481="FINES",CONCATENATE("R",IF(OR(B481="16",B481="21",B481="22",B481="23"),"16212223",IF(OR(B481="15",B481="17",B481="24",B481="25"),"15172425",B481))),IF(U481="CEBAS","UNICO",IF(VALUE(B481)&lt;=11,"AMBA","INTERIOR"))))</f>
        <v/>
      </c>
      <c r="W481" s="38" t="str">
        <f>+IF(U481="","-",CONCATENATE(U481,"_",V481))</f>
        <v>-</v>
      </c>
      <c r="X481" s="42">
        <v>0.63400000000000001</v>
      </c>
    </row>
    <row r="482" spans="1:24" ht="15" thickBot="1">
      <c r="A482" s="3" t="s">
        <v>2916</v>
      </c>
      <c r="B482" s="3" t="s">
        <v>203</v>
      </c>
      <c r="C482" s="3" t="s">
        <v>450</v>
      </c>
      <c r="D482" s="3" t="s">
        <v>452</v>
      </c>
      <c r="E482" s="3">
        <v>602486</v>
      </c>
      <c r="F482" s="3">
        <v>0</v>
      </c>
      <c r="G482" s="3" t="s">
        <v>454</v>
      </c>
      <c r="H482" s="3" t="s">
        <v>20</v>
      </c>
      <c r="I482" s="4" t="s">
        <v>50</v>
      </c>
      <c r="J482" s="4" t="s">
        <v>21</v>
      </c>
      <c r="K482" s="4"/>
      <c r="L482" s="4" t="s">
        <v>481</v>
      </c>
      <c r="M482" s="4" t="s">
        <v>22</v>
      </c>
      <c r="N482" s="4" t="s">
        <v>23</v>
      </c>
      <c r="O482" s="4" t="s">
        <v>27</v>
      </c>
      <c r="P482" s="4" t="s">
        <v>28</v>
      </c>
      <c r="Q482" s="24">
        <v>47</v>
      </c>
      <c r="R482" s="25">
        <v>3</v>
      </c>
      <c r="S482" s="39">
        <v>0</v>
      </c>
      <c r="T482" s="7" t="s">
        <v>2910</v>
      </c>
      <c r="U482" s="7"/>
      <c r="V482" s="7" t="str">
        <f>+IF(U482="","",IF(U482="FINES",CONCATENATE("R",IF(OR(B482="16",B482="21",B482="22",B482="23"),"16212223",IF(OR(B482="15",B482="17",B482="24",B482="25"),"15172425",B482))),IF(U482="CEBAS","UNICO",IF(VALUE(B482)&lt;=11,"AMBA","INTERIOR"))))</f>
        <v/>
      </c>
      <c r="W482" s="38" t="str">
        <f>+IF(U482="","-",CONCATENATE(U482,"_",V482))</f>
        <v>-</v>
      </c>
      <c r="X482" s="42">
        <v>0.64500000000000002</v>
      </c>
    </row>
    <row r="483" spans="1:24" ht="15" thickBot="1">
      <c r="A483" s="3" t="s">
        <v>2916</v>
      </c>
      <c r="B483" s="3" t="s">
        <v>205</v>
      </c>
      <c r="C483" s="3" t="s">
        <v>243</v>
      </c>
      <c r="D483" s="3" t="s">
        <v>245</v>
      </c>
      <c r="E483" s="3">
        <v>613276</v>
      </c>
      <c r="F483" s="3">
        <v>0</v>
      </c>
      <c r="G483" s="3" t="s">
        <v>246</v>
      </c>
      <c r="H483" s="3" t="s">
        <v>20</v>
      </c>
      <c r="I483" s="4" t="s">
        <v>25</v>
      </c>
      <c r="J483" s="4" t="s">
        <v>21</v>
      </c>
      <c r="K483" s="4"/>
      <c r="L483" s="4" t="s">
        <v>247</v>
      </c>
      <c r="M483" s="4" t="s">
        <v>200</v>
      </c>
      <c r="N483" s="4" t="s">
        <v>23</v>
      </c>
      <c r="O483" s="4" t="s">
        <v>27</v>
      </c>
      <c r="P483" s="4" t="s">
        <v>28</v>
      </c>
      <c r="Q483" s="24">
        <v>5</v>
      </c>
      <c r="R483" s="25">
        <v>1</v>
      </c>
      <c r="S483" s="39">
        <v>0</v>
      </c>
      <c r="T483" s="7" t="s">
        <v>2910</v>
      </c>
      <c r="U483" s="7"/>
      <c r="V483" s="7" t="str">
        <f>+IF(U483="","",IF(U483="FINES",CONCATENATE("R",IF(OR(B483="16",B483="21",B483="22",B483="23"),"16212223",IF(OR(B483="15",B483="17",B483="24",B483="25"),"15172425",B483))),IF(U483="CEBAS","UNICO",IF(VALUE(B483)&lt;=11,"AMBA","INTERIOR"))))</f>
        <v/>
      </c>
      <c r="W483" s="38" t="str">
        <f>+IF(U483="","-",CONCATENATE(U483,"_",V483))</f>
        <v>-</v>
      </c>
      <c r="X483" s="42">
        <v>0.64800000000000002</v>
      </c>
    </row>
    <row r="484" spans="1:24" ht="15" thickBot="1">
      <c r="A484" s="5" t="s">
        <v>2916</v>
      </c>
      <c r="B484" s="5" t="s">
        <v>204</v>
      </c>
      <c r="C484" s="5" t="s">
        <v>1084</v>
      </c>
      <c r="D484" s="5" t="s">
        <v>1085</v>
      </c>
      <c r="E484" s="5">
        <v>614367</v>
      </c>
      <c r="F484" s="5">
        <v>0</v>
      </c>
      <c r="G484" s="5" t="s">
        <v>1086</v>
      </c>
      <c r="H484" s="5" t="s">
        <v>20</v>
      </c>
      <c r="I484" s="6" t="s">
        <v>25</v>
      </c>
      <c r="J484" s="6" t="s">
        <v>21</v>
      </c>
      <c r="K484" s="6"/>
      <c r="L484" s="6" t="s">
        <v>1087</v>
      </c>
      <c r="M484" s="6" t="s">
        <v>22</v>
      </c>
      <c r="N484" s="6" t="s">
        <v>134</v>
      </c>
      <c r="O484" s="6" t="s">
        <v>27</v>
      </c>
      <c r="P484" s="6" t="s">
        <v>28</v>
      </c>
      <c r="Q484" s="22">
        <v>15</v>
      </c>
      <c r="R484" s="23">
        <v>1</v>
      </c>
      <c r="S484" s="39">
        <v>0</v>
      </c>
      <c r="T484" s="7" t="s">
        <v>2910</v>
      </c>
      <c r="U484" s="7"/>
      <c r="V484" s="7" t="str">
        <f>+IF(U484="","",IF(U484="FINES",CONCATENATE("R",IF(OR(B484="16",B484="21",B484="22",B484="23"),"16212223",IF(OR(B484="15",B484="17",B484="24",B484="25"),"15172425",B484))),IF(U484="CEBAS","UNICO",IF(VALUE(B484)&lt;=11,"AMBA","INTERIOR"))))</f>
        <v/>
      </c>
      <c r="W484" s="38" t="str">
        <f>+IF(U484="","-",CONCATENATE(U484,"_",V484))</f>
        <v>-</v>
      </c>
      <c r="X484" s="42">
        <v>0.64900000000000002</v>
      </c>
    </row>
    <row r="485" spans="1:24" ht="15" thickBot="1">
      <c r="A485" s="3" t="s">
        <v>2916</v>
      </c>
      <c r="B485" s="3" t="s">
        <v>1532</v>
      </c>
      <c r="C485" s="3" t="s">
        <v>1530</v>
      </c>
      <c r="D485" s="3" t="s">
        <v>1531</v>
      </c>
      <c r="E485" s="3">
        <v>611493</v>
      </c>
      <c r="F485" s="3">
        <v>2</v>
      </c>
      <c r="G485" s="3" t="s">
        <v>1610</v>
      </c>
      <c r="H485" s="3" t="s">
        <v>20</v>
      </c>
      <c r="I485" s="4" t="s">
        <v>50</v>
      </c>
      <c r="J485" s="4" t="s">
        <v>51</v>
      </c>
      <c r="K485" s="4" t="s">
        <v>1578</v>
      </c>
      <c r="L485" s="4" t="s">
        <v>1611</v>
      </c>
      <c r="M485" s="4" t="s">
        <v>22</v>
      </c>
      <c r="N485" s="4" t="s">
        <v>134</v>
      </c>
      <c r="O485" s="4" t="s">
        <v>27</v>
      </c>
      <c r="P485" s="4" t="s">
        <v>28</v>
      </c>
      <c r="Q485" s="24">
        <v>24</v>
      </c>
      <c r="R485" s="25">
        <v>2</v>
      </c>
      <c r="S485" s="39">
        <v>0</v>
      </c>
      <c r="T485" s="7" t="s">
        <v>2910</v>
      </c>
      <c r="U485" s="7"/>
      <c r="V485" s="7" t="str">
        <f>+IF(U485="","",IF(U485="FINES",CONCATENATE("R",IF(OR(B485="16",B485="21",B485="22",B485="23"),"16212223",IF(OR(B485="15",B485="17",B485="24",B485="25"),"15172425",B485))),IF(U485="CEBAS","UNICO",IF(VALUE(B485)&lt;=11,"AMBA","INTERIOR"))))</f>
        <v/>
      </c>
      <c r="W485" s="38" t="str">
        <f>+IF(U485="","-",CONCATENATE(U485,"_",V485))</f>
        <v>-</v>
      </c>
      <c r="X485" s="42">
        <v>0.65200000000000002</v>
      </c>
    </row>
    <row r="486" spans="1:24" ht="15" thickBot="1">
      <c r="A486" s="3" t="s">
        <v>2916</v>
      </c>
      <c r="B486" s="3" t="s">
        <v>222</v>
      </c>
      <c r="C486" s="3" t="s">
        <v>807</v>
      </c>
      <c r="D486" s="3" t="s">
        <v>808</v>
      </c>
      <c r="E486" s="3">
        <v>601606</v>
      </c>
      <c r="F486" s="3">
        <v>0</v>
      </c>
      <c r="G486" s="3" t="s">
        <v>809</v>
      </c>
      <c r="H486" s="3" t="s">
        <v>20</v>
      </c>
      <c r="I486" s="4" t="s">
        <v>50</v>
      </c>
      <c r="J486" s="4" t="s">
        <v>21</v>
      </c>
      <c r="K486" s="4"/>
      <c r="L486" s="4" t="s">
        <v>810</v>
      </c>
      <c r="M486" s="4" t="s">
        <v>22</v>
      </c>
      <c r="N486" s="4" t="s">
        <v>23</v>
      </c>
      <c r="O486" s="4" t="s">
        <v>27</v>
      </c>
      <c r="P486" s="4" t="s">
        <v>28</v>
      </c>
      <c r="Q486" s="24">
        <v>10</v>
      </c>
      <c r="R486" s="25">
        <v>1</v>
      </c>
      <c r="S486" s="39">
        <v>0</v>
      </c>
      <c r="T486" s="7" t="s">
        <v>2910</v>
      </c>
      <c r="U486" s="7"/>
      <c r="V486" s="7" t="str">
        <f>+IF(U486="","",IF(U486="FINES",CONCATENATE("R",IF(OR(B486="16",B486="21",B486="22",B486="23"),"16212223",IF(OR(B486="15",B486="17",B486="24",B486="25"),"15172425",B486))),IF(U486="CEBAS","UNICO",IF(VALUE(B486)&lt;=11,"AMBA","INTERIOR"))))</f>
        <v/>
      </c>
      <c r="W486" s="38" t="str">
        <f>+IF(U486="","-",CONCATENATE(U486,"_",V486))</f>
        <v>-</v>
      </c>
      <c r="X486" s="42">
        <v>0.65400000000000003</v>
      </c>
    </row>
    <row r="487" spans="1:24" ht="15" thickBot="1">
      <c r="A487" s="3" t="s">
        <v>2916</v>
      </c>
      <c r="B487" s="3" t="s">
        <v>1780</v>
      </c>
      <c r="C487" s="3" t="s">
        <v>1248</v>
      </c>
      <c r="D487" s="3" t="s">
        <v>2348</v>
      </c>
      <c r="E487" s="3">
        <v>604232</v>
      </c>
      <c r="F487" s="3">
        <v>0</v>
      </c>
      <c r="G487" s="3" t="s">
        <v>2362</v>
      </c>
      <c r="H487" s="3" t="s">
        <v>20</v>
      </c>
      <c r="I487" s="4" t="s">
        <v>50</v>
      </c>
      <c r="J487" s="4" t="s">
        <v>21</v>
      </c>
      <c r="K487" s="4"/>
      <c r="L487" s="4" t="s">
        <v>2363</v>
      </c>
      <c r="M487" s="4" t="s">
        <v>22</v>
      </c>
      <c r="N487" s="4" t="s">
        <v>23</v>
      </c>
      <c r="O487" s="4" t="s">
        <v>27</v>
      </c>
      <c r="P487" s="4" t="s">
        <v>28</v>
      </c>
      <c r="Q487" s="24">
        <v>38</v>
      </c>
      <c r="R487" s="25">
        <v>4</v>
      </c>
      <c r="S487" s="39">
        <v>0</v>
      </c>
      <c r="T487" s="7" t="s">
        <v>2910</v>
      </c>
      <c r="U487" s="7"/>
      <c r="V487" s="7" t="str">
        <f>+IF(U487="","",IF(U487="FINES",CONCATENATE("R",IF(OR(B487="16",B487="21",B487="22",B487="23"),"16212223",IF(OR(B487="15",B487="17",B487="24",B487="25"),"15172425",B487))),IF(U487="CEBAS","UNICO",IF(VALUE(B487)&lt;=11,"AMBA","INTERIOR"))))</f>
        <v/>
      </c>
      <c r="W487" s="38" t="str">
        <f>+IF(U487="","-",CONCATENATE(U487,"_",V487))</f>
        <v>-</v>
      </c>
      <c r="X487" s="42">
        <v>0.65400000000000003</v>
      </c>
    </row>
    <row r="488" spans="1:24" ht="15" thickBot="1">
      <c r="A488" s="5" t="s">
        <v>2916</v>
      </c>
      <c r="B488" s="5" t="s">
        <v>203</v>
      </c>
      <c r="C488" s="5" t="s">
        <v>590</v>
      </c>
      <c r="D488" s="5" t="s">
        <v>2553</v>
      </c>
      <c r="E488" s="5">
        <v>601792</v>
      </c>
      <c r="F488" s="5">
        <v>2</v>
      </c>
      <c r="G488" s="5" t="s">
        <v>2558</v>
      </c>
      <c r="H488" s="5" t="s">
        <v>20</v>
      </c>
      <c r="I488" s="6" t="s">
        <v>50</v>
      </c>
      <c r="J488" s="6" t="s">
        <v>51</v>
      </c>
      <c r="K488" s="6" t="s">
        <v>2555</v>
      </c>
      <c r="L488" s="6" t="s">
        <v>526</v>
      </c>
      <c r="M488" s="6" t="s">
        <v>22</v>
      </c>
      <c r="N488" s="6" t="s">
        <v>23</v>
      </c>
      <c r="O488" s="6" t="s">
        <v>27</v>
      </c>
      <c r="P488" s="6" t="s">
        <v>28</v>
      </c>
      <c r="Q488" s="22">
        <v>13</v>
      </c>
      <c r="R488" s="23">
        <v>1</v>
      </c>
      <c r="S488" s="39">
        <v>0</v>
      </c>
      <c r="T488" s="7" t="s">
        <v>2910</v>
      </c>
      <c r="U488" s="7"/>
      <c r="V488" s="7" t="str">
        <f>+IF(U488="","",IF(U488="FINES",CONCATENATE("R",IF(OR(B488="16",B488="21",B488="22",B488="23"),"16212223",IF(OR(B488="15",B488="17",B488="24",B488="25"),"15172425",B488))),IF(U488="CEBAS","UNICO",IF(VALUE(B488)&lt;=11,"AMBA","INTERIOR"))))</f>
        <v/>
      </c>
      <c r="W488" s="38" t="str">
        <f>+IF(U488="","-",CONCATENATE(U488,"_",V488))</f>
        <v>-</v>
      </c>
      <c r="X488" s="42">
        <v>0.65800000000000003</v>
      </c>
    </row>
    <row r="489" spans="1:24" ht="15" thickBot="1">
      <c r="A489" s="3" t="s">
        <v>2916</v>
      </c>
      <c r="B489" s="3" t="s">
        <v>19</v>
      </c>
      <c r="C489" s="3" t="s">
        <v>17</v>
      </c>
      <c r="D489" s="3" t="s">
        <v>18</v>
      </c>
      <c r="E489" s="3">
        <v>611389</v>
      </c>
      <c r="F489" s="3">
        <v>2</v>
      </c>
      <c r="G489" s="3" t="s">
        <v>99</v>
      </c>
      <c r="H489" s="3" t="s">
        <v>20</v>
      </c>
      <c r="I489" s="4" t="s">
        <v>50</v>
      </c>
      <c r="J489" s="4" t="s">
        <v>51</v>
      </c>
      <c r="K489" s="4" t="s">
        <v>62</v>
      </c>
      <c r="L489" s="4" t="s">
        <v>100</v>
      </c>
      <c r="M489" s="4" t="s">
        <v>22</v>
      </c>
      <c r="N489" s="4" t="s">
        <v>23</v>
      </c>
      <c r="O489" s="4" t="s">
        <v>27</v>
      </c>
      <c r="P489" s="4" t="s">
        <v>28</v>
      </c>
      <c r="Q489" s="24">
        <v>62</v>
      </c>
      <c r="R489" s="25">
        <v>3</v>
      </c>
      <c r="S489" s="39">
        <v>0</v>
      </c>
      <c r="T489" s="7" t="s">
        <v>2910</v>
      </c>
      <c r="U489" s="7"/>
      <c r="V489" s="7" t="str">
        <f>+IF(U489="","",IF(U489="FINES",CONCATENATE("R",IF(OR(B489="16",B489="21",B489="22",B489="23"),"16212223",IF(OR(B489="15",B489="17",B489="24",B489="25"),"15172425",B489))),IF(U489="CEBAS","UNICO",IF(VALUE(B489)&lt;=11,"AMBA","INTERIOR"))))</f>
        <v/>
      </c>
      <c r="W489" s="38" t="str">
        <f>+IF(U489="","-",CONCATENATE(U489,"_",V489))</f>
        <v>-</v>
      </c>
      <c r="X489" s="42">
        <v>0.65800000000000003</v>
      </c>
    </row>
    <row r="490" spans="1:24" ht="15" thickBot="1">
      <c r="A490" s="3" t="s">
        <v>2916</v>
      </c>
      <c r="B490" s="3" t="s">
        <v>352</v>
      </c>
      <c r="C490" s="3" t="s">
        <v>521</v>
      </c>
      <c r="D490" s="3" t="s">
        <v>523</v>
      </c>
      <c r="E490" s="3">
        <v>606175</v>
      </c>
      <c r="F490" s="3">
        <v>2</v>
      </c>
      <c r="G490" s="3" t="s">
        <v>531</v>
      </c>
      <c r="H490" s="3" t="s">
        <v>20</v>
      </c>
      <c r="I490" s="4" t="s">
        <v>50</v>
      </c>
      <c r="J490" s="4" t="s">
        <v>51</v>
      </c>
      <c r="K490" s="4" t="s">
        <v>532</v>
      </c>
      <c r="L490" s="4" t="s">
        <v>533</v>
      </c>
      <c r="M490" s="4" t="s">
        <v>22</v>
      </c>
      <c r="N490" s="4" t="s">
        <v>23</v>
      </c>
      <c r="O490" s="4" t="s">
        <v>27</v>
      </c>
      <c r="P490" s="4" t="s">
        <v>28</v>
      </c>
      <c r="Q490" s="24">
        <v>18</v>
      </c>
      <c r="R490" s="25">
        <v>1</v>
      </c>
      <c r="S490" s="39">
        <v>0</v>
      </c>
      <c r="T490" s="7" t="s">
        <v>2910</v>
      </c>
      <c r="U490" s="7"/>
      <c r="V490" s="7" t="str">
        <f>+IF(U490="","",IF(U490="FINES",CONCATENATE("R",IF(OR(B490="16",B490="21",B490="22",B490="23"),"16212223",IF(OR(B490="15",B490="17",B490="24",B490="25"),"15172425",B490))),IF(U490="CEBAS","UNICO",IF(VALUE(B490)&lt;=11,"AMBA","INTERIOR"))))</f>
        <v/>
      </c>
      <c r="W490" s="38" t="str">
        <f>+IF(U490="","-",CONCATENATE(U490,"_",V490))</f>
        <v>-</v>
      </c>
      <c r="X490" s="42">
        <v>0.65900000000000003</v>
      </c>
    </row>
    <row r="491" spans="1:24" ht="15" thickBot="1">
      <c r="A491" s="3" t="s">
        <v>2916</v>
      </c>
      <c r="B491" s="3" t="s">
        <v>204</v>
      </c>
      <c r="C491" s="3" t="s">
        <v>1084</v>
      </c>
      <c r="D491" s="3" t="s">
        <v>1085</v>
      </c>
      <c r="E491" s="3">
        <v>612517</v>
      </c>
      <c r="F491" s="3">
        <v>2</v>
      </c>
      <c r="G491" s="3" t="s">
        <v>1100</v>
      </c>
      <c r="H491" s="3" t="s">
        <v>20</v>
      </c>
      <c r="I491" s="4" t="s">
        <v>50</v>
      </c>
      <c r="J491" s="4" t="s">
        <v>51</v>
      </c>
      <c r="K491" s="4" t="s">
        <v>1099</v>
      </c>
      <c r="L491" s="4" t="s">
        <v>791</v>
      </c>
      <c r="M491" s="4" t="s">
        <v>22</v>
      </c>
      <c r="N491" s="4" t="s">
        <v>23</v>
      </c>
      <c r="O491" s="4" t="s">
        <v>27</v>
      </c>
      <c r="P491" s="4" t="s">
        <v>28</v>
      </c>
      <c r="Q491" s="24">
        <v>39</v>
      </c>
      <c r="R491" s="25">
        <v>2</v>
      </c>
      <c r="S491" s="39">
        <v>0</v>
      </c>
      <c r="T491" s="7" t="s">
        <v>2910</v>
      </c>
      <c r="U491" s="7"/>
      <c r="V491" s="7" t="str">
        <f>+IF(U491="","",IF(U491="FINES",CONCATENATE("R",IF(OR(B491="16",B491="21",B491="22",B491="23"),"16212223",IF(OR(B491="15",B491="17",B491="24",B491="25"),"15172425",B491))),IF(U491="CEBAS","UNICO",IF(VALUE(B491)&lt;=11,"AMBA","INTERIOR"))))</f>
        <v/>
      </c>
      <c r="W491" s="38" t="str">
        <f>+IF(U491="","-",CONCATENATE(U491,"_",V491))</f>
        <v>-</v>
      </c>
      <c r="X491" s="42">
        <v>0.66300000000000003</v>
      </c>
    </row>
    <row r="492" spans="1:24" ht="15" thickBot="1">
      <c r="A492" s="5" t="s">
        <v>2916</v>
      </c>
      <c r="B492" s="5" t="s">
        <v>203</v>
      </c>
      <c r="C492" s="5" t="s">
        <v>450</v>
      </c>
      <c r="D492" s="5" t="s">
        <v>452</v>
      </c>
      <c r="E492" s="5">
        <v>605440</v>
      </c>
      <c r="F492" s="5">
        <v>2</v>
      </c>
      <c r="G492" s="5" t="s">
        <v>466</v>
      </c>
      <c r="H492" s="5" t="s">
        <v>20</v>
      </c>
      <c r="I492" s="6" t="s">
        <v>50</v>
      </c>
      <c r="J492" s="6" t="s">
        <v>51</v>
      </c>
      <c r="K492" s="6" t="s">
        <v>464</v>
      </c>
      <c r="L492" s="6" t="s">
        <v>260</v>
      </c>
      <c r="M492" s="6" t="s">
        <v>22</v>
      </c>
      <c r="N492" s="6" t="s">
        <v>23</v>
      </c>
      <c r="O492" s="6" t="s">
        <v>27</v>
      </c>
      <c r="P492" s="6" t="s">
        <v>28</v>
      </c>
      <c r="Q492" s="22">
        <v>42</v>
      </c>
      <c r="R492" s="23">
        <v>3</v>
      </c>
      <c r="S492" s="39">
        <v>0</v>
      </c>
      <c r="T492" s="7" t="s">
        <v>2910</v>
      </c>
      <c r="U492" s="7"/>
      <c r="V492" s="7" t="str">
        <f>+IF(U492="","",IF(U492="FINES",CONCATENATE("R",IF(OR(B492="16",B492="21",B492="22",B492="23"),"16212223",IF(OR(B492="15",B492="17",B492="24",B492="25"),"15172425",B492))),IF(U492="CEBAS","UNICO",IF(VALUE(B492)&lt;=11,"AMBA","INTERIOR"))))</f>
        <v/>
      </c>
      <c r="W492" s="38" t="str">
        <f>+IF(U492="","-",CONCATENATE(U492,"_",V492))</f>
        <v>-</v>
      </c>
      <c r="X492" s="42">
        <v>0.66400000000000003</v>
      </c>
    </row>
    <row r="493" spans="1:24" ht="15" thickBot="1">
      <c r="A493" s="5" t="s">
        <v>2916</v>
      </c>
      <c r="B493" s="5" t="s">
        <v>217</v>
      </c>
      <c r="C493" s="5" t="s">
        <v>2171</v>
      </c>
      <c r="D493" s="5" t="s">
        <v>2172</v>
      </c>
      <c r="E493" s="5">
        <v>605261</v>
      </c>
      <c r="F493" s="5">
        <v>0</v>
      </c>
      <c r="G493" s="5" t="s">
        <v>2173</v>
      </c>
      <c r="H493" s="5" t="s">
        <v>20</v>
      </c>
      <c r="I493" s="6" t="s">
        <v>50</v>
      </c>
      <c r="J493" s="6" t="s">
        <v>21</v>
      </c>
      <c r="K493" s="6"/>
      <c r="L493" s="6" t="s">
        <v>2174</v>
      </c>
      <c r="M493" s="6" t="s">
        <v>22</v>
      </c>
      <c r="N493" s="6" t="s">
        <v>23</v>
      </c>
      <c r="O493" s="6" t="s">
        <v>27</v>
      </c>
      <c r="P493" s="6" t="s">
        <v>28</v>
      </c>
      <c r="Q493" s="22">
        <v>5</v>
      </c>
      <c r="R493" s="23">
        <v>1</v>
      </c>
      <c r="S493" s="39">
        <v>0</v>
      </c>
      <c r="T493" s="7" t="s">
        <v>2910</v>
      </c>
      <c r="U493" s="7"/>
      <c r="V493" s="7" t="str">
        <f>+IF(U493="","",IF(U493="FINES",CONCATENATE("R",IF(OR(B493="16",B493="21",B493="22",B493="23"),"16212223",IF(OR(B493="15",B493="17",B493="24",B493="25"),"15172425",B493))),IF(U493="CEBAS","UNICO",IF(VALUE(B493)&lt;=11,"AMBA","INTERIOR"))))</f>
        <v/>
      </c>
      <c r="W493" s="38" t="str">
        <f>+IF(U493="","-",CONCATENATE(U493,"_",V493))</f>
        <v>-</v>
      </c>
      <c r="X493" s="42">
        <v>0.66500000000000004</v>
      </c>
    </row>
    <row r="494" spans="1:24" ht="15" thickBot="1">
      <c r="A494" s="5" t="s">
        <v>2916</v>
      </c>
      <c r="B494" s="5" t="s">
        <v>135</v>
      </c>
      <c r="C494" s="5" t="s">
        <v>354</v>
      </c>
      <c r="D494" s="5" t="s">
        <v>897</v>
      </c>
      <c r="E494" s="5">
        <v>604437</v>
      </c>
      <c r="F494" s="5">
        <v>0</v>
      </c>
      <c r="G494" s="5" t="s">
        <v>898</v>
      </c>
      <c r="H494" s="5" t="s">
        <v>20</v>
      </c>
      <c r="I494" s="6" t="s">
        <v>50</v>
      </c>
      <c r="J494" s="6" t="s">
        <v>21</v>
      </c>
      <c r="K494" s="6"/>
      <c r="L494" s="6" t="s">
        <v>543</v>
      </c>
      <c r="M494" s="6" t="s">
        <v>22</v>
      </c>
      <c r="N494" s="6" t="s">
        <v>23</v>
      </c>
      <c r="O494" s="6" t="s">
        <v>27</v>
      </c>
      <c r="P494" s="6" t="s">
        <v>28</v>
      </c>
      <c r="Q494" s="22">
        <v>21</v>
      </c>
      <c r="R494" s="23">
        <v>3</v>
      </c>
      <c r="S494" s="39">
        <v>0</v>
      </c>
      <c r="T494" s="7" t="s">
        <v>2910</v>
      </c>
      <c r="U494" s="7"/>
      <c r="V494" s="7" t="str">
        <f>+IF(U494="","",IF(U494="FINES",CONCATENATE("R",IF(OR(B494="16",B494="21",B494="22",B494="23"),"16212223",IF(OR(B494="15",B494="17",B494="24",B494="25"),"15172425",B494))),IF(U494="CEBAS","UNICO",IF(VALUE(B494)&lt;=11,"AMBA","INTERIOR"))))</f>
        <v/>
      </c>
      <c r="W494" s="38" t="str">
        <f>+IF(U494="","-",CONCATENATE(U494,"_",V494))</f>
        <v>-</v>
      </c>
      <c r="X494" s="42">
        <v>0.66500000000000004</v>
      </c>
    </row>
    <row r="495" spans="1:24" ht="15" thickBot="1">
      <c r="A495" s="3" t="s">
        <v>2916</v>
      </c>
      <c r="B495" s="3" t="s">
        <v>817</v>
      </c>
      <c r="C495" s="3" t="s">
        <v>600</v>
      </c>
      <c r="D495" s="3" t="s">
        <v>2661</v>
      </c>
      <c r="E495" s="3">
        <v>610151</v>
      </c>
      <c r="F495" s="3">
        <v>3</v>
      </c>
      <c r="G495" s="3" t="s">
        <v>2690</v>
      </c>
      <c r="H495" s="3" t="s">
        <v>20</v>
      </c>
      <c r="I495" s="4" t="s">
        <v>50</v>
      </c>
      <c r="J495" s="4" t="s">
        <v>51</v>
      </c>
      <c r="K495" s="4" t="s">
        <v>2683</v>
      </c>
      <c r="L495" s="4" t="s">
        <v>2691</v>
      </c>
      <c r="M495" s="4" t="s">
        <v>22</v>
      </c>
      <c r="N495" s="4" t="s">
        <v>23</v>
      </c>
      <c r="O495" s="4" t="s">
        <v>27</v>
      </c>
      <c r="P495" s="4" t="s">
        <v>28</v>
      </c>
      <c r="Q495" s="24">
        <v>32</v>
      </c>
      <c r="R495" s="25">
        <v>3</v>
      </c>
      <c r="S495" s="39">
        <v>0</v>
      </c>
      <c r="T495" s="7" t="s">
        <v>2910</v>
      </c>
      <c r="U495" s="7"/>
      <c r="V495" s="7" t="str">
        <f>+IF(U495="","",IF(U495="FINES",CONCATENATE("R",IF(OR(B495="16",B495="21",B495="22",B495="23"),"16212223",IF(OR(B495="15",B495="17",B495="24",B495="25"),"15172425",B495))),IF(U495="CEBAS","UNICO",IF(VALUE(B495)&lt;=11,"AMBA","INTERIOR"))))</f>
        <v/>
      </c>
      <c r="W495" s="38" t="str">
        <f>+IF(U495="","-",CONCATENATE(U495,"_",V495))</f>
        <v>-</v>
      </c>
      <c r="X495" s="42">
        <v>0.66900000000000004</v>
      </c>
    </row>
    <row r="496" spans="1:24" ht="15" thickBot="1">
      <c r="A496" s="5" t="s">
        <v>2916</v>
      </c>
      <c r="B496" s="5" t="s">
        <v>223</v>
      </c>
      <c r="C496" s="5" t="s">
        <v>1195</v>
      </c>
      <c r="D496" s="5" t="s">
        <v>1196</v>
      </c>
      <c r="E496" s="5">
        <v>611288</v>
      </c>
      <c r="F496" s="5">
        <v>0</v>
      </c>
      <c r="G496" s="5" t="s">
        <v>1199</v>
      </c>
      <c r="H496" s="5" t="s">
        <v>20</v>
      </c>
      <c r="I496" s="6" t="s">
        <v>50</v>
      </c>
      <c r="J496" s="6" t="s">
        <v>21</v>
      </c>
      <c r="K496" s="6"/>
      <c r="L496" s="6" t="s">
        <v>1200</v>
      </c>
      <c r="M496" s="6" t="s">
        <v>22</v>
      </c>
      <c r="N496" s="6" t="s">
        <v>23</v>
      </c>
      <c r="O496" s="6" t="s">
        <v>27</v>
      </c>
      <c r="P496" s="6" t="s">
        <v>28</v>
      </c>
      <c r="Q496" s="22">
        <v>5</v>
      </c>
      <c r="R496" s="23">
        <v>1</v>
      </c>
      <c r="S496" s="39">
        <v>0</v>
      </c>
      <c r="T496" s="7" t="s">
        <v>2910</v>
      </c>
      <c r="U496" s="7"/>
      <c r="V496" s="7" t="str">
        <f>+IF(U496="","",IF(U496="FINES",CONCATENATE("R",IF(OR(B496="16",B496="21",B496="22",B496="23"),"16212223",IF(OR(B496="15",B496="17",B496="24",B496="25"),"15172425",B496))),IF(U496="CEBAS","UNICO",IF(VALUE(B496)&lt;=11,"AMBA","INTERIOR"))))</f>
        <v/>
      </c>
      <c r="W496" s="38" t="str">
        <f>+IF(U496="","-",CONCATENATE(U496,"_",V496))</f>
        <v>-</v>
      </c>
      <c r="X496" s="42">
        <v>0.67</v>
      </c>
    </row>
    <row r="497" spans="1:24" ht="15" thickBot="1">
      <c r="A497" s="3" t="s">
        <v>2916</v>
      </c>
      <c r="B497" s="3" t="s">
        <v>1532</v>
      </c>
      <c r="C497" s="3" t="s">
        <v>1530</v>
      </c>
      <c r="D497" s="3" t="s">
        <v>1531</v>
      </c>
      <c r="E497" s="3">
        <v>614430</v>
      </c>
      <c r="F497" s="3">
        <v>0</v>
      </c>
      <c r="G497" s="3" t="s">
        <v>1549</v>
      </c>
      <c r="H497" s="3" t="s">
        <v>20</v>
      </c>
      <c r="I497" s="4" t="s">
        <v>25</v>
      </c>
      <c r="J497" s="4" t="s">
        <v>21</v>
      </c>
      <c r="K497" s="4"/>
      <c r="L497" s="4" t="s">
        <v>1550</v>
      </c>
      <c r="M497" s="4" t="s">
        <v>22</v>
      </c>
      <c r="N497" s="4" t="s">
        <v>23</v>
      </c>
      <c r="O497" s="4" t="s">
        <v>27</v>
      </c>
      <c r="P497" s="4" t="s">
        <v>28</v>
      </c>
      <c r="Q497" s="24">
        <v>13</v>
      </c>
      <c r="R497" s="25">
        <v>1</v>
      </c>
      <c r="S497" s="39">
        <v>0</v>
      </c>
      <c r="T497" s="7" t="s">
        <v>2910</v>
      </c>
      <c r="U497" s="7"/>
      <c r="V497" s="7" t="str">
        <f>+IF(U497="","",IF(U497="FINES",CONCATENATE("R",IF(OR(B497="16",B497="21",B497="22",B497="23"),"16212223",IF(OR(B497="15",B497="17",B497="24",B497="25"),"15172425",B497))),IF(U497="CEBAS","UNICO",IF(VALUE(B497)&lt;=11,"AMBA","INTERIOR"))))</f>
        <v/>
      </c>
      <c r="W497" s="38" t="str">
        <f>+IF(U497="","-",CONCATENATE(U497,"_",V497))</f>
        <v>-</v>
      </c>
      <c r="X497" s="42">
        <v>0.67</v>
      </c>
    </row>
    <row r="498" spans="1:24" ht="15" thickBot="1">
      <c r="A498" s="3" t="s">
        <v>2916</v>
      </c>
      <c r="B498" s="3" t="s">
        <v>203</v>
      </c>
      <c r="C498" s="3" t="s">
        <v>1986</v>
      </c>
      <c r="D498" s="3" t="s">
        <v>1987</v>
      </c>
      <c r="E498" s="3">
        <v>603157</v>
      </c>
      <c r="F498" s="3">
        <v>4</v>
      </c>
      <c r="G498" s="3" t="s">
        <v>1996</v>
      </c>
      <c r="H498" s="3" t="s">
        <v>20</v>
      </c>
      <c r="I498" s="4" t="s">
        <v>50</v>
      </c>
      <c r="J498" s="4" t="s">
        <v>51</v>
      </c>
      <c r="K498" s="4" t="s">
        <v>1989</v>
      </c>
      <c r="L498" s="4" t="s">
        <v>1230</v>
      </c>
      <c r="M498" s="4" t="s">
        <v>22</v>
      </c>
      <c r="N498" s="4" t="s">
        <v>23</v>
      </c>
      <c r="O498" s="4" t="s">
        <v>27</v>
      </c>
      <c r="P498" s="4" t="s">
        <v>28</v>
      </c>
      <c r="Q498" s="24">
        <v>24</v>
      </c>
      <c r="R498" s="25">
        <v>2</v>
      </c>
      <c r="S498" s="39">
        <v>0</v>
      </c>
      <c r="T498" s="7" t="s">
        <v>2910</v>
      </c>
      <c r="V498" s="7" t="str">
        <f>+IF(U498="","",IF(U498="FINES",CONCATENATE("R",IF(OR(B498="16",B498="21",B498="22",B498="23"),"16212223",IF(OR(B498="15",B498="17",B498="24",B498="25"),"15172425",B498))),IF(U498="CEBAS","UNICO",IF(VALUE(B498)&lt;=11,"AMBA","INTERIOR"))))</f>
        <v/>
      </c>
      <c r="W498" s="38" t="str">
        <f>+IF(U498="","-",CONCATENATE(U498,"_",V498))</f>
        <v>-</v>
      </c>
      <c r="X498" s="42">
        <v>0.67</v>
      </c>
    </row>
    <row r="499" spans="1:24" ht="15" thickBot="1">
      <c r="A499" s="3" t="s">
        <v>2916</v>
      </c>
      <c r="B499" s="3" t="s">
        <v>204</v>
      </c>
      <c r="C499" s="3" t="s">
        <v>219</v>
      </c>
      <c r="D499" s="3" t="s">
        <v>2865</v>
      </c>
      <c r="E499" s="3">
        <v>600119</v>
      </c>
      <c r="F499" s="3">
        <v>1</v>
      </c>
      <c r="G499" s="3" t="s">
        <v>2868</v>
      </c>
      <c r="H499" s="3" t="s">
        <v>20</v>
      </c>
      <c r="I499" s="4" t="s">
        <v>50</v>
      </c>
      <c r="J499" s="4" t="s">
        <v>51</v>
      </c>
      <c r="K499" s="4" t="s">
        <v>2869</v>
      </c>
      <c r="L499" s="4" t="s">
        <v>2870</v>
      </c>
      <c r="M499" s="4" t="s">
        <v>22</v>
      </c>
      <c r="N499" s="4" t="s">
        <v>23</v>
      </c>
      <c r="O499" s="4" t="s">
        <v>27</v>
      </c>
      <c r="P499" s="4" t="s">
        <v>28</v>
      </c>
      <c r="Q499" s="24">
        <v>15</v>
      </c>
      <c r="R499" s="25">
        <v>1</v>
      </c>
      <c r="S499" s="39">
        <v>0</v>
      </c>
      <c r="T499" s="7" t="s">
        <v>2910</v>
      </c>
      <c r="V499" s="7" t="str">
        <f>+IF(U499="","",IF(U499="FINES",CONCATENATE("R",IF(OR(B499="16",B499="21",B499="22",B499="23"),"16212223",IF(OR(B499="15",B499="17",B499="24",B499="25"),"15172425",B499))),IF(U499="CEBAS","UNICO",IF(VALUE(B499)&lt;=11,"AMBA","INTERIOR"))))</f>
        <v/>
      </c>
      <c r="W499" s="38" t="str">
        <f>+IF(U499="","-",CONCATENATE(U499,"_",V499))</f>
        <v>-</v>
      </c>
      <c r="X499" s="42">
        <v>0.67200000000000004</v>
      </c>
    </row>
    <row r="500" spans="1:24" ht="15" thickBot="1">
      <c r="A500" s="5" t="s">
        <v>2916</v>
      </c>
      <c r="B500" s="5" t="s">
        <v>204</v>
      </c>
      <c r="C500" s="5" t="s">
        <v>219</v>
      </c>
      <c r="D500" s="5" t="s">
        <v>2865</v>
      </c>
      <c r="E500" s="5">
        <v>603210</v>
      </c>
      <c r="F500" s="5">
        <v>0</v>
      </c>
      <c r="G500" s="5" t="s">
        <v>2876</v>
      </c>
      <c r="H500" s="5" t="s">
        <v>20</v>
      </c>
      <c r="I500" s="6" t="s">
        <v>50</v>
      </c>
      <c r="J500" s="6" t="s">
        <v>21</v>
      </c>
      <c r="K500" s="6"/>
      <c r="L500" s="6" t="s">
        <v>2333</v>
      </c>
      <c r="M500" s="6" t="s">
        <v>22</v>
      </c>
      <c r="N500" s="6" t="s">
        <v>23</v>
      </c>
      <c r="O500" s="6" t="s">
        <v>27</v>
      </c>
      <c r="P500" s="6" t="s">
        <v>28</v>
      </c>
      <c r="Q500" s="22">
        <v>45</v>
      </c>
      <c r="R500" s="23">
        <v>3</v>
      </c>
      <c r="S500" s="39">
        <v>0</v>
      </c>
      <c r="T500" s="7" t="s">
        <v>2910</v>
      </c>
      <c r="V500" s="7" t="str">
        <f>+IF(U500="","",IF(U500="FINES",CONCATENATE("R",IF(OR(B500="16",B500="21",B500="22",B500="23"),"16212223",IF(OR(B500="15",B500="17",B500="24",B500="25"),"15172425",B500))),IF(U500="CEBAS","UNICO",IF(VALUE(B500)&lt;=11,"AMBA","INTERIOR"))))</f>
        <v/>
      </c>
      <c r="W500" s="38" t="str">
        <f>+IF(U500="","-",CONCATENATE(U500,"_",V500))</f>
        <v>-</v>
      </c>
      <c r="X500" s="42">
        <v>0.67300000000000004</v>
      </c>
    </row>
    <row r="501" spans="1:24" ht="15" thickBot="1">
      <c r="A501" s="5" t="s">
        <v>2916</v>
      </c>
      <c r="B501" s="5" t="s">
        <v>222</v>
      </c>
      <c r="C501" s="5" t="s">
        <v>610</v>
      </c>
      <c r="D501" s="5" t="s">
        <v>611</v>
      </c>
      <c r="E501" s="5">
        <v>605809</v>
      </c>
      <c r="F501" s="5">
        <v>2</v>
      </c>
      <c r="G501" s="5" t="s">
        <v>622</v>
      </c>
      <c r="H501" s="5" t="s">
        <v>20</v>
      </c>
      <c r="I501" s="6" t="s">
        <v>50</v>
      </c>
      <c r="J501" s="6" t="s">
        <v>51</v>
      </c>
      <c r="K501" s="6" t="s">
        <v>613</v>
      </c>
      <c r="L501" s="6" t="s">
        <v>623</v>
      </c>
      <c r="M501" s="6" t="s">
        <v>22</v>
      </c>
      <c r="N501" s="6" t="s">
        <v>23</v>
      </c>
      <c r="O501" s="6" t="s">
        <v>27</v>
      </c>
      <c r="P501" s="6" t="s">
        <v>28</v>
      </c>
      <c r="Q501" s="22">
        <v>27</v>
      </c>
      <c r="R501" s="23">
        <v>3</v>
      </c>
      <c r="S501" s="39">
        <v>0</v>
      </c>
      <c r="T501" s="7" t="s">
        <v>2910</v>
      </c>
      <c r="V501" s="7" t="str">
        <f>+IF(U501="","",IF(U501="FINES",CONCATENATE("R",IF(OR(B501="16",B501="21",B501="22",B501="23"),"16212223",IF(OR(B501="15",B501="17",B501="24",B501="25"),"15172425",B501))),IF(U501="CEBAS","UNICO",IF(VALUE(B501)&lt;=11,"AMBA","INTERIOR"))))</f>
        <v/>
      </c>
      <c r="W501" s="38" t="str">
        <f>+IF(U501="","-",CONCATENATE(U501,"_",V501))</f>
        <v>-</v>
      </c>
      <c r="X501" s="42">
        <v>0.67400000000000004</v>
      </c>
    </row>
    <row r="502" spans="1:24" ht="15" thickBot="1">
      <c r="A502" s="5" t="s">
        <v>2916</v>
      </c>
      <c r="B502" s="5" t="s">
        <v>204</v>
      </c>
      <c r="C502" s="5" t="s">
        <v>219</v>
      </c>
      <c r="D502" s="5" t="s">
        <v>2865</v>
      </c>
      <c r="E502" s="5">
        <v>600021</v>
      </c>
      <c r="F502" s="5">
        <v>2</v>
      </c>
      <c r="G502" s="5" t="s">
        <v>2866</v>
      </c>
      <c r="H502" s="5" t="s">
        <v>20</v>
      </c>
      <c r="I502" s="6" t="s">
        <v>50</v>
      </c>
      <c r="J502" s="6" t="s">
        <v>51</v>
      </c>
      <c r="K502" s="6" t="s">
        <v>2867</v>
      </c>
      <c r="L502" s="6" t="s">
        <v>526</v>
      </c>
      <c r="M502" s="6" t="s">
        <v>22</v>
      </c>
      <c r="N502" s="6" t="s">
        <v>23</v>
      </c>
      <c r="O502" s="6" t="s">
        <v>27</v>
      </c>
      <c r="P502" s="6" t="s">
        <v>28</v>
      </c>
      <c r="Q502" s="22">
        <v>30</v>
      </c>
      <c r="R502" s="23">
        <v>2</v>
      </c>
      <c r="S502" s="39">
        <v>0</v>
      </c>
      <c r="T502" s="7" t="s">
        <v>2910</v>
      </c>
      <c r="V502" s="7" t="str">
        <f>+IF(U502="","",IF(U502="FINES",CONCATENATE("R",IF(OR(B502="16",B502="21",B502="22",B502="23"),"16212223",IF(OR(B502="15",B502="17",B502="24",B502="25"),"15172425",B502))),IF(U502="CEBAS","UNICO",IF(VALUE(B502)&lt;=11,"AMBA","INTERIOR"))))</f>
        <v/>
      </c>
      <c r="W502" s="38" t="str">
        <f>+IF(U502="","-",CONCATENATE(U502,"_",V502))</f>
        <v>-</v>
      </c>
      <c r="X502" s="42">
        <v>0.67800000000000005</v>
      </c>
    </row>
    <row r="503" spans="1:24" ht="15" thickBot="1">
      <c r="A503" s="3" t="s">
        <v>2916</v>
      </c>
      <c r="B503" s="3" t="s">
        <v>203</v>
      </c>
      <c r="C503" s="3" t="s">
        <v>450</v>
      </c>
      <c r="D503" s="3" t="s">
        <v>452</v>
      </c>
      <c r="E503" s="3">
        <v>616942</v>
      </c>
      <c r="F503" s="3">
        <v>0</v>
      </c>
      <c r="G503" s="3" t="s">
        <v>517</v>
      </c>
      <c r="H503" s="3" t="s">
        <v>207</v>
      </c>
      <c r="I503" s="4" t="s">
        <v>201</v>
      </c>
      <c r="J503" s="4" t="s">
        <v>21</v>
      </c>
      <c r="K503" s="4"/>
      <c r="L503" s="4" t="s">
        <v>518</v>
      </c>
      <c r="M503" s="4" t="s">
        <v>22</v>
      </c>
      <c r="N503" s="4" t="s">
        <v>23</v>
      </c>
      <c r="O503" s="4" t="s">
        <v>27</v>
      </c>
      <c r="P503" s="4" t="s">
        <v>144</v>
      </c>
      <c r="Q503" s="24">
        <v>38</v>
      </c>
      <c r="R503" s="25">
        <v>3</v>
      </c>
      <c r="S503" s="39">
        <v>0</v>
      </c>
      <c r="T503" s="7" t="s">
        <v>2909</v>
      </c>
      <c r="V503" s="7" t="str">
        <f>+IF(U503="","",IF(U503="FINES",CONCATENATE("R",IF(OR(B503="16",B503="21",B503="22",B503="23"),"16212223",IF(OR(B503="15",B503="17",B503="24",B503="25"),"15172425",B503))),IF(U503="CEBAS","UNICO",IF(VALUE(B503)&lt;=11,"AMBA","INTERIOR"))))</f>
        <v/>
      </c>
      <c r="W503" s="38" t="str">
        <f>+IF(U503="","-",CONCATENATE(U503,"_",V503))</f>
        <v>-</v>
      </c>
      <c r="X503" s="42">
        <v>0.67800000000000005</v>
      </c>
    </row>
    <row r="504" spans="1:24" ht="15" thickBot="1">
      <c r="A504" s="3" t="s">
        <v>2916</v>
      </c>
      <c r="B504" s="3" t="s">
        <v>356</v>
      </c>
      <c r="C504" s="3" t="s">
        <v>1359</v>
      </c>
      <c r="D504" s="3" t="s">
        <v>1360</v>
      </c>
      <c r="E504" s="3">
        <v>602704</v>
      </c>
      <c r="F504" s="3">
        <v>3</v>
      </c>
      <c r="G504" s="3" t="s">
        <v>1382</v>
      </c>
      <c r="H504" s="3" t="s">
        <v>20</v>
      </c>
      <c r="I504" s="4" t="s">
        <v>50</v>
      </c>
      <c r="J504" s="4" t="s">
        <v>51</v>
      </c>
      <c r="K504" s="4" t="s">
        <v>1383</v>
      </c>
      <c r="L504" s="4" t="s">
        <v>1384</v>
      </c>
      <c r="M504" s="4" t="s">
        <v>22</v>
      </c>
      <c r="N504" s="4" t="s">
        <v>23</v>
      </c>
      <c r="O504" s="4" t="s">
        <v>27</v>
      </c>
      <c r="P504" s="4" t="s">
        <v>28</v>
      </c>
      <c r="Q504" s="24">
        <v>24</v>
      </c>
      <c r="R504" s="25">
        <v>2</v>
      </c>
      <c r="S504" s="39">
        <v>0</v>
      </c>
      <c r="T504" s="7" t="s">
        <v>2910</v>
      </c>
      <c r="V504" s="7" t="str">
        <f>+IF(U504="","",IF(U504="FINES",CONCATENATE("R",IF(OR(B504="16",B504="21",B504="22",B504="23"),"16212223",IF(OR(B504="15",B504="17",B504="24",B504="25"),"15172425",B504))),IF(U504="CEBAS","UNICO",IF(VALUE(B504)&lt;=11,"AMBA","INTERIOR"))))</f>
        <v/>
      </c>
      <c r="W504" s="38" t="str">
        <f>+IF(U504="","-",CONCATENATE(U504,"_",V504))</f>
        <v>-</v>
      </c>
      <c r="X504" s="42">
        <v>0.68</v>
      </c>
    </row>
    <row r="505" spans="1:24" ht="15" thickBot="1">
      <c r="A505" s="3" t="s">
        <v>2916</v>
      </c>
      <c r="B505" s="3" t="s">
        <v>1860</v>
      </c>
      <c r="C505" s="3" t="s">
        <v>1858</v>
      </c>
      <c r="D505" s="3" t="s">
        <v>1859</v>
      </c>
      <c r="E505" s="3">
        <v>614539</v>
      </c>
      <c r="F505" s="3">
        <v>0</v>
      </c>
      <c r="G505" s="3" t="s">
        <v>1863</v>
      </c>
      <c r="H505" s="3" t="s">
        <v>20</v>
      </c>
      <c r="I505" s="4" t="s">
        <v>25</v>
      </c>
      <c r="J505" s="4" t="s">
        <v>21</v>
      </c>
      <c r="K505" s="4"/>
      <c r="L505" s="4" t="s">
        <v>1864</v>
      </c>
      <c r="M505" s="4" t="s">
        <v>22</v>
      </c>
      <c r="N505" s="4" t="s">
        <v>134</v>
      </c>
      <c r="O505" s="4" t="s">
        <v>27</v>
      </c>
      <c r="P505" s="4" t="s">
        <v>28</v>
      </c>
      <c r="Q505" s="24">
        <v>17</v>
      </c>
      <c r="R505" s="25">
        <v>1</v>
      </c>
      <c r="S505" s="39">
        <v>0</v>
      </c>
      <c r="T505" s="7" t="s">
        <v>2910</v>
      </c>
      <c r="V505" s="7" t="str">
        <f>+IF(U505="","",IF(U505="FINES",CONCATENATE("R",IF(OR(B505="16",B505="21",B505="22",B505="23"),"16212223",IF(OR(B505="15",B505="17",B505="24",B505="25"),"15172425",B505))),IF(U505="CEBAS","UNICO",IF(VALUE(B505)&lt;=11,"AMBA","INTERIOR"))))</f>
        <v/>
      </c>
      <c r="W505" s="38" t="str">
        <f>+IF(U505="","-",CONCATENATE(U505,"_",V505))</f>
        <v>-</v>
      </c>
      <c r="X505" s="42">
        <v>0.68200000000000005</v>
      </c>
    </row>
    <row r="506" spans="1:24" ht="15" thickBot="1">
      <c r="A506" s="3" t="s">
        <v>2916</v>
      </c>
      <c r="B506" s="3" t="s">
        <v>352</v>
      </c>
      <c r="C506" s="3" t="s">
        <v>1924</v>
      </c>
      <c r="D506" s="3" t="s">
        <v>1925</v>
      </c>
      <c r="E506" s="3">
        <v>611210</v>
      </c>
      <c r="F506" s="3">
        <v>1</v>
      </c>
      <c r="G506" s="3" t="s">
        <v>1931</v>
      </c>
      <c r="H506" s="3" t="s">
        <v>20</v>
      </c>
      <c r="I506" s="4" t="s">
        <v>50</v>
      </c>
      <c r="J506" s="4" t="s">
        <v>51</v>
      </c>
      <c r="K506" s="4" t="s">
        <v>1932</v>
      </c>
      <c r="L506" s="4" t="s">
        <v>621</v>
      </c>
      <c r="M506" s="4" t="s">
        <v>22</v>
      </c>
      <c r="N506" s="4" t="s">
        <v>23</v>
      </c>
      <c r="O506" s="4" t="s">
        <v>27</v>
      </c>
      <c r="P506" s="4" t="s">
        <v>28</v>
      </c>
      <c r="Q506" s="24">
        <v>12</v>
      </c>
      <c r="R506" s="25">
        <v>1</v>
      </c>
      <c r="S506" s="39">
        <v>0</v>
      </c>
      <c r="T506" s="7" t="s">
        <v>2910</v>
      </c>
      <c r="V506" s="7" t="str">
        <f>+IF(U506="","",IF(U506="FINES",CONCATENATE("R",IF(OR(B506="16",B506="21",B506="22",B506="23"),"16212223",IF(OR(B506="15",B506="17",B506="24",B506="25"),"15172425",B506))),IF(U506="CEBAS","UNICO",IF(VALUE(B506)&lt;=11,"AMBA","INTERIOR"))))</f>
        <v/>
      </c>
      <c r="W506" s="38" t="str">
        <f>+IF(U506="","-",CONCATENATE(U506,"_",V506))</f>
        <v>-</v>
      </c>
      <c r="X506" s="42">
        <v>0.68300000000000005</v>
      </c>
    </row>
    <row r="507" spans="1:24" ht="15" thickBot="1">
      <c r="A507" s="3" t="s">
        <v>2916</v>
      </c>
      <c r="B507" s="3" t="s">
        <v>356</v>
      </c>
      <c r="C507" s="3" t="s">
        <v>1359</v>
      </c>
      <c r="D507" s="3" t="s">
        <v>1360</v>
      </c>
      <c r="E507" s="3">
        <v>608161</v>
      </c>
      <c r="F507" s="3">
        <v>1</v>
      </c>
      <c r="G507" s="3" t="s">
        <v>1364</v>
      </c>
      <c r="H507" s="3" t="s">
        <v>20</v>
      </c>
      <c r="I507" s="4" t="s">
        <v>50</v>
      </c>
      <c r="J507" s="4" t="s">
        <v>51</v>
      </c>
      <c r="K507" s="4" t="s">
        <v>1365</v>
      </c>
      <c r="L507" s="4" t="s">
        <v>789</v>
      </c>
      <c r="M507" s="4" t="s">
        <v>22</v>
      </c>
      <c r="N507" s="4" t="s">
        <v>23</v>
      </c>
      <c r="O507" s="4" t="s">
        <v>27</v>
      </c>
      <c r="P507" s="4" t="s">
        <v>28</v>
      </c>
      <c r="Q507" s="24">
        <v>22</v>
      </c>
      <c r="R507" s="25">
        <v>2</v>
      </c>
      <c r="S507" s="39">
        <v>0</v>
      </c>
      <c r="T507" s="7" t="s">
        <v>2910</v>
      </c>
      <c r="U507" s="7"/>
      <c r="V507" s="7" t="str">
        <f>+IF(U507="","",IF(U507="FINES",CONCATENATE("R",IF(OR(B507="16",B507="21",B507="22",B507="23"),"16212223",IF(OR(B507="15",B507="17",B507="24",B507="25"),"15172425",B507))),IF(U507="CEBAS","UNICO",IF(VALUE(B507)&lt;=11,"AMBA","INTERIOR"))))</f>
        <v/>
      </c>
      <c r="W507" s="38" t="str">
        <f>+IF(U507="","-",CONCATENATE(U507,"_",V507))</f>
        <v>-</v>
      </c>
      <c r="X507" s="42">
        <v>0.68300000000000005</v>
      </c>
    </row>
    <row r="508" spans="1:24" ht="15" thickBot="1">
      <c r="A508" s="5" t="s">
        <v>2916</v>
      </c>
      <c r="B508" s="5" t="s">
        <v>1257</v>
      </c>
      <c r="C508" s="5" t="s">
        <v>1255</v>
      </c>
      <c r="D508" s="5" t="s">
        <v>1256</v>
      </c>
      <c r="E508" s="5">
        <v>602537</v>
      </c>
      <c r="F508" s="5">
        <v>3</v>
      </c>
      <c r="G508" s="5" t="s">
        <v>1272</v>
      </c>
      <c r="H508" s="5" t="s">
        <v>20</v>
      </c>
      <c r="I508" s="6" t="s">
        <v>50</v>
      </c>
      <c r="J508" s="6" t="s">
        <v>51</v>
      </c>
      <c r="K508" s="6" t="s">
        <v>1259</v>
      </c>
      <c r="L508" s="6" t="s">
        <v>1273</v>
      </c>
      <c r="M508" s="6" t="s">
        <v>22</v>
      </c>
      <c r="N508" s="6" t="s">
        <v>23</v>
      </c>
      <c r="O508" s="6" t="s">
        <v>27</v>
      </c>
      <c r="P508" s="6" t="s">
        <v>28</v>
      </c>
      <c r="Q508" s="22">
        <v>16</v>
      </c>
      <c r="R508" s="23">
        <v>1</v>
      </c>
      <c r="S508" s="39">
        <v>0</v>
      </c>
      <c r="T508" s="7" t="s">
        <v>2910</v>
      </c>
      <c r="U508" s="7"/>
      <c r="V508" s="7" t="str">
        <f>+IF(U508="","",IF(U508="FINES",CONCATENATE("R",IF(OR(B508="16",B508="21",B508="22",B508="23"),"16212223",IF(OR(B508="15",B508="17",B508="24",B508="25"),"15172425",B508))),IF(U508="CEBAS","UNICO",IF(VALUE(B508)&lt;=11,"AMBA","INTERIOR"))))</f>
        <v/>
      </c>
      <c r="W508" s="38" t="str">
        <f>+IF(U508="","-",CONCATENATE(U508,"_",V508))</f>
        <v>-</v>
      </c>
      <c r="X508" s="42">
        <v>0.68400000000000005</v>
      </c>
    </row>
    <row r="509" spans="1:24" ht="15" thickBot="1">
      <c r="A509" s="5" t="s">
        <v>2916</v>
      </c>
      <c r="B509" s="5" t="s">
        <v>356</v>
      </c>
      <c r="C509" s="5" t="s">
        <v>353</v>
      </c>
      <c r="D509" s="5" t="s">
        <v>355</v>
      </c>
      <c r="E509" s="5">
        <v>603777</v>
      </c>
      <c r="F509" s="5">
        <v>2</v>
      </c>
      <c r="G509" s="5" t="s">
        <v>378</v>
      </c>
      <c r="H509" s="5" t="s">
        <v>20</v>
      </c>
      <c r="I509" s="6" t="s">
        <v>50</v>
      </c>
      <c r="J509" s="6" t="s">
        <v>51</v>
      </c>
      <c r="K509" s="6" t="s">
        <v>366</v>
      </c>
      <c r="L509" s="6" t="s">
        <v>379</v>
      </c>
      <c r="M509" s="6" t="s">
        <v>22</v>
      </c>
      <c r="N509" s="6" t="s">
        <v>23</v>
      </c>
      <c r="O509" s="6" t="s">
        <v>27</v>
      </c>
      <c r="P509" s="6" t="s">
        <v>28</v>
      </c>
      <c r="Q509" s="22">
        <v>22</v>
      </c>
      <c r="R509" s="23">
        <v>2</v>
      </c>
      <c r="S509" s="39">
        <v>0</v>
      </c>
      <c r="T509" s="7" t="s">
        <v>2910</v>
      </c>
      <c r="U509" s="7"/>
      <c r="V509" s="7" t="str">
        <f>+IF(U509="","",IF(U509="FINES",CONCATENATE("R",IF(OR(B509="16",B509="21",B509="22",B509="23"),"16212223",IF(OR(B509="15",B509="17",B509="24",B509="25"),"15172425",B509))),IF(U509="CEBAS","UNICO",IF(VALUE(B509)&lt;=11,"AMBA","INTERIOR"))))</f>
        <v/>
      </c>
      <c r="W509" s="38" t="str">
        <f>+IF(U509="","-",CONCATENATE(U509,"_",V509))</f>
        <v>-</v>
      </c>
      <c r="X509" s="42">
        <v>0.68400000000000005</v>
      </c>
    </row>
    <row r="510" spans="1:24" ht="15" thickBot="1">
      <c r="A510" s="5" t="s">
        <v>2916</v>
      </c>
      <c r="B510" s="5" t="s">
        <v>19</v>
      </c>
      <c r="C510" s="5" t="s">
        <v>17</v>
      </c>
      <c r="D510" s="5" t="s">
        <v>18</v>
      </c>
      <c r="E510" s="5">
        <v>603172</v>
      </c>
      <c r="F510" s="5">
        <v>2</v>
      </c>
      <c r="G510" s="5" t="s">
        <v>97</v>
      </c>
      <c r="H510" s="5" t="s">
        <v>20</v>
      </c>
      <c r="I510" s="6" t="s">
        <v>50</v>
      </c>
      <c r="J510" s="6" t="s">
        <v>51</v>
      </c>
      <c r="K510" s="6" t="s">
        <v>82</v>
      </c>
      <c r="L510" s="6" t="s">
        <v>98</v>
      </c>
      <c r="M510" s="6" t="s">
        <v>22</v>
      </c>
      <c r="N510" s="6" t="s">
        <v>23</v>
      </c>
      <c r="O510" s="6" t="s">
        <v>27</v>
      </c>
      <c r="P510" s="6" t="s">
        <v>28</v>
      </c>
      <c r="Q510" s="22">
        <v>10</v>
      </c>
      <c r="R510" s="23">
        <v>1</v>
      </c>
      <c r="S510" s="39">
        <v>0</v>
      </c>
      <c r="T510" s="7" t="s">
        <v>2910</v>
      </c>
      <c r="V510" s="7" t="str">
        <f>+IF(U510="","",IF(U510="FINES",CONCATENATE("R",IF(OR(B510="16",B510="21",B510="22",B510="23"),"16212223",IF(OR(B510="15",B510="17",B510="24",B510="25"),"15172425",B510))),IF(U510="CEBAS","UNICO",IF(VALUE(B510)&lt;=11,"AMBA","INTERIOR"))))</f>
        <v/>
      </c>
      <c r="W510" s="38" t="str">
        <f>+IF(U510="","-",CONCATENATE(U510,"_",V510))</f>
        <v>-</v>
      </c>
      <c r="X510" s="42">
        <v>0.68500000000000005</v>
      </c>
    </row>
    <row r="511" spans="1:24" ht="15" thickBot="1">
      <c r="A511" s="5" t="s">
        <v>2916</v>
      </c>
      <c r="B511" s="5" t="s">
        <v>217</v>
      </c>
      <c r="C511" s="5" t="s">
        <v>674</v>
      </c>
      <c r="D511" s="5" t="s">
        <v>675</v>
      </c>
      <c r="E511" s="5">
        <v>606895</v>
      </c>
      <c r="F511" s="5">
        <v>1</v>
      </c>
      <c r="G511" s="5" t="s">
        <v>676</v>
      </c>
      <c r="H511" s="5" t="s">
        <v>20</v>
      </c>
      <c r="I511" s="6" t="s">
        <v>50</v>
      </c>
      <c r="J511" s="6" t="s">
        <v>51</v>
      </c>
      <c r="K511" s="6" t="s">
        <v>677</v>
      </c>
      <c r="L511" s="6" t="s">
        <v>678</v>
      </c>
      <c r="M511" s="6" t="s">
        <v>200</v>
      </c>
      <c r="N511" s="6" t="s">
        <v>23</v>
      </c>
      <c r="O511" s="6" t="s">
        <v>27</v>
      </c>
      <c r="P511" s="6" t="s">
        <v>28</v>
      </c>
      <c r="Q511" s="22">
        <v>6</v>
      </c>
      <c r="R511" s="23">
        <v>1</v>
      </c>
      <c r="S511" s="39">
        <v>0</v>
      </c>
      <c r="T511" s="7" t="s">
        <v>2910</v>
      </c>
      <c r="V511" s="7" t="str">
        <f>+IF(U511="","",IF(U511="FINES",CONCATENATE("R",IF(OR(B511="16",B511="21",B511="22",B511="23"),"16212223",IF(OR(B511="15",B511="17",B511="24",B511="25"),"15172425",B511))),IF(U511="CEBAS","UNICO",IF(VALUE(B511)&lt;=11,"AMBA","INTERIOR"))))</f>
        <v/>
      </c>
      <c r="W511" s="38" t="str">
        <f>+IF(U511="","-",CONCATENATE(U511,"_",V511))</f>
        <v>-</v>
      </c>
      <c r="X511" s="42">
        <v>0.68500000000000005</v>
      </c>
    </row>
    <row r="512" spans="1:24" ht="15" thickBot="1">
      <c r="A512" s="5" t="s">
        <v>2916</v>
      </c>
      <c r="B512" s="5" t="s">
        <v>204</v>
      </c>
      <c r="C512" s="5" t="s">
        <v>137</v>
      </c>
      <c r="D512" s="5" t="s">
        <v>2629</v>
      </c>
      <c r="E512" s="5">
        <v>613718</v>
      </c>
      <c r="F512" s="5">
        <v>3</v>
      </c>
      <c r="G512" s="5" t="s">
        <v>2639</v>
      </c>
      <c r="H512" s="5" t="s">
        <v>20</v>
      </c>
      <c r="I512" s="6" t="s">
        <v>50</v>
      </c>
      <c r="J512" s="6" t="s">
        <v>51</v>
      </c>
      <c r="K512" s="6" t="s">
        <v>2634</v>
      </c>
      <c r="L512" s="6" t="s">
        <v>2640</v>
      </c>
      <c r="M512" s="6" t="s">
        <v>22</v>
      </c>
      <c r="N512" s="6" t="s">
        <v>23</v>
      </c>
      <c r="O512" s="6" t="s">
        <v>27</v>
      </c>
      <c r="P512" s="6" t="s">
        <v>28</v>
      </c>
      <c r="Q512" s="22">
        <v>12</v>
      </c>
      <c r="R512" s="23">
        <v>1</v>
      </c>
      <c r="S512" s="39">
        <v>0</v>
      </c>
      <c r="T512" s="7" t="s">
        <v>2910</v>
      </c>
      <c r="V512" s="7" t="str">
        <f>+IF(U512="","",IF(U512="FINES",CONCATENATE("R",IF(OR(B512="16",B512="21",B512="22",B512="23"),"16212223",IF(OR(B512="15",B512="17",B512="24",B512="25"),"15172425",B512))),IF(U512="CEBAS","UNICO",IF(VALUE(B512)&lt;=11,"AMBA","INTERIOR"))))</f>
        <v/>
      </c>
      <c r="W512" s="38" t="str">
        <f>+IF(U512="","-",CONCATENATE(U512,"_",V512))</f>
        <v>-</v>
      </c>
      <c r="X512" s="42">
        <v>0.68600000000000005</v>
      </c>
    </row>
    <row r="513" spans="1:24" ht="15" thickBot="1">
      <c r="A513" s="3" t="s">
        <v>2916</v>
      </c>
      <c r="B513" s="3" t="s">
        <v>817</v>
      </c>
      <c r="C513" s="3" t="s">
        <v>2080</v>
      </c>
      <c r="D513" s="3" t="s">
        <v>2081</v>
      </c>
      <c r="E513" s="3">
        <v>607786</v>
      </c>
      <c r="F513" s="3">
        <v>4</v>
      </c>
      <c r="G513" s="3" t="s">
        <v>2105</v>
      </c>
      <c r="H513" s="3" t="s">
        <v>20</v>
      </c>
      <c r="I513" s="4" t="s">
        <v>50</v>
      </c>
      <c r="J513" s="4" t="s">
        <v>51</v>
      </c>
      <c r="K513" s="4" t="s">
        <v>2095</v>
      </c>
      <c r="L513" s="4" t="s">
        <v>1108</v>
      </c>
      <c r="M513" s="4" t="s">
        <v>22</v>
      </c>
      <c r="N513" s="4" t="s">
        <v>23</v>
      </c>
      <c r="O513" s="4" t="s">
        <v>27</v>
      </c>
      <c r="P513" s="4" t="s">
        <v>28</v>
      </c>
      <c r="Q513" s="24">
        <v>36</v>
      </c>
      <c r="R513" s="25">
        <v>2</v>
      </c>
      <c r="S513" s="39">
        <v>0</v>
      </c>
      <c r="T513" s="7" t="s">
        <v>2910</v>
      </c>
      <c r="V513" s="7" t="str">
        <f>+IF(U513="","",IF(U513="FINES",CONCATENATE("R",IF(OR(B513="16",B513="21",B513="22",B513="23"),"16212223",IF(OR(B513="15",B513="17",B513="24",B513="25"),"15172425",B513))),IF(U513="CEBAS","UNICO",IF(VALUE(B513)&lt;=11,"AMBA","INTERIOR"))))</f>
        <v/>
      </c>
      <c r="W513" s="38" t="str">
        <f>+IF(U513="","-",CONCATENATE(U513,"_",V513))</f>
        <v>-</v>
      </c>
      <c r="X513" s="42">
        <v>0.68600000000000005</v>
      </c>
    </row>
    <row r="514" spans="1:24" ht="15" thickBot="1">
      <c r="A514" s="3" t="s">
        <v>2916</v>
      </c>
      <c r="B514" s="3" t="s">
        <v>257</v>
      </c>
      <c r="C514" s="3" t="s">
        <v>254</v>
      </c>
      <c r="D514" s="3" t="s">
        <v>256</v>
      </c>
      <c r="E514" s="3">
        <v>603913</v>
      </c>
      <c r="F514" s="3">
        <v>1</v>
      </c>
      <c r="G514" s="3" t="s">
        <v>283</v>
      </c>
      <c r="H514" s="3" t="s">
        <v>20</v>
      </c>
      <c r="I514" s="4" t="s">
        <v>50</v>
      </c>
      <c r="J514" s="4" t="s">
        <v>51</v>
      </c>
      <c r="K514" s="4" t="s">
        <v>284</v>
      </c>
      <c r="L514" s="4" t="s">
        <v>285</v>
      </c>
      <c r="M514" s="4" t="s">
        <v>22</v>
      </c>
      <c r="N514" s="4" t="s">
        <v>23</v>
      </c>
      <c r="O514" s="4" t="s">
        <v>27</v>
      </c>
      <c r="P514" s="4" t="s">
        <v>28</v>
      </c>
      <c r="Q514" s="24">
        <v>106</v>
      </c>
      <c r="R514" s="25">
        <v>5</v>
      </c>
      <c r="S514" s="39">
        <v>0</v>
      </c>
      <c r="T514" s="7" t="s">
        <v>2910</v>
      </c>
      <c r="V514" s="7" t="str">
        <f>+IF(U514="","",IF(U514="FINES",CONCATENATE("R",IF(OR(B514="16",B514="21",B514="22",B514="23"),"16212223",IF(OR(B514="15",B514="17",B514="24",B514="25"),"15172425",B514))),IF(U514="CEBAS","UNICO",IF(VALUE(B514)&lt;=11,"AMBA","INTERIOR"))))</f>
        <v/>
      </c>
      <c r="W514" s="38" t="str">
        <f>+IF(U514="","-",CONCATENATE(U514,"_",V514))</f>
        <v>-</v>
      </c>
      <c r="X514" s="42">
        <v>0.69199999999999995</v>
      </c>
    </row>
    <row r="515" spans="1:24" ht="15" thickBot="1">
      <c r="A515" s="5" t="s">
        <v>2916</v>
      </c>
      <c r="B515" s="5" t="s">
        <v>204</v>
      </c>
      <c r="C515" s="5" t="s">
        <v>1084</v>
      </c>
      <c r="D515" s="5" t="s">
        <v>1085</v>
      </c>
      <c r="E515" s="5">
        <v>613141</v>
      </c>
      <c r="F515" s="5">
        <v>2</v>
      </c>
      <c r="G515" s="5" t="s">
        <v>1090</v>
      </c>
      <c r="H515" s="5" t="s">
        <v>20</v>
      </c>
      <c r="I515" s="6" t="s">
        <v>50</v>
      </c>
      <c r="J515" s="6" t="s">
        <v>51</v>
      </c>
      <c r="K515" s="6" t="s">
        <v>1089</v>
      </c>
      <c r="L515" s="6" t="s">
        <v>886</v>
      </c>
      <c r="M515" s="6" t="s">
        <v>22</v>
      </c>
      <c r="N515" s="6" t="s">
        <v>23</v>
      </c>
      <c r="O515" s="6" t="s">
        <v>27</v>
      </c>
      <c r="P515" s="6" t="s">
        <v>28</v>
      </c>
      <c r="Q515" s="22">
        <v>73</v>
      </c>
      <c r="R515" s="23">
        <v>4</v>
      </c>
      <c r="S515" s="39">
        <v>0</v>
      </c>
      <c r="T515" s="7" t="s">
        <v>2910</v>
      </c>
      <c r="V515" s="7" t="str">
        <f>+IF(U515="","",IF(U515="FINES",CONCATENATE("R",IF(OR(B515="16",B515="21",B515="22",B515="23"),"16212223",IF(OR(B515="15",B515="17",B515="24",B515="25"),"15172425",B515))),IF(U515="CEBAS","UNICO",IF(VALUE(B515)&lt;=11,"AMBA","INTERIOR"))))</f>
        <v/>
      </c>
      <c r="W515" s="38" t="str">
        <f>+IF(U515="","-",CONCATENATE(U515,"_",V515))</f>
        <v>-</v>
      </c>
      <c r="X515" s="42">
        <v>0.69299999999999995</v>
      </c>
    </row>
    <row r="516" spans="1:24" ht="15" thickBot="1">
      <c r="A516" s="5" t="s">
        <v>2916</v>
      </c>
      <c r="B516" s="5" t="s">
        <v>1860</v>
      </c>
      <c r="C516" s="5" t="s">
        <v>224</v>
      </c>
      <c r="D516" s="5" t="s">
        <v>2837</v>
      </c>
      <c r="E516" s="5">
        <v>613698</v>
      </c>
      <c r="F516" s="5">
        <v>1</v>
      </c>
      <c r="G516" s="5" t="s">
        <v>2845</v>
      </c>
      <c r="H516" s="5" t="s">
        <v>20</v>
      </c>
      <c r="I516" s="6" t="s">
        <v>50</v>
      </c>
      <c r="J516" s="6" t="s">
        <v>51</v>
      </c>
      <c r="K516" s="6" t="s">
        <v>2846</v>
      </c>
      <c r="L516" s="6" t="s">
        <v>1167</v>
      </c>
      <c r="M516" s="6" t="s">
        <v>22</v>
      </c>
      <c r="N516" s="6" t="s">
        <v>23</v>
      </c>
      <c r="O516" s="6" t="s">
        <v>27</v>
      </c>
      <c r="P516" s="6" t="s">
        <v>28</v>
      </c>
      <c r="Q516" s="22">
        <v>17</v>
      </c>
      <c r="R516" s="23">
        <v>1</v>
      </c>
      <c r="S516" s="39">
        <v>0</v>
      </c>
      <c r="T516" s="7" t="s">
        <v>2910</v>
      </c>
      <c r="V516" s="7" t="str">
        <f>+IF(U516="","",IF(U516="FINES",CONCATENATE("R",IF(OR(B516="16",B516="21",B516="22",B516="23"),"16212223",IF(OR(B516="15",B516="17",B516="24",B516="25"),"15172425",B516))),IF(U516="CEBAS","UNICO",IF(VALUE(B516)&lt;=11,"AMBA","INTERIOR"))))</f>
        <v/>
      </c>
      <c r="W516" s="38" t="str">
        <f>+IF(U516="","-",CONCATENATE(U516,"_",V516))</f>
        <v>-</v>
      </c>
      <c r="X516" s="42">
        <v>0.69299999999999995</v>
      </c>
    </row>
    <row r="517" spans="1:24" ht="15" thickBot="1">
      <c r="A517" s="5" t="s">
        <v>2916</v>
      </c>
      <c r="B517" s="5" t="s">
        <v>223</v>
      </c>
      <c r="C517" s="5" t="s">
        <v>229</v>
      </c>
      <c r="D517" s="5" t="s">
        <v>231</v>
      </c>
      <c r="E517" s="5">
        <v>601343</v>
      </c>
      <c r="F517" s="5">
        <v>0</v>
      </c>
      <c r="G517" s="5" t="s">
        <v>236</v>
      </c>
      <c r="H517" s="5" t="s">
        <v>20</v>
      </c>
      <c r="I517" s="6" t="s">
        <v>50</v>
      </c>
      <c r="J517" s="6" t="s">
        <v>21</v>
      </c>
      <c r="K517" s="6"/>
      <c r="L517" s="6" t="s">
        <v>237</v>
      </c>
      <c r="M517" s="6" t="s">
        <v>200</v>
      </c>
      <c r="N517" s="6" t="s">
        <v>23</v>
      </c>
      <c r="O517" s="6" t="s">
        <v>27</v>
      </c>
      <c r="P517" s="6" t="s">
        <v>28</v>
      </c>
      <c r="Q517" s="22">
        <v>4</v>
      </c>
      <c r="R517" s="23">
        <v>1</v>
      </c>
      <c r="S517" s="39">
        <v>0</v>
      </c>
      <c r="T517" s="7" t="s">
        <v>2910</v>
      </c>
      <c r="V517" s="7" t="str">
        <f>+IF(U517="","",IF(U517="FINES",CONCATENATE("R",IF(OR(B517="16",B517="21",B517="22",B517="23"),"16212223",IF(OR(B517="15",B517="17",B517="24",B517="25"),"15172425",B517))),IF(U517="CEBAS","UNICO",IF(VALUE(B517)&lt;=11,"AMBA","INTERIOR"))))</f>
        <v/>
      </c>
      <c r="W517" s="38" t="str">
        <f>+IF(U517="","-",CONCATENATE(U517,"_",V517))</f>
        <v>-</v>
      </c>
      <c r="X517" s="42">
        <v>0.69699999999999995</v>
      </c>
    </row>
    <row r="518" spans="1:24" ht="15" thickBot="1">
      <c r="A518" s="5" t="s">
        <v>2916</v>
      </c>
      <c r="B518" s="5" t="s">
        <v>222</v>
      </c>
      <c r="C518" s="5" t="s">
        <v>1154</v>
      </c>
      <c r="D518" s="5" t="s">
        <v>1155</v>
      </c>
      <c r="E518" s="5">
        <v>600164</v>
      </c>
      <c r="F518" s="5">
        <v>1</v>
      </c>
      <c r="G518" s="5" t="s">
        <v>1156</v>
      </c>
      <c r="H518" s="5" t="s">
        <v>20</v>
      </c>
      <c r="I518" s="6" t="s">
        <v>50</v>
      </c>
      <c r="J518" s="6" t="s">
        <v>51</v>
      </c>
      <c r="K518" s="6" t="s">
        <v>1157</v>
      </c>
      <c r="L518" s="6" t="s">
        <v>765</v>
      </c>
      <c r="M518" s="6" t="s">
        <v>22</v>
      </c>
      <c r="N518" s="6" t="s">
        <v>23</v>
      </c>
      <c r="O518" s="6" t="s">
        <v>27</v>
      </c>
      <c r="P518" s="6" t="s">
        <v>28</v>
      </c>
      <c r="Q518" s="22">
        <v>18</v>
      </c>
      <c r="R518" s="23">
        <v>1</v>
      </c>
      <c r="S518" s="39">
        <v>0</v>
      </c>
      <c r="T518" s="7" t="s">
        <v>2910</v>
      </c>
      <c r="V518" s="7" t="str">
        <f>+IF(U518="","",IF(U518="FINES",CONCATENATE("R",IF(OR(B518="16",B518="21",B518="22",B518="23"),"16212223",IF(OR(B518="15",B518="17",B518="24",B518="25"),"15172425",B518))),IF(U518="CEBAS","UNICO",IF(VALUE(B518)&lt;=11,"AMBA","INTERIOR"))))</f>
        <v/>
      </c>
      <c r="W518" s="38" t="str">
        <f>+IF(U518="","-",CONCATENATE(U518,"_",V518))</f>
        <v>-</v>
      </c>
      <c r="X518" s="42">
        <v>0.69799999999999995</v>
      </c>
    </row>
    <row r="519" spans="1:24" ht="15" thickBot="1">
      <c r="A519" s="3" t="s">
        <v>2916</v>
      </c>
      <c r="B519" s="3" t="s">
        <v>222</v>
      </c>
      <c r="C519" s="3" t="s">
        <v>227</v>
      </c>
      <c r="D519" s="3" t="s">
        <v>2603</v>
      </c>
      <c r="E519" s="3">
        <v>610656</v>
      </c>
      <c r="F519" s="3">
        <v>2</v>
      </c>
      <c r="G519" s="3" t="s">
        <v>2611</v>
      </c>
      <c r="H519" s="3" t="s">
        <v>20</v>
      </c>
      <c r="I519" s="4" t="s">
        <v>50</v>
      </c>
      <c r="J519" s="4" t="s">
        <v>51</v>
      </c>
      <c r="K519" s="4" t="s">
        <v>2610</v>
      </c>
      <c r="L519" s="4" t="s">
        <v>2055</v>
      </c>
      <c r="M519" s="4" t="s">
        <v>22</v>
      </c>
      <c r="N519" s="4" t="s">
        <v>23</v>
      </c>
      <c r="O519" s="4" t="s">
        <v>27</v>
      </c>
      <c r="P519" s="4" t="s">
        <v>28</v>
      </c>
      <c r="Q519" s="24">
        <v>41</v>
      </c>
      <c r="R519" s="25">
        <v>4</v>
      </c>
      <c r="S519" s="39">
        <v>0</v>
      </c>
      <c r="T519" s="7" t="s">
        <v>2910</v>
      </c>
      <c r="V519" s="7" t="str">
        <f>+IF(U519="","",IF(U519="FINES",CONCATENATE("R",IF(OR(B519="16",B519="21",B519="22",B519="23"),"16212223",IF(OR(B519="15",B519="17",B519="24",B519="25"),"15172425",B519))),IF(U519="CEBAS","UNICO",IF(VALUE(B519)&lt;=11,"AMBA","INTERIOR"))))</f>
        <v/>
      </c>
      <c r="W519" s="38" t="str">
        <f>+IF(U519="","-",CONCATENATE(U519,"_",V519))</f>
        <v>-</v>
      </c>
      <c r="X519" s="42">
        <v>0.69799999999999995</v>
      </c>
    </row>
    <row r="520" spans="1:24" ht="15" thickBot="1">
      <c r="A520" s="5" t="s">
        <v>2916</v>
      </c>
      <c r="B520" s="5" t="s">
        <v>1532</v>
      </c>
      <c r="C520" s="5" t="s">
        <v>1530</v>
      </c>
      <c r="D520" s="5" t="s">
        <v>1531</v>
      </c>
      <c r="E520" s="5">
        <v>612436</v>
      </c>
      <c r="F520" s="5">
        <v>1</v>
      </c>
      <c r="G520" s="5" t="s">
        <v>1565</v>
      </c>
      <c r="H520" s="5" t="s">
        <v>20</v>
      </c>
      <c r="I520" s="6" t="s">
        <v>50</v>
      </c>
      <c r="J520" s="6" t="s">
        <v>51</v>
      </c>
      <c r="K520" s="6" t="s">
        <v>1566</v>
      </c>
      <c r="L520" s="6" t="s">
        <v>1567</v>
      </c>
      <c r="M520" s="6" t="s">
        <v>22</v>
      </c>
      <c r="N520" s="6" t="s">
        <v>23</v>
      </c>
      <c r="O520" s="6" t="s">
        <v>27</v>
      </c>
      <c r="P520" s="6" t="s">
        <v>28</v>
      </c>
      <c r="Q520" s="22">
        <v>46</v>
      </c>
      <c r="R520" s="23">
        <v>3</v>
      </c>
      <c r="S520" s="39">
        <v>0</v>
      </c>
      <c r="T520" s="7" t="s">
        <v>2910</v>
      </c>
      <c r="V520" s="7" t="str">
        <f>+IF(U520="","",IF(U520="FINES",CONCATENATE("R",IF(OR(B520="16",B520="21",B520="22",B520="23"),"16212223",IF(OR(B520="15",B520="17",B520="24",B520="25"),"15172425",B520))),IF(U520="CEBAS","UNICO",IF(VALUE(B520)&lt;=11,"AMBA","INTERIOR"))))</f>
        <v/>
      </c>
      <c r="W520" s="38" t="str">
        <f>+IF(U520="","-",CONCATENATE(U520,"_",V520))</f>
        <v>-</v>
      </c>
      <c r="X520" s="42">
        <v>0.69899999999999995</v>
      </c>
    </row>
    <row r="521" spans="1:24" ht="15" thickBot="1">
      <c r="A521" s="3" t="s">
        <v>2916</v>
      </c>
      <c r="B521" s="3" t="s">
        <v>19</v>
      </c>
      <c r="C521" s="3" t="s">
        <v>17</v>
      </c>
      <c r="D521" s="3" t="s">
        <v>18</v>
      </c>
      <c r="E521" s="3">
        <v>615638</v>
      </c>
      <c r="F521" s="3">
        <v>2</v>
      </c>
      <c r="G521" s="3" t="s">
        <v>91</v>
      </c>
      <c r="H521" s="3" t="s">
        <v>20</v>
      </c>
      <c r="I521" s="4" t="s">
        <v>50</v>
      </c>
      <c r="J521" s="4" t="s">
        <v>51</v>
      </c>
      <c r="K521" s="4" t="s">
        <v>87</v>
      </c>
      <c r="L521" s="4" t="s">
        <v>92</v>
      </c>
      <c r="M521" s="4" t="s">
        <v>22</v>
      </c>
      <c r="N521" s="4" t="s">
        <v>23</v>
      </c>
      <c r="O521" s="4" t="s">
        <v>27</v>
      </c>
      <c r="P521" s="4" t="s">
        <v>28</v>
      </c>
      <c r="Q521" s="24">
        <v>30</v>
      </c>
      <c r="R521" s="25">
        <v>3</v>
      </c>
      <c r="S521" s="39">
        <v>0</v>
      </c>
      <c r="T521" s="7" t="s">
        <v>2910</v>
      </c>
      <c r="V521" s="7" t="str">
        <f>+IF(U521="","",IF(U521="FINES",CONCATENATE("R",IF(OR(B521="16",B521="21",B521="22",B521="23"),"16212223",IF(OR(B521="15",B521="17",B521="24",B521="25"),"15172425",B521))),IF(U521="CEBAS","UNICO",IF(VALUE(B521)&lt;=11,"AMBA","INTERIOR"))))</f>
        <v/>
      </c>
      <c r="W521" s="38" t="str">
        <f>+IF(U521="","-",CONCATENATE(U521,"_",V521))</f>
        <v>-</v>
      </c>
      <c r="X521" s="42">
        <v>0.70099999999999996</v>
      </c>
    </row>
    <row r="522" spans="1:24" ht="15" thickBot="1">
      <c r="A522" s="3" t="s">
        <v>2916</v>
      </c>
      <c r="B522" s="3" t="s">
        <v>138</v>
      </c>
      <c r="C522" s="3" t="s">
        <v>643</v>
      </c>
      <c r="D522" s="3" t="s">
        <v>645</v>
      </c>
      <c r="E522" s="3">
        <v>608255</v>
      </c>
      <c r="F522" s="3">
        <v>0</v>
      </c>
      <c r="G522" s="3" t="s">
        <v>646</v>
      </c>
      <c r="H522" s="3" t="s">
        <v>20</v>
      </c>
      <c r="I522" s="4" t="s">
        <v>50</v>
      </c>
      <c r="J522" s="4" t="s">
        <v>21</v>
      </c>
      <c r="K522" s="4"/>
      <c r="L522" s="4" t="s">
        <v>235</v>
      </c>
      <c r="M522" s="4" t="s">
        <v>22</v>
      </c>
      <c r="N522" s="4" t="s">
        <v>23</v>
      </c>
      <c r="O522" s="4" t="s">
        <v>27</v>
      </c>
      <c r="P522" s="4" t="s">
        <v>28</v>
      </c>
      <c r="Q522" s="24">
        <v>63</v>
      </c>
      <c r="R522" s="25">
        <v>4</v>
      </c>
      <c r="S522" s="39">
        <v>0</v>
      </c>
      <c r="T522" s="7" t="s">
        <v>2910</v>
      </c>
      <c r="V522" s="7" t="str">
        <f>+IF(U522="","",IF(U522="FINES",CONCATENATE("R",IF(OR(B522="16",B522="21",B522="22",B522="23"),"16212223",IF(OR(B522="15",B522="17",B522="24",B522="25"),"15172425",B522))),IF(U522="CEBAS","UNICO",IF(VALUE(B522)&lt;=11,"AMBA","INTERIOR"))))</f>
        <v/>
      </c>
      <c r="W522" s="38" t="str">
        <f>+IF(U522="","-",CONCATENATE(U522,"_",V522))</f>
        <v>-</v>
      </c>
      <c r="X522" s="42">
        <v>0.70199999999999996</v>
      </c>
    </row>
    <row r="523" spans="1:24" ht="15" thickBot="1">
      <c r="A523" s="5" t="s">
        <v>2916</v>
      </c>
      <c r="B523" s="5" t="s">
        <v>217</v>
      </c>
      <c r="C523" s="5" t="s">
        <v>2027</v>
      </c>
      <c r="D523" s="5" t="s">
        <v>2028</v>
      </c>
      <c r="E523" s="5">
        <v>611796</v>
      </c>
      <c r="F523" s="5">
        <v>2</v>
      </c>
      <c r="G523" s="5" t="s">
        <v>2036</v>
      </c>
      <c r="H523" s="5" t="s">
        <v>20</v>
      </c>
      <c r="I523" s="6" t="s">
        <v>50</v>
      </c>
      <c r="J523" s="6" t="s">
        <v>51</v>
      </c>
      <c r="K523" s="6" t="s">
        <v>2034</v>
      </c>
      <c r="L523" s="6" t="s">
        <v>465</v>
      </c>
      <c r="M523" s="6" t="s">
        <v>22</v>
      </c>
      <c r="N523" s="6" t="s">
        <v>23</v>
      </c>
      <c r="O523" s="6" t="s">
        <v>27</v>
      </c>
      <c r="P523" s="6" t="s">
        <v>28</v>
      </c>
      <c r="Q523" s="22">
        <v>48</v>
      </c>
      <c r="R523" s="23">
        <v>3</v>
      </c>
      <c r="S523" s="39">
        <v>0</v>
      </c>
      <c r="T523" s="7" t="s">
        <v>2910</v>
      </c>
      <c r="V523" s="7" t="str">
        <f>+IF(U523="","",IF(U523="FINES",CONCATENATE("R",IF(OR(B523="16",B523="21",B523="22",B523="23"),"16212223",IF(OR(B523="15",B523="17",B523="24",B523="25"),"15172425",B523))),IF(U523="CEBAS","UNICO",IF(VALUE(B523)&lt;=11,"AMBA","INTERIOR"))))</f>
        <v/>
      </c>
      <c r="W523" s="38" t="str">
        <f>+IF(U523="","-",CONCATENATE(U523,"_",V523))</f>
        <v>-</v>
      </c>
      <c r="X523" s="42">
        <v>0.70399999999999996</v>
      </c>
    </row>
    <row r="524" spans="1:24" ht="15" thickBot="1">
      <c r="A524" s="5" t="s">
        <v>2916</v>
      </c>
      <c r="B524" s="5" t="s">
        <v>140</v>
      </c>
      <c r="C524" s="5" t="s">
        <v>539</v>
      </c>
      <c r="D524" s="5" t="s">
        <v>541</v>
      </c>
      <c r="E524" s="5">
        <v>605395</v>
      </c>
      <c r="F524" s="5">
        <v>0</v>
      </c>
      <c r="G524" s="5" t="s">
        <v>544</v>
      </c>
      <c r="H524" s="5" t="s">
        <v>20</v>
      </c>
      <c r="I524" s="6" t="s">
        <v>50</v>
      </c>
      <c r="J524" s="6" t="s">
        <v>21</v>
      </c>
      <c r="K524" s="6"/>
      <c r="L524" s="6" t="s">
        <v>545</v>
      </c>
      <c r="M524" s="6" t="s">
        <v>200</v>
      </c>
      <c r="N524" s="6" t="s">
        <v>23</v>
      </c>
      <c r="O524" s="6" t="s">
        <v>27</v>
      </c>
      <c r="P524" s="6" t="s">
        <v>28</v>
      </c>
      <c r="Q524" s="22">
        <v>2</v>
      </c>
      <c r="R524" s="23">
        <v>1</v>
      </c>
      <c r="S524" s="39">
        <v>0</v>
      </c>
      <c r="T524" s="7" t="s">
        <v>2910</v>
      </c>
      <c r="V524" s="7" t="str">
        <f>+IF(U524="","",IF(U524="FINES",CONCATENATE("R",IF(OR(B524="16",B524="21",B524="22",B524="23"),"16212223",IF(OR(B524="15",B524="17",B524="24",B524="25"),"15172425",B524))),IF(U524="CEBAS","UNICO",IF(VALUE(B524)&lt;=11,"AMBA","INTERIOR"))))</f>
        <v/>
      </c>
      <c r="W524" s="38" t="str">
        <f>+IF(U524="","-",CONCATENATE(U524,"_",V524))</f>
        <v>-</v>
      </c>
      <c r="X524" s="42">
        <v>0.70399999999999996</v>
      </c>
    </row>
    <row r="525" spans="1:24" ht="15" thickBot="1">
      <c r="A525" s="5" t="s">
        <v>2916</v>
      </c>
      <c r="B525" s="5" t="s">
        <v>356</v>
      </c>
      <c r="C525" s="5" t="s">
        <v>353</v>
      </c>
      <c r="D525" s="5" t="s">
        <v>355</v>
      </c>
      <c r="E525" s="5">
        <v>621162</v>
      </c>
      <c r="F525" s="5">
        <v>0</v>
      </c>
      <c r="G525" s="5" t="s">
        <v>420</v>
      </c>
      <c r="H525" s="5" t="s">
        <v>210</v>
      </c>
      <c r="I525" s="6" t="s">
        <v>201</v>
      </c>
      <c r="J525" s="6" t="s">
        <v>21</v>
      </c>
      <c r="K525" s="6"/>
      <c r="L525" s="6" t="s">
        <v>421</v>
      </c>
      <c r="M525" s="6" t="s">
        <v>22</v>
      </c>
      <c r="N525" s="6" t="s">
        <v>23</v>
      </c>
      <c r="O525" s="6" t="s">
        <v>27</v>
      </c>
      <c r="P525" s="6" t="s">
        <v>144</v>
      </c>
      <c r="Q525" s="22">
        <v>33</v>
      </c>
      <c r="R525" s="23">
        <v>3</v>
      </c>
      <c r="S525" s="39">
        <v>0</v>
      </c>
      <c r="T525" s="7" t="s">
        <v>2909</v>
      </c>
      <c r="U525" s="7"/>
      <c r="V525" s="7" t="str">
        <f>+IF(U525="","",IF(U525="FINES",CONCATENATE("R",IF(OR(B525="16",B525="21",B525="22",B525="23"),"16212223",IF(OR(B525="15",B525="17",B525="24",B525="25"),"15172425",B525))),IF(U525="CEBAS","UNICO",IF(VALUE(B525)&lt;=11,"AMBA","INTERIOR"))))</f>
        <v/>
      </c>
      <c r="W525" s="38" t="str">
        <f>+IF(U525="","-",CONCATENATE(U525,"_",V525))</f>
        <v>-</v>
      </c>
      <c r="X525" s="42">
        <v>0.70499999999999996</v>
      </c>
    </row>
    <row r="526" spans="1:24" ht="15" thickBot="1">
      <c r="A526" s="5" t="s">
        <v>2916</v>
      </c>
      <c r="B526" s="5" t="s">
        <v>138</v>
      </c>
      <c r="C526" s="5" t="s">
        <v>540</v>
      </c>
      <c r="D526" s="5" t="s">
        <v>1766</v>
      </c>
      <c r="E526" s="5">
        <v>609593</v>
      </c>
      <c r="F526" s="5">
        <v>2</v>
      </c>
      <c r="G526" s="5" t="s">
        <v>1769</v>
      </c>
      <c r="H526" s="5" t="s">
        <v>20</v>
      </c>
      <c r="I526" s="6" t="s">
        <v>50</v>
      </c>
      <c r="J526" s="6" t="s">
        <v>51</v>
      </c>
      <c r="K526" s="6" t="s">
        <v>1768</v>
      </c>
      <c r="L526" s="6" t="s">
        <v>617</v>
      </c>
      <c r="M526" s="6" t="s">
        <v>22</v>
      </c>
      <c r="N526" s="6" t="s">
        <v>23</v>
      </c>
      <c r="O526" s="6" t="s">
        <v>27</v>
      </c>
      <c r="P526" s="6" t="s">
        <v>28</v>
      </c>
      <c r="Q526" s="22">
        <v>25</v>
      </c>
      <c r="R526" s="23">
        <v>2</v>
      </c>
      <c r="S526" s="39">
        <v>0</v>
      </c>
      <c r="T526" s="7" t="s">
        <v>2910</v>
      </c>
      <c r="U526" s="7"/>
      <c r="V526" s="7" t="str">
        <f>+IF(U526="","",IF(U526="FINES",CONCATENATE("R",IF(OR(B526="16",B526="21",B526="22",B526="23"),"16212223",IF(OR(B526="15",B526="17",B526="24",B526="25"),"15172425",B526))),IF(U526="CEBAS","UNICO",IF(VALUE(B526)&lt;=11,"AMBA","INTERIOR"))))</f>
        <v/>
      </c>
      <c r="W526" s="38" t="str">
        <f>+IF(U526="","-",CONCATENATE(U526,"_",V526))</f>
        <v>-</v>
      </c>
      <c r="X526" s="42">
        <v>0.70599999999999996</v>
      </c>
    </row>
    <row r="527" spans="1:24" ht="15" thickBot="1">
      <c r="A527" s="3" t="s">
        <v>2916</v>
      </c>
      <c r="B527" s="3" t="s">
        <v>1532</v>
      </c>
      <c r="C527" s="3" t="s">
        <v>1530</v>
      </c>
      <c r="D527" s="3" t="s">
        <v>1531</v>
      </c>
      <c r="E527" s="3">
        <v>610535</v>
      </c>
      <c r="F527" s="3">
        <v>3</v>
      </c>
      <c r="G527" s="3" t="s">
        <v>1593</v>
      </c>
      <c r="H527" s="3" t="s">
        <v>20</v>
      </c>
      <c r="I527" s="4" t="s">
        <v>50</v>
      </c>
      <c r="J527" s="4" t="s">
        <v>51</v>
      </c>
      <c r="K527" s="4" t="s">
        <v>1561</v>
      </c>
      <c r="L527" s="4" t="s">
        <v>1594</v>
      </c>
      <c r="M527" s="4" t="s">
        <v>22</v>
      </c>
      <c r="N527" s="4" t="s">
        <v>23</v>
      </c>
      <c r="O527" s="4" t="s">
        <v>27</v>
      </c>
      <c r="P527" s="4" t="s">
        <v>28</v>
      </c>
      <c r="Q527" s="24">
        <v>12</v>
      </c>
      <c r="R527" s="25">
        <v>1</v>
      </c>
      <c r="S527" s="39">
        <v>0</v>
      </c>
      <c r="T527" s="7" t="s">
        <v>2910</v>
      </c>
      <c r="U527" s="7"/>
      <c r="V527" s="7" t="str">
        <f>+IF(U527="","",IF(U527="FINES",CONCATENATE("R",IF(OR(B527="16",B527="21",B527="22",B527="23"),"16212223",IF(OR(B527="15",B527="17",B527="24",B527="25"),"15172425",B527))),IF(U527="CEBAS","UNICO",IF(VALUE(B527)&lt;=11,"AMBA","INTERIOR"))))</f>
        <v/>
      </c>
      <c r="W527" s="38" t="str">
        <f>+IF(U527="","-",CONCATENATE(U527,"_",V527))</f>
        <v>-</v>
      </c>
      <c r="X527" s="42">
        <v>0.70699999999999996</v>
      </c>
    </row>
    <row r="528" spans="1:24" ht="15" thickBot="1">
      <c r="A528" s="3" t="s">
        <v>2916</v>
      </c>
      <c r="B528" s="3" t="s">
        <v>257</v>
      </c>
      <c r="C528" s="3" t="s">
        <v>772</v>
      </c>
      <c r="D528" s="3" t="s">
        <v>773</v>
      </c>
      <c r="E528" s="3">
        <v>609164</v>
      </c>
      <c r="F528" s="3">
        <v>4</v>
      </c>
      <c r="G528" s="3" t="s">
        <v>776</v>
      </c>
      <c r="H528" s="3" t="s">
        <v>20</v>
      </c>
      <c r="I528" s="4" t="s">
        <v>50</v>
      </c>
      <c r="J528" s="4" t="s">
        <v>51</v>
      </c>
      <c r="K528" s="4" t="s">
        <v>775</v>
      </c>
      <c r="L528" s="4" t="s">
        <v>530</v>
      </c>
      <c r="M528" s="4" t="s">
        <v>22</v>
      </c>
      <c r="N528" s="4" t="s">
        <v>23</v>
      </c>
      <c r="O528" s="4" t="s">
        <v>27</v>
      </c>
      <c r="P528" s="4" t="s">
        <v>28</v>
      </c>
      <c r="Q528" s="24">
        <v>40</v>
      </c>
      <c r="R528" s="25">
        <v>3</v>
      </c>
      <c r="S528" s="39">
        <v>0</v>
      </c>
      <c r="T528" s="7" t="s">
        <v>2910</v>
      </c>
      <c r="U528" s="7"/>
      <c r="V528" s="7" t="str">
        <f>+IF(U528="","",IF(U528="FINES",CONCATENATE("R",IF(OR(B528="16",B528="21",B528="22",B528="23"),"16212223",IF(OR(B528="15",B528="17",B528="24",B528="25"),"15172425",B528))),IF(U528="CEBAS","UNICO",IF(VALUE(B528)&lt;=11,"AMBA","INTERIOR"))))</f>
        <v/>
      </c>
      <c r="W528" s="38" t="str">
        <f>+IF(U528="","-",CONCATENATE(U528,"_",V528))</f>
        <v>-</v>
      </c>
      <c r="X528" s="42">
        <v>0.70699999999999996</v>
      </c>
    </row>
    <row r="529" spans="1:24" ht="15" thickBot="1">
      <c r="A529" s="5" t="s">
        <v>2916</v>
      </c>
      <c r="B529" s="5" t="s">
        <v>205</v>
      </c>
      <c r="C529" s="5" t="s">
        <v>2002</v>
      </c>
      <c r="D529" s="5" t="s">
        <v>2003</v>
      </c>
      <c r="E529" s="5">
        <v>607083</v>
      </c>
      <c r="F529" s="5">
        <v>2</v>
      </c>
      <c r="G529" s="5" t="s">
        <v>2008</v>
      </c>
      <c r="H529" s="5" t="s">
        <v>20</v>
      </c>
      <c r="I529" s="6" t="s">
        <v>50</v>
      </c>
      <c r="J529" s="6" t="s">
        <v>51</v>
      </c>
      <c r="K529" s="6" t="s">
        <v>2007</v>
      </c>
      <c r="L529" s="6" t="s">
        <v>528</v>
      </c>
      <c r="M529" s="6" t="s">
        <v>22</v>
      </c>
      <c r="N529" s="6" t="s">
        <v>23</v>
      </c>
      <c r="O529" s="6" t="s">
        <v>27</v>
      </c>
      <c r="P529" s="6" t="s">
        <v>28</v>
      </c>
      <c r="Q529" s="22">
        <v>29</v>
      </c>
      <c r="R529" s="23">
        <v>2</v>
      </c>
      <c r="S529" s="39">
        <v>0</v>
      </c>
      <c r="T529" s="7" t="s">
        <v>2910</v>
      </c>
      <c r="U529" s="7"/>
      <c r="V529" s="7" t="str">
        <f>+IF(U529="","",IF(U529="FINES",CONCATENATE("R",IF(OR(B529="16",B529="21",B529="22",B529="23"),"16212223",IF(OR(B529="15",B529="17",B529="24",B529="25"),"15172425",B529))),IF(U529="CEBAS","UNICO",IF(VALUE(B529)&lt;=11,"AMBA","INTERIOR"))))</f>
        <v/>
      </c>
      <c r="W529" s="38" t="str">
        <f>+IF(U529="","-",CONCATENATE(U529,"_",V529))</f>
        <v>-</v>
      </c>
      <c r="X529" s="42">
        <v>0.71</v>
      </c>
    </row>
    <row r="530" spans="1:24" ht="15" thickBot="1">
      <c r="A530" s="5" t="s">
        <v>2916</v>
      </c>
      <c r="B530" s="5" t="s">
        <v>1257</v>
      </c>
      <c r="C530" s="5" t="s">
        <v>2213</v>
      </c>
      <c r="D530" s="5" t="s">
        <v>2214</v>
      </c>
      <c r="E530" s="5">
        <v>601022</v>
      </c>
      <c r="F530" s="5">
        <v>1</v>
      </c>
      <c r="G530" s="5" t="s">
        <v>2227</v>
      </c>
      <c r="H530" s="5" t="s">
        <v>20</v>
      </c>
      <c r="I530" s="6" t="s">
        <v>50</v>
      </c>
      <c r="J530" s="6" t="s">
        <v>51</v>
      </c>
      <c r="K530" s="6" t="s">
        <v>2220</v>
      </c>
      <c r="L530" s="6" t="s">
        <v>465</v>
      </c>
      <c r="M530" s="6" t="s">
        <v>22</v>
      </c>
      <c r="N530" s="6" t="s">
        <v>23</v>
      </c>
      <c r="O530" s="6" t="s">
        <v>27</v>
      </c>
      <c r="P530" s="6" t="s">
        <v>28</v>
      </c>
      <c r="Q530" s="22">
        <v>30</v>
      </c>
      <c r="R530" s="23">
        <v>3</v>
      </c>
      <c r="S530" s="39">
        <v>0</v>
      </c>
      <c r="T530" s="7" t="s">
        <v>2910</v>
      </c>
      <c r="U530" s="7"/>
      <c r="V530" s="7" t="str">
        <f>+IF(U530="","",IF(U530="FINES",CONCATENATE("R",IF(OR(B530="16",B530="21",B530="22",B530="23"),"16212223",IF(OR(B530="15",B530="17",B530="24",B530="25"),"15172425",B530))),IF(U530="CEBAS","UNICO",IF(VALUE(B530)&lt;=11,"AMBA","INTERIOR"))))</f>
        <v/>
      </c>
      <c r="W530" s="38" t="str">
        <f>+IF(U530="","-",CONCATENATE(U530,"_",V530))</f>
        <v>-</v>
      </c>
      <c r="X530" s="42">
        <v>0.71299999999999997</v>
      </c>
    </row>
    <row r="531" spans="1:24" ht="15" thickBot="1">
      <c r="A531" s="3" t="s">
        <v>2916</v>
      </c>
      <c r="B531" s="3" t="s">
        <v>1257</v>
      </c>
      <c r="C531" s="3" t="s">
        <v>2213</v>
      </c>
      <c r="D531" s="3" t="s">
        <v>2214</v>
      </c>
      <c r="E531" s="3">
        <v>600843</v>
      </c>
      <c r="F531" s="3">
        <v>3</v>
      </c>
      <c r="G531" s="3" t="s">
        <v>2217</v>
      </c>
      <c r="H531" s="3" t="s">
        <v>20</v>
      </c>
      <c r="I531" s="4" t="s">
        <v>50</v>
      </c>
      <c r="J531" s="4" t="s">
        <v>51</v>
      </c>
      <c r="K531" s="4" t="s">
        <v>2218</v>
      </c>
      <c r="L531" s="4" t="s">
        <v>672</v>
      </c>
      <c r="M531" s="4" t="s">
        <v>22</v>
      </c>
      <c r="N531" s="4" t="s">
        <v>23</v>
      </c>
      <c r="O531" s="4" t="s">
        <v>27</v>
      </c>
      <c r="P531" s="4" t="s">
        <v>28</v>
      </c>
      <c r="Q531" s="24">
        <v>30</v>
      </c>
      <c r="R531" s="25">
        <v>3</v>
      </c>
      <c r="S531" s="39">
        <v>0</v>
      </c>
      <c r="T531" s="7" t="s">
        <v>2910</v>
      </c>
      <c r="U531" s="7"/>
      <c r="V531" s="7" t="str">
        <f>+IF(U531="","",IF(U531="FINES",CONCATENATE("R",IF(OR(B531="16",B531="21",B531="22",B531="23"),"16212223",IF(OR(B531="15",B531="17",B531="24",B531="25"),"15172425",B531))),IF(U531="CEBAS","UNICO",IF(VALUE(B531)&lt;=11,"AMBA","INTERIOR"))))</f>
        <v/>
      </c>
      <c r="W531" s="38" t="str">
        <f>+IF(U531="","-",CONCATENATE(U531,"_",V531))</f>
        <v>-</v>
      </c>
      <c r="X531" s="42">
        <v>0.71299999999999997</v>
      </c>
    </row>
    <row r="532" spans="1:24" ht="15" thickBot="1">
      <c r="A532" s="5" t="s">
        <v>2916</v>
      </c>
      <c r="B532" s="5" t="s">
        <v>516</v>
      </c>
      <c r="C532" s="5" t="s">
        <v>889</v>
      </c>
      <c r="D532" s="5" t="s">
        <v>2458</v>
      </c>
      <c r="E532" s="5">
        <v>600026</v>
      </c>
      <c r="F532" s="5">
        <v>2</v>
      </c>
      <c r="G532" s="5" t="s">
        <v>2463</v>
      </c>
      <c r="H532" s="5" t="s">
        <v>20</v>
      </c>
      <c r="I532" s="6" t="s">
        <v>50</v>
      </c>
      <c r="J532" s="6" t="s">
        <v>51</v>
      </c>
      <c r="K532" s="6" t="s">
        <v>2462</v>
      </c>
      <c r="L532" s="6" t="s">
        <v>528</v>
      </c>
      <c r="M532" s="6" t="s">
        <v>22</v>
      </c>
      <c r="N532" s="6" t="s">
        <v>23</v>
      </c>
      <c r="O532" s="6" t="s">
        <v>27</v>
      </c>
      <c r="P532" s="6" t="s">
        <v>28</v>
      </c>
      <c r="Q532" s="22">
        <v>6</v>
      </c>
      <c r="R532" s="23">
        <v>1</v>
      </c>
      <c r="S532" s="39">
        <v>0</v>
      </c>
      <c r="T532" s="7" t="s">
        <v>2910</v>
      </c>
      <c r="U532" s="7"/>
      <c r="V532" s="7" t="str">
        <f>+IF(U532="","",IF(U532="FINES",CONCATENATE("R",IF(OR(B532="16",B532="21",B532="22",B532="23"),"16212223",IF(OR(B532="15",B532="17",B532="24",B532="25"),"15172425",B532))),IF(U532="CEBAS","UNICO",IF(VALUE(B532)&lt;=11,"AMBA","INTERIOR"))))</f>
        <v/>
      </c>
      <c r="W532" s="38" t="str">
        <f>+IF(U532="","-",CONCATENATE(U532,"_",V532))</f>
        <v>-</v>
      </c>
      <c r="X532" s="42">
        <v>0.71699999999999997</v>
      </c>
    </row>
    <row r="533" spans="1:24" ht="15" thickBot="1">
      <c r="A533" s="5" t="s">
        <v>2916</v>
      </c>
      <c r="B533" s="5" t="s">
        <v>138</v>
      </c>
      <c r="C533" s="5" t="s">
        <v>643</v>
      </c>
      <c r="D533" s="5" t="s">
        <v>645</v>
      </c>
      <c r="E533" s="5">
        <v>601293</v>
      </c>
      <c r="F533" s="5">
        <v>1</v>
      </c>
      <c r="G533" s="5" t="s">
        <v>647</v>
      </c>
      <c r="H533" s="5" t="s">
        <v>20</v>
      </c>
      <c r="I533" s="6" t="s">
        <v>50</v>
      </c>
      <c r="J533" s="6" t="s">
        <v>51</v>
      </c>
      <c r="K533" s="6" t="s">
        <v>648</v>
      </c>
      <c r="L533" s="6" t="s">
        <v>545</v>
      </c>
      <c r="M533" s="6" t="s">
        <v>22</v>
      </c>
      <c r="N533" s="6" t="s">
        <v>23</v>
      </c>
      <c r="O533" s="6" t="s">
        <v>27</v>
      </c>
      <c r="P533" s="6" t="s">
        <v>28</v>
      </c>
      <c r="Q533" s="22">
        <v>20</v>
      </c>
      <c r="R533" s="23">
        <v>1</v>
      </c>
      <c r="S533" s="39">
        <v>0</v>
      </c>
      <c r="T533" s="7" t="s">
        <v>2910</v>
      </c>
      <c r="U533" s="7"/>
      <c r="V533" s="7" t="str">
        <f>+IF(U533="","",IF(U533="FINES",CONCATENATE("R",IF(OR(B533="16",B533="21",B533="22",B533="23"),"16212223",IF(OR(B533="15",B533="17",B533="24",B533="25"),"15172425",B533))),IF(U533="CEBAS","UNICO",IF(VALUE(B533)&lt;=11,"AMBA","INTERIOR"))))</f>
        <v/>
      </c>
      <c r="W533" s="38" t="str">
        <f>+IF(U533="","-",CONCATENATE(U533,"_",V533))</f>
        <v>-</v>
      </c>
      <c r="X533" s="42">
        <v>0.71699999999999997</v>
      </c>
    </row>
    <row r="534" spans="1:24" ht="15" thickBot="1">
      <c r="A534" s="5" t="s">
        <v>2916</v>
      </c>
      <c r="B534" s="5" t="s">
        <v>356</v>
      </c>
      <c r="C534" s="5" t="s">
        <v>805</v>
      </c>
      <c r="D534" s="5" t="s">
        <v>2500</v>
      </c>
      <c r="E534" s="5">
        <v>613706</v>
      </c>
      <c r="F534" s="5">
        <v>1</v>
      </c>
      <c r="G534" s="5" t="s">
        <v>2521</v>
      </c>
      <c r="H534" s="5" t="s">
        <v>20</v>
      </c>
      <c r="I534" s="6" t="s">
        <v>50</v>
      </c>
      <c r="J534" s="6" t="s">
        <v>51</v>
      </c>
      <c r="K534" s="6" t="s">
        <v>2522</v>
      </c>
      <c r="L534" s="6" t="s">
        <v>2523</v>
      </c>
      <c r="M534" s="6" t="s">
        <v>22</v>
      </c>
      <c r="N534" s="6" t="s">
        <v>23</v>
      </c>
      <c r="O534" s="6" t="s">
        <v>27</v>
      </c>
      <c r="P534" s="6" t="s">
        <v>28</v>
      </c>
      <c r="Q534" s="22">
        <v>30</v>
      </c>
      <c r="R534" s="23">
        <v>2</v>
      </c>
      <c r="S534" s="39">
        <v>0</v>
      </c>
      <c r="T534" s="7" t="s">
        <v>2910</v>
      </c>
      <c r="U534" s="7"/>
      <c r="V534" s="7" t="str">
        <f>+IF(U534="","",IF(U534="FINES",CONCATENATE("R",IF(OR(B534="16",B534="21",B534="22",B534="23"),"16212223",IF(OR(B534="15",B534="17",B534="24",B534="25"),"15172425",B534))),IF(U534="CEBAS","UNICO",IF(VALUE(B534)&lt;=11,"AMBA","INTERIOR"))))</f>
        <v/>
      </c>
      <c r="W534" s="38" t="str">
        <f>+IF(U534="","-",CONCATENATE(U534,"_",V534))</f>
        <v>-</v>
      </c>
      <c r="X534" s="42">
        <v>0.71799999999999997</v>
      </c>
    </row>
    <row r="535" spans="1:24" ht="15" thickBot="1">
      <c r="A535" s="3" t="s">
        <v>2916</v>
      </c>
      <c r="B535" s="3" t="s">
        <v>217</v>
      </c>
      <c r="C535" s="3" t="s">
        <v>2027</v>
      </c>
      <c r="D535" s="3" t="s">
        <v>2028</v>
      </c>
      <c r="E535" s="3">
        <v>601475</v>
      </c>
      <c r="F535" s="3">
        <v>1</v>
      </c>
      <c r="G535" s="3" t="s">
        <v>2029</v>
      </c>
      <c r="H535" s="3" t="s">
        <v>20</v>
      </c>
      <c r="I535" s="4" t="s">
        <v>50</v>
      </c>
      <c r="J535" s="4" t="s">
        <v>51</v>
      </c>
      <c r="K535" s="4" t="s">
        <v>2030</v>
      </c>
      <c r="L535" s="4" t="s">
        <v>754</v>
      </c>
      <c r="M535" s="4" t="s">
        <v>22</v>
      </c>
      <c r="N535" s="4" t="s">
        <v>23</v>
      </c>
      <c r="O535" s="4" t="s">
        <v>27</v>
      </c>
      <c r="P535" s="4" t="s">
        <v>28</v>
      </c>
      <c r="Q535" s="24">
        <v>28</v>
      </c>
      <c r="R535" s="25">
        <v>4</v>
      </c>
      <c r="S535" s="39">
        <v>0</v>
      </c>
      <c r="T535" s="7" t="s">
        <v>2910</v>
      </c>
      <c r="U535" s="7"/>
      <c r="V535" s="7" t="str">
        <f>+IF(U535="","",IF(U535="FINES",CONCATENATE("R",IF(OR(B535="16",B535="21",B535="22",B535="23"),"16212223",IF(OR(B535="15",B535="17",B535="24",B535="25"),"15172425",B535))),IF(U535="CEBAS","UNICO",IF(VALUE(B535)&lt;=11,"AMBA","INTERIOR"))))</f>
        <v/>
      </c>
      <c r="W535" s="38" t="str">
        <f>+IF(U535="","-",CONCATENATE(U535,"_",V535))</f>
        <v>-</v>
      </c>
      <c r="X535" s="42">
        <v>0.72099999999999997</v>
      </c>
    </row>
    <row r="536" spans="1:24" ht="15" thickBot="1">
      <c r="A536" s="3" t="s">
        <v>2916</v>
      </c>
      <c r="B536" s="3" t="s">
        <v>1860</v>
      </c>
      <c r="C536" s="3" t="s">
        <v>411</v>
      </c>
      <c r="D536" s="3" t="s">
        <v>2791</v>
      </c>
      <c r="E536" s="3">
        <v>614092</v>
      </c>
      <c r="F536" s="3">
        <v>2</v>
      </c>
      <c r="G536" s="3" t="s">
        <v>2801</v>
      </c>
      <c r="H536" s="3" t="s">
        <v>20</v>
      </c>
      <c r="I536" s="4" t="s">
        <v>50</v>
      </c>
      <c r="J536" s="4" t="s">
        <v>51</v>
      </c>
      <c r="K536" s="4" t="s">
        <v>2800</v>
      </c>
      <c r="L536" s="4" t="s">
        <v>2333</v>
      </c>
      <c r="M536" s="4" t="s">
        <v>22</v>
      </c>
      <c r="N536" s="4" t="s">
        <v>23</v>
      </c>
      <c r="O536" s="4" t="s">
        <v>27</v>
      </c>
      <c r="P536" s="4" t="s">
        <v>28</v>
      </c>
      <c r="Q536" s="24">
        <v>83</v>
      </c>
      <c r="R536" s="25">
        <v>4</v>
      </c>
      <c r="S536" s="39">
        <v>0</v>
      </c>
      <c r="T536" s="7" t="s">
        <v>2910</v>
      </c>
      <c r="U536" s="7"/>
      <c r="V536" s="7" t="str">
        <f>+IF(U536="","",IF(U536="FINES",CONCATENATE("R",IF(OR(B536="16",B536="21",B536="22",B536="23"),"16212223",IF(OR(B536="15",B536="17",B536="24",B536="25"),"15172425",B536))),IF(U536="CEBAS","UNICO",IF(VALUE(B536)&lt;=11,"AMBA","INTERIOR"))))</f>
        <v/>
      </c>
      <c r="W536" s="38" t="str">
        <f>+IF(U536="","-",CONCATENATE(U536,"_",V536))</f>
        <v>-</v>
      </c>
      <c r="X536" s="42">
        <v>0.72099999999999997</v>
      </c>
    </row>
    <row r="537" spans="1:24" ht="15" thickBot="1">
      <c r="A537" s="3" t="s">
        <v>2916</v>
      </c>
      <c r="B537" s="3" t="s">
        <v>410</v>
      </c>
      <c r="C537" s="3" t="s">
        <v>417</v>
      </c>
      <c r="D537" s="3" t="s">
        <v>2739</v>
      </c>
      <c r="E537" s="3">
        <v>613151</v>
      </c>
      <c r="F537" s="3">
        <v>2</v>
      </c>
      <c r="G537" s="3" t="s">
        <v>2742</v>
      </c>
      <c r="H537" s="3" t="s">
        <v>20</v>
      </c>
      <c r="I537" s="4" t="s">
        <v>50</v>
      </c>
      <c r="J537" s="4" t="s">
        <v>51</v>
      </c>
      <c r="K537" s="4" t="s">
        <v>2741</v>
      </c>
      <c r="L537" s="4" t="s">
        <v>754</v>
      </c>
      <c r="M537" s="4" t="s">
        <v>22</v>
      </c>
      <c r="N537" s="4" t="s">
        <v>23</v>
      </c>
      <c r="O537" s="4" t="s">
        <v>27</v>
      </c>
      <c r="P537" s="4" t="s">
        <v>28</v>
      </c>
      <c r="Q537" s="24">
        <v>22</v>
      </c>
      <c r="R537" s="25">
        <v>2</v>
      </c>
      <c r="S537" s="39">
        <v>0</v>
      </c>
      <c r="T537" s="7" t="s">
        <v>2910</v>
      </c>
      <c r="U537" s="7"/>
      <c r="V537" s="7" t="str">
        <f>+IF(U537="","",IF(U537="FINES",CONCATENATE("R",IF(OR(B537="16",B537="21",B537="22",B537="23"),"16212223",IF(OR(B537="15",B537="17",B537="24",B537="25"),"15172425",B537))),IF(U537="CEBAS","UNICO",IF(VALUE(B537)&lt;=11,"AMBA","INTERIOR"))))</f>
        <v/>
      </c>
      <c r="W537" s="38" t="str">
        <f>+IF(U537="","-",CONCATENATE(U537,"_",V537))</f>
        <v>-</v>
      </c>
      <c r="X537" s="42">
        <v>0.72099999999999997</v>
      </c>
    </row>
    <row r="538" spans="1:24" ht="15" thickBot="1">
      <c r="A538" s="5" t="s">
        <v>2916</v>
      </c>
      <c r="B538" s="5" t="s">
        <v>225</v>
      </c>
      <c r="C538" s="5" t="s">
        <v>942</v>
      </c>
      <c r="D538" s="5" t="s">
        <v>943</v>
      </c>
      <c r="E538" s="5">
        <v>614841</v>
      </c>
      <c r="F538" s="5">
        <v>0</v>
      </c>
      <c r="G538" s="5" t="s">
        <v>1064</v>
      </c>
      <c r="H538" s="5" t="s">
        <v>208</v>
      </c>
      <c r="I538" s="6" t="s">
        <v>142</v>
      </c>
      <c r="J538" s="6" t="s">
        <v>21</v>
      </c>
      <c r="K538" s="6"/>
      <c r="L538" s="6" t="s">
        <v>1065</v>
      </c>
      <c r="M538" s="6" t="s">
        <v>22</v>
      </c>
      <c r="N538" s="6" t="s">
        <v>23</v>
      </c>
      <c r="O538" s="6" t="s">
        <v>27</v>
      </c>
      <c r="P538" s="6" t="s">
        <v>144</v>
      </c>
      <c r="Q538" s="22">
        <v>27</v>
      </c>
      <c r="R538" s="23">
        <v>2</v>
      </c>
      <c r="S538" s="39">
        <v>0</v>
      </c>
      <c r="T538" s="7" t="s">
        <v>2909</v>
      </c>
      <c r="U538" s="7"/>
      <c r="V538" s="7" t="str">
        <f>+IF(U538="","",IF(U538="FINES",CONCATENATE("R",IF(OR(B538="16",B538="21",B538="22",B538="23"),"16212223",IF(OR(B538="15",B538="17",B538="24",B538="25"),"15172425",B538))),IF(U538="CEBAS","UNICO",IF(VALUE(B538)&lt;=11,"AMBA","INTERIOR"))))</f>
        <v/>
      </c>
      <c r="W538" s="38" t="str">
        <f>+IF(U538="","-",CONCATENATE(U538,"_",V538))</f>
        <v>-</v>
      </c>
      <c r="X538" s="42">
        <v>0.72199999999999998</v>
      </c>
    </row>
    <row r="539" spans="1:24" ht="15" thickBot="1">
      <c r="A539" s="3" t="s">
        <v>2916</v>
      </c>
      <c r="B539" s="3" t="s">
        <v>138</v>
      </c>
      <c r="C539" s="3" t="s">
        <v>436</v>
      </c>
      <c r="D539" s="3" t="s">
        <v>1067</v>
      </c>
      <c r="E539" s="3">
        <v>609057</v>
      </c>
      <c r="F539" s="3">
        <v>2</v>
      </c>
      <c r="G539" s="3" t="s">
        <v>1071</v>
      </c>
      <c r="H539" s="3" t="s">
        <v>20</v>
      </c>
      <c r="I539" s="4" t="s">
        <v>50</v>
      </c>
      <c r="J539" s="4" t="s">
        <v>51</v>
      </c>
      <c r="K539" s="4" t="s">
        <v>1069</v>
      </c>
      <c r="L539" s="4" t="s">
        <v>526</v>
      </c>
      <c r="M539" s="4" t="s">
        <v>22</v>
      </c>
      <c r="N539" s="4" t="s">
        <v>23</v>
      </c>
      <c r="O539" s="4" t="s">
        <v>27</v>
      </c>
      <c r="P539" s="4" t="s">
        <v>28</v>
      </c>
      <c r="Q539" s="24">
        <v>21</v>
      </c>
      <c r="R539" s="25">
        <v>3</v>
      </c>
      <c r="S539" s="39">
        <v>0</v>
      </c>
      <c r="T539" s="7" t="s">
        <v>2910</v>
      </c>
      <c r="U539" s="7"/>
      <c r="V539" s="7" t="str">
        <f>+IF(U539="","",IF(U539="FINES",CONCATENATE("R",IF(OR(B539="16",B539="21",B539="22",B539="23"),"16212223",IF(OR(B539="15",B539="17",B539="24",B539="25"),"15172425",B539))),IF(U539="CEBAS","UNICO",IF(VALUE(B539)&lt;=11,"AMBA","INTERIOR"))))</f>
        <v/>
      </c>
      <c r="W539" s="38" t="str">
        <f>+IF(U539="","-",CONCATENATE(U539,"_",V539))</f>
        <v>-</v>
      </c>
      <c r="X539" s="42">
        <v>0.72499999999999998</v>
      </c>
    </row>
    <row r="540" spans="1:24" ht="15" thickBot="1">
      <c r="A540" s="5" t="s">
        <v>2916</v>
      </c>
      <c r="B540" s="5" t="s">
        <v>140</v>
      </c>
      <c r="C540" s="5" t="s">
        <v>2277</v>
      </c>
      <c r="D540" s="5" t="s">
        <v>2278</v>
      </c>
      <c r="E540" s="5">
        <v>600821</v>
      </c>
      <c r="F540" s="5">
        <v>3</v>
      </c>
      <c r="G540" s="5" t="s">
        <v>2302</v>
      </c>
      <c r="H540" s="5" t="s">
        <v>20</v>
      </c>
      <c r="I540" s="6" t="s">
        <v>50</v>
      </c>
      <c r="J540" s="6" t="s">
        <v>51</v>
      </c>
      <c r="K540" s="6" t="s">
        <v>2290</v>
      </c>
      <c r="L540" s="6" t="s">
        <v>2303</v>
      </c>
      <c r="M540" s="6" t="s">
        <v>22</v>
      </c>
      <c r="N540" s="6" t="s">
        <v>23</v>
      </c>
      <c r="O540" s="6" t="s">
        <v>27</v>
      </c>
      <c r="P540" s="6" t="s">
        <v>28</v>
      </c>
      <c r="Q540" s="22">
        <v>28</v>
      </c>
      <c r="R540" s="23">
        <v>2</v>
      </c>
      <c r="S540" s="39">
        <v>0</v>
      </c>
      <c r="T540" s="7" t="s">
        <v>2910</v>
      </c>
      <c r="U540" s="7"/>
      <c r="V540" s="7" t="str">
        <f>+IF(U540="","",IF(U540="FINES",CONCATENATE("R",IF(OR(B540="16",B540="21",B540="22",B540="23"),"16212223",IF(OR(B540="15",B540="17",B540="24",B540="25"),"15172425",B540))),IF(U540="CEBAS","UNICO",IF(VALUE(B540)&lt;=11,"AMBA","INTERIOR"))))</f>
        <v/>
      </c>
      <c r="W540" s="38" t="str">
        <f>+IF(U540="","-",CONCATENATE(U540,"_",V540))</f>
        <v>-</v>
      </c>
      <c r="X540" s="42">
        <v>0.72599999999999998</v>
      </c>
    </row>
    <row r="541" spans="1:24" ht="15" thickBot="1">
      <c r="A541" s="3" t="s">
        <v>2916</v>
      </c>
      <c r="B541" s="3" t="s">
        <v>217</v>
      </c>
      <c r="C541" s="3" t="s">
        <v>1499</v>
      </c>
      <c r="D541" s="3" t="s">
        <v>1500</v>
      </c>
      <c r="E541" s="3">
        <v>601449</v>
      </c>
      <c r="F541" s="3">
        <v>2</v>
      </c>
      <c r="G541" s="3" t="s">
        <v>1503</v>
      </c>
      <c r="H541" s="3" t="s">
        <v>20</v>
      </c>
      <c r="I541" s="4" t="s">
        <v>50</v>
      </c>
      <c r="J541" s="4" t="s">
        <v>51</v>
      </c>
      <c r="K541" s="4" t="s">
        <v>1502</v>
      </c>
      <c r="L541" s="4" t="s">
        <v>754</v>
      </c>
      <c r="M541" s="4" t="s">
        <v>22</v>
      </c>
      <c r="N541" s="4" t="s">
        <v>23</v>
      </c>
      <c r="O541" s="4" t="s">
        <v>27</v>
      </c>
      <c r="P541" s="4" t="s">
        <v>28</v>
      </c>
      <c r="Q541" s="24">
        <v>20</v>
      </c>
      <c r="R541" s="25">
        <v>2</v>
      </c>
      <c r="S541" s="39">
        <v>0</v>
      </c>
      <c r="T541" s="7" t="s">
        <v>2910</v>
      </c>
      <c r="U541" s="7"/>
      <c r="V541" s="7" t="str">
        <f>+IF(U541="","",IF(U541="FINES",CONCATENATE("R",IF(OR(B541="16",B541="21",B541="22",B541="23"),"16212223",IF(OR(B541="15",B541="17",B541="24",B541="25"),"15172425",B541))),IF(U541="CEBAS","UNICO",IF(VALUE(B541)&lt;=11,"AMBA","INTERIOR"))))</f>
        <v/>
      </c>
      <c r="W541" s="38" t="str">
        <f>+IF(U541="","-",CONCATENATE(U541,"_",V541))</f>
        <v>-</v>
      </c>
      <c r="X541" s="42">
        <v>0.72599999999999998</v>
      </c>
    </row>
    <row r="542" spans="1:24" ht="15" thickBot="1">
      <c r="A542" s="5" t="s">
        <v>2916</v>
      </c>
      <c r="B542" s="5" t="s">
        <v>204</v>
      </c>
      <c r="C542" s="5" t="s">
        <v>137</v>
      </c>
      <c r="D542" s="5" t="s">
        <v>2629</v>
      </c>
      <c r="E542" s="5">
        <v>611416</v>
      </c>
      <c r="F542" s="5">
        <v>1</v>
      </c>
      <c r="G542" s="5" t="s">
        <v>2636</v>
      </c>
      <c r="H542" s="5" t="s">
        <v>20</v>
      </c>
      <c r="I542" s="6" t="s">
        <v>50</v>
      </c>
      <c r="J542" s="6" t="s">
        <v>51</v>
      </c>
      <c r="K542" s="6" t="s">
        <v>2637</v>
      </c>
      <c r="L542" s="6" t="s">
        <v>2225</v>
      </c>
      <c r="M542" s="6" t="s">
        <v>22</v>
      </c>
      <c r="N542" s="6" t="s">
        <v>23</v>
      </c>
      <c r="O542" s="6" t="s">
        <v>27</v>
      </c>
      <c r="P542" s="6" t="s">
        <v>28</v>
      </c>
      <c r="Q542" s="22">
        <v>39</v>
      </c>
      <c r="R542" s="23">
        <v>3</v>
      </c>
      <c r="S542" s="39">
        <v>0</v>
      </c>
      <c r="T542" s="7" t="s">
        <v>2910</v>
      </c>
      <c r="U542" s="7"/>
      <c r="V542" s="7" t="str">
        <f>+IF(U542="","",IF(U542="FINES",CONCATENATE("R",IF(OR(B542="16",B542="21",B542="22",B542="23"),"16212223",IF(OR(B542="15",B542="17",B542="24",B542="25"),"15172425",B542))),IF(U542="CEBAS","UNICO",IF(VALUE(B542)&lt;=11,"AMBA","INTERIOR"))))</f>
        <v/>
      </c>
      <c r="W542" s="38" t="str">
        <f>+IF(U542="","-",CONCATENATE(U542,"_",V542))</f>
        <v>-</v>
      </c>
      <c r="X542" s="42">
        <v>0.72899999999999998</v>
      </c>
    </row>
    <row r="543" spans="1:24" ht="15" thickBot="1">
      <c r="A543" s="5" t="s">
        <v>2916</v>
      </c>
      <c r="B543" s="5" t="s">
        <v>817</v>
      </c>
      <c r="C543" s="5" t="s">
        <v>600</v>
      </c>
      <c r="D543" s="5" t="s">
        <v>2661</v>
      </c>
      <c r="E543" s="5">
        <v>609874</v>
      </c>
      <c r="F543" s="5">
        <v>3</v>
      </c>
      <c r="G543" s="5" t="s">
        <v>2680</v>
      </c>
      <c r="H543" s="5" t="s">
        <v>20</v>
      </c>
      <c r="I543" s="6" t="s">
        <v>50</v>
      </c>
      <c r="J543" s="6" t="s">
        <v>51</v>
      </c>
      <c r="K543" s="6" t="s">
        <v>2668</v>
      </c>
      <c r="L543" s="6" t="s">
        <v>2681</v>
      </c>
      <c r="M543" s="6" t="s">
        <v>22</v>
      </c>
      <c r="N543" s="6" t="s">
        <v>23</v>
      </c>
      <c r="O543" s="6" t="s">
        <v>27</v>
      </c>
      <c r="P543" s="6" t="s">
        <v>28</v>
      </c>
      <c r="Q543" s="22">
        <v>68</v>
      </c>
      <c r="R543" s="23">
        <v>5</v>
      </c>
      <c r="S543" s="39">
        <v>0</v>
      </c>
      <c r="T543" s="7" t="s">
        <v>2910</v>
      </c>
      <c r="U543" s="7"/>
      <c r="V543" s="7" t="str">
        <f>+IF(U543="","",IF(U543="FINES",CONCATENATE("R",IF(OR(B543="16",B543="21",B543="22",B543="23"),"16212223",IF(OR(B543="15",B543="17",B543="24",B543="25"),"15172425",B543))),IF(U543="CEBAS","UNICO",IF(VALUE(B543)&lt;=11,"AMBA","INTERIOR"))))</f>
        <v/>
      </c>
      <c r="W543" s="38" t="str">
        <f>+IF(U543="","-",CONCATENATE(U543,"_",V543))</f>
        <v>-</v>
      </c>
      <c r="X543" s="42">
        <v>0.72899999999999998</v>
      </c>
    </row>
    <row r="544" spans="1:24" ht="15" thickBot="1">
      <c r="A544" s="5" t="s">
        <v>2916</v>
      </c>
      <c r="B544" s="5" t="s">
        <v>352</v>
      </c>
      <c r="C544" s="5" t="s">
        <v>1924</v>
      </c>
      <c r="D544" s="5" t="s">
        <v>1925</v>
      </c>
      <c r="E544" s="5">
        <v>605874</v>
      </c>
      <c r="F544" s="5">
        <v>1</v>
      </c>
      <c r="G544" s="5" t="s">
        <v>1929</v>
      </c>
      <c r="H544" s="5" t="s">
        <v>20</v>
      </c>
      <c r="I544" s="6" t="s">
        <v>50</v>
      </c>
      <c r="J544" s="6" t="s">
        <v>51</v>
      </c>
      <c r="K544" s="6" t="s">
        <v>1930</v>
      </c>
      <c r="L544" s="6" t="s">
        <v>530</v>
      </c>
      <c r="M544" s="6" t="s">
        <v>22</v>
      </c>
      <c r="N544" s="6" t="s">
        <v>23</v>
      </c>
      <c r="O544" s="6" t="s">
        <v>27</v>
      </c>
      <c r="P544" s="6" t="s">
        <v>28</v>
      </c>
      <c r="Q544" s="22">
        <v>18</v>
      </c>
      <c r="R544" s="23">
        <v>2</v>
      </c>
      <c r="S544" s="39">
        <v>0</v>
      </c>
      <c r="T544" s="7" t="s">
        <v>2910</v>
      </c>
      <c r="U544" s="7"/>
      <c r="V544" s="7" t="str">
        <f>+IF(U544="","",IF(U544="FINES",CONCATENATE("R",IF(OR(B544="16",B544="21",B544="22",B544="23"),"16212223",IF(OR(B544="15",B544="17",B544="24",B544="25"),"15172425",B544))),IF(U544="CEBAS","UNICO",IF(VALUE(B544)&lt;=11,"AMBA","INTERIOR"))))</f>
        <v/>
      </c>
      <c r="W544" s="38" t="str">
        <f>+IF(U544="","-",CONCATENATE(U544,"_",V544))</f>
        <v>-</v>
      </c>
      <c r="X544" s="42">
        <v>0.73199999999999998</v>
      </c>
    </row>
    <row r="545" spans="1:24" ht="15" thickBot="1">
      <c r="A545" s="5" t="s">
        <v>2916</v>
      </c>
      <c r="B545" s="5" t="s">
        <v>1860</v>
      </c>
      <c r="C545" s="5" t="s">
        <v>1858</v>
      </c>
      <c r="D545" s="5" t="s">
        <v>1859</v>
      </c>
      <c r="E545" s="5">
        <v>609621</v>
      </c>
      <c r="F545" s="5">
        <v>1</v>
      </c>
      <c r="G545" s="5" t="s">
        <v>1869</v>
      </c>
      <c r="H545" s="5" t="s">
        <v>20</v>
      </c>
      <c r="I545" s="6" t="s">
        <v>50</v>
      </c>
      <c r="J545" s="6" t="s">
        <v>51</v>
      </c>
      <c r="K545" s="6" t="s">
        <v>1870</v>
      </c>
      <c r="L545" s="6" t="s">
        <v>528</v>
      </c>
      <c r="M545" s="6" t="s">
        <v>22</v>
      </c>
      <c r="N545" s="6" t="s">
        <v>23</v>
      </c>
      <c r="O545" s="6" t="s">
        <v>27</v>
      </c>
      <c r="P545" s="6" t="s">
        <v>28</v>
      </c>
      <c r="Q545" s="22">
        <v>71</v>
      </c>
      <c r="R545" s="23">
        <v>4</v>
      </c>
      <c r="S545" s="39">
        <v>0</v>
      </c>
      <c r="T545" s="7" t="s">
        <v>2910</v>
      </c>
      <c r="U545" s="7"/>
      <c r="V545" s="7" t="str">
        <f>+IF(U545="","",IF(U545="FINES",CONCATENATE("R",IF(OR(B545="16",B545="21",B545="22",B545="23"),"16212223",IF(OR(B545="15",B545="17",B545="24",B545="25"),"15172425",B545))),IF(U545="CEBAS","UNICO",IF(VALUE(B545)&lt;=11,"AMBA","INTERIOR"))))</f>
        <v/>
      </c>
      <c r="W545" s="38" t="str">
        <f>+IF(U545="","-",CONCATENATE(U545,"_",V545))</f>
        <v>-</v>
      </c>
      <c r="X545" s="42">
        <v>0.73299999999999998</v>
      </c>
    </row>
    <row r="546" spans="1:24" ht="15" thickBot="1">
      <c r="A546" s="5" t="s">
        <v>2916</v>
      </c>
      <c r="B546" s="5" t="s">
        <v>204</v>
      </c>
      <c r="C546" s="5" t="s">
        <v>219</v>
      </c>
      <c r="D546" s="5" t="s">
        <v>2865</v>
      </c>
      <c r="E546" s="5">
        <v>600021</v>
      </c>
      <c r="F546" s="5">
        <v>3</v>
      </c>
      <c r="G546" s="5" t="s">
        <v>2874</v>
      </c>
      <c r="H546" s="5" t="s">
        <v>20</v>
      </c>
      <c r="I546" s="6" t="s">
        <v>50</v>
      </c>
      <c r="J546" s="6" t="s">
        <v>51</v>
      </c>
      <c r="K546" s="6" t="s">
        <v>2867</v>
      </c>
      <c r="L546" s="6" t="s">
        <v>886</v>
      </c>
      <c r="M546" s="6" t="s">
        <v>22</v>
      </c>
      <c r="N546" s="6" t="s">
        <v>23</v>
      </c>
      <c r="O546" s="6" t="s">
        <v>27</v>
      </c>
      <c r="P546" s="6" t="s">
        <v>28</v>
      </c>
      <c r="Q546" s="22">
        <v>45</v>
      </c>
      <c r="R546" s="23">
        <v>3</v>
      </c>
      <c r="S546" s="39">
        <v>0</v>
      </c>
      <c r="T546" s="7" t="s">
        <v>2910</v>
      </c>
      <c r="U546" s="7"/>
      <c r="V546" s="7" t="str">
        <f>+IF(U546="","",IF(U546="FINES",CONCATENATE("R",IF(OR(B546="16",B546="21",B546="22",B546="23"),"16212223",IF(OR(B546="15",B546="17",B546="24",B546="25"),"15172425",B546))),IF(U546="CEBAS","UNICO",IF(VALUE(B546)&lt;=11,"AMBA","INTERIOR"))))</f>
        <v/>
      </c>
      <c r="W546" s="38" t="str">
        <f>+IF(U546="","-",CONCATENATE(U546,"_",V546))</f>
        <v>-</v>
      </c>
      <c r="X546" s="42">
        <v>0.73299999999999998</v>
      </c>
    </row>
    <row r="547" spans="1:24" ht="15" thickBot="1">
      <c r="A547" s="5" t="s">
        <v>2916</v>
      </c>
      <c r="B547" s="5" t="s">
        <v>817</v>
      </c>
      <c r="C547" s="5" t="s">
        <v>2080</v>
      </c>
      <c r="D547" s="5" t="s">
        <v>2081</v>
      </c>
      <c r="E547" s="5">
        <v>610551</v>
      </c>
      <c r="F547" s="5">
        <v>1</v>
      </c>
      <c r="G547" s="5" t="s">
        <v>2106</v>
      </c>
      <c r="H547" s="5" t="s">
        <v>20</v>
      </c>
      <c r="I547" s="6" t="s">
        <v>50</v>
      </c>
      <c r="J547" s="6" t="s">
        <v>51</v>
      </c>
      <c r="K547" s="6" t="s">
        <v>2107</v>
      </c>
      <c r="L547" s="6" t="s">
        <v>979</v>
      </c>
      <c r="M547" s="6" t="s">
        <v>22</v>
      </c>
      <c r="N547" s="6" t="s">
        <v>23</v>
      </c>
      <c r="O547" s="6" t="s">
        <v>27</v>
      </c>
      <c r="P547" s="6" t="s">
        <v>28</v>
      </c>
      <c r="Q547" s="22">
        <v>44</v>
      </c>
      <c r="R547" s="23">
        <v>3</v>
      </c>
      <c r="S547" s="39">
        <v>0</v>
      </c>
      <c r="T547" s="7" t="s">
        <v>2910</v>
      </c>
      <c r="U547" s="7"/>
      <c r="V547" s="7" t="str">
        <f>+IF(U547="","",IF(U547="FINES",CONCATENATE("R",IF(OR(B547="16",B547="21",B547="22",B547="23"),"16212223",IF(OR(B547="15",B547="17",B547="24",B547="25"),"15172425",B547))),IF(U547="CEBAS","UNICO",IF(VALUE(B547)&lt;=11,"AMBA","INTERIOR"))))</f>
        <v/>
      </c>
      <c r="W547" s="38" t="str">
        <f>+IF(U547="","-",CONCATENATE(U547,"_",V547))</f>
        <v>-</v>
      </c>
      <c r="X547" s="42">
        <v>0.73399999999999999</v>
      </c>
    </row>
    <row r="548" spans="1:24" ht="15" thickBot="1">
      <c r="A548" s="5" t="s">
        <v>2916</v>
      </c>
      <c r="B548" s="5" t="s">
        <v>1780</v>
      </c>
      <c r="C548" s="5" t="s">
        <v>238</v>
      </c>
      <c r="D548" s="5" t="s">
        <v>2887</v>
      </c>
      <c r="E548" s="5">
        <v>605622</v>
      </c>
      <c r="F548" s="5">
        <v>3</v>
      </c>
      <c r="G548" s="5" t="s">
        <v>2891</v>
      </c>
      <c r="H548" s="5" t="s">
        <v>20</v>
      </c>
      <c r="I548" s="6" t="s">
        <v>50</v>
      </c>
      <c r="J548" s="6" t="s">
        <v>51</v>
      </c>
      <c r="K548" s="6" t="s">
        <v>2889</v>
      </c>
      <c r="L548" s="6" t="s">
        <v>2892</v>
      </c>
      <c r="M548" s="6" t="s">
        <v>22</v>
      </c>
      <c r="N548" s="6" t="s">
        <v>23</v>
      </c>
      <c r="O548" s="6" t="s">
        <v>27</v>
      </c>
      <c r="P548" s="6" t="s">
        <v>28</v>
      </c>
      <c r="Q548" s="22">
        <v>25</v>
      </c>
      <c r="R548" s="23">
        <v>2</v>
      </c>
      <c r="S548" s="39">
        <v>0</v>
      </c>
      <c r="T548" s="7" t="s">
        <v>2910</v>
      </c>
      <c r="U548" s="7"/>
      <c r="V548" s="7" t="str">
        <f>+IF(U548="","",IF(U548="FINES",CONCATENATE("R",IF(OR(B548="16",B548="21",B548="22",B548="23"),"16212223",IF(OR(B548="15",B548="17",B548="24",B548="25"),"15172425",B548))),IF(U548="CEBAS","UNICO",IF(VALUE(B548)&lt;=11,"AMBA","INTERIOR"))))</f>
        <v/>
      </c>
      <c r="W548" s="38" t="str">
        <f>+IF(U548="","-",CONCATENATE(U548,"_",V548))</f>
        <v>-</v>
      </c>
      <c r="X548" s="42">
        <v>0.73399999999999999</v>
      </c>
    </row>
    <row r="549" spans="1:24" ht="15" thickBot="1">
      <c r="A549" s="3" t="s">
        <v>2916</v>
      </c>
      <c r="B549" s="3" t="s">
        <v>1780</v>
      </c>
      <c r="C549" s="3" t="s">
        <v>1248</v>
      </c>
      <c r="D549" s="3" t="s">
        <v>2348</v>
      </c>
      <c r="E549" s="3">
        <v>610729</v>
      </c>
      <c r="F549" s="3">
        <v>2</v>
      </c>
      <c r="G549" s="3" t="s">
        <v>2360</v>
      </c>
      <c r="H549" s="3" t="s">
        <v>20</v>
      </c>
      <c r="I549" s="4" t="s">
        <v>50</v>
      </c>
      <c r="J549" s="4" t="s">
        <v>51</v>
      </c>
      <c r="K549" s="4" t="s">
        <v>2357</v>
      </c>
      <c r="L549" s="4" t="s">
        <v>789</v>
      </c>
      <c r="M549" s="4" t="s">
        <v>22</v>
      </c>
      <c r="N549" s="4" t="s">
        <v>23</v>
      </c>
      <c r="O549" s="4" t="s">
        <v>27</v>
      </c>
      <c r="P549" s="4" t="s">
        <v>28</v>
      </c>
      <c r="Q549" s="24">
        <v>13</v>
      </c>
      <c r="R549" s="25">
        <v>2</v>
      </c>
      <c r="S549" s="39">
        <v>0</v>
      </c>
      <c r="T549" s="7" t="s">
        <v>2910</v>
      </c>
      <c r="U549" s="7"/>
      <c r="V549" s="7" t="str">
        <f>+IF(U549="","",IF(U549="FINES",CONCATENATE("R",IF(OR(B549="16",B549="21",B549="22",B549="23"),"16212223",IF(OR(B549="15",B549="17",B549="24",B549="25"),"15172425",B549))),IF(U549="CEBAS","UNICO",IF(VALUE(B549)&lt;=11,"AMBA","INTERIOR"))))</f>
        <v/>
      </c>
      <c r="W549" s="38" t="str">
        <f>+IF(U549="","-",CONCATENATE(U549,"_",V549))</f>
        <v>-</v>
      </c>
      <c r="X549" s="42">
        <v>0.73499999999999999</v>
      </c>
    </row>
    <row r="550" spans="1:24" ht="15" thickBot="1">
      <c r="A550" s="5" t="s">
        <v>2916</v>
      </c>
      <c r="B550" s="5" t="s">
        <v>225</v>
      </c>
      <c r="C550" s="5" t="s">
        <v>1521</v>
      </c>
      <c r="D550" s="5" t="s">
        <v>1522</v>
      </c>
      <c r="E550" s="5">
        <v>611760</v>
      </c>
      <c r="F550" s="5">
        <v>1</v>
      </c>
      <c r="G550" s="5" t="s">
        <v>1523</v>
      </c>
      <c r="H550" s="5" t="s">
        <v>20</v>
      </c>
      <c r="I550" s="6" t="s">
        <v>50</v>
      </c>
      <c r="J550" s="6" t="s">
        <v>51</v>
      </c>
      <c r="K550" s="6" t="s">
        <v>1524</v>
      </c>
      <c r="L550" s="6" t="s">
        <v>235</v>
      </c>
      <c r="M550" s="6" t="s">
        <v>22</v>
      </c>
      <c r="N550" s="6" t="s">
        <v>23</v>
      </c>
      <c r="O550" s="6" t="s">
        <v>27</v>
      </c>
      <c r="P550" s="6" t="s">
        <v>28</v>
      </c>
      <c r="Q550" s="22">
        <v>15</v>
      </c>
      <c r="R550" s="23">
        <v>1</v>
      </c>
      <c r="S550" s="39">
        <v>0</v>
      </c>
      <c r="T550" s="7" t="s">
        <v>2910</v>
      </c>
      <c r="U550" s="7"/>
      <c r="V550" s="7" t="str">
        <f>+IF(U550="","",IF(U550="FINES",CONCATENATE("R",IF(OR(B550="16",B550="21",B550="22",B550="23"),"16212223",IF(OR(B550="15",B550="17",B550="24",B550="25"),"15172425",B550))),IF(U550="CEBAS","UNICO",IF(VALUE(B550)&lt;=11,"AMBA","INTERIOR"))))</f>
        <v/>
      </c>
      <c r="W550" s="38" t="str">
        <f>+IF(U550="","-",CONCATENATE(U550,"_",V550))</f>
        <v>-</v>
      </c>
      <c r="X550" s="42">
        <v>0.73499999999999999</v>
      </c>
    </row>
    <row r="551" spans="1:24" ht="15" thickBot="1">
      <c r="A551" s="3" t="s">
        <v>2916</v>
      </c>
      <c r="B551" s="3" t="s">
        <v>356</v>
      </c>
      <c r="C551" s="3" t="s">
        <v>353</v>
      </c>
      <c r="D551" s="3" t="s">
        <v>355</v>
      </c>
      <c r="E551" s="3">
        <v>604305</v>
      </c>
      <c r="F551" s="3">
        <v>3</v>
      </c>
      <c r="G551" s="3" t="s">
        <v>360</v>
      </c>
      <c r="H551" s="3" t="s">
        <v>20</v>
      </c>
      <c r="I551" s="4" t="s">
        <v>50</v>
      </c>
      <c r="J551" s="4" t="s">
        <v>51</v>
      </c>
      <c r="K551" s="4" t="s">
        <v>358</v>
      </c>
      <c r="L551" s="4" t="s">
        <v>361</v>
      </c>
      <c r="M551" s="4" t="s">
        <v>22</v>
      </c>
      <c r="N551" s="4" t="s">
        <v>23</v>
      </c>
      <c r="O551" s="4" t="s">
        <v>27</v>
      </c>
      <c r="P551" s="4" t="s">
        <v>28</v>
      </c>
      <c r="Q551" s="24">
        <v>34</v>
      </c>
      <c r="R551" s="25">
        <v>3</v>
      </c>
      <c r="S551" s="39">
        <v>0</v>
      </c>
      <c r="T551" s="7" t="s">
        <v>2910</v>
      </c>
      <c r="V551" s="7" t="str">
        <f>+IF(U551="","",IF(U551="FINES",CONCATENATE("R",IF(OR(B551="16",B551="21",B551="22",B551="23"),"16212223",IF(OR(B551="15",B551="17",B551="24",B551="25"),"15172425",B551))),IF(U551="CEBAS","UNICO",IF(VALUE(B551)&lt;=11,"AMBA","INTERIOR"))))</f>
        <v/>
      </c>
      <c r="W551" s="38" t="str">
        <f>+IF(U551="","-",CONCATENATE(U551,"_",V551))</f>
        <v>-</v>
      </c>
      <c r="X551" s="42">
        <v>0.73699999999999999</v>
      </c>
    </row>
    <row r="552" spans="1:24" ht="15" thickBot="1">
      <c r="A552" s="3" t="s">
        <v>2916</v>
      </c>
      <c r="B552" s="3" t="s">
        <v>352</v>
      </c>
      <c r="C552" s="3" t="s">
        <v>1924</v>
      </c>
      <c r="D552" s="3" t="s">
        <v>1925</v>
      </c>
      <c r="E552" s="3">
        <v>611210</v>
      </c>
      <c r="F552" s="3">
        <v>3</v>
      </c>
      <c r="G552" s="3" t="s">
        <v>1934</v>
      </c>
      <c r="H552" s="3" t="s">
        <v>20</v>
      </c>
      <c r="I552" s="4" t="s">
        <v>50</v>
      </c>
      <c r="J552" s="4" t="s">
        <v>51</v>
      </c>
      <c r="K552" s="4" t="s">
        <v>1932</v>
      </c>
      <c r="L552" s="4" t="s">
        <v>440</v>
      </c>
      <c r="M552" s="4" t="s">
        <v>22</v>
      </c>
      <c r="N552" s="4" t="s">
        <v>23</v>
      </c>
      <c r="O552" s="4" t="s">
        <v>27</v>
      </c>
      <c r="P552" s="4" t="s">
        <v>28</v>
      </c>
      <c r="Q552" s="24">
        <v>16</v>
      </c>
      <c r="R552" s="25">
        <v>1</v>
      </c>
      <c r="S552" s="39">
        <v>0</v>
      </c>
      <c r="T552" s="7" t="s">
        <v>2910</v>
      </c>
      <c r="V552" s="7" t="str">
        <f>+IF(U552="","",IF(U552="FINES",CONCATENATE("R",IF(OR(B552="16",B552="21",B552="22",B552="23"),"16212223",IF(OR(B552="15",B552="17",B552="24",B552="25"),"15172425",B552))),IF(U552="CEBAS","UNICO",IF(VALUE(B552)&lt;=11,"AMBA","INTERIOR"))))</f>
        <v/>
      </c>
      <c r="W552" s="38" t="str">
        <f>+IF(U552="","-",CONCATENATE(U552,"_",V552))</f>
        <v>-</v>
      </c>
      <c r="X552" s="42">
        <v>0.73699999999999999</v>
      </c>
    </row>
    <row r="553" spans="1:24" ht="15" thickBot="1">
      <c r="A553" s="5" t="s">
        <v>2916</v>
      </c>
      <c r="B553" s="5" t="s">
        <v>1257</v>
      </c>
      <c r="C553" s="5" t="s">
        <v>2237</v>
      </c>
      <c r="D553" s="5" t="s">
        <v>2238</v>
      </c>
      <c r="E553" s="5">
        <v>612111</v>
      </c>
      <c r="F553" s="5">
        <v>3</v>
      </c>
      <c r="G553" s="5" t="s">
        <v>2258</v>
      </c>
      <c r="H553" s="5" t="s">
        <v>20</v>
      </c>
      <c r="I553" s="6" t="s">
        <v>50</v>
      </c>
      <c r="J553" s="6" t="s">
        <v>51</v>
      </c>
      <c r="K553" s="6" t="s">
        <v>2250</v>
      </c>
      <c r="L553" s="6" t="s">
        <v>791</v>
      </c>
      <c r="M553" s="6" t="s">
        <v>22</v>
      </c>
      <c r="N553" s="6" t="s">
        <v>23</v>
      </c>
      <c r="O553" s="6" t="s">
        <v>27</v>
      </c>
      <c r="P553" s="6" t="s">
        <v>28</v>
      </c>
      <c r="Q553" s="22">
        <v>37</v>
      </c>
      <c r="R553" s="23">
        <v>3</v>
      </c>
      <c r="S553" s="39">
        <v>0</v>
      </c>
      <c r="T553" s="7" t="s">
        <v>2910</v>
      </c>
      <c r="V553" s="7" t="str">
        <f>+IF(U553="","",IF(U553="FINES",CONCATENATE("R",IF(OR(B553="16",B553="21",B553="22",B553="23"),"16212223",IF(OR(B553="15",B553="17",B553="24",B553="25"),"15172425",B553))),IF(U553="CEBAS","UNICO",IF(VALUE(B553)&lt;=11,"AMBA","INTERIOR"))))</f>
        <v/>
      </c>
      <c r="W553" s="38" t="str">
        <f>+IF(U553="","-",CONCATENATE(U553,"_",V553))</f>
        <v>-</v>
      </c>
      <c r="X553" s="42">
        <v>0.73799999999999999</v>
      </c>
    </row>
    <row r="554" spans="1:24" ht="15" thickBot="1">
      <c r="A554" s="5" t="s">
        <v>2916</v>
      </c>
      <c r="B554" s="5" t="s">
        <v>1532</v>
      </c>
      <c r="C554" s="5" t="s">
        <v>1530</v>
      </c>
      <c r="D554" s="5" t="s">
        <v>1531</v>
      </c>
      <c r="E554" s="5">
        <v>608942</v>
      </c>
      <c r="F554" s="5">
        <v>1</v>
      </c>
      <c r="G554" s="5" t="s">
        <v>1586</v>
      </c>
      <c r="H554" s="5" t="s">
        <v>20</v>
      </c>
      <c r="I554" s="6" t="s">
        <v>50</v>
      </c>
      <c r="J554" s="6" t="s">
        <v>51</v>
      </c>
      <c r="K554" s="6" t="s">
        <v>1587</v>
      </c>
      <c r="L554" s="6" t="s">
        <v>1588</v>
      </c>
      <c r="M554" s="6" t="s">
        <v>22</v>
      </c>
      <c r="N554" s="6" t="s">
        <v>23</v>
      </c>
      <c r="O554" s="6" t="s">
        <v>27</v>
      </c>
      <c r="P554" s="6" t="s">
        <v>28</v>
      </c>
      <c r="Q554" s="22">
        <v>32</v>
      </c>
      <c r="R554" s="23">
        <v>3</v>
      </c>
      <c r="S554" s="39">
        <v>0</v>
      </c>
      <c r="T554" s="7" t="s">
        <v>2910</v>
      </c>
      <c r="V554" s="7" t="str">
        <f>+IF(U554="","",IF(U554="FINES",CONCATENATE("R",IF(OR(B554="16",B554="21",B554="22",B554="23"),"16212223",IF(OR(B554="15",B554="17",B554="24",B554="25"),"15172425",B554))),IF(U554="CEBAS","UNICO",IF(VALUE(B554)&lt;=11,"AMBA","INTERIOR"))))</f>
        <v/>
      </c>
      <c r="W554" s="38" t="str">
        <f>+IF(U554="","-",CONCATENATE(U554,"_",V554))</f>
        <v>-</v>
      </c>
      <c r="X554" s="42">
        <v>0.74199999999999999</v>
      </c>
    </row>
    <row r="555" spans="1:24" ht="15" thickBot="1">
      <c r="A555" s="5" t="s">
        <v>2916</v>
      </c>
      <c r="B555" s="5" t="s">
        <v>817</v>
      </c>
      <c r="C555" s="5" t="s">
        <v>600</v>
      </c>
      <c r="D555" s="5" t="s">
        <v>2661</v>
      </c>
      <c r="E555" s="5">
        <v>606804</v>
      </c>
      <c r="F555" s="5">
        <v>1</v>
      </c>
      <c r="G555" s="5" t="s">
        <v>2670</v>
      </c>
      <c r="H555" s="5" t="s">
        <v>20</v>
      </c>
      <c r="I555" s="6" t="s">
        <v>50</v>
      </c>
      <c r="J555" s="6" t="s">
        <v>51</v>
      </c>
      <c r="K555" s="6" t="s">
        <v>2671</v>
      </c>
      <c r="L555" s="6" t="s">
        <v>2672</v>
      </c>
      <c r="M555" s="6" t="s">
        <v>22</v>
      </c>
      <c r="N555" s="6" t="s">
        <v>23</v>
      </c>
      <c r="O555" s="6" t="s">
        <v>27</v>
      </c>
      <c r="P555" s="6" t="s">
        <v>28</v>
      </c>
      <c r="Q555" s="22">
        <v>25</v>
      </c>
      <c r="R555" s="23">
        <v>2</v>
      </c>
      <c r="S555" s="39">
        <v>0</v>
      </c>
      <c r="T555" s="7" t="s">
        <v>2910</v>
      </c>
      <c r="V555" s="7" t="str">
        <f>+IF(U555="","",IF(U555="FINES",CONCATENATE("R",IF(OR(B555="16",B555="21",B555="22",B555="23"),"16212223",IF(OR(B555="15",B555="17",B555="24",B555="25"),"15172425",B555))),IF(U555="CEBAS","UNICO",IF(VALUE(B555)&lt;=11,"AMBA","INTERIOR"))))</f>
        <v/>
      </c>
      <c r="W555" s="38" t="str">
        <f>+IF(U555="","-",CONCATENATE(U555,"_",V555))</f>
        <v>-</v>
      </c>
      <c r="X555" s="42">
        <v>0.74199999999999999</v>
      </c>
    </row>
    <row r="556" spans="1:24" ht="15" thickBot="1">
      <c r="A556" s="5" t="s">
        <v>2916</v>
      </c>
      <c r="B556" s="5" t="s">
        <v>140</v>
      </c>
      <c r="C556" s="5" t="s">
        <v>539</v>
      </c>
      <c r="D556" s="5" t="s">
        <v>541</v>
      </c>
      <c r="E556" s="5">
        <v>624114</v>
      </c>
      <c r="F556" s="5">
        <v>0</v>
      </c>
      <c r="G556" s="5" t="s">
        <v>548</v>
      </c>
      <c r="H556" s="5" t="s">
        <v>20</v>
      </c>
      <c r="I556" s="6" t="s">
        <v>50</v>
      </c>
      <c r="J556" s="6" t="s">
        <v>21</v>
      </c>
      <c r="K556" s="6"/>
      <c r="L556" s="6" t="s">
        <v>549</v>
      </c>
      <c r="M556" s="6" t="s">
        <v>22</v>
      </c>
      <c r="N556" s="6" t="s">
        <v>23</v>
      </c>
      <c r="O556" s="6" t="s">
        <v>27</v>
      </c>
      <c r="P556" s="6" t="s">
        <v>28</v>
      </c>
      <c r="Q556" s="22">
        <v>30</v>
      </c>
      <c r="R556" s="23">
        <v>2</v>
      </c>
      <c r="S556" s="39">
        <v>0</v>
      </c>
      <c r="T556" s="7" t="s">
        <v>2910</v>
      </c>
      <c r="V556" s="7" t="str">
        <f>+IF(U556="","",IF(U556="FINES",CONCATENATE("R",IF(OR(B556="16",B556="21",B556="22",B556="23"),"16212223",IF(OR(B556="15",B556="17",B556="24",B556="25"),"15172425",B556))),IF(U556="CEBAS","UNICO",IF(VALUE(B556)&lt;=11,"AMBA","INTERIOR"))))</f>
        <v/>
      </c>
      <c r="W556" s="38" t="str">
        <f>+IF(U556="","-",CONCATENATE(U556,"_",V556))</f>
        <v>-</v>
      </c>
      <c r="X556" s="42">
        <v>0.745</v>
      </c>
    </row>
    <row r="557" spans="1:24" ht="15" thickBot="1">
      <c r="A557" s="5" t="s">
        <v>2916</v>
      </c>
      <c r="B557" s="5" t="s">
        <v>817</v>
      </c>
      <c r="C557" s="5" t="s">
        <v>2080</v>
      </c>
      <c r="D557" s="5" t="s">
        <v>2081</v>
      </c>
      <c r="E557" s="5">
        <v>610950</v>
      </c>
      <c r="F557" s="5">
        <v>1</v>
      </c>
      <c r="G557" s="5" t="s">
        <v>2110</v>
      </c>
      <c r="H557" s="5" t="s">
        <v>20</v>
      </c>
      <c r="I557" s="6" t="s">
        <v>50</v>
      </c>
      <c r="J557" s="6" t="s">
        <v>51</v>
      </c>
      <c r="K557" s="6" t="s">
        <v>2111</v>
      </c>
      <c r="L557" s="6" t="s">
        <v>2112</v>
      </c>
      <c r="M557" s="6" t="s">
        <v>22</v>
      </c>
      <c r="N557" s="6" t="s">
        <v>23</v>
      </c>
      <c r="O557" s="6" t="s">
        <v>27</v>
      </c>
      <c r="P557" s="6" t="s">
        <v>28</v>
      </c>
      <c r="Q557" s="22">
        <v>17</v>
      </c>
      <c r="R557" s="23">
        <v>2</v>
      </c>
      <c r="S557" s="39">
        <v>0</v>
      </c>
      <c r="T557" s="7" t="s">
        <v>2910</v>
      </c>
      <c r="V557" s="7" t="str">
        <f>+IF(U557="","",IF(U557="FINES",CONCATENATE("R",IF(OR(B557="16",B557="21",B557="22",B557="23"),"16212223",IF(OR(B557="15",B557="17",B557="24",B557="25"),"15172425",B557))),IF(U557="CEBAS","UNICO",IF(VALUE(B557)&lt;=11,"AMBA","INTERIOR"))))</f>
        <v/>
      </c>
      <c r="W557" s="38" t="str">
        <f>+IF(U557="","-",CONCATENATE(U557,"_",V557))</f>
        <v>-</v>
      </c>
      <c r="X557" s="42">
        <v>0.747</v>
      </c>
    </row>
    <row r="558" spans="1:24" ht="15" thickBot="1">
      <c r="A558" s="5" t="s">
        <v>2916</v>
      </c>
      <c r="B558" s="5" t="s">
        <v>257</v>
      </c>
      <c r="C558" s="5" t="s">
        <v>415</v>
      </c>
      <c r="D558" s="5" t="s">
        <v>2770</v>
      </c>
      <c r="E558" s="5">
        <v>606740</v>
      </c>
      <c r="F558" s="5">
        <v>1</v>
      </c>
      <c r="G558" s="5" t="s">
        <v>2774</v>
      </c>
      <c r="H558" s="5" t="s">
        <v>20</v>
      </c>
      <c r="I558" s="6" t="s">
        <v>50</v>
      </c>
      <c r="J558" s="6" t="s">
        <v>51</v>
      </c>
      <c r="K558" s="6" t="s">
        <v>2775</v>
      </c>
      <c r="L558" s="6" t="s">
        <v>619</v>
      </c>
      <c r="M558" s="6" t="s">
        <v>22</v>
      </c>
      <c r="N558" s="6" t="s">
        <v>23</v>
      </c>
      <c r="O558" s="6" t="s">
        <v>27</v>
      </c>
      <c r="P558" s="6" t="s">
        <v>28</v>
      </c>
      <c r="Q558" s="22">
        <v>46</v>
      </c>
      <c r="R558" s="23">
        <v>3</v>
      </c>
      <c r="S558" s="39">
        <v>0</v>
      </c>
      <c r="T558" s="7" t="s">
        <v>2910</v>
      </c>
      <c r="V558" s="7" t="str">
        <f>+IF(U558="","",IF(U558="FINES",CONCATENATE("R",IF(OR(B558="16",B558="21",B558="22",B558="23"),"16212223",IF(OR(B558="15",B558="17",B558="24",B558="25"),"15172425",B558))),IF(U558="CEBAS","UNICO",IF(VALUE(B558)&lt;=11,"AMBA","INTERIOR"))))</f>
        <v/>
      </c>
      <c r="W558" s="38" t="str">
        <f>+IF(U558="","-",CONCATENATE(U558,"_",V558))</f>
        <v>-</v>
      </c>
      <c r="X558" s="42">
        <v>0.747</v>
      </c>
    </row>
    <row r="559" spans="1:24" ht="15" thickBot="1">
      <c r="A559" s="5" t="s">
        <v>2916</v>
      </c>
      <c r="B559" s="5" t="s">
        <v>203</v>
      </c>
      <c r="C559" s="5" t="s">
        <v>590</v>
      </c>
      <c r="D559" s="5" t="s">
        <v>2553</v>
      </c>
      <c r="E559" s="5">
        <v>601792</v>
      </c>
      <c r="F559" s="5">
        <v>4</v>
      </c>
      <c r="G559" s="5" t="s">
        <v>2554</v>
      </c>
      <c r="H559" s="5" t="s">
        <v>20</v>
      </c>
      <c r="I559" s="6" t="s">
        <v>50</v>
      </c>
      <c r="J559" s="6" t="s">
        <v>51</v>
      </c>
      <c r="K559" s="6" t="s">
        <v>2555</v>
      </c>
      <c r="L559" s="6" t="s">
        <v>2556</v>
      </c>
      <c r="M559" s="6" t="s">
        <v>22</v>
      </c>
      <c r="N559" s="6" t="s">
        <v>23</v>
      </c>
      <c r="O559" s="6" t="s">
        <v>27</v>
      </c>
      <c r="P559" s="6" t="s">
        <v>28</v>
      </c>
      <c r="Q559" s="22">
        <v>15</v>
      </c>
      <c r="R559" s="23">
        <v>1</v>
      </c>
      <c r="S559" s="39">
        <v>0</v>
      </c>
      <c r="T559" s="7" t="s">
        <v>2910</v>
      </c>
      <c r="V559" s="7" t="str">
        <f>+IF(U559="","",IF(U559="FINES",CONCATENATE("R",IF(OR(B559="16",B559="21",B559="22",B559="23"),"16212223",IF(OR(B559="15",B559="17",B559="24",B559="25"),"15172425",B559))),IF(U559="CEBAS","UNICO",IF(VALUE(B559)&lt;=11,"AMBA","INTERIOR"))))</f>
        <v/>
      </c>
      <c r="W559" s="38" t="str">
        <f>+IF(U559="","-",CONCATENATE(U559,"_",V559))</f>
        <v>-</v>
      </c>
      <c r="X559" s="42">
        <v>0.748</v>
      </c>
    </row>
    <row r="560" spans="1:24" ht="15" thickBot="1">
      <c r="A560" s="3" t="s">
        <v>2916</v>
      </c>
      <c r="B560" s="3" t="s">
        <v>1780</v>
      </c>
      <c r="C560" s="3" t="s">
        <v>1248</v>
      </c>
      <c r="D560" s="3" t="s">
        <v>2348</v>
      </c>
      <c r="E560" s="3">
        <v>613021</v>
      </c>
      <c r="F560" s="3">
        <v>2</v>
      </c>
      <c r="G560" s="3" t="s">
        <v>2349</v>
      </c>
      <c r="H560" s="3" t="s">
        <v>20</v>
      </c>
      <c r="I560" s="4" t="s">
        <v>50</v>
      </c>
      <c r="J560" s="4" t="s">
        <v>51</v>
      </c>
      <c r="K560" s="4" t="s">
        <v>2350</v>
      </c>
      <c r="L560" s="4" t="s">
        <v>2251</v>
      </c>
      <c r="M560" s="4" t="s">
        <v>22</v>
      </c>
      <c r="N560" s="4" t="s">
        <v>23</v>
      </c>
      <c r="O560" s="4" t="s">
        <v>27</v>
      </c>
      <c r="P560" s="4" t="s">
        <v>28</v>
      </c>
      <c r="Q560" s="24">
        <v>57</v>
      </c>
      <c r="R560" s="25">
        <v>4</v>
      </c>
      <c r="S560" s="39">
        <v>0</v>
      </c>
      <c r="T560" s="7" t="s">
        <v>2910</v>
      </c>
      <c r="U560" s="7"/>
      <c r="V560" s="7" t="str">
        <f>+IF(U560="","",IF(U560="FINES",CONCATENATE("R",IF(OR(B560="16",B560="21",B560="22",B560="23"),"16212223",IF(OR(B560="15",B560="17",B560="24",B560="25"),"15172425",B560))),IF(U560="CEBAS","UNICO",IF(VALUE(B560)&lt;=11,"AMBA","INTERIOR"))))</f>
        <v/>
      </c>
      <c r="W560" s="38" t="str">
        <f>+IF(U560="","-",CONCATENATE(U560,"_",V560))</f>
        <v>-</v>
      </c>
      <c r="X560" s="42">
        <v>0.751</v>
      </c>
    </row>
    <row r="561" spans="1:24" ht="15" thickBot="1">
      <c r="A561" s="5" t="s">
        <v>2916</v>
      </c>
      <c r="B561" s="5" t="s">
        <v>817</v>
      </c>
      <c r="C561" s="5" t="s">
        <v>815</v>
      </c>
      <c r="D561" s="5" t="s">
        <v>816</v>
      </c>
      <c r="E561" s="5">
        <v>608848</v>
      </c>
      <c r="F561" s="5">
        <v>4</v>
      </c>
      <c r="G561" s="5" t="s">
        <v>841</v>
      </c>
      <c r="H561" s="5" t="s">
        <v>20</v>
      </c>
      <c r="I561" s="6" t="s">
        <v>50</v>
      </c>
      <c r="J561" s="6" t="s">
        <v>51</v>
      </c>
      <c r="K561" s="6" t="s">
        <v>822</v>
      </c>
      <c r="L561" s="6" t="s">
        <v>842</v>
      </c>
      <c r="M561" s="6" t="s">
        <v>22</v>
      </c>
      <c r="N561" s="6" t="s">
        <v>23</v>
      </c>
      <c r="O561" s="6" t="s">
        <v>27</v>
      </c>
      <c r="P561" s="6" t="s">
        <v>28</v>
      </c>
      <c r="Q561" s="22">
        <v>20</v>
      </c>
      <c r="R561" s="23">
        <v>2</v>
      </c>
      <c r="S561" s="39">
        <v>0</v>
      </c>
      <c r="T561" s="7" t="s">
        <v>2910</v>
      </c>
      <c r="U561" s="7"/>
      <c r="V561" s="7" t="str">
        <f>+IF(U561="","",IF(U561="FINES",CONCATENATE("R",IF(OR(B561="16",B561="21",B561="22",B561="23"),"16212223",IF(OR(B561="15",B561="17",B561="24",B561="25"),"15172425",B561))),IF(U561="CEBAS","UNICO",IF(VALUE(B561)&lt;=11,"AMBA","INTERIOR"))))</f>
        <v/>
      </c>
      <c r="W561" s="38" t="str">
        <f>+IF(U561="","-",CONCATENATE(U561,"_",V561))</f>
        <v>-</v>
      </c>
      <c r="X561" s="42">
        <v>0.754</v>
      </c>
    </row>
    <row r="562" spans="1:24" ht="15" thickBot="1">
      <c r="A562" s="5" t="s">
        <v>2916</v>
      </c>
      <c r="B562" s="5" t="s">
        <v>225</v>
      </c>
      <c r="C562" s="5" t="s">
        <v>942</v>
      </c>
      <c r="D562" s="5" t="s">
        <v>943</v>
      </c>
      <c r="E562" s="5">
        <v>600299</v>
      </c>
      <c r="F562" s="5">
        <v>1</v>
      </c>
      <c r="G562" s="5" t="s">
        <v>980</v>
      </c>
      <c r="H562" s="5" t="s">
        <v>20</v>
      </c>
      <c r="I562" s="6" t="s">
        <v>50</v>
      </c>
      <c r="J562" s="6" t="s">
        <v>51</v>
      </c>
      <c r="K562" s="6" t="s">
        <v>981</v>
      </c>
      <c r="L562" s="6" t="s">
        <v>982</v>
      </c>
      <c r="M562" s="6" t="s">
        <v>22</v>
      </c>
      <c r="N562" s="6" t="s">
        <v>23</v>
      </c>
      <c r="O562" s="6" t="s">
        <v>27</v>
      </c>
      <c r="P562" s="6" t="s">
        <v>28</v>
      </c>
      <c r="Q562" s="22">
        <v>16</v>
      </c>
      <c r="R562" s="23">
        <v>1</v>
      </c>
      <c r="S562" s="39">
        <v>0</v>
      </c>
      <c r="T562" s="7" t="s">
        <v>2910</v>
      </c>
      <c r="U562" s="7"/>
      <c r="V562" s="7" t="str">
        <f>+IF(U562="","",IF(U562="FINES",CONCATENATE("R",IF(OR(B562="16",B562="21",B562="22",B562="23"),"16212223",IF(OR(B562="15",B562="17",B562="24",B562="25"),"15172425",B562))),IF(U562="CEBAS","UNICO",IF(VALUE(B562)&lt;=11,"AMBA","INTERIOR"))))</f>
        <v/>
      </c>
      <c r="W562" s="38" t="str">
        <f>+IF(U562="","-",CONCATENATE(U562,"_",V562))</f>
        <v>-</v>
      </c>
      <c r="X562" s="42">
        <v>0.755</v>
      </c>
    </row>
    <row r="563" spans="1:24" ht="15" thickBot="1">
      <c r="A563" s="3" t="s">
        <v>2916</v>
      </c>
      <c r="B563" s="3" t="s">
        <v>138</v>
      </c>
      <c r="C563" s="3" t="s">
        <v>436</v>
      </c>
      <c r="D563" s="3" t="s">
        <v>1067</v>
      </c>
      <c r="E563" s="3">
        <v>609057</v>
      </c>
      <c r="F563" s="3">
        <v>1</v>
      </c>
      <c r="G563" s="3" t="s">
        <v>1068</v>
      </c>
      <c r="H563" s="3" t="s">
        <v>20</v>
      </c>
      <c r="I563" s="4" t="s">
        <v>50</v>
      </c>
      <c r="J563" s="4" t="s">
        <v>51</v>
      </c>
      <c r="K563" s="4" t="s">
        <v>1069</v>
      </c>
      <c r="L563" s="4" t="s">
        <v>428</v>
      </c>
      <c r="M563" s="4" t="s">
        <v>22</v>
      </c>
      <c r="N563" s="4" t="s">
        <v>23</v>
      </c>
      <c r="O563" s="4" t="s">
        <v>27</v>
      </c>
      <c r="P563" s="4" t="s">
        <v>28</v>
      </c>
      <c r="Q563" s="24">
        <v>65</v>
      </c>
      <c r="R563" s="25">
        <v>13</v>
      </c>
      <c r="S563" s="39">
        <v>0</v>
      </c>
      <c r="T563" s="7" t="s">
        <v>2910</v>
      </c>
      <c r="U563" s="7"/>
      <c r="V563" s="7" t="str">
        <f>+IF(U563="","",IF(U563="FINES",CONCATENATE("R",IF(OR(B563="16",B563="21",B563="22",B563="23"),"16212223",IF(OR(B563="15",B563="17",B563="24",B563="25"),"15172425",B563))),IF(U563="CEBAS","UNICO",IF(VALUE(B563)&lt;=11,"AMBA","INTERIOR"))))</f>
        <v/>
      </c>
      <c r="W563" s="38" t="str">
        <f>+IF(U563="","-",CONCATENATE(U563,"_",V563))</f>
        <v>-</v>
      </c>
      <c r="X563" s="42">
        <v>0.75700000000000001</v>
      </c>
    </row>
    <row r="564" spans="1:24" ht="15" thickBot="1">
      <c r="A564" s="5" t="s">
        <v>2916</v>
      </c>
      <c r="B564" s="5" t="s">
        <v>598</v>
      </c>
      <c r="C564" s="5" t="s">
        <v>748</v>
      </c>
      <c r="D564" s="5" t="s">
        <v>2452</v>
      </c>
      <c r="E564" s="5">
        <v>612051</v>
      </c>
      <c r="F564" s="5">
        <v>1</v>
      </c>
      <c r="G564" s="5" t="s">
        <v>2453</v>
      </c>
      <c r="H564" s="5" t="s">
        <v>20</v>
      </c>
      <c r="I564" s="6" t="s">
        <v>50</v>
      </c>
      <c r="J564" s="6" t="s">
        <v>51</v>
      </c>
      <c r="K564" s="6" t="s">
        <v>2454</v>
      </c>
      <c r="L564" s="6" t="s">
        <v>428</v>
      </c>
      <c r="M564" s="6" t="s">
        <v>22</v>
      </c>
      <c r="N564" s="6" t="s">
        <v>23</v>
      </c>
      <c r="O564" s="6" t="s">
        <v>27</v>
      </c>
      <c r="P564" s="6" t="s">
        <v>28</v>
      </c>
      <c r="Q564" s="22">
        <v>46</v>
      </c>
      <c r="R564" s="23">
        <v>2</v>
      </c>
      <c r="S564" s="39">
        <v>0</v>
      </c>
      <c r="T564" s="7" t="s">
        <v>2910</v>
      </c>
      <c r="U564" s="7"/>
      <c r="V564" s="7" t="str">
        <f>+IF(U564="","",IF(U564="FINES",CONCATENATE("R",IF(OR(B564="16",B564="21",B564="22",B564="23"),"16212223",IF(OR(B564="15",B564="17",B564="24",B564="25"),"15172425",B564))),IF(U564="CEBAS","UNICO",IF(VALUE(B564)&lt;=11,"AMBA","INTERIOR"))))</f>
        <v/>
      </c>
      <c r="W564" s="38" t="str">
        <f>+IF(U564="","-",CONCATENATE(U564,"_",V564))</f>
        <v>-</v>
      </c>
      <c r="X564" s="42">
        <v>0.75900000000000001</v>
      </c>
    </row>
    <row r="565" spans="1:24" ht="15" thickBot="1">
      <c r="A565" s="5" t="s">
        <v>2916</v>
      </c>
      <c r="B565" s="5" t="s">
        <v>1532</v>
      </c>
      <c r="C565" s="5" t="s">
        <v>1530</v>
      </c>
      <c r="D565" s="5" t="s">
        <v>1531</v>
      </c>
      <c r="E565" s="5">
        <v>614454</v>
      </c>
      <c r="F565" s="5">
        <v>0</v>
      </c>
      <c r="G565" s="5" t="s">
        <v>1535</v>
      </c>
      <c r="H565" s="5" t="s">
        <v>20</v>
      </c>
      <c r="I565" s="6" t="s">
        <v>25</v>
      </c>
      <c r="J565" s="6" t="s">
        <v>21</v>
      </c>
      <c r="K565" s="6"/>
      <c r="L565" s="6" t="s">
        <v>1536</v>
      </c>
      <c r="M565" s="6" t="s">
        <v>22</v>
      </c>
      <c r="N565" s="6" t="s">
        <v>23</v>
      </c>
      <c r="O565" s="6" t="s">
        <v>27</v>
      </c>
      <c r="P565" s="6" t="s">
        <v>28</v>
      </c>
      <c r="Q565" s="22">
        <v>14</v>
      </c>
      <c r="R565" s="23">
        <v>1</v>
      </c>
      <c r="S565" s="39">
        <v>0</v>
      </c>
      <c r="T565" s="7" t="s">
        <v>2910</v>
      </c>
      <c r="U565" s="7"/>
      <c r="V565" s="7" t="str">
        <f>+IF(U565="","",IF(U565="FINES",CONCATENATE("R",IF(OR(B565="16",B565="21",B565="22",B565="23"),"16212223",IF(OR(B565="15",B565="17",B565="24",B565="25"),"15172425",B565))),IF(U565="CEBAS","UNICO",IF(VALUE(B565)&lt;=11,"AMBA","INTERIOR"))))</f>
        <v/>
      </c>
      <c r="W565" s="38" t="str">
        <f>+IF(U565="","-",CONCATENATE(U565,"_",V565))</f>
        <v>-</v>
      </c>
      <c r="X565" s="42">
        <v>0.76300000000000001</v>
      </c>
    </row>
    <row r="566" spans="1:24" ht="15" thickBot="1">
      <c r="A566" s="3" t="s">
        <v>2916</v>
      </c>
      <c r="B566" s="3" t="s">
        <v>817</v>
      </c>
      <c r="C566" s="3" t="s">
        <v>2080</v>
      </c>
      <c r="D566" s="3" t="s">
        <v>2081</v>
      </c>
      <c r="E566" s="3">
        <v>613058</v>
      </c>
      <c r="F566" s="3">
        <v>1</v>
      </c>
      <c r="G566" s="3" t="s">
        <v>2108</v>
      </c>
      <c r="H566" s="3" t="s">
        <v>20</v>
      </c>
      <c r="I566" s="4" t="s">
        <v>50</v>
      </c>
      <c r="J566" s="4" t="s">
        <v>51</v>
      </c>
      <c r="K566" s="4" t="s">
        <v>2109</v>
      </c>
      <c r="L566" s="4" t="s">
        <v>277</v>
      </c>
      <c r="M566" s="4" t="s">
        <v>22</v>
      </c>
      <c r="N566" s="4" t="s">
        <v>23</v>
      </c>
      <c r="O566" s="4" t="s">
        <v>27</v>
      </c>
      <c r="P566" s="4" t="s">
        <v>28</v>
      </c>
      <c r="Q566" s="24">
        <v>46</v>
      </c>
      <c r="R566" s="25">
        <v>3</v>
      </c>
      <c r="S566" s="39">
        <v>0</v>
      </c>
      <c r="T566" s="7" t="s">
        <v>2910</v>
      </c>
      <c r="U566" s="7"/>
      <c r="V566" s="7" t="str">
        <f>+IF(U566="","",IF(U566="FINES",CONCATENATE("R",IF(OR(B566="16",B566="21",B566="22",B566="23"),"16212223",IF(OR(B566="15",B566="17",B566="24",B566="25"),"15172425",B566))),IF(U566="CEBAS","UNICO",IF(VALUE(B566)&lt;=11,"AMBA","INTERIOR"))))</f>
        <v/>
      </c>
      <c r="W566" s="38" t="str">
        <f>+IF(U566="","-",CONCATENATE(U566,"_",V566))</f>
        <v>-</v>
      </c>
      <c r="X566" s="42">
        <v>0.76400000000000001</v>
      </c>
    </row>
    <row r="567" spans="1:24" ht="15" thickBot="1">
      <c r="A567" s="5" t="s">
        <v>2916</v>
      </c>
      <c r="B567" s="5" t="s">
        <v>138</v>
      </c>
      <c r="C567" s="5" t="s">
        <v>1321</v>
      </c>
      <c r="D567" s="5" t="s">
        <v>1322</v>
      </c>
      <c r="E567" s="5">
        <v>605742</v>
      </c>
      <c r="F567" s="5">
        <v>0</v>
      </c>
      <c r="G567" s="5" t="s">
        <v>1323</v>
      </c>
      <c r="H567" s="5" t="s">
        <v>20</v>
      </c>
      <c r="I567" s="6" t="s">
        <v>50</v>
      </c>
      <c r="J567" s="6" t="s">
        <v>21</v>
      </c>
      <c r="K567" s="6"/>
      <c r="L567" s="6" t="s">
        <v>543</v>
      </c>
      <c r="M567" s="6" t="s">
        <v>22</v>
      </c>
      <c r="N567" s="6" t="s">
        <v>23</v>
      </c>
      <c r="O567" s="6" t="s">
        <v>27</v>
      </c>
      <c r="P567" s="6" t="s">
        <v>28</v>
      </c>
      <c r="Q567" s="22">
        <v>55</v>
      </c>
      <c r="R567" s="23">
        <v>5</v>
      </c>
      <c r="S567" s="39">
        <v>0</v>
      </c>
      <c r="T567" s="7" t="s">
        <v>2910</v>
      </c>
      <c r="U567" s="7"/>
      <c r="V567" s="7" t="str">
        <f>+IF(U567="","",IF(U567="FINES",CONCATENATE("R",IF(OR(B567="16",B567="21",B567="22",B567="23"),"16212223",IF(OR(B567="15",B567="17",B567="24",B567="25"),"15172425",B567))),IF(U567="CEBAS","UNICO",IF(VALUE(B567)&lt;=11,"AMBA","INTERIOR"))))</f>
        <v/>
      </c>
      <c r="W567" s="38" t="str">
        <f>+IF(U567="","-",CONCATENATE(U567,"_",V567))</f>
        <v>-</v>
      </c>
      <c r="X567" s="42">
        <v>0.76500000000000001</v>
      </c>
    </row>
    <row r="568" spans="1:24" ht="15" thickBot="1">
      <c r="A568" s="5" t="s">
        <v>2916</v>
      </c>
      <c r="B568" s="5" t="s">
        <v>217</v>
      </c>
      <c r="C568" s="5" t="s">
        <v>2171</v>
      </c>
      <c r="D568" s="5" t="s">
        <v>2172</v>
      </c>
      <c r="E568" s="5">
        <v>614633</v>
      </c>
      <c r="F568" s="5">
        <v>0</v>
      </c>
      <c r="G568" s="5" t="s">
        <v>2177</v>
      </c>
      <c r="H568" s="5" t="s">
        <v>20</v>
      </c>
      <c r="I568" s="6" t="s">
        <v>50</v>
      </c>
      <c r="J568" s="6" t="s">
        <v>21</v>
      </c>
      <c r="K568" s="6"/>
      <c r="L568" s="6" t="s">
        <v>650</v>
      </c>
      <c r="M568" s="6" t="s">
        <v>22</v>
      </c>
      <c r="N568" s="6" t="s">
        <v>23</v>
      </c>
      <c r="O568" s="6" t="s">
        <v>27</v>
      </c>
      <c r="P568" s="6" t="s">
        <v>28</v>
      </c>
      <c r="Q568" s="22">
        <v>6</v>
      </c>
      <c r="R568" s="23">
        <v>1</v>
      </c>
      <c r="S568" s="39">
        <v>0</v>
      </c>
      <c r="T568" s="7" t="s">
        <v>2910</v>
      </c>
      <c r="U568" s="7"/>
      <c r="V568" s="7" t="str">
        <f>+IF(U568="","",IF(U568="FINES",CONCATENATE("R",IF(OR(B568="16",B568="21",B568="22",B568="23"),"16212223",IF(OR(B568="15",B568="17",B568="24",B568="25"),"15172425",B568))),IF(U568="CEBAS","UNICO",IF(VALUE(B568)&lt;=11,"AMBA","INTERIOR"))))</f>
        <v/>
      </c>
      <c r="W568" s="38" t="str">
        <f>+IF(U568="","-",CONCATENATE(U568,"_",V568))</f>
        <v>-</v>
      </c>
      <c r="X568" s="42">
        <v>0.76600000000000001</v>
      </c>
    </row>
    <row r="569" spans="1:24" ht="15" thickBot="1">
      <c r="A569" s="5" t="s">
        <v>2916</v>
      </c>
      <c r="B569" s="5" t="s">
        <v>140</v>
      </c>
      <c r="C569" s="5" t="s">
        <v>2277</v>
      </c>
      <c r="D569" s="5" t="s">
        <v>2278</v>
      </c>
      <c r="E569" s="5">
        <v>604559</v>
      </c>
      <c r="F569" s="5">
        <v>2</v>
      </c>
      <c r="G569" s="5" t="s">
        <v>2294</v>
      </c>
      <c r="H569" s="5" t="s">
        <v>20</v>
      </c>
      <c r="I569" s="6" t="s">
        <v>50</v>
      </c>
      <c r="J569" s="6" t="s">
        <v>51</v>
      </c>
      <c r="K569" s="6" t="s">
        <v>2280</v>
      </c>
      <c r="L569" s="6" t="s">
        <v>791</v>
      </c>
      <c r="M569" s="6" t="s">
        <v>22</v>
      </c>
      <c r="N569" s="6" t="s">
        <v>23</v>
      </c>
      <c r="O569" s="6" t="s">
        <v>27</v>
      </c>
      <c r="P569" s="6" t="s">
        <v>28</v>
      </c>
      <c r="Q569" s="22">
        <v>13</v>
      </c>
      <c r="R569" s="23">
        <v>1</v>
      </c>
      <c r="S569" s="39">
        <v>0</v>
      </c>
      <c r="T569" s="7" t="s">
        <v>2910</v>
      </c>
      <c r="V569" s="7" t="str">
        <f>+IF(U569="","",IF(U569="FINES",CONCATENATE("R",IF(OR(B569="16",B569="21",B569="22",B569="23"),"16212223",IF(OR(B569="15",B569="17",B569="24",B569="25"),"15172425",B569))),IF(U569="CEBAS","UNICO",IF(VALUE(B569)&lt;=11,"AMBA","INTERIOR"))))</f>
        <v/>
      </c>
      <c r="W569" s="38" t="str">
        <f>+IF(U569="","-",CONCATENATE(U569,"_",V569))</f>
        <v>-</v>
      </c>
      <c r="X569" s="42">
        <v>0.76600000000000001</v>
      </c>
    </row>
    <row r="570" spans="1:24" ht="15" thickBot="1">
      <c r="A570" s="3" t="s">
        <v>2916</v>
      </c>
      <c r="B570" s="3" t="s">
        <v>220</v>
      </c>
      <c r="C570" s="3" t="s">
        <v>726</v>
      </c>
      <c r="D570" s="3" t="s">
        <v>2434</v>
      </c>
      <c r="E570" s="3">
        <v>615484</v>
      </c>
      <c r="F570" s="3">
        <v>0</v>
      </c>
      <c r="G570" s="3" t="s">
        <v>2439</v>
      </c>
      <c r="H570" s="3" t="s">
        <v>20</v>
      </c>
      <c r="I570" s="4" t="s">
        <v>50</v>
      </c>
      <c r="J570" s="4" t="s">
        <v>21</v>
      </c>
      <c r="K570" s="4"/>
      <c r="L570" s="4" t="s">
        <v>650</v>
      </c>
      <c r="M570" s="4" t="s">
        <v>199</v>
      </c>
      <c r="N570" s="4" t="s">
        <v>23</v>
      </c>
      <c r="O570" s="4" t="s">
        <v>27</v>
      </c>
      <c r="P570" s="4" t="s">
        <v>28</v>
      </c>
      <c r="Q570" s="24">
        <v>20</v>
      </c>
      <c r="R570" s="25">
        <v>2</v>
      </c>
      <c r="S570" s="39">
        <v>0</v>
      </c>
      <c r="T570" s="7" t="s">
        <v>2910</v>
      </c>
      <c r="V570" s="7" t="str">
        <f>+IF(U570="","",IF(U570="FINES",CONCATENATE("R",IF(OR(B570="16",B570="21",B570="22",B570="23"),"16212223",IF(OR(B570="15",B570="17",B570="24",B570="25"),"15172425",B570))),IF(U570="CEBAS","UNICO",IF(VALUE(B570)&lt;=11,"AMBA","INTERIOR"))))</f>
        <v/>
      </c>
      <c r="W570" s="38" t="str">
        <f>+IF(U570="","-",CONCATENATE(U570,"_",V570))</f>
        <v>-</v>
      </c>
      <c r="X570" s="42">
        <v>0.76700000000000002</v>
      </c>
    </row>
    <row r="571" spans="1:24" ht="15" thickBot="1">
      <c r="A571" s="3" t="s">
        <v>2916</v>
      </c>
      <c r="B571" s="3" t="s">
        <v>356</v>
      </c>
      <c r="C571" s="3" t="s">
        <v>353</v>
      </c>
      <c r="D571" s="3" t="s">
        <v>355</v>
      </c>
      <c r="E571" s="3">
        <v>603777</v>
      </c>
      <c r="F571" s="3">
        <v>1</v>
      </c>
      <c r="G571" s="3" t="s">
        <v>365</v>
      </c>
      <c r="H571" s="3" t="s">
        <v>20</v>
      </c>
      <c r="I571" s="4" t="s">
        <v>50</v>
      </c>
      <c r="J571" s="4" t="s">
        <v>51</v>
      </c>
      <c r="K571" s="4" t="s">
        <v>366</v>
      </c>
      <c r="L571" s="4" t="s">
        <v>260</v>
      </c>
      <c r="M571" s="4" t="s">
        <v>22</v>
      </c>
      <c r="N571" s="4" t="s">
        <v>23</v>
      </c>
      <c r="O571" s="4" t="s">
        <v>27</v>
      </c>
      <c r="P571" s="4" t="s">
        <v>28</v>
      </c>
      <c r="Q571" s="24">
        <v>28</v>
      </c>
      <c r="R571" s="25">
        <v>2</v>
      </c>
      <c r="S571" s="39">
        <v>0</v>
      </c>
      <c r="T571" s="7" t="s">
        <v>2910</v>
      </c>
      <c r="U571" s="7"/>
      <c r="V571" s="7" t="str">
        <f>+IF(U571="","",IF(U571="FINES",CONCATENATE("R",IF(OR(B571="16",B571="21",B571="22",B571="23"),"16212223",IF(OR(B571="15",B571="17",B571="24",B571="25"),"15172425",B571))),IF(U571="CEBAS","UNICO",IF(VALUE(B571)&lt;=11,"AMBA","INTERIOR"))))</f>
        <v/>
      </c>
      <c r="W571" s="38" t="str">
        <f>+IF(U571="","-",CONCATENATE(U571,"_",V571))</f>
        <v>-</v>
      </c>
      <c r="X571" s="42">
        <v>0.76700000000000002</v>
      </c>
    </row>
    <row r="572" spans="1:24" ht="15" thickBot="1">
      <c r="A572" s="5" t="s">
        <v>2916</v>
      </c>
      <c r="B572" s="5" t="s">
        <v>356</v>
      </c>
      <c r="C572" s="5" t="s">
        <v>353</v>
      </c>
      <c r="D572" s="5" t="s">
        <v>355</v>
      </c>
      <c r="E572" s="5">
        <v>607346</v>
      </c>
      <c r="F572" s="5">
        <v>1</v>
      </c>
      <c r="G572" s="5" t="s">
        <v>362</v>
      </c>
      <c r="H572" s="5" t="s">
        <v>20</v>
      </c>
      <c r="I572" s="6" t="s">
        <v>50</v>
      </c>
      <c r="J572" s="6" t="s">
        <v>51</v>
      </c>
      <c r="K572" s="6" t="s">
        <v>363</v>
      </c>
      <c r="L572" s="6" t="s">
        <v>364</v>
      </c>
      <c r="M572" s="6" t="s">
        <v>22</v>
      </c>
      <c r="N572" s="6" t="s">
        <v>23</v>
      </c>
      <c r="O572" s="6" t="s">
        <v>27</v>
      </c>
      <c r="P572" s="6" t="s">
        <v>28</v>
      </c>
      <c r="Q572" s="22">
        <v>12</v>
      </c>
      <c r="R572" s="23">
        <v>1</v>
      </c>
      <c r="S572" s="39">
        <v>0</v>
      </c>
      <c r="T572" s="7" t="s">
        <v>2910</v>
      </c>
      <c r="U572" s="7"/>
      <c r="V572" s="7" t="str">
        <f>+IF(U572="","",IF(U572="FINES",CONCATENATE("R",IF(OR(B572="16",B572="21",B572="22",B572="23"),"16212223",IF(OR(B572="15",B572="17",B572="24",B572="25"),"15172425",B572))),IF(U572="CEBAS","UNICO",IF(VALUE(B572)&lt;=11,"AMBA","INTERIOR"))))</f>
        <v/>
      </c>
      <c r="W572" s="38" t="str">
        <f>+IF(U572="","-",CONCATENATE(U572,"_",V572))</f>
        <v>-</v>
      </c>
      <c r="X572" s="42">
        <v>0.77400000000000002</v>
      </c>
    </row>
    <row r="573" spans="1:24" ht="15" thickBot="1">
      <c r="A573" s="5" t="s">
        <v>2916</v>
      </c>
      <c r="B573" s="5" t="s">
        <v>257</v>
      </c>
      <c r="C573" s="5" t="s">
        <v>772</v>
      </c>
      <c r="D573" s="5" t="s">
        <v>773</v>
      </c>
      <c r="E573" s="5">
        <v>604934</v>
      </c>
      <c r="F573" s="5">
        <v>3</v>
      </c>
      <c r="G573" s="5" t="s">
        <v>793</v>
      </c>
      <c r="H573" s="5" t="s">
        <v>20</v>
      </c>
      <c r="I573" s="6" t="s">
        <v>50</v>
      </c>
      <c r="J573" s="6" t="s">
        <v>51</v>
      </c>
      <c r="K573" s="6" t="s">
        <v>788</v>
      </c>
      <c r="L573" s="6" t="s">
        <v>794</v>
      </c>
      <c r="M573" s="6" t="s">
        <v>22</v>
      </c>
      <c r="N573" s="6" t="s">
        <v>23</v>
      </c>
      <c r="O573" s="6" t="s">
        <v>27</v>
      </c>
      <c r="P573" s="6" t="s">
        <v>28</v>
      </c>
      <c r="Q573" s="22">
        <v>40</v>
      </c>
      <c r="R573" s="23">
        <v>3</v>
      </c>
      <c r="S573" s="39">
        <v>0</v>
      </c>
      <c r="T573" s="7" t="s">
        <v>2910</v>
      </c>
      <c r="V573" s="7" t="str">
        <f>+IF(U573="","",IF(U573="FINES",CONCATENATE("R",IF(OR(B573="16",B573="21",B573="22",B573="23"),"16212223",IF(OR(B573="15",B573="17",B573="24",B573="25"),"15172425",B573))),IF(U573="CEBAS","UNICO",IF(VALUE(B573)&lt;=11,"AMBA","INTERIOR"))))</f>
        <v/>
      </c>
      <c r="W573" s="38" t="str">
        <f>+IF(U573="","-",CONCATENATE(U573,"_",V573))</f>
        <v>-</v>
      </c>
      <c r="X573" s="42">
        <v>0.77500000000000002</v>
      </c>
    </row>
    <row r="574" spans="1:24" ht="15" thickBot="1">
      <c r="A574" s="3" t="s">
        <v>2916</v>
      </c>
      <c r="B574" s="3" t="s">
        <v>135</v>
      </c>
      <c r="C574" s="3" t="s">
        <v>1330</v>
      </c>
      <c r="D574" s="3" t="s">
        <v>1331</v>
      </c>
      <c r="E574" s="3">
        <v>609724</v>
      </c>
      <c r="F574" s="3">
        <v>0</v>
      </c>
      <c r="G574" s="3" t="s">
        <v>1332</v>
      </c>
      <c r="H574" s="3" t="s">
        <v>20</v>
      </c>
      <c r="I574" s="4" t="s">
        <v>50</v>
      </c>
      <c r="J574" s="4" t="s">
        <v>21</v>
      </c>
      <c r="K574" s="4"/>
      <c r="L574" s="4" t="s">
        <v>235</v>
      </c>
      <c r="M574" s="4" t="s">
        <v>22</v>
      </c>
      <c r="N574" s="4" t="s">
        <v>23</v>
      </c>
      <c r="O574" s="4" t="s">
        <v>27</v>
      </c>
      <c r="P574" s="4" t="s">
        <v>28</v>
      </c>
      <c r="Q574" s="24">
        <v>21</v>
      </c>
      <c r="R574" s="25">
        <v>2</v>
      </c>
      <c r="S574" s="39">
        <v>0</v>
      </c>
      <c r="T574" s="7" t="s">
        <v>2910</v>
      </c>
      <c r="U574" s="7"/>
      <c r="V574" s="7" t="str">
        <f>+IF(U574="","",IF(U574="FINES",CONCATENATE("R",IF(OR(B574="16",B574="21",B574="22",B574="23"),"16212223",IF(OR(B574="15",B574="17",B574="24",B574="25"),"15172425",B574))),IF(U574="CEBAS","UNICO",IF(VALUE(B574)&lt;=11,"AMBA","INTERIOR"))))</f>
        <v/>
      </c>
      <c r="W574" s="38" t="str">
        <f>+IF(U574="","-",CONCATENATE(U574,"_",V574))</f>
        <v>-</v>
      </c>
      <c r="X574" s="42">
        <v>0.77500000000000002</v>
      </c>
    </row>
    <row r="575" spans="1:24" ht="15" thickBot="1">
      <c r="A575" s="3" t="s">
        <v>2916</v>
      </c>
      <c r="B575" s="3" t="s">
        <v>356</v>
      </c>
      <c r="C575" s="3" t="s">
        <v>353</v>
      </c>
      <c r="D575" s="3" t="s">
        <v>355</v>
      </c>
      <c r="E575" s="3">
        <v>616882</v>
      </c>
      <c r="F575" s="3">
        <v>0</v>
      </c>
      <c r="G575" s="3" t="s">
        <v>422</v>
      </c>
      <c r="H575" s="3" t="s">
        <v>210</v>
      </c>
      <c r="I575" s="4" t="s">
        <v>201</v>
      </c>
      <c r="J575" s="4" t="s">
        <v>21</v>
      </c>
      <c r="K575" s="4"/>
      <c r="L575" s="4" t="s">
        <v>416</v>
      </c>
      <c r="M575" s="4" t="s">
        <v>22</v>
      </c>
      <c r="N575" s="4" t="s">
        <v>23</v>
      </c>
      <c r="O575" s="4" t="s">
        <v>27</v>
      </c>
      <c r="P575" s="4" t="s">
        <v>144</v>
      </c>
      <c r="Q575" s="24">
        <v>1426</v>
      </c>
      <c r="R575" s="25">
        <v>11</v>
      </c>
      <c r="S575" s="39">
        <v>0</v>
      </c>
      <c r="T575" s="7" t="s">
        <v>2909</v>
      </c>
      <c r="V575" s="7" t="str">
        <f>+IF(U575="","",IF(U575="FINES",CONCATENATE("R",IF(OR(B575="16",B575="21",B575="22",B575="23"),"16212223",IF(OR(B575="15",B575="17",B575="24",B575="25"),"15172425",B575))),IF(U575="CEBAS","UNICO",IF(VALUE(B575)&lt;=11,"AMBA","INTERIOR"))))</f>
        <v/>
      </c>
      <c r="W575" s="38" t="str">
        <f>+IF(U575="","-",CONCATENATE(U575,"_",V575))</f>
        <v>-</v>
      </c>
      <c r="X575" s="42">
        <v>0.77500000000000002</v>
      </c>
    </row>
    <row r="576" spans="1:24" ht="15" thickBot="1">
      <c r="A576" s="3" t="s">
        <v>2916</v>
      </c>
      <c r="B576" s="3" t="s">
        <v>352</v>
      </c>
      <c r="C576" s="3" t="s">
        <v>349</v>
      </c>
      <c r="D576" s="3" t="s">
        <v>2397</v>
      </c>
      <c r="E576" s="3">
        <v>610063</v>
      </c>
      <c r="F576" s="3">
        <v>1</v>
      </c>
      <c r="G576" s="3" t="s">
        <v>2398</v>
      </c>
      <c r="H576" s="3" t="s">
        <v>20</v>
      </c>
      <c r="I576" s="4" t="s">
        <v>50</v>
      </c>
      <c r="J576" s="4" t="s">
        <v>51</v>
      </c>
      <c r="K576" s="4" t="s">
        <v>2399</v>
      </c>
      <c r="L576" s="4" t="s">
        <v>545</v>
      </c>
      <c r="M576" s="4" t="s">
        <v>22</v>
      </c>
      <c r="N576" s="4" t="s">
        <v>23</v>
      </c>
      <c r="O576" s="4" t="s">
        <v>27</v>
      </c>
      <c r="P576" s="4" t="s">
        <v>28</v>
      </c>
      <c r="Q576" s="24">
        <v>6</v>
      </c>
      <c r="R576" s="25">
        <v>1</v>
      </c>
      <c r="S576" s="39">
        <v>0</v>
      </c>
      <c r="T576" s="7" t="s">
        <v>2910</v>
      </c>
      <c r="V576" s="7" t="str">
        <f>+IF(U576="","",IF(U576="FINES",CONCATENATE("R",IF(OR(B576="16",B576="21",B576="22",B576="23"),"16212223",IF(OR(B576="15",B576="17",B576="24",B576="25"),"15172425",B576))),IF(U576="CEBAS","UNICO",IF(VALUE(B576)&lt;=11,"AMBA","INTERIOR"))))</f>
        <v/>
      </c>
      <c r="W576" s="38" t="str">
        <f>+IF(U576="","-",CONCATENATE(U576,"_",V576))</f>
        <v>-</v>
      </c>
      <c r="X576" s="42">
        <v>0.77900000000000003</v>
      </c>
    </row>
    <row r="577" spans="1:24" ht="15" thickBot="1">
      <c r="A577" s="5" t="s">
        <v>2916</v>
      </c>
      <c r="B577" s="5" t="s">
        <v>222</v>
      </c>
      <c r="C577" s="5" t="s">
        <v>227</v>
      </c>
      <c r="D577" s="5" t="s">
        <v>2603</v>
      </c>
      <c r="E577" s="5">
        <v>613902</v>
      </c>
      <c r="F577" s="5">
        <v>1</v>
      </c>
      <c r="G577" s="5" t="s">
        <v>2604</v>
      </c>
      <c r="H577" s="5" t="s">
        <v>20</v>
      </c>
      <c r="I577" s="6" t="s">
        <v>50</v>
      </c>
      <c r="J577" s="6" t="s">
        <v>51</v>
      </c>
      <c r="K577" s="6" t="s">
        <v>2605</v>
      </c>
      <c r="L577" s="6" t="s">
        <v>2606</v>
      </c>
      <c r="M577" s="6" t="s">
        <v>22</v>
      </c>
      <c r="N577" s="6" t="s">
        <v>23</v>
      </c>
      <c r="O577" s="6" t="s">
        <v>27</v>
      </c>
      <c r="P577" s="6" t="s">
        <v>28</v>
      </c>
      <c r="Q577" s="22">
        <v>32</v>
      </c>
      <c r="R577" s="23">
        <v>2</v>
      </c>
      <c r="S577" s="39">
        <v>0</v>
      </c>
      <c r="T577" s="7" t="s">
        <v>2910</v>
      </c>
      <c r="V577" s="7" t="str">
        <f>+IF(U577="","",IF(U577="FINES",CONCATENATE("R",IF(OR(B577="16",B577="21",B577="22",B577="23"),"16212223",IF(OR(B577="15",B577="17",B577="24",B577="25"),"15172425",B577))),IF(U577="CEBAS","UNICO",IF(VALUE(B577)&lt;=11,"AMBA","INTERIOR"))))</f>
        <v/>
      </c>
      <c r="W577" s="38" t="str">
        <f>+IF(U577="","-",CONCATENATE(U577,"_",V577))</f>
        <v>-</v>
      </c>
      <c r="X577" s="42">
        <v>0.78200000000000003</v>
      </c>
    </row>
    <row r="578" spans="1:24" ht="15" thickBot="1">
      <c r="A578" s="5" t="s">
        <v>2916</v>
      </c>
      <c r="B578" s="5" t="s">
        <v>1860</v>
      </c>
      <c r="C578" s="5" t="s">
        <v>1858</v>
      </c>
      <c r="D578" s="5" t="s">
        <v>1859</v>
      </c>
      <c r="E578" s="5">
        <v>603278</v>
      </c>
      <c r="F578" s="5">
        <v>3</v>
      </c>
      <c r="G578" s="5" t="s">
        <v>1879</v>
      </c>
      <c r="H578" s="5" t="s">
        <v>20</v>
      </c>
      <c r="I578" s="6" t="s">
        <v>50</v>
      </c>
      <c r="J578" s="6" t="s">
        <v>51</v>
      </c>
      <c r="K578" s="6" t="s">
        <v>1878</v>
      </c>
      <c r="L578" s="6" t="s">
        <v>786</v>
      </c>
      <c r="M578" s="6" t="s">
        <v>22</v>
      </c>
      <c r="N578" s="6" t="s">
        <v>23</v>
      </c>
      <c r="O578" s="6" t="s">
        <v>27</v>
      </c>
      <c r="P578" s="6" t="s">
        <v>28</v>
      </c>
      <c r="Q578" s="22">
        <v>71</v>
      </c>
      <c r="R578" s="23">
        <v>4</v>
      </c>
      <c r="S578" s="39">
        <v>0</v>
      </c>
      <c r="T578" s="7" t="s">
        <v>2910</v>
      </c>
      <c r="U578" s="7"/>
      <c r="V578" s="7" t="str">
        <f>+IF(U578="","",IF(U578="FINES",CONCATENATE("R",IF(OR(B578="16",B578="21",B578="22",B578="23"),"16212223",IF(OR(B578="15",B578="17",B578="24",B578="25"),"15172425",B578))),IF(U578="CEBAS","UNICO",IF(VALUE(B578)&lt;=11,"AMBA","INTERIOR"))))</f>
        <v/>
      </c>
      <c r="W578" s="38" t="str">
        <f>+IF(U578="","-",CONCATENATE(U578,"_",V578))</f>
        <v>-</v>
      </c>
      <c r="X578" s="42">
        <v>0.78200000000000003</v>
      </c>
    </row>
    <row r="579" spans="1:24" ht="15" thickBot="1">
      <c r="A579" s="3" t="s">
        <v>2916</v>
      </c>
      <c r="B579" s="3" t="s">
        <v>1860</v>
      </c>
      <c r="C579" s="3" t="s">
        <v>411</v>
      </c>
      <c r="D579" s="3" t="s">
        <v>2791</v>
      </c>
      <c r="E579" s="3">
        <v>600587</v>
      </c>
      <c r="F579" s="3">
        <v>1</v>
      </c>
      <c r="G579" s="3" t="s">
        <v>2796</v>
      </c>
      <c r="H579" s="3" t="s">
        <v>20</v>
      </c>
      <c r="I579" s="4" t="s">
        <v>50</v>
      </c>
      <c r="J579" s="4" t="s">
        <v>51</v>
      </c>
      <c r="K579" s="4" t="s">
        <v>2797</v>
      </c>
      <c r="L579" s="4" t="s">
        <v>2798</v>
      </c>
      <c r="M579" s="4" t="s">
        <v>22</v>
      </c>
      <c r="N579" s="4" t="s">
        <v>23</v>
      </c>
      <c r="O579" s="4" t="s">
        <v>27</v>
      </c>
      <c r="P579" s="4" t="s">
        <v>28</v>
      </c>
      <c r="Q579" s="24">
        <v>43</v>
      </c>
      <c r="R579" s="25">
        <v>5</v>
      </c>
      <c r="S579" s="39">
        <v>0</v>
      </c>
      <c r="T579" s="7" t="s">
        <v>2910</v>
      </c>
      <c r="V579" s="7" t="str">
        <f>+IF(U579="","",IF(U579="FINES",CONCATENATE("R",IF(OR(B579="16",B579="21",B579="22",B579="23"),"16212223",IF(OR(B579="15",B579="17",B579="24",B579="25"),"15172425",B579))),IF(U579="CEBAS","UNICO",IF(VALUE(B579)&lt;=11,"AMBA","INTERIOR"))))</f>
        <v/>
      </c>
      <c r="W579" s="38" t="str">
        <f>+IF(U579="","-",CONCATENATE(U579,"_",V579))</f>
        <v>-</v>
      </c>
      <c r="X579" s="42">
        <v>0.78500000000000003</v>
      </c>
    </row>
    <row r="580" spans="1:24" ht="15" thickBot="1">
      <c r="A580" s="3" t="s">
        <v>2916</v>
      </c>
      <c r="B580" s="3" t="s">
        <v>817</v>
      </c>
      <c r="C580" s="3" t="s">
        <v>2080</v>
      </c>
      <c r="D580" s="3" t="s">
        <v>2081</v>
      </c>
      <c r="E580" s="3">
        <v>610950</v>
      </c>
      <c r="F580" s="3">
        <v>3</v>
      </c>
      <c r="G580" s="3" t="s">
        <v>2125</v>
      </c>
      <c r="H580" s="3" t="s">
        <v>20</v>
      </c>
      <c r="I580" s="4" t="s">
        <v>50</v>
      </c>
      <c r="J580" s="4" t="s">
        <v>51</v>
      </c>
      <c r="K580" s="4" t="s">
        <v>2111</v>
      </c>
      <c r="L580" s="4" t="s">
        <v>2126</v>
      </c>
      <c r="M580" s="4" t="s">
        <v>22</v>
      </c>
      <c r="N580" s="4" t="s">
        <v>23</v>
      </c>
      <c r="O580" s="4" t="s">
        <v>27</v>
      </c>
      <c r="P580" s="4" t="s">
        <v>28</v>
      </c>
      <c r="Q580" s="24">
        <v>14</v>
      </c>
      <c r="R580" s="25">
        <v>2</v>
      </c>
      <c r="S580" s="39">
        <v>0</v>
      </c>
      <c r="T580" s="7" t="s">
        <v>2910</v>
      </c>
      <c r="U580" s="7"/>
      <c r="V580" s="7" t="str">
        <f>+IF(U580="","",IF(U580="FINES",CONCATENATE("R",IF(OR(B580="16",B580="21",B580="22",B580="23"),"16212223",IF(OR(B580="15",B580="17",B580="24",B580="25"),"15172425",B580))),IF(U580="CEBAS","UNICO",IF(VALUE(B580)&lt;=11,"AMBA","INTERIOR"))))</f>
        <v/>
      </c>
      <c r="W580" s="38" t="str">
        <f>+IF(U580="","-",CONCATENATE(U580,"_",V580))</f>
        <v>-</v>
      </c>
      <c r="X580" s="42">
        <v>0.78600000000000003</v>
      </c>
    </row>
    <row r="581" spans="1:24" ht="15" thickBot="1">
      <c r="A581" s="5" t="s">
        <v>2916</v>
      </c>
      <c r="B581" s="5" t="s">
        <v>1257</v>
      </c>
      <c r="C581" s="5" t="s">
        <v>519</v>
      </c>
      <c r="D581" s="5" t="s">
        <v>2470</v>
      </c>
      <c r="E581" s="5">
        <v>602305</v>
      </c>
      <c r="F581" s="5">
        <v>1</v>
      </c>
      <c r="G581" s="5" t="s">
        <v>2473</v>
      </c>
      <c r="H581" s="5" t="s">
        <v>20</v>
      </c>
      <c r="I581" s="6" t="s">
        <v>50</v>
      </c>
      <c r="J581" s="6" t="s">
        <v>51</v>
      </c>
      <c r="K581" s="6" t="s">
        <v>2474</v>
      </c>
      <c r="L581" s="6" t="s">
        <v>754</v>
      </c>
      <c r="M581" s="6" t="s">
        <v>22</v>
      </c>
      <c r="N581" s="6" t="s">
        <v>23</v>
      </c>
      <c r="O581" s="6" t="s">
        <v>27</v>
      </c>
      <c r="P581" s="6" t="s">
        <v>28</v>
      </c>
      <c r="Q581" s="22">
        <v>12</v>
      </c>
      <c r="R581" s="23">
        <v>1</v>
      </c>
      <c r="S581" s="39">
        <v>0</v>
      </c>
      <c r="T581" s="7" t="s">
        <v>2910</v>
      </c>
      <c r="U581" s="7"/>
      <c r="V581" s="7" t="str">
        <f>+IF(U581="","",IF(U581="FINES",CONCATENATE("R",IF(OR(B581="16",B581="21",B581="22",B581="23"),"16212223",IF(OR(B581="15",B581="17",B581="24",B581="25"),"15172425",B581))),IF(U581="CEBAS","UNICO",IF(VALUE(B581)&lt;=11,"AMBA","INTERIOR"))))</f>
        <v/>
      </c>
      <c r="W581" s="38" t="str">
        <f>+IF(U581="","-",CONCATENATE(U581,"_",V581))</f>
        <v>-</v>
      </c>
      <c r="X581" s="42">
        <v>0.78600000000000003</v>
      </c>
    </row>
    <row r="582" spans="1:24" ht="15" thickBot="1">
      <c r="A582" s="5" t="s">
        <v>2916</v>
      </c>
      <c r="B582" s="5" t="s">
        <v>206</v>
      </c>
      <c r="C582" s="5" t="s">
        <v>749</v>
      </c>
      <c r="D582" s="5" t="s">
        <v>2905</v>
      </c>
      <c r="E582" s="5">
        <v>603260</v>
      </c>
      <c r="F582" s="5">
        <v>0</v>
      </c>
      <c r="G582" s="5" t="s">
        <v>2906</v>
      </c>
      <c r="H582" s="5" t="s">
        <v>20</v>
      </c>
      <c r="I582" s="6" t="s">
        <v>50</v>
      </c>
      <c r="J582" s="6" t="s">
        <v>21</v>
      </c>
      <c r="K582" s="6"/>
      <c r="L582" s="6" t="s">
        <v>543</v>
      </c>
      <c r="M582" s="6" t="s">
        <v>22</v>
      </c>
      <c r="N582" s="6" t="s">
        <v>23</v>
      </c>
      <c r="O582" s="6" t="s">
        <v>27</v>
      </c>
      <c r="P582" s="6" t="s">
        <v>28</v>
      </c>
      <c r="Q582" s="22">
        <v>28</v>
      </c>
      <c r="R582" s="23">
        <v>3</v>
      </c>
      <c r="S582" s="39">
        <v>0</v>
      </c>
      <c r="T582" s="7" t="s">
        <v>2910</v>
      </c>
      <c r="U582" s="7"/>
      <c r="V582" s="7" t="str">
        <f>+IF(U582="","",IF(U582="FINES",CONCATENATE("R",IF(OR(B582="16",B582="21",B582="22",B582="23"),"16212223",IF(OR(B582="15",B582="17",B582="24",B582="25"),"15172425",B582))),IF(U582="CEBAS","UNICO",IF(VALUE(B582)&lt;=11,"AMBA","INTERIOR"))))</f>
        <v/>
      </c>
      <c r="W582" s="38" t="str">
        <f>+IF(U582="","-",CONCATENATE(U582,"_",V582))</f>
        <v>-</v>
      </c>
      <c r="X582" s="42">
        <v>0.78900000000000003</v>
      </c>
    </row>
    <row r="583" spans="1:24" ht="15" thickBot="1">
      <c r="A583" s="5" t="s">
        <v>2916</v>
      </c>
      <c r="B583" s="5" t="s">
        <v>19</v>
      </c>
      <c r="C583" s="5" t="s">
        <v>17</v>
      </c>
      <c r="D583" s="5" t="s">
        <v>18</v>
      </c>
      <c r="E583" s="5">
        <v>614457</v>
      </c>
      <c r="F583" s="5">
        <v>0</v>
      </c>
      <c r="G583" s="5" t="s">
        <v>47</v>
      </c>
      <c r="H583" s="5" t="s">
        <v>20</v>
      </c>
      <c r="I583" s="6" t="s">
        <v>25</v>
      </c>
      <c r="J583" s="6" t="s">
        <v>21</v>
      </c>
      <c r="K583" s="6"/>
      <c r="L583" s="6" t="s">
        <v>48</v>
      </c>
      <c r="M583" s="6" t="s">
        <v>22</v>
      </c>
      <c r="N583" s="6" t="s">
        <v>23</v>
      </c>
      <c r="O583" s="6" t="s">
        <v>27</v>
      </c>
      <c r="P583" s="6" t="s">
        <v>28</v>
      </c>
      <c r="Q583" s="22">
        <v>114</v>
      </c>
      <c r="R583" s="23">
        <v>5</v>
      </c>
      <c r="S583" s="39">
        <v>0</v>
      </c>
      <c r="T583" s="7" t="s">
        <v>2910</v>
      </c>
      <c r="U583" s="7"/>
      <c r="V583" s="7" t="str">
        <f>+IF(U583="","",IF(U583="FINES",CONCATENATE("R",IF(OR(B583="16",B583="21",B583="22",B583="23"),"16212223",IF(OR(B583="15",B583="17",B583="24",B583="25"),"15172425",B583))),IF(U583="CEBAS","UNICO",IF(VALUE(B583)&lt;=11,"AMBA","INTERIOR"))))</f>
        <v/>
      </c>
      <c r="W583" s="38" t="str">
        <f>+IF(U583="","-",CONCATENATE(U583,"_",V583))</f>
        <v>-</v>
      </c>
      <c r="X583" s="42">
        <v>0.79</v>
      </c>
    </row>
    <row r="584" spans="1:24" ht="15" thickBot="1">
      <c r="A584" s="3" t="s">
        <v>2916</v>
      </c>
      <c r="B584" s="3" t="s">
        <v>223</v>
      </c>
      <c r="C584" s="3" t="s">
        <v>714</v>
      </c>
      <c r="D584" s="3" t="s">
        <v>715</v>
      </c>
      <c r="E584" s="3">
        <v>600274</v>
      </c>
      <c r="F584" s="3">
        <v>0</v>
      </c>
      <c r="G584" s="3" t="s">
        <v>716</v>
      </c>
      <c r="H584" s="3" t="s">
        <v>20</v>
      </c>
      <c r="I584" s="4" t="s">
        <v>50</v>
      </c>
      <c r="J584" s="4" t="s">
        <v>21</v>
      </c>
      <c r="K584" s="4"/>
      <c r="L584" s="4" t="s">
        <v>717</v>
      </c>
      <c r="M584" s="4" t="s">
        <v>22</v>
      </c>
      <c r="N584" s="4" t="s">
        <v>23</v>
      </c>
      <c r="O584" s="4" t="s">
        <v>27</v>
      </c>
      <c r="P584" s="4" t="s">
        <v>28</v>
      </c>
      <c r="Q584" s="24">
        <v>3</v>
      </c>
      <c r="R584" s="25">
        <v>1</v>
      </c>
      <c r="S584" s="39">
        <v>0</v>
      </c>
      <c r="T584" s="7" t="s">
        <v>2910</v>
      </c>
      <c r="V584" s="7" t="str">
        <f>+IF(U584="","",IF(U584="FINES",CONCATENATE("R",IF(OR(B584="16",B584="21",B584="22",B584="23"),"16212223",IF(OR(B584="15",B584="17",B584="24",B584="25"),"15172425",B584))),IF(U584="CEBAS","UNICO",IF(VALUE(B584)&lt;=11,"AMBA","INTERIOR"))))</f>
        <v/>
      </c>
      <c r="W584" s="38" t="str">
        <f>+IF(U584="","-",CONCATENATE(U584,"_",V584))</f>
        <v>-</v>
      </c>
      <c r="X584" s="42">
        <v>0.79</v>
      </c>
    </row>
    <row r="585" spans="1:24" ht="15" thickBot="1">
      <c r="A585" s="3" t="s">
        <v>2916</v>
      </c>
      <c r="B585" s="3" t="s">
        <v>222</v>
      </c>
      <c r="C585" s="3" t="s">
        <v>610</v>
      </c>
      <c r="D585" s="3" t="s">
        <v>611</v>
      </c>
      <c r="E585" s="3">
        <v>616675</v>
      </c>
      <c r="F585" s="3">
        <v>0</v>
      </c>
      <c r="G585" s="3" t="s">
        <v>641</v>
      </c>
      <c r="H585" s="3" t="s">
        <v>210</v>
      </c>
      <c r="I585" s="4" t="s">
        <v>201</v>
      </c>
      <c r="J585" s="4" t="s">
        <v>21</v>
      </c>
      <c r="K585" s="4"/>
      <c r="L585" s="4" t="s">
        <v>642</v>
      </c>
      <c r="M585" s="4" t="s">
        <v>22</v>
      </c>
      <c r="N585" s="4" t="s">
        <v>23</v>
      </c>
      <c r="O585" s="4" t="s">
        <v>27</v>
      </c>
      <c r="P585" s="4" t="s">
        <v>144</v>
      </c>
      <c r="Q585" s="24">
        <v>245</v>
      </c>
      <c r="R585" s="25">
        <v>6</v>
      </c>
      <c r="S585" s="39">
        <v>0</v>
      </c>
      <c r="T585" s="7" t="s">
        <v>2909</v>
      </c>
      <c r="V585" s="7" t="str">
        <f>+IF(U585="","",IF(U585="FINES",CONCATENATE("R",IF(OR(B585="16",B585="21",B585="22",B585="23"),"16212223",IF(OR(B585="15",B585="17",B585="24",B585="25"),"15172425",B585))),IF(U585="CEBAS","UNICO",IF(VALUE(B585)&lt;=11,"AMBA","INTERIOR"))))</f>
        <v/>
      </c>
      <c r="W585" s="38" t="str">
        <f>+IF(U585="","-",CONCATENATE(U585,"_",V585))</f>
        <v>-</v>
      </c>
      <c r="X585" s="42">
        <v>0.79300000000000004</v>
      </c>
    </row>
    <row r="586" spans="1:24" ht="15" thickBot="1">
      <c r="A586" s="3" t="s">
        <v>2916</v>
      </c>
      <c r="B586" s="3" t="s">
        <v>19</v>
      </c>
      <c r="C586" s="3" t="s">
        <v>17</v>
      </c>
      <c r="D586" s="3" t="s">
        <v>18</v>
      </c>
      <c r="E586" s="3">
        <v>615903</v>
      </c>
      <c r="F586" s="3">
        <v>0</v>
      </c>
      <c r="G586" s="3" t="s">
        <v>29</v>
      </c>
      <c r="H586" s="3" t="s">
        <v>20</v>
      </c>
      <c r="I586" s="4" t="s">
        <v>25</v>
      </c>
      <c r="J586" s="4" t="s">
        <v>21</v>
      </c>
      <c r="K586" s="4"/>
      <c r="L586" s="4" t="s">
        <v>30</v>
      </c>
      <c r="M586" s="4" t="s">
        <v>22</v>
      </c>
      <c r="N586" s="4" t="s">
        <v>23</v>
      </c>
      <c r="O586" s="4" t="s">
        <v>27</v>
      </c>
      <c r="P586" s="4" t="s">
        <v>28</v>
      </c>
      <c r="Q586" s="24">
        <v>53</v>
      </c>
      <c r="R586" s="25">
        <v>3</v>
      </c>
      <c r="S586" s="39">
        <v>0</v>
      </c>
      <c r="T586" s="7" t="s">
        <v>2910</v>
      </c>
      <c r="V586" s="7" t="str">
        <f>+IF(U586="","",IF(U586="FINES",CONCATENATE("R",IF(OR(B586="16",B586="21",B586="22",B586="23"),"16212223",IF(OR(B586="15",B586="17",B586="24",B586="25"),"15172425",B586))),IF(U586="CEBAS","UNICO",IF(VALUE(B586)&lt;=11,"AMBA","INTERIOR"))))</f>
        <v/>
      </c>
      <c r="W586" s="38" t="str">
        <f>+IF(U586="","-",CONCATENATE(U586,"_",V586))</f>
        <v>-</v>
      </c>
      <c r="X586" s="42">
        <v>0.79500000000000004</v>
      </c>
    </row>
    <row r="587" spans="1:24" ht="15" thickBot="1">
      <c r="A587" s="3" t="s">
        <v>2916</v>
      </c>
      <c r="B587" s="3" t="s">
        <v>1532</v>
      </c>
      <c r="C587" s="3" t="s">
        <v>1530</v>
      </c>
      <c r="D587" s="3" t="s">
        <v>1531</v>
      </c>
      <c r="E587" s="3">
        <v>608176</v>
      </c>
      <c r="F587" s="3">
        <v>3</v>
      </c>
      <c r="G587" s="3" t="s">
        <v>1619</v>
      </c>
      <c r="H587" s="3" t="s">
        <v>20</v>
      </c>
      <c r="I587" s="4" t="s">
        <v>50</v>
      </c>
      <c r="J587" s="4" t="s">
        <v>51</v>
      </c>
      <c r="K587" s="4" t="s">
        <v>1606</v>
      </c>
      <c r="L587" s="4" t="s">
        <v>1620</v>
      </c>
      <c r="M587" s="4" t="s">
        <v>22</v>
      </c>
      <c r="N587" s="4" t="s">
        <v>23</v>
      </c>
      <c r="O587" s="4" t="s">
        <v>27</v>
      </c>
      <c r="P587" s="4" t="s">
        <v>28</v>
      </c>
      <c r="Q587" s="24">
        <v>77</v>
      </c>
      <c r="R587" s="25">
        <v>3</v>
      </c>
      <c r="S587" s="39">
        <v>0</v>
      </c>
      <c r="T587" s="7" t="s">
        <v>2910</v>
      </c>
      <c r="V587" s="7" t="str">
        <f>+IF(U587="","",IF(U587="FINES",CONCATENATE("R",IF(OR(B587="16",B587="21",B587="22",B587="23"),"16212223",IF(OR(B587="15",B587="17",B587="24",B587="25"),"15172425",B587))),IF(U587="CEBAS","UNICO",IF(VALUE(B587)&lt;=11,"AMBA","INTERIOR"))))</f>
        <v/>
      </c>
      <c r="W587" s="38" t="str">
        <f>+IF(U587="","-",CONCATENATE(U587,"_",V587))</f>
        <v>-</v>
      </c>
      <c r="X587" s="42">
        <v>0.79600000000000004</v>
      </c>
    </row>
    <row r="588" spans="1:24" ht="15" thickBot="1">
      <c r="A588" s="5" t="s">
        <v>2916</v>
      </c>
      <c r="B588" s="5" t="s">
        <v>1532</v>
      </c>
      <c r="C588" s="5" t="s">
        <v>1530</v>
      </c>
      <c r="D588" s="5" t="s">
        <v>1531</v>
      </c>
      <c r="E588" s="5">
        <v>611493</v>
      </c>
      <c r="F588" s="5">
        <v>1</v>
      </c>
      <c r="G588" s="5" t="s">
        <v>1591</v>
      </c>
      <c r="H588" s="5" t="s">
        <v>20</v>
      </c>
      <c r="I588" s="6" t="s">
        <v>50</v>
      </c>
      <c r="J588" s="6" t="s">
        <v>51</v>
      </c>
      <c r="K588" s="6" t="s">
        <v>1578</v>
      </c>
      <c r="L588" s="6" t="s">
        <v>1592</v>
      </c>
      <c r="M588" s="6" t="s">
        <v>22</v>
      </c>
      <c r="N588" s="6" t="s">
        <v>134</v>
      </c>
      <c r="O588" s="6" t="s">
        <v>27</v>
      </c>
      <c r="P588" s="6" t="s">
        <v>28</v>
      </c>
      <c r="Q588" s="22">
        <v>54</v>
      </c>
      <c r="R588" s="23">
        <v>5</v>
      </c>
      <c r="S588" s="39">
        <v>0</v>
      </c>
      <c r="T588" s="7" t="s">
        <v>2910</v>
      </c>
      <c r="V588" s="7" t="str">
        <f>+IF(U588="","",IF(U588="FINES",CONCATENATE("R",IF(OR(B588="16",B588="21",B588="22",B588="23"),"16212223",IF(OR(B588="15",B588="17",B588="24",B588="25"),"15172425",B588))),IF(U588="CEBAS","UNICO",IF(VALUE(B588)&lt;=11,"AMBA","INTERIOR"))))</f>
        <v/>
      </c>
      <c r="W588" s="38" t="str">
        <f>+IF(U588="","-",CONCATENATE(U588,"_",V588))</f>
        <v>-</v>
      </c>
      <c r="X588" s="42">
        <v>0.79600000000000004</v>
      </c>
    </row>
    <row r="589" spans="1:24" ht="15" thickBot="1">
      <c r="A589" s="3" t="s">
        <v>2916</v>
      </c>
      <c r="B589" s="3" t="s">
        <v>817</v>
      </c>
      <c r="C589" s="3" t="s">
        <v>600</v>
      </c>
      <c r="D589" s="3" t="s">
        <v>2661</v>
      </c>
      <c r="E589" s="3">
        <v>603956</v>
      </c>
      <c r="F589" s="3">
        <v>0</v>
      </c>
      <c r="G589" s="3" t="s">
        <v>2687</v>
      </c>
      <c r="H589" s="3" t="s">
        <v>20</v>
      </c>
      <c r="I589" s="4" t="s">
        <v>50</v>
      </c>
      <c r="J589" s="4" t="s">
        <v>21</v>
      </c>
      <c r="K589" s="4"/>
      <c r="L589" s="4" t="s">
        <v>1104</v>
      </c>
      <c r="M589" s="4" t="s">
        <v>22</v>
      </c>
      <c r="N589" s="4" t="s">
        <v>23</v>
      </c>
      <c r="O589" s="4" t="s">
        <v>27</v>
      </c>
      <c r="P589" s="4" t="s">
        <v>28</v>
      </c>
      <c r="Q589" s="24">
        <v>32</v>
      </c>
      <c r="R589" s="25">
        <v>3</v>
      </c>
      <c r="S589" s="39">
        <v>0</v>
      </c>
      <c r="T589" s="7" t="s">
        <v>2910</v>
      </c>
      <c r="V589" s="7" t="str">
        <f>+IF(U589="","",IF(U589="FINES",CONCATENATE("R",IF(OR(B589="16",B589="21",B589="22",B589="23"),"16212223",IF(OR(B589="15",B589="17",B589="24",B589="25"),"15172425",B589))),IF(U589="CEBAS","UNICO",IF(VALUE(B589)&lt;=11,"AMBA","INTERIOR"))))</f>
        <v/>
      </c>
      <c r="W589" s="38" t="str">
        <f>+IF(U589="","-",CONCATENATE(U589,"_",V589))</f>
        <v>-</v>
      </c>
      <c r="X589" s="42">
        <v>0.79700000000000004</v>
      </c>
    </row>
    <row r="590" spans="1:24" ht="15" thickBot="1">
      <c r="A590" s="5" t="s">
        <v>2916</v>
      </c>
      <c r="B590" s="5" t="s">
        <v>356</v>
      </c>
      <c r="C590" s="5" t="s">
        <v>353</v>
      </c>
      <c r="D590" s="5" t="s">
        <v>355</v>
      </c>
      <c r="E590" s="5">
        <v>604305</v>
      </c>
      <c r="F590" s="5">
        <v>2</v>
      </c>
      <c r="G590" s="5" t="s">
        <v>357</v>
      </c>
      <c r="H590" s="5" t="s">
        <v>20</v>
      </c>
      <c r="I590" s="6" t="s">
        <v>50</v>
      </c>
      <c r="J590" s="6" t="s">
        <v>51</v>
      </c>
      <c r="K590" s="6" t="s">
        <v>358</v>
      </c>
      <c r="L590" s="6" t="s">
        <v>359</v>
      </c>
      <c r="M590" s="6" t="s">
        <v>22</v>
      </c>
      <c r="N590" s="6" t="s">
        <v>23</v>
      </c>
      <c r="O590" s="6" t="s">
        <v>27</v>
      </c>
      <c r="P590" s="6" t="s">
        <v>28</v>
      </c>
      <c r="Q590" s="22">
        <v>20</v>
      </c>
      <c r="R590" s="23">
        <v>1</v>
      </c>
      <c r="S590" s="39">
        <v>0</v>
      </c>
      <c r="T590" s="7" t="s">
        <v>2910</v>
      </c>
      <c r="U590" s="7"/>
      <c r="V590" s="7" t="str">
        <f>+IF(U590="","",IF(U590="FINES",CONCATENATE("R",IF(OR(B590="16",B590="21",B590="22",B590="23"),"16212223",IF(OR(B590="15",B590="17",B590="24",B590="25"),"15172425",B590))),IF(U590="CEBAS","UNICO",IF(VALUE(B590)&lt;=11,"AMBA","INTERIOR"))))</f>
        <v/>
      </c>
      <c r="W590" s="38" t="str">
        <f>+IF(U590="","-",CONCATENATE(U590,"_",V590))</f>
        <v>-</v>
      </c>
      <c r="X590" s="42">
        <v>0.79800000000000004</v>
      </c>
    </row>
    <row r="591" spans="1:24" ht="15" thickBot="1">
      <c r="A591" s="3" t="s">
        <v>2916</v>
      </c>
      <c r="B591" s="3" t="s">
        <v>1257</v>
      </c>
      <c r="C591" s="3" t="s">
        <v>2237</v>
      </c>
      <c r="D591" s="3" t="s">
        <v>2238</v>
      </c>
      <c r="E591" s="3">
        <v>612111</v>
      </c>
      <c r="F591" s="3">
        <v>2</v>
      </c>
      <c r="G591" s="3" t="s">
        <v>2255</v>
      </c>
      <c r="H591" s="3" t="s">
        <v>20</v>
      </c>
      <c r="I591" s="4" t="s">
        <v>50</v>
      </c>
      <c r="J591" s="4" t="s">
        <v>51</v>
      </c>
      <c r="K591" s="4" t="s">
        <v>2250</v>
      </c>
      <c r="L591" s="4" t="s">
        <v>2225</v>
      </c>
      <c r="M591" s="4" t="s">
        <v>22</v>
      </c>
      <c r="N591" s="4" t="s">
        <v>23</v>
      </c>
      <c r="O591" s="4" t="s">
        <v>27</v>
      </c>
      <c r="P591" s="4" t="s">
        <v>28</v>
      </c>
      <c r="Q591" s="24">
        <v>13</v>
      </c>
      <c r="R591" s="25">
        <v>1</v>
      </c>
      <c r="S591" s="39">
        <v>0</v>
      </c>
      <c r="T591" s="7" t="s">
        <v>2910</v>
      </c>
      <c r="U591" s="7"/>
      <c r="V591" s="7" t="str">
        <f>+IF(U591="","",IF(U591="FINES",CONCATENATE("R",IF(OR(B591="16",B591="21",B591="22",B591="23"),"16212223",IF(OR(B591="15",B591="17",B591="24",B591="25"),"15172425",B591))),IF(U591="CEBAS","UNICO",IF(VALUE(B591)&lt;=11,"AMBA","INTERIOR"))))</f>
        <v/>
      </c>
      <c r="W591" s="38" t="str">
        <f>+IF(U591="","-",CONCATENATE(U591,"_",V591))</f>
        <v>-</v>
      </c>
      <c r="X591" s="42">
        <v>0.79900000000000004</v>
      </c>
    </row>
    <row r="592" spans="1:24" ht="15" thickBot="1">
      <c r="A592" s="5" t="s">
        <v>2916</v>
      </c>
      <c r="B592" s="5" t="s">
        <v>205</v>
      </c>
      <c r="C592" s="5" t="s">
        <v>2002</v>
      </c>
      <c r="D592" s="5" t="s">
        <v>2003</v>
      </c>
      <c r="E592" s="5">
        <v>611120</v>
      </c>
      <c r="F592" s="5">
        <v>0</v>
      </c>
      <c r="G592" s="5" t="s">
        <v>2004</v>
      </c>
      <c r="H592" s="5" t="s">
        <v>20</v>
      </c>
      <c r="I592" s="6" t="s">
        <v>50</v>
      </c>
      <c r="J592" s="6" t="s">
        <v>21</v>
      </c>
      <c r="K592" s="6"/>
      <c r="L592" s="6" t="s">
        <v>2005</v>
      </c>
      <c r="M592" s="6" t="s">
        <v>22</v>
      </c>
      <c r="N592" s="6" t="s">
        <v>23</v>
      </c>
      <c r="O592" s="6" t="s">
        <v>27</v>
      </c>
      <c r="P592" s="6" t="s">
        <v>28</v>
      </c>
      <c r="Q592" s="22">
        <v>21</v>
      </c>
      <c r="R592" s="23">
        <v>1</v>
      </c>
      <c r="S592" s="39">
        <v>0</v>
      </c>
      <c r="T592" s="7" t="s">
        <v>2910</v>
      </c>
      <c r="U592" s="7"/>
      <c r="V592" s="7" t="str">
        <f>+IF(U592="","",IF(U592="FINES",CONCATENATE("R",IF(OR(B592="16",B592="21",B592="22",B592="23"),"16212223",IF(OR(B592="15",B592="17",B592="24",B592="25"),"15172425",B592))),IF(U592="CEBAS","UNICO",IF(VALUE(B592)&lt;=11,"AMBA","INTERIOR"))))</f>
        <v/>
      </c>
      <c r="W592" s="38" t="str">
        <f>+IF(U592="","-",CONCATENATE(U592,"_",V592))</f>
        <v>-</v>
      </c>
      <c r="X592" s="42">
        <v>0.8</v>
      </c>
    </row>
    <row r="593" spans="1:24" ht="15" thickBot="1">
      <c r="A593" s="5" t="s">
        <v>2916</v>
      </c>
      <c r="B593" s="5" t="s">
        <v>203</v>
      </c>
      <c r="C593" s="5" t="s">
        <v>520</v>
      </c>
      <c r="D593" s="5" t="s">
        <v>2745</v>
      </c>
      <c r="E593" s="5">
        <v>606404</v>
      </c>
      <c r="F593" s="5">
        <v>0</v>
      </c>
      <c r="G593" s="5" t="s">
        <v>2746</v>
      </c>
      <c r="H593" s="5" t="s">
        <v>20</v>
      </c>
      <c r="I593" s="6" t="s">
        <v>50</v>
      </c>
      <c r="J593" s="6" t="s">
        <v>21</v>
      </c>
      <c r="K593" s="6"/>
      <c r="L593" s="6" t="s">
        <v>2747</v>
      </c>
      <c r="M593" s="6" t="s">
        <v>22</v>
      </c>
      <c r="N593" s="6" t="s">
        <v>23</v>
      </c>
      <c r="O593" s="6" t="s">
        <v>27</v>
      </c>
      <c r="P593" s="6" t="s">
        <v>28</v>
      </c>
      <c r="Q593" s="22">
        <v>11</v>
      </c>
      <c r="R593" s="23">
        <v>1</v>
      </c>
      <c r="S593" s="39">
        <v>0</v>
      </c>
      <c r="T593" s="7" t="s">
        <v>2910</v>
      </c>
      <c r="U593" s="7"/>
      <c r="V593" s="7" t="str">
        <f>+IF(U593="","",IF(U593="FINES",CONCATENATE("R",IF(OR(B593="16",B593="21",B593="22",B593="23"),"16212223",IF(OR(B593="15",B593="17",B593="24",B593="25"),"15172425",B593))),IF(U593="CEBAS","UNICO",IF(VALUE(B593)&lt;=11,"AMBA","INTERIOR"))))</f>
        <v/>
      </c>
      <c r="W593" s="38" t="str">
        <f>+IF(U593="","-",CONCATENATE(U593,"_",V593))</f>
        <v>-</v>
      </c>
      <c r="X593" s="42">
        <v>0.8</v>
      </c>
    </row>
    <row r="594" spans="1:24" ht="15" thickBot="1">
      <c r="A594" s="5" t="s">
        <v>2916</v>
      </c>
      <c r="B594" s="5" t="s">
        <v>1860</v>
      </c>
      <c r="C594" s="5" t="s">
        <v>224</v>
      </c>
      <c r="D594" s="5" t="s">
        <v>2837</v>
      </c>
      <c r="E594" s="5">
        <v>613704</v>
      </c>
      <c r="F594" s="5">
        <v>1</v>
      </c>
      <c r="G594" s="5" t="s">
        <v>2848</v>
      </c>
      <c r="H594" s="5" t="s">
        <v>20</v>
      </c>
      <c r="I594" s="6" t="s">
        <v>50</v>
      </c>
      <c r="J594" s="6" t="s">
        <v>51</v>
      </c>
      <c r="K594" s="6" t="s">
        <v>2849</v>
      </c>
      <c r="L594" s="6" t="s">
        <v>789</v>
      </c>
      <c r="M594" s="6" t="s">
        <v>22</v>
      </c>
      <c r="N594" s="6" t="s">
        <v>23</v>
      </c>
      <c r="O594" s="6" t="s">
        <v>27</v>
      </c>
      <c r="P594" s="6" t="s">
        <v>28</v>
      </c>
      <c r="Q594" s="22">
        <v>6</v>
      </c>
      <c r="R594" s="23">
        <v>1</v>
      </c>
      <c r="S594" s="39">
        <v>0</v>
      </c>
      <c r="T594" s="7" t="s">
        <v>2910</v>
      </c>
      <c r="U594" s="7"/>
      <c r="V594" s="7" t="str">
        <f>+IF(U594="","",IF(U594="FINES",CONCATENATE("R",IF(OR(B594="16",B594="21",B594="22",B594="23"),"16212223",IF(OR(B594="15",B594="17",B594="24",B594="25"),"15172425",B594))),IF(U594="CEBAS","UNICO",IF(VALUE(B594)&lt;=11,"AMBA","INTERIOR"))))</f>
        <v/>
      </c>
      <c r="W594" s="38" t="str">
        <f>+IF(U594="","-",CONCATENATE(U594,"_",V594))</f>
        <v>-</v>
      </c>
      <c r="X594" s="42">
        <v>0.80100000000000005</v>
      </c>
    </row>
    <row r="595" spans="1:24" ht="15" thickBot="1">
      <c r="A595" s="3" t="s">
        <v>2916</v>
      </c>
      <c r="B595" s="3" t="s">
        <v>203</v>
      </c>
      <c r="C595" s="3" t="s">
        <v>331</v>
      </c>
      <c r="D595" s="3" t="s">
        <v>2491</v>
      </c>
      <c r="E595" s="3">
        <v>604960</v>
      </c>
      <c r="F595" s="3">
        <v>0</v>
      </c>
      <c r="G595" s="3" t="s">
        <v>2492</v>
      </c>
      <c r="H595" s="3" t="s">
        <v>20</v>
      </c>
      <c r="I595" s="4" t="s">
        <v>50</v>
      </c>
      <c r="J595" s="4" t="s">
        <v>21</v>
      </c>
      <c r="K595" s="4"/>
      <c r="L595" s="4" t="s">
        <v>2493</v>
      </c>
      <c r="M595" s="4" t="s">
        <v>22</v>
      </c>
      <c r="N595" s="4" t="s">
        <v>23</v>
      </c>
      <c r="O595" s="4" t="s">
        <v>27</v>
      </c>
      <c r="P595" s="4" t="s">
        <v>28</v>
      </c>
      <c r="Q595" s="24">
        <v>48</v>
      </c>
      <c r="R595" s="25">
        <v>2</v>
      </c>
      <c r="S595" s="39">
        <v>0</v>
      </c>
      <c r="T595" s="7" t="s">
        <v>2910</v>
      </c>
      <c r="U595" s="7"/>
      <c r="V595" s="7" t="str">
        <f>+IF(U595="","",IF(U595="FINES",CONCATENATE("R",IF(OR(B595="16",B595="21",B595="22",B595="23"),"16212223",IF(OR(B595="15",B595="17",B595="24",B595="25"),"15172425",B595))),IF(U595="CEBAS","UNICO",IF(VALUE(B595)&lt;=11,"AMBA","INTERIOR"))))</f>
        <v/>
      </c>
      <c r="W595" s="38" t="str">
        <f>+IF(U595="","-",CONCATENATE(U595,"_",V595))</f>
        <v>-</v>
      </c>
      <c r="X595" s="42">
        <v>0.80100000000000005</v>
      </c>
    </row>
    <row r="596" spans="1:24" ht="15" thickBot="1">
      <c r="A596" s="3" t="s">
        <v>2916</v>
      </c>
      <c r="B596" s="3" t="s">
        <v>817</v>
      </c>
      <c r="C596" s="3" t="s">
        <v>815</v>
      </c>
      <c r="D596" s="3" t="s">
        <v>816</v>
      </c>
      <c r="E596" s="3">
        <v>608481</v>
      </c>
      <c r="F596" s="3">
        <v>3</v>
      </c>
      <c r="G596" s="3" t="s">
        <v>830</v>
      </c>
      <c r="H596" s="3" t="s">
        <v>20</v>
      </c>
      <c r="I596" s="4" t="s">
        <v>50</v>
      </c>
      <c r="J596" s="4" t="s">
        <v>51</v>
      </c>
      <c r="K596" s="4" t="s">
        <v>828</v>
      </c>
      <c r="L596" s="4" t="s">
        <v>375</v>
      </c>
      <c r="M596" s="4" t="s">
        <v>22</v>
      </c>
      <c r="N596" s="4" t="s">
        <v>23</v>
      </c>
      <c r="O596" s="4" t="s">
        <v>27</v>
      </c>
      <c r="P596" s="4" t="s">
        <v>28</v>
      </c>
      <c r="Q596" s="24">
        <v>32</v>
      </c>
      <c r="R596" s="25">
        <v>3</v>
      </c>
      <c r="S596" s="39">
        <v>0</v>
      </c>
      <c r="T596" s="7" t="s">
        <v>2910</v>
      </c>
      <c r="U596" s="7"/>
      <c r="V596" s="7" t="str">
        <f>+IF(U596="","",IF(U596="FINES",CONCATENATE("R",IF(OR(B596="16",B596="21",B596="22",B596="23"),"16212223",IF(OR(B596="15",B596="17",B596="24",B596="25"),"15172425",B596))),IF(U596="CEBAS","UNICO",IF(VALUE(B596)&lt;=11,"AMBA","INTERIOR"))))</f>
        <v/>
      </c>
      <c r="W596" s="38" t="str">
        <f>+IF(U596="","-",CONCATENATE(U596,"_",V596))</f>
        <v>-</v>
      </c>
      <c r="X596" s="42">
        <v>0.80300000000000005</v>
      </c>
    </row>
    <row r="597" spans="1:24" ht="15" thickBot="1">
      <c r="A597" s="5" t="s">
        <v>2916</v>
      </c>
      <c r="B597" s="5" t="s">
        <v>817</v>
      </c>
      <c r="C597" s="5" t="s">
        <v>2080</v>
      </c>
      <c r="D597" s="5" t="s">
        <v>2081</v>
      </c>
      <c r="E597" s="5">
        <v>602079</v>
      </c>
      <c r="F597" s="5">
        <v>2</v>
      </c>
      <c r="G597" s="5" t="s">
        <v>2119</v>
      </c>
      <c r="H597" s="5" t="s">
        <v>20</v>
      </c>
      <c r="I597" s="6" t="s">
        <v>50</v>
      </c>
      <c r="J597" s="6" t="s">
        <v>51</v>
      </c>
      <c r="K597" s="6" t="s">
        <v>2093</v>
      </c>
      <c r="L597" s="6" t="s">
        <v>2120</v>
      </c>
      <c r="M597" s="6" t="s">
        <v>22</v>
      </c>
      <c r="N597" s="6" t="s">
        <v>23</v>
      </c>
      <c r="O597" s="6" t="s">
        <v>27</v>
      </c>
      <c r="P597" s="6" t="s">
        <v>28</v>
      </c>
      <c r="Q597" s="22">
        <v>16</v>
      </c>
      <c r="R597" s="23">
        <v>1</v>
      </c>
      <c r="S597" s="39">
        <v>0</v>
      </c>
      <c r="T597" s="7" t="s">
        <v>2910</v>
      </c>
      <c r="U597" s="7"/>
      <c r="V597" s="7" t="str">
        <f>+IF(U597="","",IF(U597="FINES",CONCATENATE("R",IF(OR(B597="16",B597="21",B597="22",B597="23"),"16212223",IF(OR(B597="15",B597="17",B597="24",B597="25"),"15172425",B597))),IF(U597="CEBAS","UNICO",IF(VALUE(B597)&lt;=11,"AMBA","INTERIOR"))))</f>
        <v/>
      </c>
      <c r="W597" s="38" t="str">
        <f>+IF(U597="","-",CONCATENATE(U597,"_",V597))</f>
        <v>-</v>
      </c>
      <c r="X597" s="42">
        <v>0.80600000000000005</v>
      </c>
    </row>
    <row r="598" spans="1:24" ht="15" thickBot="1">
      <c r="A598" s="5" t="s">
        <v>2916</v>
      </c>
      <c r="B598" s="5" t="s">
        <v>225</v>
      </c>
      <c r="C598" s="5" t="s">
        <v>942</v>
      </c>
      <c r="D598" s="5" t="s">
        <v>943</v>
      </c>
      <c r="E598" s="5">
        <v>609273</v>
      </c>
      <c r="F598" s="5">
        <v>1</v>
      </c>
      <c r="G598" s="5" t="s">
        <v>984</v>
      </c>
      <c r="H598" s="5" t="s">
        <v>20</v>
      </c>
      <c r="I598" s="6" t="s">
        <v>50</v>
      </c>
      <c r="J598" s="6" t="s">
        <v>51</v>
      </c>
      <c r="K598" s="6" t="s">
        <v>985</v>
      </c>
      <c r="L598" s="6" t="s">
        <v>986</v>
      </c>
      <c r="M598" s="6" t="s">
        <v>22</v>
      </c>
      <c r="N598" s="6" t="s">
        <v>23</v>
      </c>
      <c r="O598" s="6" t="s">
        <v>27</v>
      </c>
      <c r="P598" s="6" t="s">
        <v>28</v>
      </c>
      <c r="Q598" s="22">
        <v>38</v>
      </c>
      <c r="R598" s="23">
        <v>3</v>
      </c>
      <c r="S598" s="39">
        <v>0</v>
      </c>
      <c r="T598" s="7" t="s">
        <v>2910</v>
      </c>
      <c r="U598" s="7"/>
      <c r="V598" s="7" t="str">
        <f>+IF(U598="","",IF(U598="FINES",CONCATENATE("R",IF(OR(B598="16",B598="21",B598="22",B598="23"),"16212223",IF(OR(B598="15",B598="17",B598="24",B598="25"),"15172425",B598))),IF(U598="CEBAS","UNICO",IF(VALUE(B598)&lt;=11,"AMBA","INTERIOR"))))</f>
        <v/>
      </c>
      <c r="W598" s="38" t="str">
        <f>+IF(U598="","-",CONCATENATE(U598,"_",V598))</f>
        <v>-</v>
      </c>
      <c r="X598" s="42">
        <v>0.80600000000000005</v>
      </c>
    </row>
    <row r="599" spans="1:24" ht="15" thickBot="1">
      <c r="A599" s="3" t="s">
        <v>2916</v>
      </c>
      <c r="B599" s="3" t="s">
        <v>19</v>
      </c>
      <c r="C599" s="3" t="s">
        <v>17</v>
      </c>
      <c r="D599" s="3" t="s">
        <v>18</v>
      </c>
      <c r="E599" s="3">
        <v>616140</v>
      </c>
      <c r="F599" s="3">
        <v>0</v>
      </c>
      <c r="G599" s="3" t="s">
        <v>37</v>
      </c>
      <c r="H599" s="3" t="s">
        <v>20</v>
      </c>
      <c r="I599" s="4" t="s">
        <v>25</v>
      </c>
      <c r="J599" s="4" t="s">
        <v>21</v>
      </c>
      <c r="K599" s="4"/>
      <c r="L599" s="4" t="s">
        <v>38</v>
      </c>
      <c r="M599" s="4" t="s">
        <v>22</v>
      </c>
      <c r="N599" s="4" t="s">
        <v>23</v>
      </c>
      <c r="O599" s="4" t="s">
        <v>27</v>
      </c>
      <c r="P599" s="4" t="s">
        <v>28</v>
      </c>
      <c r="Q599" s="24">
        <v>12</v>
      </c>
      <c r="R599" s="25">
        <v>1</v>
      </c>
      <c r="S599" s="39">
        <v>0</v>
      </c>
      <c r="T599" s="7" t="s">
        <v>2910</v>
      </c>
      <c r="U599" s="7"/>
      <c r="V599" s="7" t="str">
        <f>+IF(U599="","",IF(U599="FINES",CONCATENATE("R",IF(OR(B599="16",B599="21",B599="22",B599="23"),"16212223",IF(OR(B599="15",B599="17",B599="24",B599="25"),"15172425",B599))),IF(U599="CEBAS","UNICO",IF(VALUE(B599)&lt;=11,"AMBA","INTERIOR"))))</f>
        <v/>
      </c>
      <c r="W599" s="38" t="str">
        <f>+IF(U599="","-",CONCATENATE(U599,"_",V599))</f>
        <v>-</v>
      </c>
      <c r="X599" s="42">
        <v>0.80800000000000005</v>
      </c>
    </row>
    <row r="600" spans="1:24" ht="15" thickBot="1">
      <c r="A600" s="3" t="s">
        <v>2916</v>
      </c>
      <c r="B600" s="3" t="s">
        <v>1257</v>
      </c>
      <c r="C600" s="3" t="s">
        <v>2237</v>
      </c>
      <c r="D600" s="3" t="s">
        <v>2238</v>
      </c>
      <c r="E600" s="3">
        <v>614361</v>
      </c>
      <c r="F600" s="3">
        <v>0</v>
      </c>
      <c r="G600" s="3" t="s">
        <v>2239</v>
      </c>
      <c r="H600" s="3" t="s">
        <v>20</v>
      </c>
      <c r="I600" s="4" t="s">
        <v>25</v>
      </c>
      <c r="J600" s="4" t="s">
        <v>21</v>
      </c>
      <c r="K600" s="4"/>
      <c r="L600" s="4" t="s">
        <v>2240</v>
      </c>
      <c r="M600" s="4" t="s">
        <v>22</v>
      </c>
      <c r="N600" s="4" t="s">
        <v>23</v>
      </c>
      <c r="O600" s="4" t="s">
        <v>27</v>
      </c>
      <c r="P600" s="4" t="s">
        <v>28</v>
      </c>
      <c r="Q600" s="24">
        <v>10</v>
      </c>
      <c r="R600" s="25">
        <v>1</v>
      </c>
      <c r="S600" s="39">
        <v>0</v>
      </c>
      <c r="T600" s="7" t="s">
        <v>2910</v>
      </c>
      <c r="V600" s="7" t="str">
        <f>+IF(U600="","",IF(U600="FINES",CONCATENATE("R",IF(OR(B600="16",B600="21",B600="22",B600="23"),"16212223",IF(OR(B600="15",B600="17",B600="24",B600="25"),"15172425",B600))),IF(U600="CEBAS","UNICO",IF(VALUE(B600)&lt;=11,"AMBA","INTERIOR"))))</f>
        <v/>
      </c>
      <c r="W600" s="38" t="str">
        <f>+IF(U600="","-",CONCATENATE(U600,"_",V600))</f>
        <v>-</v>
      </c>
      <c r="X600" s="42">
        <v>0.80900000000000005</v>
      </c>
    </row>
    <row r="601" spans="1:24" ht="15" thickBot="1">
      <c r="A601" s="3" t="s">
        <v>2916</v>
      </c>
      <c r="B601" s="3" t="s">
        <v>356</v>
      </c>
      <c r="C601" s="3" t="s">
        <v>805</v>
      </c>
      <c r="D601" s="3" t="s">
        <v>2500</v>
      </c>
      <c r="E601" s="3">
        <v>602129</v>
      </c>
      <c r="F601" s="3">
        <v>1</v>
      </c>
      <c r="G601" s="3" t="s">
        <v>2512</v>
      </c>
      <c r="H601" s="3" t="s">
        <v>20</v>
      </c>
      <c r="I601" s="4" t="s">
        <v>50</v>
      </c>
      <c r="J601" s="4" t="s">
        <v>51</v>
      </c>
      <c r="K601" s="4" t="s">
        <v>2513</v>
      </c>
      <c r="L601" s="4" t="s">
        <v>2365</v>
      </c>
      <c r="M601" s="4" t="s">
        <v>22</v>
      </c>
      <c r="N601" s="4" t="s">
        <v>23</v>
      </c>
      <c r="O601" s="4" t="s">
        <v>27</v>
      </c>
      <c r="P601" s="4" t="s">
        <v>28</v>
      </c>
      <c r="Q601" s="24">
        <v>27</v>
      </c>
      <c r="R601" s="25">
        <v>2</v>
      </c>
      <c r="S601" s="39">
        <v>0</v>
      </c>
      <c r="T601" s="7" t="s">
        <v>2910</v>
      </c>
      <c r="U601" s="7"/>
      <c r="V601" s="7" t="str">
        <f>+IF(U601="","",IF(U601="FINES",CONCATENATE("R",IF(OR(B601="16",B601="21",B601="22",B601="23"),"16212223",IF(OR(B601="15",B601="17",B601="24",B601="25"),"15172425",B601))),IF(U601="CEBAS","UNICO",IF(VALUE(B601)&lt;=11,"AMBA","INTERIOR"))))</f>
        <v/>
      </c>
      <c r="W601" s="38" t="str">
        <f>+IF(U601="","-",CONCATENATE(U601,"_",V601))</f>
        <v>-</v>
      </c>
      <c r="X601" s="42">
        <v>0.80900000000000005</v>
      </c>
    </row>
    <row r="602" spans="1:24" ht="15" thickBot="1">
      <c r="A602" s="3" t="s">
        <v>2916</v>
      </c>
      <c r="B602" s="3" t="s">
        <v>352</v>
      </c>
      <c r="C602" s="3" t="s">
        <v>1924</v>
      </c>
      <c r="D602" s="3" t="s">
        <v>1925</v>
      </c>
      <c r="E602" s="3">
        <v>610527</v>
      </c>
      <c r="F602" s="3">
        <v>1</v>
      </c>
      <c r="G602" s="3" t="s">
        <v>1926</v>
      </c>
      <c r="H602" s="3" t="s">
        <v>20</v>
      </c>
      <c r="I602" s="4" t="s">
        <v>50</v>
      </c>
      <c r="J602" s="4" t="s">
        <v>51</v>
      </c>
      <c r="K602" s="4" t="s">
        <v>1927</v>
      </c>
      <c r="L602" s="4" t="s">
        <v>1928</v>
      </c>
      <c r="M602" s="4" t="s">
        <v>22</v>
      </c>
      <c r="N602" s="4" t="s">
        <v>23</v>
      </c>
      <c r="O602" s="4" t="s">
        <v>27</v>
      </c>
      <c r="P602" s="4" t="s">
        <v>28</v>
      </c>
      <c r="Q602" s="24">
        <v>20</v>
      </c>
      <c r="R602" s="25">
        <v>2</v>
      </c>
      <c r="S602" s="39">
        <v>0</v>
      </c>
      <c r="T602" s="7" t="s">
        <v>2910</v>
      </c>
      <c r="U602" s="7"/>
      <c r="V602" s="7" t="str">
        <f>+IF(U602="","",IF(U602="FINES",CONCATENATE("R",IF(OR(B602="16",B602="21",B602="22",B602="23"),"16212223",IF(OR(B602="15",B602="17",B602="24",B602="25"),"15172425",B602))),IF(U602="CEBAS","UNICO",IF(VALUE(B602)&lt;=11,"AMBA","INTERIOR"))))</f>
        <v/>
      </c>
      <c r="W602" s="38" t="str">
        <f>+IF(U602="","-",CONCATENATE(U602,"_",V602))</f>
        <v>-</v>
      </c>
      <c r="X602" s="42">
        <v>0.81299999999999994</v>
      </c>
    </row>
    <row r="603" spans="1:24" ht="15" thickBot="1">
      <c r="A603" s="3" t="s">
        <v>2916</v>
      </c>
      <c r="B603" s="3" t="s">
        <v>140</v>
      </c>
      <c r="C603" s="3" t="s">
        <v>2322</v>
      </c>
      <c r="D603" s="3" t="s">
        <v>2323</v>
      </c>
      <c r="E603" s="3">
        <v>607570</v>
      </c>
      <c r="F603" s="3">
        <v>3</v>
      </c>
      <c r="G603" s="3" t="s">
        <v>2330</v>
      </c>
      <c r="H603" s="3" t="s">
        <v>20</v>
      </c>
      <c r="I603" s="4" t="s">
        <v>50</v>
      </c>
      <c r="J603" s="4" t="s">
        <v>51</v>
      </c>
      <c r="K603" s="4" t="s">
        <v>2328</v>
      </c>
      <c r="L603" s="4" t="s">
        <v>778</v>
      </c>
      <c r="M603" s="4" t="s">
        <v>22</v>
      </c>
      <c r="N603" s="4" t="s">
        <v>23</v>
      </c>
      <c r="O603" s="4" t="s">
        <v>27</v>
      </c>
      <c r="P603" s="4" t="s">
        <v>28</v>
      </c>
      <c r="Q603" s="24">
        <v>27</v>
      </c>
      <c r="R603" s="25">
        <v>2</v>
      </c>
      <c r="S603" s="39">
        <v>0</v>
      </c>
      <c r="T603" s="7" t="s">
        <v>2910</v>
      </c>
      <c r="V603" s="7" t="str">
        <f>+IF(U603="","",IF(U603="FINES",CONCATENATE("R",IF(OR(B603="16",B603="21",B603="22",B603="23"),"16212223",IF(OR(B603="15",B603="17",B603="24",B603="25"),"15172425",B603))),IF(U603="CEBAS","UNICO",IF(VALUE(B603)&lt;=11,"AMBA","INTERIOR"))))</f>
        <v/>
      </c>
      <c r="W603" s="38" t="str">
        <f>+IF(U603="","-",CONCATENATE(U603,"_",V603))</f>
        <v>-</v>
      </c>
      <c r="X603" s="42">
        <v>0.81299999999999994</v>
      </c>
    </row>
    <row r="604" spans="1:24" ht="15" thickBot="1">
      <c r="A604" s="3" t="s">
        <v>2916</v>
      </c>
      <c r="B604" s="3" t="s">
        <v>352</v>
      </c>
      <c r="C604" s="3" t="s">
        <v>349</v>
      </c>
      <c r="D604" s="3" t="s">
        <v>2397</v>
      </c>
      <c r="E604" s="3">
        <v>605214</v>
      </c>
      <c r="F604" s="3">
        <v>3</v>
      </c>
      <c r="G604" s="3" t="s">
        <v>2407</v>
      </c>
      <c r="H604" s="3" t="s">
        <v>20</v>
      </c>
      <c r="I604" s="4" t="s">
        <v>50</v>
      </c>
      <c r="J604" s="4" t="s">
        <v>51</v>
      </c>
      <c r="K604" s="4" t="s">
        <v>2405</v>
      </c>
      <c r="L604" s="4" t="s">
        <v>1881</v>
      </c>
      <c r="M604" s="4" t="s">
        <v>22</v>
      </c>
      <c r="N604" s="4" t="s">
        <v>23</v>
      </c>
      <c r="O604" s="4" t="s">
        <v>27</v>
      </c>
      <c r="P604" s="4" t="s">
        <v>28</v>
      </c>
      <c r="Q604" s="24">
        <v>21</v>
      </c>
      <c r="R604" s="25">
        <v>2</v>
      </c>
      <c r="S604" s="39">
        <v>0</v>
      </c>
      <c r="T604" s="7" t="s">
        <v>2910</v>
      </c>
      <c r="V604" s="7" t="str">
        <f>+IF(U604="","",IF(U604="FINES",CONCATENATE("R",IF(OR(B604="16",B604="21",B604="22",B604="23"),"16212223",IF(OR(B604="15",B604="17",B604="24",B604="25"),"15172425",B604))),IF(U604="CEBAS","UNICO",IF(VALUE(B604)&lt;=11,"AMBA","INTERIOR"))))</f>
        <v/>
      </c>
      <c r="W604" s="38" t="str">
        <f>+IF(U604="","-",CONCATENATE(U604,"_",V604))</f>
        <v>-</v>
      </c>
      <c r="X604" s="42">
        <v>0.81599999999999995</v>
      </c>
    </row>
    <row r="605" spans="1:24" ht="15" thickBot="1">
      <c r="A605" s="5" t="s">
        <v>2916</v>
      </c>
      <c r="B605" s="5" t="s">
        <v>222</v>
      </c>
      <c r="C605" s="5" t="s">
        <v>227</v>
      </c>
      <c r="D605" s="5" t="s">
        <v>2603</v>
      </c>
      <c r="E605" s="5">
        <v>610656</v>
      </c>
      <c r="F605" s="5">
        <v>1</v>
      </c>
      <c r="G605" s="5" t="s">
        <v>2609</v>
      </c>
      <c r="H605" s="5" t="s">
        <v>20</v>
      </c>
      <c r="I605" s="6" t="s">
        <v>50</v>
      </c>
      <c r="J605" s="6" t="s">
        <v>51</v>
      </c>
      <c r="K605" s="6" t="s">
        <v>2610</v>
      </c>
      <c r="L605" s="6" t="s">
        <v>530</v>
      </c>
      <c r="M605" s="6" t="s">
        <v>22</v>
      </c>
      <c r="N605" s="6" t="s">
        <v>23</v>
      </c>
      <c r="O605" s="6" t="s">
        <v>27</v>
      </c>
      <c r="P605" s="6" t="s">
        <v>28</v>
      </c>
      <c r="Q605" s="22">
        <v>32</v>
      </c>
      <c r="R605" s="23">
        <v>3</v>
      </c>
      <c r="S605" s="39">
        <v>0</v>
      </c>
      <c r="T605" s="7" t="s">
        <v>2910</v>
      </c>
      <c r="V605" s="7" t="str">
        <f>+IF(U605="","",IF(U605="FINES",CONCATENATE("R",IF(OR(B605="16",B605="21",B605="22",B605="23"),"16212223",IF(OR(B605="15",B605="17",B605="24",B605="25"),"15172425",B605))),IF(U605="CEBAS","UNICO",IF(VALUE(B605)&lt;=11,"AMBA","INTERIOR"))))</f>
        <v/>
      </c>
      <c r="W605" s="38" t="str">
        <f>+IF(U605="","-",CONCATENATE(U605,"_",V605))</f>
        <v>-</v>
      </c>
      <c r="X605" s="42">
        <v>0.81599999999999995</v>
      </c>
    </row>
    <row r="606" spans="1:24" ht="15" thickBot="1">
      <c r="A606" s="5" t="s">
        <v>2916</v>
      </c>
      <c r="B606" s="5" t="s">
        <v>140</v>
      </c>
      <c r="C606" s="5" t="s">
        <v>2322</v>
      </c>
      <c r="D606" s="5" t="s">
        <v>2323</v>
      </c>
      <c r="E606" s="5">
        <v>613676</v>
      </c>
      <c r="F606" s="5">
        <v>0</v>
      </c>
      <c r="G606" s="5" t="s">
        <v>2326</v>
      </c>
      <c r="H606" s="5" t="s">
        <v>20</v>
      </c>
      <c r="I606" s="6" t="s">
        <v>50</v>
      </c>
      <c r="J606" s="6" t="s">
        <v>21</v>
      </c>
      <c r="K606" s="6"/>
      <c r="L606" s="6" t="s">
        <v>672</v>
      </c>
      <c r="M606" s="6" t="s">
        <v>200</v>
      </c>
      <c r="N606" s="6" t="s">
        <v>23</v>
      </c>
      <c r="O606" s="6" t="s">
        <v>27</v>
      </c>
      <c r="P606" s="6" t="s">
        <v>28</v>
      </c>
      <c r="Q606" s="22">
        <v>31</v>
      </c>
      <c r="R606" s="23">
        <v>2</v>
      </c>
      <c r="S606" s="39">
        <v>0</v>
      </c>
      <c r="T606" s="7" t="s">
        <v>2910</v>
      </c>
      <c r="V606" s="7" t="str">
        <f>+IF(U606="","",IF(U606="FINES",CONCATENATE("R",IF(OR(B606="16",B606="21",B606="22",B606="23"),"16212223",IF(OR(B606="15",B606="17",B606="24",B606="25"),"15172425",B606))),IF(U606="CEBAS","UNICO",IF(VALUE(B606)&lt;=11,"AMBA","INTERIOR"))))</f>
        <v/>
      </c>
      <c r="W606" s="38" t="str">
        <f>+IF(U606="","-",CONCATENATE(U606,"_",V606))</f>
        <v>-</v>
      </c>
      <c r="X606" s="42">
        <v>0.81799999999999995</v>
      </c>
    </row>
    <row r="607" spans="1:24" ht="15" thickBot="1">
      <c r="A607" s="3" t="s">
        <v>2916</v>
      </c>
      <c r="B607" s="3" t="s">
        <v>204</v>
      </c>
      <c r="C607" s="3" t="s">
        <v>1084</v>
      </c>
      <c r="D607" s="3" t="s">
        <v>1085</v>
      </c>
      <c r="E607" s="3">
        <v>613580</v>
      </c>
      <c r="F607" s="3">
        <v>2</v>
      </c>
      <c r="G607" s="3" t="s">
        <v>1106</v>
      </c>
      <c r="H607" s="3" t="s">
        <v>20</v>
      </c>
      <c r="I607" s="4" t="s">
        <v>50</v>
      </c>
      <c r="J607" s="4" t="s">
        <v>51</v>
      </c>
      <c r="K607" s="4" t="s">
        <v>1103</v>
      </c>
      <c r="L607" s="4" t="s">
        <v>974</v>
      </c>
      <c r="M607" s="4" t="s">
        <v>22</v>
      </c>
      <c r="N607" s="4" t="s">
        <v>23</v>
      </c>
      <c r="O607" s="4" t="s">
        <v>27</v>
      </c>
      <c r="P607" s="4" t="s">
        <v>28</v>
      </c>
      <c r="Q607" s="24">
        <v>30</v>
      </c>
      <c r="R607" s="25">
        <v>2</v>
      </c>
      <c r="S607" s="39">
        <v>0</v>
      </c>
      <c r="T607" s="7" t="s">
        <v>2910</v>
      </c>
      <c r="V607" s="7" t="str">
        <f>+IF(U607="","",IF(U607="FINES",CONCATENATE("R",IF(OR(B607="16",B607="21",B607="22",B607="23"),"16212223",IF(OR(B607="15",B607="17",B607="24",B607="25"),"15172425",B607))),IF(U607="CEBAS","UNICO",IF(VALUE(B607)&lt;=11,"AMBA","INTERIOR"))))</f>
        <v/>
      </c>
      <c r="W607" s="38" t="str">
        <f>+IF(U607="","-",CONCATENATE(U607,"_",V607))</f>
        <v>-</v>
      </c>
      <c r="X607" s="42">
        <v>0.81799999999999995</v>
      </c>
    </row>
    <row r="608" spans="1:24" ht="15" thickBot="1">
      <c r="A608" s="3" t="s">
        <v>2916</v>
      </c>
      <c r="B608" s="3" t="s">
        <v>225</v>
      </c>
      <c r="C608" s="3" t="s">
        <v>1521</v>
      </c>
      <c r="D608" s="3" t="s">
        <v>1522</v>
      </c>
      <c r="E608" s="3">
        <v>611760</v>
      </c>
      <c r="F608" s="3">
        <v>2</v>
      </c>
      <c r="G608" s="3" t="s">
        <v>1525</v>
      </c>
      <c r="H608" s="3" t="s">
        <v>20</v>
      </c>
      <c r="I608" s="4" t="s">
        <v>50</v>
      </c>
      <c r="J608" s="4" t="s">
        <v>51</v>
      </c>
      <c r="K608" s="4" t="s">
        <v>1524</v>
      </c>
      <c r="L608" s="4" t="s">
        <v>545</v>
      </c>
      <c r="M608" s="4" t="s">
        <v>22</v>
      </c>
      <c r="N608" s="4" t="s">
        <v>23</v>
      </c>
      <c r="O608" s="4" t="s">
        <v>27</v>
      </c>
      <c r="P608" s="4" t="s">
        <v>28</v>
      </c>
      <c r="Q608" s="24">
        <v>18</v>
      </c>
      <c r="R608" s="25">
        <v>1</v>
      </c>
      <c r="S608" s="39">
        <v>0</v>
      </c>
      <c r="T608" s="7" t="s">
        <v>2910</v>
      </c>
      <c r="V608" s="7" t="str">
        <f>+IF(U608="","",IF(U608="FINES",CONCATENATE("R",IF(OR(B608="16",B608="21",B608="22",B608="23"),"16212223",IF(OR(B608="15",B608="17",B608="24",B608="25"),"15172425",B608))),IF(U608="CEBAS","UNICO",IF(VALUE(B608)&lt;=11,"AMBA","INTERIOR"))))</f>
        <v/>
      </c>
      <c r="W608" s="38" t="str">
        <f>+IF(U608="","-",CONCATENATE(U608,"_",V608))</f>
        <v>-</v>
      </c>
      <c r="X608" s="42">
        <v>0.81899999999999995</v>
      </c>
    </row>
    <row r="609" spans="1:24" ht="15" thickBot="1">
      <c r="A609" s="3" t="s">
        <v>2916</v>
      </c>
      <c r="B609" s="3" t="s">
        <v>356</v>
      </c>
      <c r="C609" s="3" t="s">
        <v>805</v>
      </c>
      <c r="D609" s="3" t="s">
        <v>2500</v>
      </c>
      <c r="E609" s="3">
        <v>607542</v>
      </c>
      <c r="F609" s="3">
        <v>1</v>
      </c>
      <c r="G609" s="3" t="s">
        <v>2524</v>
      </c>
      <c r="H609" s="3" t="s">
        <v>20</v>
      </c>
      <c r="I609" s="4" t="s">
        <v>50</v>
      </c>
      <c r="J609" s="4" t="s">
        <v>51</v>
      </c>
      <c r="K609" s="4" t="s">
        <v>2525</v>
      </c>
      <c r="L609" s="4" t="s">
        <v>285</v>
      </c>
      <c r="M609" s="4" t="s">
        <v>22</v>
      </c>
      <c r="N609" s="4" t="s">
        <v>23</v>
      </c>
      <c r="O609" s="4" t="s">
        <v>27</v>
      </c>
      <c r="P609" s="4" t="s">
        <v>28</v>
      </c>
      <c r="Q609" s="24">
        <v>28</v>
      </c>
      <c r="R609" s="25">
        <v>2</v>
      </c>
      <c r="S609" s="39">
        <v>0</v>
      </c>
      <c r="T609" s="7" t="s">
        <v>2910</v>
      </c>
      <c r="V609" s="7" t="str">
        <f>+IF(U609="","",IF(U609="FINES",CONCATENATE("R",IF(OR(B609="16",B609="21",B609="22",B609="23"),"16212223",IF(OR(B609="15",B609="17",B609="24",B609="25"),"15172425",B609))),IF(U609="CEBAS","UNICO",IF(VALUE(B609)&lt;=11,"AMBA","INTERIOR"))))</f>
        <v/>
      </c>
      <c r="W609" s="38" t="str">
        <f>+IF(U609="","-",CONCATENATE(U609,"_",V609))</f>
        <v>-</v>
      </c>
      <c r="X609" s="42">
        <v>0.82</v>
      </c>
    </row>
    <row r="610" spans="1:24" ht="15" thickBot="1">
      <c r="A610" s="3" t="s">
        <v>2916</v>
      </c>
      <c r="B610" s="3" t="s">
        <v>1860</v>
      </c>
      <c r="C610" s="3" t="s">
        <v>1858</v>
      </c>
      <c r="D610" s="3" t="s">
        <v>1859</v>
      </c>
      <c r="E610" s="3">
        <v>603278</v>
      </c>
      <c r="F610" s="3">
        <v>1</v>
      </c>
      <c r="G610" s="3" t="s">
        <v>1877</v>
      </c>
      <c r="H610" s="3" t="s">
        <v>20</v>
      </c>
      <c r="I610" s="4" t="s">
        <v>50</v>
      </c>
      <c r="J610" s="4" t="s">
        <v>51</v>
      </c>
      <c r="K610" s="4" t="s">
        <v>1878</v>
      </c>
      <c r="L610" s="4" t="s">
        <v>1167</v>
      </c>
      <c r="M610" s="4" t="s">
        <v>22</v>
      </c>
      <c r="N610" s="4" t="s">
        <v>23</v>
      </c>
      <c r="O610" s="4" t="s">
        <v>27</v>
      </c>
      <c r="P610" s="4" t="s">
        <v>28</v>
      </c>
      <c r="Q610" s="24">
        <v>55</v>
      </c>
      <c r="R610" s="25">
        <v>3</v>
      </c>
      <c r="S610" s="39">
        <v>0</v>
      </c>
      <c r="T610" s="7" t="s">
        <v>2910</v>
      </c>
      <c r="V610" s="7" t="str">
        <f>+IF(U610="","",IF(U610="FINES",CONCATENATE("R",IF(OR(B610="16",B610="21",B610="22",B610="23"),"16212223",IF(OR(B610="15",B610="17",B610="24",B610="25"),"15172425",B610))),IF(U610="CEBAS","UNICO",IF(VALUE(B610)&lt;=11,"AMBA","INTERIOR"))))</f>
        <v/>
      </c>
      <c r="W610" s="38" t="str">
        <f>+IF(U610="","-",CONCATENATE(U610,"_",V610))</f>
        <v>-</v>
      </c>
      <c r="X610" s="42">
        <v>0.82199999999999995</v>
      </c>
    </row>
    <row r="611" spans="1:24" ht="15" thickBot="1">
      <c r="A611" s="3" t="s">
        <v>2916</v>
      </c>
      <c r="B611" s="3" t="s">
        <v>205</v>
      </c>
      <c r="C611" s="3" t="s">
        <v>255</v>
      </c>
      <c r="D611" s="3" t="s">
        <v>750</v>
      </c>
      <c r="E611" s="3">
        <v>603453</v>
      </c>
      <c r="F611" s="3">
        <v>0</v>
      </c>
      <c r="G611" s="3" t="s">
        <v>756</v>
      </c>
      <c r="H611" s="3" t="s">
        <v>20</v>
      </c>
      <c r="I611" s="4" t="s">
        <v>50</v>
      </c>
      <c r="J611" s="4" t="s">
        <v>21</v>
      </c>
      <c r="K611" s="4"/>
      <c r="L611" s="4" t="s">
        <v>650</v>
      </c>
      <c r="M611" s="4" t="s">
        <v>22</v>
      </c>
      <c r="N611" s="4" t="s">
        <v>23</v>
      </c>
      <c r="O611" s="4" t="s">
        <v>27</v>
      </c>
      <c r="P611" s="4" t="s">
        <v>28</v>
      </c>
      <c r="Q611" s="24">
        <v>15</v>
      </c>
      <c r="R611" s="25">
        <v>1</v>
      </c>
      <c r="S611" s="39">
        <v>0</v>
      </c>
      <c r="T611" s="7" t="s">
        <v>2910</v>
      </c>
      <c r="V611" s="7" t="str">
        <f>+IF(U611="","",IF(U611="FINES",CONCATENATE("R",IF(OR(B611="16",B611="21",B611="22",B611="23"),"16212223",IF(OR(B611="15",B611="17",B611="24",B611="25"),"15172425",B611))),IF(U611="CEBAS","UNICO",IF(VALUE(B611)&lt;=11,"AMBA","INTERIOR"))))</f>
        <v/>
      </c>
      <c r="W611" s="38" t="str">
        <f>+IF(U611="","-",CONCATENATE(U611,"_",V611))</f>
        <v>-</v>
      </c>
      <c r="X611" s="42">
        <v>0.82199999999999995</v>
      </c>
    </row>
    <row r="612" spans="1:24" ht="15" thickBot="1">
      <c r="A612" s="5" t="s">
        <v>2916</v>
      </c>
      <c r="B612" s="5" t="s">
        <v>817</v>
      </c>
      <c r="C612" s="5" t="s">
        <v>815</v>
      </c>
      <c r="D612" s="5" t="s">
        <v>816</v>
      </c>
      <c r="E612" s="5">
        <v>607404</v>
      </c>
      <c r="F612" s="5">
        <v>2</v>
      </c>
      <c r="G612" s="5" t="s">
        <v>836</v>
      </c>
      <c r="H612" s="5" t="s">
        <v>20</v>
      </c>
      <c r="I612" s="6" t="s">
        <v>50</v>
      </c>
      <c r="J612" s="6" t="s">
        <v>51</v>
      </c>
      <c r="K612" s="6" t="s">
        <v>837</v>
      </c>
      <c r="L612" s="6" t="s">
        <v>838</v>
      </c>
      <c r="M612" s="6" t="s">
        <v>22</v>
      </c>
      <c r="N612" s="6" t="s">
        <v>23</v>
      </c>
      <c r="O612" s="6" t="s">
        <v>27</v>
      </c>
      <c r="P612" s="6" t="s">
        <v>28</v>
      </c>
      <c r="Q612" s="22">
        <v>37</v>
      </c>
      <c r="R612" s="23">
        <v>5</v>
      </c>
      <c r="S612" s="39">
        <v>0</v>
      </c>
      <c r="T612" s="7" t="s">
        <v>2910</v>
      </c>
      <c r="V612" s="7" t="str">
        <f>+IF(U612="","",IF(U612="FINES",CONCATENATE("R",IF(OR(B612="16",B612="21",B612="22",B612="23"),"16212223",IF(OR(B612="15",B612="17",B612="24",B612="25"),"15172425",B612))),IF(U612="CEBAS","UNICO",IF(VALUE(B612)&lt;=11,"AMBA","INTERIOR"))))</f>
        <v/>
      </c>
      <c r="W612" s="38" t="str">
        <f>+IF(U612="","-",CONCATENATE(U612,"_",V612))</f>
        <v>-</v>
      </c>
      <c r="X612" s="42">
        <v>0.82299999999999995</v>
      </c>
    </row>
    <row r="613" spans="1:24" ht="15" thickBot="1">
      <c r="A613" s="5" t="s">
        <v>2916</v>
      </c>
      <c r="B613" s="5" t="s">
        <v>1780</v>
      </c>
      <c r="C613" s="5" t="s">
        <v>1778</v>
      </c>
      <c r="D613" s="5" t="s">
        <v>1779</v>
      </c>
      <c r="E613" s="5">
        <v>614535</v>
      </c>
      <c r="F613" s="5">
        <v>0</v>
      </c>
      <c r="G613" s="5" t="s">
        <v>1791</v>
      </c>
      <c r="H613" s="5" t="s">
        <v>20</v>
      </c>
      <c r="I613" s="6" t="s">
        <v>25</v>
      </c>
      <c r="J613" s="6" t="s">
        <v>21</v>
      </c>
      <c r="K613" s="6"/>
      <c r="L613" s="6" t="s">
        <v>1792</v>
      </c>
      <c r="M613" s="6" t="s">
        <v>22</v>
      </c>
      <c r="N613" s="6" t="s">
        <v>23</v>
      </c>
      <c r="O613" s="6" t="s">
        <v>27</v>
      </c>
      <c r="P613" s="6" t="s">
        <v>28</v>
      </c>
      <c r="Q613" s="22">
        <v>12</v>
      </c>
      <c r="R613" s="23">
        <v>1</v>
      </c>
      <c r="S613" s="39">
        <v>0</v>
      </c>
      <c r="T613" s="7" t="s">
        <v>2910</v>
      </c>
      <c r="V613" s="7" t="str">
        <f>+IF(U613="","",IF(U613="FINES",CONCATENATE("R",IF(OR(B613="16",B613="21",B613="22",B613="23"),"16212223",IF(OR(B613="15",B613="17",B613="24",B613="25"),"15172425",B613))),IF(U613="CEBAS","UNICO",IF(VALUE(B613)&lt;=11,"AMBA","INTERIOR"))))</f>
        <v/>
      </c>
      <c r="W613" s="38" t="str">
        <f>+IF(U613="","-",CONCATENATE(U613,"_",V613))</f>
        <v>-</v>
      </c>
      <c r="X613" s="42">
        <v>0.82599999999999996</v>
      </c>
    </row>
    <row r="614" spans="1:24" ht="15" thickBot="1">
      <c r="A614" s="5" t="s">
        <v>2916</v>
      </c>
      <c r="B614" s="5" t="s">
        <v>598</v>
      </c>
      <c r="C614" s="5" t="s">
        <v>1249</v>
      </c>
      <c r="D614" s="5" t="s">
        <v>1250</v>
      </c>
      <c r="E614" s="5">
        <v>615703</v>
      </c>
      <c r="F614" s="5">
        <v>0</v>
      </c>
      <c r="G614" s="5" t="s">
        <v>1251</v>
      </c>
      <c r="H614" s="5" t="s">
        <v>20</v>
      </c>
      <c r="I614" s="6" t="s">
        <v>50</v>
      </c>
      <c r="J614" s="6" t="s">
        <v>21</v>
      </c>
      <c r="K614" s="6"/>
      <c r="L614" s="6" t="s">
        <v>719</v>
      </c>
      <c r="M614" s="6" t="s">
        <v>199</v>
      </c>
      <c r="N614" s="6" t="s">
        <v>23</v>
      </c>
      <c r="O614" s="6" t="s">
        <v>27</v>
      </c>
      <c r="P614" s="6" t="s">
        <v>28</v>
      </c>
      <c r="Q614" s="22">
        <v>7</v>
      </c>
      <c r="R614" s="23">
        <v>1</v>
      </c>
      <c r="S614" s="39">
        <v>0</v>
      </c>
      <c r="T614" s="7" t="s">
        <v>2910</v>
      </c>
      <c r="U614" s="7"/>
      <c r="V614" s="7" t="str">
        <f>+IF(U614="","",IF(U614="FINES",CONCATENATE("R",IF(OR(B614="16",B614="21",B614="22",B614="23"),"16212223",IF(OR(B614="15",B614="17",B614="24",B614="25"),"15172425",B614))),IF(U614="CEBAS","UNICO",IF(VALUE(B614)&lt;=11,"AMBA","INTERIOR"))))</f>
        <v/>
      </c>
      <c r="W614" s="38" t="str">
        <f>+IF(U614="","-",CONCATENATE(U614,"_",V614))</f>
        <v>-</v>
      </c>
      <c r="X614" s="42">
        <v>0.82899999999999996</v>
      </c>
    </row>
    <row r="615" spans="1:24" ht="15" thickBot="1">
      <c r="A615" s="3" t="s">
        <v>2916</v>
      </c>
      <c r="B615" s="3" t="s">
        <v>225</v>
      </c>
      <c r="C615" s="3" t="s">
        <v>942</v>
      </c>
      <c r="D615" s="3" t="s">
        <v>943</v>
      </c>
      <c r="E615" s="3">
        <v>605101</v>
      </c>
      <c r="F615" s="3">
        <v>3</v>
      </c>
      <c r="G615" s="3" t="s">
        <v>998</v>
      </c>
      <c r="H615" s="3" t="s">
        <v>20</v>
      </c>
      <c r="I615" s="4" t="s">
        <v>50</v>
      </c>
      <c r="J615" s="4" t="s">
        <v>51</v>
      </c>
      <c r="K615" s="4" t="s">
        <v>995</v>
      </c>
      <c r="L615" s="4" t="s">
        <v>999</v>
      </c>
      <c r="M615" s="4" t="s">
        <v>22</v>
      </c>
      <c r="N615" s="4" t="s">
        <v>23</v>
      </c>
      <c r="O615" s="4" t="s">
        <v>27</v>
      </c>
      <c r="P615" s="4" t="s">
        <v>28</v>
      </c>
      <c r="Q615" s="24">
        <v>15</v>
      </c>
      <c r="R615" s="25">
        <v>1</v>
      </c>
      <c r="S615" s="39">
        <v>0</v>
      </c>
      <c r="T615" s="7" t="s">
        <v>2910</v>
      </c>
      <c r="U615" s="7"/>
      <c r="V615" s="7" t="str">
        <f>+IF(U615="","",IF(U615="FINES",CONCATENATE("R",IF(OR(B615="16",B615="21",B615="22",B615="23"),"16212223",IF(OR(B615="15",B615="17",B615="24",B615="25"),"15172425",B615))),IF(U615="CEBAS","UNICO",IF(VALUE(B615)&lt;=11,"AMBA","INTERIOR"))))</f>
        <v/>
      </c>
      <c r="W615" s="38" t="str">
        <f>+IF(U615="","-",CONCATENATE(U615,"_",V615))</f>
        <v>-</v>
      </c>
      <c r="X615" s="42">
        <v>0.82899999999999996</v>
      </c>
    </row>
    <row r="616" spans="1:24" ht="15" thickBot="1">
      <c r="A616" s="5" t="s">
        <v>2916</v>
      </c>
      <c r="B616" s="5" t="s">
        <v>204</v>
      </c>
      <c r="C616" s="5" t="s">
        <v>219</v>
      </c>
      <c r="D616" s="5" t="s">
        <v>2865</v>
      </c>
      <c r="E616" s="5">
        <v>603209</v>
      </c>
      <c r="F616" s="5">
        <v>1</v>
      </c>
      <c r="G616" s="5" t="s">
        <v>2871</v>
      </c>
      <c r="H616" s="5" t="s">
        <v>20</v>
      </c>
      <c r="I616" s="6" t="s">
        <v>50</v>
      </c>
      <c r="J616" s="6" t="s">
        <v>51</v>
      </c>
      <c r="K616" s="6" t="s">
        <v>2872</v>
      </c>
      <c r="L616" s="6" t="s">
        <v>619</v>
      </c>
      <c r="M616" s="6" t="s">
        <v>22</v>
      </c>
      <c r="N616" s="6" t="s">
        <v>23</v>
      </c>
      <c r="O616" s="6" t="s">
        <v>27</v>
      </c>
      <c r="P616" s="6" t="s">
        <v>28</v>
      </c>
      <c r="Q616" s="22">
        <v>45</v>
      </c>
      <c r="R616" s="23">
        <v>3</v>
      </c>
      <c r="S616" s="39">
        <v>0</v>
      </c>
      <c r="T616" s="7" t="s">
        <v>2910</v>
      </c>
      <c r="U616" s="7"/>
      <c r="V616" s="7" t="str">
        <f>+IF(U616="","",IF(U616="FINES",CONCATENATE("R",IF(OR(B616="16",B616="21",B616="22",B616="23"),"16212223",IF(OR(B616="15",B616="17",B616="24",B616="25"),"15172425",B616))),IF(U616="CEBAS","UNICO",IF(VALUE(B616)&lt;=11,"AMBA","INTERIOR"))))</f>
        <v/>
      </c>
      <c r="W616" s="38" t="str">
        <f>+IF(U616="","-",CONCATENATE(U616,"_",V616))</f>
        <v>-</v>
      </c>
      <c r="X616" s="42">
        <v>0.82899999999999996</v>
      </c>
    </row>
    <row r="617" spans="1:24" ht="15" thickBot="1">
      <c r="A617" s="5" t="s">
        <v>2916</v>
      </c>
      <c r="B617" s="5" t="s">
        <v>135</v>
      </c>
      <c r="C617" s="5" t="s">
        <v>1217</v>
      </c>
      <c r="D617" s="5" t="s">
        <v>1218</v>
      </c>
      <c r="E617" s="5">
        <v>604293</v>
      </c>
      <c r="F617" s="5">
        <v>5</v>
      </c>
      <c r="G617" s="5" t="s">
        <v>1222</v>
      </c>
      <c r="H617" s="5" t="s">
        <v>20</v>
      </c>
      <c r="I617" s="6" t="s">
        <v>50</v>
      </c>
      <c r="J617" s="6" t="s">
        <v>51</v>
      </c>
      <c r="K617" s="6" t="s">
        <v>1220</v>
      </c>
      <c r="L617" s="6" t="s">
        <v>1223</v>
      </c>
      <c r="M617" s="6" t="s">
        <v>22</v>
      </c>
      <c r="N617" s="6" t="s">
        <v>23</v>
      </c>
      <c r="O617" s="6" t="s">
        <v>27</v>
      </c>
      <c r="P617" s="6" t="s">
        <v>28</v>
      </c>
      <c r="Q617" s="22">
        <v>11</v>
      </c>
      <c r="R617" s="23">
        <v>2</v>
      </c>
      <c r="S617" s="39">
        <v>0</v>
      </c>
      <c r="T617" s="7" t="s">
        <v>2910</v>
      </c>
      <c r="U617" s="7"/>
      <c r="V617" s="7" t="str">
        <f>+IF(U617="","",IF(U617="FINES",CONCATENATE("R",IF(OR(B617="16",B617="21",B617="22",B617="23"),"16212223",IF(OR(B617="15",B617="17",B617="24",B617="25"),"15172425",B617))),IF(U617="CEBAS","UNICO",IF(VALUE(B617)&lt;=11,"AMBA","INTERIOR"))))</f>
        <v/>
      </c>
      <c r="W617" s="38" t="str">
        <f>+IF(U617="","-",CONCATENATE(U617,"_",V617))</f>
        <v>-</v>
      </c>
      <c r="X617" s="42">
        <v>0.83299999999999996</v>
      </c>
    </row>
    <row r="618" spans="1:24" ht="15" thickBot="1">
      <c r="A618" s="3" t="s">
        <v>2916</v>
      </c>
      <c r="B618" s="3" t="s">
        <v>138</v>
      </c>
      <c r="C618" s="3" t="s">
        <v>1507</v>
      </c>
      <c r="D618" s="3" t="s">
        <v>1508</v>
      </c>
      <c r="E618" s="3">
        <v>610592</v>
      </c>
      <c r="F618" s="3">
        <v>2</v>
      </c>
      <c r="G618" s="3" t="s">
        <v>1512</v>
      </c>
      <c r="H618" s="3" t="s">
        <v>20</v>
      </c>
      <c r="I618" s="4" t="s">
        <v>50</v>
      </c>
      <c r="J618" s="4" t="s">
        <v>51</v>
      </c>
      <c r="K618" s="4" t="s">
        <v>1510</v>
      </c>
      <c r="L618" s="4" t="s">
        <v>743</v>
      </c>
      <c r="M618" s="4" t="s">
        <v>22</v>
      </c>
      <c r="N618" s="4" t="s">
        <v>23</v>
      </c>
      <c r="O618" s="4" t="s">
        <v>27</v>
      </c>
      <c r="P618" s="4" t="s">
        <v>28</v>
      </c>
      <c r="Q618" s="24">
        <v>20</v>
      </c>
      <c r="R618" s="25">
        <v>2</v>
      </c>
      <c r="S618" s="39">
        <v>0</v>
      </c>
      <c r="T618" s="7" t="s">
        <v>2910</v>
      </c>
      <c r="U618" s="7"/>
      <c r="V618" s="7" t="str">
        <f>+IF(U618="","",IF(U618="FINES",CONCATENATE("R",IF(OR(B618="16",B618="21",B618="22",B618="23"),"16212223",IF(OR(B618="15",B618="17",B618="24",B618="25"),"15172425",B618))),IF(U618="CEBAS","UNICO",IF(VALUE(B618)&lt;=11,"AMBA","INTERIOR"))))</f>
        <v/>
      </c>
      <c r="W618" s="38" t="str">
        <f>+IF(U618="","-",CONCATENATE(U618,"_",V618))</f>
        <v>-</v>
      </c>
      <c r="X618" s="42">
        <v>0.83299999999999996</v>
      </c>
    </row>
    <row r="619" spans="1:24" ht="15" thickBot="1">
      <c r="A619" s="5" t="s">
        <v>2916</v>
      </c>
      <c r="B619" s="5" t="s">
        <v>1257</v>
      </c>
      <c r="C619" s="5" t="s">
        <v>1255</v>
      </c>
      <c r="D619" s="5" t="s">
        <v>1256</v>
      </c>
      <c r="E619" s="5">
        <v>602531</v>
      </c>
      <c r="F619" s="5">
        <v>2</v>
      </c>
      <c r="G619" s="5" t="s">
        <v>1277</v>
      </c>
      <c r="H619" s="5" t="s">
        <v>20</v>
      </c>
      <c r="I619" s="6" t="s">
        <v>50</v>
      </c>
      <c r="J619" s="6" t="s">
        <v>51</v>
      </c>
      <c r="K619" s="6" t="s">
        <v>1264</v>
      </c>
      <c r="L619" s="6" t="s">
        <v>379</v>
      </c>
      <c r="M619" s="6" t="s">
        <v>22</v>
      </c>
      <c r="N619" s="6" t="s">
        <v>23</v>
      </c>
      <c r="O619" s="6" t="s">
        <v>27</v>
      </c>
      <c r="P619" s="6" t="s">
        <v>28</v>
      </c>
      <c r="Q619" s="22">
        <v>32</v>
      </c>
      <c r="R619" s="23">
        <v>3</v>
      </c>
      <c r="S619" s="39">
        <v>0</v>
      </c>
      <c r="T619" s="7" t="s">
        <v>2910</v>
      </c>
      <c r="U619" s="7"/>
      <c r="V619" s="7" t="str">
        <f>+IF(U619="","",IF(U619="FINES",CONCATENATE("R",IF(OR(B619="16",B619="21",B619="22",B619="23"),"16212223",IF(OR(B619="15",B619="17",B619="24",B619="25"),"15172425",B619))),IF(U619="CEBAS","UNICO",IF(VALUE(B619)&lt;=11,"AMBA","INTERIOR"))))</f>
        <v/>
      </c>
      <c r="W619" s="38" t="str">
        <f>+IF(U619="","-",CONCATENATE(U619,"_",V619))</f>
        <v>-</v>
      </c>
      <c r="X619" s="42">
        <v>0.83399999999999996</v>
      </c>
    </row>
    <row r="620" spans="1:24" ht="15" thickBot="1">
      <c r="A620" s="3" t="s">
        <v>2916</v>
      </c>
      <c r="B620" s="3" t="s">
        <v>204</v>
      </c>
      <c r="C620" s="3" t="s">
        <v>1084</v>
      </c>
      <c r="D620" s="3" t="s">
        <v>1085</v>
      </c>
      <c r="E620" s="3">
        <v>623482</v>
      </c>
      <c r="F620" s="3">
        <v>0</v>
      </c>
      <c r="G620" s="3" t="s">
        <v>1152</v>
      </c>
      <c r="H620" s="3" t="s">
        <v>210</v>
      </c>
      <c r="I620" s="4" t="s">
        <v>202</v>
      </c>
      <c r="J620" s="4" t="s">
        <v>21</v>
      </c>
      <c r="K620" s="4"/>
      <c r="L620" s="4" t="s">
        <v>1153</v>
      </c>
      <c r="M620" s="4" t="s">
        <v>22</v>
      </c>
      <c r="N620" s="4" t="s">
        <v>23</v>
      </c>
      <c r="O620" s="4" t="s">
        <v>27</v>
      </c>
      <c r="P620" s="4" t="s">
        <v>144</v>
      </c>
      <c r="Q620" s="24">
        <v>51</v>
      </c>
      <c r="R620" s="25">
        <v>3</v>
      </c>
      <c r="S620" s="39">
        <v>0</v>
      </c>
      <c r="T620" s="7" t="s">
        <v>2909</v>
      </c>
      <c r="U620" s="7"/>
      <c r="V620" s="7" t="str">
        <f>+IF(U620="","",IF(U620="FINES",CONCATENATE("R",IF(OR(B620="16",B620="21",B620="22",B620="23"),"16212223",IF(OR(B620="15",B620="17",B620="24",B620="25"),"15172425",B620))),IF(U620="CEBAS","UNICO",IF(VALUE(B620)&lt;=11,"AMBA","INTERIOR"))))</f>
        <v/>
      </c>
      <c r="W620" s="38" t="str">
        <f>+IF(U620="","-",CONCATENATE(U620,"_",V620))</f>
        <v>-</v>
      </c>
      <c r="X620" s="42">
        <v>0.83499999999999996</v>
      </c>
    </row>
    <row r="621" spans="1:24" ht="15" thickBot="1">
      <c r="A621" s="5" t="s">
        <v>2916</v>
      </c>
      <c r="B621" s="5" t="s">
        <v>217</v>
      </c>
      <c r="C621" s="5" t="s">
        <v>2027</v>
      </c>
      <c r="D621" s="5" t="s">
        <v>2028</v>
      </c>
      <c r="E621" s="5">
        <v>611796</v>
      </c>
      <c r="F621" s="5">
        <v>3</v>
      </c>
      <c r="G621" s="5" t="s">
        <v>2033</v>
      </c>
      <c r="H621" s="5" t="s">
        <v>20</v>
      </c>
      <c r="I621" s="6" t="s">
        <v>50</v>
      </c>
      <c r="J621" s="6" t="s">
        <v>51</v>
      </c>
      <c r="K621" s="6" t="s">
        <v>2034</v>
      </c>
      <c r="L621" s="6" t="s">
        <v>955</v>
      </c>
      <c r="M621" s="6" t="s">
        <v>22</v>
      </c>
      <c r="N621" s="6" t="s">
        <v>23</v>
      </c>
      <c r="O621" s="6" t="s">
        <v>27</v>
      </c>
      <c r="P621" s="6" t="s">
        <v>28</v>
      </c>
      <c r="Q621" s="22">
        <v>15</v>
      </c>
      <c r="R621" s="23">
        <v>1</v>
      </c>
      <c r="S621" s="39">
        <v>0</v>
      </c>
      <c r="T621" s="7" t="s">
        <v>2910</v>
      </c>
      <c r="U621" s="7"/>
      <c r="V621" s="7" t="str">
        <f>+IF(U621="","",IF(U621="FINES",CONCATENATE("R",IF(OR(B621="16",B621="21",B621="22",B621="23"),"16212223",IF(OR(B621="15",B621="17",B621="24",B621="25"),"15172425",B621))),IF(U621="CEBAS","UNICO",IF(VALUE(B621)&lt;=11,"AMBA","INTERIOR"))))</f>
        <v/>
      </c>
      <c r="W621" s="38" t="str">
        <f>+IF(U621="","-",CONCATENATE(U621,"_",V621))</f>
        <v>-</v>
      </c>
      <c r="X621" s="42">
        <v>0.83699999999999997</v>
      </c>
    </row>
    <row r="622" spans="1:24" ht="15" thickBot="1">
      <c r="A622" s="5" t="s">
        <v>2916</v>
      </c>
      <c r="B622" s="5" t="s">
        <v>19</v>
      </c>
      <c r="C622" s="5" t="s">
        <v>17</v>
      </c>
      <c r="D622" s="5" t="s">
        <v>18</v>
      </c>
      <c r="E622" s="5">
        <v>600735</v>
      </c>
      <c r="F622" s="5">
        <v>1</v>
      </c>
      <c r="G622" s="5" t="s">
        <v>78</v>
      </c>
      <c r="H622" s="5" t="s">
        <v>20</v>
      </c>
      <c r="I622" s="6" t="s">
        <v>50</v>
      </c>
      <c r="J622" s="6" t="s">
        <v>51</v>
      </c>
      <c r="K622" s="6" t="s">
        <v>79</v>
      </c>
      <c r="L622" s="6" t="s">
        <v>80</v>
      </c>
      <c r="M622" s="6" t="s">
        <v>22</v>
      </c>
      <c r="N622" s="6" t="s">
        <v>23</v>
      </c>
      <c r="O622" s="6" t="s">
        <v>27</v>
      </c>
      <c r="P622" s="6" t="s">
        <v>28</v>
      </c>
      <c r="Q622" s="22">
        <v>20</v>
      </c>
      <c r="R622" s="23">
        <v>2</v>
      </c>
      <c r="S622" s="39">
        <v>0</v>
      </c>
      <c r="T622" s="7" t="s">
        <v>2910</v>
      </c>
      <c r="U622" s="7"/>
      <c r="V622" s="7" t="str">
        <f>+IF(U622="","",IF(U622="FINES",CONCATENATE("R",IF(OR(B622="16",B622="21",B622="22",B622="23"),"16212223",IF(OR(B622="15",B622="17",B622="24",B622="25"),"15172425",B622))),IF(U622="CEBAS","UNICO",IF(VALUE(B622)&lt;=11,"AMBA","INTERIOR"))))</f>
        <v/>
      </c>
      <c r="W622" s="38" t="str">
        <f>+IF(U622="","-",CONCATENATE(U622,"_",V622))</f>
        <v>-</v>
      </c>
      <c r="X622" s="42">
        <v>0.83899999999999997</v>
      </c>
    </row>
    <row r="623" spans="1:24" ht="15" thickBot="1">
      <c r="A623" s="3" t="s">
        <v>2916</v>
      </c>
      <c r="B623" s="3" t="s">
        <v>222</v>
      </c>
      <c r="C623" s="3" t="s">
        <v>227</v>
      </c>
      <c r="D623" s="3" t="s">
        <v>2603</v>
      </c>
      <c r="E623" s="3">
        <v>613716</v>
      </c>
      <c r="F623" s="3">
        <v>1</v>
      </c>
      <c r="G623" s="3" t="s">
        <v>2614</v>
      </c>
      <c r="H623" s="3" t="s">
        <v>20</v>
      </c>
      <c r="I623" s="4" t="s">
        <v>50</v>
      </c>
      <c r="J623" s="4" t="s">
        <v>51</v>
      </c>
      <c r="K623" s="4" t="s">
        <v>2615</v>
      </c>
      <c r="L623" s="4" t="s">
        <v>364</v>
      </c>
      <c r="M623" s="4" t="s">
        <v>22</v>
      </c>
      <c r="N623" s="4" t="s">
        <v>23</v>
      </c>
      <c r="O623" s="4" t="s">
        <v>27</v>
      </c>
      <c r="P623" s="4" t="s">
        <v>28</v>
      </c>
      <c r="Q623" s="24">
        <v>45</v>
      </c>
      <c r="R623" s="25">
        <v>3</v>
      </c>
      <c r="S623" s="39">
        <v>0</v>
      </c>
      <c r="T623" s="7" t="s">
        <v>2910</v>
      </c>
      <c r="U623" s="7"/>
      <c r="V623" s="7" t="str">
        <f>+IF(U623="","",IF(U623="FINES",CONCATENATE("R",IF(OR(B623="16",B623="21",B623="22",B623="23"),"16212223",IF(OR(B623="15",B623="17",B623="24",B623="25"),"15172425",B623))),IF(U623="CEBAS","UNICO",IF(VALUE(B623)&lt;=11,"AMBA","INTERIOR"))))</f>
        <v/>
      </c>
      <c r="W623" s="38" t="str">
        <f>+IF(U623="","-",CONCATENATE(U623,"_",V623))</f>
        <v>-</v>
      </c>
      <c r="X623" s="42">
        <v>0.83899999999999997</v>
      </c>
    </row>
    <row r="624" spans="1:24" ht="15" thickBot="1">
      <c r="A624" s="3" t="s">
        <v>2916</v>
      </c>
      <c r="B624" s="3" t="s">
        <v>220</v>
      </c>
      <c r="C624" s="3" t="s">
        <v>665</v>
      </c>
      <c r="D624" s="3" t="s">
        <v>666</v>
      </c>
      <c r="E624" s="3">
        <v>613516</v>
      </c>
      <c r="F624" s="3">
        <v>0</v>
      </c>
      <c r="G624" s="3" t="s">
        <v>667</v>
      </c>
      <c r="H624" s="3" t="s">
        <v>20</v>
      </c>
      <c r="I624" s="4" t="s">
        <v>50</v>
      </c>
      <c r="J624" s="4" t="s">
        <v>21</v>
      </c>
      <c r="K624" s="4"/>
      <c r="L624" s="4" t="s">
        <v>668</v>
      </c>
      <c r="M624" s="4" t="s">
        <v>22</v>
      </c>
      <c r="N624" s="4" t="s">
        <v>23</v>
      </c>
      <c r="O624" s="4" t="s">
        <v>27</v>
      </c>
      <c r="P624" s="4" t="s">
        <v>28</v>
      </c>
      <c r="Q624" s="24">
        <v>5</v>
      </c>
      <c r="R624" s="25">
        <v>2</v>
      </c>
      <c r="S624" s="39">
        <v>0</v>
      </c>
      <c r="T624" s="7" t="s">
        <v>2910</v>
      </c>
      <c r="U624" s="7"/>
      <c r="V624" s="7" t="str">
        <f>+IF(U624="","",IF(U624="FINES",CONCATENATE("R",IF(OR(B624="16",B624="21",B624="22",B624="23"),"16212223",IF(OR(B624="15",B624="17",B624="24",B624="25"),"15172425",B624))),IF(U624="CEBAS","UNICO",IF(VALUE(B624)&lt;=11,"AMBA","INTERIOR"))))</f>
        <v/>
      </c>
      <c r="W624" s="38" t="str">
        <f>+IF(U624="","-",CONCATENATE(U624,"_",V624))</f>
        <v>-</v>
      </c>
      <c r="X624" s="42">
        <v>0.83899999999999997</v>
      </c>
    </row>
    <row r="625" spans="1:24" ht="15" thickBot="1">
      <c r="A625" s="3" t="s">
        <v>2916</v>
      </c>
      <c r="B625" s="3" t="s">
        <v>817</v>
      </c>
      <c r="C625" s="3" t="s">
        <v>600</v>
      </c>
      <c r="D625" s="3" t="s">
        <v>2661</v>
      </c>
      <c r="E625" s="3">
        <v>609874</v>
      </c>
      <c r="F625" s="3">
        <v>2</v>
      </c>
      <c r="G625" s="3" t="s">
        <v>2678</v>
      </c>
      <c r="H625" s="3" t="s">
        <v>20</v>
      </c>
      <c r="I625" s="4" t="s">
        <v>50</v>
      </c>
      <c r="J625" s="4" t="s">
        <v>51</v>
      </c>
      <c r="K625" s="4" t="s">
        <v>2668</v>
      </c>
      <c r="L625" s="4" t="s">
        <v>2679</v>
      </c>
      <c r="M625" s="4" t="s">
        <v>22</v>
      </c>
      <c r="N625" s="4" t="s">
        <v>23</v>
      </c>
      <c r="O625" s="4" t="s">
        <v>27</v>
      </c>
      <c r="P625" s="4" t="s">
        <v>28</v>
      </c>
      <c r="Q625" s="24">
        <v>36</v>
      </c>
      <c r="R625" s="25">
        <v>3</v>
      </c>
      <c r="S625" s="39">
        <v>0</v>
      </c>
      <c r="T625" s="7" t="s">
        <v>2910</v>
      </c>
      <c r="U625" s="7"/>
      <c r="V625" s="7" t="str">
        <f>+IF(U625="","",IF(U625="FINES",CONCATENATE("R",IF(OR(B625="16",B625="21",B625="22",B625="23"),"16212223",IF(OR(B625="15",B625="17",B625="24",B625="25"),"15172425",B625))),IF(U625="CEBAS","UNICO",IF(VALUE(B625)&lt;=11,"AMBA","INTERIOR"))))</f>
        <v/>
      </c>
      <c r="W625" s="38" t="str">
        <f>+IF(U625="","-",CONCATENATE(U625,"_",V625))</f>
        <v>-</v>
      </c>
      <c r="X625" s="42">
        <v>0.84</v>
      </c>
    </row>
    <row r="626" spans="1:24" ht="15" thickBot="1">
      <c r="A626" s="3" t="s">
        <v>2916</v>
      </c>
      <c r="B626" s="3" t="s">
        <v>817</v>
      </c>
      <c r="C626" s="3" t="s">
        <v>2080</v>
      </c>
      <c r="D626" s="3" t="s">
        <v>2081</v>
      </c>
      <c r="E626" s="3">
        <v>602059</v>
      </c>
      <c r="F626" s="3">
        <v>3</v>
      </c>
      <c r="G626" s="3" t="s">
        <v>2087</v>
      </c>
      <c r="H626" s="3" t="s">
        <v>20</v>
      </c>
      <c r="I626" s="4" t="s">
        <v>50</v>
      </c>
      <c r="J626" s="4" t="s">
        <v>51</v>
      </c>
      <c r="K626" s="4" t="s">
        <v>2085</v>
      </c>
      <c r="L626" s="4" t="s">
        <v>2088</v>
      </c>
      <c r="M626" s="4" t="s">
        <v>22</v>
      </c>
      <c r="N626" s="4" t="s">
        <v>23</v>
      </c>
      <c r="O626" s="4" t="s">
        <v>27</v>
      </c>
      <c r="P626" s="4" t="s">
        <v>28</v>
      </c>
      <c r="Q626" s="24">
        <v>37</v>
      </c>
      <c r="R626" s="25">
        <v>3</v>
      </c>
      <c r="S626" s="39">
        <v>0</v>
      </c>
      <c r="T626" s="7" t="s">
        <v>2910</v>
      </c>
      <c r="U626" s="7"/>
      <c r="V626" s="7" t="str">
        <f>+IF(U626="","",IF(U626="FINES",CONCATENATE("R",IF(OR(B626="16",B626="21",B626="22",B626="23"),"16212223",IF(OR(B626="15",B626="17",B626="24",B626="25"),"15172425",B626))),IF(U626="CEBAS","UNICO",IF(VALUE(B626)&lt;=11,"AMBA","INTERIOR"))))</f>
        <v/>
      </c>
      <c r="W626" s="38" t="str">
        <f>+IF(U626="","-",CONCATENATE(U626,"_",V626))</f>
        <v>-</v>
      </c>
      <c r="X626" s="42">
        <v>0.84399999999999997</v>
      </c>
    </row>
    <row r="627" spans="1:24" ht="15" thickBot="1">
      <c r="A627" s="5" t="s">
        <v>2916</v>
      </c>
      <c r="B627" s="5" t="s">
        <v>356</v>
      </c>
      <c r="C627" s="5" t="s">
        <v>1359</v>
      </c>
      <c r="D627" s="5" t="s">
        <v>1360</v>
      </c>
      <c r="E627" s="5">
        <v>602704</v>
      </c>
      <c r="F627" s="5">
        <v>4</v>
      </c>
      <c r="G627" s="5" t="s">
        <v>1390</v>
      </c>
      <c r="H627" s="5" t="s">
        <v>20</v>
      </c>
      <c r="I627" s="6" t="s">
        <v>50</v>
      </c>
      <c r="J627" s="6" t="s">
        <v>51</v>
      </c>
      <c r="K627" s="6" t="s">
        <v>1383</v>
      </c>
      <c r="L627" s="6" t="s">
        <v>1391</v>
      </c>
      <c r="M627" s="6" t="s">
        <v>22</v>
      </c>
      <c r="N627" s="6" t="s">
        <v>23</v>
      </c>
      <c r="O627" s="6" t="s">
        <v>27</v>
      </c>
      <c r="P627" s="6" t="s">
        <v>28</v>
      </c>
      <c r="Q627" s="22">
        <v>17</v>
      </c>
      <c r="R627" s="23">
        <v>1</v>
      </c>
      <c r="S627" s="39">
        <v>0</v>
      </c>
      <c r="T627" s="7" t="s">
        <v>2910</v>
      </c>
      <c r="U627" s="7"/>
      <c r="V627" s="7" t="str">
        <f>+IF(U627="","",IF(U627="FINES",CONCATENATE("R",IF(OR(B627="16",B627="21",B627="22",B627="23"),"16212223",IF(OR(B627="15",B627="17",B627="24",B627="25"),"15172425",B627))),IF(U627="CEBAS","UNICO",IF(VALUE(B627)&lt;=11,"AMBA","INTERIOR"))))</f>
        <v/>
      </c>
      <c r="W627" s="38" t="str">
        <f>+IF(U627="","-",CONCATENATE(U627,"_",V627))</f>
        <v>-</v>
      </c>
      <c r="X627" s="42">
        <v>0.84899999999999998</v>
      </c>
    </row>
    <row r="628" spans="1:24" ht="15" thickBot="1">
      <c r="A628" s="3" t="s">
        <v>2916</v>
      </c>
      <c r="B628" s="3" t="s">
        <v>257</v>
      </c>
      <c r="C628" s="3" t="s">
        <v>772</v>
      </c>
      <c r="D628" s="3" t="s">
        <v>773</v>
      </c>
      <c r="E628" s="3">
        <v>602617</v>
      </c>
      <c r="F628" s="3">
        <v>2</v>
      </c>
      <c r="G628" s="3" t="s">
        <v>782</v>
      </c>
      <c r="H628" s="3" t="s">
        <v>20</v>
      </c>
      <c r="I628" s="4" t="s">
        <v>50</v>
      </c>
      <c r="J628" s="4" t="s">
        <v>51</v>
      </c>
      <c r="K628" s="4" t="s">
        <v>780</v>
      </c>
      <c r="L628" s="4" t="s">
        <v>783</v>
      </c>
      <c r="M628" s="4" t="s">
        <v>22</v>
      </c>
      <c r="N628" s="4" t="s">
        <v>23</v>
      </c>
      <c r="O628" s="4" t="s">
        <v>27</v>
      </c>
      <c r="P628" s="4" t="s">
        <v>28</v>
      </c>
      <c r="Q628" s="24">
        <v>5</v>
      </c>
      <c r="R628" s="25">
        <v>1</v>
      </c>
      <c r="S628" s="39">
        <v>0</v>
      </c>
      <c r="T628" s="7" t="s">
        <v>2910</v>
      </c>
      <c r="U628" s="7"/>
      <c r="V628" s="7" t="str">
        <f>+IF(U628="","",IF(U628="FINES",CONCATENATE("R",IF(OR(B628="16",B628="21",B628="22",B628="23"),"16212223",IF(OR(B628="15",B628="17",B628="24",B628="25"),"15172425",B628))),IF(U628="CEBAS","UNICO",IF(VALUE(B628)&lt;=11,"AMBA","INTERIOR"))))</f>
        <v/>
      </c>
      <c r="W628" s="38" t="str">
        <f>+IF(U628="","-",CONCATENATE(U628,"_",V628))</f>
        <v>-</v>
      </c>
      <c r="X628" s="42">
        <v>0.85</v>
      </c>
    </row>
    <row r="629" spans="1:24" ht="15" thickBot="1">
      <c r="A629" s="5" t="s">
        <v>2916</v>
      </c>
      <c r="B629" s="5" t="s">
        <v>204</v>
      </c>
      <c r="C629" s="5" t="s">
        <v>1084</v>
      </c>
      <c r="D629" s="5" t="s">
        <v>1085</v>
      </c>
      <c r="E629" s="5">
        <v>609980</v>
      </c>
      <c r="F629" s="5">
        <v>1</v>
      </c>
      <c r="G629" s="5" t="s">
        <v>1094</v>
      </c>
      <c r="H629" s="5" t="s">
        <v>20</v>
      </c>
      <c r="I629" s="6" t="s">
        <v>50</v>
      </c>
      <c r="J629" s="6" t="s">
        <v>51</v>
      </c>
      <c r="K629" s="6" t="s">
        <v>1095</v>
      </c>
      <c r="L629" s="6" t="s">
        <v>783</v>
      </c>
      <c r="M629" s="6" t="s">
        <v>22</v>
      </c>
      <c r="N629" s="6" t="s">
        <v>23</v>
      </c>
      <c r="O629" s="6" t="s">
        <v>27</v>
      </c>
      <c r="P629" s="6" t="s">
        <v>28</v>
      </c>
      <c r="Q629" s="22">
        <v>24</v>
      </c>
      <c r="R629" s="23">
        <v>2</v>
      </c>
      <c r="S629" s="39">
        <v>0</v>
      </c>
      <c r="T629" s="7" t="s">
        <v>2910</v>
      </c>
      <c r="U629" s="7"/>
      <c r="V629" s="7" t="str">
        <f>+IF(U629="","",IF(U629="FINES",CONCATENATE("R",IF(OR(B629="16",B629="21",B629="22",B629="23"),"16212223",IF(OR(B629="15",B629="17",B629="24",B629="25"),"15172425",B629))),IF(U629="CEBAS","UNICO",IF(VALUE(B629)&lt;=11,"AMBA","INTERIOR"))))</f>
        <v/>
      </c>
      <c r="W629" s="38" t="str">
        <f>+IF(U629="","-",CONCATENATE(U629,"_",V629))</f>
        <v>-</v>
      </c>
      <c r="X629" s="42">
        <v>0.85</v>
      </c>
    </row>
    <row r="630" spans="1:24" ht="15" thickBot="1">
      <c r="A630" s="5" t="s">
        <v>2916</v>
      </c>
      <c r="B630" s="5" t="s">
        <v>356</v>
      </c>
      <c r="C630" s="5" t="s">
        <v>1359</v>
      </c>
      <c r="D630" s="5" t="s">
        <v>1360</v>
      </c>
      <c r="E630" s="5">
        <v>602704</v>
      </c>
      <c r="F630" s="5">
        <v>2</v>
      </c>
      <c r="G630" s="5" t="s">
        <v>1385</v>
      </c>
      <c r="H630" s="5" t="s">
        <v>20</v>
      </c>
      <c r="I630" s="6" t="s">
        <v>50</v>
      </c>
      <c r="J630" s="6" t="s">
        <v>51</v>
      </c>
      <c r="K630" s="6" t="s">
        <v>1383</v>
      </c>
      <c r="L630" s="6" t="s">
        <v>1386</v>
      </c>
      <c r="M630" s="6" t="s">
        <v>22</v>
      </c>
      <c r="N630" s="6" t="s">
        <v>23</v>
      </c>
      <c r="O630" s="6" t="s">
        <v>27</v>
      </c>
      <c r="P630" s="6" t="s">
        <v>28</v>
      </c>
      <c r="Q630" s="22">
        <v>43</v>
      </c>
      <c r="R630" s="23">
        <v>3</v>
      </c>
      <c r="S630" s="39">
        <v>0</v>
      </c>
      <c r="T630" s="7" t="s">
        <v>2910</v>
      </c>
      <c r="U630" s="7"/>
      <c r="V630" s="7" t="str">
        <f>+IF(U630="","",IF(U630="FINES",CONCATENATE("R",IF(OR(B630="16",B630="21",B630="22",B630="23"),"16212223",IF(OR(B630="15",B630="17",B630="24",B630="25"),"15172425",B630))),IF(U630="CEBAS","UNICO",IF(VALUE(B630)&lt;=11,"AMBA","INTERIOR"))))</f>
        <v/>
      </c>
      <c r="W630" s="38" t="str">
        <f>+IF(U630="","-",CONCATENATE(U630,"_",V630))</f>
        <v>-</v>
      </c>
      <c r="X630" s="42">
        <v>0.85199999999999998</v>
      </c>
    </row>
    <row r="631" spans="1:24" ht="15" thickBot="1">
      <c r="A631" s="3" t="s">
        <v>2916</v>
      </c>
      <c r="B631" s="3" t="s">
        <v>817</v>
      </c>
      <c r="C631" s="3" t="s">
        <v>2080</v>
      </c>
      <c r="D631" s="3" t="s">
        <v>2081</v>
      </c>
      <c r="E631" s="3">
        <v>613653</v>
      </c>
      <c r="F631" s="3">
        <v>2</v>
      </c>
      <c r="G631" s="3" t="s">
        <v>2096</v>
      </c>
      <c r="H631" s="3" t="s">
        <v>20</v>
      </c>
      <c r="I631" s="4" t="s">
        <v>50</v>
      </c>
      <c r="J631" s="4" t="s">
        <v>51</v>
      </c>
      <c r="K631" s="4" t="s">
        <v>2090</v>
      </c>
      <c r="L631" s="4" t="s">
        <v>2097</v>
      </c>
      <c r="M631" s="4" t="s">
        <v>22</v>
      </c>
      <c r="N631" s="4" t="s">
        <v>23</v>
      </c>
      <c r="O631" s="4" t="s">
        <v>27</v>
      </c>
      <c r="P631" s="4" t="s">
        <v>28</v>
      </c>
      <c r="Q631" s="24">
        <v>15</v>
      </c>
      <c r="R631" s="25">
        <v>1</v>
      </c>
      <c r="S631" s="39">
        <v>0</v>
      </c>
      <c r="T631" s="7" t="s">
        <v>2910</v>
      </c>
      <c r="U631" s="7"/>
      <c r="V631" s="7" t="str">
        <f>+IF(U631="","",IF(U631="FINES",CONCATENATE("R",IF(OR(B631="16",B631="21",B631="22",B631="23"),"16212223",IF(OR(B631="15",B631="17",B631="24",B631="25"),"15172425",B631))),IF(U631="CEBAS","UNICO",IF(VALUE(B631)&lt;=11,"AMBA","INTERIOR"))))</f>
        <v/>
      </c>
      <c r="W631" s="38" t="str">
        <f>+IF(U631="","-",CONCATENATE(U631,"_",V631))</f>
        <v>-</v>
      </c>
      <c r="X631" s="42">
        <v>0.85199999999999998</v>
      </c>
    </row>
    <row r="632" spans="1:24" ht="15" thickBot="1">
      <c r="A632" s="5" t="s">
        <v>2916</v>
      </c>
      <c r="B632" s="5" t="s">
        <v>220</v>
      </c>
      <c r="C632" s="5" t="s">
        <v>431</v>
      </c>
      <c r="D632" s="5" t="s">
        <v>1184</v>
      </c>
      <c r="E632" s="5">
        <v>601970</v>
      </c>
      <c r="F632" s="5">
        <v>0</v>
      </c>
      <c r="G632" s="5" t="s">
        <v>1186</v>
      </c>
      <c r="H632" s="5" t="s">
        <v>20</v>
      </c>
      <c r="I632" s="6" t="s">
        <v>50</v>
      </c>
      <c r="J632" s="6" t="s">
        <v>21</v>
      </c>
      <c r="K632" s="6"/>
      <c r="L632" s="6" t="s">
        <v>545</v>
      </c>
      <c r="M632" s="6" t="s">
        <v>22</v>
      </c>
      <c r="N632" s="6" t="s">
        <v>23</v>
      </c>
      <c r="O632" s="6" t="s">
        <v>27</v>
      </c>
      <c r="P632" s="6" t="s">
        <v>28</v>
      </c>
      <c r="Q632" s="22">
        <v>30</v>
      </c>
      <c r="R632" s="23">
        <v>3</v>
      </c>
      <c r="S632" s="39">
        <v>0</v>
      </c>
      <c r="T632" s="7" t="s">
        <v>2910</v>
      </c>
      <c r="U632" s="7"/>
      <c r="V632" s="7" t="str">
        <f>+IF(U632="","",IF(U632="FINES",CONCATENATE("R",IF(OR(B632="16",B632="21",B632="22",B632="23"),"16212223",IF(OR(B632="15",B632="17",B632="24",B632="25"),"15172425",B632))),IF(U632="CEBAS","UNICO",IF(VALUE(B632)&lt;=11,"AMBA","INTERIOR"))))</f>
        <v/>
      </c>
      <c r="W632" s="38" t="str">
        <f>+IF(U632="","-",CONCATENATE(U632,"_",V632))</f>
        <v>-</v>
      </c>
      <c r="X632" s="42">
        <v>0.85299999999999998</v>
      </c>
    </row>
    <row r="633" spans="1:24" ht="15" thickBot="1">
      <c r="A633" s="5" t="s">
        <v>2916</v>
      </c>
      <c r="B633" s="5" t="s">
        <v>410</v>
      </c>
      <c r="C633" s="5" t="s">
        <v>918</v>
      </c>
      <c r="D633" s="5" t="s">
        <v>919</v>
      </c>
      <c r="E633" s="5">
        <v>608716</v>
      </c>
      <c r="F633" s="5">
        <v>0</v>
      </c>
      <c r="G633" s="5" t="s">
        <v>921</v>
      </c>
      <c r="H633" s="5" t="s">
        <v>20</v>
      </c>
      <c r="I633" s="6" t="s">
        <v>50</v>
      </c>
      <c r="J633" s="6" t="s">
        <v>21</v>
      </c>
      <c r="K633" s="6"/>
      <c r="L633" s="6" t="s">
        <v>235</v>
      </c>
      <c r="M633" s="6" t="s">
        <v>200</v>
      </c>
      <c r="N633" s="6" t="s">
        <v>23</v>
      </c>
      <c r="O633" s="6" t="s">
        <v>27</v>
      </c>
      <c r="P633" s="6" t="s">
        <v>28</v>
      </c>
      <c r="Q633" s="22">
        <v>2</v>
      </c>
      <c r="R633" s="23">
        <v>1</v>
      </c>
      <c r="S633" s="39">
        <v>0</v>
      </c>
      <c r="T633" s="7" t="s">
        <v>2910</v>
      </c>
      <c r="U633" s="7"/>
      <c r="V633" s="7" t="str">
        <f>+IF(U633="","",IF(U633="FINES",CONCATENATE("R",IF(OR(B633="16",B633="21",B633="22",B633="23"),"16212223",IF(OR(B633="15",B633="17",B633="24",B633="25"),"15172425",B633))),IF(U633="CEBAS","UNICO",IF(VALUE(B633)&lt;=11,"AMBA","INTERIOR"))))</f>
        <v/>
      </c>
      <c r="W633" s="38" t="str">
        <f>+IF(U633="","-",CONCATENATE(U633,"_",V633))</f>
        <v>-</v>
      </c>
      <c r="X633" s="42">
        <v>0.85899999999999999</v>
      </c>
    </row>
    <row r="634" spans="1:24" ht="15" thickBot="1">
      <c r="A634" s="5" t="s">
        <v>2916</v>
      </c>
      <c r="B634" s="5" t="s">
        <v>140</v>
      </c>
      <c r="C634" s="5" t="s">
        <v>2322</v>
      </c>
      <c r="D634" s="5" t="s">
        <v>2323</v>
      </c>
      <c r="E634" s="5">
        <v>600156</v>
      </c>
      <c r="F634" s="5">
        <v>0</v>
      </c>
      <c r="G634" s="5" t="s">
        <v>2331</v>
      </c>
      <c r="H634" s="5" t="s">
        <v>20</v>
      </c>
      <c r="I634" s="6" t="s">
        <v>50</v>
      </c>
      <c r="J634" s="6" t="s">
        <v>21</v>
      </c>
      <c r="K634" s="6"/>
      <c r="L634" s="6" t="s">
        <v>2013</v>
      </c>
      <c r="M634" s="6" t="s">
        <v>200</v>
      </c>
      <c r="N634" s="6" t="s">
        <v>23</v>
      </c>
      <c r="O634" s="6" t="s">
        <v>27</v>
      </c>
      <c r="P634" s="6" t="s">
        <v>28</v>
      </c>
      <c r="Q634" s="22">
        <v>8</v>
      </c>
      <c r="R634" s="23">
        <v>1</v>
      </c>
      <c r="S634" s="39">
        <v>0</v>
      </c>
      <c r="T634" s="7" t="s">
        <v>2910</v>
      </c>
      <c r="U634" s="7"/>
      <c r="V634" s="7" t="str">
        <f>+IF(U634="","",IF(U634="FINES",CONCATENATE("R",IF(OR(B634="16",B634="21",B634="22",B634="23"),"16212223",IF(OR(B634="15",B634="17",B634="24",B634="25"),"15172425",B634))),IF(U634="CEBAS","UNICO",IF(VALUE(B634)&lt;=11,"AMBA","INTERIOR"))))</f>
        <v/>
      </c>
      <c r="W634" s="38" t="str">
        <f>+IF(U634="","-",CONCATENATE(U634,"_",V634))</f>
        <v>-</v>
      </c>
      <c r="X634" s="42">
        <v>0.86</v>
      </c>
    </row>
    <row r="635" spans="1:24" ht="15" thickBot="1">
      <c r="A635" s="5" t="s">
        <v>2916</v>
      </c>
      <c r="B635" s="5" t="s">
        <v>205</v>
      </c>
      <c r="C635" s="5" t="s">
        <v>1946</v>
      </c>
      <c r="D635" s="5" t="s">
        <v>1947</v>
      </c>
      <c r="E635" s="5">
        <v>606287</v>
      </c>
      <c r="F635" s="5">
        <v>0</v>
      </c>
      <c r="G635" s="5" t="s">
        <v>1948</v>
      </c>
      <c r="H635" s="5" t="s">
        <v>20</v>
      </c>
      <c r="I635" s="6" t="s">
        <v>50</v>
      </c>
      <c r="J635" s="6" t="s">
        <v>21</v>
      </c>
      <c r="K635" s="6"/>
      <c r="L635" s="6" t="s">
        <v>235</v>
      </c>
      <c r="M635" s="6" t="s">
        <v>200</v>
      </c>
      <c r="N635" s="6" t="s">
        <v>23</v>
      </c>
      <c r="O635" s="6" t="s">
        <v>27</v>
      </c>
      <c r="P635" s="6" t="s">
        <v>28</v>
      </c>
      <c r="Q635" s="22">
        <v>6</v>
      </c>
      <c r="R635" s="23">
        <v>1</v>
      </c>
      <c r="S635" s="39">
        <v>0</v>
      </c>
      <c r="T635" s="7" t="s">
        <v>2910</v>
      </c>
      <c r="U635" s="7"/>
      <c r="V635" s="7" t="str">
        <f>+IF(U635="","",IF(U635="FINES",CONCATENATE("R",IF(OR(B635="16",B635="21",B635="22",B635="23"),"16212223",IF(OR(B635="15",B635="17",B635="24",B635="25"),"15172425",B635))),IF(U635="CEBAS","UNICO",IF(VALUE(B635)&lt;=11,"AMBA","INTERIOR"))))</f>
        <v/>
      </c>
      <c r="W635" s="38" t="str">
        <f>+IF(U635="","-",CONCATENATE(U635,"_",V635))</f>
        <v>-</v>
      </c>
      <c r="X635" s="42">
        <v>0.86</v>
      </c>
    </row>
    <row r="636" spans="1:24" ht="15" thickBot="1">
      <c r="A636" s="3" t="s">
        <v>2916</v>
      </c>
      <c r="B636" s="3" t="s">
        <v>1860</v>
      </c>
      <c r="C636" s="3" t="s">
        <v>1858</v>
      </c>
      <c r="D636" s="3" t="s">
        <v>1859</v>
      </c>
      <c r="E636" s="3">
        <v>613639</v>
      </c>
      <c r="F636" s="3">
        <v>2</v>
      </c>
      <c r="G636" s="3" t="s">
        <v>1880</v>
      </c>
      <c r="H636" s="3" t="s">
        <v>20</v>
      </c>
      <c r="I636" s="4" t="s">
        <v>50</v>
      </c>
      <c r="J636" s="4" t="s">
        <v>51</v>
      </c>
      <c r="K636" s="4" t="s">
        <v>1872</v>
      </c>
      <c r="L636" s="4" t="s">
        <v>1881</v>
      </c>
      <c r="M636" s="4" t="s">
        <v>22</v>
      </c>
      <c r="N636" s="4" t="s">
        <v>23</v>
      </c>
      <c r="O636" s="4" t="s">
        <v>27</v>
      </c>
      <c r="P636" s="4" t="s">
        <v>28</v>
      </c>
      <c r="Q636" s="24">
        <v>59</v>
      </c>
      <c r="R636" s="25">
        <v>4</v>
      </c>
      <c r="S636" s="39">
        <v>0</v>
      </c>
      <c r="T636" s="7" t="s">
        <v>2910</v>
      </c>
      <c r="U636" s="7"/>
      <c r="V636" s="7" t="str">
        <f>+IF(U636="","",IF(U636="FINES",CONCATENATE("R",IF(OR(B636="16",B636="21",B636="22",B636="23"),"16212223",IF(OR(B636="15",B636="17",B636="24",B636="25"),"15172425",B636))),IF(U636="CEBAS","UNICO",IF(VALUE(B636)&lt;=11,"AMBA","INTERIOR"))))</f>
        <v/>
      </c>
      <c r="W636" s="38" t="str">
        <f>+IF(U636="","-",CONCATENATE(U636,"_",V636))</f>
        <v>-</v>
      </c>
      <c r="X636" s="42">
        <v>0.86199999999999999</v>
      </c>
    </row>
    <row r="637" spans="1:24" ht="15" thickBot="1">
      <c r="A637" s="3" t="s">
        <v>2916</v>
      </c>
      <c r="B637" s="3" t="s">
        <v>225</v>
      </c>
      <c r="C637" s="3" t="s">
        <v>942</v>
      </c>
      <c r="D637" s="3" t="s">
        <v>943</v>
      </c>
      <c r="E637" s="3">
        <v>603194</v>
      </c>
      <c r="F637" s="3">
        <v>1</v>
      </c>
      <c r="G637" s="3" t="s">
        <v>958</v>
      </c>
      <c r="H637" s="3" t="s">
        <v>20</v>
      </c>
      <c r="I637" s="4" t="s">
        <v>50</v>
      </c>
      <c r="J637" s="4" t="s">
        <v>51</v>
      </c>
      <c r="K637" s="4" t="s">
        <v>959</v>
      </c>
      <c r="L637" s="4" t="s">
        <v>960</v>
      </c>
      <c r="M637" s="4" t="s">
        <v>22</v>
      </c>
      <c r="N637" s="4" t="s">
        <v>23</v>
      </c>
      <c r="O637" s="4" t="s">
        <v>27</v>
      </c>
      <c r="P637" s="4" t="s">
        <v>28</v>
      </c>
      <c r="Q637" s="24">
        <v>21</v>
      </c>
      <c r="R637" s="25">
        <v>2</v>
      </c>
      <c r="S637" s="39">
        <v>0</v>
      </c>
      <c r="T637" s="7" t="s">
        <v>2910</v>
      </c>
      <c r="V637" s="7" t="str">
        <f>+IF(U637="","",IF(U637="FINES",CONCATENATE("R",IF(OR(B637="16",B637="21",B637="22",B637="23"),"16212223",IF(OR(B637="15",B637="17",B637="24",B637="25"),"15172425",B637))),IF(U637="CEBAS","UNICO",IF(VALUE(B637)&lt;=11,"AMBA","INTERIOR"))))</f>
        <v/>
      </c>
      <c r="W637" s="38" t="str">
        <f>+IF(U637="","-",CONCATENATE(U637,"_",V637))</f>
        <v>-</v>
      </c>
      <c r="X637" s="42">
        <v>0.86399999999999999</v>
      </c>
    </row>
    <row r="638" spans="1:24" ht="15" thickBot="1">
      <c r="A638" s="5" t="s">
        <v>2916</v>
      </c>
      <c r="B638" s="5" t="s">
        <v>257</v>
      </c>
      <c r="C638" s="5" t="s">
        <v>2337</v>
      </c>
      <c r="D638" s="5" t="s">
        <v>2338</v>
      </c>
      <c r="E638" s="5">
        <v>600081</v>
      </c>
      <c r="F638" s="5">
        <v>0</v>
      </c>
      <c r="G638" s="5" t="s">
        <v>2342</v>
      </c>
      <c r="H638" s="5" t="s">
        <v>20</v>
      </c>
      <c r="I638" s="6" t="s">
        <v>50</v>
      </c>
      <c r="J638" s="6" t="s">
        <v>21</v>
      </c>
      <c r="K638" s="6"/>
      <c r="L638" s="6" t="s">
        <v>672</v>
      </c>
      <c r="M638" s="6" t="s">
        <v>22</v>
      </c>
      <c r="N638" s="6" t="s">
        <v>23</v>
      </c>
      <c r="O638" s="6" t="s">
        <v>27</v>
      </c>
      <c r="P638" s="6" t="s">
        <v>28</v>
      </c>
      <c r="Q638" s="22">
        <v>39</v>
      </c>
      <c r="R638" s="23">
        <v>4</v>
      </c>
      <c r="S638" s="39">
        <v>0</v>
      </c>
      <c r="T638" s="7" t="s">
        <v>2910</v>
      </c>
      <c r="V638" s="7" t="str">
        <f>+IF(U638="","",IF(U638="FINES",CONCATENATE("R",IF(OR(B638="16",B638="21",B638="22",B638="23"),"16212223",IF(OR(B638="15",B638="17",B638="24",B638="25"),"15172425",B638))),IF(U638="CEBAS","UNICO",IF(VALUE(B638)&lt;=11,"AMBA","INTERIOR"))))</f>
        <v/>
      </c>
      <c r="W638" s="38" t="str">
        <f>+IF(U638="","-",CONCATENATE(U638,"_",V638))</f>
        <v>-</v>
      </c>
      <c r="X638" s="42">
        <v>0.86399999999999999</v>
      </c>
    </row>
    <row r="639" spans="1:24" ht="15" thickBot="1">
      <c r="A639" s="3" t="s">
        <v>2916</v>
      </c>
      <c r="B639" s="3" t="s">
        <v>19</v>
      </c>
      <c r="C639" s="3" t="s">
        <v>17</v>
      </c>
      <c r="D639" s="3" t="s">
        <v>18</v>
      </c>
      <c r="E639" s="3">
        <v>616116</v>
      </c>
      <c r="F639" s="3">
        <v>0</v>
      </c>
      <c r="G639" s="3" t="s">
        <v>33</v>
      </c>
      <c r="H639" s="3" t="s">
        <v>20</v>
      </c>
      <c r="I639" s="4" t="s">
        <v>25</v>
      </c>
      <c r="J639" s="4" t="s">
        <v>21</v>
      </c>
      <c r="K639" s="4"/>
      <c r="L639" s="4" t="s">
        <v>34</v>
      </c>
      <c r="M639" s="4" t="s">
        <v>22</v>
      </c>
      <c r="N639" s="4" t="s">
        <v>23</v>
      </c>
      <c r="O639" s="4" t="s">
        <v>27</v>
      </c>
      <c r="P639" s="4" t="s">
        <v>28</v>
      </c>
      <c r="Q639" s="24">
        <v>21</v>
      </c>
      <c r="R639" s="25">
        <v>2</v>
      </c>
      <c r="S639" s="39">
        <v>0</v>
      </c>
      <c r="T639" s="7" t="s">
        <v>2910</v>
      </c>
      <c r="U639" s="7"/>
      <c r="V639" s="7" t="str">
        <f>+IF(U639="","",IF(U639="FINES",CONCATENATE("R",IF(OR(B639="16",B639="21",B639="22",B639="23"),"16212223",IF(OR(B639="15",B639="17",B639="24",B639="25"),"15172425",B639))),IF(U639="CEBAS","UNICO",IF(VALUE(B639)&lt;=11,"AMBA","INTERIOR"))))</f>
        <v/>
      </c>
      <c r="W639" s="38" t="str">
        <f>+IF(U639="","-",CONCATENATE(U639,"_",V639))</f>
        <v>-</v>
      </c>
      <c r="X639" s="42">
        <v>0.86599999999999999</v>
      </c>
    </row>
    <row r="640" spans="1:24" ht="15" thickBot="1">
      <c r="A640" s="3" t="s">
        <v>2916</v>
      </c>
      <c r="B640" s="3" t="s">
        <v>1532</v>
      </c>
      <c r="C640" s="3" t="s">
        <v>1530</v>
      </c>
      <c r="D640" s="3" t="s">
        <v>1531</v>
      </c>
      <c r="E640" s="3">
        <v>621713</v>
      </c>
      <c r="F640" s="3">
        <v>0</v>
      </c>
      <c r="G640" s="3" t="s">
        <v>1636</v>
      </c>
      <c r="H640" s="3" t="s">
        <v>20</v>
      </c>
      <c r="I640" s="4" t="s">
        <v>50</v>
      </c>
      <c r="J640" s="4" t="s">
        <v>21</v>
      </c>
      <c r="K640" s="4"/>
      <c r="L640" s="4" t="s">
        <v>1637</v>
      </c>
      <c r="M640" s="4" t="s">
        <v>199</v>
      </c>
      <c r="N640" s="4" t="s">
        <v>23</v>
      </c>
      <c r="O640" s="4" t="s">
        <v>27</v>
      </c>
      <c r="P640" s="4" t="s">
        <v>28</v>
      </c>
      <c r="Q640" s="24">
        <v>14</v>
      </c>
      <c r="R640" s="25">
        <v>1</v>
      </c>
      <c r="S640" s="39">
        <v>0</v>
      </c>
      <c r="T640" s="7" t="s">
        <v>2910</v>
      </c>
      <c r="U640" s="7"/>
      <c r="V640" s="7" t="str">
        <f>+IF(U640="","",IF(U640="FINES",CONCATENATE("R",IF(OR(B640="16",B640="21",B640="22",B640="23"),"16212223",IF(OR(B640="15",B640="17",B640="24",B640="25"),"15172425",B640))),IF(U640="CEBAS","UNICO",IF(VALUE(B640)&lt;=11,"AMBA","INTERIOR"))))</f>
        <v/>
      </c>
      <c r="W640" s="38" t="str">
        <f>+IF(U640="","-",CONCATENATE(U640,"_",V640))</f>
        <v>-</v>
      </c>
      <c r="X640" s="42">
        <v>0.86599999999999999</v>
      </c>
    </row>
    <row r="641" spans="1:24" ht="15" thickBot="1">
      <c r="A641" s="3" t="s">
        <v>2916</v>
      </c>
      <c r="B641" s="3" t="s">
        <v>598</v>
      </c>
      <c r="C641" s="3" t="s">
        <v>709</v>
      </c>
      <c r="D641" s="3" t="s">
        <v>710</v>
      </c>
      <c r="E641" s="3">
        <v>600624</v>
      </c>
      <c r="F641" s="3">
        <v>0</v>
      </c>
      <c r="G641" s="3" t="s">
        <v>711</v>
      </c>
      <c r="H641" s="3" t="s">
        <v>20</v>
      </c>
      <c r="I641" s="4" t="s">
        <v>50</v>
      </c>
      <c r="J641" s="4" t="s">
        <v>21</v>
      </c>
      <c r="K641" s="4"/>
      <c r="L641" s="4" t="s">
        <v>235</v>
      </c>
      <c r="M641" s="4" t="s">
        <v>200</v>
      </c>
      <c r="N641" s="4" t="s">
        <v>23</v>
      </c>
      <c r="O641" s="4" t="s">
        <v>27</v>
      </c>
      <c r="P641" s="4" t="s">
        <v>28</v>
      </c>
      <c r="Q641" s="24">
        <v>6</v>
      </c>
      <c r="R641" s="25">
        <v>1</v>
      </c>
      <c r="S641" s="39">
        <v>0</v>
      </c>
      <c r="T641" s="7" t="s">
        <v>2910</v>
      </c>
      <c r="V641" s="7" t="str">
        <f>+IF(U641="","",IF(U641="FINES",CONCATENATE("R",IF(OR(B641="16",B641="21",B641="22",B641="23"),"16212223",IF(OR(B641="15",B641="17",B641="24",B641="25"),"15172425",B641))),IF(U641="CEBAS","UNICO",IF(VALUE(B641)&lt;=11,"AMBA","INTERIOR"))))</f>
        <v/>
      </c>
      <c r="W641" s="38" t="str">
        <f>+IF(U641="","-",CONCATENATE(U641,"_",V641))</f>
        <v>-</v>
      </c>
      <c r="X641" s="42">
        <v>0.86699999999999999</v>
      </c>
    </row>
    <row r="642" spans="1:24" ht="15" thickBot="1">
      <c r="A642" s="5" t="s">
        <v>2916</v>
      </c>
      <c r="B642" s="5" t="s">
        <v>222</v>
      </c>
      <c r="C642" s="5" t="s">
        <v>610</v>
      </c>
      <c r="D642" s="5" t="s">
        <v>611</v>
      </c>
      <c r="E642" s="5">
        <v>605903</v>
      </c>
      <c r="F642" s="5">
        <v>2</v>
      </c>
      <c r="G642" s="5" t="s">
        <v>618</v>
      </c>
      <c r="H642" s="5" t="s">
        <v>20</v>
      </c>
      <c r="I642" s="6" t="s">
        <v>50</v>
      </c>
      <c r="J642" s="6" t="s">
        <v>51</v>
      </c>
      <c r="K642" s="6" t="s">
        <v>616</v>
      </c>
      <c r="L642" s="6" t="s">
        <v>619</v>
      </c>
      <c r="M642" s="6" t="s">
        <v>22</v>
      </c>
      <c r="N642" s="6" t="s">
        <v>23</v>
      </c>
      <c r="O642" s="6" t="s">
        <v>27</v>
      </c>
      <c r="P642" s="6" t="s">
        <v>28</v>
      </c>
      <c r="Q642" s="22">
        <v>35</v>
      </c>
      <c r="R642" s="23">
        <v>3</v>
      </c>
      <c r="S642" s="39">
        <v>0</v>
      </c>
      <c r="T642" s="7" t="s">
        <v>2910</v>
      </c>
      <c r="U642" s="7"/>
      <c r="V642" s="7" t="str">
        <f>+IF(U642="","",IF(U642="FINES",CONCATENATE("R",IF(OR(B642="16",B642="21",B642="22",B642="23"),"16212223",IF(OR(B642="15",B642="17",B642="24",B642="25"),"15172425",B642))),IF(U642="CEBAS","UNICO",IF(VALUE(B642)&lt;=11,"AMBA","INTERIOR"))))</f>
        <v/>
      </c>
      <c r="W642" s="38" t="str">
        <f>+IF(U642="","-",CONCATENATE(U642,"_",V642))</f>
        <v>-</v>
      </c>
      <c r="X642" s="42">
        <v>0.86799999999999999</v>
      </c>
    </row>
    <row r="643" spans="1:24" ht="15" thickBot="1">
      <c r="A643" s="3" t="s">
        <v>2916</v>
      </c>
      <c r="B643" s="3" t="s">
        <v>1532</v>
      </c>
      <c r="C643" s="3" t="s">
        <v>1530</v>
      </c>
      <c r="D643" s="3" t="s">
        <v>1531</v>
      </c>
      <c r="E643" s="3">
        <v>608014</v>
      </c>
      <c r="F643" s="3">
        <v>1</v>
      </c>
      <c r="G643" s="3" t="s">
        <v>1574</v>
      </c>
      <c r="H643" s="3" t="s">
        <v>20</v>
      </c>
      <c r="I643" s="4" t="s">
        <v>50</v>
      </c>
      <c r="J643" s="4" t="s">
        <v>51</v>
      </c>
      <c r="K643" s="4" t="s">
        <v>1575</v>
      </c>
      <c r="L643" s="4" t="s">
        <v>1576</v>
      </c>
      <c r="M643" s="4" t="s">
        <v>22</v>
      </c>
      <c r="N643" s="4" t="s">
        <v>23</v>
      </c>
      <c r="O643" s="4" t="s">
        <v>27</v>
      </c>
      <c r="P643" s="4" t="s">
        <v>28</v>
      </c>
      <c r="Q643" s="24">
        <v>45</v>
      </c>
      <c r="R643" s="25">
        <v>3</v>
      </c>
      <c r="S643" s="39">
        <v>0</v>
      </c>
      <c r="T643" s="7" t="s">
        <v>2910</v>
      </c>
      <c r="U643" s="7"/>
      <c r="V643" s="7" t="str">
        <f>+IF(U643="","",IF(U643="FINES",CONCATENATE("R",IF(OR(B643="16",B643="21",B643="22",B643="23"),"16212223",IF(OR(B643="15",B643="17",B643="24",B643="25"),"15172425",B643))),IF(U643="CEBAS","UNICO",IF(VALUE(B643)&lt;=11,"AMBA","INTERIOR"))))</f>
        <v/>
      </c>
      <c r="W643" s="38" t="str">
        <f>+IF(U643="","-",CONCATENATE(U643,"_",V643))</f>
        <v>-</v>
      </c>
      <c r="X643" s="42">
        <v>0.86799999999999999</v>
      </c>
    </row>
    <row r="644" spans="1:24" ht="15" thickBot="1">
      <c r="A644" s="5" t="s">
        <v>2916</v>
      </c>
      <c r="B644" s="5" t="s">
        <v>1780</v>
      </c>
      <c r="C644" s="5" t="s">
        <v>1248</v>
      </c>
      <c r="D644" s="5" t="s">
        <v>2348</v>
      </c>
      <c r="E644" s="5">
        <v>610729</v>
      </c>
      <c r="F644" s="5">
        <v>3</v>
      </c>
      <c r="G644" s="5" t="s">
        <v>2361</v>
      </c>
      <c r="H644" s="5" t="s">
        <v>20</v>
      </c>
      <c r="I644" s="6" t="s">
        <v>50</v>
      </c>
      <c r="J644" s="6" t="s">
        <v>51</v>
      </c>
      <c r="K644" s="6" t="s">
        <v>2357</v>
      </c>
      <c r="L644" s="6" t="s">
        <v>471</v>
      </c>
      <c r="M644" s="6" t="s">
        <v>22</v>
      </c>
      <c r="N644" s="6" t="s">
        <v>23</v>
      </c>
      <c r="O644" s="6" t="s">
        <v>27</v>
      </c>
      <c r="P644" s="6" t="s">
        <v>28</v>
      </c>
      <c r="Q644" s="22">
        <v>13</v>
      </c>
      <c r="R644" s="23">
        <v>1</v>
      </c>
      <c r="S644" s="39">
        <v>0</v>
      </c>
      <c r="T644" s="7" t="s">
        <v>2910</v>
      </c>
      <c r="U644" s="7"/>
      <c r="V644" s="7" t="str">
        <f>+IF(U644="","",IF(U644="FINES",CONCATENATE("R",IF(OR(B644="16",B644="21",B644="22",B644="23"),"16212223",IF(OR(B644="15",B644="17",B644="24",B644="25"),"15172425",B644))),IF(U644="CEBAS","UNICO",IF(VALUE(B644)&lt;=11,"AMBA","INTERIOR"))))</f>
        <v/>
      </c>
      <c r="W644" s="38" t="str">
        <f>+IF(U644="","-",CONCATENATE(U644,"_",V644))</f>
        <v>-</v>
      </c>
      <c r="X644" s="42">
        <v>0.86899999999999999</v>
      </c>
    </row>
    <row r="645" spans="1:24" ht="15" thickBot="1">
      <c r="A645" s="3" t="s">
        <v>2916</v>
      </c>
      <c r="B645" s="3" t="s">
        <v>222</v>
      </c>
      <c r="C645" s="3" t="s">
        <v>610</v>
      </c>
      <c r="D645" s="3" t="s">
        <v>611</v>
      </c>
      <c r="E645" s="3">
        <v>605809</v>
      </c>
      <c r="F645" s="3">
        <v>3</v>
      </c>
      <c r="G645" s="3" t="s">
        <v>624</v>
      </c>
      <c r="H645" s="3" t="s">
        <v>20</v>
      </c>
      <c r="I645" s="4" t="s">
        <v>50</v>
      </c>
      <c r="J645" s="4" t="s">
        <v>51</v>
      </c>
      <c r="K645" s="4" t="s">
        <v>613</v>
      </c>
      <c r="L645" s="4" t="s">
        <v>625</v>
      </c>
      <c r="M645" s="4" t="s">
        <v>22</v>
      </c>
      <c r="N645" s="4" t="s">
        <v>23</v>
      </c>
      <c r="O645" s="4" t="s">
        <v>27</v>
      </c>
      <c r="P645" s="4" t="s">
        <v>28</v>
      </c>
      <c r="Q645" s="24">
        <v>22</v>
      </c>
      <c r="R645" s="25">
        <v>2</v>
      </c>
      <c r="S645" s="39">
        <v>0</v>
      </c>
      <c r="T645" s="7" t="s">
        <v>2910</v>
      </c>
      <c r="V645" s="7" t="str">
        <f>+IF(U645="","",IF(U645="FINES",CONCATENATE("R",IF(OR(B645="16",B645="21",B645="22",B645="23"),"16212223",IF(OR(B645="15",B645="17",B645="24",B645="25"),"15172425",B645))),IF(U645="CEBAS","UNICO",IF(VALUE(B645)&lt;=11,"AMBA","INTERIOR"))))</f>
        <v/>
      </c>
      <c r="W645" s="38" t="str">
        <f>+IF(U645="","-",CONCATENATE(U645,"_",V645))</f>
        <v>-</v>
      </c>
      <c r="X645" s="42">
        <v>0.87</v>
      </c>
    </row>
    <row r="646" spans="1:24" ht="15" thickBot="1">
      <c r="A646" s="3" t="s">
        <v>2916</v>
      </c>
      <c r="B646" s="3" t="s">
        <v>817</v>
      </c>
      <c r="C646" s="3" t="s">
        <v>2080</v>
      </c>
      <c r="D646" s="3" t="s">
        <v>2081</v>
      </c>
      <c r="E646" s="3">
        <v>602059</v>
      </c>
      <c r="F646" s="3">
        <v>2</v>
      </c>
      <c r="G646" s="3" t="s">
        <v>2121</v>
      </c>
      <c r="H646" s="3" t="s">
        <v>20</v>
      </c>
      <c r="I646" s="4" t="s">
        <v>50</v>
      </c>
      <c r="J646" s="4" t="s">
        <v>51</v>
      </c>
      <c r="K646" s="4" t="s">
        <v>2085</v>
      </c>
      <c r="L646" s="4" t="s">
        <v>2122</v>
      </c>
      <c r="M646" s="4" t="s">
        <v>22</v>
      </c>
      <c r="N646" s="4" t="s">
        <v>23</v>
      </c>
      <c r="O646" s="4" t="s">
        <v>27</v>
      </c>
      <c r="P646" s="4" t="s">
        <v>28</v>
      </c>
      <c r="Q646" s="24">
        <v>26</v>
      </c>
      <c r="R646" s="25">
        <v>2</v>
      </c>
      <c r="S646" s="39">
        <v>0</v>
      </c>
      <c r="T646" s="7" t="s">
        <v>2910</v>
      </c>
      <c r="V646" s="7" t="str">
        <f>+IF(U646="","",IF(U646="FINES",CONCATENATE("R",IF(OR(B646="16",B646="21",B646="22",B646="23"),"16212223",IF(OR(B646="15",B646="17",B646="24",B646="25"),"15172425",B646))),IF(U646="CEBAS","UNICO",IF(VALUE(B646)&lt;=11,"AMBA","INTERIOR"))))</f>
        <v/>
      </c>
      <c r="W646" s="38" t="str">
        <f>+IF(U646="","-",CONCATENATE(U646,"_",V646))</f>
        <v>-</v>
      </c>
      <c r="X646" s="42">
        <v>0.87</v>
      </c>
    </row>
    <row r="647" spans="1:24" ht="15" thickBot="1">
      <c r="A647" s="3" t="s">
        <v>2916</v>
      </c>
      <c r="B647" s="3" t="s">
        <v>140</v>
      </c>
      <c r="C647" s="3" t="s">
        <v>539</v>
      </c>
      <c r="D647" s="3" t="s">
        <v>541</v>
      </c>
      <c r="E647" s="3">
        <v>611686</v>
      </c>
      <c r="F647" s="3">
        <v>0</v>
      </c>
      <c r="G647" s="3" t="s">
        <v>556</v>
      </c>
      <c r="H647" s="3" t="s">
        <v>210</v>
      </c>
      <c r="I647" s="4" t="s">
        <v>142</v>
      </c>
      <c r="J647" s="4" t="s">
        <v>21</v>
      </c>
      <c r="K647" s="4"/>
      <c r="L647" s="4" t="s">
        <v>557</v>
      </c>
      <c r="M647" s="4" t="s">
        <v>22</v>
      </c>
      <c r="N647" s="4" t="s">
        <v>23</v>
      </c>
      <c r="O647" s="4" t="s">
        <v>27</v>
      </c>
      <c r="P647" s="4" t="s">
        <v>144</v>
      </c>
      <c r="Q647" s="24">
        <v>43</v>
      </c>
      <c r="R647" s="25">
        <v>3</v>
      </c>
      <c r="S647" s="39">
        <v>0</v>
      </c>
      <c r="T647" s="7" t="s">
        <v>2909</v>
      </c>
      <c r="V647" s="7" t="str">
        <f>+IF(U647="","",IF(U647="FINES",CONCATENATE("R",IF(OR(B647="16",B647="21",B647="22",B647="23"),"16212223",IF(OR(B647="15",B647="17",B647="24",B647="25"),"15172425",B647))),IF(U647="CEBAS","UNICO",IF(VALUE(B647)&lt;=11,"AMBA","INTERIOR"))))</f>
        <v/>
      </c>
      <c r="W647" s="38" t="str">
        <f>+IF(U647="","-",CONCATENATE(U647,"_",V647))</f>
        <v>-</v>
      </c>
      <c r="X647" s="42">
        <v>0.871</v>
      </c>
    </row>
    <row r="648" spans="1:24" ht="15" thickBot="1">
      <c r="A648" s="3" t="s">
        <v>2916</v>
      </c>
      <c r="B648" s="3" t="s">
        <v>1257</v>
      </c>
      <c r="C648" s="3" t="s">
        <v>2237</v>
      </c>
      <c r="D648" s="3" t="s">
        <v>2238</v>
      </c>
      <c r="E648" s="3">
        <v>612075</v>
      </c>
      <c r="F648" s="3">
        <v>1</v>
      </c>
      <c r="G648" s="3" t="s">
        <v>2247</v>
      </c>
      <c r="H648" s="3" t="s">
        <v>20</v>
      </c>
      <c r="I648" s="4" t="s">
        <v>50</v>
      </c>
      <c r="J648" s="4" t="s">
        <v>51</v>
      </c>
      <c r="K648" s="4" t="s">
        <v>2248</v>
      </c>
      <c r="L648" s="4" t="s">
        <v>765</v>
      </c>
      <c r="M648" s="4" t="s">
        <v>22</v>
      </c>
      <c r="N648" s="4" t="s">
        <v>23</v>
      </c>
      <c r="O648" s="4" t="s">
        <v>27</v>
      </c>
      <c r="P648" s="4" t="s">
        <v>28</v>
      </c>
      <c r="Q648" s="24">
        <v>29</v>
      </c>
      <c r="R648" s="25">
        <v>2</v>
      </c>
      <c r="S648" s="39">
        <v>0</v>
      </c>
      <c r="T648" s="7" t="s">
        <v>2910</v>
      </c>
      <c r="V648" s="7" t="str">
        <f>+IF(U648="","",IF(U648="FINES",CONCATENATE("R",IF(OR(B648="16",B648="21",B648="22",B648="23"),"16212223",IF(OR(B648="15",B648="17",B648="24",B648="25"),"15172425",B648))),IF(U648="CEBAS","UNICO",IF(VALUE(B648)&lt;=11,"AMBA","INTERIOR"))))</f>
        <v/>
      </c>
      <c r="W648" s="38" t="str">
        <f>+IF(U648="","-",CONCATENATE(U648,"_",V648))</f>
        <v>-</v>
      </c>
      <c r="X648" s="42">
        <v>0.871</v>
      </c>
    </row>
    <row r="649" spans="1:24" ht="15" thickBot="1">
      <c r="A649" s="5" t="s">
        <v>2916</v>
      </c>
      <c r="B649" s="5" t="s">
        <v>140</v>
      </c>
      <c r="C649" s="5" t="s">
        <v>412</v>
      </c>
      <c r="D649" s="5" t="s">
        <v>2714</v>
      </c>
      <c r="E649" s="5">
        <v>602167</v>
      </c>
      <c r="F649" s="5">
        <v>0</v>
      </c>
      <c r="G649" s="5" t="s">
        <v>2715</v>
      </c>
      <c r="H649" s="5" t="s">
        <v>20</v>
      </c>
      <c r="I649" s="6" t="s">
        <v>50</v>
      </c>
      <c r="J649" s="6" t="s">
        <v>21</v>
      </c>
      <c r="K649" s="6"/>
      <c r="L649" s="6" t="s">
        <v>543</v>
      </c>
      <c r="M649" s="6" t="s">
        <v>22</v>
      </c>
      <c r="N649" s="6" t="s">
        <v>23</v>
      </c>
      <c r="O649" s="6" t="s">
        <v>27</v>
      </c>
      <c r="P649" s="6" t="s">
        <v>28</v>
      </c>
      <c r="Q649" s="22">
        <v>47</v>
      </c>
      <c r="R649" s="23">
        <v>4</v>
      </c>
      <c r="S649" s="39">
        <v>0</v>
      </c>
      <c r="T649" s="7" t="s">
        <v>2910</v>
      </c>
      <c r="U649" s="7"/>
      <c r="V649" s="7" t="str">
        <f>+IF(U649="","",IF(U649="FINES",CONCATENATE("R",IF(OR(B649="16",B649="21",B649="22",B649="23"),"16212223",IF(OR(B649="15",B649="17",B649="24",B649="25"),"15172425",B649))),IF(U649="CEBAS","UNICO",IF(VALUE(B649)&lt;=11,"AMBA","INTERIOR"))))</f>
        <v/>
      </c>
      <c r="W649" s="38" t="str">
        <f>+IF(U649="","-",CONCATENATE(U649,"_",V649))</f>
        <v>-</v>
      </c>
      <c r="X649" s="42">
        <v>0.872</v>
      </c>
    </row>
    <row r="650" spans="1:24" ht="15" thickBot="1">
      <c r="A650" s="5" t="s">
        <v>2916</v>
      </c>
      <c r="B650" s="5" t="s">
        <v>516</v>
      </c>
      <c r="C650" s="5" t="s">
        <v>889</v>
      </c>
      <c r="D650" s="5" t="s">
        <v>2458</v>
      </c>
      <c r="E650" s="5">
        <v>601249</v>
      </c>
      <c r="F650" s="5">
        <v>0</v>
      </c>
      <c r="G650" s="5" t="s">
        <v>2459</v>
      </c>
      <c r="H650" s="5" t="s">
        <v>20</v>
      </c>
      <c r="I650" s="6" t="s">
        <v>50</v>
      </c>
      <c r="J650" s="6" t="s">
        <v>21</v>
      </c>
      <c r="K650" s="6"/>
      <c r="L650" s="6" t="s">
        <v>2460</v>
      </c>
      <c r="M650" s="6" t="s">
        <v>22</v>
      </c>
      <c r="N650" s="6" t="s">
        <v>23</v>
      </c>
      <c r="O650" s="6" t="s">
        <v>27</v>
      </c>
      <c r="P650" s="6" t="s">
        <v>28</v>
      </c>
      <c r="Q650" s="22">
        <v>29</v>
      </c>
      <c r="R650" s="23">
        <v>2</v>
      </c>
      <c r="S650" s="39">
        <v>0</v>
      </c>
      <c r="T650" s="7" t="s">
        <v>2910</v>
      </c>
      <c r="U650" s="7"/>
      <c r="V650" s="7" t="str">
        <f>+IF(U650="","",IF(U650="FINES",CONCATENATE("R",IF(OR(B650="16",B650="21",B650="22",B650="23"),"16212223",IF(OR(B650="15",B650="17",B650="24",B650="25"),"15172425",B650))),IF(U650="CEBAS","UNICO",IF(VALUE(B650)&lt;=11,"AMBA","INTERIOR"))))</f>
        <v/>
      </c>
      <c r="W650" s="38" t="str">
        <f>+IF(U650="","-",CONCATENATE(U650,"_",V650))</f>
        <v>-</v>
      </c>
      <c r="X650" s="42">
        <v>0.872</v>
      </c>
    </row>
    <row r="651" spans="1:24" ht="15" thickBot="1">
      <c r="A651" s="5" t="s">
        <v>2916</v>
      </c>
      <c r="B651" s="5" t="s">
        <v>19</v>
      </c>
      <c r="C651" s="5" t="s">
        <v>17</v>
      </c>
      <c r="D651" s="5" t="s">
        <v>18</v>
      </c>
      <c r="E651" s="5">
        <v>613138</v>
      </c>
      <c r="F651" s="5">
        <v>1</v>
      </c>
      <c r="G651" s="5" t="s">
        <v>69</v>
      </c>
      <c r="H651" s="5" t="s">
        <v>20</v>
      </c>
      <c r="I651" s="6" t="s">
        <v>50</v>
      </c>
      <c r="J651" s="6" t="s">
        <v>51</v>
      </c>
      <c r="K651" s="6" t="s">
        <v>70</v>
      </c>
      <c r="L651" s="6" t="s">
        <v>71</v>
      </c>
      <c r="M651" s="6" t="s">
        <v>22</v>
      </c>
      <c r="N651" s="6" t="s">
        <v>23</v>
      </c>
      <c r="O651" s="6" t="s">
        <v>27</v>
      </c>
      <c r="P651" s="6" t="s">
        <v>28</v>
      </c>
      <c r="Q651" s="22">
        <v>43</v>
      </c>
      <c r="R651" s="23">
        <v>3</v>
      </c>
      <c r="S651" s="39">
        <v>0</v>
      </c>
      <c r="T651" s="7" t="s">
        <v>2910</v>
      </c>
      <c r="V651" s="7" t="str">
        <f>+IF(U651="","",IF(U651="FINES",CONCATENATE("R",IF(OR(B651="16",B651="21",B651="22",B651="23"),"16212223",IF(OR(B651="15",B651="17",B651="24",B651="25"),"15172425",B651))),IF(U651="CEBAS","UNICO",IF(VALUE(B651)&lt;=11,"AMBA","INTERIOR"))))</f>
        <v/>
      </c>
      <c r="W651" s="38" t="str">
        <f>+IF(U651="","-",CONCATENATE(U651,"_",V651))</f>
        <v>-</v>
      </c>
      <c r="X651" s="42">
        <v>0.872</v>
      </c>
    </row>
    <row r="652" spans="1:24" ht="15" thickBot="1">
      <c r="A652" s="3" t="s">
        <v>2916</v>
      </c>
      <c r="B652" s="3" t="s">
        <v>516</v>
      </c>
      <c r="C652" s="3" t="s">
        <v>889</v>
      </c>
      <c r="D652" s="3" t="s">
        <v>2458</v>
      </c>
      <c r="E652" s="3">
        <v>601247</v>
      </c>
      <c r="F652" s="3">
        <v>0</v>
      </c>
      <c r="G652" s="3" t="s">
        <v>2464</v>
      </c>
      <c r="H652" s="3" t="s">
        <v>20</v>
      </c>
      <c r="I652" s="4" t="s">
        <v>50</v>
      </c>
      <c r="J652" s="4" t="s">
        <v>21</v>
      </c>
      <c r="K652" s="4"/>
      <c r="L652" s="4" t="s">
        <v>1226</v>
      </c>
      <c r="M652" s="4" t="s">
        <v>22</v>
      </c>
      <c r="N652" s="4" t="s">
        <v>23</v>
      </c>
      <c r="O652" s="4" t="s">
        <v>27</v>
      </c>
      <c r="P652" s="4" t="s">
        <v>28</v>
      </c>
      <c r="Q652" s="24">
        <v>3</v>
      </c>
      <c r="R652" s="25">
        <v>1</v>
      </c>
      <c r="S652" s="39">
        <v>0</v>
      </c>
      <c r="T652" s="7" t="s">
        <v>2910</v>
      </c>
      <c r="V652" s="7" t="str">
        <f>+IF(U652="","",IF(U652="FINES",CONCATENATE("R",IF(OR(B652="16",B652="21",B652="22",B652="23"),"16212223",IF(OR(B652="15",B652="17",B652="24",B652="25"),"15172425",B652))),IF(U652="CEBAS","UNICO",IF(VALUE(B652)&lt;=11,"AMBA","INTERIOR"))))</f>
        <v/>
      </c>
      <c r="W652" s="38" t="str">
        <f>+IF(U652="","-",CONCATENATE(U652,"_",V652))</f>
        <v>-</v>
      </c>
      <c r="X652" s="42">
        <v>0.874</v>
      </c>
    </row>
    <row r="653" spans="1:24" ht="15" thickBot="1">
      <c r="A653" s="5" t="s">
        <v>2916</v>
      </c>
      <c r="B653" s="5" t="s">
        <v>225</v>
      </c>
      <c r="C653" s="5" t="s">
        <v>942</v>
      </c>
      <c r="D653" s="5" t="s">
        <v>943</v>
      </c>
      <c r="E653" s="5">
        <v>609273</v>
      </c>
      <c r="F653" s="5">
        <v>3</v>
      </c>
      <c r="G653" s="5" t="s">
        <v>988</v>
      </c>
      <c r="H653" s="5" t="s">
        <v>20</v>
      </c>
      <c r="I653" s="6" t="s">
        <v>50</v>
      </c>
      <c r="J653" s="6" t="s">
        <v>51</v>
      </c>
      <c r="K653" s="6" t="s">
        <v>985</v>
      </c>
      <c r="L653" s="6" t="s">
        <v>989</v>
      </c>
      <c r="M653" s="6" t="s">
        <v>22</v>
      </c>
      <c r="N653" s="6" t="s">
        <v>23</v>
      </c>
      <c r="O653" s="6" t="s">
        <v>27</v>
      </c>
      <c r="P653" s="6" t="s">
        <v>28</v>
      </c>
      <c r="Q653" s="22">
        <v>30</v>
      </c>
      <c r="R653" s="23">
        <v>2</v>
      </c>
      <c r="S653" s="39">
        <v>0</v>
      </c>
      <c r="T653" s="7" t="s">
        <v>2910</v>
      </c>
      <c r="V653" s="7" t="str">
        <f>+IF(U653="","",IF(U653="FINES",CONCATENATE("R",IF(OR(B653="16",B653="21",B653="22",B653="23"),"16212223",IF(OR(B653="15",B653="17",B653="24",B653="25"),"15172425",B653))),IF(U653="CEBAS","UNICO",IF(VALUE(B653)&lt;=11,"AMBA","INTERIOR"))))</f>
        <v/>
      </c>
      <c r="W653" s="38" t="str">
        <f>+IF(U653="","-",CONCATENATE(U653,"_",V653))</f>
        <v>-</v>
      </c>
      <c r="X653" s="42">
        <v>0.874</v>
      </c>
    </row>
    <row r="654" spans="1:24" ht="15" thickBot="1">
      <c r="A654" s="5" t="s">
        <v>2916</v>
      </c>
      <c r="B654" s="5" t="s">
        <v>19</v>
      </c>
      <c r="C654" s="5" t="s">
        <v>17</v>
      </c>
      <c r="D654" s="5" t="s">
        <v>18</v>
      </c>
      <c r="E654" s="5">
        <v>602914</v>
      </c>
      <c r="F654" s="5">
        <v>2</v>
      </c>
      <c r="G654" s="5" t="s">
        <v>54</v>
      </c>
      <c r="H654" s="5" t="s">
        <v>20</v>
      </c>
      <c r="I654" s="6" t="s">
        <v>50</v>
      </c>
      <c r="J654" s="6" t="s">
        <v>51</v>
      </c>
      <c r="K654" s="6" t="s">
        <v>55</v>
      </c>
      <c r="L654" s="6" t="s">
        <v>56</v>
      </c>
      <c r="M654" s="6" t="s">
        <v>22</v>
      </c>
      <c r="N654" s="6" t="s">
        <v>23</v>
      </c>
      <c r="O654" s="6" t="s">
        <v>27</v>
      </c>
      <c r="P654" s="6" t="s">
        <v>28</v>
      </c>
      <c r="Q654" s="22">
        <v>28</v>
      </c>
      <c r="R654" s="23">
        <v>2</v>
      </c>
      <c r="S654" s="39">
        <v>0</v>
      </c>
      <c r="T654" s="7" t="s">
        <v>2910</v>
      </c>
      <c r="U654" s="7"/>
      <c r="V654" s="7" t="str">
        <f>+IF(U654="","",IF(U654="FINES",CONCATENATE("R",IF(OR(B654="16",B654="21",B654="22",B654="23"),"16212223",IF(OR(B654="15",B654="17",B654="24",B654="25"),"15172425",B654))),IF(U654="CEBAS","UNICO",IF(VALUE(B654)&lt;=11,"AMBA","INTERIOR"))))</f>
        <v/>
      </c>
      <c r="W654" s="38" t="str">
        <f>+IF(U654="","-",CONCATENATE(U654,"_",V654))</f>
        <v>-</v>
      </c>
      <c r="X654" s="42">
        <v>0.875</v>
      </c>
    </row>
    <row r="655" spans="1:24" ht="15" thickBot="1">
      <c r="A655" s="3" t="s">
        <v>2916</v>
      </c>
      <c r="B655" s="3" t="s">
        <v>205</v>
      </c>
      <c r="C655" s="3" t="s">
        <v>2002</v>
      </c>
      <c r="D655" s="3" t="s">
        <v>2003</v>
      </c>
      <c r="E655" s="3">
        <v>604670</v>
      </c>
      <c r="F655" s="3">
        <v>0</v>
      </c>
      <c r="G655" s="3" t="s">
        <v>2012</v>
      </c>
      <c r="H655" s="3" t="s">
        <v>20</v>
      </c>
      <c r="I655" s="4" t="s">
        <v>50</v>
      </c>
      <c r="J655" s="4" t="s">
        <v>21</v>
      </c>
      <c r="K655" s="4"/>
      <c r="L655" s="4" t="s">
        <v>2013</v>
      </c>
      <c r="M655" s="4" t="s">
        <v>200</v>
      </c>
      <c r="N655" s="4" t="s">
        <v>23</v>
      </c>
      <c r="O655" s="4" t="s">
        <v>27</v>
      </c>
      <c r="P655" s="4" t="s">
        <v>28</v>
      </c>
      <c r="Q655" s="24">
        <v>10</v>
      </c>
      <c r="R655" s="25">
        <v>1</v>
      </c>
      <c r="S655" s="39">
        <v>0</v>
      </c>
      <c r="T655" s="7" t="s">
        <v>2910</v>
      </c>
      <c r="U655" s="7"/>
      <c r="V655" s="7" t="str">
        <f>+IF(U655="","",IF(U655="FINES",CONCATENATE("R",IF(OR(B655="16",B655="21",B655="22",B655="23"),"16212223",IF(OR(B655="15",B655="17",B655="24",B655="25"),"15172425",B655))),IF(U655="CEBAS","UNICO",IF(VALUE(B655)&lt;=11,"AMBA","INTERIOR"))))</f>
        <v/>
      </c>
      <c r="W655" s="38" t="str">
        <f>+IF(U655="","-",CONCATENATE(U655,"_",V655))</f>
        <v>-</v>
      </c>
      <c r="X655" s="42">
        <v>0.876</v>
      </c>
    </row>
    <row r="656" spans="1:24" ht="15" thickBot="1">
      <c r="A656" s="5" t="s">
        <v>2916</v>
      </c>
      <c r="B656" s="5" t="s">
        <v>1257</v>
      </c>
      <c r="C656" s="5" t="s">
        <v>2213</v>
      </c>
      <c r="D656" s="5" t="s">
        <v>2214</v>
      </c>
      <c r="E656" s="5">
        <v>601022</v>
      </c>
      <c r="F656" s="5">
        <v>2</v>
      </c>
      <c r="G656" s="5" t="s">
        <v>2219</v>
      </c>
      <c r="H656" s="5" t="s">
        <v>20</v>
      </c>
      <c r="I656" s="6" t="s">
        <v>50</v>
      </c>
      <c r="J656" s="6" t="s">
        <v>51</v>
      </c>
      <c r="K656" s="6" t="s">
        <v>2220</v>
      </c>
      <c r="L656" s="6" t="s">
        <v>619</v>
      </c>
      <c r="M656" s="6" t="s">
        <v>22</v>
      </c>
      <c r="N656" s="6" t="s">
        <v>23</v>
      </c>
      <c r="O656" s="6" t="s">
        <v>27</v>
      </c>
      <c r="P656" s="6" t="s">
        <v>28</v>
      </c>
      <c r="Q656" s="22">
        <v>22</v>
      </c>
      <c r="R656" s="23">
        <v>2</v>
      </c>
      <c r="S656" s="39">
        <v>0</v>
      </c>
      <c r="T656" s="7" t="s">
        <v>2910</v>
      </c>
      <c r="V656" s="7" t="str">
        <f>+IF(U656="","",IF(U656="FINES",CONCATENATE("R",IF(OR(B656="16",B656="21",B656="22",B656="23"),"16212223",IF(OR(B656="15",B656="17",B656="24",B656="25"),"15172425",B656))),IF(U656="CEBAS","UNICO",IF(VALUE(B656)&lt;=11,"AMBA","INTERIOR"))))</f>
        <v/>
      </c>
      <c r="W656" s="38" t="str">
        <f>+IF(U656="","-",CONCATENATE(U656,"_",V656))</f>
        <v>-</v>
      </c>
      <c r="X656" s="42">
        <v>0.876</v>
      </c>
    </row>
    <row r="657" spans="1:24" ht="15" thickBot="1">
      <c r="A657" s="3" t="s">
        <v>2916</v>
      </c>
      <c r="B657" s="3" t="s">
        <v>257</v>
      </c>
      <c r="C657" s="3" t="s">
        <v>254</v>
      </c>
      <c r="D657" s="3" t="s">
        <v>256</v>
      </c>
      <c r="E657" s="3">
        <v>603913</v>
      </c>
      <c r="F657" s="3">
        <v>2</v>
      </c>
      <c r="G657" s="3" t="s">
        <v>308</v>
      </c>
      <c r="H657" s="3" t="s">
        <v>20</v>
      </c>
      <c r="I657" s="4" t="s">
        <v>50</v>
      </c>
      <c r="J657" s="4" t="s">
        <v>51</v>
      </c>
      <c r="K657" s="4" t="s">
        <v>284</v>
      </c>
      <c r="L657" s="4" t="s">
        <v>309</v>
      </c>
      <c r="M657" s="4" t="s">
        <v>22</v>
      </c>
      <c r="N657" s="4" t="s">
        <v>23</v>
      </c>
      <c r="O657" s="4" t="s">
        <v>27</v>
      </c>
      <c r="P657" s="4" t="s">
        <v>28</v>
      </c>
      <c r="Q657" s="24">
        <v>28</v>
      </c>
      <c r="R657" s="25">
        <v>2</v>
      </c>
      <c r="S657" s="39">
        <v>0</v>
      </c>
      <c r="T657" s="7" t="s">
        <v>2910</v>
      </c>
      <c r="V657" s="7" t="str">
        <f>+IF(U657="","",IF(U657="FINES",CONCATENATE("R",IF(OR(B657="16",B657="21",B657="22",B657="23"),"16212223",IF(OR(B657="15",B657="17",B657="24",B657="25"),"15172425",B657))),IF(U657="CEBAS","UNICO",IF(VALUE(B657)&lt;=11,"AMBA","INTERIOR"))))</f>
        <v/>
      </c>
      <c r="W657" s="38" t="str">
        <f>+IF(U657="","-",CONCATENATE(U657,"_",V657))</f>
        <v>-</v>
      </c>
      <c r="X657" s="42">
        <v>0.878</v>
      </c>
    </row>
    <row r="658" spans="1:24" ht="15" thickBot="1">
      <c r="A658" s="3" t="s">
        <v>2916</v>
      </c>
      <c r="B658" s="3" t="s">
        <v>204</v>
      </c>
      <c r="C658" s="3" t="s">
        <v>1084</v>
      </c>
      <c r="D658" s="3" t="s">
        <v>1085</v>
      </c>
      <c r="E658" s="3">
        <v>611472</v>
      </c>
      <c r="F658" s="3">
        <v>1</v>
      </c>
      <c r="G658" s="3" t="s">
        <v>1091</v>
      </c>
      <c r="H658" s="3" t="s">
        <v>20</v>
      </c>
      <c r="I658" s="4" t="s">
        <v>50</v>
      </c>
      <c r="J658" s="4" t="s">
        <v>51</v>
      </c>
      <c r="K658" s="4" t="s">
        <v>1092</v>
      </c>
      <c r="L658" s="4" t="s">
        <v>1093</v>
      </c>
      <c r="M658" s="4" t="s">
        <v>22</v>
      </c>
      <c r="N658" s="4" t="s">
        <v>23</v>
      </c>
      <c r="O658" s="4" t="s">
        <v>27</v>
      </c>
      <c r="P658" s="4" t="s">
        <v>28</v>
      </c>
      <c r="Q658" s="24">
        <v>74</v>
      </c>
      <c r="R658" s="25">
        <v>5</v>
      </c>
      <c r="S658" s="39">
        <v>0</v>
      </c>
      <c r="T658" s="7" t="s">
        <v>2910</v>
      </c>
      <c r="V658" s="7" t="str">
        <f>+IF(U658="","",IF(U658="FINES",CONCATENATE("R",IF(OR(B658="16",B658="21",B658="22",B658="23"),"16212223",IF(OR(B658="15",B658="17",B658="24",B658="25"),"15172425",B658))),IF(U658="CEBAS","UNICO",IF(VALUE(B658)&lt;=11,"AMBA","INTERIOR"))))</f>
        <v/>
      </c>
      <c r="W658" s="38" t="str">
        <f>+IF(U658="","-",CONCATENATE(U658,"_",V658))</f>
        <v>-</v>
      </c>
      <c r="X658" s="42">
        <v>0.88</v>
      </c>
    </row>
    <row r="659" spans="1:24" ht="15" thickBot="1">
      <c r="A659" s="5" t="s">
        <v>2916</v>
      </c>
      <c r="B659" s="5" t="s">
        <v>19</v>
      </c>
      <c r="C659" s="5" t="s">
        <v>252</v>
      </c>
      <c r="D659" s="5" t="s">
        <v>2566</v>
      </c>
      <c r="E659" s="5">
        <v>602810</v>
      </c>
      <c r="F659" s="5">
        <v>0</v>
      </c>
      <c r="G659" s="5" t="s">
        <v>2578</v>
      </c>
      <c r="H659" s="5" t="s">
        <v>20</v>
      </c>
      <c r="I659" s="6" t="s">
        <v>50</v>
      </c>
      <c r="J659" s="6" t="s">
        <v>21</v>
      </c>
      <c r="K659" s="6"/>
      <c r="L659" s="6" t="s">
        <v>2579</v>
      </c>
      <c r="M659" s="6" t="s">
        <v>22</v>
      </c>
      <c r="N659" s="6" t="s">
        <v>23</v>
      </c>
      <c r="O659" s="6" t="s">
        <v>27</v>
      </c>
      <c r="P659" s="6" t="s">
        <v>28</v>
      </c>
      <c r="Q659" s="22">
        <v>13</v>
      </c>
      <c r="R659" s="23">
        <v>1</v>
      </c>
      <c r="S659" s="39">
        <v>0</v>
      </c>
      <c r="T659" s="7" t="s">
        <v>2910</v>
      </c>
      <c r="V659" s="7" t="str">
        <f>+IF(U659="","",IF(U659="FINES",CONCATENATE("R",IF(OR(B659="16",B659="21",B659="22",B659="23"),"16212223",IF(OR(B659="15",B659="17",B659="24",B659="25"),"15172425",B659))),IF(U659="CEBAS","UNICO",IF(VALUE(B659)&lt;=11,"AMBA","INTERIOR"))))</f>
        <v/>
      </c>
      <c r="W659" s="38" t="str">
        <f>+IF(U659="","-",CONCATENATE(U659,"_",V659))</f>
        <v>-</v>
      </c>
      <c r="X659" s="42">
        <v>0.88100000000000001</v>
      </c>
    </row>
    <row r="660" spans="1:24" ht="15" thickBot="1">
      <c r="A660" s="5" t="s">
        <v>2916</v>
      </c>
      <c r="B660" s="5" t="s">
        <v>223</v>
      </c>
      <c r="C660" s="5" t="s">
        <v>714</v>
      </c>
      <c r="D660" s="5" t="s">
        <v>715</v>
      </c>
      <c r="E660" s="5">
        <v>604982</v>
      </c>
      <c r="F660" s="5">
        <v>0</v>
      </c>
      <c r="G660" s="5" t="s">
        <v>722</v>
      </c>
      <c r="H660" s="5" t="s">
        <v>20</v>
      </c>
      <c r="I660" s="6" t="s">
        <v>50</v>
      </c>
      <c r="J660" s="6" t="s">
        <v>21</v>
      </c>
      <c r="K660" s="6"/>
      <c r="L660" s="6" t="s">
        <v>723</v>
      </c>
      <c r="M660" s="6" t="s">
        <v>22</v>
      </c>
      <c r="N660" s="6" t="s">
        <v>23</v>
      </c>
      <c r="O660" s="6" t="s">
        <v>27</v>
      </c>
      <c r="P660" s="6" t="s">
        <v>28</v>
      </c>
      <c r="Q660" s="22">
        <v>10</v>
      </c>
      <c r="R660" s="23">
        <v>1</v>
      </c>
      <c r="S660" s="39">
        <v>0</v>
      </c>
      <c r="T660" s="7" t="s">
        <v>2910</v>
      </c>
      <c r="U660" s="7"/>
      <c r="V660" s="7" t="str">
        <f>+IF(U660="","",IF(U660="FINES",CONCATENATE("R",IF(OR(B660="16",B660="21",B660="22",B660="23"),"16212223",IF(OR(B660="15",B660="17",B660="24",B660="25"),"15172425",B660))),IF(U660="CEBAS","UNICO",IF(VALUE(B660)&lt;=11,"AMBA","INTERIOR"))))</f>
        <v/>
      </c>
      <c r="W660" s="38" t="str">
        <f>+IF(U660="","-",CONCATENATE(U660,"_",V660))</f>
        <v>-</v>
      </c>
      <c r="X660" s="42">
        <v>0.88200000000000001</v>
      </c>
    </row>
    <row r="661" spans="1:24" ht="15" thickBot="1">
      <c r="A661" s="3" t="s">
        <v>2916</v>
      </c>
      <c r="B661" s="3" t="s">
        <v>257</v>
      </c>
      <c r="C661" s="3" t="s">
        <v>254</v>
      </c>
      <c r="D661" s="3" t="s">
        <v>256</v>
      </c>
      <c r="E661" s="3">
        <v>613897</v>
      </c>
      <c r="F661" s="3">
        <v>3</v>
      </c>
      <c r="G661" s="3" t="s">
        <v>299</v>
      </c>
      <c r="H661" s="3" t="s">
        <v>20</v>
      </c>
      <c r="I661" s="4" t="s">
        <v>50</v>
      </c>
      <c r="J661" s="4" t="s">
        <v>51</v>
      </c>
      <c r="K661" s="4" t="s">
        <v>290</v>
      </c>
      <c r="L661" s="4" t="s">
        <v>300</v>
      </c>
      <c r="M661" s="4" t="s">
        <v>22</v>
      </c>
      <c r="N661" s="4" t="s">
        <v>23</v>
      </c>
      <c r="O661" s="4" t="s">
        <v>27</v>
      </c>
      <c r="P661" s="4" t="s">
        <v>28</v>
      </c>
      <c r="Q661" s="24">
        <v>30</v>
      </c>
      <c r="R661" s="25">
        <v>2</v>
      </c>
      <c r="S661" s="39">
        <v>0</v>
      </c>
      <c r="T661" s="7" t="s">
        <v>2910</v>
      </c>
      <c r="U661" s="7"/>
      <c r="V661" s="7" t="str">
        <f>+IF(U661="","",IF(U661="FINES",CONCATENATE("R",IF(OR(B661="16",B661="21",B661="22",B661="23"),"16212223",IF(OR(B661="15",B661="17",B661="24",B661="25"),"15172425",B661))),IF(U661="CEBAS","UNICO",IF(VALUE(B661)&lt;=11,"AMBA","INTERIOR"))))</f>
        <v/>
      </c>
      <c r="W661" s="38" t="str">
        <f>+IF(U661="","-",CONCATENATE(U661,"_",V661))</f>
        <v>-</v>
      </c>
      <c r="X661" s="42">
        <v>0.88200000000000001</v>
      </c>
    </row>
    <row r="662" spans="1:24" ht="15" thickBot="1">
      <c r="A662" s="3" t="s">
        <v>2916</v>
      </c>
      <c r="B662" s="3" t="s">
        <v>19</v>
      </c>
      <c r="C662" s="3" t="s">
        <v>17</v>
      </c>
      <c r="D662" s="3" t="s">
        <v>18</v>
      </c>
      <c r="E662" s="3">
        <v>602914</v>
      </c>
      <c r="F662" s="3">
        <v>1</v>
      </c>
      <c r="G662" s="3" t="s">
        <v>57</v>
      </c>
      <c r="H662" s="3" t="s">
        <v>20</v>
      </c>
      <c r="I662" s="4" t="s">
        <v>50</v>
      </c>
      <c r="J662" s="4" t="s">
        <v>51</v>
      </c>
      <c r="K662" s="4" t="s">
        <v>55</v>
      </c>
      <c r="L662" s="4" t="s">
        <v>58</v>
      </c>
      <c r="M662" s="4" t="s">
        <v>22</v>
      </c>
      <c r="N662" s="4" t="s">
        <v>23</v>
      </c>
      <c r="O662" s="4" t="s">
        <v>27</v>
      </c>
      <c r="P662" s="4" t="s">
        <v>28</v>
      </c>
      <c r="Q662" s="24">
        <v>40</v>
      </c>
      <c r="R662" s="25">
        <v>4</v>
      </c>
      <c r="S662" s="39">
        <v>0</v>
      </c>
      <c r="T662" s="7" t="s">
        <v>2910</v>
      </c>
      <c r="V662" s="7" t="str">
        <f>+IF(U662="","",IF(U662="FINES",CONCATENATE("R",IF(OR(B662="16",B662="21",B662="22",B662="23"),"16212223",IF(OR(B662="15",B662="17",B662="24",B662="25"),"15172425",B662))),IF(U662="CEBAS","UNICO",IF(VALUE(B662)&lt;=11,"AMBA","INTERIOR"))))</f>
        <v/>
      </c>
      <c r="W662" s="38" t="str">
        <f>+IF(U662="","-",CONCATENATE(U662,"_",V662))</f>
        <v>-</v>
      </c>
      <c r="X662" s="42">
        <v>0.88200000000000001</v>
      </c>
    </row>
    <row r="663" spans="1:24" ht="15" thickBot="1">
      <c r="A663" s="3" t="s">
        <v>2916</v>
      </c>
      <c r="B663" s="3" t="s">
        <v>19</v>
      </c>
      <c r="C663" s="3" t="s">
        <v>17</v>
      </c>
      <c r="D663" s="3" t="s">
        <v>18</v>
      </c>
      <c r="E663" s="3">
        <v>603071</v>
      </c>
      <c r="F663" s="3">
        <v>0</v>
      </c>
      <c r="G663" s="3" t="s">
        <v>209</v>
      </c>
      <c r="H663" s="3" t="s">
        <v>210</v>
      </c>
      <c r="I663" s="4" t="s">
        <v>110</v>
      </c>
      <c r="J663" s="4" t="s">
        <v>21</v>
      </c>
      <c r="K663" s="4"/>
      <c r="L663" s="4" t="s">
        <v>211</v>
      </c>
      <c r="M663" s="4" t="s">
        <v>22</v>
      </c>
      <c r="N663" s="4" t="s">
        <v>134</v>
      </c>
      <c r="O663" s="4" t="s">
        <v>27</v>
      </c>
      <c r="P663" s="4" t="s">
        <v>28</v>
      </c>
      <c r="Q663" s="24">
        <v>6</v>
      </c>
      <c r="R663" s="25">
        <v>1</v>
      </c>
      <c r="S663" s="39">
        <v>0</v>
      </c>
      <c r="T663" s="7" t="s">
        <v>2909</v>
      </c>
      <c r="V663" s="7" t="str">
        <f>+IF(U663="","",IF(U663="FINES",CONCATENATE("R",IF(OR(B663="16",B663="21",B663="22",B663="23"),"16212223",IF(OR(B663="15",B663="17",B663="24",B663="25"),"15172425",B663))),IF(U663="CEBAS","UNICO",IF(VALUE(B663)&lt;=11,"AMBA","INTERIOR"))))</f>
        <v/>
      </c>
      <c r="W663" s="38" t="str">
        <f>+IF(U663="","-",CONCATENATE(U663,"_",V663))</f>
        <v>-</v>
      </c>
      <c r="X663" s="42">
        <v>0.88400000000000001</v>
      </c>
    </row>
    <row r="664" spans="1:24" ht="15" thickBot="1">
      <c r="A664" s="3" t="s">
        <v>2916</v>
      </c>
      <c r="B664" s="3" t="s">
        <v>1780</v>
      </c>
      <c r="C664" s="3" t="s">
        <v>1778</v>
      </c>
      <c r="D664" s="3" t="s">
        <v>1779</v>
      </c>
      <c r="E664" s="3">
        <v>612009</v>
      </c>
      <c r="F664" s="3">
        <v>1</v>
      </c>
      <c r="G664" s="3" t="s">
        <v>1793</v>
      </c>
      <c r="H664" s="3" t="s">
        <v>20</v>
      </c>
      <c r="I664" s="4" t="s">
        <v>50</v>
      </c>
      <c r="J664" s="4" t="s">
        <v>51</v>
      </c>
      <c r="K664" s="4" t="s">
        <v>1794</v>
      </c>
      <c r="L664" s="4" t="s">
        <v>528</v>
      </c>
      <c r="M664" s="4" t="s">
        <v>22</v>
      </c>
      <c r="N664" s="4" t="s">
        <v>23</v>
      </c>
      <c r="O664" s="4" t="s">
        <v>27</v>
      </c>
      <c r="P664" s="4" t="s">
        <v>28</v>
      </c>
      <c r="Q664" s="24">
        <v>39</v>
      </c>
      <c r="R664" s="25">
        <v>5</v>
      </c>
      <c r="S664" s="39">
        <v>0</v>
      </c>
      <c r="T664" s="7" t="s">
        <v>2910</v>
      </c>
      <c r="V664" s="7" t="str">
        <f>+IF(U664="","",IF(U664="FINES",CONCATENATE("R",IF(OR(B664="16",B664="21",B664="22",B664="23"),"16212223",IF(OR(B664="15",B664="17",B664="24",B664="25"),"15172425",B664))),IF(U664="CEBAS","UNICO",IF(VALUE(B664)&lt;=11,"AMBA","INTERIOR"))))</f>
        <v/>
      </c>
      <c r="W664" s="38" t="str">
        <f>+IF(U664="","-",CONCATENATE(U664,"_",V664))</f>
        <v>-</v>
      </c>
      <c r="X664" s="42">
        <v>0.88500000000000001</v>
      </c>
    </row>
    <row r="665" spans="1:24" ht="15" thickBot="1">
      <c r="A665" s="5" t="s">
        <v>2916</v>
      </c>
      <c r="B665" s="5" t="s">
        <v>1532</v>
      </c>
      <c r="C665" s="5" t="s">
        <v>1530</v>
      </c>
      <c r="D665" s="5" t="s">
        <v>1531</v>
      </c>
      <c r="E665" s="5">
        <v>602154</v>
      </c>
      <c r="F665" s="5">
        <v>2</v>
      </c>
      <c r="G665" s="5" t="s">
        <v>1638</v>
      </c>
      <c r="H665" s="5" t="s">
        <v>20</v>
      </c>
      <c r="I665" s="6" t="s">
        <v>50</v>
      </c>
      <c r="J665" s="6" t="s">
        <v>51</v>
      </c>
      <c r="K665" s="6" t="s">
        <v>1572</v>
      </c>
      <c r="L665" s="6" t="s">
        <v>1639</v>
      </c>
      <c r="M665" s="6" t="s">
        <v>22</v>
      </c>
      <c r="N665" s="6" t="s">
        <v>23</v>
      </c>
      <c r="O665" s="6" t="s">
        <v>27</v>
      </c>
      <c r="P665" s="6" t="s">
        <v>28</v>
      </c>
      <c r="Q665" s="22">
        <v>23</v>
      </c>
      <c r="R665" s="23">
        <v>1</v>
      </c>
      <c r="S665" s="39">
        <v>0</v>
      </c>
      <c r="T665" s="7" t="s">
        <v>2910</v>
      </c>
      <c r="V665" s="7" t="str">
        <f>+IF(U665="","",IF(U665="FINES",CONCATENATE("R",IF(OR(B665="16",B665="21",B665="22",B665="23"),"16212223",IF(OR(B665="15",B665="17",B665="24",B665="25"),"15172425",B665))),IF(U665="CEBAS","UNICO",IF(VALUE(B665)&lt;=11,"AMBA","INTERIOR"))))</f>
        <v/>
      </c>
      <c r="W665" s="38" t="str">
        <f>+IF(U665="","-",CONCATENATE(U665,"_",V665))</f>
        <v>-</v>
      </c>
      <c r="X665" s="42">
        <v>0.88900000000000001</v>
      </c>
    </row>
    <row r="666" spans="1:24" ht="15" thickBot="1">
      <c r="A666" s="5" t="s">
        <v>2916</v>
      </c>
      <c r="B666" s="5" t="s">
        <v>206</v>
      </c>
      <c r="C666" s="5" t="s">
        <v>903</v>
      </c>
      <c r="D666" s="5" t="s">
        <v>904</v>
      </c>
      <c r="E666" s="5">
        <v>604521</v>
      </c>
      <c r="F666" s="5">
        <v>0</v>
      </c>
      <c r="G666" s="5" t="s">
        <v>905</v>
      </c>
      <c r="H666" s="5" t="s">
        <v>20</v>
      </c>
      <c r="I666" s="6" t="s">
        <v>50</v>
      </c>
      <c r="J666" s="6" t="s">
        <v>21</v>
      </c>
      <c r="K666" s="6"/>
      <c r="L666" s="6" t="s">
        <v>906</v>
      </c>
      <c r="M666" s="6" t="s">
        <v>22</v>
      </c>
      <c r="N666" s="6" t="s">
        <v>23</v>
      </c>
      <c r="O666" s="6" t="s">
        <v>27</v>
      </c>
      <c r="P666" s="6" t="s">
        <v>28</v>
      </c>
      <c r="Q666" s="22">
        <v>22</v>
      </c>
      <c r="R666" s="23">
        <v>3</v>
      </c>
      <c r="S666" s="39">
        <v>0</v>
      </c>
      <c r="T666" s="7" t="s">
        <v>2910</v>
      </c>
      <c r="V666" s="7" t="str">
        <f>+IF(U666="","",IF(U666="FINES",CONCATENATE("R",IF(OR(B666="16",B666="21",B666="22",B666="23"),"16212223",IF(OR(B666="15",B666="17",B666="24",B666="25"),"15172425",B666))),IF(U666="CEBAS","UNICO",IF(VALUE(B666)&lt;=11,"AMBA","INTERIOR"))))</f>
        <v/>
      </c>
      <c r="W666" s="38" t="str">
        <f>+IF(U666="","-",CONCATENATE(U666,"_",V666))</f>
        <v>-</v>
      </c>
      <c r="X666" s="42">
        <v>0.89</v>
      </c>
    </row>
    <row r="667" spans="1:24" ht="15" thickBot="1">
      <c r="A667" s="3" t="s">
        <v>2916</v>
      </c>
      <c r="B667" s="3" t="s">
        <v>225</v>
      </c>
      <c r="C667" s="3" t="s">
        <v>942</v>
      </c>
      <c r="D667" s="3" t="s">
        <v>943</v>
      </c>
      <c r="E667" s="3">
        <v>609275</v>
      </c>
      <c r="F667" s="3">
        <v>2</v>
      </c>
      <c r="G667" s="3" t="s">
        <v>990</v>
      </c>
      <c r="H667" s="3" t="s">
        <v>20</v>
      </c>
      <c r="I667" s="4" t="s">
        <v>50</v>
      </c>
      <c r="J667" s="4" t="s">
        <v>51</v>
      </c>
      <c r="K667" s="4" t="s">
        <v>978</v>
      </c>
      <c r="L667" s="4" t="s">
        <v>991</v>
      </c>
      <c r="M667" s="4" t="s">
        <v>22</v>
      </c>
      <c r="N667" s="4" t="s">
        <v>23</v>
      </c>
      <c r="O667" s="4" t="s">
        <v>27</v>
      </c>
      <c r="P667" s="4" t="s">
        <v>28</v>
      </c>
      <c r="Q667" s="24">
        <v>48</v>
      </c>
      <c r="R667" s="25">
        <v>2</v>
      </c>
      <c r="S667" s="39">
        <v>0</v>
      </c>
      <c r="T667" s="7" t="s">
        <v>2910</v>
      </c>
      <c r="V667" s="7" t="str">
        <f>+IF(U667="","",IF(U667="FINES",CONCATENATE("R",IF(OR(B667="16",B667="21",B667="22",B667="23"),"16212223",IF(OR(B667="15",B667="17",B667="24",B667="25"),"15172425",B667))),IF(U667="CEBAS","UNICO",IF(VALUE(B667)&lt;=11,"AMBA","INTERIOR"))))</f>
        <v/>
      </c>
      <c r="W667" s="38" t="str">
        <f>+IF(U667="","-",CONCATENATE(U667,"_",V667))</f>
        <v>-</v>
      </c>
      <c r="X667" s="42">
        <v>0.89</v>
      </c>
    </row>
    <row r="668" spans="1:24" ht="15" thickBot="1">
      <c r="A668" s="5" t="s">
        <v>2916</v>
      </c>
      <c r="B668" s="5" t="s">
        <v>135</v>
      </c>
      <c r="C668" s="5" t="s">
        <v>354</v>
      </c>
      <c r="D668" s="5" t="s">
        <v>897</v>
      </c>
      <c r="E668" s="5">
        <v>605571</v>
      </c>
      <c r="F668" s="5">
        <v>0</v>
      </c>
      <c r="G668" s="5" t="s">
        <v>900</v>
      </c>
      <c r="H668" s="5" t="s">
        <v>20</v>
      </c>
      <c r="I668" s="6" t="s">
        <v>50</v>
      </c>
      <c r="J668" s="6" t="s">
        <v>21</v>
      </c>
      <c r="K668" s="6"/>
      <c r="L668" s="6" t="s">
        <v>721</v>
      </c>
      <c r="M668" s="6" t="s">
        <v>22</v>
      </c>
      <c r="N668" s="6" t="s">
        <v>23</v>
      </c>
      <c r="O668" s="6" t="s">
        <v>27</v>
      </c>
      <c r="P668" s="6" t="s">
        <v>28</v>
      </c>
      <c r="Q668" s="22">
        <v>7</v>
      </c>
      <c r="R668" s="23">
        <v>1</v>
      </c>
      <c r="S668" s="39">
        <v>0</v>
      </c>
      <c r="T668" s="7" t="s">
        <v>2910</v>
      </c>
      <c r="V668" s="7" t="str">
        <f>+IF(U668="","",IF(U668="FINES",CONCATENATE("R",IF(OR(B668="16",B668="21",B668="22",B668="23"),"16212223",IF(OR(B668="15",B668="17",B668="24",B668="25"),"15172425",B668))),IF(U668="CEBAS","UNICO",IF(VALUE(B668)&lt;=11,"AMBA","INTERIOR"))))</f>
        <v/>
      </c>
      <c r="W668" s="38" t="str">
        <f>+IF(U668="","-",CONCATENATE(U668,"_",V668))</f>
        <v>-</v>
      </c>
      <c r="X668" s="42">
        <v>0.89100000000000001</v>
      </c>
    </row>
    <row r="669" spans="1:24" ht="15" thickBot="1">
      <c r="A669" s="3" t="s">
        <v>2916</v>
      </c>
      <c r="B669" s="3" t="s">
        <v>205</v>
      </c>
      <c r="C669" s="3" t="s">
        <v>1946</v>
      </c>
      <c r="D669" s="3" t="s">
        <v>1947</v>
      </c>
      <c r="E669" s="3">
        <v>616647</v>
      </c>
      <c r="F669" s="3">
        <v>2</v>
      </c>
      <c r="G669" s="3" t="s">
        <v>1952</v>
      </c>
      <c r="H669" s="3" t="s">
        <v>20</v>
      </c>
      <c r="I669" s="4" t="s">
        <v>50</v>
      </c>
      <c r="J669" s="4" t="s">
        <v>51</v>
      </c>
      <c r="K669" s="4" t="s">
        <v>1951</v>
      </c>
      <c r="L669" s="4" t="s">
        <v>530</v>
      </c>
      <c r="M669" s="4" t="s">
        <v>22</v>
      </c>
      <c r="N669" s="4" t="s">
        <v>23</v>
      </c>
      <c r="O669" s="4" t="s">
        <v>27</v>
      </c>
      <c r="P669" s="4" t="s">
        <v>28</v>
      </c>
      <c r="Q669" s="24">
        <v>21</v>
      </c>
      <c r="R669" s="25">
        <v>2</v>
      </c>
      <c r="S669" s="39">
        <v>0</v>
      </c>
      <c r="T669" s="7" t="s">
        <v>2910</v>
      </c>
      <c r="V669" s="7" t="str">
        <f>+IF(U669="","",IF(U669="FINES",CONCATENATE("R",IF(OR(B669="16",B669="21",B669="22",B669="23"),"16212223",IF(OR(B669="15",B669="17",B669="24",B669="25"),"15172425",B669))),IF(U669="CEBAS","UNICO",IF(VALUE(B669)&lt;=11,"AMBA","INTERIOR"))))</f>
        <v/>
      </c>
      <c r="W669" s="38" t="str">
        <f>+IF(U669="","-",CONCATENATE(U669,"_",V669))</f>
        <v>-</v>
      </c>
      <c r="X669" s="42">
        <v>0.89100000000000001</v>
      </c>
    </row>
    <row r="670" spans="1:24" ht="15" thickBot="1">
      <c r="A670" s="3" t="s">
        <v>2916</v>
      </c>
      <c r="B670" s="3" t="s">
        <v>225</v>
      </c>
      <c r="C670" s="3" t="s">
        <v>942</v>
      </c>
      <c r="D670" s="3" t="s">
        <v>943</v>
      </c>
      <c r="E670" s="3">
        <v>600299</v>
      </c>
      <c r="F670" s="3">
        <v>3</v>
      </c>
      <c r="G670" s="3" t="s">
        <v>1010</v>
      </c>
      <c r="H670" s="3" t="s">
        <v>20</v>
      </c>
      <c r="I670" s="4" t="s">
        <v>50</v>
      </c>
      <c r="J670" s="4" t="s">
        <v>51</v>
      </c>
      <c r="K670" s="4" t="s">
        <v>981</v>
      </c>
      <c r="L670" s="4" t="s">
        <v>1011</v>
      </c>
      <c r="M670" s="4" t="s">
        <v>22</v>
      </c>
      <c r="N670" s="4" t="s">
        <v>23</v>
      </c>
      <c r="O670" s="4" t="s">
        <v>27</v>
      </c>
      <c r="P670" s="4" t="s">
        <v>28</v>
      </c>
      <c r="Q670" s="24">
        <v>26</v>
      </c>
      <c r="R670" s="25">
        <v>2</v>
      </c>
      <c r="S670" s="39">
        <v>0</v>
      </c>
      <c r="T670" s="7" t="s">
        <v>2910</v>
      </c>
      <c r="V670" s="7" t="str">
        <f>+IF(U670="","",IF(U670="FINES",CONCATENATE("R",IF(OR(B670="16",B670="21",B670="22",B670="23"),"16212223",IF(OR(B670="15",B670="17",B670="24",B670="25"),"15172425",B670))),IF(U670="CEBAS","UNICO",IF(VALUE(B670)&lt;=11,"AMBA","INTERIOR"))))</f>
        <v/>
      </c>
      <c r="W670" s="38" t="str">
        <f>+IF(U670="","-",CONCATENATE(U670,"_",V670))</f>
        <v>-</v>
      </c>
      <c r="X670" s="42">
        <v>0.89200000000000002</v>
      </c>
    </row>
    <row r="671" spans="1:24" ht="15" thickBot="1">
      <c r="A671" s="5" t="s">
        <v>2916</v>
      </c>
      <c r="B671" s="5" t="s">
        <v>257</v>
      </c>
      <c r="C671" s="5" t="s">
        <v>253</v>
      </c>
      <c r="D671" s="5" t="s">
        <v>2759</v>
      </c>
      <c r="E671" s="5">
        <v>605089</v>
      </c>
      <c r="F671" s="5">
        <v>1</v>
      </c>
      <c r="G671" s="5" t="s">
        <v>2763</v>
      </c>
      <c r="H671" s="5" t="s">
        <v>20</v>
      </c>
      <c r="I671" s="6" t="s">
        <v>50</v>
      </c>
      <c r="J671" s="6" t="s">
        <v>51</v>
      </c>
      <c r="K671" s="6" t="s">
        <v>2764</v>
      </c>
      <c r="L671" s="6" t="s">
        <v>2765</v>
      </c>
      <c r="M671" s="6" t="s">
        <v>22</v>
      </c>
      <c r="N671" s="6" t="s">
        <v>23</v>
      </c>
      <c r="O671" s="6" t="s">
        <v>27</v>
      </c>
      <c r="P671" s="6" t="s">
        <v>28</v>
      </c>
      <c r="Q671" s="22">
        <v>51</v>
      </c>
      <c r="R671" s="23">
        <v>3</v>
      </c>
      <c r="S671" s="39">
        <v>0</v>
      </c>
      <c r="T671" s="7" t="s">
        <v>2910</v>
      </c>
      <c r="V671" s="7" t="str">
        <f>+IF(U671="","",IF(U671="FINES",CONCATENATE("R",IF(OR(B671="16",B671="21",B671="22",B671="23"),"16212223",IF(OR(B671="15",B671="17",B671="24",B671="25"),"15172425",B671))),IF(U671="CEBAS","UNICO",IF(VALUE(B671)&lt;=11,"AMBA","INTERIOR"))))</f>
        <v/>
      </c>
      <c r="W671" s="38" t="str">
        <f>+IF(U671="","-",CONCATENATE(U671,"_",V671))</f>
        <v>-</v>
      </c>
      <c r="X671" s="42">
        <v>0.89200000000000002</v>
      </c>
    </row>
    <row r="672" spans="1:24" ht="15" thickBot="1">
      <c r="A672" s="5" t="s">
        <v>2916</v>
      </c>
      <c r="B672" s="5" t="s">
        <v>222</v>
      </c>
      <c r="C672" s="5" t="s">
        <v>807</v>
      </c>
      <c r="D672" s="5" t="s">
        <v>808</v>
      </c>
      <c r="E672" s="5">
        <v>614351</v>
      </c>
      <c r="F672" s="5">
        <v>0</v>
      </c>
      <c r="G672" s="5" t="s">
        <v>811</v>
      </c>
      <c r="H672" s="5" t="s">
        <v>20</v>
      </c>
      <c r="I672" s="6" t="s">
        <v>50</v>
      </c>
      <c r="J672" s="6" t="s">
        <v>21</v>
      </c>
      <c r="K672" s="6"/>
      <c r="L672" s="6" t="s">
        <v>577</v>
      </c>
      <c r="M672" s="6" t="s">
        <v>200</v>
      </c>
      <c r="N672" s="6" t="s">
        <v>23</v>
      </c>
      <c r="O672" s="6" t="s">
        <v>27</v>
      </c>
      <c r="P672" s="6" t="s">
        <v>28</v>
      </c>
      <c r="Q672" s="22">
        <v>35</v>
      </c>
      <c r="R672" s="23">
        <v>5</v>
      </c>
      <c r="S672" s="39">
        <v>0</v>
      </c>
      <c r="T672" s="7" t="s">
        <v>2910</v>
      </c>
      <c r="V672" s="7" t="str">
        <f>+IF(U672="","",IF(U672="FINES",CONCATENATE("R",IF(OR(B672="16",B672="21",B672="22",B672="23"),"16212223",IF(OR(B672="15",B672="17",B672="24",B672="25"),"15172425",B672))),IF(U672="CEBAS","UNICO",IF(VALUE(B672)&lt;=11,"AMBA","INTERIOR"))))</f>
        <v/>
      </c>
      <c r="W672" s="38" t="str">
        <f>+IF(U672="","-",CONCATENATE(U672,"_",V672))</f>
        <v>-</v>
      </c>
      <c r="X672" s="42">
        <v>0.89500000000000002</v>
      </c>
    </row>
    <row r="673" spans="1:24" ht="15" thickBot="1">
      <c r="A673" s="5" t="s">
        <v>2916</v>
      </c>
      <c r="B673" s="5" t="s">
        <v>1257</v>
      </c>
      <c r="C673" s="5" t="s">
        <v>2237</v>
      </c>
      <c r="D673" s="5" t="s">
        <v>2238</v>
      </c>
      <c r="E673" s="5">
        <v>612111</v>
      </c>
      <c r="F673" s="5">
        <v>1</v>
      </c>
      <c r="G673" s="5" t="s">
        <v>2249</v>
      </c>
      <c r="H673" s="5" t="s">
        <v>20</v>
      </c>
      <c r="I673" s="6" t="s">
        <v>50</v>
      </c>
      <c r="J673" s="6" t="s">
        <v>51</v>
      </c>
      <c r="K673" s="6" t="s">
        <v>2250</v>
      </c>
      <c r="L673" s="6" t="s">
        <v>2251</v>
      </c>
      <c r="M673" s="6" t="s">
        <v>22</v>
      </c>
      <c r="N673" s="6" t="s">
        <v>23</v>
      </c>
      <c r="O673" s="6" t="s">
        <v>27</v>
      </c>
      <c r="P673" s="6" t="s">
        <v>28</v>
      </c>
      <c r="Q673" s="22">
        <v>51</v>
      </c>
      <c r="R673" s="23">
        <v>4</v>
      </c>
      <c r="S673" s="39">
        <v>0</v>
      </c>
      <c r="T673" s="7" t="s">
        <v>2910</v>
      </c>
      <c r="V673" s="7" t="str">
        <f>+IF(U673="","",IF(U673="FINES",CONCATENATE("R",IF(OR(B673="16",B673="21",B673="22",B673="23"),"16212223",IF(OR(B673="15",B673="17",B673="24",B673="25"),"15172425",B673))),IF(U673="CEBAS","UNICO",IF(VALUE(B673)&lt;=11,"AMBA","INTERIOR"))))</f>
        <v/>
      </c>
      <c r="W673" s="38" t="str">
        <f>+IF(U673="","-",CONCATENATE(U673,"_",V673))</f>
        <v>-</v>
      </c>
      <c r="X673" s="42">
        <v>0.89900000000000002</v>
      </c>
    </row>
    <row r="674" spans="1:24" ht="15" thickBot="1">
      <c r="A674" s="5" t="s">
        <v>2916</v>
      </c>
      <c r="B674" s="5" t="s">
        <v>1257</v>
      </c>
      <c r="C674" s="5" t="s">
        <v>1255</v>
      </c>
      <c r="D674" s="5" t="s">
        <v>1256</v>
      </c>
      <c r="E674" s="5">
        <v>602537</v>
      </c>
      <c r="F674" s="5">
        <v>2</v>
      </c>
      <c r="G674" s="5" t="s">
        <v>1258</v>
      </c>
      <c r="H674" s="5" t="s">
        <v>20</v>
      </c>
      <c r="I674" s="6" t="s">
        <v>50</v>
      </c>
      <c r="J674" s="6" t="s">
        <v>51</v>
      </c>
      <c r="K674" s="6" t="s">
        <v>1259</v>
      </c>
      <c r="L674" s="6" t="s">
        <v>650</v>
      </c>
      <c r="M674" s="6" t="s">
        <v>22</v>
      </c>
      <c r="N674" s="6" t="s">
        <v>23</v>
      </c>
      <c r="O674" s="6" t="s">
        <v>27</v>
      </c>
      <c r="P674" s="6" t="s">
        <v>28</v>
      </c>
      <c r="Q674" s="22">
        <v>30</v>
      </c>
      <c r="R674" s="23">
        <v>2</v>
      </c>
      <c r="S674" s="39">
        <v>0</v>
      </c>
      <c r="T674" s="7" t="s">
        <v>2910</v>
      </c>
      <c r="V674" s="7" t="str">
        <f>+IF(U674="","",IF(U674="FINES",CONCATENATE("R",IF(OR(B674="16",B674="21",B674="22",B674="23"),"16212223",IF(OR(B674="15",B674="17",B674="24",B674="25"),"15172425",B674))),IF(U674="CEBAS","UNICO",IF(VALUE(B674)&lt;=11,"AMBA","INTERIOR"))))</f>
        <v/>
      </c>
      <c r="W674" s="38" t="str">
        <f>+IF(U674="","-",CONCATENATE(U674,"_",V674))</f>
        <v>-</v>
      </c>
      <c r="X674" s="42">
        <v>0.9</v>
      </c>
    </row>
    <row r="675" spans="1:24" ht="15" thickBot="1">
      <c r="A675" s="3" t="s">
        <v>2916</v>
      </c>
      <c r="B675" s="3" t="s">
        <v>225</v>
      </c>
      <c r="C675" s="3" t="s">
        <v>942</v>
      </c>
      <c r="D675" s="3" t="s">
        <v>943</v>
      </c>
      <c r="E675" s="3">
        <v>600299</v>
      </c>
      <c r="F675" s="3">
        <v>2</v>
      </c>
      <c r="G675" s="3" t="s">
        <v>1001</v>
      </c>
      <c r="H675" s="3" t="s">
        <v>20</v>
      </c>
      <c r="I675" s="4" t="s">
        <v>50</v>
      </c>
      <c r="J675" s="4" t="s">
        <v>51</v>
      </c>
      <c r="K675" s="4" t="s">
        <v>981</v>
      </c>
      <c r="L675" s="4" t="s">
        <v>1002</v>
      </c>
      <c r="M675" s="4" t="s">
        <v>22</v>
      </c>
      <c r="N675" s="4" t="s">
        <v>23</v>
      </c>
      <c r="O675" s="4" t="s">
        <v>27</v>
      </c>
      <c r="P675" s="4" t="s">
        <v>28</v>
      </c>
      <c r="Q675" s="24">
        <v>43</v>
      </c>
      <c r="R675" s="25">
        <v>3</v>
      </c>
      <c r="S675" s="39">
        <v>0</v>
      </c>
      <c r="T675" s="7" t="s">
        <v>2910</v>
      </c>
      <c r="V675" s="7" t="str">
        <f>+IF(U675="","",IF(U675="FINES",CONCATENATE("R",IF(OR(B675="16",B675="21",B675="22",B675="23"),"16212223",IF(OR(B675="15",B675="17",B675="24",B675="25"),"15172425",B675))),IF(U675="CEBAS","UNICO",IF(VALUE(B675)&lt;=11,"AMBA","INTERIOR"))))</f>
        <v/>
      </c>
      <c r="W675" s="38" t="str">
        <f>+IF(U675="","-",CONCATENATE(U675,"_",V675))</f>
        <v>-</v>
      </c>
      <c r="X675" s="42">
        <v>0.90100000000000002</v>
      </c>
    </row>
    <row r="676" spans="1:24" ht="15" thickBot="1">
      <c r="A676" s="5" t="s">
        <v>2916</v>
      </c>
      <c r="B676" s="5" t="s">
        <v>1860</v>
      </c>
      <c r="C676" s="5" t="s">
        <v>411</v>
      </c>
      <c r="D676" s="5" t="s">
        <v>2791</v>
      </c>
      <c r="E676" s="5">
        <v>611054</v>
      </c>
      <c r="F676" s="5">
        <v>1</v>
      </c>
      <c r="G676" s="5" t="s">
        <v>2792</v>
      </c>
      <c r="H676" s="5" t="s">
        <v>20</v>
      </c>
      <c r="I676" s="6" t="s">
        <v>50</v>
      </c>
      <c r="J676" s="6" t="s">
        <v>51</v>
      </c>
      <c r="K676" s="6" t="s">
        <v>2793</v>
      </c>
      <c r="L676" s="6" t="s">
        <v>650</v>
      </c>
      <c r="M676" s="6" t="s">
        <v>22</v>
      </c>
      <c r="N676" s="6" t="s">
        <v>23</v>
      </c>
      <c r="O676" s="6" t="s">
        <v>27</v>
      </c>
      <c r="P676" s="6" t="s">
        <v>28</v>
      </c>
      <c r="Q676" s="22">
        <v>56</v>
      </c>
      <c r="R676" s="23">
        <v>4</v>
      </c>
      <c r="S676" s="39">
        <v>0</v>
      </c>
      <c r="T676" s="7" t="s">
        <v>2910</v>
      </c>
      <c r="V676" s="7" t="str">
        <f>+IF(U676="","",IF(U676="FINES",CONCATENATE("R",IF(OR(B676="16",B676="21",B676="22",B676="23"),"16212223",IF(OR(B676="15",B676="17",B676="24",B676="25"),"15172425",B676))),IF(U676="CEBAS","UNICO",IF(VALUE(B676)&lt;=11,"AMBA","INTERIOR"))))</f>
        <v/>
      </c>
      <c r="W676" s="38" t="str">
        <f>+IF(U676="","-",CONCATENATE(U676,"_",V676))</f>
        <v>-</v>
      </c>
      <c r="X676" s="42">
        <v>0.90200000000000002</v>
      </c>
    </row>
    <row r="677" spans="1:24" ht="15" thickBot="1">
      <c r="A677" s="3" t="s">
        <v>2916</v>
      </c>
      <c r="B677" s="3" t="s">
        <v>220</v>
      </c>
      <c r="C677" s="3" t="s">
        <v>431</v>
      </c>
      <c r="D677" s="3" t="s">
        <v>1184</v>
      </c>
      <c r="E677" s="3">
        <v>607698</v>
      </c>
      <c r="F677" s="3">
        <v>0</v>
      </c>
      <c r="G677" s="3" t="s">
        <v>1185</v>
      </c>
      <c r="H677" s="3" t="s">
        <v>20</v>
      </c>
      <c r="I677" s="4" t="s">
        <v>50</v>
      </c>
      <c r="J677" s="4" t="s">
        <v>21</v>
      </c>
      <c r="K677" s="4"/>
      <c r="L677" s="4" t="s">
        <v>235</v>
      </c>
      <c r="M677" s="4" t="s">
        <v>22</v>
      </c>
      <c r="N677" s="4" t="s">
        <v>23</v>
      </c>
      <c r="O677" s="4" t="s">
        <v>27</v>
      </c>
      <c r="P677" s="4" t="s">
        <v>28</v>
      </c>
      <c r="Q677" s="24">
        <v>31</v>
      </c>
      <c r="R677" s="25">
        <v>2</v>
      </c>
      <c r="S677" s="39">
        <v>0</v>
      </c>
      <c r="T677" s="7" t="s">
        <v>2910</v>
      </c>
      <c r="V677" s="7" t="str">
        <f>+IF(U677="","",IF(U677="FINES",CONCATENATE("R",IF(OR(B677="16",B677="21",B677="22",B677="23"),"16212223",IF(OR(B677="15",B677="17",B677="24",B677="25"),"15172425",B677))),IF(U677="CEBAS","UNICO",IF(VALUE(B677)&lt;=11,"AMBA","INTERIOR"))))</f>
        <v/>
      </c>
      <c r="W677" s="38" t="str">
        <f>+IF(U677="","-",CONCATENATE(U677,"_",V677))</f>
        <v>-</v>
      </c>
      <c r="X677" s="42">
        <v>0.90200000000000002</v>
      </c>
    </row>
    <row r="678" spans="1:24" ht="15" thickBot="1">
      <c r="A678" s="3" t="s">
        <v>2916</v>
      </c>
      <c r="B678" s="3" t="s">
        <v>138</v>
      </c>
      <c r="C678" s="3" t="s">
        <v>436</v>
      </c>
      <c r="D678" s="3" t="s">
        <v>1067</v>
      </c>
      <c r="E678" s="3">
        <v>609057</v>
      </c>
      <c r="F678" s="3">
        <v>3</v>
      </c>
      <c r="G678" s="3" t="s">
        <v>1075</v>
      </c>
      <c r="H678" s="3" t="s">
        <v>20</v>
      </c>
      <c r="I678" s="4" t="s">
        <v>50</v>
      </c>
      <c r="J678" s="4" t="s">
        <v>51</v>
      </c>
      <c r="K678" s="4" t="s">
        <v>1069</v>
      </c>
      <c r="L678" s="4" t="s">
        <v>1076</v>
      </c>
      <c r="M678" s="4" t="s">
        <v>22</v>
      </c>
      <c r="N678" s="4" t="s">
        <v>23</v>
      </c>
      <c r="O678" s="4" t="s">
        <v>27</v>
      </c>
      <c r="P678" s="4" t="s">
        <v>28</v>
      </c>
      <c r="Q678" s="24">
        <v>38</v>
      </c>
      <c r="R678" s="25">
        <v>8</v>
      </c>
      <c r="S678" s="39">
        <v>0</v>
      </c>
      <c r="T678" s="7" t="s">
        <v>2910</v>
      </c>
      <c r="U678" s="7"/>
      <c r="V678" s="7" t="str">
        <f>+IF(U678="","",IF(U678="FINES",CONCATENATE("R",IF(OR(B678="16",B678="21",B678="22",B678="23"),"16212223",IF(OR(B678="15",B678="17",B678="24",B678="25"),"15172425",B678))),IF(U678="CEBAS","UNICO",IF(VALUE(B678)&lt;=11,"AMBA","INTERIOR"))))</f>
        <v/>
      </c>
      <c r="W678" s="38" t="str">
        <f>+IF(U678="","-",CONCATENATE(U678,"_",V678))</f>
        <v>-</v>
      </c>
      <c r="X678" s="42">
        <v>0.90400000000000003</v>
      </c>
    </row>
    <row r="679" spans="1:24" ht="15" thickBot="1">
      <c r="A679" s="3" t="s">
        <v>2916</v>
      </c>
      <c r="B679" s="3" t="s">
        <v>140</v>
      </c>
      <c r="C679" s="3" t="s">
        <v>2277</v>
      </c>
      <c r="D679" s="3" t="s">
        <v>2278</v>
      </c>
      <c r="E679" s="3">
        <v>604559</v>
      </c>
      <c r="F679" s="3">
        <v>3</v>
      </c>
      <c r="G679" s="3" t="s">
        <v>2301</v>
      </c>
      <c r="H679" s="3" t="s">
        <v>20</v>
      </c>
      <c r="I679" s="4" t="s">
        <v>50</v>
      </c>
      <c r="J679" s="4" t="s">
        <v>51</v>
      </c>
      <c r="K679" s="4" t="s">
        <v>2280</v>
      </c>
      <c r="L679" s="4" t="s">
        <v>481</v>
      </c>
      <c r="M679" s="4" t="s">
        <v>22</v>
      </c>
      <c r="N679" s="4" t="s">
        <v>23</v>
      </c>
      <c r="O679" s="4" t="s">
        <v>27</v>
      </c>
      <c r="P679" s="4" t="s">
        <v>28</v>
      </c>
      <c r="Q679" s="24">
        <v>15</v>
      </c>
      <c r="R679" s="25">
        <v>1</v>
      </c>
      <c r="S679" s="39">
        <v>0</v>
      </c>
      <c r="T679" s="7" t="s">
        <v>2910</v>
      </c>
      <c r="U679" s="7"/>
      <c r="V679" s="7" t="str">
        <f>+IF(U679="","",IF(U679="FINES",CONCATENATE("R",IF(OR(B679="16",B679="21",B679="22",B679="23"),"16212223",IF(OR(B679="15",B679="17",B679="24",B679="25"),"15172425",B679))),IF(U679="CEBAS","UNICO",IF(VALUE(B679)&lt;=11,"AMBA","INTERIOR"))))</f>
        <v/>
      </c>
      <c r="W679" s="38" t="str">
        <f>+IF(U679="","-",CONCATENATE(U679,"_",V679))</f>
        <v>-</v>
      </c>
      <c r="X679" s="42">
        <v>0.90900000000000003</v>
      </c>
    </row>
    <row r="680" spans="1:24" ht="15" thickBot="1">
      <c r="A680" s="3" t="s">
        <v>2916</v>
      </c>
      <c r="B680" s="3" t="s">
        <v>1257</v>
      </c>
      <c r="C680" s="3" t="s">
        <v>1255</v>
      </c>
      <c r="D680" s="3" t="s">
        <v>1256</v>
      </c>
      <c r="E680" s="3">
        <v>610589</v>
      </c>
      <c r="F680" s="3">
        <v>1</v>
      </c>
      <c r="G680" s="3" t="s">
        <v>1270</v>
      </c>
      <c r="H680" s="3" t="s">
        <v>20</v>
      </c>
      <c r="I680" s="4" t="s">
        <v>50</v>
      </c>
      <c r="J680" s="4" t="s">
        <v>51</v>
      </c>
      <c r="K680" s="4" t="s">
        <v>1271</v>
      </c>
      <c r="L680" s="4" t="s">
        <v>794</v>
      </c>
      <c r="M680" s="4" t="s">
        <v>22</v>
      </c>
      <c r="N680" s="4" t="s">
        <v>23</v>
      </c>
      <c r="O680" s="4" t="s">
        <v>27</v>
      </c>
      <c r="P680" s="4" t="s">
        <v>28</v>
      </c>
      <c r="Q680" s="24">
        <v>40</v>
      </c>
      <c r="R680" s="25">
        <v>3</v>
      </c>
      <c r="S680" s="39">
        <v>0</v>
      </c>
      <c r="T680" s="7" t="s">
        <v>2910</v>
      </c>
      <c r="U680" s="7"/>
      <c r="V680" s="7" t="str">
        <f>+IF(U680="","",IF(U680="FINES",CONCATENATE("R",IF(OR(B680="16",B680="21",B680="22",B680="23"),"16212223",IF(OR(B680="15",B680="17",B680="24",B680="25"),"15172425",B680))),IF(U680="CEBAS","UNICO",IF(VALUE(B680)&lt;=11,"AMBA","INTERIOR"))))</f>
        <v/>
      </c>
      <c r="W680" s="38" t="str">
        <f>+IF(U680="","-",CONCATENATE(U680,"_",V680))</f>
        <v>-</v>
      </c>
      <c r="X680" s="42">
        <v>0.91</v>
      </c>
    </row>
    <row r="681" spans="1:24" ht="15" thickBot="1">
      <c r="A681" s="3" t="s">
        <v>2916</v>
      </c>
      <c r="B681" s="3" t="s">
        <v>598</v>
      </c>
      <c r="C681" s="3" t="s">
        <v>1204</v>
      </c>
      <c r="D681" s="3" t="s">
        <v>1206</v>
      </c>
      <c r="E681" s="3">
        <v>600737</v>
      </c>
      <c r="F681" s="3">
        <v>0</v>
      </c>
      <c r="G681" s="3" t="s">
        <v>1207</v>
      </c>
      <c r="H681" s="3" t="s">
        <v>20</v>
      </c>
      <c r="I681" s="4" t="s">
        <v>50</v>
      </c>
      <c r="J681" s="4" t="s">
        <v>21</v>
      </c>
      <c r="K681" s="4"/>
      <c r="L681" s="4" t="s">
        <v>672</v>
      </c>
      <c r="M681" s="4" t="s">
        <v>200</v>
      </c>
      <c r="N681" s="4" t="s">
        <v>23</v>
      </c>
      <c r="O681" s="4" t="s">
        <v>27</v>
      </c>
      <c r="P681" s="4" t="s">
        <v>28</v>
      </c>
      <c r="Q681" s="24">
        <v>14</v>
      </c>
      <c r="R681" s="25">
        <v>1</v>
      </c>
      <c r="S681" s="39">
        <v>0</v>
      </c>
      <c r="T681" s="7" t="s">
        <v>2910</v>
      </c>
      <c r="U681" s="7"/>
      <c r="V681" s="7" t="str">
        <f>+IF(U681="","",IF(U681="FINES",CONCATENATE("R",IF(OR(B681="16",B681="21",B681="22",B681="23"),"16212223",IF(OR(B681="15",B681="17",B681="24",B681="25"),"15172425",B681))),IF(U681="CEBAS","UNICO",IF(VALUE(B681)&lt;=11,"AMBA","INTERIOR"))))</f>
        <v/>
      </c>
      <c r="W681" s="38" t="str">
        <f>+IF(U681="","-",CONCATENATE(U681,"_",V681))</f>
        <v>-</v>
      </c>
      <c r="X681" s="42">
        <v>0.91100000000000003</v>
      </c>
    </row>
    <row r="682" spans="1:24" ht="15" thickBot="1">
      <c r="A682" s="5" t="s">
        <v>2916</v>
      </c>
      <c r="B682" s="5" t="s">
        <v>1532</v>
      </c>
      <c r="C682" s="5" t="s">
        <v>1530</v>
      </c>
      <c r="D682" s="5" t="s">
        <v>1531</v>
      </c>
      <c r="E682" s="5">
        <v>612437</v>
      </c>
      <c r="F682" s="5">
        <v>1</v>
      </c>
      <c r="G682" s="5" t="s">
        <v>1608</v>
      </c>
      <c r="H682" s="5" t="s">
        <v>20</v>
      </c>
      <c r="I682" s="6" t="s">
        <v>50</v>
      </c>
      <c r="J682" s="6" t="s">
        <v>51</v>
      </c>
      <c r="K682" s="6" t="s">
        <v>1609</v>
      </c>
      <c r="L682" s="6" t="s">
        <v>1011</v>
      </c>
      <c r="M682" s="6" t="s">
        <v>22</v>
      </c>
      <c r="N682" s="6" t="s">
        <v>134</v>
      </c>
      <c r="O682" s="6" t="s">
        <v>27</v>
      </c>
      <c r="P682" s="6" t="s">
        <v>28</v>
      </c>
      <c r="Q682" s="22">
        <v>41</v>
      </c>
      <c r="R682" s="23">
        <v>3</v>
      </c>
      <c r="S682" s="39">
        <v>0</v>
      </c>
      <c r="T682" s="7" t="s">
        <v>2910</v>
      </c>
      <c r="U682" s="7"/>
      <c r="V682" s="7" t="str">
        <f>+IF(U682="","",IF(U682="FINES",CONCATENATE("R",IF(OR(B682="16",B682="21",B682="22",B682="23"),"16212223",IF(OR(B682="15",B682="17",B682="24",B682="25"),"15172425",B682))),IF(U682="CEBAS","UNICO",IF(VALUE(B682)&lt;=11,"AMBA","INTERIOR"))))</f>
        <v/>
      </c>
      <c r="W682" s="38" t="str">
        <f>+IF(U682="","-",CONCATENATE(U682,"_",V682))</f>
        <v>-</v>
      </c>
      <c r="X682" s="42">
        <v>0.91100000000000003</v>
      </c>
    </row>
    <row r="683" spans="1:24" ht="15" thickBot="1">
      <c r="A683" s="5" t="s">
        <v>2916</v>
      </c>
      <c r="B683" s="5" t="s">
        <v>1257</v>
      </c>
      <c r="C683" s="5" t="s">
        <v>2237</v>
      </c>
      <c r="D683" s="5" t="s">
        <v>2238</v>
      </c>
      <c r="E683" s="5">
        <v>614392</v>
      </c>
      <c r="F683" s="5">
        <v>0</v>
      </c>
      <c r="G683" s="5" t="s">
        <v>2245</v>
      </c>
      <c r="H683" s="5" t="s">
        <v>20</v>
      </c>
      <c r="I683" s="6" t="s">
        <v>25</v>
      </c>
      <c r="J683" s="6" t="s">
        <v>21</v>
      </c>
      <c r="K683" s="6"/>
      <c r="L683" s="6" t="s">
        <v>2246</v>
      </c>
      <c r="M683" s="6" t="s">
        <v>22</v>
      </c>
      <c r="N683" s="6" t="s">
        <v>23</v>
      </c>
      <c r="O683" s="6" t="s">
        <v>27</v>
      </c>
      <c r="P683" s="6" t="s">
        <v>28</v>
      </c>
      <c r="Q683" s="22">
        <v>11</v>
      </c>
      <c r="R683" s="23">
        <v>1</v>
      </c>
      <c r="S683" s="39">
        <v>0</v>
      </c>
      <c r="T683" s="7" t="s">
        <v>2910</v>
      </c>
      <c r="U683" s="7"/>
      <c r="V683" s="7" t="str">
        <f>+IF(U683="","",IF(U683="FINES",CONCATENATE("R",IF(OR(B683="16",B683="21",B683="22",B683="23"),"16212223",IF(OR(B683="15",B683="17",B683="24",B683="25"),"15172425",B683))),IF(U683="CEBAS","UNICO",IF(VALUE(B683)&lt;=11,"AMBA","INTERIOR"))))</f>
        <v/>
      </c>
      <c r="W683" s="38" t="str">
        <f>+IF(U683="","-",CONCATENATE(U683,"_",V683))</f>
        <v>-</v>
      </c>
      <c r="X683" s="42">
        <v>0.91100000000000003</v>
      </c>
    </row>
    <row r="684" spans="1:24" ht="15" thickBot="1">
      <c r="A684" s="5" t="s">
        <v>2916</v>
      </c>
      <c r="B684" s="5" t="s">
        <v>598</v>
      </c>
      <c r="C684" s="5" t="s">
        <v>748</v>
      </c>
      <c r="D684" s="5" t="s">
        <v>2452</v>
      </c>
      <c r="E684" s="5">
        <v>612051</v>
      </c>
      <c r="F684" s="5">
        <v>3</v>
      </c>
      <c r="G684" s="5" t="s">
        <v>2456</v>
      </c>
      <c r="H684" s="5" t="s">
        <v>20</v>
      </c>
      <c r="I684" s="6" t="s">
        <v>50</v>
      </c>
      <c r="J684" s="6" t="s">
        <v>51</v>
      </c>
      <c r="K684" s="6" t="s">
        <v>2454</v>
      </c>
      <c r="L684" s="6" t="s">
        <v>528</v>
      </c>
      <c r="M684" s="6" t="s">
        <v>22</v>
      </c>
      <c r="N684" s="6" t="s">
        <v>23</v>
      </c>
      <c r="O684" s="6" t="s">
        <v>27</v>
      </c>
      <c r="P684" s="6" t="s">
        <v>28</v>
      </c>
      <c r="Q684" s="22">
        <v>13</v>
      </c>
      <c r="R684" s="23">
        <v>1</v>
      </c>
      <c r="S684" s="39">
        <v>0</v>
      </c>
      <c r="T684" s="7" t="s">
        <v>2910</v>
      </c>
      <c r="U684" s="7"/>
      <c r="V684" s="7" t="str">
        <f>+IF(U684="","",IF(U684="FINES",CONCATENATE("R",IF(OR(B684="16",B684="21",B684="22",B684="23"),"16212223",IF(OR(B684="15",B684="17",B684="24",B684="25"),"15172425",B684))),IF(U684="CEBAS","UNICO",IF(VALUE(B684)&lt;=11,"AMBA","INTERIOR"))))</f>
        <v/>
      </c>
      <c r="W684" s="38" t="str">
        <f>+IF(U684="","-",CONCATENATE(U684,"_",V684))</f>
        <v>-</v>
      </c>
      <c r="X684" s="42">
        <v>0.91200000000000003</v>
      </c>
    </row>
    <row r="685" spans="1:24" ht="15" thickBot="1">
      <c r="A685" s="3" t="s">
        <v>2916</v>
      </c>
      <c r="B685" s="3" t="s">
        <v>1257</v>
      </c>
      <c r="C685" s="3" t="s">
        <v>1255</v>
      </c>
      <c r="D685" s="3" t="s">
        <v>1256</v>
      </c>
      <c r="E685" s="3">
        <v>609362</v>
      </c>
      <c r="F685" s="3">
        <v>1</v>
      </c>
      <c r="G685" s="3" t="s">
        <v>1266</v>
      </c>
      <c r="H685" s="3" t="s">
        <v>20</v>
      </c>
      <c r="I685" s="4" t="s">
        <v>50</v>
      </c>
      <c r="J685" s="4" t="s">
        <v>51</v>
      </c>
      <c r="K685" s="4" t="s">
        <v>1267</v>
      </c>
      <c r="L685" s="4" t="s">
        <v>1230</v>
      </c>
      <c r="M685" s="4" t="s">
        <v>22</v>
      </c>
      <c r="N685" s="4" t="s">
        <v>23</v>
      </c>
      <c r="O685" s="4" t="s">
        <v>27</v>
      </c>
      <c r="P685" s="4" t="s">
        <v>28</v>
      </c>
      <c r="Q685" s="24">
        <v>60</v>
      </c>
      <c r="R685" s="25">
        <v>5</v>
      </c>
      <c r="S685" s="39">
        <v>0</v>
      </c>
      <c r="T685" s="7" t="s">
        <v>2910</v>
      </c>
      <c r="U685" s="7"/>
      <c r="V685" s="7" t="str">
        <f>+IF(U685="","",IF(U685="FINES",CONCATENATE("R",IF(OR(B685="16",B685="21",B685="22",B685="23"),"16212223",IF(OR(B685="15",B685="17",B685="24",B685="25"),"15172425",B685))),IF(U685="CEBAS","UNICO",IF(VALUE(B685)&lt;=11,"AMBA","INTERIOR"))))</f>
        <v/>
      </c>
      <c r="W685" s="38" t="str">
        <f>+IF(U685="","-",CONCATENATE(U685,"_",V685))</f>
        <v>-</v>
      </c>
      <c r="X685" s="42">
        <v>0.91400000000000003</v>
      </c>
    </row>
    <row r="686" spans="1:24" ht="15" thickBot="1">
      <c r="A686" s="5" t="s">
        <v>2916</v>
      </c>
      <c r="B686" s="5" t="s">
        <v>221</v>
      </c>
      <c r="C686" s="5" t="s">
        <v>558</v>
      </c>
      <c r="D686" s="5" t="s">
        <v>1960</v>
      </c>
      <c r="E686" s="5">
        <v>613647</v>
      </c>
      <c r="F686" s="5">
        <v>5</v>
      </c>
      <c r="G686" s="5" t="s">
        <v>1972</v>
      </c>
      <c r="H686" s="5" t="s">
        <v>20</v>
      </c>
      <c r="I686" s="6" t="s">
        <v>50</v>
      </c>
      <c r="J686" s="6" t="s">
        <v>51</v>
      </c>
      <c r="K686" s="6" t="s">
        <v>1968</v>
      </c>
      <c r="L686" s="6" t="s">
        <v>1973</v>
      </c>
      <c r="M686" s="6" t="s">
        <v>22</v>
      </c>
      <c r="N686" s="6" t="s">
        <v>23</v>
      </c>
      <c r="O686" s="6" t="s">
        <v>27</v>
      </c>
      <c r="P686" s="6" t="s">
        <v>28</v>
      </c>
      <c r="Q686" s="22">
        <v>42</v>
      </c>
      <c r="R686" s="23">
        <v>2</v>
      </c>
      <c r="S686" s="39">
        <v>0</v>
      </c>
      <c r="T686" s="7" t="s">
        <v>2910</v>
      </c>
      <c r="U686" s="7"/>
      <c r="V686" s="7" t="str">
        <f>+IF(U686="","",IF(U686="FINES",CONCATENATE("R",IF(OR(B686="16",B686="21",B686="22",B686="23"),"16212223",IF(OR(B686="15",B686="17",B686="24",B686="25"),"15172425",B686))),IF(U686="CEBAS","UNICO",IF(VALUE(B686)&lt;=11,"AMBA","INTERIOR"))))</f>
        <v/>
      </c>
      <c r="W686" s="38" t="str">
        <f>+IF(U686="","-",CONCATENATE(U686,"_",V686))</f>
        <v>-</v>
      </c>
      <c r="X686" s="42">
        <v>0.91700000000000004</v>
      </c>
    </row>
    <row r="687" spans="1:24" ht="15" thickBot="1">
      <c r="A687" s="5" t="s">
        <v>2916</v>
      </c>
      <c r="B687" s="5" t="s">
        <v>1780</v>
      </c>
      <c r="C687" s="5" t="s">
        <v>1778</v>
      </c>
      <c r="D687" s="5" t="s">
        <v>1779</v>
      </c>
      <c r="E687" s="5">
        <v>610077</v>
      </c>
      <c r="F687" s="5">
        <v>3</v>
      </c>
      <c r="G687" s="5" t="s">
        <v>1805</v>
      </c>
      <c r="H687" s="5" t="s">
        <v>20</v>
      </c>
      <c r="I687" s="6" t="s">
        <v>50</v>
      </c>
      <c r="J687" s="6" t="s">
        <v>51</v>
      </c>
      <c r="K687" s="6" t="s">
        <v>1802</v>
      </c>
      <c r="L687" s="6" t="s">
        <v>262</v>
      </c>
      <c r="M687" s="6" t="s">
        <v>22</v>
      </c>
      <c r="N687" s="6" t="s">
        <v>23</v>
      </c>
      <c r="O687" s="6" t="s">
        <v>27</v>
      </c>
      <c r="P687" s="6" t="s">
        <v>28</v>
      </c>
      <c r="Q687" s="22">
        <v>14</v>
      </c>
      <c r="R687" s="23">
        <v>2</v>
      </c>
      <c r="S687" s="39">
        <v>0</v>
      </c>
      <c r="T687" s="7" t="s">
        <v>2910</v>
      </c>
      <c r="U687" s="7"/>
      <c r="V687" s="7" t="str">
        <f>+IF(U687="","",IF(U687="FINES",CONCATENATE("R",IF(OR(B687="16",B687="21",B687="22",B687="23"),"16212223",IF(OR(B687="15",B687="17",B687="24",B687="25"),"15172425",B687))),IF(U687="CEBAS","UNICO",IF(VALUE(B687)&lt;=11,"AMBA","INTERIOR"))))</f>
        <v/>
      </c>
      <c r="W687" s="38" t="str">
        <f>+IF(U687="","-",CONCATENATE(U687,"_",V687))</f>
        <v>-</v>
      </c>
      <c r="X687" s="42">
        <v>0.91900000000000004</v>
      </c>
    </row>
    <row r="688" spans="1:24" ht="15" thickBot="1">
      <c r="A688" s="3" t="s">
        <v>2916</v>
      </c>
      <c r="B688" s="3" t="s">
        <v>135</v>
      </c>
      <c r="C688" s="3" t="s">
        <v>354</v>
      </c>
      <c r="D688" s="3" t="s">
        <v>897</v>
      </c>
      <c r="E688" s="3">
        <v>604438</v>
      </c>
      <c r="F688" s="3">
        <v>0</v>
      </c>
      <c r="G688" s="3" t="s">
        <v>899</v>
      </c>
      <c r="H688" s="3" t="s">
        <v>20</v>
      </c>
      <c r="I688" s="4" t="s">
        <v>50</v>
      </c>
      <c r="J688" s="4" t="s">
        <v>21</v>
      </c>
      <c r="K688" s="4"/>
      <c r="L688" s="4" t="s">
        <v>235</v>
      </c>
      <c r="M688" s="4" t="s">
        <v>22</v>
      </c>
      <c r="N688" s="4" t="s">
        <v>23</v>
      </c>
      <c r="O688" s="4" t="s">
        <v>27</v>
      </c>
      <c r="P688" s="4" t="s">
        <v>28</v>
      </c>
      <c r="Q688" s="24">
        <v>7</v>
      </c>
      <c r="R688" s="25">
        <v>1</v>
      </c>
      <c r="S688" s="39">
        <v>0</v>
      </c>
      <c r="T688" s="7" t="s">
        <v>2910</v>
      </c>
      <c r="U688" s="7"/>
      <c r="V688" s="7" t="str">
        <f>+IF(U688="","",IF(U688="FINES",CONCATENATE("R",IF(OR(B688="16",B688="21",B688="22",B688="23"),"16212223",IF(OR(B688="15",B688="17",B688="24",B688="25"),"15172425",B688))),IF(U688="CEBAS","UNICO",IF(VALUE(B688)&lt;=11,"AMBA","INTERIOR"))))</f>
        <v/>
      </c>
      <c r="W688" s="38" t="str">
        <f>+IF(U688="","-",CONCATENATE(U688,"_",V688))</f>
        <v>-</v>
      </c>
      <c r="X688" s="42">
        <v>0.92</v>
      </c>
    </row>
    <row r="689" spans="1:24" ht="15" thickBot="1">
      <c r="A689" s="5" t="s">
        <v>2916</v>
      </c>
      <c r="B689" s="5" t="s">
        <v>1257</v>
      </c>
      <c r="C689" s="5" t="s">
        <v>519</v>
      </c>
      <c r="D689" s="5" t="s">
        <v>2470</v>
      </c>
      <c r="E689" s="5">
        <v>602305</v>
      </c>
      <c r="F689" s="5">
        <v>2</v>
      </c>
      <c r="G689" s="5" t="s">
        <v>2479</v>
      </c>
      <c r="H689" s="5" t="s">
        <v>20</v>
      </c>
      <c r="I689" s="6" t="s">
        <v>50</v>
      </c>
      <c r="J689" s="6" t="s">
        <v>51</v>
      </c>
      <c r="K689" s="6" t="s">
        <v>2474</v>
      </c>
      <c r="L689" s="6" t="s">
        <v>886</v>
      </c>
      <c r="M689" s="6" t="s">
        <v>22</v>
      </c>
      <c r="N689" s="6" t="s">
        <v>23</v>
      </c>
      <c r="O689" s="6" t="s">
        <v>27</v>
      </c>
      <c r="P689" s="6" t="s">
        <v>28</v>
      </c>
      <c r="Q689" s="22">
        <v>22</v>
      </c>
      <c r="R689" s="23">
        <v>2</v>
      </c>
      <c r="S689" s="39">
        <v>0</v>
      </c>
      <c r="T689" s="7" t="s">
        <v>2910</v>
      </c>
      <c r="U689" s="7"/>
      <c r="V689" s="7" t="str">
        <f>+IF(U689="","",IF(U689="FINES",CONCATENATE("R",IF(OR(B689="16",B689="21",B689="22",B689="23"),"16212223",IF(OR(B689="15",B689="17",B689="24",B689="25"),"15172425",B689))),IF(U689="CEBAS","UNICO",IF(VALUE(B689)&lt;=11,"AMBA","INTERIOR"))))</f>
        <v/>
      </c>
      <c r="W689" s="38" t="str">
        <f>+IF(U689="","-",CONCATENATE(U689,"_",V689))</f>
        <v>-</v>
      </c>
      <c r="X689" s="42">
        <v>0.92200000000000004</v>
      </c>
    </row>
    <row r="690" spans="1:24" ht="15" thickBot="1">
      <c r="A690" s="5" t="s">
        <v>2916</v>
      </c>
      <c r="B690" s="5" t="s">
        <v>356</v>
      </c>
      <c r="C690" s="5" t="s">
        <v>805</v>
      </c>
      <c r="D690" s="5" t="s">
        <v>2500</v>
      </c>
      <c r="E690" s="5">
        <v>605130</v>
      </c>
      <c r="F690" s="5">
        <v>4</v>
      </c>
      <c r="G690" s="5" t="s">
        <v>2533</v>
      </c>
      <c r="H690" s="5" t="s">
        <v>20</v>
      </c>
      <c r="I690" s="6" t="s">
        <v>50</v>
      </c>
      <c r="J690" s="6" t="s">
        <v>51</v>
      </c>
      <c r="K690" s="6" t="s">
        <v>2519</v>
      </c>
      <c r="L690" s="6" t="s">
        <v>2534</v>
      </c>
      <c r="M690" s="6" t="s">
        <v>22</v>
      </c>
      <c r="N690" s="6" t="s">
        <v>23</v>
      </c>
      <c r="O690" s="6" t="s">
        <v>27</v>
      </c>
      <c r="P690" s="6" t="s">
        <v>28</v>
      </c>
      <c r="Q690" s="22">
        <v>14</v>
      </c>
      <c r="R690" s="23">
        <v>1</v>
      </c>
      <c r="S690" s="39">
        <v>0</v>
      </c>
      <c r="T690" s="7" t="s">
        <v>2910</v>
      </c>
      <c r="U690" s="7"/>
      <c r="V690" s="7" t="str">
        <f>+IF(U690="","",IF(U690="FINES",CONCATENATE("R",IF(OR(B690="16",B690="21",B690="22",B690="23"),"16212223",IF(OR(B690="15",B690="17",B690="24",B690="25"),"15172425",B690))),IF(U690="CEBAS","UNICO",IF(VALUE(B690)&lt;=11,"AMBA","INTERIOR"))))</f>
        <v/>
      </c>
      <c r="W690" s="38" t="str">
        <f>+IF(U690="","-",CONCATENATE(U690,"_",V690))</f>
        <v>-</v>
      </c>
      <c r="X690" s="42">
        <v>0.92300000000000004</v>
      </c>
    </row>
    <row r="691" spans="1:24" ht="15" thickBot="1">
      <c r="A691" s="3" t="s">
        <v>2916</v>
      </c>
      <c r="B691" s="3" t="s">
        <v>222</v>
      </c>
      <c r="C691" s="3" t="s">
        <v>610</v>
      </c>
      <c r="D691" s="3" t="s">
        <v>611</v>
      </c>
      <c r="E691" s="3">
        <v>605903</v>
      </c>
      <c r="F691" s="3">
        <v>3</v>
      </c>
      <c r="G691" s="3" t="s">
        <v>620</v>
      </c>
      <c r="H691" s="3" t="s">
        <v>20</v>
      </c>
      <c r="I691" s="4" t="s">
        <v>50</v>
      </c>
      <c r="J691" s="4" t="s">
        <v>51</v>
      </c>
      <c r="K691" s="4" t="s">
        <v>616</v>
      </c>
      <c r="L691" s="4" t="s">
        <v>621</v>
      </c>
      <c r="M691" s="4" t="s">
        <v>22</v>
      </c>
      <c r="N691" s="4" t="s">
        <v>23</v>
      </c>
      <c r="O691" s="4" t="s">
        <v>27</v>
      </c>
      <c r="P691" s="4" t="s">
        <v>28</v>
      </c>
      <c r="Q691" s="24">
        <v>60</v>
      </c>
      <c r="R691" s="25">
        <v>4</v>
      </c>
      <c r="S691" s="39">
        <v>0</v>
      </c>
      <c r="T691" s="7" t="s">
        <v>2910</v>
      </c>
      <c r="U691" s="7"/>
      <c r="V691" s="7" t="str">
        <f>+IF(U691="","",IF(U691="FINES",CONCATENATE("R",IF(OR(B691="16",B691="21",B691="22",B691="23"),"16212223",IF(OR(B691="15",B691="17",B691="24",B691="25"),"15172425",B691))),IF(U691="CEBAS","UNICO",IF(VALUE(B691)&lt;=11,"AMBA","INTERIOR"))))</f>
        <v/>
      </c>
      <c r="W691" s="38" t="str">
        <f>+IF(U691="","-",CONCATENATE(U691,"_",V691))</f>
        <v>-</v>
      </c>
      <c r="X691" s="42">
        <v>0.92600000000000005</v>
      </c>
    </row>
    <row r="692" spans="1:24" ht="15" thickBot="1">
      <c r="A692" s="5" t="s">
        <v>2916</v>
      </c>
      <c r="B692" s="5" t="s">
        <v>1780</v>
      </c>
      <c r="C692" s="5" t="s">
        <v>1248</v>
      </c>
      <c r="D692" s="5" t="s">
        <v>2348</v>
      </c>
      <c r="E692" s="5">
        <v>600464</v>
      </c>
      <c r="F692" s="5">
        <v>1</v>
      </c>
      <c r="G692" s="5" t="s">
        <v>2351</v>
      </c>
      <c r="H692" s="5" t="s">
        <v>20</v>
      </c>
      <c r="I692" s="6" t="s">
        <v>50</v>
      </c>
      <c r="J692" s="6" t="s">
        <v>51</v>
      </c>
      <c r="K692" s="6" t="s">
        <v>2352</v>
      </c>
      <c r="L692" s="6" t="s">
        <v>778</v>
      </c>
      <c r="M692" s="6" t="s">
        <v>22</v>
      </c>
      <c r="N692" s="6" t="s">
        <v>23</v>
      </c>
      <c r="O692" s="6" t="s">
        <v>27</v>
      </c>
      <c r="P692" s="6" t="s">
        <v>28</v>
      </c>
      <c r="Q692" s="22">
        <v>56</v>
      </c>
      <c r="R692" s="23">
        <v>3</v>
      </c>
      <c r="S692" s="39">
        <v>0</v>
      </c>
      <c r="T692" s="7" t="s">
        <v>2910</v>
      </c>
      <c r="U692" s="7"/>
      <c r="V692" s="7" t="str">
        <f>+IF(U692="","",IF(U692="FINES",CONCATENATE("R",IF(OR(B692="16",B692="21",B692="22",B692="23"),"16212223",IF(OR(B692="15",B692="17",B692="24",B692="25"),"15172425",B692))),IF(U692="CEBAS","UNICO",IF(VALUE(B692)&lt;=11,"AMBA","INTERIOR"))))</f>
        <v/>
      </c>
      <c r="W692" s="38" t="str">
        <f>+IF(U692="","-",CONCATENATE(U692,"_",V692))</f>
        <v>-</v>
      </c>
      <c r="X692" s="42">
        <v>0.92700000000000005</v>
      </c>
    </row>
    <row r="693" spans="1:24" ht="15" thickBot="1">
      <c r="A693" s="5" t="s">
        <v>2916</v>
      </c>
      <c r="B693" s="5" t="s">
        <v>223</v>
      </c>
      <c r="C693" s="5" t="s">
        <v>913</v>
      </c>
      <c r="D693" s="5" t="s">
        <v>914</v>
      </c>
      <c r="E693" s="5">
        <v>603105</v>
      </c>
      <c r="F693" s="5">
        <v>0</v>
      </c>
      <c r="G693" s="5" t="s">
        <v>915</v>
      </c>
      <c r="H693" s="5" t="s">
        <v>20</v>
      </c>
      <c r="I693" s="6" t="s">
        <v>50</v>
      </c>
      <c r="J693" s="6" t="s">
        <v>21</v>
      </c>
      <c r="K693" s="6"/>
      <c r="L693" s="6" t="s">
        <v>543</v>
      </c>
      <c r="M693" s="6" t="s">
        <v>22</v>
      </c>
      <c r="N693" s="6" t="s">
        <v>23</v>
      </c>
      <c r="O693" s="6" t="s">
        <v>27</v>
      </c>
      <c r="P693" s="6" t="s">
        <v>28</v>
      </c>
      <c r="Q693" s="22">
        <v>9</v>
      </c>
      <c r="R693" s="23">
        <v>1</v>
      </c>
      <c r="S693" s="39">
        <v>0</v>
      </c>
      <c r="T693" s="7" t="s">
        <v>2910</v>
      </c>
      <c r="U693" s="7"/>
      <c r="V693" s="7" t="str">
        <f>+IF(U693="","",IF(U693="FINES",CONCATENATE("R",IF(OR(B693="16",B693="21",B693="22",B693="23"),"16212223",IF(OR(B693="15",B693="17",B693="24",B693="25"),"15172425",B693))),IF(U693="CEBAS","UNICO",IF(VALUE(B693)&lt;=11,"AMBA","INTERIOR"))))</f>
        <v/>
      </c>
      <c r="W693" s="38" t="str">
        <f>+IF(U693="","-",CONCATENATE(U693,"_",V693))</f>
        <v>-</v>
      </c>
      <c r="X693" s="42">
        <v>0.92800000000000005</v>
      </c>
    </row>
    <row r="694" spans="1:24" ht="15" thickBot="1">
      <c r="A694" s="3" t="s">
        <v>2916</v>
      </c>
      <c r="B694" s="3" t="s">
        <v>19</v>
      </c>
      <c r="C694" s="3" t="s">
        <v>17</v>
      </c>
      <c r="D694" s="3" t="s">
        <v>18</v>
      </c>
      <c r="E694" s="3">
        <v>611400</v>
      </c>
      <c r="F694" s="3">
        <v>0</v>
      </c>
      <c r="G694" s="3" t="s">
        <v>214</v>
      </c>
      <c r="H694" s="3" t="s">
        <v>210</v>
      </c>
      <c r="I694" s="4" t="s">
        <v>142</v>
      </c>
      <c r="J694" s="4" t="s">
        <v>21</v>
      </c>
      <c r="K694" s="4"/>
      <c r="L694" s="4" t="s">
        <v>215</v>
      </c>
      <c r="M694" s="4" t="s">
        <v>22</v>
      </c>
      <c r="N694" s="4" t="s">
        <v>134</v>
      </c>
      <c r="O694" s="4" t="s">
        <v>27</v>
      </c>
      <c r="P694" s="4" t="s">
        <v>144</v>
      </c>
      <c r="Q694" s="24">
        <v>57</v>
      </c>
      <c r="R694" s="25">
        <v>3</v>
      </c>
      <c r="S694" s="39">
        <v>0</v>
      </c>
      <c r="T694" s="7" t="s">
        <v>2909</v>
      </c>
      <c r="U694" s="7"/>
      <c r="V694" s="7" t="str">
        <f>+IF(U694="","",IF(U694="FINES",CONCATENATE("R",IF(OR(B694="16",B694="21",B694="22",B694="23"),"16212223",IF(OR(B694="15",B694="17",B694="24",B694="25"),"15172425",B694))),IF(U694="CEBAS","UNICO",IF(VALUE(B694)&lt;=11,"AMBA","INTERIOR"))))</f>
        <v/>
      </c>
      <c r="W694" s="38" t="str">
        <f>+IF(U694="","-",CONCATENATE(U694,"_",V694))</f>
        <v>-</v>
      </c>
      <c r="X694" s="42">
        <v>0.92800000000000005</v>
      </c>
    </row>
    <row r="695" spans="1:24" ht="15" thickBot="1">
      <c r="A695" s="5" t="s">
        <v>2916</v>
      </c>
      <c r="B695" s="5" t="s">
        <v>356</v>
      </c>
      <c r="C695" s="5" t="s">
        <v>805</v>
      </c>
      <c r="D695" s="5" t="s">
        <v>2500</v>
      </c>
      <c r="E695" s="5">
        <v>607663</v>
      </c>
      <c r="F695" s="5">
        <v>1</v>
      </c>
      <c r="G695" s="5" t="s">
        <v>2514</v>
      </c>
      <c r="H695" s="5" t="s">
        <v>20</v>
      </c>
      <c r="I695" s="6" t="s">
        <v>50</v>
      </c>
      <c r="J695" s="6" t="s">
        <v>51</v>
      </c>
      <c r="K695" s="6" t="s">
        <v>2515</v>
      </c>
      <c r="L695" s="6" t="s">
        <v>478</v>
      </c>
      <c r="M695" s="6" t="s">
        <v>22</v>
      </c>
      <c r="N695" s="6" t="s">
        <v>23</v>
      </c>
      <c r="O695" s="6" t="s">
        <v>27</v>
      </c>
      <c r="P695" s="6" t="s">
        <v>28</v>
      </c>
      <c r="Q695" s="22">
        <v>45</v>
      </c>
      <c r="R695" s="23">
        <v>3</v>
      </c>
      <c r="S695" s="39">
        <v>0</v>
      </c>
      <c r="T695" s="7" t="s">
        <v>2910</v>
      </c>
      <c r="U695" s="7"/>
      <c r="V695" s="7" t="str">
        <f>+IF(U695="","",IF(U695="FINES",CONCATENATE("R",IF(OR(B695="16",B695="21",B695="22",B695="23"),"16212223",IF(OR(B695="15",B695="17",B695="24",B695="25"),"15172425",B695))),IF(U695="CEBAS","UNICO",IF(VALUE(B695)&lt;=11,"AMBA","INTERIOR"))))</f>
        <v/>
      </c>
      <c r="W695" s="38" t="str">
        <f>+IF(U695="","-",CONCATENATE(U695,"_",V695))</f>
        <v>-</v>
      </c>
      <c r="X695" s="42">
        <v>0.93</v>
      </c>
    </row>
    <row r="696" spans="1:24" ht="15" thickBot="1">
      <c r="A696" s="5" t="s">
        <v>2916</v>
      </c>
      <c r="B696" s="5" t="s">
        <v>1532</v>
      </c>
      <c r="C696" s="5" t="s">
        <v>1530</v>
      </c>
      <c r="D696" s="5" t="s">
        <v>1531</v>
      </c>
      <c r="E696" s="5">
        <v>614417</v>
      </c>
      <c r="F696" s="5">
        <v>0</v>
      </c>
      <c r="G696" s="5" t="s">
        <v>1555</v>
      </c>
      <c r="H696" s="5" t="s">
        <v>20</v>
      </c>
      <c r="I696" s="6" t="s">
        <v>25</v>
      </c>
      <c r="J696" s="6" t="s">
        <v>21</v>
      </c>
      <c r="K696" s="6"/>
      <c r="L696" s="6" t="s">
        <v>1556</v>
      </c>
      <c r="M696" s="6" t="s">
        <v>22</v>
      </c>
      <c r="N696" s="6" t="s">
        <v>134</v>
      </c>
      <c r="O696" s="6" t="s">
        <v>27</v>
      </c>
      <c r="P696" s="6" t="s">
        <v>28</v>
      </c>
      <c r="Q696" s="22">
        <v>16</v>
      </c>
      <c r="R696" s="23">
        <v>1</v>
      </c>
      <c r="S696" s="39">
        <v>0</v>
      </c>
      <c r="T696" s="7" t="s">
        <v>2910</v>
      </c>
      <c r="U696" s="7"/>
      <c r="V696" s="7" t="str">
        <f>+IF(U696="","",IF(U696="FINES",CONCATENATE("R",IF(OR(B696="16",B696="21",B696="22",B696="23"),"16212223",IF(OR(B696="15",B696="17",B696="24",B696="25"),"15172425",B696))),IF(U696="CEBAS","UNICO",IF(VALUE(B696)&lt;=11,"AMBA","INTERIOR"))))</f>
        <v/>
      </c>
      <c r="W696" s="38" t="str">
        <f>+IF(U696="","-",CONCATENATE(U696,"_",V696))</f>
        <v>-</v>
      </c>
      <c r="X696" s="42">
        <v>0.93200000000000005</v>
      </c>
    </row>
    <row r="697" spans="1:24" ht="15" thickBot="1">
      <c r="A697" s="5" t="s">
        <v>2916</v>
      </c>
      <c r="B697" s="5" t="s">
        <v>204</v>
      </c>
      <c r="C697" s="5" t="s">
        <v>137</v>
      </c>
      <c r="D697" s="5" t="s">
        <v>2629</v>
      </c>
      <c r="E697" s="5">
        <v>613718</v>
      </c>
      <c r="F697" s="5">
        <v>1</v>
      </c>
      <c r="G697" s="5" t="s">
        <v>2633</v>
      </c>
      <c r="H697" s="5" t="s">
        <v>20</v>
      </c>
      <c r="I697" s="6" t="s">
        <v>50</v>
      </c>
      <c r="J697" s="6" t="s">
        <v>51</v>
      </c>
      <c r="K697" s="6" t="s">
        <v>2634</v>
      </c>
      <c r="L697" s="6" t="s">
        <v>778</v>
      </c>
      <c r="M697" s="6" t="s">
        <v>22</v>
      </c>
      <c r="N697" s="6" t="s">
        <v>23</v>
      </c>
      <c r="O697" s="6" t="s">
        <v>27</v>
      </c>
      <c r="P697" s="6" t="s">
        <v>28</v>
      </c>
      <c r="Q697" s="22">
        <v>8</v>
      </c>
      <c r="R697" s="23">
        <v>1</v>
      </c>
      <c r="S697" s="39">
        <v>0</v>
      </c>
      <c r="T697" s="7" t="s">
        <v>2910</v>
      </c>
      <c r="U697" s="7"/>
      <c r="V697" s="7" t="str">
        <f>+IF(U697="","",IF(U697="FINES",CONCATENATE("R",IF(OR(B697="16",B697="21",B697="22",B697="23"),"16212223",IF(OR(B697="15",B697="17",B697="24",B697="25"),"15172425",B697))),IF(U697="CEBAS","UNICO",IF(VALUE(B697)&lt;=11,"AMBA","INTERIOR"))))</f>
        <v/>
      </c>
      <c r="W697" s="38" t="str">
        <f>+IF(U697="","-",CONCATENATE(U697,"_",V697))</f>
        <v>-</v>
      </c>
      <c r="X697" s="42">
        <v>0.93799999999999994</v>
      </c>
    </row>
    <row r="698" spans="1:24" ht="15" thickBot="1">
      <c r="A698" s="3" t="s">
        <v>2916</v>
      </c>
      <c r="B698" s="3" t="s">
        <v>356</v>
      </c>
      <c r="C698" s="3" t="s">
        <v>1359</v>
      </c>
      <c r="D698" s="3" t="s">
        <v>1360</v>
      </c>
      <c r="E698" s="3">
        <v>609351</v>
      </c>
      <c r="F698" s="3">
        <v>0</v>
      </c>
      <c r="G698" s="3" t="s">
        <v>1466</v>
      </c>
      <c r="H698" s="3" t="s">
        <v>210</v>
      </c>
      <c r="I698" s="4" t="s">
        <v>202</v>
      </c>
      <c r="J698" s="4" t="s">
        <v>21</v>
      </c>
      <c r="K698" s="4"/>
      <c r="L698" s="4" t="s">
        <v>1467</v>
      </c>
      <c r="M698" s="4" t="s">
        <v>22</v>
      </c>
      <c r="N698" s="4" t="s">
        <v>134</v>
      </c>
      <c r="O698" s="4" t="s">
        <v>27</v>
      </c>
      <c r="P698" s="4" t="s">
        <v>144</v>
      </c>
      <c r="Q698" s="24">
        <v>19</v>
      </c>
      <c r="R698" s="25">
        <v>1</v>
      </c>
      <c r="S698" s="39">
        <v>0</v>
      </c>
      <c r="T698" s="7" t="s">
        <v>2909</v>
      </c>
      <c r="U698" s="7"/>
      <c r="V698" s="7" t="str">
        <f>+IF(U698="","",IF(U698="FINES",CONCATENATE("R",IF(OR(B698="16",B698="21",B698="22",B698="23"),"16212223",IF(OR(B698="15",B698="17",B698="24",B698="25"),"15172425",B698))),IF(U698="CEBAS","UNICO",IF(VALUE(B698)&lt;=11,"AMBA","INTERIOR"))))</f>
        <v/>
      </c>
      <c r="W698" s="38" t="str">
        <f>+IF(U698="","-",CONCATENATE(U698,"_",V698))</f>
        <v>-</v>
      </c>
      <c r="X698" s="42">
        <v>0.94</v>
      </c>
    </row>
    <row r="699" spans="1:24" ht="15" thickBot="1">
      <c r="A699" s="3" t="s">
        <v>2916</v>
      </c>
      <c r="B699" s="3" t="s">
        <v>257</v>
      </c>
      <c r="C699" s="3" t="s">
        <v>254</v>
      </c>
      <c r="D699" s="3" t="s">
        <v>256</v>
      </c>
      <c r="E699" s="3">
        <v>613277</v>
      </c>
      <c r="F699" s="3">
        <v>1</v>
      </c>
      <c r="G699" s="3" t="s">
        <v>294</v>
      </c>
      <c r="H699" s="3" t="s">
        <v>20</v>
      </c>
      <c r="I699" s="4" t="s">
        <v>50</v>
      </c>
      <c r="J699" s="4" t="s">
        <v>51</v>
      </c>
      <c r="K699" s="4" t="s">
        <v>295</v>
      </c>
      <c r="L699" s="4" t="s">
        <v>296</v>
      </c>
      <c r="M699" s="4" t="s">
        <v>22</v>
      </c>
      <c r="N699" s="4" t="s">
        <v>23</v>
      </c>
      <c r="O699" s="4" t="s">
        <v>27</v>
      </c>
      <c r="P699" s="4" t="s">
        <v>28</v>
      </c>
      <c r="Q699" s="24">
        <v>34</v>
      </c>
      <c r="R699" s="25">
        <v>2</v>
      </c>
      <c r="S699" s="39">
        <v>0</v>
      </c>
      <c r="T699" s="7" t="s">
        <v>2910</v>
      </c>
      <c r="U699" s="7"/>
      <c r="V699" s="7" t="str">
        <f>+IF(U699="","",IF(U699="FINES",CONCATENATE("R",IF(OR(B699="16",B699="21",B699="22",B699="23"),"16212223",IF(OR(B699="15",B699="17",B699="24",B699="25"),"15172425",B699))),IF(U699="CEBAS","UNICO",IF(VALUE(B699)&lt;=11,"AMBA","INTERIOR"))))</f>
        <v/>
      </c>
      <c r="W699" s="38" t="str">
        <f>+IF(U699="","-",CONCATENATE(U699,"_",V699))</f>
        <v>-</v>
      </c>
      <c r="X699" s="42">
        <v>0.94199999999999995</v>
      </c>
    </row>
    <row r="700" spans="1:24" ht="15" thickBot="1">
      <c r="A700" s="3" t="s">
        <v>2916</v>
      </c>
      <c r="B700" s="3" t="s">
        <v>1780</v>
      </c>
      <c r="C700" s="3" t="s">
        <v>1778</v>
      </c>
      <c r="D700" s="3" t="s">
        <v>1779</v>
      </c>
      <c r="E700" s="3">
        <v>614529</v>
      </c>
      <c r="F700" s="3">
        <v>0</v>
      </c>
      <c r="G700" s="3" t="s">
        <v>1785</v>
      </c>
      <c r="H700" s="3" t="s">
        <v>20</v>
      </c>
      <c r="I700" s="4" t="s">
        <v>25</v>
      </c>
      <c r="J700" s="4" t="s">
        <v>21</v>
      </c>
      <c r="K700" s="4"/>
      <c r="L700" s="4" t="s">
        <v>1786</v>
      </c>
      <c r="M700" s="4" t="s">
        <v>22</v>
      </c>
      <c r="N700" s="4" t="s">
        <v>23</v>
      </c>
      <c r="O700" s="4" t="s">
        <v>27</v>
      </c>
      <c r="P700" s="4" t="s">
        <v>28</v>
      </c>
      <c r="Q700" s="24">
        <v>15</v>
      </c>
      <c r="R700" s="25">
        <v>1</v>
      </c>
      <c r="S700" s="39">
        <v>0</v>
      </c>
      <c r="T700" s="7" t="s">
        <v>2910</v>
      </c>
      <c r="U700" s="7"/>
      <c r="V700" s="7" t="str">
        <f>+IF(U700="","",IF(U700="FINES",CONCATENATE("R",IF(OR(B700="16",B700="21",B700="22",B700="23"),"16212223",IF(OR(B700="15",B700="17",B700="24",B700="25"),"15172425",B700))),IF(U700="CEBAS","UNICO",IF(VALUE(B700)&lt;=11,"AMBA","INTERIOR"))))</f>
        <v/>
      </c>
      <c r="W700" s="38" t="str">
        <f>+IF(U700="","-",CONCATENATE(U700,"_",V700))</f>
        <v>-</v>
      </c>
      <c r="X700" s="42">
        <v>0.94199999999999995</v>
      </c>
    </row>
    <row r="701" spans="1:24" ht="15" thickBot="1">
      <c r="A701" s="3" t="s">
        <v>2916</v>
      </c>
      <c r="B701" s="3" t="s">
        <v>1860</v>
      </c>
      <c r="C701" s="3" t="s">
        <v>411</v>
      </c>
      <c r="D701" s="3" t="s">
        <v>2791</v>
      </c>
      <c r="E701" s="3">
        <v>611054</v>
      </c>
      <c r="F701" s="3">
        <v>2</v>
      </c>
      <c r="G701" s="3" t="s">
        <v>2794</v>
      </c>
      <c r="H701" s="3" t="s">
        <v>20</v>
      </c>
      <c r="I701" s="4" t="s">
        <v>50</v>
      </c>
      <c r="J701" s="4" t="s">
        <v>51</v>
      </c>
      <c r="K701" s="4" t="s">
        <v>2793</v>
      </c>
      <c r="L701" s="4" t="s">
        <v>1226</v>
      </c>
      <c r="M701" s="4" t="s">
        <v>22</v>
      </c>
      <c r="N701" s="4" t="s">
        <v>23</v>
      </c>
      <c r="O701" s="4" t="s">
        <v>27</v>
      </c>
      <c r="P701" s="4" t="s">
        <v>28</v>
      </c>
      <c r="Q701" s="24">
        <v>40</v>
      </c>
      <c r="R701" s="25">
        <v>3</v>
      </c>
      <c r="S701" s="39">
        <v>0</v>
      </c>
      <c r="T701" s="7" t="s">
        <v>2910</v>
      </c>
      <c r="U701" s="7"/>
      <c r="V701" s="7" t="str">
        <f>+IF(U701="","",IF(U701="FINES",CONCATENATE("R",IF(OR(B701="16",B701="21",B701="22",B701="23"),"16212223",IF(OR(B701="15",B701="17",B701="24",B701="25"),"15172425",B701))),IF(U701="CEBAS","UNICO",IF(VALUE(B701)&lt;=11,"AMBA","INTERIOR"))))</f>
        <v/>
      </c>
      <c r="W701" s="38" t="str">
        <f>+IF(U701="","-",CONCATENATE(U701,"_",V701))</f>
        <v>-</v>
      </c>
      <c r="X701" s="42">
        <v>0.94299999999999995</v>
      </c>
    </row>
    <row r="702" spans="1:24" ht="15" thickBot="1">
      <c r="A702" s="3" t="s">
        <v>2916</v>
      </c>
      <c r="B702" s="3" t="s">
        <v>19</v>
      </c>
      <c r="C702" s="3" t="s">
        <v>17</v>
      </c>
      <c r="D702" s="3" t="s">
        <v>18</v>
      </c>
      <c r="E702" s="3">
        <v>603172</v>
      </c>
      <c r="F702" s="3">
        <v>3</v>
      </c>
      <c r="G702" s="3" t="s">
        <v>95</v>
      </c>
      <c r="H702" s="3" t="s">
        <v>20</v>
      </c>
      <c r="I702" s="4" t="s">
        <v>50</v>
      </c>
      <c r="J702" s="4" t="s">
        <v>51</v>
      </c>
      <c r="K702" s="4" t="s">
        <v>82</v>
      </c>
      <c r="L702" s="4" t="s">
        <v>96</v>
      </c>
      <c r="M702" s="4" t="s">
        <v>22</v>
      </c>
      <c r="N702" s="4" t="s">
        <v>23</v>
      </c>
      <c r="O702" s="4" t="s">
        <v>27</v>
      </c>
      <c r="P702" s="4" t="s">
        <v>28</v>
      </c>
      <c r="Q702" s="24">
        <v>20</v>
      </c>
      <c r="R702" s="25">
        <v>2</v>
      </c>
      <c r="S702" s="39">
        <v>0</v>
      </c>
      <c r="T702" s="7" t="s">
        <v>2910</v>
      </c>
      <c r="U702" s="7"/>
      <c r="V702" s="7" t="str">
        <f>+IF(U702="","",IF(U702="FINES",CONCATENATE("R",IF(OR(B702="16",B702="21",B702="22",B702="23"),"16212223",IF(OR(B702="15",B702="17",B702="24",B702="25"),"15172425",B702))),IF(U702="CEBAS","UNICO",IF(VALUE(B702)&lt;=11,"AMBA","INTERIOR"))))</f>
        <v/>
      </c>
      <c r="W702" s="38" t="str">
        <f>+IF(U702="","-",CONCATENATE(U702,"_",V702))</f>
        <v>-</v>
      </c>
      <c r="X702" s="42">
        <v>0.94299999999999995</v>
      </c>
    </row>
    <row r="703" spans="1:24" ht="15" thickBot="1">
      <c r="A703" s="3" t="s">
        <v>2916</v>
      </c>
      <c r="B703" s="3" t="s">
        <v>205</v>
      </c>
      <c r="C703" s="3" t="s">
        <v>1946</v>
      </c>
      <c r="D703" s="3" t="s">
        <v>1947</v>
      </c>
      <c r="E703" s="3">
        <v>606551</v>
      </c>
      <c r="F703" s="3">
        <v>0</v>
      </c>
      <c r="G703" s="3" t="s">
        <v>1949</v>
      </c>
      <c r="H703" s="3" t="s">
        <v>20</v>
      </c>
      <c r="I703" s="4" t="s">
        <v>50</v>
      </c>
      <c r="J703" s="4" t="s">
        <v>21</v>
      </c>
      <c r="K703" s="4"/>
      <c r="L703" s="4" t="s">
        <v>545</v>
      </c>
      <c r="M703" s="4" t="s">
        <v>200</v>
      </c>
      <c r="N703" s="4" t="s">
        <v>23</v>
      </c>
      <c r="O703" s="4" t="s">
        <v>27</v>
      </c>
      <c r="P703" s="4" t="s">
        <v>28</v>
      </c>
      <c r="Q703" s="24">
        <v>4</v>
      </c>
      <c r="R703" s="25">
        <v>1</v>
      </c>
      <c r="S703" s="39">
        <v>0</v>
      </c>
      <c r="T703" s="7" t="s">
        <v>2910</v>
      </c>
      <c r="U703" s="7"/>
      <c r="V703" s="7" t="str">
        <f>+IF(U703="","",IF(U703="FINES",CONCATENATE("R",IF(OR(B703="16",B703="21",B703="22",B703="23"),"16212223",IF(OR(B703="15",B703="17",B703="24",B703="25"),"15172425",B703))),IF(U703="CEBAS","UNICO",IF(VALUE(B703)&lt;=11,"AMBA","INTERIOR"))))</f>
        <v/>
      </c>
      <c r="W703" s="38" t="str">
        <f>+IF(U703="","-",CONCATENATE(U703,"_",V703))</f>
        <v>-</v>
      </c>
      <c r="X703" s="42">
        <v>0.94699999999999995</v>
      </c>
    </row>
    <row r="704" spans="1:24" ht="15" thickBot="1">
      <c r="A704" s="5" t="s">
        <v>2916</v>
      </c>
      <c r="B704" s="5" t="s">
        <v>138</v>
      </c>
      <c r="C704" s="5" t="s">
        <v>1507</v>
      </c>
      <c r="D704" s="5" t="s">
        <v>1508</v>
      </c>
      <c r="E704" s="5">
        <v>610592</v>
      </c>
      <c r="F704" s="5">
        <v>1</v>
      </c>
      <c r="G704" s="5" t="s">
        <v>1509</v>
      </c>
      <c r="H704" s="5" t="s">
        <v>20</v>
      </c>
      <c r="I704" s="6" t="s">
        <v>50</v>
      </c>
      <c r="J704" s="6" t="s">
        <v>51</v>
      </c>
      <c r="K704" s="6" t="s">
        <v>1510</v>
      </c>
      <c r="L704" s="6" t="s">
        <v>1511</v>
      </c>
      <c r="M704" s="6" t="s">
        <v>22</v>
      </c>
      <c r="N704" s="6" t="s">
        <v>23</v>
      </c>
      <c r="O704" s="6" t="s">
        <v>27</v>
      </c>
      <c r="P704" s="6" t="s">
        <v>28</v>
      </c>
      <c r="Q704" s="22">
        <v>40</v>
      </c>
      <c r="R704" s="23">
        <v>4</v>
      </c>
      <c r="S704" s="39">
        <v>0</v>
      </c>
      <c r="T704" s="7" t="s">
        <v>2910</v>
      </c>
      <c r="U704" s="7"/>
      <c r="V704" s="7" t="str">
        <f>+IF(U704="","",IF(U704="FINES",CONCATENATE("R",IF(OR(B704="16",B704="21",B704="22",B704="23"),"16212223",IF(OR(B704="15",B704="17",B704="24",B704="25"),"15172425",B704))),IF(U704="CEBAS","UNICO",IF(VALUE(B704)&lt;=11,"AMBA","INTERIOR"))))</f>
        <v/>
      </c>
      <c r="W704" s="38" t="str">
        <f>+IF(U704="","-",CONCATENATE(U704,"_",V704))</f>
        <v>-</v>
      </c>
      <c r="X704" s="42">
        <v>0.94899999999999995</v>
      </c>
    </row>
    <row r="705" spans="1:24" ht="15" thickBot="1">
      <c r="A705" s="5" t="s">
        <v>2916</v>
      </c>
      <c r="B705" s="5" t="s">
        <v>356</v>
      </c>
      <c r="C705" s="5" t="s">
        <v>805</v>
      </c>
      <c r="D705" s="5" t="s">
        <v>2500</v>
      </c>
      <c r="E705" s="5">
        <v>611346</v>
      </c>
      <c r="F705" s="5">
        <v>1</v>
      </c>
      <c r="G705" s="5" t="s">
        <v>2505</v>
      </c>
      <c r="H705" s="5" t="s">
        <v>20</v>
      </c>
      <c r="I705" s="6" t="s">
        <v>50</v>
      </c>
      <c r="J705" s="6" t="s">
        <v>51</v>
      </c>
      <c r="K705" s="6" t="s">
        <v>2506</v>
      </c>
      <c r="L705" s="6" t="s">
        <v>2507</v>
      </c>
      <c r="M705" s="6" t="s">
        <v>22</v>
      </c>
      <c r="N705" s="6" t="s">
        <v>23</v>
      </c>
      <c r="O705" s="6" t="s">
        <v>27</v>
      </c>
      <c r="P705" s="6" t="s">
        <v>28</v>
      </c>
      <c r="Q705" s="22">
        <v>37</v>
      </c>
      <c r="R705" s="23">
        <v>2</v>
      </c>
      <c r="S705" s="39">
        <v>0</v>
      </c>
      <c r="T705" s="7" t="s">
        <v>2910</v>
      </c>
      <c r="U705" s="7"/>
      <c r="V705" s="7" t="str">
        <f>+IF(U705="","",IF(U705="FINES",CONCATENATE("R",IF(OR(B705="16",B705="21",B705="22",B705="23"),"16212223",IF(OR(B705="15",B705="17",B705="24",B705="25"),"15172425",B705))),IF(U705="CEBAS","UNICO",IF(VALUE(B705)&lt;=11,"AMBA","INTERIOR"))))</f>
        <v/>
      </c>
      <c r="W705" s="38" t="str">
        <f>+IF(U705="","-",CONCATENATE(U705,"_",V705))</f>
        <v>-</v>
      </c>
      <c r="X705" s="42">
        <v>0.95</v>
      </c>
    </row>
    <row r="706" spans="1:24" ht="15" thickBot="1">
      <c r="A706" s="5" t="s">
        <v>2916</v>
      </c>
      <c r="B706" s="5" t="s">
        <v>220</v>
      </c>
      <c r="C706" s="5" t="s">
        <v>726</v>
      </c>
      <c r="D706" s="5" t="s">
        <v>2434</v>
      </c>
      <c r="E706" s="5">
        <v>612859</v>
      </c>
      <c r="F706" s="5">
        <v>1</v>
      </c>
      <c r="G706" s="5" t="s">
        <v>2435</v>
      </c>
      <c r="H706" s="5" t="s">
        <v>20</v>
      </c>
      <c r="I706" s="6" t="s">
        <v>50</v>
      </c>
      <c r="J706" s="6" t="s">
        <v>51</v>
      </c>
      <c r="K706" s="6" t="s">
        <v>2436</v>
      </c>
      <c r="L706" s="6" t="s">
        <v>428</v>
      </c>
      <c r="M706" s="6" t="s">
        <v>22</v>
      </c>
      <c r="N706" s="6" t="s">
        <v>23</v>
      </c>
      <c r="O706" s="6" t="s">
        <v>27</v>
      </c>
      <c r="P706" s="6" t="s">
        <v>28</v>
      </c>
      <c r="Q706" s="22">
        <v>20</v>
      </c>
      <c r="R706" s="23">
        <v>1</v>
      </c>
      <c r="S706" s="39">
        <v>0</v>
      </c>
      <c r="T706" s="7" t="s">
        <v>2910</v>
      </c>
      <c r="U706" s="7"/>
      <c r="V706" s="7" t="str">
        <f>+IF(U706="","",IF(U706="FINES",CONCATENATE("R",IF(OR(B706="16",B706="21",B706="22",B706="23"),"16212223",IF(OR(B706="15",B706="17",B706="24",B706="25"),"15172425",B706))),IF(U706="CEBAS","UNICO",IF(VALUE(B706)&lt;=11,"AMBA","INTERIOR"))))</f>
        <v/>
      </c>
      <c r="W706" s="38" t="str">
        <f>+IF(U706="","-",CONCATENATE(U706,"_",V706))</f>
        <v>-</v>
      </c>
      <c r="X706" s="42">
        <v>0.95199999999999996</v>
      </c>
    </row>
    <row r="707" spans="1:24" ht="15" thickBot="1">
      <c r="A707" s="3" t="s">
        <v>2916</v>
      </c>
      <c r="B707" s="3" t="s">
        <v>140</v>
      </c>
      <c r="C707" s="3" t="s">
        <v>2149</v>
      </c>
      <c r="D707" s="3" t="s">
        <v>2150</v>
      </c>
      <c r="E707" s="3">
        <v>601377</v>
      </c>
      <c r="F707" s="3">
        <v>0</v>
      </c>
      <c r="G707" s="3" t="s">
        <v>2151</v>
      </c>
      <c r="H707" s="3" t="s">
        <v>20</v>
      </c>
      <c r="I707" s="4" t="s">
        <v>50</v>
      </c>
      <c r="J707" s="4" t="s">
        <v>21</v>
      </c>
      <c r="K707" s="4"/>
      <c r="L707" s="4" t="s">
        <v>235</v>
      </c>
      <c r="M707" s="4" t="s">
        <v>22</v>
      </c>
      <c r="N707" s="4" t="s">
        <v>23</v>
      </c>
      <c r="O707" s="4" t="s">
        <v>27</v>
      </c>
      <c r="P707" s="4" t="s">
        <v>28</v>
      </c>
      <c r="Q707" s="24">
        <v>16</v>
      </c>
      <c r="R707" s="25">
        <v>1</v>
      </c>
      <c r="S707" s="39">
        <v>0</v>
      </c>
      <c r="T707" s="7" t="s">
        <v>2910</v>
      </c>
      <c r="U707" s="7"/>
      <c r="V707" s="7" t="str">
        <f>+IF(U707="","",IF(U707="FINES",CONCATENATE("R",IF(OR(B707="16",B707="21",B707="22",B707="23"),"16212223",IF(OR(B707="15",B707="17",B707="24",B707="25"),"15172425",B707))),IF(U707="CEBAS","UNICO",IF(VALUE(B707)&lt;=11,"AMBA","INTERIOR"))))</f>
        <v/>
      </c>
      <c r="W707" s="38" t="str">
        <f>+IF(U707="","-",CONCATENATE(U707,"_",V707))</f>
        <v>-</v>
      </c>
      <c r="X707" s="42">
        <v>0.95599999999999996</v>
      </c>
    </row>
    <row r="708" spans="1:24" ht="15" thickBot="1">
      <c r="A708" s="3" t="s">
        <v>2916</v>
      </c>
      <c r="B708" s="3" t="s">
        <v>257</v>
      </c>
      <c r="C708" s="3" t="s">
        <v>254</v>
      </c>
      <c r="D708" s="3" t="s">
        <v>256</v>
      </c>
      <c r="E708" s="3">
        <v>613492</v>
      </c>
      <c r="F708" s="3">
        <v>2</v>
      </c>
      <c r="G708" s="3" t="s">
        <v>316</v>
      </c>
      <c r="H708" s="3" t="s">
        <v>20</v>
      </c>
      <c r="I708" s="4" t="s">
        <v>50</v>
      </c>
      <c r="J708" s="4" t="s">
        <v>51</v>
      </c>
      <c r="K708" s="4" t="s">
        <v>274</v>
      </c>
      <c r="L708" s="4" t="s">
        <v>317</v>
      </c>
      <c r="M708" s="4" t="s">
        <v>22</v>
      </c>
      <c r="N708" s="4" t="s">
        <v>23</v>
      </c>
      <c r="O708" s="4" t="s">
        <v>27</v>
      </c>
      <c r="P708" s="4" t="s">
        <v>28</v>
      </c>
      <c r="Q708" s="24">
        <v>30</v>
      </c>
      <c r="R708" s="25">
        <v>2</v>
      </c>
      <c r="S708" s="39">
        <v>0</v>
      </c>
      <c r="T708" s="7" t="s">
        <v>2910</v>
      </c>
      <c r="U708" s="7"/>
      <c r="V708" s="7" t="str">
        <f>+IF(U708="","",IF(U708="FINES",CONCATENATE("R",IF(OR(B708="16",B708="21",B708="22",B708="23"),"16212223",IF(OR(B708="15",B708="17",B708="24",B708="25"),"15172425",B708))),IF(U708="CEBAS","UNICO",IF(VALUE(B708)&lt;=11,"AMBA","INTERIOR"))))</f>
        <v/>
      </c>
      <c r="W708" s="38" t="str">
        <f>+IF(U708="","-",CONCATENATE(U708,"_",V708))</f>
        <v>-</v>
      </c>
      <c r="X708" s="42">
        <v>0.95599999999999996</v>
      </c>
    </row>
    <row r="709" spans="1:24" ht="15" thickBot="1">
      <c r="A709" s="5" t="s">
        <v>2916</v>
      </c>
      <c r="B709" s="5" t="s">
        <v>222</v>
      </c>
      <c r="C709" s="5" t="s">
        <v>2047</v>
      </c>
      <c r="D709" s="5" t="s">
        <v>2048</v>
      </c>
      <c r="E709" s="5">
        <v>605289</v>
      </c>
      <c r="F709" s="5">
        <v>0</v>
      </c>
      <c r="G709" s="5" t="s">
        <v>2051</v>
      </c>
      <c r="H709" s="5" t="s">
        <v>20</v>
      </c>
      <c r="I709" s="6" t="s">
        <v>50</v>
      </c>
      <c r="J709" s="6" t="s">
        <v>21</v>
      </c>
      <c r="K709" s="6"/>
      <c r="L709" s="6" t="s">
        <v>672</v>
      </c>
      <c r="M709" s="6" t="s">
        <v>22</v>
      </c>
      <c r="N709" s="6" t="s">
        <v>23</v>
      </c>
      <c r="O709" s="6" t="s">
        <v>27</v>
      </c>
      <c r="P709" s="6" t="s">
        <v>28</v>
      </c>
      <c r="Q709" s="22">
        <v>40</v>
      </c>
      <c r="R709" s="23">
        <v>2</v>
      </c>
      <c r="S709" s="39">
        <v>0</v>
      </c>
      <c r="T709" s="7" t="s">
        <v>2910</v>
      </c>
      <c r="U709" s="7"/>
      <c r="V709" s="7" t="str">
        <f>+IF(U709="","",IF(U709="FINES",CONCATENATE("R",IF(OR(B709="16",B709="21",B709="22",B709="23"),"16212223",IF(OR(B709="15",B709="17",B709="24",B709="25"),"15172425",B709))),IF(U709="CEBAS","UNICO",IF(VALUE(B709)&lt;=11,"AMBA","INTERIOR"))))</f>
        <v/>
      </c>
      <c r="W709" s="38" t="str">
        <f>+IF(U709="","-",CONCATENATE(U709,"_",V709))</f>
        <v>-</v>
      </c>
      <c r="X709" s="42">
        <v>0.95599999999999996</v>
      </c>
    </row>
    <row r="710" spans="1:24" ht="15" thickBot="1">
      <c r="A710" s="5" t="s">
        <v>2916</v>
      </c>
      <c r="B710" s="5" t="s">
        <v>1860</v>
      </c>
      <c r="C710" s="5" t="s">
        <v>224</v>
      </c>
      <c r="D710" s="5" t="s">
        <v>2837</v>
      </c>
      <c r="E710" s="5">
        <v>613696</v>
      </c>
      <c r="F710" s="5">
        <v>3</v>
      </c>
      <c r="G710" s="5" t="s">
        <v>2843</v>
      </c>
      <c r="H710" s="5" t="s">
        <v>20</v>
      </c>
      <c r="I710" s="6" t="s">
        <v>50</v>
      </c>
      <c r="J710" s="6" t="s">
        <v>51</v>
      </c>
      <c r="K710" s="6" t="s">
        <v>2842</v>
      </c>
      <c r="L710" s="6" t="s">
        <v>438</v>
      </c>
      <c r="M710" s="6" t="s">
        <v>22</v>
      </c>
      <c r="N710" s="6" t="s">
        <v>23</v>
      </c>
      <c r="O710" s="6" t="s">
        <v>27</v>
      </c>
      <c r="P710" s="6" t="s">
        <v>28</v>
      </c>
      <c r="Q710" s="22">
        <v>11</v>
      </c>
      <c r="R710" s="23">
        <v>1</v>
      </c>
      <c r="S710" s="39">
        <v>0</v>
      </c>
      <c r="T710" s="7" t="s">
        <v>2910</v>
      </c>
      <c r="U710" s="7"/>
      <c r="V710" s="7" t="str">
        <f>+IF(U710="","",IF(U710="FINES",CONCATENATE("R",IF(OR(B710="16",B710="21",B710="22",B710="23"),"16212223",IF(OR(B710="15",B710="17",B710="24",B710="25"),"15172425",B710))),IF(U710="CEBAS","UNICO",IF(VALUE(B710)&lt;=11,"AMBA","INTERIOR"))))</f>
        <v/>
      </c>
      <c r="W710" s="38" t="str">
        <f>+IF(U710="","-",CONCATENATE(U710,"_",V710))</f>
        <v>-</v>
      </c>
      <c r="X710" s="42">
        <v>0.95699999999999996</v>
      </c>
    </row>
    <row r="711" spans="1:24" ht="15" thickBot="1">
      <c r="A711" s="3" t="s">
        <v>2916</v>
      </c>
      <c r="B711" s="3" t="s">
        <v>223</v>
      </c>
      <c r="C711" s="3" t="s">
        <v>913</v>
      </c>
      <c r="D711" s="3" t="s">
        <v>914</v>
      </c>
      <c r="E711" s="3">
        <v>603104</v>
      </c>
      <c r="F711" s="3">
        <v>0</v>
      </c>
      <c r="G711" s="3" t="s">
        <v>916</v>
      </c>
      <c r="H711" s="3" t="s">
        <v>20</v>
      </c>
      <c r="I711" s="4" t="s">
        <v>50</v>
      </c>
      <c r="J711" s="4" t="s">
        <v>21</v>
      </c>
      <c r="K711" s="4"/>
      <c r="L711" s="4" t="s">
        <v>235</v>
      </c>
      <c r="M711" s="4" t="s">
        <v>22</v>
      </c>
      <c r="N711" s="4" t="s">
        <v>23</v>
      </c>
      <c r="O711" s="4" t="s">
        <v>27</v>
      </c>
      <c r="P711" s="4" t="s">
        <v>28</v>
      </c>
      <c r="Q711" s="24">
        <v>10</v>
      </c>
      <c r="R711" s="25">
        <v>1</v>
      </c>
      <c r="S711" s="39">
        <v>0</v>
      </c>
      <c r="T711" s="7" t="s">
        <v>2910</v>
      </c>
      <c r="U711" s="7"/>
      <c r="V711" s="7" t="str">
        <f>+IF(U711="","",IF(U711="FINES",CONCATENATE("R",IF(OR(B711="16",B711="21",B711="22",B711="23"),"16212223",IF(OR(B711="15",B711="17",B711="24",B711="25"),"15172425",B711))),IF(U711="CEBAS","UNICO",IF(VALUE(B711)&lt;=11,"AMBA","INTERIOR"))))</f>
        <v/>
      </c>
      <c r="W711" s="38" t="str">
        <f>+IF(U711="","-",CONCATENATE(U711,"_",V711))</f>
        <v>-</v>
      </c>
      <c r="X711" s="42">
        <v>0.95799999999999996</v>
      </c>
    </row>
    <row r="712" spans="1:24" ht="15" thickBot="1">
      <c r="A712" s="3" t="s">
        <v>2916</v>
      </c>
      <c r="B712" s="3" t="s">
        <v>140</v>
      </c>
      <c r="C712" s="3" t="s">
        <v>2322</v>
      </c>
      <c r="D712" s="3" t="s">
        <v>2323</v>
      </c>
      <c r="E712" s="3">
        <v>600837</v>
      </c>
      <c r="F712" s="3">
        <v>0</v>
      </c>
      <c r="G712" s="3" t="s">
        <v>2332</v>
      </c>
      <c r="H712" s="3" t="s">
        <v>20</v>
      </c>
      <c r="I712" s="4" t="s">
        <v>50</v>
      </c>
      <c r="J712" s="4" t="s">
        <v>21</v>
      </c>
      <c r="K712" s="4"/>
      <c r="L712" s="4" t="s">
        <v>2333</v>
      </c>
      <c r="M712" s="4" t="s">
        <v>22</v>
      </c>
      <c r="N712" s="4" t="s">
        <v>23</v>
      </c>
      <c r="O712" s="4" t="s">
        <v>27</v>
      </c>
      <c r="P712" s="4" t="s">
        <v>28</v>
      </c>
      <c r="Q712" s="24">
        <v>30</v>
      </c>
      <c r="R712" s="25">
        <v>2</v>
      </c>
      <c r="S712" s="39">
        <v>0</v>
      </c>
      <c r="T712" s="7" t="s">
        <v>2910</v>
      </c>
      <c r="U712" s="7"/>
      <c r="V712" s="7" t="str">
        <f>+IF(U712="","",IF(U712="FINES",CONCATENATE("R",IF(OR(B712="16",B712="21",B712="22",B712="23"),"16212223",IF(OR(B712="15",B712="17",B712="24",B712="25"),"15172425",B712))),IF(U712="CEBAS","UNICO",IF(VALUE(B712)&lt;=11,"AMBA","INTERIOR"))))</f>
        <v/>
      </c>
      <c r="W712" s="38" t="str">
        <f>+IF(U712="","-",CONCATENATE(U712,"_",V712))</f>
        <v>-</v>
      </c>
      <c r="X712" s="42">
        <v>0.96099999999999997</v>
      </c>
    </row>
    <row r="713" spans="1:24" ht="15" thickBot="1">
      <c r="A713" s="3" t="s">
        <v>2916</v>
      </c>
      <c r="B713" s="3" t="s">
        <v>205</v>
      </c>
      <c r="C713" s="3" t="s">
        <v>654</v>
      </c>
      <c r="D713" s="3" t="s">
        <v>655</v>
      </c>
      <c r="E713" s="3">
        <v>613514</v>
      </c>
      <c r="F713" s="3">
        <v>0</v>
      </c>
      <c r="G713" s="3" t="s">
        <v>658</v>
      </c>
      <c r="H713" s="3" t="s">
        <v>20</v>
      </c>
      <c r="I713" s="4" t="s">
        <v>50</v>
      </c>
      <c r="J713" s="4" t="s">
        <v>21</v>
      </c>
      <c r="K713" s="4"/>
      <c r="L713" s="4" t="s">
        <v>659</v>
      </c>
      <c r="M713" s="4" t="s">
        <v>200</v>
      </c>
      <c r="N713" s="4" t="s">
        <v>23</v>
      </c>
      <c r="O713" s="4" t="s">
        <v>27</v>
      </c>
      <c r="P713" s="4" t="s">
        <v>28</v>
      </c>
      <c r="Q713" s="24">
        <v>7</v>
      </c>
      <c r="R713" s="25">
        <v>1</v>
      </c>
      <c r="S713" s="39">
        <v>0</v>
      </c>
      <c r="T713" s="7" t="s">
        <v>2910</v>
      </c>
      <c r="U713" s="7"/>
      <c r="V713" s="7" t="str">
        <f>+IF(U713="","",IF(U713="FINES",CONCATENATE("R",IF(OR(B713="16",B713="21",B713="22",B713="23"),"16212223",IF(OR(B713="15",B713="17",B713="24",B713="25"),"15172425",B713))),IF(U713="CEBAS","UNICO",IF(VALUE(B713)&lt;=11,"AMBA","INTERIOR"))))</f>
        <v/>
      </c>
      <c r="W713" s="38" t="str">
        <f>+IF(U713="","-",CONCATENATE(U713,"_",V713))</f>
        <v>-</v>
      </c>
      <c r="X713" s="42">
        <v>0.96199999999999997</v>
      </c>
    </row>
    <row r="714" spans="1:24" ht="15" thickBot="1">
      <c r="A714" s="5" t="s">
        <v>2916</v>
      </c>
      <c r="B714" s="5" t="s">
        <v>1532</v>
      </c>
      <c r="C714" s="5" t="s">
        <v>1530</v>
      </c>
      <c r="D714" s="5" t="s">
        <v>1531</v>
      </c>
      <c r="E714" s="5">
        <v>608942</v>
      </c>
      <c r="F714" s="5">
        <v>3</v>
      </c>
      <c r="G714" s="5" t="s">
        <v>1651</v>
      </c>
      <c r="H714" s="5" t="s">
        <v>20</v>
      </c>
      <c r="I714" s="6" t="s">
        <v>50</v>
      </c>
      <c r="J714" s="6" t="s">
        <v>51</v>
      </c>
      <c r="K714" s="6" t="s">
        <v>1587</v>
      </c>
      <c r="L714" s="6" t="s">
        <v>1652</v>
      </c>
      <c r="M714" s="6" t="s">
        <v>22</v>
      </c>
      <c r="N714" s="6" t="s">
        <v>23</v>
      </c>
      <c r="O714" s="6" t="s">
        <v>27</v>
      </c>
      <c r="P714" s="6" t="s">
        <v>28</v>
      </c>
      <c r="Q714" s="22">
        <v>36</v>
      </c>
      <c r="R714" s="23">
        <v>4</v>
      </c>
      <c r="S714" s="39">
        <v>0</v>
      </c>
      <c r="T714" s="7" t="s">
        <v>2910</v>
      </c>
      <c r="U714" s="7"/>
      <c r="V714" s="7" t="str">
        <f>+IF(U714="","",IF(U714="FINES",CONCATENATE("R",IF(OR(B714="16",B714="21",B714="22",B714="23"),"16212223",IF(OR(B714="15",B714="17",B714="24",B714="25"),"15172425",B714))),IF(U714="CEBAS","UNICO",IF(VALUE(B714)&lt;=11,"AMBA","INTERIOR"))))</f>
        <v/>
      </c>
      <c r="W714" s="38" t="str">
        <f>+IF(U714="","-",CONCATENATE(U714,"_",V714))</f>
        <v>-</v>
      </c>
      <c r="X714" s="42">
        <v>0.96399999999999997</v>
      </c>
    </row>
    <row r="715" spans="1:24" ht="15" thickBot="1">
      <c r="A715" s="3" t="s">
        <v>2916</v>
      </c>
      <c r="B715" s="3" t="s">
        <v>1257</v>
      </c>
      <c r="C715" s="3" t="s">
        <v>1255</v>
      </c>
      <c r="D715" s="3" t="s">
        <v>1256</v>
      </c>
      <c r="E715" s="3">
        <v>612044</v>
      </c>
      <c r="F715" s="3">
        <v>1</v>
      </c>
      <c r="G715" s="3" t="s">
        <v>1260</v>
      </c>
      <c r="H715" s="3" t="s">
        <v>20</v>
      </c>
      <c r="I715" s="4" t="s">
        <v>50</v>
      </c>
      <c r="J715" s="4" t="s">
        <v>51</v>
      </c>
      <c r="K715" s="4" t="s">
        <v>1261</v>
      </c>
      <c r="L715" s="4" t="s">
        <v>1262</v>
      </c>
      <c r="M715" s="4" t="s">
        <v>22</v>
      </c>
      <c r="N715" s="4" t="s">
        <v>23</v>
      </c>
      <c r="O715" s="4" t="s">
        <v>27</v>
      </c>
      <c r="P715" s="4" t="s">
        <v>28</v>
      </c>
      <c r="Q715" s="24">
        <v>26</v>
      </c>
      <c r="R715" s="25">
        <v>2</v>
      </c>
      <c r="S715" s="39">
        <v>0</v>
      </c>
      <c r="T715" s="7" t="s">
        <v>2910</v>
      </c>
      <c r="U715" s="7"/>
      <c r="V715" s="7" t="str">
        <f>+IF(U715="","",IF(U715="FINES",CONCATENATE("R",IF(OR(B715="16",B715="21",B715="22",B715="23"),"16212223",IF(OR(B715="15",B715="17",B715="24",B715="25"),"15172425",B715))),IF(U715="CEBAS","UNICO",IF(VALUE(B715)&lt;=11,"AMBA","INTERIOR"))))</f>
        <v/>
      </c>
      <c r="W715" s="38" t="str">
        <f>+IF(U715="","-",CONCATENATE(U715,"_",V715))</f>
        <v>-</v>
      </c>
      <c r="X715" s="42">
        <v>0.96399999999999997</v>
      </c>
    </row>
    <row r="716" spans="1:24" ht="15" thickBot="1">
      <c r="A716" s="3" t="s">
        <v>2916</v>
      </c>
      <c r="B716" s="3" t="s">
        <v>220</v>
      </c>
      <c r="C716" s="3" t="s">
        <v>664</v>
      </c>
      <c r="D716" s="3" t="s">
        <v>2749</v>
      </c>
      <c r="E716" s="3">
        <v>617183</v>
      </c>
      <c r="F716" s="3">
        <v>0</v>
      </c>
      <c r="G716" s="3" t="s">
        <v>2752</v>
      </c>
      <c r="H716" s="3" t="s">
        <v>20</v>
      </c>
      <c r="I716" s="4" t="s">
        <v>50</v>
      </c>
      <c r="J716" s="4" t="s">
        <v>21</v>
      </c>
      <c r="K716" s="4"/>
      <c r="L716" s="4" t="s">
        <v>235</v>
      </c>
      <c r="M716" s="4" t="s">
        <v>199</v>
      </c>
      <c r="N716" s="4" t="s">
        <v>23</v>
      </c>
      <c r="O716" s="4" t="s">
        <v>27</v>
      </c>
      <c r="P716" s="4" t="s">
        <v>28</v>
      </c>
      <c r="Q716" s="24">
        <v>10</v>
      </c>
      <c r="R716" s="25">
        <v>1</v>
      </c>
      <c r="S716" s="39">
        <v>0</v>
      </c>
      <c r="T716" s="7" t="s">
        <v>2910</v>
      </c>
      <c r="U716" s="7"/>
      <c r="V716" s="7" t="str">
        <f>+IF(U716="","",IF(U716="FINES",CONCATENATE("R",IF(OR(B716="16",B716="21",B716="22",B716="23"),"16212223",IF(OR(B716="15",B716="17",B716="24",B716="25"),"15172425",B716))),IF(U716="CEBAS","UNICO",IF(VALUE(B716)&lt;=11,"AMBA","INTERIOR"))))</f>
        <v/>
      </c>
      <c r="W716" s="38" t="str">
        <f>+IF(U716="","-",CONCATENATE(U716,"_",V716))</f>
        <v>-</v>
      </c>
      <c r="X716" s="42">
        <v>0.96499999999999997</v>
      </c>
    </row>
    <row r="717" spans="1:24" ht="15" thickBot="1">
      <c r="A717" s="3" t="s">
        <v>2916</v>
      </c>
      <c r="B717" s="3" t="s">
        <v>1780</v>
      </c>
      <c r="C717" s="3" t="s">
        <v>1248</v>
      </c>
      <c r="D717" s="3" t="s">
        <v>2348</v>
      </c>
      <c r="E717" s="3">
        <v>613680</v>
      </c>
      <c r="F717" s="3">
        <v>1</v>
      </c>
      <c r="G717" s="3" t="s">
        <v>2353</v>
      </c>
      <c r="H717" s="3" t="s">
        <v>20</v>
      </c>
      <c r="I717" s="4" t="s">
        <v>50</v>
      </c>
      <c r="J717" s="4" t="s">
        <v>51</v>
      </c>
      <c r="K717" s="4" t="s">
        <v>2354</v>
      </c>
      <c r="L717" s="4" t="s">
        <v>438</v>
      </c>
      <c r="M717" s="4" t="s">
        <v>22</v>
      </c>
      <c r="N717" s="4" t="s">
        <v>23</v>
      </c>
      <c r="O717" s="4" t="s">
        <v>27</v>
      </c>
      <c r="P717" s="4" t="s">
        <v>28</v>
      </c>
      <c r="Q717" s="24">
        <v>12</v>
      </c>
      <c r="R717" s="25">
        <v>1</v>
      </c>
      <c r="S717" s="39">
        <v>0</v>
      </c>
      <c r="T717" s="7" t="s">
        <v>2910</v>
      </c>
      <c r="U717" s="7"/>
      <c r="V717" s="7" t="str">
        <f>+IF(U717="","",IF(U717="FINES",CONCATENATE("R",IF(OR(B717="16",B717="21",B717="22",B717="23"),"16212223",IF(OR(B717="15",B717="17",B717="24",B717="25"),"15172425",B717))),IF(U717="CEBAS","UNICO",IF(VALUE(B717)&lt;=11,"AMBA","INTERIOR"))))</f>
        <v/>
      </c>
      <c r="W717" s="38" t="str">
        <f>+IF(U717="","-",CONCATENATE(U717,"_",V717))</f>
        <v>-</v>
      </c>
      <c r="X717" s="42">
        <v>0.96499999999999997</v>
      </c>
    </row>
    <row r="718" spans="1:24" ht="15" thickBot="1">
      <c r="A718" s="3" t="s">
        <v>2916</v>
      </c>
      <c r="B718" s="3" t="s">
        <v>1257</v>
      </c>
      <c r="C718" s="3" t="s">
        <v>519</v>
      </c>
      <c r="D718" s="3" t="s">
        <v>2470</v>
      </c>
      <c r="E718" s="3">
        <v>612050</v>
      </c>
      <c r="F718" s="3">
        <v>2</v>
      </c>
      <c r="G718" s="3" t="s">
        <v>2478</v>
      </c>
      <c r="H718" s="3" t="s">
        <v>20</v>
      </c>
      <c r="I718" s="4" t="s">
        <v>50</v>
      </c>
      <c r="J718" s="4" t="s">
        <v>51</v>
      </c>
      <c r="K718" s="4" t="s">
        <v>2477</v>
      </c>
      <c r="L718" s="4" t="s">
        <v>621</v>
      </c>
      <c r="M718" s="4" t="s">
        <v>22</v>
      </c>
      <c r="N718" s="4" t="s">
        <v>23</v>
      </c>
      <c r="O718" s="4" t="s">
        <v>27</v>
      </c>
      <c r="P718" s="4" t="s">
        <v>28</v>
      </c>
      <c r="Q718" s="24">
        <v>28</v>
      </c>
      <c r="R718" s="25">
        <v>2</v>
      </c>
      <c r="S718" s="39">
        <v>0</v>
      </c>
      <c r="T718" s="7" t="s">
        <v>2910</v>
      </c>
      <c r="U718" s="7"/>
      <c r="V718" s="7" t="str">
        <f>+IF(U718="","",IF(U718="FINES",CONCATENATE("R",IF(OR(B718="16",B718="21",B718="22",B718="23"),"16212223",IF(OR(B718="15",B718="17",B718="24",B718="25"),"15172425",B718))),IF(U718="CEBAS","UNICO",IF(VALUE(B718)&lt;=11,"AMBA","INTERIOR"))))</f>
        <v/>
      </c>
      <c r="W718" s="38" t="str">
        <f>+IF(U718="","-",CONCATENATE(U718,"_",V718))</f>
        <v>-</v>
      </c>
      <c r="X718" s="42">
        <v>0.96499999999999997</v>
      </c>
    </row>
    <row r="719" spans="1:24" ht="15" thickBot="1">
      <c r="A719" s="3" t="s">
        <v>2916</v>
      </c>
      <c r="B719" s="3" t="s">
        <v>206</v>
      </c>
      <c r="C719" s="3" t="s">
        <v>739</v>
      </c>
      <c r="D719" s="3" t="s">
        <v>740</v>
      </c>
      <c r="E719" s="3">
        <v>606035</v>
      </c>
      <c r="F719" s="3">
        <v>3</v>
      </c>
      <c r="G719" s="3" t="s">
        <v>745</v>
      </c>
      <c r="H719" s="3" t="s">
        <v>20</v>
      </c>
      <c r="I719" s="4" t="s">
        <v>50</v>
      </c>
      <c r="J719" s="4" t="s">
        <v>51</v>
      </c>
      <c r="K719" s="4" t="s">
        <v>742</v>
      </c>
      <c r="L719" s="4" t="s">
        <v>619</v>
      </c>
      <c r="M719" s="4" t="s">
        <v>22</v>
      </c>
      <c r="N719" s="4" t="s">
        <v>23</v>
      </c>
      <c r="O719" s="4" t="s">
        <v>27</v>
      </c>
      <c r="P719" s="4" t="s">
        <v>28</v>
      </c>
      <c r="Q719" s="24">
        <v>21</v>
      </c>
      <c r="R719" s="25">
        <v>1</v>
      </c>
      <c r="S719" s="39">
        <v>0</v>
      </c>
      <c r="T719" s="7" t="s">
        <v>2910</v>
      </c>
      <c r="U719" s="7"/>
      <c r="V719" s="7" t="str">
        <f>+IF(U719="","",IF(U719="FINES",CONCATENATE("R",IF(OR(B719="16",B719="21",B719="22",B719="23"),"16212223",IF(OR(B719="15",B719="17",B719="24",B719="25"),"15172425",B719))),IF(U719="CEBAS","UNICO",IF(VALUE(B719)&lt;=11,"AMBA","INTERIOR"))))</f>
        <v/>
      </c>
      <c r="W719" s="38" t="str">
        <f>+IF(U719="","-",CONCATENATE(U719,"_",V719))</f>
        <v>-</v>
      </c>
      <c r="X719" s="42">
        <v>0.96499999999999997</v>
      </c>
    </row>
    <row r="720" spans="1:24" ht="15" thickBot="1">
      <c r="A720" s="3" t="s">
        <v>2916</v>
      </c>
      <c r="B720" s="3" t="s">
        <v>257</v>
      </c>
      <c r="C720" s="3" t="s">
        <v>254</v>
      </c>
      <c r="D720" s="3" t="s">
        <v>256</v>
      </c>
      <c r="E720" s="3">
        <v>601702</v>
      </c>
      <c r="F720" s="3">
        <v>1</v>
      </c>
      <c r="G720" s="3" t="s">
        <v>278</v>
      </c>
      <c r="H720" s="3" t="s">
        <v>20</v>
      </c>
      <c r="I720" s="4" t="s">
        <v>50</v>
      </c>
      <c r="J720" s="4" t="s">
        <v>51</v>
      </c>
      <c r="K720" s="4" t="s">
        <v>279</v>
      </c>
      <c r="L720" s="4" t="s">
        <v>280</v>
      </c>
      <c r="M720" s="4" t="s">
        <v>22</v>
      </c>
      <c r="N720" s="4" t="s">
        <v>23</v>
      </c>
      <c r="O720" s="4" t="s">
        <v>27</v>
      </c>
      <c r="P720" s="4" t="s">
        <v>28</v>
      </c>
      <c r="Q720" s="24">
        <v>65</v>
      </c>
      <c r="R720" s="25">
        <v>3</v>
      </c>
      <c r="S720" s="39">
        <v>0</v>
      </c>
      <c r="T720" s="7" t="s">
        <v>2910</v>
      </c>
      <c r="U720" s="7"/>
      <c r="V720" s="7" t="str">
        <f>+IF(U720="","",IF(U720="FINES",CONCATENATE("R",IF(OR(B720="16",B720="21",B720="22",B720="23"),"16212223",IF(OR(B720="15",B720="17",B720="24",B720="25"),"15172425",B720))),IF(U720="CEBAS","UNICO",IF(VALUE(B720)&lt;=11,"AMBA","INTERIOR"))))</f>
        <v/>
      </c>
      <c r="W720" s="38" t="str">
        <f>+IF(U720="","-",CONCATENATE(U720,"_",V720))</f>
        <v>-</v>
      </c>
      <c r="X720" s="42">
        <v>0.96799999999999997</v>
      </c>
    </row>
    <row r="721" spans="1:24" ht="15" thickBot="1">
      <c r="A721" s="3" t="s">
        <v>2916</v>
      </c>
      <c r="B721" s="3" t="s">
        <v>356</v>
      </c>
      <c r="C721" s="3" t="s">
        <v>1359</v>
      </c>
      <c r="D721" s="3" t="s">
        <v>1360</v>
      </c>
      <c r="E721" s="3">
        <v>602442</v>
      </c>
      <c r="F721" s="3">
        <v>3</v>
      </c>
      <c r="G721" s="3" t="s">
        <v>1397</v>
      </c>
      <c r="H721" s="3" t="s">
        <v>20</v>
      </c>
      <c r="I721" s="4" t="s">
        <v>50</v>
      </c>
      <c r="J721" s="4" t="s">
        <v>51</v>
      </c>
      <c r="K721" s="4" t="s">
        <v>1398</v>
      </c>
      <c r="L721" s="4" t="s">
        <v>1399</v>
      </c>
      <c r="M721" s="4" t="s">
        <v>22</v>
      </c>
      <c r="N721" s="4" t="s">
        <v>23</v>
      </c>
      <c r="O721" s="4" t="s">
        <v>27</v>
      </c>
      <c r="P721" s="4" t="s">
        <v>28</v>
      </c>
      <c r="Q721" s="24">
        <v>47</v>
      </c>
      <c r="R721" s="25">
        <v>3</v>
      </c>
      <c r="S721" s="39">
        <v>0</v>
      </c>
      <c r="T721" s="7" t="s">
        <v>2910</v>
      </c>
      <c r="V721" s="7" t="str">
        <f>+IF(U721="","",IF(U721="FINES",CONCATENATE("R",IF(OR(B721="16",B721="21",B721="22",B721="23"),"16212223",IF(OR(B721="15",B721="17",B721="24",B721="25"),"15172425",B721))),IF(U721="CEBAS","UNICO",IF(VALUE(B721)&lt;=11,"AMBA","INTERIOR"))))</f>
        <v/>
      </c>
      <c r="W721" s="38" t="str">
        <f>+IF(U721="","-",CONCATENATE(U721,"_",V721))</f>
        <v>-</v>
      </c>
      <c r="X721" s="42">
        <v>0.96899999999999997</v>
      </c>
    </row>
    <row r="722" spans="1:24" ht="15" thickBot="1">
      <c r="A722" s="5" t="s">
        <v>2916</v>
      </c>
      <c r="B722" s="5" t="s">
        <v>352</v>
      </c>
      <c r="C722" s="5" t="s">
        <v>349</v>
      </c>
      <c r="D722" s="5" t="s">
        <v>2397</v>
      </c>
      <c r="E722" s="5">
        <v>610063</v>
      </c>
      <c r="F722" s="5">
        <v>3</v>
      </c>
      <c r="G722" s="5" t="s">
        <v>2403</v>
      </c>
      <c r="H722" s="5" t="s">
        <v>20</v>
      </c>
      <c r="I722" s="6" t="s">
        <v>50</v>
      </c>
      <c r="J722" s="6" t="s">
        <v>51</v>
      </c>
      <c r="K722" s="6" t="s">
        <v>2399</v>
      </c>
      <c r="L722" s="6" t="s">
        <v>955</v>
      </c>
      <c r="M722" s="6" t="s">
        <v>22</v>
      </c>
      <c r="N722" s="6" t="s">
        <v>23</v>
      </c>
      <c r="O722" s="6" t="s">
        <v>27</v>
      </c>
      <c r="P722" s="6" t="s">
        <v>28</v>
      </c>
      <c r="Q722" s="22">
        <v>3</v>
      </c>
      <c r="R722" s="23">
        <v>1</v>
      </c>
      <c r="S722" s="39">
        <v>0</v>
      </c>
      <c r="T722" s="7" t="s">
        <v>2910</v>
      </c>
      <c r="V722" s="7" t="str">
        <f>+IF(U722="","",IF(U722="FINES",CONCATENATE("R",IF(OR(B722="16",B722="21",B722="22",B722="23"),"16212223",IF(OR(B722="15",B722="17",B722="24",B722="25"),"15172425",B722))),IF(U722="CEBAS","UNICO",IF(VALUE(B722)&lt;=11,"AMBA","INTERIOR"))))</f>
        <v/>
      </c>
      <c r="W722" s="38" t="str">
        <f>+IF(U722="","-",CONCATENATE(U722,"_",V722))</f>
        <v>-</v>
      </c>
      <c r="X722" s="42">
        <v>0.96899999999999997</v>
      </c>
    </row>
    <row r="723" spans="1:24" ht="15" thickBot="1">
      <c r="A723" s="3" t="s">
        <v>2916</v>
      </c>
      <c r="B723" s="3" t="s">
        <v>1780</v>
      </c>
      <c r="C723" s="3" t="s">
        <v>1778</v>
      </c>
      <c r="D723" s="3" t="s">
        <v>1779</v>
      </c>
      <c r="E723" s="3">
        <v>614533</v>
      </c>
      <c r="F723" s="3">
        <v>0</v>
      </c>
      <c r="G723" s="3" t="s">
        <v>1789</v>
      </c>
      <c r="H723" s="3" t="s">
        <v>20</v>
      </c>
      <c r="I723" s="4" t="s">
        <v>25</v>
      </c>
      <c r="J723" s="4" t="s">
        <v>21</v>
      </c>
      <c r="K723" s="4"/>
      <c r="L723" s="4" t="s">
        <v>1790</v>
      </c>
      <c r="M723" s="4" t="s">
        <v>22</v>
      </c>
      <c r="N723" s="4" t="s">
        <v>23</v>
      </c>
      <c r="O723" s="4" t="s">
        <v>27</v>
      </c>
      <c r="P723" s="4" t="s">
        <v>28</v>
      </c>
      <c r="Q723" s="24">
        <v>20</v>
      </c>
      <c r="R723" s="25">
        <v>1</v>
      </c>
      <c r="S723" s="39">
        <v>0</v>
      </c>
      <c r="T723" s="7" t="s">
        <v>2910</v>
      </c>
      <c r="V723" s="7" t="str">
        <f>+IF(U723="","",IF(U723="FINES",CONCATENATE("R",IF(OR(B723="16",B723="21",B723="22",B723="23"),"16212223",IF(OR(B723="15",B723="17",B723="24",B723="25"),"15172425",B723))),IF(U723="CEBAS","UNICO",IF(VALUE(B723)&lt;=11,"AMBA","INTERIOR"))))</f>
        <v/>
      </c>
      <c r="W723" s="38" t="str">
        <f>+IF(U723="","-",CONCATENATE(U723,"_",V723))</f>
        <v>-</v>
      </c>
      <c r="X723" s="42">
        <v>0.96899999999999997</v>
      </c>
    </row>
    <row r="724" spans="1:24" ht="15" thickBot="1">
      <c r="A724" s="3" t="s">
        <v>2916</v>
      </c>
      <c r="B724" s="3" t="s">
        <v>138</v>
      </c>
      <c r="C724" s="3" t="s">
        <v>555</v>
      </c>
      <c r="D724" s="3" t="s">
        <v>2392</v>
      </c>
      <c r="E724" s="3">
        <v>610450</v>
      </c>
      <c r="F724" s="3">
        <v>0</v>
      </c>
      <c r="G724" s="3" t="s">
        <v>2394</v>
      </c>
      <c r="H724" s="3" t="s">
        <v>20</v>
      </c>
      <c r="I724" s="4" t="s">
        <v>50</v>
      </c>
      <c r="J724" s="4" t="s">
        <v>21</v>
      </c>
      <c r="K724" s="4"/>
      <c r="L724" s="4" t="s">
        <v>2395</v>
      </c>
      <c r="M724" s="4" t="s">
        <v>22</v>
      </c>
      <c r="N724" s="4" t="s">
        <v>23</v>
      </c>
      <c r="O724" s="4" t="s">
        <v>27</v>
      </c>
      <c r="P724" s="4" t="s">
        <v>28</v>
      </c>
      <c r="Q724" s="24">
        <v>10</v>
      </c>
      <c r="R724" s="25">
        <v>2</v>
      </c>
      <c r="S724" s="39">
        <v>0</v>
      </c>
      <c r="T724" s="7" t="s">
        <v>2910</v>
      </c>
      <c r="V724" s="7" t="str">
        <f>+IF(U724="","",IF(U724="FINES",CONCATENATE("R",IF(OR(B724="16",B724="21",B724="22",B724="23"),"16212223",IF(OR(B724="15",B724="17",B724="24",B724="25"),"15172425",B724))),IF(U724="CEBAS","UNICO",IF(VALUE(B724)&lt;=11,"AMBA","INTERIOR"))))</f>
        <v/>
      </c>
      <c r="W724" s="38" t="str">
        <f>+IF(U724="","-",CONCATENATE(U724,"_",V724))</f>
        <v>-</v>
      </c>
      <c r="X724" s="42">
        <v>0.97299999999999998</v>
      </c>
    </row>
    <row r="725" spans="1:24" ht="15" thickBot="1">
      <c r="A725" s="5" t="s">
        <v>2916</v>
      </c>
      <c r="B725" s="5" t="s">
        <v>356</v>
      </c>
      <c r="C725" s="5" t="s">
        <v>353</v>
      </c>
      <c r="D725" s="5" t="s">
        <v>355</v>
      </c>
      <c r="E725" s="5">
        <v>611026</v>
      </c>
      <c r="F725" s="5">
        <v>3</v>
      </c>
      <c r="G725" s="5" t="s">
        <v>387</v>
      </c>
      <c r="H725" s="5" t="s">
        <v>20</v>
      </c>
      <c r="I725" s="6" t="s">
        <v>50</v>
      </c>
      <c r="J725" s="6" t="s">
        <v>51</v>
      </c>
      <c r="K725" s="6" t="s">
        <v>368</v>
      </c>
      <c r="L725" s="6" t="s">
        <v>388</v>
      </c>
      <c r="M725" s="6" t="s">
        <v>22</v>
      </c>
      <c r="N725" s="6" t="s">
        <v>23</v>
      </c>
      <c r="O725" s="6" t="s">
        <v>27</v>
      </c>
      <c r="P725" s="6" t="s">
        <v>28</v>
      </c>
      <c r="Q725" s="22">
        <v>22</v>
      </c>
      <c r="R725" s="23">
        <v>2</v>
      </c>
      <c r="S725" s="39">
        <v>0</v>
      </c>
      <c r="T725" s="7" t="s">
        <v>2910</v>
      </c>
      <c r="V725" s="7" t="str">
        <f>+IF(U725="","",IF(U725="FINES",CONCATENATE("R",IF(OR(B725="16",B725="21",B725="22",B725="23"),"16212223",IF(OR(B725="15",B725="17",B725="24",B725="25"),"15172425",B725))),IF(U725="CEBAS","UNICO",IF(VALUE(B725)&lt;=11,"AMBA","INTERIOR"))))</f>
        <v/>
      </c>
      <c r="W725" s="38" t="str">
        <f>+IF(U725="","-",CONCATENATE(U725,"_",V725))</f>
        <v>-</v>
      </c>
      <c r="X725" s="42">
        <v>0.97399999999999998</v>
      </c>
    </row>
    <row r="726" spans="1:24" ht="15" thickBot="1">
      <c r="A726" s="5" t="s">
        <v>2916</v>
      </c>
      <c r="B726" s="5" t="s">
        <v>205</v>
      </c>
      <c r="C726" s="5" t="s">
        <v>255</v>
      </c>
      <c r="D726" s="5" t="s">
        <v>750</v>
      </c>
      <c r="E726" s="5">
        <v>611538</v>
      </c>
      <c r="F726" s="5">
        <v>1</v>
      </c>
      <c r="G726" s="5" t="s">
        <v>751</v>
      </c>
      <c r="H726" s="5" t="s">
        <v>20</v>
      </c>
      <c r="I726" s="6" t="s">
        <v>50</v>
      </c>
      <c r="J726" s="6" t="s">
        <v>51</v>
      </c>
      <c r="K726" s="6" t="s">
        <v>752</v>
      </c>
      <c r="L726" s="6" t="s">
        <v>428</v>
      </c>
      <c r="M726" s="6" t="s">
        <v>22</v>
      </c>
      <c r="N726" s="6" t="s">
        <v>23</v>
      </c>
      <c r="O726" s="6" t="s">
        <v>27</v>
      </c>
      <c r="P726" s="6" t="s">
        <v>28</v>
      </c>
      <c r="Q726" s="22">
        <v>29</v>
      </c>
      <c r="R726" s="23">
        <v>2</v>
      </c>
      <c r="S726" s="39">
        <v>0</v>
      </c>
      <c r="T726" s="7" t="s">
        <v>2910</v>
      </c>
      <c r="U726" s="7"/>
      <c r="V726" s="7" t="str">
        <f>+IF(U726="","",IF(U726="FINES",CONCATENATE("R",IF(OR(B726="16",B726="21",B726="22",B726="23"),"16212223",IF(OR(B726="15",B726="17",B726="24",B726="25"),"15172425",B726))),IF(U726="CEBAS","UNICO",IF(VALUE(B726)&lt;=11,"AMBA","INTERIOR"))))</f>
        <v/>
      </c>
      <c r="W726" s="38" t="str">
        <f>+IF(U726="","-",CONCATENATE(U726,"_",V726))</f>
        <v>-</v>
      </c>
      <c r="X726" s="42">
        <v>0.97599999999999998</v>
      </c>
    </row>
    <row r="727" spans="1:24" ht="15" thickBot="1">
      <c r="A727" s="5" t="s">
        <v>2916</v>
      </c>
      <c r="B727" s="5" t="s">
        <v>516</v>
      </c>
      <c r="C727" s="5" t="s">
        <v>889</v>
      </c>
      <c r="D727" s="5" t="s">
        <v>2458</v>
      </c>
      <c r="E727" s="5">
        <v>600575</v>
      </c>
      <c r="F727" s="5">
        <v>0</v>
      </c>
      <c r="G727" s="5" t="s">
        <v>2465</v>
      </c>
      <c r="H727" s="5" t="s">
        <v>20</v>
      </c>
      <c r="I727" s="6" t="s">
        <v>50</v>
      </c>
      <c r="J727" s="6" t="s">
        <v>21</v>
      </c>
      <c r="K727" s="6"/>
      <c r="L727" s="6" t="s">
        <v>2466</v>
      </c>
      <c r="M727" s="6" t="s">
        <v>200</v>
      </c>
      <c r="N727" s="6" t="s">
        <v>23</v>
      </c>
      <c r="O727" s="6" t="s">
        <v>27</v>
      </c>
      <c r="P727" s="6" t="s">
        <v>28</v>
      </c>
      <c r="Q727" s="22">
        <v>4</v>
      </c>
      <c r="R727" s="23">
        <v>2</v>
      </c>
      <c r="S727" s="39">
        <v>0</v>
      </c>
      <c r="T727" s="7" t="s">
        <v>2910</v>
      </c>
      <c r="U727" s="7"/>
      <c r="V727" s="7" t="str">
        <f>+IF(U727="","",IF(U727="FINES",CONCATENATE("R",IF(OR(B727="16",B727="21",B727="22",B727="23"),"16212223",IF(OR(B727="15",B727="17",B727="24",B727="25"),"15172425",B727))),IF(U727="CEBAS","UNICO",IF(VALUE(B727)&lt;=11,"AMBA","INTERIOR"))))</f>
        <v/>
      </c>
      <c r="W727" s="38" t="str">
        <f>+IF(U727="","-",CONCATENATE(U727,"_",V727))</f>
        <v>-</v>
      </c>
      <c r="X727" s="42">
        <v>0.97699999999999998</v>
      </c>
    </row>
    <row r="728" spans="1:24" ht="15" thickBot="1">
      <c r="A728" s="3" t="s">
        <v>2916</v>
      </c>
      <c r="B728" s="3" t="s">
        <v>352</v>
      </c>
      <c r="C728" s="3" t="s">
        <v>1924</v>
      </c>
      <c r="D728" s="3" t="s">
        <v>1925</v>
      </c>
      <c r="E728" s="3">
        <v>610527</v>
      </c>
      <c r="F728" s="3">
        <v>2</v>
      </c>
      <c r="G728" s="3" t="s">
        <v>1937</v>
      </c>
      <c r="H728" s="3" t="s">
        <v>20</v>
      </c>
      <c r="I728" s="4" t="s">
        <v>50</v>
      </c>
      <c r="J728" s="4" t="s">
        <v>51</v>
      </c>
      <c r="K728" s="4" t="s">
        <v>1927</v>
      </c>
      <c r="L728" s="4" t="s">
        <v>786</v>
      </c>
      <c r="M728" s="4" t="s">
        <v>22</v>
      </c>
      <c r="N728" s="4" t="s">
        <v>23</v>
      </c>
      <c r="O728" s="4" t="s">
        <v>27</v>
      </c>
      <c r="P728" s="4" t="s">
        <v>28</v>
      </c>
      <c r="Q728" s="24">
        <v>27</v>
      </c>
      <c r="R728" s="25">
        <v>2</v>
      </c>
      <c r="S728" s="39">
        <v>0</v>
      </c>
      <c r="T728" s="7" t="s">
        <v>2910</v>
      </c>
      <c r="U728" s="7"/>
      <c r="V728" s="7" t="str">
        <f>+IF(U728="","",IF(U728="FINES",CONCATENATE("R",IF(OR(B728="16",B728="21",B728="22",B728="23"),"16212223",IF(OR(B728="15",B728="17",B728="24",B728="25"),"15172425",B728))),IF(U728="CEBAS","UNICO",IF(VALUE(B728)&lt;=11,"AMBA","INTERIOR"))))</f>
        <v/>
      </c>
      <c r="W728" s="38" t="str">
        <f>+IF(U728="","-",CONCATENATE(U728,"_",V728))</f>
        <v>-</v>
      </c>
      <c r="X728" s="42">
        <v>0.97799999999999998</v>
      </c>
    </row>
    <row r="729" spans="1:24" ht="15" thickBot="1">
      <c r="A729" s="3" t="s">
        <v>2916</v>
      </c>
      <c r="B729" s="3" t="s">
        <v>1532</v>
      </c>
      <c r="C729" s="3" t="s">
        <v>1530</v>
      </c>
      <c r="D729" s="3" t="s">
        <v>1531</v>
      </c>
      <c r="E729" s="3">
        <v>614440</v>
      </c>
      <c r="F729" s="3">
        <v>0</v>
      </c>
      <c r="G729" s="3" t="s">
        <v>1553</v>
      </c>
      <c r="H729" s="3" t="s">
        <v>20</v>
      </c>
      <c r="I729" s="4" t="s">
        <v>25</v>
      </c>
      <c r="J729" s="4" t="s">
        <v>21</v>
      </c>
      <c r="K729" s="4"/>
      <c r="L729" s="4" t="s">
        <v>1554</v>
      </c>
      <c r="M729" s="4" t="s">
        <v>22</v>
      </c>
      <c r="N729" s="4" t="s">
        <v>134</v>
      </c>
      <c r="O729" s="4" t="s">
        <v>27</v>
      </c>
      <c r="P729" s="4" t="s">
        <v>28</v>
      </c>
      <c r="Q729" s="24">
        <v>13</v>
      </c>
      <c r="R729" s="25">
        <v>1</v>
      </c>
      <c r="S729" s="39">
        <v>0</v>
      </c>
      <c r="T729" s="7" t="s">
        <v>2910</v>
      </c>
      <c r="U729" s="7"/>
      <c r="V729" s="7" t="str">
        <f>+IF(U729="","",IF(U729="FINES",CONCATENATE("R",IF(OR(B729="16",B729="21",B729="22",B729="23"),"16212223",IF(OR(B729="15",B729="17",B729="24",B729="25"),"15172425",B729))),IF(U729="CEBAS","UNICO",IF(VALUE(B729)&lt;=11,"AMBA","INTERIOR"))))</f>
        <v/>
      </c>
      <c r="W729" s="38" t="str">
        <f>+IF(U729="","-",CONCATENATE(U729,"_",V729))</f>
        <v>-</v>
      </c>
      <c r="X729" s="42">
        <v>0.97799999999999998</v>
      </c>
    </row>
    <row r="730" spans="1:24" ht="15" thickBot="1">
      <c r="A730" s="3" t="s">
        <v>2916</v>
      </c>
      <c r="B730" s="3" t="s">
        <v>19</v>
      </c>
      <c r="C730" s="3" t="s">
        <v>17</v>
      </c>
      <c r="D730" s="3" t="s">
        <v>18</v>
      </c>
      <c r="E730" s="3">
        <v>603172</v>
      </c>
      <c r="F730" s="3">
        <v>1</v>
      </c>
      <c r="G730" s="3" t="s">
        <v>81</v>
      </c>
      <c r="H730" s="3" t="s">
        <v>20</v>
      </c>
      <c r="I730" s="4" t="s">
        <v>50</v>
      </c>
      <c r="J730" s="4" t="s">
        <v>51</v>
      </c>
      <c r="K730" s="4" t="s">
        <v>82</v>
      </c>
      <c r="L730" s="4" t="s">
        <v>83</v>
      </c>
      <c r="M730" s="4" t="s">
        <v>22</v>
      </c>
      <c r="N730" s="4" t="s">
        <v>23</v>
      </c>
      <c r="O730" s="4" t="s">
        <v>27</v>
      </c>
      <c r="P730" s="4" t="s">
        <v>28</v>
      </c>
      <c r="Q730" s="24">
        <v>20</v>
      </c>
      <c r="R730" s="25">
        <v>2</v>
      </c>
      <c r="S730" s="39">
        <v>0</v>
      </c>
      <c r="T730" s="7" t="s">
        <v>2910</v>
      </c>
      <c r="U730" s="7"/>
      <c r="V730" s="7" t="str">
        <f>+IF(U730="","",IF(U730="FINES",CONCATENATE("R",IF(OR(B730="16",B730="21",B730="22",B730="23"),"16212223",IF(OR(B730="15",B730="17",B730="24",B730="25"),"15172425",B730))),IF(U730="CEBAS","UNICO",IF(VALUE(B730)&lt;=11,"AMBA","INTERIOR"))))</f>
        <v/>
      </c>
      <c r="W730" s="38" t="str">
        <f>+IF(U730="","-",CONCATENATE(U730,"_",V730))</f>
        <v>-</v>
      </c>
      <c r="X730" s="42">
        <v>0.98199999999999998</v>
      </c>
    </row>
    <row r="731" spans="1:24" ht="15" thickBot="1">
      <c r="A731" s="5" t="s">
        <v>2916</v>
      </c>
      <c r="B731" s="5" t="s">
        <v>223</v>
      </c>
      <c r="C731" s="5" t="s">
        <v>1205</v>
      </c>
      <c r="D731" s="5" t="s">
        <v>2075</v>
      </c>
      <c r="E731" s="5">
        <v>602999</v>
      </c>
      <c r="F731" s="5">
        <v>0</v>
      </c>
      <c r="G731" s="5" t="s">
        <v>2076</v>
      </c>
      <c r="H731" s="5" t="s">
        <v>20</v>
      </c>
      <c r="I731" s="6" t="s">
        <v>50</v>
      </c>
      <c r="J731" s="6" t="s">
        <v>21</v>
      </c>
      <c r="K731" s="6"/>
      <c r="L731" s="6" t="s">
        <v>543</v>
      </c>
      <c r="M731" s="6" t="s">
        <v>22</v>
      </c>
      <c r="N731" s="6" t="s">
        <v>23</v>
      </c>
      <c r="O731" s="6" t="s">
        <v>27</v>
      </c>
      <c r="P731" s="6" t="s">
        <v>28</v>
      </c>
      <c r="Q731" s="22">
        <v>4</v>
      </c>
      <c r="R731" s="23">
        <v>1</v>
      </c>
      <c r="S731" s="39">
        <v>0</v>
      </c>
      <c r="T731" s="7" t="s">
        <v>2910</v>
      </c>
      <c r="V731" s="7" t="str">
        <f>+IF(U731="","",IF(U731="FINES",CONCATENATE("R",IF(OR(B731="16",B731="21",B731="22",B731="23"),"16212223",IF(OR(B731="15",B731="17",B731="24",B731="25"),"15172425",B731))),IF(U731="CEBAS","UNICO",IF(VALUE(B731)&lt;=11,"AMBA","INTERIOR"))))</f>
        <v/>
      </c>
      <c r="W731" s="38" t="str">
        <f>+IF(U731="","-",CONCATENATE(U731,"_",V731))</f>
        <v>-</v>
      </c>
      <c r="X731" s="42">
        <v>0.98599999999999999</v>
      </c>
    </row>
    <row r="732" spans="1:24" ht="15" thickBot="1">
      <c r="A732" s="3" t="s">
        <v>2916</v>
      </c>
      <c r="B732" s="3" t="s">
        <v>516</v>
      </c>
      <c r="C732" s="3" t="s">
        <v>451</v>
      </c>
      <c r="D732" s="3" t="s">
        <v>1315</v>
      </c>
      <c r="E732" s="3">
        <v>603785</v>
      </c>
      <c r="F732" s="3">
        <v>1</v>
      </c>
      <c r="G732" s="3" t="s">
        <v>1316</v>
      </c>
      <c r="H732" s="3" t="s">
        <v>20</v>
      </c>
      <c r="I732" s="4" t="s">
        <v>50</v>
      </c>
      <c r="J732" s="4" t="s">
        <v>51</v>
      </c>
      <c r="K732" s="4" t="s">
        <v>1317</v>
      </c>
      <c r="L732" s="4" t="s">
        <v>1318</v>
      </c>
      <c r="M732" s="4" t="s">
        <v>22</v>
      </c>
      <c r="N732" s="4" t="s">
        <v>23</v>
      </c>
      <c r="O732" s="4" t="s">
        <v>27</v>
      </c>
      <c r="P732" s="4" t="s">
        <v>28</v>
      </c>
      <c r="Q732" s="24">
        <v>61</v>
      </c>
      <c r="R732" s="25">
        <v>3</v>
      </c>
      <c r="S732" s="39">
        <v>0</v>
      </c>
      <c r="T732" s="7" t="s">
        <v>2910</v>
      </c>
      <c r="V732" s="7" t="str">
        <f>+IF(U732="","",IF(U732="FINES",CONCATENATE("R",IF(OR(B732="16",B732="21",B732="22",B732="23"),"16212223",IF(OR(B732="15",B732="17",B732="24",B732="25"),"15172425",B732))),IF(U732="CEBAS","UNICO",IF(VALUE(B732)&lt;=11,"AMBA","INTERIOR"))))</f>
        <v/>
      </c>
      <c r="W732" s="38" t="str">
        <f>+IF(U732="","-",CONCATENATE(U732,"_",V732))</f>
        <v>-</v>
      </c>
      <c r="X732" s="42">
        <v>0.98599999999999999</v>
      </c>
    </row>
    <row r="733" spans="1:24" ht="15" thickBot="1">
      <c r="A733" s="5" t="s">
        <v>2916</v>
      </c>
      <c r="B733" s="5" t="s">
        <v>19</v>
      </c>
      <c r="C733" s="5" t="s">
        <v>17</v>
      </c>
      <c r="D733" s="5" t="s">
        <v>18</v>
      </c>
      <c r="E733" s="5">
        <v>602884</v>
      </c>
      <c r="F733" s="5">
        <v>0</v>
      </c>
      <c r="G733" s="5" t="s">
        <v>74</v>
      </c>
      <c r="H733" s="5" t="s">
        <v>20</v>
      </c>
      <c r="I733" s="6" t="s">
        <v>50</v>
      </c>
      <c r="J733" s="6" t="s">
        <v>21</v>
      </c>
      <c r="K733" s="6"/>
      <c r="L733" s="6" t="s">
        <v>75</v>
      </c>
      <c r="M733" s="6" t="s">
        <v>22</v>
      </c>
      <c r="N733" s="6" t="s">
        <v>23</v>
      </c>
      <c r="O733" s="6" t="s">
        <v>27</v>
      </c>
      <c r="P733" s="6" t="s">
        <v>28</v>
      </c>
      <c r="Q733" s="22">
        <v>126</v>
      </c>
      <c r="R733" s="23">
        <v>10</v>
      </c>
      <c r="S733" s="39">
        <v>0</v>
      </c>
      <c r="T733" s="7" t="s">
        <v>2910</v>
      </c>
      <c r="U733" s="7"/>
      <c r="V733" s="7" t="str">
        <f>+IF(U733="","",IF(U733="FINES",CONCATENATE("R",IF(OR(B733="16",B733="21",B733="22",B733="23"),"16212223",IF(OR(B733="15",B733="17",B733="24",B733="25"),"15172425",B733))),IF(U733="CEBAS","UNICO",IF(VALUE(B733)&lt;=11,"AMBA","INTERIOR"))))</f>
        <v/>
      </c>
      <c r="W733" s="38" t="str">
        <f>+IF(U733="","-",CONCATENATE(U733,"_",V733))</f>
        <v>-</v>
      </c>
      <c r="X733" s="42">
        <v>0.98699999999999999</v>
      </c>
    </row>
    <row r="734" spans="1:24" ht="15" thickBot="1">
      <c r="A734" s="5" t="s">
        <v>2916</v>
      </c>
      <c r="B734" s="5" t="s">
        <v>1532</v>
      </c>
      <c r="C734" s="5" t="s">
        <v>1530</v>
      </c>
      <c r="D734" s="5" t="s">
        <v>1531</v>
      </c>
      <c r="E734" s="5">
        <v>613635</v>
      </c>
      <c r="F734" s="5">
        <v>1</v>
      </c>
      <c r="G734" s="5" t="s">
        <v>1612</v>
      </c>
      <c r="H734" s="5" t="s">
        <v>20</v>
      </c>
      <c r="I734" s="6" t="s">
        <v>50</v>
      </c>
      <c r="J734" s="6" t="s">
        <v>51</v>
      </c>
      <c r="K734" s="6" t="s">
        <v>1583</v>
      </c>
      <c r="L734" s="6" t="s">
        <v>1613</v>
      </c>
      <c r="M734" s="6" t="s">
        <v>22</v>
      </c>
      <c r="N734" s="6" t="s">
        <v>23</v>
      </c>
      <c r="O734" s="6" t="s">
        <v>27</v>
      </c>
      <c r="P734" s="6" t="s">
        <v>28</v>
      </c>
      <c r="Q734" s="22">
        <v>43</v>
      </c>
      <c r="R734" s="23">
        <v>3</v>
      </c>
      <c r="S734" s="39">
        <v>0</v>
      </c>
      <c r="T734" s="7" t="s">
        <v>2910</v>
      </c>
      <c r="U734" s="7"/>
      <c r="V734" s="7" t="str">
        <f>+IF(U734="","",IF(U734="FINES",CONCATENATE("R",IF(OR(B734="16",B734="21",B734="22",B734="23"),"16212223",IF(OR(B734="15",B734="17",B734="24",B734="25"),"15172425",B734))),IF(U734="CEBAS","UNICO",IF(VALUE(B734)&lt;=11,"AMBA","INTERIOR"))))</f>
        <v/>
      </c>
      <c r="W734" s="38" t="str">
        <f>+IF(U734="","-",CONCATENATE(U734,"_",V734))</f>
        <v>-</v>
      </c>
      <c r="X734" s="42">
        <v>0.98799999999999999</v>
      </c>
    </row>
    <row r="735" spans="1:24" ht="15" thickBot="1">
      <c r="A735" s="5" t="s">
        <v>2916</v>
      </c>
      <c r="B735" s="5" t="s">
        <v>222</v>
      </c>
      <c r="C735" s="5" t="s">
        <v>2047</v>
      </c>
      <c r="D735" s="5" t="s">
        <v>2048</v>
      </c>
      <c r="E735" s="5">
        <v>623359</v>
      </c>
      <c r="F735" s="5">
        <v>0</v>
      </c>
      <c r="G735" s="5" t="s">
        <v>2073</v>
      </c>
      <c r="H735" s="5" t="s">
        <v>210</v>
      </c>
      <c r="I735" s="6" t="s">
        <v>202</v>
      </c>
      <c r="J735" s="6" t="s">
        <v>21</v>
      </c>
      <c r="K735" s="6"/>
      <c r="L735" s="6" t="s">
        <v>2074</v>
      </c>
      <c r="M735" s="6" t="s">
        <v>22</v>
      </c>
      <c r="N735" s="6" t="s">
        <v>23</v>
      </c>
      <c r="O735" s="6" t="s">
        <v>27</v>
      </c>
      <c r="P735" s="6" t="s">
        <v>144</v>
      </c>
      <c r="Q735" s="22">
        <v>428</v>
      </c>
      <c r="R735" s="23">
        <v>3</v>
      </c>
      <c r="S735" s="39">
        <v>0</v>
      </c>
      <c r="T735" s="7" t="s">
        <v>2909</v>
      </c>
      <c r="U735" s="7"/>
      <c r="V735" s="7" t="str">
        <f>+IF(U735="","",IF(U735="FINES",CONCATENATE("R",IF(OR(B735="16",B735="21",B735="22",B735="23"),"16212223",IF(OR(B735="15",B735="17",B735="24",B735="25"),"15172425",B735))),IF(U735="CEBAS","UNICO",IF(VALUE(B735)&lt;=11,"AMBA","INTERIOR"))))</f>
        <v/>
      </c>
      <c r="W735" s="38" t="str">
        <f>+IF(U735="","-",CONCATENATE(U735,"_",V735))</f>
        <v>-</v>
      </c>
      <c r="X735" s="42">
        <v>0.99199999999999999</v>
      </c>
    </row>
    <row r="736" spans="1:24" ht="15" thickBot="1">
      <c r="A736" s="5" t="s">
        <v>2916</v>
      </c>
      <c r="B736" s="5" t="s">
        <v>1257</v>
      </c>
      <c r="C736" s="5" t="s">
        <v>2237</v>
      </c>
      <c r="D736" s="5" t="s">
        <v>2238</v>
      </c>
      <c r="E736" s="5">
        <v>614364</v>
      </c>
      <c r="F736" s="5">
        <v>0</v>
      </c>
      <c r="G736" s="5" t="s">
        <v>2241</v>
      </c>
      <c r="H736" s="5" t="s">
        <v>20</v>
      </c>
      <c r="I736" s="6" t="s">
        <v>25</v>
      </c>
      <c r="J736" s="6" t="s">
        <v>21</v>
      </c>
      <c r="K736" s="6"/>
      <c r="L736" s="6" t="s">
        <v>2242</v>
      </c>
      <c r="M736" s="6" t="s">
        <v>22</v>
      </c>
      <c r="N736" s="6" t="s">
        <v>23</v>
      </c>
      <c r="O736" s="6" t="s">
        <v>27</v>
      </c>
      <c r="P736" s="6" t="s">
        <v>28</v>
      </c>
      <c r="Q736" s="22">
        <v>11</v>
      </c>
      <c r="R736" s="23">
        <v>1</v>
      </c>
      <c r="S736" s="39">
        <v>0</v>
      </c>
      <c r="T736" s="7" t="s">
        <v>2910</v>
      </c>
      <c r="U736" s="7"/>
      <c r="V736" s="7" t="str">
        <f>+IF(U736="","",IF(U736="FINES",CONCATENATE("R",IF(OR(B736="16",B736="21",B736="22",B736="23"),"16212223",IF(OR(B736="15",B736="17",B736="24",B736="25"),"15172425",B736))),IF(U736="CEBAS","UNICO",IF(VALUE(B736)&lt;=11,"AMBA","INTERIOR"))))</f>
        <v/>
      </c>
      <c r="W736" s="38" t="str">
        <f>+IF(U736="","-",CONCATENATE(U736,"_",V736))</f>
        <v>-</v>
      </c>
      <c r="X736" s="42">
        <v>0.99199999999999999</v>
      </c>
    </row>
    <row r="737" spans="1:24" ht="15" thickBot="1">
      <c r="A737" s="5" t="s">
        <v>2916</v>
      </c>
      <c r="B737" s="5" t="s">
        <v>204</v>
      </c>
      <c r="C737" s="5" t="s">
        <v>1084</v>
      </c>
      <c r="D737" s="5" t="s">
        <v>1085</v>
      </c>
      <c r="E737" s="5">
        <v>603625</v>
      </c>
      <c r="F737" s="5">
        <v>0</v>
      </c>
      <c r="G737" s="5" t="s">
        <v>1150</v>
      </c>
      <c r="H737" s="5" t="s">
        <v>210</v>
      </c>
      <c r="I737" s="6" t="s">
        <v>202</v>
      </c>
      <c r="J737" s="6" t="s">
        <v>21</v>
      </c>
      <c r="K737" s="6"/>
      <c r="L737" s="6" t="s">
        <v>1151</v>
      </c>
      <c r="M737" s="6" t="s">
        <v>22</v>
      </c>
      <c r="N737" s="6" t="s">
        <v>23</v>
      </c>
      <c r="O737" s="6" t="s">
        <v>27</v>
      </c>
      <c r="P737" s="6" t="s">
        <v>144</v>
      </c>
      <c r="Q737" s="22">
        <v>26</v>
      </c>
      <c r="R737" s="23">
        <v>3</v>
      </c>
      <c r="S737" s="39">
        <v>0</v>
      </c>
      <c r="T737" s="7" t="s">
        <v>2909</v>
      </c>
      <c r="U737" s="7"/>
      <c r="V737" s="7" t="str">
        <f>+IF(U737="","",IF(U737="FINES",CONCATENATE("R",IF(OR(B737="16",B737="21",B737="22",B737="23"),"16212223",IF(OR(B737="15",B737="17",B737="24",B737="25"),"15172425",B737))),IF(U737="CEBAS","UNICO",IF(VALUE(B737)&lt;=11,"AMBA","INTERIOR"))))</f>
        <v/>
      </c>
      <c r="W737" s="38" t="str">
        <f>+IF(U737="","-",CONCATENATE(U737,"_",V737))</f>
        <v>-</v>
      </c>
      <c r="X737" s="42">
        <v>0.99199999999999999</v>
      </c>
    </row>
    <row r="738" spans="1:24" ht="15" thickBot="1">
      <c r="A738" s="3" t="s">
        <v>2916</v>
      </c>
      <c r="B738" s="3" t="s">
        <v>140</v>
      </c>
      <c r="C738" s="3" t="s">
        <v>136</v>
      </c>
      <c r="D738" s="3" t="s">
        <v>559</v>
      </c>
      <c r="E738" s="3">
        <v>613508</v>
      </c>
      <c r="F738" s="3">
        <v>1</v>
      </c>
      <c r="G738" s="3" t="s">
        <v>560</v>
      </c>
      <c r="H738" s="3" t="s">
        <v>20</v>
      </c>
      <c r="I738" s="4" t="s">
        <v>50</v>
      </c>
      <c r="J738" s="4" t="s">
        <v>51</v>
      </c>
      <c r="K738" s="4" t="s">
        <v>561</v>
      </c>
      <c r="L738" s="4" t="s">
        <v>562</v>
      </c>
      <c r="M738" s="4" t="s">
        <v>22</v>
      </c>
      <c r="N738" s="4" t="s">
        <v>23</v>
      </c>
      <c r="O738" s="4" t="s">
        <v>27</v>
      </c>
      <c r="P738" s="4" t="s">
        <v>28</v>
      </c>
      <c r="Q738" s="24">
        <v>15</v>
      </c>
      <c r="R738" s="25">
        <v>1</v>
      </c>
      <c r="S738" s="39">
        <v>0</v>
      </c>
      <c r="T738" s="7" t="s">
        <v>2910</v>
      </c>
      <c r="U738" s="7"/>
      <c r="V738" s="7" t="str">
        <f>+IF(U738="","",IF(U738="FINES",CONCATENATE("R",IF(OR(B738="16",B738="21",B738="22",B738="23"),"16212223",IF(OR(B738="15",B738="17",B738="24",B738="25"),"15172425",B738))),IF(U738="CEBAS","UNICO",IF(VALUE(B738)&lt;=11,"AMBA","INTERIOR"))))</f>
        <v/>
      </c>
      <c r="W738" s="38" t="str">
        <f>+IF(U738="","-",CONCATENATE(U738,"_",V738))</f>
        <v>-</v>
      </c>
      <c r="X738" s="42">
        <v>0.99299999999999999</v>
      </c>
    </row>
    <row r="739" spans="1:24" ht="15" thickBot="1">
      <c r="A739" s="5" t="s">
        <v>2916</v>
      </c>
      <c r="B739" s="5" t="s">
        <v>217</v>
      </c>
      <c r="C739" s="5" t="s">
        <v>2027</v>
      </c>
      <c r="D739" s="5" t="s">
        <v>2028</v>
      </c>
      <c r="E739" s="5">
        <v>601475</v>
      </c>
      <c r="F739" s="5">
        <v>2</v>
      </c>
      <c r="G739" s="5" t="s">
        <v>2031</v>
      </c>
      <c r="H739" s="5" t="s">
        <v>20</v>
      </c>
      <c r="I739" s="6" t="s">
        <v>50</v>
      </c>
      <c r="J739" s="6" t="s">
        <v>51</v>
      </c>
      <c r="K739" s="6" t="s">
        <v>2030</v>
      </c>
      <c r="L739" s="6" t="s">
        <v>526</v>
      </c>
      <c r="M739" s="6" t="s">
        <v>22</v>
      </c>
      <c r="N739" s="6" t="s">
        <v>23</v>
      </c>
      <c r="O739" s="6" t="s">
        <v>27</v>
      </c>
      <c r="P739" s="6" t="s">
        <v>28</v>
      </c>
      <c r="Q739" s="22">
        <v>34</v>
      </c>
      <c r="R739" s="23">
        <v>4</v>
      </c>
      <c r="S739" s="39">
        <v>0</v>
      </c>
      <c r="T739" s="7" t="s">
        <v>2910</v>
      </c>
      <c r="V739" s="7" t="str">
        <f>+IF(U739="","",IF(U739="FINES",CONCATENATE("R",IF(OR(B739="16",B739="21",B739="22",B739="23"),"16212223",IF(OR(B739="15",B739="17",B739="24",B739="25"),"15172425",B739))),IF(U739="CEBAS","UNICO",IF(VALUE(B739)&lt;=11,"AMBA","INTERIOR"))))</f>
        <v/>
      </c>
      <c r="W739" s="38" t="str">
        <f>+IF(U739="","-",CONCATENATE(U739,"_",V739))</f>
        <v>-</v>
      </c>
      <c r="X739" s="42">
        <v>0.995</v>
      </c>
    </row>
    <row r="740" spans="1:24" ht="15" thickBot="1">
      <c r="A740" s="5" t="s">
        <v>2916</v>
      </c>
      <c r="B740" s="5" t="s">
        <v>19</v>
      </c>
      <c r="C740" s="5" t="s">
        <v>17</v>
      </c>
      <c r="D740" s="5" t="s">
        <v>18</v>
      </c>
      <c r="E740" s="5">
        <v>602814</v>
      </c>
      <c r="F740" s="5">
        <v>0</v>
      </c>
      <c r="G740" s="5" t="s">
        <v>212</v>
      </c>
      <c r="H740" s="5" t="s">
        <v>210</v>
      </c>
      <c r="I740" s="6" t="s">
        <v>142</v>
      </c>
      <c r="J740" s="6" t="s">
        <v>21</v>
      </c>
      <c r="K740" s="6"/>
      <c r="L740" s="6" t="s">
        <v>213</v>
      </c>
      <c r="M740" s="6" t="s">
        <v>22</v>
      </c>
      <c r="N740" s="6" t="s">
        <v>23</v>
      </c>
      <c r="O740" s="6" t="s">
        <v>27</v>
      </c>
      <c r="P740" s="6" t="s">
        <v>144</v>
      </c>
      <c r="Q740" s="22">
        <v>21</v>
      </c>
      <c r="R740" s="23">
        <v>3</v>
      </c>
      <c r="S740" s="39">
        <v>0</v>
      </c>
      <c r="T740" s="7" t="s">
        <v>2909</v>
      </c>
      <c r="U740" s="7"/>
      <c r="V740" s="7" t="str">
        <f>+IF(U740="","",IF(U740="FINES",CONCATENATE("R",IF(OR(B740="16",B740="21",B740="22",B740="23"),"16212223",IF(OR(B740="15",B740="17",B740="24",B740="25"),"15172425",B740))),IF(U740="CEBAS","UNICO",IF(VALUE(B740)&lt;=11,"AMBA","INTERIOR"))))</f>
        <v/>
      </c>
      <c r="W740" s="38" t="str">
        <f>+IF(U740="","-",CONCATENATE(U740,"_",V740))</f>
        <v>-</v>
      </c>
      <c r="X740" s="42">
        <v>0.995</v>
      </c>
    </row>
    <row r="741" spans="1:24" ht="15" thickBot="1">
      <c r="A741" s="3" t="s">
        <v>2916</v>
      </c>
      <c r="B741" s="3" t="s">
        <v>1860</v>
      </c>
      <c r="C741" s="3" t="s">
        <v>1858</v>
      </c>
      <c r="D741" s="3" t="s">
        <v>1859</v>
      </c>
      <c r="E741" s="3">
        <v>613639</v>
      </c>
      <c r="F741" s="3">
        <v>1</v>
      </c>
      <c r="G741" s="3" t="s">
        <v>1871</v>
      </c>
      <c r="H741" s="3" t="s">
        <v>20</v>
      </c>
      <c r="I741" s="4" t="s">
        <v>50</v>
      </c>
      <c r="J741" s="4" t="s">
        <v>51</v>
      </c>
      <c r="K741" s="4" t="s">
        <v>1872</v>
      </c>
      <c r="L741" s="4" t="s">
        <v>1226</v>
      </c>
      <c r="M741" s="4" t="s">
        <v>22</v>
      </c>
      <c r="N741" s="4" t="s">
        <v>23</v>
      </c>
      <c r="O741" s="4" t="s">
        <v>27</v>
      </c>
      <c r="P741" s="4" t="s">
        <v>28</v>
      </c>
      <c r="Q741" s="24">
        <v>62</v>
      </c>
      <c r="R741" s="25">
        <v>4</v>
      </c>
      <c r="S741" s="39">
        <v>0</v>
      </c>
      <c r="T741" s="7" t="s">
        <v>2910</v>
      </c>
      <c r="U741" s="7"/>
      <c r="V741" s="7" t="str">
        <f>+IF(U741="","",IF(U741="FINES",CONCATENATE("R",IF(OR(B741="16",B741="21",B741="22",B741="23"),"16212223",IF(OR(B741="15",B741="17",B741="24",B741="25"),"15172425",B741))),IF(U741="CEBAS","UNICO",IF(VALUE(B741)&lt;=11,"AMBA","INTERIOR"))))</f>
        <v/>
      </c>
      <c r="W741" s="38" t="str">
        <f>+IF(U741="","-",CONCATENATE(U741,"_",V741))</f>
        <v>-</v>
      </c>
      <c r="X741" s="42">
        <v>0.996</v>
      </c>
    </row>
    <row r="742" spans="1:24" ht="15" thickBot="1">
      <c r="A742" s="3" t="s">
        <v>2916</v>
      </c>
      <c r="B742" s="3" t="s">
        <v>1860</v>
      </c>
      <c r="C742" s="3" t="s">
        <v>1858</v>
      </c>
      <c r="D742" s="3" t="s">
        <v>1859</v>
      </c>
      <c r="E742" s="3">
        <v>606296</v>
      </c>
      <c r="F742" s="3">
        <v>3</v>
      </c>
      <c r="G742" s="3" t="s">
        <v>1875</v>
      </c>
      <c r="H742" s="3" t="s">
        <v>20</v>
      </c>
      <c r="I742" s="4" t="s">
        <v>50</v>
      </c>
      <c r="J742" s="4" t="s">
        <v>51</v>
      </c>
      <c r="K742" s="4" t="s">
        <v>1874</v>
      </c>
      <c r="L742" s="4" t="s">
        <v>955</v>
      </c>
      <c r="M742" s="4" t="s">
        <v>22</v>
      </c>
      <c r="N742" s="4" t="s">
        <v>23</v>
      </c>
      <c r="O742" s="4" t="s">
        <v>27</v>
      </c>
      <c r="P742" s="4" t="s">
        <v>28</v>
      </c>
      <c r="Q742" s="24">
        <v>44</v>
      </c>
      <c r="R742" s="25">
        <v>3</v>
      </c>
      <c r="S742" s="39">
        <v>0</v>
      </c>
      <c r="T742" s="7" t="s">
        <v>2910</v>
      </c>
      <c r="V742" s="7" t="str">
        <f>+IF(U742="","",IF(U742="FINES",CONCATENATE("R",IF(OR(B742="16",B742="21",B742="22",B742="23"),"16212223",IF(OR(B742="15",B742="17",B742="24",B742="25"),"15172425",B742))),IF(U742="CEBAS","UNICO",IF(VALUE(B742)&lt;=11,"AMBA","INTERIOR"))))</f>
        <v/>
      </c>
      <c r="W742" s="38" t="str">
        <f>+IF(U742="","-",CONCATENATE(U742,"_",V742))</f>
        <v>-</v>
      </c>
      <c r="X742" s="42">
        <v>0.996</v>
      </c>
    </row>
    <row r="743" spans="1:24" ht="15" thickBot="1">
      <c r="A743" s="3" t="s">
        <v>2916</v>
      </c>
      <c r="B743" s="3" t="s">
        <v>257</v>
      </c>
      <c r="C743" s="3" t="s">
        <v>254</v>
      </c>
      <c r="D743" s="3" t="s">
        <v>256</v>
      </c>
      <c r="E743" s="3">
        <v>613279</v>
      </c>
      <c r="F743" s="3">
        <v>2</v>
      </c>
      <c r="G743" s="3" t="s">
        <v>268</v>
      </c>
      <c r="H743" s="3" t="s">
        <v>20</v>
      </c>
      <c r="I743" s="4" t="s">
        <v>50</v>
      </c>
      <c r="J743" s="4" t="s">
        <v>51</v>
      </c>
      <c r="K743" s="4" t="s">
        <v>264</v>
      </c>
      <c r="L743" s="4" t="s">
        <v>269</v>
      </c>
      <c r="M743" s="4" t="s">
        <v>22</v>
      </c>
      <c r="N743" s="4" t="s">
        <v>23</v>
      </c>
      <c r="O743" s="4" t="s">
        <v>27</v>
      </c>
      <c r="P743" s="4" t="s">
        <v>28</v>
      </c>
      <c r="Q743" s="24">
        <v>31</v>
      </c>
      <c r="R743" s="25">
        <v>3</v>
      </c>
      <c r="S743" s="39">
        <v>0</v>
      </c>
      <c r="T743" s="7" t="s">
        <v>2910</v>
      </c>
      <c r="V743" s="7" t="str">
        <f>+IF(U743="","",IF(U743="FINES",CONCATENATE("R",IF(OR(B743="16",B743="21",B743="22",B743="23"),"16212223",IF(OR(B743="15",B743="17",B743="24",B743="25"),"15172425",B743))),IF(U743="CEBAS","UNICO",IF(VALUE(B743)&lt;=11,"AMBA","INTERIOR"))))</f>
        <v/>
      </c>
      <c r="W743" s="38" t="str">
        <f>+IF(U743="","-",CONCATENATE(U743,"_",V743))</f>
        <v>-</v>
      </c>
      <c r="X743" s="42">
        <v>0.997</v>
      </c>
    </row>
    <row r="744" spans="1:24" ht="15" thickBot="1">
      <c r="A744" s="3" t="s">
        <v>2916</v>
      </c>
      <c r="B744" s="3" t="s">
        <v>140</v>
      </c>
      <c r="C744" s="3" t="s">
        <v>136</v>
      </c>
      <c r="D744" s="3" t="s">
        <v>559</v>
      </c>
      <c r="E744" s="3">
        <v>613508</v>
      </c>
      <c r="F744" s="3">
        <v>3</v>
      </c>
      <c r="G744" s="3" t="s">
        <v>565</v>
      </c>
      <c r="H744" s="3" t="s">
        <v>20</v>
      </c>
      <c r="I744" s="4" t="s">
        <v>50</v>
      </c>
      <c r="J744" s="4" t="s">
        <v>51</v>
      </c>
      <c r="K744" s="4" t="s">
        <v>561</v>
      </c>
      <c r="L744" s="4" t="s">
        <v>566</v>
      </c>
      <c r="M744" s="4" t="s">
        <v>22</v>
      </c>
      <c r="N744" s="4" t="s">
        <v>23</v>
      </c>
      <c r="O744" s="4" t="s">
        <v>27</v>
      </c>
      <c r="P744" s="4" t="s">
        <v>28</v>
      </c>
      <c r="Q744" s="24">
        <v>15</v>
      </c>
      <c r="R744" s="25">
        <v>1</v>
      </c>
      <c r="S744" s="39">
        <v>0</v>
      </c>
      <c r="T744" s="7" t="s">
        <v>2910</v>
      </c>
      <c r="V744" s="7" t="str">
        <f>+IF(U744="","",IF(U744="FINES",CONCATENATE("R",IF(OR(B744="16",B744="21",B744="22",B744="23"),"16212223",IF(OR(B744="15",B744="17",B744="24",B744="25"),"15172425",B744))),IF(U744="CEBAS","UNICO",IF(VALUE(B744)&lt;=11,"AMBA","INTERIOR"))))</f>
        <v/>
      </c>
      <c r="W744" s="38" t="str">
        <f>+IF(U744="","-",CONCATENATE(U744,"_",V744))</f>
        <v>-</v>
      </c>
      <c r="X744" s="42">
        <v>0.998</v>
      </c>
    </row>
    <row r="745" spans="1:24" ht="15" thickBot="1">
      <c r="A745" s="5" t="s">
        <v>2916</v>
      </c>
      <c r="B745" s="5" t="s">
        <v>257</v>
      </c>
      <c r="C745" s="5" t="s">
        <v>254</v>
      </c>
      <c r="D745" s="5" t="s">
        <v>256</v>
      </c>
      <c r="E745" s="5">
        <v>604372</v>
      </c>
      <c r="F745" s="5">
        <v>2</v>
      </c>
      <c r="G745" s="5" t="s">
        <v>297</v>
      </c>
      <c r="H745" s="5" t="s">
        <v>20</v>
      </c>
      <c r="I745" s="6" t="s">
        <v>50</v>
      </c>
      <c r="J745" s="6" t="s">
        <v>51</v>
      </c>
      <c r="K745" s="6" t="s">
        <v>271</v>
      </c>
      <c r="L745" s="6" t="s">
        <v>298</v>
      </c>
      <c r="M745" s="6" t="s">
        <v>22</v>
      </c>
      <c r="N745" s="6" t="s">
        <v>23</v>
      </c>
      <c r="O745" s="6" t="s">
        <v>27</v>
      </c>
      <c r="P745" s="6" t="s">
        <v>28</v>
      </c>
      <c r="Q745" s="22">
        <v>51</v>
      </c>
      <c r="R745" s="23">
        <v>3</v>
      </c>
      <c r="S745" s="39">
        <v>0</v>
      </c>
      <c r="T745" s="7" t="s">
        <v>2910</v>
      </c>
      <c r="U745" s="7"/>
      <c r="V745" s="7" t="str">
        <f>+IF(U745="","",IF(U745="FINES",CONCATENATE("R",IF(OR(B745="16",B745="21",B745="22",B745="23"),"16212223",IF(OR(B745="15",B745="17",B745="24",B745="25"),"15172425",B745))),IF(U745="CEBAS","UNICO",IF(VALUE(B745)&lt;=11,"AMBA","INTERIOR"))))</f>
        <v/>
      </c>
      <c r="W745" s="38" t="str">
        <f>+IF(U745="","-",CONCATENATE(U745,"_",V745))</f>
        <v>-</v>
      </c>
      <c r="X745" s="42">
        <v>0.998</v>
      </c>
    </row>
    <row r="746" spans="1:24" ht="15" thickBot="1">
      <c r="A746" s="3" t="s">
        <v>2916</v>
      </c>
      <c r="B746" s="3" t="s">
        <v>203</v>
      </c>
      <c r="C746" s="3" t="s">
        <v>450</v>
      </c>
      <c r="D746" s="3" t="s">
        <v>452</v>
      </c>
      <c r="E746" s="3">
        <v>616446</v>
      </c>
      <c r="F746" s="3">
        <v>0</v>
      </c>
      <c r="G746" s="3" t="s">
        <v>514</v>
      </c>
      <c r="H746" s="3" t="s">
        <v>20</v>
      </c>
      <c r="I746" s="4" t="s">
        <v>192</v>
      </c>
      <c r="J746" s="4" t="s">
        <v>21</v>
      </c>
      <c r="K746" s="4"/>
      <c r="L746" s="4" t="s">
        <v>515</v>
      </c>
      <c r="M746" s="4" t="s">
        <v>22</v>
      </c>
      <c r="N746" s="4" t="s">
        <v>23</v>
      </c>
      <c r="O746" s="4" t="s">
        <v>27</v>
      </c>
      <c r="P746" s="4" t="s">
        <v>144</v>
      </c>
      <c r="Q746" s="24">
        <v>48</v>
      </c>
      <c r="R746" s="25">
        <v>3</v>
      </c>
      <c r="S746" s="39">
        <v>1</v>
      </c>
      <c r="T746" s="7"/>
      <c r="U746" s="7" t="s">
        <v>2914</v>
      </c>
      <c r="V746" s="7" t="str">
        <f>+IF(U746="","",IF(U746="FINES",CONCATENATE("R",IF(OR(B746="16",B746="21",B746="22",B746="23"),"16212223",IF(OR(B746="15",B746="17",B746="24",B746="25"),"15172425",B746))),IF(U746="CEBAS","UNICO",IF(VALUE(B746)&lt;=11,"AMBA","INTERIOR"))))</f>
        <v>UNICO</v>
      </c>
      <c r="W746" s="38" t="str">
        <f>+IF(U746="","-",CONCATENATE(U746,"_",V746))</f>
        <v>CEBAS_UNICO</v>
      </c>
      <c r="X746" s="42">
        <v>7.0999999999999994E-2</v>
      </c>
    </row>
    <row r="747" spans="1:24" ht="15" thickBot="1">
      <c r="A747" s="3" t="s">
        <v>2916</v>
      </c>
      <c r="B747" s="3" t="s">
        <v>1780</v>
      </c>
      <c r="C747" s="3" t="s">
        <v>1778</v>
      </c>
      <c r="D747" s="3" t="s">
        <v>1779</v>
      </c>
      <c r="E747" s="3">
        <v>616233</v>
      </c>
      <c r="F747" s="3">
        <v>0</v>
      </c>
      <c r="G747" s="3" t="s">
        <v>1848</v>
      </c>
      <c r="H747" s="3" t="s">
        <v>20</v>
      </c>
      <c r="I747" s="4" t="s">
        <v>192</v>
      </c>
      <c r="J747" s="4" t="s">
        <v>21</v>
      </c>
      <c r="K747" s="4"/>
      <c r="L747" s="4" t="s">
        <v>1849</v>
      </c>
      <c r="M747" s="4" t="s">
        <v>22</v>
      </c>
      <c r="N747" s="4" t="s">
        <v>23</v>
      </c>
      <c r="O747" s="4" t="s">
        <v>27</v>
      </c>
      <c r="P747" s="4" t="s">
        <v>144</v>
      </c>
      <c r="Q747" s="24">
        <v>102</v>
      </c>
      <c r="R747" s="25">
        <v>6</v>
      </c>
      <c r="S747" s="39">
        <v>1</v>
      </c>
      <c r="T747" s="7"/>
      <c r="U747" t="s">
        <v>2914</v>
      </c>
      <c r="V747" s="7" t="str">
        <f>+IF(U747="","",IF(U747="FINES",CONCATENATE("R",IF(OR(B747="16",B747="21",B747="22",B747="23"),"16212223",IF(OR(B747="15",B747="17",B747="24",B747="25"),"15172425",B747))),IF(U747="CEBAS","UNICO",IF(VALUE(B747)&lt;=11,"AMBA","INTERIOR"))))</f>
        <v>UNICO</v>
      </c>
      <c r="W747" s="38" t="str">
        <f>+IF(U747="","-",CONCATENATE(U747,"_",V747))</f>
        <v>CEBAS_UNICO</v>
      </c>
      <c r="X747" s="42">
        <v>0.19900000000000001</v>
      </c>
    </row>
    <row r="748" spans="1:24" ht="15" thickBot="1">
      <c r="A748" s="5" t="s">
        <v>2916</v>
      </c>
      <c r="B748" s="5" t="s">
        <v>19</v>
      </c>
      <c r="C748" s="5" t="s">
        <v>17</v>
      </c>
      <c r="D748" s="5" t="s">
        <v>18</v>
      </c>
      <c r="E748" s="5">
        <v>620508</v>
      </c>
      <c r="F748" s="5">
        <v>0</v>
      </c>
      <c r="G748" s="5" t="s">
        <v>194</v>
      </c>
      <c r="H748" s="5" t="s">
        <v>20</v>
      </c>
      <c r="I748" s="6" t="s">
        <v>192</v>
      </c>
      <c r="J748" s="6" t="s">
        <v>21</v>
      </c>
      <c r="K748" s="6"/>
      <c r="L748" s="6" t="s">
        <v>195</v>
      </c>
      <c r="M748" s="6" t="s">
        <v>22</v>
      </c>
      <c r="N748" s="6" t="s">
        <v>23</v>
      </c>
      <c r="O748" s="6" t="s">
        <v>27</v>
      </c>
      <c r="P748" s="6" t="s">
        <v>144</v>
      </c>
      <c r="Q748" s="22">
        <v>16</v>
      </c>
      <c r="R748" s="23">
        <v>1</v>
      </c>
      <c r="S748" s="39">
        <v>1</v>
      </c>
      <c r="T748" s="7"/>
      <c r="U748" t="s">
        <v>2914</v>
      </c>
      <c r="V748" s="7" t="str">
        <f>+IF(U748="","",IF(U748="FINES",CONCATENATE("R",IF(OR(B748="16",B748="21",B748="22",B748="23"),"16212223",IF(OR(B748="15",B748="17",B748="24",B748="25"),"15172425",B748))),IF(U748="CEBAS","UNICO",IF(VALUE(B748)&lt;=11,"AMBA","INTERIOR"))))</f>
        <v>UNICO</v>
      </c>
      <c r="W748" s="38" t="str">
        <f>+IF(U748="","-",CONCATENATE(U748,"_",V748))</f>
        <v>CEBAS_UNICO</v>
      </c>
      <c r="X748" s="42">
        <v>0.27400000000000002</v>
      </c>
    </row>
    <row r="749" spans="1:24" ht="15" thickBot="1">
      <c r="A749" s="5" t="s">
        <v>2916</v>
      </c>
      <c r="B749" s="5" t="s">
        <v>222</v>
      </c>
      <c r="C749" s="5" t="s">
        <v>227</v>
      </c>
      <c r="D749" s="5" t="s">
        <v>2603</v>
      </c>
      <c r="E749" s="5">
        <v>616870</v>
      </c>
      <c r="F749" s="5">
        <v>0</v>
      </c>
      <c r="G749" s="5" t="s">
        <v>1311</v>
      </c>
      <c r="H749" s="5" t="s">
        <v>20</v>
      </c>
      <c r="I749" s="6" t="s">
        <v>192</v>
      </c>
      <c r="J749" s="6" t="s">
        <v>21</v>
      </c>
      <c r="K749" s="6"/>
      <c r="L749" s="6" t="s">
        <v>2628</v>
      </c>
      <c r="M749" s="6" t="s">
        <v>22</v>
      </c>
      <c r="N749" s="6" t="s">
        <v>23</v>
      </c>
      <c r="O749" s="6" t="s">
        <v>27</v>
      </c>
      <c r="P749" s="6" t="s">
        <v>144</v>
      </c>
      <c r="Q749" s="22">
        <v>54</v>
      </c>
      <c r="R749" s="23">
        <v>3</v>
      </c>
      <c r="S749" s="39">
        <v>1</v>
      </c>
      <c r="T749" s="7"/>
      <c r="U749" s="7" t="s">
        <v>2914</v>
      </c>
      <c r="V749" s="7" t="str">
        <f>+IF(U749="","",IF(U749="FINES",CONCATENATE("R",IF(OR(B749="16",B749="21",B749="22",B749="23"),"16212223",IF(OR(B749="15",B749="17",B749="24",B749="25"),"15172425",B749))),IF(U749="CEBAS","UNICO",IF(VALUE(B749)&lt;=11,"AMBA","INTERIOR"))))</f>
        <v>UNICO</v>
      </c>
      <c r="W749" s="38" t="str">
        <f>+IF(U749="","-",CONCATENATE(U749,"_",V749))</f>
        <v>CEBAS_UNICO</v>
      </c>
      <c r="X749" s="42">
        <v>0.29499999999999998</v>
      </c>
    </row>
    <row r="750" spans="1:24" ht="15" thickBot="1">
      <c r="A750" s="5" t="s">
        <v>2916</v>
      </c>
      <c r="B750" s="5" t="s">
        <v>1860</v>
      </c>
      <c r="C750" s="5" t="s">
        <v>875</v>
      </c>
      <c r="D750" s="5" t="s">
        <v>2816</v>
      </c>
      <c r="E750" s="5">
        <v>619103</v>
      </c>
      <c r="F750" s="5">
        <v>0</v>
      </c>
      <c r="G750" s="5" t="s">
        <v>2834</v>
      </c>
      <c r="H750" s="5" t="s">
        <v>20</v>
      </c>
      <c r="I750" s="6" t="s">
        <v>192</v>
      </c>
      <c r="J750" s="6" t="s">
        <v>21</v>
      </c>
      <c r="K750" s="6"/>
      <c r="L750" s="6" t="s">
        <v>2835</v>
      </c>
      <c r="M750" s="6" t="s">
        <v>22</v>
      </c>
      <c r="N750" s="6" t="s">
        <v>23</v>
      </c>
      <c r="O750" s="6" t="s">
        <v>27</v>
      </c>
      <c r="P750" s="6" t="s">
        <v>144</v>
      </c>
      <c r="Q750" s="22">
        <v>96</v>
      </c>
      <c r="R750" s="23">
        <v>6</v>
      </c>
      <c r="S750" s="39">
        <v>1</v>
      </c>
      <c r="T750" s="7"/>
      <c r="U750" s="7" t="s">
        <v>2914</v>
      </c>
      <c r="V750" s="7" t="str">
        <f>+IF(U750="","",IF(U750="FINES",CONCATENATE("R",IF(OR(B750="16",B750="21",B750="22",B750="23"),"16212223",IF(OR(B750="15",B750="17",B750="24",B750="25"),"15172425",B750))),IF(U750="CEBAS","UNICO",IF(VALUE(B750)&lt;=11,"AMBA","INTERIOR"))))</f>
        <v>UNICO</v>
      </c>
      <c r="W750" s="38" t="str">
        <f>+IF(U750="","-",CONCATENATE(U750,"_",V750))</f>
        <v>CEBAS_UNICO</v>
      </c>
      <c r="X750" s="42">
        <v>0.3</v>
      </c>
    </row>
    <row r="751" spans="1:24" ht="15" thickBot="1">
      <c r="A751" s="3" t="s">
        <v>2916</v>
      </c>
      <c r="B751" s="3" t="s">
        <v>817</v>
      </c>
      <c r="C751" s="3" t="s">
        <v>600</v>
      </c>
      <c r="D751" s="3" t="s">
        <v>2661</v>
      </c>
      <c r="E751" s="3">
        <v>614624</v>
      </c>
      <c r="F751" s="3">
        <v>0</v>
      </c>
      <c r="G751" s="3" t="s">
        <v>2709</v>
      </c>
      <c r="H751" s="3" t="s">
        <v>20</v>
      </c>
      <c r="I751" s="4" t="s">
        <v>192</v>
      </c>
      <c r="J751" s="4" t="s">
        <v>21</v>
      </c>
      <c r="K751" s="4"/>
      <c r="L751" s="4" t="s">
        <v>2710</v>
      </c>
      <c r="M751" s="4" t="s">
        <v>22</v>
      </c>
      <c r="N751" s="4" t="s">
        <v>23</v>
      </c>
      <c r="O751" s="4" t="s">
        <v>27</v>
      </c>
      <c r="P751" s="4" t="s">
        <v>144</v>
      </c>
      <c r="Q751" s="24">
        <v>86</v>
      </c>
      <c r="R751" s="25">
        <v>6</v>
      </c>
      <c r="S751" s="39">
        <v>1</v>
      </c>
      <c r="T751" s="7"/>
      <c r="U751" s="7" t="s">
        <v>2914</v>
      </c>
      <c r="V751" s="7" t="str">
        <f>+IF(U751="","",IF(U751="FINES",CONCATENATE("R",IF(OR(B751="16",B751="21",B751="22",B751="23"),"16212223",IF(OR(B751="15",B751="17",B751="24",B751="25"),"15172425",B751))),IF(U751="CEBAS","UNICO",IF(VALUE(B751)&lt;=11,"AMBA","INTERIOR"))))</f>
        <v>UNICO</v>
      </c>
      <c r="W751" s="38" t="str">
        <f>+IF(U751="","-",CONCATENATE(U751,"_",V751))</f>
        <v>CEBAS_UNICO</v>
      </c>
      <c r="X751" s="42">
        <v>0.33700000000000002</v>
      </c>
    </row>
    <row r="752" spans="1:24" ht="15" thickBot="1">
      <c r="A752" s="5" t="s">
        <v>2916</v>
      </c>
      <c r="B752" s="5" t="s">
        <v>205</v>
      </c>
      <c r="C752" s="5" t="s">
        <v>1946</v>
      </c>
      <c r="D752" s="5" t="s">
        <v>1947</v>
      </c>
      <c r="E752" s="5">
        <v>615601</v>
      </c>
      <c r="F752" s="5">
        <v>0</v>
      </c>
      <c r="G752" s="5" t="s">
        <v>1958</v>
      </c>
      <c r="H752" s="5" t="s">
        <v>20</v>
      </c>
      <c r="I752" s="6" t="s">
        <v>192</v>
      </c>
      <c r="J752" s="6" t="s">
        <v>21</v>
      </c>
      <c r="K752" s="6"/>
      <c r="L752" s="6" t="s">
        <v>1959</v>
      </c>
      <c r="M752" s="6" t="s">
        <v>22</v>
      </c>
      <c r="N752" s="6" t="s">
        <v>23</v>
      </c>
      <c r="O752" s="6" t="s">
        <v>27</v>
      </c>
      <c r="P752" s="6" t="s">
        <v>144</v>
      </c>
      <c r="Q752" s="22">
        <v>39</v>
      </c>
      <c r="R752" s="23">
        <v>3</v>
      </c>
      <c r="S752" s="39">
        <v>1</v>
      </c>
      <c r="T752" s="7"/>
      <c r="U752" s="7" t="s">
        <v>2914</v>
      </c>
      <c r="V752" s="7" t="str">
        <f>+IF(U752="","",IF(U752="FINES",CONCATENATE("R",IF(OR(B752="16",B752="21",B752="22",B752="23"),"16212223",IF(OR(B752="15",B752="17",B752="24",B752="25"),"15172425",B752))),IF(U752="CEBAS","UNICO",IF(VALUE(B752)&lt;=11,"AMBA","INTERIOR"))))</f>
        <v>UNICO</v>
      </c>
      <c r="W752" s="38" t="str">
        <f>+IF(U752="","-",CONCATENATE(U752,"_",V752))</f>
        <v>CEBAS_UNICO</v>
      </c>
      <c r="X752" s="42">
        <v>0.374</v>
      </c>
    </row>
    <row r="753" spans="1:24" ht="15" thickBot="1">
      <c r="A753" s="5" t="s">
        <v>2916</v>
      </c>
      <c r="B753" s="5" t="s">
        <v>204</v>
      </c>
      <c r="C753" s="5" t="s">
        <v>1084</v>
      </c>
      <c r="D753" s="5" t="s">
        <v>1085</v>
      </c>
      <c r="E753" s="5">
        <v>609445</v>
      </c>
      <c r="F753" s="5">
        <v>0</v>
      </c>
      <c r="G753" s="5" t="s">
        <v>1148</v>
      </c>
      <c r="H753" s="5" t="s">
        <v>20</v>
      </c>
      <c r="I753" s="6" t="s">
        <v>192</v>
      </c>
      <c r="J753" s="6" t="s">
        <v>21</v>
      </c>
      <c r="K753" s="6"/>
      <c r="L753" s="6" t="s">
        <v>1149</v>
      </c>
      <c r="M753" s="6" t="s">
        <v>22</v>
      </c>
      <c r="N753" s="6" t="s">
        <v>23</v>
      </c>
      <c r="O753" s="6" t="s">
        <v>27</v>
      </c>
      <c r="P753" s="6" t="s">
        <v>144</v>
      </c>
      <c r="Q753" s="22">
        <v>89</v>
      </c>
      <c r="R753" s="23">
        <v>6</v>
      </c>
      <c r="S753" s="39">
        <v>1</v>
      </c>
      <c r="T753" s="7"/>
      <c r="U753" s="7" t="s">
        <v>2914</v>
      </c>
      <c r="V753" s="7" t="str">
        <f>+IF(U753="","",IF(U753="FINES",CONCATENATE("R",IF(OR(B753="16",B753="21",B753="22",B753="23"),"16212223",IF(OR(B753="15",B753="17",B753="24",B753="25"),"15172425",B753))),IF(U753="CEBAS","UNICO",IF(VALUE(B753)&lt;=11,"AMBA","INTERIOR"))))</f>
        <v>UNICO</v>
      </c>
      <c r="W753" s="38" t="str">
        <f>+IF(U753="","-",CONCATENATE(U753,"_",V753))</f>
        <v>CEBAS_UNICO</v>
      </c>
      <c r="X753" s="42">
        <v>0.39600000000000002</v>
      </c>
    </row>
    <row r="754" spans="1:24" ht="15" thickBot="1">
      <c r="A754" s="5" t="s">
        <v>2916</v>
      </c>
      <c r="B754" s="5" t="s">
        <v>356</v>
      </c>
      <c r="C754" s="5" t="s">
        <v>353</v>
      </c>
      <c r="D754" s="5" t="s">
        <v>355</v>
      </c>
      <c r="E754" s="5">
        <v>610303</v>
      </c>
      <c r="F754" s="5">
        <v>0</v>
      </c>
      <c r="G754" s="5" t="s">
        <v>408</v>
      </c>
      <c r="H754" s="5" t="s">
        <v>20</v>
      </c>
      <c r="I754" s="6" t="s">
        <v>192</v>
      </c>
      <c r="J754" s="6" t="s">
        <v>21</v>
      </c>
      <c r="K754" s="6"/>
      <c r="L754" s="6" t="s">
        <v>409</v>
      </c>
      <c r="M754" s="6" t="s">
        <v>22</v>
      </c>
      <c r="N754" s="6" t="s">
        <v>23</v>
      </c>
      <c r="O754" s="6" t="s">
        <v>27</v>
      </c>
      <c r="P754" s="6" t="s">
        <v>144</v>
      </c>
      <c r="Q754" s="22">
        <v>124</v>
      </c>
      <c r="R754" s="23">
        <v>6</v>
      </c>
      <c r="S754" s="39">
        <v>1</v>
      </c>
      <c r="T754" s="7"/>
      <c r="U754" s="7" t="s">
        <v>2914</v>
      </c>
      <c r="V754" s="7" t="str">
        <f>+IF(U754="","",IF(U754="FINES",CONCATENATE("R",IF(OR(B754="16",B754="21",B754="22",B754="23"),"16212223",IF(OR(B754="15",B754="17",B754="24",B754="25"),"15172425",B754))),IF(U754="CEBAS","UNICO",IF(VALUE(B754)&lt;=11,"AMBA","INTERIOR"))))</f>
        <v>UNICO</v>
      </c>
      <c r="W754" s="38" t="str">
        <f>+IF(U754="","-",CONCATENATE(U754,"_",V754))</f>
        <v>CEBAS_UNICO</v>
      </c>
      <c r="X754" s="42">
        <v>0.41899999999999998</v>
      </c>
    </row>
    <row r="755" spans="1:24" ht="15" thickBot="1">
      <c r="A755" s="3" t="s">
        <v>2916</v>
      </c>
      <c r="B755" s="3" t="s">
        <v>356</v>
      </c>
      <c r="C755" s="3" t="s">
        <v>805</v>
      </c>
      <c r="D755" s="3" t="s">
        <v>2500</v>
      </c>
      <c r="E755" s="3">
        <v>620507</v>
      </c>
      <c r="F755" s="3">
        <v>0</v>
      </c>
      <c r="G755" s="3" t="s">
        <v>2550</v>
      </c>
      <c r="H755" s="3" t="s">
        <v>20</v>
      </c>
      <c r="I755" s="4" t="s">
        <v>192</v>
      </c>
      <c r="J755" s="4" t="s">
        <v>21</v>
      </c>
      <c r="K755" s="4"/>
      <c r="L755" s="4" t="s">
        <v>2551</v>
      </c>
      <c r="M755" s="4" t="s">
        <v>22</v>
      </c>
      <c r="N755" s="4" t="s">
        <v>23</v>
      </c>
      <c r="O755" s="4" t="s">
        <v>27</v>
      </c>
      <c r="P755" s="4" t="s">
        <v>144</v>
      </c>
      <c r="Q755" s="24">
        <v>43</v>
      </c>
      <c r="R755" s="25">
        <v>3</v>
      </c>
      <c r="S755" s="39">
        <v>1</v>
      </c>
      <c r="T755" s="7"/>
      <c r="U755" t="s">
        <v>2914</v>
      </c>
      <c r="V755" s="7" t="str">
        <f>+IF(U755="","",IF(U755="FINES",CONCATENATE("R",IF(OR(B755="16",B755="21",B755="22",B755="23"),"16212223",IF(OR(B755="15",B755="17",B755="24",B755="25"),"15172425",B755))),IF(U755="CEBAS","UNICO",IF(VALUE(B755)&lt;=11,"AMBA","INTERIOR"))))</f>
        <v>UNICO</v>
      </c>
      <c r="W755" s="38" t="str">
        <f>+IF(U755="","-",CONCATENATE(U755,"_",V755))</f>
        <v>CEBAS_UNICO</v>
      </c>
      <c r="X755" s="42">
        <v>0.42</v>
      </c>
    </row>
    <row r="756" spans="1:24" ht="15" thickBot="1">
      <c r="A756" s="3" t="s">
        <v>2916</v>
      </c>
      <c r="B756" s="3" t="s">
        <v>1780</v>
      </c>
      <c r="C756" s="3" t="s">
        <v>1248</v>
      </c>
      <c r="D756" s="3" t="s">
        <v>2348</v>
      </c>
      <c r="E756" s="3">
        <v>616437</v>
      </c>
      <c r="F756" s="3">
        <v>0</v>
      </c>
      <c r="G756" s="3" t="s">
        <v>2386</v>
      </c>
      <c r="H756" s="3" t="s">
        <v>20</v>
      </c>
      <c r="I756" s="4" t="s">
        <v>192</v>
      </c>
      <c r="J756" s="4" t="s">
        <v>21</v>
      </c>
      <c r="K756" s="4"/>
      <c r="L756" s="4" t="s">
        <v>2387</v>
      </c>
      <c r="M756" s="4" t="s">
        <v>22</v>
      </c>
      <c r="N756" s="4" t="s">
        <v>23</v>
      </c>
      <c r="O756" s="4" t="s">
        <v>27</v>
      </c>
      <c r="P756" s="4" t="s">
        <v>144</v>
      </c>
      <c r="Q756" s="24">
        <v>109</v>
      </c>
      <c r="R756" s="25">
        <v>6</v>
      </c>
      <c r="S756" s="39">
        <v>1</v>
      </c>
      <c r="T756" s="7"/>
      <c r="U756" t="s">
        <v>2914</v>
      </c>
      <c r="V756" s="7" t="str">
        <f>+IF(U756="","",IF(U756="FINES",CONCATENATE("R",IF(OR(B756="16",B756="21",B756="22",B756="23"),"16212223",IF(OR(B756="15",B756="17",B756="24",B756="25"),"15172425",B756))),IF(U756="CEBAS","UNICO",IF(VALUE(B756)&lt;=11,"AMBA","INTERIOR"))))</f>
        <v>UNICO</v>
      </c>
      <c r="W756" s="38" t="str">
        <f>+IF(U756="","-",CONCATENATE(U756,"_",V756))</f>
        <v>CEBAS_UNICO</v>
      </c>
      <c r="X756" s="42">
        <v>0.42199999999999999</v>
      </c>
    </row>
    <row r="757" spans="1:24" ht="15" thickBot="1">
      <c r="A757" s="3" t="s">
        <v>2916</v>
      </c>
      <c r="B757" s="3" t="s">
        <v>19</v>
      </c>
      <c r="C757" s="3" t="s">
        <v>17</v>
      </c>
      <c r="D757" s="3" t="s">
        <v>18</v>
      </c>
      <c r="E757" s="3">
        <v>609006</v>
      </c>
      <c r="F757" s="3">
        <v>0</v>
      </c>
      <c r="G757" s="3" t="s">
        <v>191</v>
      </c>
      <c r="H757" s="3" t="s">
        <v>20</v>
      </c>
      <c r="I757" s="4" t="s">
        <v>192</v>
      </c>
      <c r="J757" s="4" t="s">
        <v>21</v>
      </c>
      <c r="K757" s="4"/>
      <c r="L757" s="4" t="s">
        <v>193</v>
      </c>
      <c r="M757" s="4" t="s">
        <v>22</v>
      </c>
      <c r="N757" s="4" t="s">
        <v>23</v>
      </c>
      <c r="O757" s="4" t="s">
        <v>27</v>
      </c>
      <c r="P757" s="4" t="s">
        <v>144</v>
      </c>
      <c r="Q757" s="24">
        <v>256</v>
      </c>
      <c r="R757" s="25">
        <v>9</v>
      </c>
      <c r="S757" s="39">
        <v>1</v>
      </c>
      <c r="T757" s="7"/>
      <c r="U757" t="s">
        <v>2914</v>
      </c>
      <c r="V757" s="7" t="str">
        <f>+IF(U757="","",IF(U757="FINES",CONCATENATE("R",IF(OR(B757="16",B757="21",B757="22",B757="23"),"16212223",IF(OR(B757="15",B757="17",B757="24",B757="25"),"15172425",B757))),IF(U757="CEBAS","UNICO",IF(VALUE(B757)&lt;=11,"AMBA","INTERIOR"))))</f>
        <v>UNICO</v>
      </c>
      <c r="W757" s="38" t="str">
        <f>+IF(U757="","-",CONCATENATE(U757,"_",V757))</f>
        <v>CEBAS_UNICO</v>
      </c>
      <c r="X757" s="42">
        <v>0.45700000000000002</v>
      </c>
    </row>
    <row r="758" spans="1:24" ht="15" thickBot="1">
      <c r="A758" s="3" t="s">
        <v>2916</v>
      </c>
      <c r="B758" s="3" t="s">
        <v>257</v>
      </c>
      <c r="C758" s="3" t="s">
        <v>772</v>
      </c>
      <c r="D758" s="3" t="s">
        <v>773</v>
      </c>
      <c r="E758" s="3">
        <v>620534</v>
      </c>
      <c r="F758" s="3">
        <v>0</v>
      </c>
      <c r="G758" s="3" t="s">
        <v>803</v>
      </c>
      <c r="H758" s="3" t="s">
        <v>20</v>
      </c>
      <c r="I758" s="4" t="s">
        <v>192</v>
      </c>
      <c r="J758" s="4" t="s">
        <v>21</v>
      </c>
      <c r="K758" s="4"/>
      <c r="L758" s="4" t="s">
        <v>804</v>
      </c>
      <c r="M758" s="4" t="s">
        <v>22</v>
      </c>
      <c r="N758" s="4" t="s">
        <v>23</v>
      </c>
      <c r="O758" s="4" t="s">
        <v>27</v>
      </c>
      <c r="P758" s="4" t="s">
        <v>144</v>
      </c>
      <c r="Q758" s="24">
        <v>33</v>
      </c>
      <c r="R758" s="25">
        <v>3</v>
      </c>
      <c r="S758" s="39">
        <v>1</v>
      </c>
      <c r="T758" s="7"/>
      <c r="U758" s="7" t="s">
        <v>2914</v>
      </c>
      <c r="V758" s="7" t="str">
        <f>+IF(U758="","",IF(U758="FINES",CONCATENATE("R",IF(OR(B758="16",B758="21",B758="22",B758="23"),"16212223",IF(OR(B758="15",B758="17",B758="24",B758="25"),"15172425",B758))),IF(U758="CEBAS","UNICO",IF(VALUE(B758)&lt;=11,"AMBA","INTERIOR"))))</f>
        <v>UNICO</v>
      </c>
      <c r="W758" s="38" t="str">
        <f>+IF(U758="","-",CONCATENATE(U758,"_",V758))</f>
        <v>CEBAS_UNICO</v>
      </c>
      <c r="X758" s="42">
        <v>0.57099999999999995</v>
      </c>
    </row>
    <row r="759" spans="1:24" ht="15" thickBot="1">
      <c r="A759" s="3" t="s">
        <v>2916</v>
      </c>
      <c r="B759" s="3" t="s">
        <v>1257</v>
      </c>
      <c r="C759" s="3" t="s">
        <v>1255</v>
      </c>
      <c r="D759" s="3" t="s">
        <v>1256</v>
      </c>
      <c r="E759" s="3">
        <v>616870</v>
      </c>
      <c r="F759" s="3">
        <v>1</v>
      </c>
      <c r="G759" s="3" t="s">
        <v>1310</v>
      </c>
      <c r="H759" s="3" t="s">
        <v>20</v>
      </c>
      <c r="I759" s="4" t="s">
        <v>192</v>
      </c>
      <c r="J759" s="4" t="s">
        <v>51</v>
      </c>
      <c r="K759" s="4" t="s">
        <v>1311</v>
      </c>
      <c r="L759" s="4" t="s">
        <v>1312</v>
      </c>
      <c r="M759" s="4" t="s">
        <v>22</v>
      </c>
      <c r="N759" s="4" t="s">
        <v>23</v>
      </c>
      <c r="O759" s="4" t="s">
        <v>27</v>
      </c>
      <c r="P759" s="4" t="s">
        <v>144</v>
      </c>
      <c r="Q759" s="24">
        <v>61</v>
      </c>
      <c r="R759" s="25">
        <v>3</v>
      </c>
      <c r="S759" s="39">
        <v>1</v>
      </c>
      <c r="T759" s="7"/>
      <c r="U759" s="7" t="s">
        <v>2914</v>
      </c>
      <c r="V759" s="7" t="str">
        <f>+IF(U759="","",IF(U759="FINES",CONCATENATE("R",IF(OR(B759="16",B759="21",B759="22",B759="23"),"16212223",IF(OR(B759="15",B759="17",B759="24",B759="25"),"15172425",B759))),IF(U759="CEBAS","UNICO",IF(VALUE(B759)&lt;=11,"AMBA","INTERIOR"))))</f>
        <v>UNICO</v>
      </c>
      <c r="W759" s="38" t="str">
        <f>+IF(U759="","-",CONCATENATE(U759,"_",V759))</f>
        <v>CEBAS_UNICO</v>
      </c>
      <c r="X759" s="42">
        <v>0.65800000000000003</v>
      </c>
    </row>
    <row r="760" spans="1:24" ht="15" thickBot="1">
      <c r="A760" s="3" t="s">
        <v>2916</v>
      </c>
      <c r="B760" s="3" t="s">
        <v>217</v>
      </c>
      <c r="C760" s="3" t="s">
        <v>2206</v>
      </c>
      <c r="D760" s="3" t="s">
        <v>2207</v>
      </c>
      <c r="E760" s="3">
        <v>619088</v>
      </c>
      <c r="F760" s="3">
        <v>0</v>
      </c>
      <c r="G760" s="3" t="s">
        <v>2211</v>
      </c>
      <c r="H760" s="3" t="s">
        <v>20</v>
      </c>
      <c r="I760" s="4" t="s">
        <v>192</v>
      </c>
      <c r="J760" s="4" t="s">
        <v>21</v>
      </c>
      <c r="K760" s="4"/>
      <c r="L760" s="4" t="s">
        <v>2212</v>
      </c>
      <c r="M760" s="4" t="s">
        <v>22</v>
      </c>
      <c r="N760" s="4" t="s">
        <v>23</v>
      </c>
      <c r="O760" s="4" t="s">
        <v>27</v>
      </c>
      <c r="P760" s="4" t="s">
        <v>144</v>
      </c>
      <c r="Q760" s="24">
        <v>33</v>
      </c>
      <c r="R760" s="25">
        <v>2</v>
      </c>
      <c r="S760" s="39">
        <v>1</v>
      </c>
      <c r="T760" s="7"/>
      <c r="U760" s="7" t="s">
        <v>2914</v>
      </c>
      <c r="V760" s="7" t="str">
        <f>+IF(U760="","",IF(U760="FINES",CONCATENATE("R",IF(OR(B760="16",B760="21",B760="22",B760="23"),"16212223",IF(OR(B760="15",B760="17",B760="24",B760="25"),"15172425",B760))),IF(U760="CEBAS","UNICO",IF(VALUE(B760)&lt;=11,"AMBA","INTERIOR"))))</f>
        <v>UNICO</v>
      </c>
      <c r="W760" s="38" t="str">
        <f>+IF(U760="","-",CONCATENATE(U760,"_",V760))</f>
        <v>CEBAS_UNICO</v>
      </c>
      <c r="X760" s="42">
        <v>0.76500000000000001</v>
      </c>
    </row>
    <row r="761" spans="1:24" ht="15" thickBot="1">
      <c r="A761" s="5" t="s">
        <v>2916</v>
      </c>
      <c r="B761" s="5" t="s">
        <v>356</v>
      </c>
      <c r="C761" s="5" t="s">
        <v>1359</v>
      </c>
      <c r="D761" s="5" t="s">
        <v>1360</v>
      </c>
      <c r="E761" s="5">
        <v>614623</v>
      </c>
      <c r="F761" s="5">
        <v>0</v>
      </c>
      <c r="G761" s="5" t="s">
        <v>1462</v>
      </c>
      <c r="H761" s="5" t="s">
        <v>20</v>
      </c>
      <c r="I761" s="6" t="s">
        <v>192</v>
      </c>
      <c r="J761" s="6" t="s">
        <v>21</v>
      </c>
      <c r="K761" s="6"/>
      <c r="L761" s="6" t="s">
        <v>1463</v>
      </c>
      <c r="M761" s="6" t="s">
        <v>22</v>
      </c>
      <c r="N761" s="6" t="s">
        <v>23</v>
      </c>
      <c r="O761" s="6" t="s">
        <v>27</v>
      </c>
      <c r="P761" s="6" t="s">
        <v>144</v>
      </c>
      <c r="Q761" s="22">
        <v>63</v>
      </c>
      <c r="R761" s="23">
        <v>6</v>
      </c>
      <c r="S761" s="39">
        <v>1</v>
      </c>
      <c r="T761" s="7"/>
      <c r="U761" t="s">
        <v>2914</v>
      </c>
      <c r="V761" s="7" t="str">
        <f>+IF(U761="","",IF(U761="FINES",CONCATENATE("R",IF(OR(B761="16",B761="21",B761="22",B761="23"),"16212223",IF(OR(B761="15",B761="17",B761="24",B761="25"),"15172425",B761))),IF(U761="CEBAS","UNICO",IF(VALUE(B761)&lt;=11,"AMBA","INTERIOR"))))</f>
        <v>UNICO</v>
      </c>
      <c r="W761" s="38" t="str">
        <f>+IF(U761="","-",CONCATENATE(U761,"_",V761))</f>
        <v>CEBAS_UNICO</v>
      </c>
      <c r="X761" s="42">
        <v>0.84499999999999997</v>
      </c>
    </row>
    <row r="762" spans="1:24" ht="15" thickBot="1">
      <c r="A762" s="3" t="s">
        <v>2916</v>
      </c>
      <c r="B762" s="3" t="s">
        <v>19</v>
      </c>
      <c r="C762" s="3" t="s">
        <v>17</v>
      </c>
      <c r="D762" s="3" t="s">
        <v>18</v>
      </c>
      <c r="E762" s="3">
        <v>620508</v>
      </c>
      <c r="F762" s="3">
        <v>1</v>
      </c>
      <c r="G762" s="3" t="s">
        <v>196</v>
      </c>
      <c r="H762" s="3" t="s">
        <v>20</v>
      </c>
      <c r="I762" s="4" t="s">
        <v>192</v>
      </c>
      <c r="J762" s="4" t="s">
        <v>51</v>
      </c>
      <c r="K762" s="4" t="s">
        <v>194</v>
      </c>
      <c r="L762" s="4" t="s">
        <v>197</v>
      </c>
      <c r="M762" s="4" t="s">
        <v>22</v>
      </c>
      <c r="N762" s="4" t="s">
        <v>23</v>
      </c>
      <c r="O762" s="4" t="s">
        <v>27</v>
      </c>
      <c r="P762" s="4" t="s">
        <v>144</v>
      </c>
      <c r="Q762" s="24">
        <v>77</v>
      </c>
      <c r="R762" s="25">
        <v>3</v>
      </c>
      <c r="S762" s="39">
        <v>1</v>
      </c>
      <c r="T762" s="7"/>
      <c r="U762" t="s">
        <v>2914</v>
      </c>
      <c r="V762" s="7" t="str">
        <f>+IF(U762="","",IF(U762="FINES",CONCATENATE("R",IF(OR(B762="16",B762="21",B762="22",B762="23"),"16212223",IF(OR(B762="15",B762="17",B762="24",B762="25"),"15172425",B762))),IF(U762="CEBAS","UNICO",IF(VALUE(B762)&lt;=11,"AMBA","INTERIOR"))))</f>
        <v>UNICO</v>
      </c>
      <c r="W762" s="38" t="str">
        <f>+IF(U762="","-",CONCATENATE(U762,"_",V762))</f>
        <v>CEBAS_UNICO</v>
      </c>
      <c r="X762" s="42">
        <v>0.86899999999999999</v>
      </c>
    </row>
    <row r="763" spans="1:24" ht="15" thickBot="1">
      <c r="A763" s="5" t="s">
        <v>2916</v>
      </c>
      <c r="B763" s="5" t="s">
        <v>1532</v>
      </c>
      <c r="C763" s="5" t="s">
        <v>1530</v>
      </c>
      <c r="D763" s="5" t="s">
        <v>1531</v>
      </c>
      <c r="E763" s="5">
        <v>607939</v>
      </c>
      <c r="F763" s="5">
        <v>0</v>
      </c>
      <c r="G763" s="5" t="s">
        <v>1762</v>
      </c>
      <c r="H763" s="5" t="s">
        <v>20</v>
      </c>
      <c r="I763" s="6" t="s">
        <v>192</v>
      </c>
      <c r="J763" s="6" t="s">
        <v>21</v>
      </c>
      <c r="K763" s="6"/>
      <c r="L763" s="6" t="s">
        <v>1763</v>
      </c>
      <c r="M763" s="6" t="s">
        <v>22</v>
      </c>
      <c r="N763" s="6" t="s">
        <v>23</v>
      </c>
      <c r="O763" s="6" t="s">
        <v>27</v>
      </c>
      <c r="P763" s="6" t="s">
        <v>144</v>
      </c>
      <c r="Q763" s="22">
        <v>82</v>
      </c>
      <c r="R763" s="23">
        <v>6</v>
      </c>
      <c r="S763" s="39">
        <v>1</v>
      </c>
      <c r="T763" s="7"/>
      <c r="U763" t="s">
        <v>2914</v>
      </c>
      <c r="V763" s="7" t="str">
        <f>+IF(U763="","",IF(U763="FINES",CONCATENATE("R",IF(OR(B763="16",B763="21",B763="22",B763="23"),"16212223",IF(OR(B763="15",B763="17",B763="24",B763="25"),"15172425",B763))),IF(U763="CEBAS","UNICO",IF(VALUE(B763)&lt;=11,"AMBA","INTERIOR"))))</f>
        <v>UNICO</v>
      </c>
      <c r="W763" s="38" t="str">
        <f>+IF(U763="","-",CONCATENATE(U763,"_",V763))</f>
        <v>CEBAS_UNICO</v>
      </c>
      <c r="X763" s="42">
        <v>0.90900000000000003</v>
      </c>
    </row>
    <row r="764" spans="1:24" ht="15" thickBot="1">
      <c r="A764" s="5" t="s">
        <v>2916</v>
      </c>
      <c r="B764" s="5" t="s">
        <v>817</v>
      </c>
      <c r="C764" s="5" t="s">
        <v>815</v>
      </c>
      <c r="D764" s="5" t="s">
        <v>816</v>
      </c>
      <c r="E764" s="5">
        <v>608715</v>
      </c>
      <c r="F764" s="5">
        <v>0</v>
      </c>
      <c r="G764" s="5" t="s">
        <v>872</v>
      </c>
      <c r="H764" s="5" t="s">
        <v>20</v>
      </c>
      <c r="I764" s="6" t="s">
        <v>192</v>
      </c>
      <c r="J764" s="6" t="s">
        <v>21</v>
      </c>
      <c r="K764" s="6"/>
      <c r="L764" s="6" t="s">
        <v>873</v>
      </c>
      <c r="M764" s="6" t="s">
        <v>22</v>
      </c>
      <c r="N764" s="6" t="s">
        <v>23</v>
      </c>
      <c r="O764" s="6" t="s">
        <v>27</v>
      </c>
      <c r="P764" s="6" t="s">
        <v>144</v>
      </c>
      <c r="Q764" s="22">
        <v>82</v>
      </c>
      <c r="R764" s="23">
        <v>3</v>
      </c>
      <c r="S764" s="39">
        <v>1</v>
      </c>
      <c r="T764" s="7"/>
      <c r="U764" t="s">
        <v>2914</v>
      </c>
      <c r="V764" s="7" t="str">
        <f>+IF(U764="","",IF(U764="FINES",CONCATENATE("R",IF(OR(B764="16",B764="21",B764="22",B764="23"),"16212223",IF(OR(B764="15",B764="17",B764="24",B764="25"),"15172425",B764))),IF(U764="CEBAS","UNICO",IF(VALUE(B764)&lt;=11,"AMBA","INTERIOR"))))</f>
        <v>UNICO</v>
      </c>
      <c r="W764" s="38" t="str">
        <f>+IF(U764="","-",CONCATENATE(U764,"_",V764))</f>
        <v>CEBAS_UNICO</v>
      </c>
      <c r="X764" s="42">
        <v>0.92100000000000004</v>
      </c>
    </row>
    <row r="765" spans="1:24" ht="15" thickBot="1">
      <c r="A765" s="3" t="s">
        <v>2916</v>
      </c>
      <c r="B765" s="3" t="s">
        <v>225</v>
      </c>
      <c r="C765" s="3" t="s">
        <v>942</v>
      </c>
      <c r="D765" s="3" t="s">
        <v>943</v>
      </c>
      <c r="E765" s="3">
        <v>609259</v>
      </c>
      <c r="F765" s="3">
        <v>0</v>
      </c>
      <c r="G765" s="3" t="s">
        <v>1060</v>
      </c>
      <c r="H765" s="3" t="s">
        <v>20</v>
      </c>
      <c r="I765" s="4" t="s">
        <v>192</v>
      </c>
      <c r="J765" s="4" t="s">
        <v>21</v>
      </c>
      <c r="K765" s="4"/>
      <c r="L765" s="4" t="s">
        <v>1061</v>
      </c>
      <c r="M765" s="4" t="s">
        <v>22</v>
      </c>
      <c r="N765" s="4" t="s">
        <v>23</v>
      </c>
      <c r="O765" s="4" t="s">
        <v>27</v>
      </c>
      <c r="P765" s="4" t="s">
        <v>144</v>
      </c>
      <c r="Q765" s="24">
        <v>97</v>
      </c>
      <c r="R765" s="25">
        <v>6</v>
      </c>
      <c r="S765" s="39">
        <v>1</v>
      </c>
      <c r="T765" s="7"/>
      <c r="U765" t="s">
        <v>2914</v>
      </c>
      <c r="V765" s="7" t="str">
        <f>+IF(U765="","",IF(U765="FINES",CONCATENATE("R",IF(OR(B765="16",B765="21",B765="22",B765="23"),"16212223",IF(OR(B765="15",B765="17",B765="24",B765="25"),"15172425",B765))),IF(U765="CEBAS","UNICO",IF(VALUE(B765)&lt;=11,"AMBA","INTERIOR"))))</f>
        <v>UNICO</v>
      </c>
      <c r="W765" s="38" t="str">
        <f>+IF(U765="","-",CONCATENATE(U765,"_",V765))</f>
        <v>CEBAS_UNICO</v>
      </c>
      <c r="X765" s="42">
        <v>0.93700000000000006</v>
      </c>
    </row>
    <row r="766" spans="1:24" ht="15" thickBot="1">
      <c r="A766" s="3" t="s">
        <v>2916</v>
      </c>
      <c r="B766" s="3" t="s">
        <v>1532</v>
      </c>
      <c r="C766" s="3" t="s">
        <v>1530</v>
      </c>
      <c r="D766" s="3" t="s">
        <v>1531</v>
      </c>
      <c r="E766" s="3">
        <v>602156</v>
      </c>
      <c r="F766" s="3">
        <v>0</v>
      </c>
      <c r="G766" s="3" t="s">
        <v>1675</v>
      </c>
      <c r="H766" s="3" t="s">
        <v>20</v>
      </c>
      <c r="I766" s="4" t="s">
        <v>142</v>
      </c>
      <c r="J766" s="4" t="s">
        <v>21</v>
      </c>
      <c r="K766" s="4"/>
      <c r="L766" s="4" t="s">
        <v>400</v>
      </c>
      <c r="M766" s="4" t="s">
        <v>22</v>
      </c>
      <c r="N766" s="4" t="s">
        <v>23</v>
      </c>
      <c r="O766" s="4" t="s">
        <v>27</v>
      </c>
      <c r="P766" s="4" t="s">
        <v>144</v>
      </c>
      <c r="Q766" s="24">
        <v>311</v>
      </c>
      <c r="R766" s="25">
        <v>34</v>
      </c>
      <c r="S766" s="39">
        <v>1</v>
      </c>
      <c r="T766" s="7"/>
      <c r="U766" t="s">
        <v>2913</v>
      </c>
      <c r="V766" s="7" t="str">
        <f>+IF(U766="","",IF(U766="FINES",CONCATENATE("R",IF(OR(B766="16",B766="21",B766="22",B766="23"),"16212223",IF(OR(B766="15",B766="17",B766="24",B766="25"),"15172425",B766))),IF(U766="CEBAS","UNICO",IF(VALUE(B766)&lt;=11,"AMBA","INTERIOR"))))</f>
        <v>AMBA</v>
      </c>
      <c r="W766" s="38" t="str">
        <f>+IF(U766="","-",CONCATENATE(U766,"_",V766))</f>
        <v>CENS_AMBA</v>
      </c>
      <c r="X766" s="42">
        <v>3.0000000000000001E-3</v>
      </c>
    </row>
    <row r="767" spans="1:24" ht="15" thickBot="1">
      <c r="A767" s="5" t="s">
        <v>2916</v>
      </c>
      <c r="B767" s="5" t="s">
        <v>1860</v>
      </c>
      <c r="C767" s="5" t="s">
        <v>1858</v>
      </c>
      <c r="D767" s="5" t="s">
        <v>1859</v>
      </c>
      <c r="E767" s="5">
        <v>621170</v>
      </c>
      <c r="F767" s="5">
        <v>1</v>
      </c>
      <c r="G767" s="5" t="s">
        <v>1918</v>
      </c>
      <c r="H767" s="5" t="s">
        <v>20</v>
      </c>
      <c r="I767" s="6" t="s">
        <v>142</v>
      </c>
      <c r="J767" s="6" t="s">
        <v>51</v>
      </c>
      <c r="K767" s="6" t="s">
        <v>1294</v>
      </c>
      <c r="L767" s="6" t="s">
        <v>1919</v>
      </c>
      <c r="M767" s="6" t="s">
        <v>22</v>
      </c>
      <c r="N767" s="6" t="s">
        <v>23</v>
      </c>
      <c r="O767" s="6" t="s">
        <v>27</v>
      </c>
      <c r="P767" s="6" t="s">
        <v>144</v>
      </c>
      <c r="Q767" s="22">
        <v>39</v>
      </c>
      <c r="R767" s="23">
        <v>3</v>
      </c>
      <c r="S767" s="39">
        <v>1</v>
      </c>
      <c r="T767" s="7"/>
      <c r="U767" t="s">
        <v>2913</v>
      </c>
      <c r="V767" s="7" t="str">
        <f>+IF(U767="","",IF(U767="FINES",CONCATENATE("R",IF(OR(B767="16",B767="21",B767="22",B767="23"),"16212223",IF(OR(B767="15",B767="17",B767="24",B767="25"),"15172425",B767))),IF(U767="CEBAS","UNICO",IF(VALUE(B767)&lt;=11,"AMBA","INTERIOR"))))</f>
        <v>AMBA</v>
      </c>
      <c r="W767" s="38" t="str">
        <f>+IF(U767="","-",CONCATENATE(U767,"_",V767))</f>
        <v>CENS_AMBA</v>
      </c>
      <c r="X767" s="42">
        <v>3.0000000000000001E-3</v>
      </c>
    </row>
    <row r="768" spans="1:24" ht="15" thickBot="1">
      <c r="A768" s="5" t="s">
        <v>2916</v>
      </c>
      <c r="B768" s="5" t="s">
        <v>817</v>
      </c>
      <c r="C768" s="5" t="s">
        <v>2080</v>
      </c>
      <c r="D768" s="5" t="s">
        <v>2081</v>
      </c>
      <c r="E768" s="5">
        <v>623654</v>
      </c>
      <c r="F768" s="5">
        <v>0</v>
      </c>
      <c r="G768" s="5" t="s">
        <v>2145</v>
      </c>
      <c r="H768" s="5" t="s">
        <v>20</v>
      </c>
      <c r="I768" s="6" t="s">
        <v>142</v>
      </c>
      <c r="J768" s="6" t="s">
        <v>21</v>
      </c>
      <c r="K768" s="6"/>
      <c r="L768" s="6" t="s">
        <v>2146</v>
      </c>
      <c r="M768" s="6" t="s">
        <v>22</v>
      </c>
      <c r="N768" s="6" t="s">
        <v>23</v>
      </c>
      <c r="O768" s="6" t="s">
        <v>27</v>
      </c>
      <c r="P768" s="6" t="s">
        <v>144</v>
      </c>
      <c r="Q768" s="22">
        <v>112</v>
      </c>
      <c r="R768" s="23">
        <v>8</v>
      </c>
      <c r="S768" s="39">
        <v>1</v>
      </c>
      <c r="T768" s="7"/>
      <c r="U768" t="s">
        <v>2913</v>
      </c>
      <c r="V768" s="7" t="str">
        <f>+IF(U768="","",IF(U768="FINES",CONCATENATE("R",IF(OR(B768="16",B768="21",B768="22",B768="23"),"16212223",IF(OR(B768="15",B768="17",B768="24",B768="25"),"15172425",B768))),IF(U768="CEBAS","UNICO",IF(VALUE(B768)&lt;=11,"AMBA","INTERIOR"))))</f>
        <v>AMBA</v>
      </c>
      <c r="W768" s="38" t="str">
        <f>+IF(U768="","-",CONCATENATE(U768,"_",V768))</f>
        <v>CENS_AMBA</v>
      </c>
      <c r="X768" s="42">
        <v>3.0000000000000001E-3</v>
      </c>
    </row>
    <row r="769" spans="1:24" ht="15" thickBot="1">
      <c r="A769" s="5" t="s">
        <v>2916</v>
      </c>
      <c r="B769" s="5" t="s">
        <v>817</v>
      </c>
      <c r="C769" s="5" t="s">
        <v>2080</v>
      </c>
      <c r="D769" s="5" t="s">
        <v>2081</v>
      </c>
      <c r="E769" s="5">
        <v>623653</v>
      </c>
      <c r="F769" s="5">
        <v>0</v>
      </c>
      <c r="G769" s="5" t="s">
        <v>2144</v>
      </c>
      <c r="H769" s="5" t="s">
        <v>20</v>
      </c>
      <c r="I769" s="6" t="s">
        <v>142</v>
      </c>
      <c r="J769" s="6" t="s">
        <v>21</v>
      </c>
      <c r="K769" s="6"/>
      <c r="L769" s="6" t="s">
        <v>152</v>
      </c>
      <c r="M769" s="6" t="s">
        <v>22</v>
      </c>
      <c r="N769" s="6" t="s">
        <v>23</v>
      </c>
      <c r="O769" s="6" t="s">
        <v>27</v>
      </c>
      <c r="P769" s="6" t="s">
        <v>144</v>
      </c>
      <c r="Q769" s="22">
        <v>138</v>
      </c>
      <c r="R769" s="23">
        <v>8</v>
      </c>
      <c r="S769" s="39">
        <v>1</v>
      </c>
      <c r="T769" s="7"/>
      <c r="U769" t="s">
        <v>2913</v>
      </c>
      <c r="V769" s="7" t="str">
        <f>+IF(U769="","",IF(U769="FINES",CONCATENATE("R",IF(OR(B769="16",B769="21",B769="22",B769="23"),"16212223",IF(OR(B769="15",B769="17",B769="24",B769="25"),"15172425",B769))),IF(U769="CEBAS","UNICO",IF(VALUE(B769)&lt;=11,"AMBA","INTERIOR"))))</f>
        <v>AMBA</v>
      </c>
      <c r="W769" s="38" t="str">
        <f>+IF(U769="","-",CONCATENATE(U769,"_",V769))</f>
        <v>CENS_AMBA</v>
      </c>
      <c r="X769" s="42">
        <v>8.9999999999999993E-3</v>
      </c>
    </row>
    <row r="770" spans="1:24" ht="15" thickBot="1">
      <c r="A770" s="5" t="s">
        <v>2916</v>
      </c>
      <c r="B770" s="5" t="s">
        <v>257</v>
      </c>
      <c r="C770" s="5" t="s">
        <v>2337</v>
      </c>
      <c r="D770" s="5" t="s">
        <v>2338</v>
      </c>
      <c r="E770" s="5">
        <v>623667</v>
      </c>
      <c r="F770" s="5">
        <v>0</v>
      </c>
      <c r="G770" s="5" t="s">
        <v>2347</v>
      </c>
      <c r="H770" s="5" t="s">
        <v>20</v>
      </c>
      <c r="I770" s="6" t="s">
        <v>142</v>
      </c>
      <c r="J770" s="6" t="s">
        <v>21</v>
      </c>
      <c r="K770" s="6"/>
      <c r="L770" s="6" t="s">
        <v>337</v>
      </c>
      <c r="M770" s="6" t="s">
        <v>22</v>
      </c>
      <c r="N770" s="6" t="s">
        <v>23</v>
      </c>
      <c r="O770" s="6" t="s">
        <v>27</v>
      </c>
      <c r="P770" s="6" t="s">
        <v>144</v>
      </c>
      <c r="Q770" s="22">
        <v>127</v>
      </c>
      <c r="R770" s="23">
        <v>7</v>
      </c>
      <c r="S770" s="39">
        <v>1</v>
      </c>
      <c r="T770" s="7"/>
      <c r="U770" t="s">
        <v>2913</v>
      </c>
      <c r="V770" s="7" t="str">
        <f>+IF(U770="","",IF(U770="FINES",CONCATENATE("R",IF(OR(B770="16",B770="21",B770="22",B770="23"),"16212223",IF(OR(B770="15",B770="17",B770="24",B770="25"),"15172425",B770))),IF(U770="CEBAS","UNICO",IF(VALUE(B770)&lt;=11,"AMBA","INTERIOR"))))</f>
        <v>AMBA</v>
      </c>
      <c r="W770" s="38" t="str">
        <f>+IF(U770="","-",CONCATENATE(U770,"_",V770))</f>
        <v>CENS_AMBA</v>
      </c>
      <c r="X770" s="42">
        <v>1.2E-2</v>
      </c>
    </row>
    <row r="771" spans="1:24" ht="15" thickBot="1">
      <c r="A771" s="3" t="s">
        <v>2916</v>
      </c>
      <c r="B771" s="3" t="s">
        <v>222</v>
      </c>
      <c r="C771" s="3" t="s">
        <v>2047</v>
      </c>
      <c r="D771" s="3" t="s">
        <v>2048</v>
      </c>
      <c r="E771" s="3">
        <v>623975</v>
      </c>
      <c r="F771" s="3">
        <v>0</v>
      </c>
      <c r="G771" s="3" t="s">
        <v>2066</v>
      </c>
      <c r="H771" s="3" t="s">
        <v>20</v>
      </c>
      <c r="I771" s="4" t="s">
        <v>142</v>
      </c>
      <c r="J771" s="4" t="s">
        <v>21</v>
      </c>
      <c r="K771" s="4"/>
      <c r="L771" s="4" t="s">
        <v>2067</v>
      </c>
      <c r="M771" s="4" t="s">
        <v>22</v>
      </c>
      <c r="N771" s="4" t="s">
        <v>23</v>
      </c>
      <c r="O771" s="4" t="s">
        <v>27</v>
      </c>
      <c r="P771" s="4" t="s">
        <v>144</v>
      </c>
      <c r="Q771" s="24">
        <v>130</v>
      </c>
      <c r="R771" s="25">
        <v>6</v>
      </c>
      <c r="S771" s="39">
        <v>1</v>
      </c>
      <c r="T771" s="7"/>
      <c r="U771" t="s">
        <v>2913</v>
      </c>
      <c r="V771" s="7" t="str">
        <f>+IF(U771="","",IF(U771="FINES",CONCATENATE("R",IF(OR(B771="16",B771="21",B771="22",B771="23"),"16212223",IF(OR(B771="15",B771="17",B771="24",B771="25"),"15172425",B771))),IF(U771="CEBAS","UNICO",IF(VALUE(B771)&lt;=11,"AMBA","INTERIOR"))))</f>
        <v>AMBA</v>
      </c>
      <c r="W771" s="38" t="str">
        <f>+IF(U771="","-",CONCATENATE(U771,"_",V771))</f>
        <v>CENS_AMBA</v>
      </c>
      <c r="X771" s="42">
        <v>1.4E-2</v>
      </c>
    </row>
    <row r="772" spans="1:24" ht="15" thickBot="1">
      <c r="A772" s="3" t="s">
        <v>2916</v>
      </c>
      <c r="B772" s="3" t="s">
        <v>257</v>
      </c>
      <c r="C772" s="3" t="s">
        <v>415</v>
      </c>
      <c r="D772" s="3" t="s">
        <v>2770</v>
      </c>
      <c r="E772" s="3">
        <v>623663</v>
      </c>
      <c r="F772" s="3">
        <v>0</v>
      </c>
      <c r="G772" s="3" t="s">
        <v>2785</v>
      </c>
      <c r="H772" s="3" t="s">
        <v>20</v>
      </c>
      <c r="I772" s="4" t="s">
        <v>142</v>
      </c>
      <c r="J772" s="4" t="s">
        <v>21</v>
      </c>
      <c r="K772" s="4"/>
      <c r="L772" s="4" t="s">
        <v>636</v>
      </c>
      <c r="M772" s="4" t="s">
        <v>22</v>
      </c>
      <c r="N772" s="4" t="s">
        <v>23</v>
      </c>
      <c r="O772" s="4" t="s">
        <v>27</v>
      </c>
      <c r="P772" s="4" t="s">
        <v>144</v>
      </c>
      <c r="Q772" s="24">
        <v>139</v>
      </c>
      <c r="R772" s="25">
        <v>7</v>
      </c>
      <c r="S772" s="39">
        <v>1</v>
      </c>
      <c r="T772" s="7"/>
      <c r="U772" t="s">
        <v>2913</v>
      </c>
      <c r="V772" s="7" t="str">
        <f>+IF(U772="","",IF(U772="FINES",CONCATENATE("R",IF(OR(B772="16",B772="21",B772="22",B772="23"),"16212223",IF(OR(B772="15",B772="17",B772="24",B772="25"),"15172425",B772))),IF(U772="CEBAS","UNICO",IF(VALUE(B772)&lt;=11,"AMBA","INTERIOR"))))</f>
        <v>AMBA</v>
      </c>
      <c r="W772" s="38" t="str">
        <f>+IF(U772="","-",CONCATENATE(U772,"_",V772))</f>
        <v>CENS_AMBA</v>
      </c>
      <c r="X772" s="42">
        <v>1.4E-2</v>
      </c>
    </row>
    <row r="773" spans="1:24" ht="15" thickBot="1">
      <c r="A773" s="3" t="s">
        <v>2916</v>
      </c>
      <c r="B773" s="3" t="s">
        <v>1532</v>
      </c>
      <c r="C773" s="3" t="s">
        <v>1530</v>
      </c>
      <c r="D773" s="3" t="s">
        <v>1531</v>
      </c>
      <c r="E773" s="3">
        <v>623629</v>
      </c>
      <c r="F773" s="3">
        <v>0</v>
      </c>
      <c r="G773" s="3" t="s">
        <v>1716</v>
      </c>
      <c r="H773" s="3" t="s">
        <v>20</v>
      </c>
      <c r="I773" s="4" t="s">
        <v>142</v>
      </c>
      <c r="J773" s="4" t="s">
        <v>21</v>
      </c>
      <c r="K773" s="4"/>
      <c r="L773" s="4" t="s">
        <v>1717</v>
      </c>
      <c r="M773" s="4" t="s">
        <v>22</v>
      </c>
      <c r="N773" s="4" t="s">
        <v>23</v>
      </c>
      <c r="O773" s="4" t="s">
        <v>27</v>
      </c>
      <c r="P773" s="4" t="s">
        <v>144</v>
      </c>
      <c r="Q773" s="24">
        <v>97</v>
      </c>
      <c r="R773" s="25">
        <v>7</v>
      </c>
      <c r="S773" s="39">
        <v>1</v>
      </c>
      <c r="T773" s="7"/>
      <c r="U773" t="s">
        <v>2913</v>
      </c>
      <c r="V773" s="7" t="str">
        <f>+IF(U773="","",IF(U773="FINES",CONCATENATE("R",IF(OR(B773="16",B773="21",B773="22",B773="23"),"16212223",IF(OR(B773="15",B773="17",B773="24",B773="25"),"15172425",B773))),IF(U773="CEBAS","UNICO",IF(VALUE(B773)&lt;=11,"AMBA","INTERIOR"))))</f>
        <v>AMBA</v>
      </c>
      <c r="W773" s="38" t="str">
        <f>+IF(U773="","-",CONCATENATE(U773,"_",V773))</f>
        <v>CENS_AMBA</v>
      </c>
      <c r="X773" s="42">
        <v>1.4E-2</v>
      </c>
    </row>
    <row r="774" spans="1:24" ht="15" thickBot="1">
      <c r="A774" s="3" t="s">
        <v>2916</v>
      </c>
      <c r="B774" s="3" t="s">
        <v>1860</v>
      </c>
      <c r="C774" s="3" t="s">
        <v>1858</v>
      </c>
      <c r="D774" s="3" t="s">
        <v>1859</v>
      </c>
      <c r="E774" s="3">
        <v>623740</v>
      </c>
      <c r="F774" s="3">
        <v>0</v>
      </c>
      <c r="G774" s="3" t="s">
        <v>1909</v>
      </c>
      <c r="H774" s="3" t="s">
        <v>20</v>
      </c>
      <c r="I774" s="4" t="s">
        <v>142</v>
      </c>
      <c r="J774" s="4" t="s">
        <v>21</v>
      </c>
      <c r="K774" s="4"/>
      <c r="L774" s="4" t="s">
        <v>156</v>
      </c>
      <c r="M774" s="4" t="s">
        <v>22</v>
      </c>
      <c r="N774" s="4" t="s">
        <v>23</v>
      </c>
      <c r="O774" s="4" t="s">
        <v>27</v>
      </c>
      <c r="P774" s="4" t="s">
        <v>144</v>
      </c>
      <c r="Q774" s="24">
        <v>192</v>
      </c>
      <c r="R774" s="25">
        <v>7</v>
      </c>
      <c r="S774" s="39">
        <v>1</v>
      </c>
      <c r="T774" s="7"/>
      <c r="U774" t="s">
        <v>2913</v>
      </c>
      <c r="V774" s="7" t="str">
        <f>+IF(U774="","",IF(U774="FINES",CONCATENATE("R",IF(OR(B774="16",B774="21",B774="22",B774="23"),"16212223",IF(OR(B774="15",B774="17",B774="24",B774="25"),"15172425",B774))),IF(U774="CEBAS","UNICO",IF(VALUE(B774)&lt;=11,"AMBA","INTERIOR"))))</f>
        <v>AMBA</v>
      </c>
      <c r="W774" s="38" t="str">
        <f>+IF(U774="","-",CONCATENATE(U774,"_",V774))</f>
        <v>CENS_AMBA</v>
      </c>
      <c r="X774" s="42">
        <v>1.4999999999999999E-2</v>
      </c>
    </row>
    <row r="775" spans="1:24" ht="15" thickBot="1">
      <c r="A775" s="3" t="s">
        <v>2916</v>
      </c>
      <c r="B775" s="3" t="s">
        <v>19</v>
      </c>
      <c r="C775" s="3" t="s">
        <v>17</v>
      </c>
      <c r="D775" s="3" t="s">
        <v>18</v>
      </c>
      <c r="E775" s="3">
        <v>608852</v>
      </c>
      <c r="F775" s="3">
        <v>0</v>
      </c>
      <c r="G775" s="3" t="s">
        <v>165</v>
      </c>
      <c r="H775" s="3" t="s">
        <v>20</v>
      </c>
      <c r="I775" s="4" t="s">
        <v>142</v>
      </c>
      <c r="J775" s="4" t="s">
        <v>21</v>
      </c>
      <c r="K775" s="4"/>
      <c r="L775" s="4" t="s">
        <v>166</v>
      </c>
      <c r="M775" s="4" t="s">
        <v>22</v>
      </c>
      <c r="N775" s="4" t="s">
        <v>23</v>
      </c>
      <c r="O775" s="4" t="s">
        <v>27</v>
      </c>
      <c r="P775" s="4" t="s">
        <v>144</v>
      </c>
      <c r="Q775" s="24">
        <v>58</v>
      </c>
      <c r="R775" s="25">
        <v>6</v>
      </c>
      <c r="S775" s="39">
        <v>1</v>
      </c>
      <c r="T775" s="7"/>
      <c r="U775" t="s">
        <v>2913</v>
      </c>
      <c r="V775" s="7" t="str">
        <f>+IF(U775="","",IF(U775="FINES",CONCATENATE("R",IF(OR(B775="16",B775="21",B775="22",B775="23"),"16212223",IF(OR(B775="15",B775="17",B775="24",B775="25"),"15172425",B775))),IF(U775="CEBAS","UNICO",IF(VALUE(B775)&lt;=11,"AMBA","INTERIOR"))))</f>
        <v>AMBA</v>
      </c>
      <c r="W775" s="38" t="str">
        <f>+IF(U775="","-",CONCATENATE(U775,"_",V775))</f>
        <v>CENS_AMBA</v>
      </c>
      <c r="X775" s="42">
        <v>1.4999999999999999E-2</v>
      </c>
    </row>
    <row r="776" spans="1:24" ht="15" thickBot="1">
      <c r="A776" s="3" t="s">
        <v>2916</v>
      </c>
      <c r="B776" s="3" t="s">
        <v>19</v>
      </c>
      <c r="C776" s="3" t="s">
        <v>17</v>
      </c>
      <c r="D776" s="3" t="s">
        <v>18</v>
      </c>
      <c r="E776" s="3">
        <v>623593</v>
      </c>
      <c r="F776" s="3">
        <v>0</v>
      </c>
      <c r="G776" s="3" t="s">
        <v>171</v>
      </c>
      <c r="H776" s="3" t="s">
        <v>20</v>
      </c>
      <c r="I776" s="4" t="s">
        <v>142</v>
      </c>
      <c r="J776" s="4" t="s">
        <v>21</v>
      </c>
      <c r="K776" s="4"/>
      <c r="L776" s="4" t="s">
        <v>172</v>
      </c>
      <c r="M776" s="4" t="s">
        <v>22</v>
      </c>
      <c r="N776" s="4" t="s">
        <v>23</v>
      </c>
      <c r="O776" s="4" t="s">
        <v>27</v>
      </c>
      <c r="P776" s="4" t="s">
        <v>144</v>
      </c>
      <c r="Q776" s="24">
        <v>120</v>
      </c>
      <c r="R776" s="25">
        <v>6</v>
      </c>
      <c r="S776" s="39">
        <v>1</v>
      </c>
      <c r="T776" s="7"/>
      <c r="U776" t="s">
        <v>2913</v>
      </c>
      <c r="V776" s="7" t="str">
        <f>+IF(U776="","",IF(U776="FINES",CONCATENATE("R",IF(OR(B776="16",B776="21",B776="22",B776="23"),"16212223",IF(OR(B776="15",B776="17",B776="24",B776="25"),"15172425",B776))),IF(U776="CEBAS","UNICO",IF(VALUE(B776)&lt;=11,"AMBA","INTERIOR"))))</f>
        <v>AMBA</v>
      </c>
      <c r="W776" s="38" t="str">
        <f>+IF(U776="","-",CONCATENATE(U776,"_",V776))</f>
        <v>CENS_AMBA</v>
      </c>
      <c r="X776" s="42">
        <v>0.02</v>
      </c>
    </row>
    <row r="777" spans="1:24" ht="15" thickBot="1">
      <c r="A777" s="3" t="s">
        <v>2916</v>
      </c>
      <c r="B777" s="3" t="s">
        <v>356</v>
      </c>
      <c r="C777" s="3" t="s">
        <v>1359</v>
      </c>
      <c r="D777" s="3" t="s">
        <v>1360</v>
      </c>
      <c r="E777" s="3">
        <v>623604</v>
      </c>
      <c r="F777" s="3">
        <v>0</v>
      </c>
      <c r="G777" s="3" t="s">
        <v>1444</v>
      </c>
      <c r="H777" s="3" t="s">
        <v>20</v>
      </c>
      <c r="I777" s="4" t="s">
        <v>142</v>
      </c>
      <c r="J777" s="4" t="s">
        <v>21</v>
      </c>
      <c r="K777" s="4"/>
      <c r="L777" s="4" t="s">
        <v>172</v>
      </c>
      <c r="M777" s="4" t="s">
        <v>22</v>
      </c>
      <c r="N777" s="4" t="s">
        <v>23</v>
      </c>
      <c r="O777" s="4" t="s">
        <v>27</v>
      </c>
      <c r="P777" s="4" t="s">
        <v>144</v>
      </c>
      <c r="Q777" s="24">
        <v>129</v>
      </c>
      <c r="R777" s="25">
        <v>6</v>
      </c>
      <c r="S777" s="39">
        <v>1</v>
      </c>
      <c r="T777" s="7"/>
      <c r="U777" t="s">
        <v>2913</v>
      </c>
      <c r="V777" s="7" t="str">
        <f>+IF(U777="","",IF(U777="FINES",CONCATENATE("R",IF(OR(B777="16",B777="21",B777="22",B777="23"),"16212223",IF(OR(B777="15",B777="17",B777="24",B777="25"),"15172425",B777))),IF(U777="CEBAS","UNICO",IF(VALUE(B777)&lt;=11,"AMBA","INTERIOR"))))</f>
        <v>AMBA</v>
      </c>
      <c r="W777" s="38" t="str">
        <f>+IF(U777="","-",CONCATENATE(U777,"_",V777))</f>
        <v>CENS_AMBA</v>
      </c>
      <c r="X777" s="42">
        <v>0.02</v>
      </c>
    </row>
    <row r="778" spans="1:24" ht="15" thickBot="1">
      <c r="A778" s="5" t="s">
        <v>2916</v>
      </c>
      <c r="B778" s="5" t="s">
        <v>257</v>
      </c>
      <c r="C778" s="5" t="s">
        <v>415</v>
      </c>
      <c r="D778" s="5" t="s">
        <v>2770</v>
      </c>
      <c r="E778" s="5">
        <v>623665</v>
      </c>
      <c r="F778" s="5">
        <v>0</v>
      </c>
      <c r="G778" s="5" t="s">
        <v>2787</v>
      </c>
      <c r="H778" s="5" t="s">
        <v>20</v>
      </c>
      <c r="I778" s="6" t="s">
        <v>142</v>
      </c>
      <c r="J778" s="6" t="s">
        <v>21</v>
      </c>
      <c r="K778" s="6"/>
      <c r="L778" s="6" t="s">
        <v>341</v>
      </c>
      <c r="M778" s="6" t="s">
        <v>22</v>
      </c>
      <c r="N778" s="6" t="s">
        <v>23</v>
      </c>
      <c r="O778" s="6" t="s">
        <v>27</v>
      </c>
      <c r="P778" s="6" t="s">
        <v>144</v>
      </c>
      <c r="Q778" s="22">
        <v>153</v>
      </c>
      <c r="R778" s="23">
        <v>9</v>
      </c>
      <c r="S778" s="39">
        <v>1</v>
      </c>
      <c r="T778" s="7"/>
      <c r="U778" t="s">
        <v>2913</v>
      </c>
      <c r="V778" s="7" t="str">
        <f>+IF(U778="","",IF(U778="FINES",CONCATENATE("R",IF(OR(B778="16",B778="21",B778="22",B778="23"),"16212223",IF(OR(B778="15",B778="17",B778="24",B778="25"),"15172425",B778))),IF(U778="CEBAS","UNICO",IF(VALUE(B778)&lt;=11,"AMBA","INTERIOR"))))</f>
        <v>AMBA</v>
      </c>
      <c r="W778" s="38" t="str">
        <f>+IF(U778="","-",CONCATENATE(U778,"_",V778))</f>
        <v>CENS_AMBA</v>
      </c>
      <c r="X778" s="42">
        <v>2.9000000000000001E-2</v>
      </c>
    </row>
    <row r="779" spans="1:24" ht="15" thickBot="1">
      <c r="A779" s="3" t="s">
        <v>2916</v>
      </c>
      <c r="B779" s="3" t="s">
        <v>1780</v>
      </c>
      <c r="C779" s="3" t="s">
        <v>1778</v>
      </c>
      <c r="D779" s="3" t="s">
        <v>1779</v>
      </c>
      <c r="E779" s="3">
        <v>615662</v>
      </c>
      <c r="F779" s="3">
        <v>0</v>
      </c>
      <c r="G779" s="3" t="s">
        <v>1831</v>
      </c>
      <c r="H779" s="3" t="s">
        <v>20</v>
      </c>
      <c r="I779" s="4" t="s">
        <v>142</v>
      </c>
      <c r="J779" s="4" t="s">
        <v>21</v>
      </c>
      <c r="K779" s="4"/>
      <c r="L779" s="4" t="s">
        <v>148</v>
      </c>
      <c r="M779" s="4" t="s">
        <v>22</v>
      </c>
      <c r="N779" s="4" t="s">
        <v>23</v>
      </c>
      <c r="O779" s="4" t="s">
        <v>27</v>
      </c>
      <c r="P779" s="4" t="s">
        <v>144</v>
      </c>
      <c r="Q779" s="24">
        <v>49</v>
      </c>
      <c r="R779" s="25">
        <v>3</v>
      </c>
      <c r="S779" s="39">
        <v>1</v>
      </c>
      <c r="T779" s="7"/>
      <c r="U779" t="s">
        <v>2913</v>
      </c>
      <c r="V779" s="7" t="str">
        <f>+IF(U779="","",IF(U779="FINES",CONCATENATE("R",IF(OR(B779="16",B779="21",B779="22",B779="23"),"16212223",IF(OR(B779="15",B779="17",B779="24",B779="25"),"15172425",B779))),IF(U779="CEBAS","UNICO",IF(VALUE(B779)&lt;=11,"AMBA","INTERIOR"))))</f>
        <v>AMBA</v>
      </c>
      <c r="W779" s="38" t="str">
        <f>+IF(U779="","-",CONCATENATE(U779,"_",V779))</f>
        <v>CENS_AMBA</v>
      </c>
      <c r="X779" s="42">
        <v>3.3000000000000002E-2</v>
      </c>
    </row>
    <row r="780" spans="1:24" ht="15" thickBot="1">
      <c r="A780" s="3" t="s">
        <v>2916</v>
      </c>
      <c r="B780" s="3" t="s">
        <v>1780</v>
      </c>
      <c r="C780" s="3" t="s">
        <v>1248</v>
      </c>
      <c r="D780" s="3" t="s">
        <v>2348</v>
      </c>
      <c r="E780" s="3">
        <v>602661</v>
      </c>
      <c r="F780" s="3">
        <v>0</v>
      </c>
      <c r="G780" s="3" t="s">
        <v>2373</v>
      </c>
      <c r="H780" s="3" t="s">
        <v>20</v>
      </c>
      <c r="I780" s="4" t="s">
        <v>142</v>
      </c>
      <c r="J780" s="4" t="s">
        <v>21</v>
      </c>
      <c r="K780" s="4"/>
      <c r="L780" s="4" t="s">
        <v>148</v>
      </c>
      <c r="M780" s="4" t="s">
        <v>22</v>
      </c>
      <c r="N780" s="4" t="s">
        <v>23</v>
      </c>
      <c r="O780" s="4" t="s">
        <v>27</v>
      </c>
      <c r="P780" s="4" t="s">
        <v>144</v>
      </c>
      <c r="Q780" s="24">
        <v>205</v>
      </c>
      <c r="R780" s="25">
        <v>15</v>
      </c>
      <c r="S780" s="39">
        <v>1</v>
      </c>
      <c r="T780" s="7"/>
      <c r="U780" t="s">
        <v>2913</v>
      </c>
      <c r="V780" s="7" t="str">
        <f>+IF(U780="","",IF(U780="FINES",CONCATENATE("R",IF(OR(B780="16",B780="21",B780="22",B780="23"),"16212223",IF(OR(B780="15",B780="17",B780="24",B780="25"),"15172425",B780))),IF(U780="CEBAS","UNICO",IF(VALUE(B780)&lt;=11,"AMBA","INTERIOR"))))</f>
        <v>AMBA</v>
      </c>
      <c r="W780" s="38" t="str">
        <f>+IF(U780="","-",CONCATENATE(U780,"_",V780))</f>
        <v>CENS_AMBA</v>
      </c>
      <c r="X780" s="42">
        <v>3.5999999999999997E-2</v>
      </c>
    </row>
    <row r="781" spans="1:24" ht="15" thickBot="1">
      <c r="A781" s="5" t="s">
        <v>2916</v>
      </c>
      <c r="B781" s="5" t="s">
        <v>817</v>
      </c>
      <c r="C781" s="5" t="s">
        <v>2080</v>
      </c>
      <c r="D781" s="5" t="s">
        <v>2081</v>
      </c>
      <c r="E781" s="5">
        <v>607852</v>
      </c>
      <c r="F781" s="5">
        <v>0</v>
      </c>
      <c r="G781" s="5" t="s">
        <v>2137</v>
      </c>
      <c r="H781" s="5" t="s">
        <v>20</v>
      </c>
      <c r="I781" s="6" t="s">
        <v>142</v>
      </c>
      <c r="J781" s="6" t="s">
        <v>21</v>
      </c>
      <c r="K781" s="6"/>
      <c r="L781" s="6" t="s">
        <v>400</v>
      </c>
      <c r="M781" s="6" t="s">
        <v>22</v>
      </c>
      <c r="N781" s="6" t="s">
        <v>23</v>
      </c>
      <c r="O781" s="6" t="s">
        <v>27</v>
      </c>
      <c r="P781" s="6" t="s">
        <v>144</v>
      </c>
      <c r="Q781" s="22">
        <v>656</v>
      </c>
      <c r="R781" s="23">
        <v>29</v>
      </c>
      <c r="S781" s="39">
        <v>1</v>
      </c>
      <c r="T781" s="7"/>
      <c r="U781" t="s">
        <v>2913</v>
      </c>
      <c r="V781" s="7" t="str">
        <f>+IF(U781="","",IF(U781="FINES",CONCATENATE("R",IF(OR(B781="16",B781="21",B781="22",B781="23"),"16212223",IF(OR(B781="15",B781="17",B781="24",B781="25"),"15172425",B781))),IF(U781="CEBAS","UNICO",IF(VALUE(B781)&lt;=11,"AMBA","INTERIOR"))))</f>
        <v>AMBA</v>
      </c>
      <c r="W781" s="38" t="str">
        <f>+IF(U781="","-",CONCATENATE(U781,"_",V781))</f>
        <v>CENS_AMBA</v>
      </c>
      <c r="X781" s="42">
        <v>4.1000000000000002E-2</v>
      </c>
    </row>
    <row r="782" spans="1:24" ht="15" thickBot="1">
      <c r="A782" s="3" t="s">
        <v>2916</v>
      </c>
      <c r="B782" s="3" t="s">
        <v>204</v>
      </c>
      <c r="C782" s="3" t="s">
        <v>1084</v>
      </c>
      <c r="D782" s="3" t="s">
        <v>1085</v>
      </c>
      <c r="E782" s="3">
        <v>600425</v>
      </c>
      <c r="F782" s="3">
        <v>0</v>
      </c>
      <c r="G782" s="3" t="s">
        <v>1124</v>
      </c>
      <c r="H782" s="3" t="s">
        <v>20</v>
      </c>
      <c r="I782" s="4" t="s">
        <v>142</v>
      </c>
      <c r="J782" s="4" t="s">
        <v>21</v>
      </c>
      <c r="K782" s="4"/>
      <c r="L782" s="4" t="s">
        <v>1125</v>
      </c>
      <c r="M782" s="4" t="s">
        <v>22</v>
      </c>
      <c r="N782" s="4" t="s">
        <v>23</v>
      </c>
      <c r="O782" s="4" t="s">
        <v>27</v>
      </c>
      <c r="P782" s="4" t="s">
        <v>144</v>
      </c>
      <c r="Q782" s="24">
        <v>114</v>
      </c>
      <c r="R782" s="25">
        <v>5</v>
      </c>
      <c r="S782" s="39">
        <v>1</v>
      </c>
      <c r="T782" s="7"/>
      <c r="U782" t="s">
        <v>2913</v>
      </c>
      <c r="V782" s="7" t="str">
        <f>+IF(U782="","",IF(U782="FINES",CONCATENATE("R",IF(OR(B782="16",B782="21",B782="22",B782="23"),"16212223",IF(OR(B782="15",B782="17",B782="24",B782="25"),"15172425",B782))),IF(U782="CEBAS","UNICO",IF(VALUE(B782)&lt;=11,"AMBA","INTERIOR"))))</f>
        <v>AMBA</v>
      </c>
      <c r="W782" s="38" t="str">
        <f>+IF(U782="","-",CONCATENATE(U782,"_",V782))</f>
        <v>CENS_AMBA</v>
      </c>
      <c r="X782" s="42">
        <v>4.3999999999999997E-2</v>
      </c>
    </row>
    <row r="783" spans="1:24" ht="15" thickBot="1">
      <c r="A783" s="5" t="s">
        <v>2916</v>
      </c>
      <c r="B783" s="5" t="s">
        <v>138</v>
      </c>
      <c r="C783" s="5" t="s">
        <v>540</v>
      </c>
      <c r="D783" s="5" t="s">
        <v>1766</v>
      </c>
      <c r="E783" s="5">
        <v>607277</v>
      </c>
      <c r="F783" s="5">
        <v>0</v>
      </c>
      <c r="G783" s="5" t="s">
        <v>1776</v>
      </c>
      <c r="H783" s="5" t="s">
        <v>20</v>
      </c>
      <c r="I783" s="6" t="s">
        <v>142</v>
      </c>
      <c r="J783" s="6" t="s">
        <v>21</v>
      </c>
      <c r="K783" s="6"/>
      <c r="L783" s="6" t="s">
        <v>448</v>
      </c>
      <c r="M783" s="6" t="s">
        <v>22</v>
      </c>
      <c r="N783" s="6" t="s">
        <v>23</v>
      </c>
      <c r="O783" s="6" t="s">
        <v>27</v>
      </c>
      <c r="P783" s="6" t="s">
        <v>144</v>
      </c>
      <c r="Q783" s="22">
        <v>270</v>
      </c>
      <c r="R783" s="23">
        <v>9</v>
      </c>
      <c r="S783" s="39">
        <v>1</v>
      </c>
      <c r="T783" s="7"/>
      <c r="U783" t="s">
        <v>2913</v>
      </c>
      <c r="V783" s="7" t="str">
        <f>+IF(U783="","",IF(U783="FINES",CONCATENATE("R",IF(OR(B783="16",B783="21",B783="22",B783="23"),"16212223",IF(OR(B783="15",B783="17",B783="24",B783="25"),"15172425",B783))),IF(U783="CEBAS","UNICO",IF(VALUE(B783)&lt;=11,"AMBA","INTERIOR"))))</f>
        <v>AMBA</v>
      </c>
      <c r="W783" s="38" t="str">
        <f>+IF(U783="","-",CONCATENATE(U783,"_",V783))</f>
        <v>CENS_AMBA</v>
      </c>
      <c r="X783" s="42">
        <v>4.3999999999999997E-2</v>
      </c>
    </row>
    <row r="784" spans="1:24" ht="15" thickBot="1">
      <c r="A784" s="5" t="s">
        <v>2916</v>
      </c>
      <c r="B784" s="5" t="s">
        <v>1532</v>
      </c>
      <c r="C784" s="5" t="s">
        <v>1530</v>
      </c>
      <c r="D784" s="5" t="s">
        <v>1531</v>
      </c>
      <c r="E784" s="5">
        <v>614307</v>
      </c>
      <c r="F784" s="5">
        <v>0</v>
      </c>
      <c r="G784" s="5" t="s">
        <v>1676</v>
      </c>
      <c r="H784" s="5" t="s">
        <v>20</v>
      </c>
      <c r="I784" s="6" t="s">
        <v>142</v>
      </c>
      <c r="J784" s="6" t="s">
        <v>21</v>
      </c>
      <c r="K784" s="6"/>
      <c r="L784" s="6" t="s">
        <v>1677</v>
      </c>
      <c r="M784" s="6" t="s">
        <v>22</v>
      </c>
      <c r="N784" s="6" t="s">
        <v>23</v>
      </c>
      <c r="O784" s="6" t="s">
        <v>27</v>
      </c>
      <c r="P784" s="6" t="s">
        <v>144</v>
      </c>
      <c r="Q784" s="22">
        <v>195</v>
      </c>
      <c r="R784" s="23">
        <v>24</v>
      </c>
      <c r="S784" s="39">
        <v>1</v>
      </c>
      <c r="T784" s="7"/>
      <c r="U784" t="s">
        <v>2913</v>
      </c>
      <c r="V784" s="7" t="str">
        <f>+IF(U784="","",IF(U784="FINES",CONCATENATE("R",IF(OR(B784="16",B784="21",B784="22",B784="23"),"16212223",IF(OR(B784="15",B784="17",B784="24",B784="25"),"15172425",B784))),IF(U784="CEBAS","UNICO",IF(VALUE(B784)&lt;=11,"AMBA","INTERIOR"))))</f>
        <v>AMBA</v>
      </c>
      <c r="W784" s="38" t="str">
        <f>+IF(U784="","-",CONCATENATE(U784,"_",V784))</f>
        <v>CENS_AMBA</v>
      </c>
      <c r="X784" s="42">
        <v>4.4999999999999998E-2</v>
      </c>
    </row>
    <row r="785" spans="1:24" ht="15" thickBot="1">
      <c r="A785" s="5" t="s">
        <v>2916</v>
      </c>
      <c r="B785" s="5" t="s">
        <v>817</v>
      </c>
      <c r="C785" s="5" t="s">
        <v>815</v>
      </c>
      <c r="D785" s="5" t="s">
        <v>816</v>
      </c>
      <c r="E785" s="5">
        <v>623649</v>
      </c>
      <c r="F785" s="5">
        <v>0</v>
      </c>
      <c r="G785" s="5" t="s">
        <v>869</v>
      </c>
      <c r="H785" s="5" t="s">
        <v>20</v>
      </c>
      <c r="I785" s="6" t="s">
        <v>142</v>
      </c>
      <c r="J785" s="6" t="s">
        <v>21</v>
      </c>
      <c r="K785" s="6"/>
      <c r="L785" s="6" t="s">
        <v>870</v>
      </c>
      <c r="M785" s="6" t="s">
        <v>22</v>
      </c>
      <c r="N785" s="6" t="s">
        <v>23</v>
      </c>
      <c r="O785" s="6" t="s">
        <v>27</v>
      </c>
      <c r="P785" s="6" t="s">
        <v>144</v>
      </c>
      <c r="Q785" s="22">
        <v>237</v>
      </c>
      <c r="R785" s="23">
        <v>14</v>
      </c>
      <c r="S785" s="39">
        <v>1</v>
      </c>
      <c r="T785" s="7"/>
      <c r="U785" t="s">
        <v>2913</v>
      </c>
      <c r="V785" s="7" t="str">
        <f>+IF(U785="","",IF(U785="FINES",CONCATENATE("R",IF(OR(B785="16",B785="21",B785="22",B785="23"),"16212223",IF(OR(B785="15",B785="17",B785="24",B785="25"),"15172425",B785))),IF(U785="CEBAS","UNICO",IF(VALUE(B785)&lt;=11,"AMBA","INTERIOR"))))</f>
        <v>AMBA</v>
      </c>
      <c r="W785" s="38" t="str">
        <f>+IF(U785="","-",CONCATENATE(U785,"_",V785))</f>
        <v>CENS_AMBA</v>
      </c>
      <c r="X785" s="42">
        <v>4.9000000000000002E-2</v>
      </c>
    </row>
    <row r="786" spans="1:24" ht="15" thickBot="1">
      <c r="A786" s="3" t="s">
        <v>2916</v>
      </c>
      <c r="B786" s="3" t="s">
        <v>222</v>
      </c>
      <c r="C786" s="3" t="s">
        <v>227</v>
      </c>
      <c r="D786" s="3" t="s">
        <v>2603</v>
      </c>
      <c r="E786" s="3">
        <v>624022</v>
      </c>
      <c r="F786" s="3">
        <v>0</v>
      </c>
      <c r="G786" s="3" t="s">
        <v>2622</v>
      </c>
      <c r="H786" s="3" t="s">
        <v>20</v>
      </c>
      <c r="I786" s="4" t="s">
        <v>142</v>
      </c>
      <c r="J786" s="4" t="s">
        <v>21</v>
      </c>
      <c r="K786" s="4"/>
      <c r="L786" s="4" t="s">
        <v>240</v>
      </c>
      <c r="M786" s="4" t="s">
        <v>22</v>
      </c>
      <c r="N786" s="4" t="s">
        <v>23</v>
      </c>
      <c r="O786" s="4" t="s">
        <v>27</v>
      </c>
      <c r="P786" s="4" t="s">
        <v>144</v>
      </c>
      <c r="Q786" s="24">
        <v>248</v>
      </c>
      <c r="R786" s="25">
        <v>6</v>
      </c>
      <c r="S786" s="39">
        <v>1</v>
      </c>
      <c r="T786" s="7"/>
      <c r="U786" t="s">
        <v>2913</v>
      </c>
      <c r="V786" s="7" t="str">
        <f>+IF(U786="","",IF(U786="FINES",CONCATENATE("R",IF(OR(B786="16",B786="21",B786="22",B786="23"),"16212223",IF(OR(B786="15",B786="17",B786="24",B786="25"),"15172425",B786))),IF(U786="CEBAS","UNICO",IF(VALUE(B786)&lt;=11,"AMBA","INTERIOR"))))</f>
        <v>AMBA</v>
      </c>
      <c r="W786" s="38" t="str">
        <f>+IF(U786="","-",CONCATENATE(U786,"_",V786))</f>
        <v>CENS_AMBA</v>
      </c>
      <c r="X786" s="42">
        <v>4.9000000000000002E-2</v>
      </c>
    </row>
    <row r="787" spans="1:24" ht="15" thickBot="1">
      <c r="A787" s="3" t="s">
        <v>2916</v>
      </c>
      <c r="B787" s="3" t="s">
        <v>1532</v>
      </c>
      <c r="C787" s="3" t="s">
        <v>1530</v>
      </c>
      <c r="D787" s="3" t="s">
        <v>1531</v>
      </c>
      <c r="E787" s="3">
        <v>623607</v>
      </c>
      <c r="F787" s="3">
        <v>0</v>
      </c>
      <c r="G787" s="3" t="s">
        <v>1693</v>
      </c>
      <c r="H787" s="3" t="s">
        <v>20</v>
      </c>
      <c r="I787" s="4" t="s">
        <v>142</v>
      </c>
      <c r="J787" s="4" t="s">
        <v>21</v>
      </c>
      <c r="K787" s="4"/>
      <c r="L787" s="4" t="s">
        <v>166</v>
      </c>
      <c r="M787" s="4" t="s">
        <v>22</v>
      </c>
      <c r="N787" s="4" t="s">
        <v>134</v>
      </c>
      <c r="O787" s="4" t="s">
        <v>27</v>
      </c>
      <c r="P787" s="4" t="s">
        <v>144</v>
      </c>
      <c r="Q787" s="24">
        <v>54</v>
      </c>
      <c r="R787" s="25">
        <v>5</v>
      </c>
      <c r="S787" s="39">
        <v>1</v>
      </c>
      <c r="T787" s="7"/>
      <c r="U787" t="s">
        <v>2913</v>
      </c>
      <c r="V787" s="7" t="str">
        <f>+IF(U787="","",IF(U787="FINES",CONCATENATE("R",IF(OR(B787="16",B787="21",B787="22",B787="23"),"16212223",IF(OR(B787="15",B787="17",B787="24",B787="25"),"15172425",B787))),IF(U787="CEBAS","UNICO",IF(VALUE(B787)&lt;=11,"AMBA","INTERIOR"))))</f>
        <v>AMBA</v>
      </c>
      <c r="W787" s="38" t="str">
        <f>+IF(U787="","-",CONCATENATE(U787,"_",V787))</f>
        <v>CENS_AMBA</v>
      </c>
      <c r="X787" s="42">
        <v>5.3999999999999999E-2</v>
      </c>
    </row>
    <row r="788" spans="1:24" ht="15" thickBot="1">
      <c r="A788" s="3" t="s">
        <v>2916</v>
      </c>
      <c r="B788" s="3" t="s">
        <v>1532</v>
      </c>
      <c r="C788" s="3" t="s">
        <v>1530</v>
      </c>
      <c r="D788" s="3" t="s">
        <v>1531</v>
      </c>
      <c r="E788" s="3">
        <v>623611</v>
      </c>
      <c r="F788" s="3">
        <v>0</v>
      </c>
      <c r="G788" s="3" t="s">
        <v>1698</v>
      </c>
      <c r="H788" s="3" t="s">
        <v>20</v>
      </c>
      <c r="I788" s="4" t="s">
        <v>142</v>
      </c>
      <c r="J788" s="4" t="s">
        <v>21</v>
      </c>
      <c r="K788" s="4"/>
      <c r="L788" s="4" t="s">
        <v>174</v>
      </c>
      <c r="M788" s="4" t="s">
        <v>22</v>
      </c>
      <c r="N788" s="4" t="s">
        <v>23</v>
      </c>
      <c r="O788" s="4" t="s">
        <v>27</v>
      </c>
      <c r="P788" s="4" t="s">
        <v>144</v>
      </c>
      <c r="Q788" s="24">
        <v>64</v>
      </c>
      <c r="R788" s="25">
        <v>6</v>
      </c>
      <c r="S788" s="39">
        <v>1</v>
      </c>
      <c r="T788" s="7"/>
      <c r="U788" t="s">
        <v>2913</v>
      </c>
      <c r="V788" s="7" t="str">
        <f>+IF(U788="","",IF(U788="FINES",CONCATENATE("R",IF(OR(B788="16",B788="21",B788="22",B788="23"),"16212223",IF(OR(B788="15",B788="17",B788="24",B788="25"),"15172425",B788))),IF(U788="CEBAS","UNICO",IF(VALUE(B788)&lt;=11,"AMBA","INTERIOR"))))</f>
        <v>AMBA</v>
      </c>
      <c r="W788" s="38" t="str">
        <f>+IF(U788="","-",CONCATENATE(U788,"_",V788))</f>
        <v>CENS_AMBA</v>
      </c>
      <c r="X788" s="42">
        <v>5.6000000000000001E-2</v>
      </c>
    </row>
    <row r="789" spans="1:24" ht="15" thickBot="1">
      <c r="A789" s="3" t="s">
        <v>2916</v>
      </c>
      <c r="B789" s="3" t="s">
        <v>356</v>
      </c>
      <c r="C789" s="3" t="s">
        <v>1359</v>
      </c>
      <c r="D789" s="3" t="s">
        <v>1360</v>
      </c>
      <c r="E789" s="3">
        <v>624645</v>
      </c>
      <c r="F789" s="3">
        <v>5</v>
      </c>
      <c r="G789" s="3" t="s">
        <v>1460</v>
      </c>
      <c r="H789" s="3" t="s">
        <v>20</v>
      </c>
      <c r="I789" s="4" t="s">
        <v>142</v>
      </c>
      <c r="J789" s="4" t="s">
        <v>139</v>
      </c>
      <c r="K789" s="4" t="s">
        <v>1450</v>
      </c>
      <c r="L789" s="4" t="s">
        <v>1461</v>
      </c>
      <c r="M789" s="4" t="s">
        <v>22</v>
      </c>
      <c r="N789" s="4" t="s">
        <v>23</v>
      </c>
      <c r="O789" s="4" t="s">
        <v>27</v>
      </c>
      <c r="P789" s="4" t="s">
        <v>144</v>
      </c>
      <c r="Q789" s="24">
        <v>27</v>
      </c>
      <c r="R789" s="25">
        <v>2</v>
      </c>
      <c r="S789" s="39">
        <v>1</v>
      </c>
      <c r="T789" s="7"/>
      <c r="U789" t="s">
        <v>2913</v>
      </c>
      <c r="V789" s="7" t="str">
        <f>+IF(U789="","",IF(U789="FINES",CONCATENATE("R",IF(OR(B789="16",B789="21",B789="22",B789="23"),"16212223",IF(OR(B789="15",B789="17",B789="24",B789="25"),"15172425",B789))),IF(U789="CEBAS","UNICO",IF(VALUE(B789)&lt;=11,"AMBA","INTERIOR"))))</f>
        <v>AMBA</v>
      </c>
      <c r="W789" s="38" t="str">
        <f>+IF(U789="","-",CONCATENATE(U789,"_",V789))</f>
        <v>CENS_AMBA</v>
      </c>
      <c r="X789" s="42">
        <v>5.8000000000000003E-2</v>
      </c>
    </row>
    <row r="790" spans="1:24" ht="15" thickBot="1">
      <c r="A790" s="5" t="s">
        <v>2916</v>
      </c>
      <c r="B790" s="5" t="s">
        <v>1860</v>
      </c>
      <c r="C790" s="5" t="s">
        <v>224</v>
      </c>
      <c r="D790" s="5" t="s">
        <v>2837</v>
      </c>
      <c r="E790" s="5">
        <v>623735</v>
      </c>
      <c r="F790" s="5">
        <v>0</v>
      </c>
      <c r="G790" s="5" t="s">
        <v>2860</v>
      </c>
      <c r="H790" s="5" t="s">
        <v>20</v>
      </c>
      <c r="I790" s="6" t="s">
        <v>142</v>
      </c>
      <c r="J790" s="6" t="s">
        <v>21</v>
      </c>
      <c r="K790" s="6"/>
      <c r="L790" s="6" t="s">
        <v>2142</v>
      </c>
      <c r="M790" s="6" t="s">
        <v>22</v>
      </c>
      <c r="N790" s="6" t="s">
        <v>23</v>
      </c>
      <c r="O790" s="6" t="s">
        <v>27</v>
      </c>
      <c r="P790" s="6" t="s">
        <v>144</v>
      </c>
      <c r="Q790" s="22">
        <v>219</v>
      </c>
      <c r="R790" s="23">
        <v>6</v>
      </c>
      <c r="S790" s="39">
        <v>1</v>
      </c>
      <c r="T790" s="7"/>
      <c r="U790" t="s">
        <v>2913</v>
      </c>
      <c r="V790" s="7" t="str">
        <f>+IF(U790="","",IF(U790="FINES",CONCATENATE("R",IF(OR(B790="16",B790="21",B790="22",B790="23"),"16212223",IF(OR(B790="15",B790="17",B790="24",B790="25"),"15172425",B790))),IF(U790="CEBAS","UNICO",IF(VALUE(B790)&lt;=11,"AMBA","INTERIOR"))))</f>
        <v>AMBA</v>
      </c>
      <c r="W790" s="38" t="str">
        <f>+IF(U790="","-",CONCATENATE(U790,"_",V790))</f>
        <v>CENS_AMBA</v>
      </c>
      <c r="X790" s="42">
        <v>6.4000000000000001E-2</v>
      </c>
    </row>
    <row r="791" spans="1:24" ht="15" thickBot="1">
      <c r="A791" s="5" t="s">
        <v>2916</v>
      </c>
      <c r="B791" s="5" t="s">
        <v>356</v>
      </c>
      <c r="C791" s="5" t="s">
        <v>353</v>
      </c>
      <c r="D791" s="5" t="s">
        <v>355</v>
      </c>
      <c r="E791" s="5">
        <v>613408</v>
      </c>
      <c r="F791" s="5">
        <v>0</v>
      </c>
      <c r="G791" s="5" t="s">
        <v>403</v>
      </c>
      <c r="H791" s="5" t="s">
        <v>20</v>
      </c>
      <c r="I791" s="6" t="s">
        <v>142</v>
      </c>
      <c r="J791" s="6" t="s">
        <v>21</v>
      </c>
      <c r="K791" s="6"/>
      <c r="L791" s="6" t="s">
        <v>341</v>
      </c>
      <c r="M791" s="6" t="s">
        <v>22</v>
      </c>
      <c r="N791" s="6" t="s">
        <v>23</v>
      </c>
      <c r="O791" s="6" t="s">
        <v>27</v>
      </c>
      <c r="P791" s="6" t="s">
        <v>144</v>
      </c>
      <c r="Q791" s="22">
        <v>187</v>
      </c>
      <c r="R791" s="23">
        <v>11</v>
      </c>
      <c r="S791" s="39">
        <v>1</v>
      </c>
      <c r="T791" s="7"/>
      <c r="U791" t="s">
        <v>2913</v>
      </c>
      <c r="V791" s="7" t="str">
        <f>+IF(U791="","",IF(U791="FINES",CONCATENATE("R",IF(OR(B791="16",B791="21",B791="22",B791="23"),"16212223",IF(OR(B791="15",B791="17",B791="24",B791="25"),"15172425",B791))),IF(U791="CEBAS","UNICO",IF(VALUE(B791)&lt;=11,"AMBA","INTERIOR"))))</f>
        <v>AMBA</v>
      </c>
      <c r="W791" s="38" t="str">
        <f>+IF(U791="","-",CONCATENATE(U791,"_",V791))</f>
        <v>CENS_AMBA</v>
      </c>
      <c r="X791" s="42">
        <v>7.3999999999999996E-2</v>
      </c>
    </row>
    <row r="792" spans="1:24" ht="15" thickBot="1">
      <c r="A792" s="5" t="s">
        <v>2916</v>
      </c>
      <c r="B792" s="5" t="s">
        <v>1257</v>
      </c>
      <c r="C792" s="5" t="s">
        <v>519</v>
      </c>
      <c r="D792" s="5" t="s">
        <v>2470</v>
      </c>
      <c r="E792" s="5">
        <v>623839</v>
      </c>
      <c r="F792" s="5">
        <v>0</v>
      </c>
      <c r="G792" s="5" t="s">
        <v>2483</v>
      </c>
      <c r="H792" s="5" t="s">
        <v>20</v>
      </c>
      <c r="I792" s="6" t="s">
        <v>142</v>
      </c>
      <c r="J792" s="6" t="s">
        <v>21</v>
      </c>
      <c r="K792" s="6"/>
      <c r="L792" s="6" t="s">
        <v>400</v>
      </c>
      <c r="M792" s="6" t="s">
        <v>22</v>
      </c>
      <c r="N792" s="6" t="s">
        <v>23</v>
      </c>
      <c r="O792" s="6" t="s">
        <v>27</v>
      </c>
      <c r="P792" s="6" t="s">
        <v>144</v>
      </c>
      <c r="Q792" s="22">
        <v>792</v>
      </c>
      <c r="R792" s="23">
        <v>19</v>
      </c>
      <c r="S792" s="39">
        <v>1</v>
      </c>
      <c r="T792" s="7"/>
      <c r="U792" t="s">
        <v>2913</v>
      </c>
      <c r="V792" s="7" t="str">
        <f>+IF(U792="","",IF(U792="FINES",CONCATENATE("R",IF(OR(B792="16",B792="21",B792="22",B792="23"),"16212223",IF(OR(B792="15",B792="17",B792="24",B792="25"),"15172425",B792))),IF(U792="CEBAS","UNICO",IF(VALUE(B792)&lt;=11,"AMBA","INTERIOR"))))</f>
        <v>AMBA</v>
      </c>
      <c r="W792" s="38" t="str">
        <f>+IF(U792="","-",CONCATENATE(U792,"_",V792))</f>
        <v>CENS_AMBA</v>
      </c>
      <c r="X792" s="42">
        <v>7.6999999999999999E-2</v>
      </c>
    </row>
    <row r="793" spans="1:24" ht="15" thickBot="1">
      <c r="A793" s="5" t="s">
        <v>2916</v>
      </c>
      <c r="B793" s="5" t="s">
        <v>1532</v>
      </c>
      <c r="C793" s="5" t="s">
        <v>1530</v>
      </c>
      <c r="D793" s="5" t="s">
        <v>1531</v>
      </c>
      <c r="E793" s="5">
        <v>623631</v>
      </c>
      <c r="F793" s="5">
        <v>0</v>
      </c>
      <c r="G793" s="5" t="s">
        <v>1720</v>
      </c>
      <c r="H793" s="5" t="s">
        <v>20</v>
      </c>
      <c r="I793" s="6" t="s">
        <v>142</v>
      </c>
      <c r="J793" s="6" t="s">
        <v>21</v>
      </c>
      <c r="K793" s="6"/>
      <c r="L793" s="6" t="s">
        <v>1721</v>
      </c>
      <c r="M793" s="6" t="s">
        <v>22</v>
      </c>
      <c r="N793" s="6" t="s">
        <v>23</v>
      </c>
      <c r="O793" s="6" t="s">
        <v>27</v>
      </c>
      <c r="P793" s="6" t="s">
        <v>144</v>
      </c>
      <c r="Q793" s="22">
        <v>63</v>
      </c>
      <c r="R793" s="23">
        <v>6</v>
      </c>
      <c r="S793" s="39">
        <v>1</v>
      </c>
      <c r="T793" s="7"/>
      <c r="U793" t="s">
        <v>2913</v>
      </c>
      <c r="V793" s="7" t="str">
        <f>+IF(U793="","",IF(U793="FINES",CONCATENATE("R",IF(OR(B793="16",B793="21",B793="22",B793="23"),"16212223",IF(OR(B793="15",B793="17",B793="24",B793="25"),"15172425",B793))),IF(U793="CEBAS","UNICO",IF(VALUE(B793)&lt;=11,"AMBA","INTERIOR"))))</f>
        <v>AMBA</v>
      </c>
      <c r="W793" s="38" t="str">
        <f>+IF(U793="","-",CONCATENATE(U793,"_",V793))</f>
        <v>CENS_AMBA</v>
      </c>
      <c r="X793" s="42">
        <v>8.5999999999999993E-2</v>
      </c>
    </row>
    <row r="794" spans="1:24" ht="15" thickBot="1">
      <c r="A794" s="3" t="s">
        <v>2916</v>
      </c>
      <c r="B794" s="3" t="s">
        <v>222</v>
      </c>
      <c r="C794" s="3" t="s">
        <v>1154</v>
      </c>
      <c r="D794" s="3" t="s">
        <v>1155</v>
      </c>
      <c r="E794" s="3">
        <v>623766</v>
      </c>
      <c r="F794" s="3">
        <v>0</v>
      </c>
      <c r="G794" s="3" t="s">
        <v>1173</v>
      </c>
      <c r="H794" s="3" t="s">
        <v>20</v>
      </c>
      <c r="I794" s="4" t="s">
        <v>142</v>
      </c>
      <c r="J794" s="4" t="s">
        <v>21</v>
      </c>
      <c r="K794" s="4"/>
      <c r="L794" s="4" t="s">
        <v>335</v>
      </c>
      <c r="M794" s="4" t="s">
        <v>22</v>
      </c>
      <c r="N794" s="4" t="s">
        <v>23</v>
      </c>
      <c r="O794" s="4" t="s">
        <v>27</v>
      </c>
      <c r="P794" s="4" t="s">
        <v>144</v>
      </c>
      <c r="Q794" s="24">
        <v>214</v>
      </c>
      <c r="R794" s="25">
        <v>9</v>
      </c>
      <c r="S794" s="39">
        <v>1</v>
      </c>
      <c r="T794" s="7"/>
      <c r="U794" t="s">
        <v>2913</v>
      </c>
      <c r="V794" s="7" t="str">
        <f>+IF(U794="","",IF(U794="FINES",CONCATENATE("R",IF(OR(B794="16",B794="21",B794="22",B794="23"),"16212223",IF(OR(B794="15",B794="17",B794="24",B794="25"),"15172425",B794))),IF(U794="CEBAS","UNICO",IF(VALUE(B794)&lt;=11,"AMBA","INTERIOR"))))</f>
        <v>AMBA</v>
      </c>
      <c r="W794" s="38" t="str">
        <f>+IF(U794="","-",CONCATENATE(U794,"_",V794))</f>
        <v>CENS_AMBA</v>
      </c>
      <c r="X794" s="42">
        <v>8.5999999999999993E-2</v>
      </c>
    </row>
    <row r="795" spans="1:24" ht="15" thickBot="1">
      <c r="A795" s="3" t="s">
        <v>2916</v>
      </c>
      <c r="B795" s="3" t="s">
        <v>204</v>
      </c>
      <c r="C795" s="3" t="s">
        <v>1084</v>
      </c>
      <c r="D795" s="3" t="s">
        <v>1085</v>
      </c>
      <c r="E795" s="3">
        <v>624057</v>
      </c>
      <c r="F795" s="3">
        <v>0</v>
      </c>
      <c r="G795" s="3" t="s">
        <v>1146</v>
      </c>
      <c r="H795" s="3" t="s">
        <v>20</v>
      </c>
      <c r="I795" s="4" t="s">
        <v>142</v>
      </c>
      <c r="J795" s="4" t="s">
        <v>21</v>
      </c>
      <c r="K795" s="4"/>
      <c r="L795" s="4" t="s">
        <v>1147</v>
      </c>
      <c r="M795" s="4" t="s">
        <v>22</v>
      </c>
      <c r="N795" s="4" t="s">
        <v>23</v>
      </c>
      <c r="O795" s="4" t="s">
        <v>27</v>
      </c>
      <c r="P795" s="4" t="s">
        <v>144</v>
      </c>
      <c r="Q795" s="24">
        <v>48</v>
      </c>
      <c r="R795" s="25">
        <v>3</v>
      </c>
      <c r="S795" s="39">
        <v>1</v>
      </c>
      <c r="T795" s="7"/>
      <c r="U795" t="s">
        <v>2913</v>
      </c>
      <c r="V795" s="7" t="str">
        <f>+IF(U795="","",IF(U795="FINES",CONCATENATE("R",IF(OR(B795="16",B795="21",B795="22",B795="23"),"16212223",IF(OR(B795="15",B795="17",B795="24",B795="25"),"15172425",B795))),IF(U795="CEBAS","UNICO",IF(VALUE(B795)&lt;=11,"AMBA","INTERIOR"))))</f>
        <v>AMBA</v>
      </c>
      <c r="W795" s="38" t="str">
        <f>+IF(U795="","-",CONCATENATE(U795,"_",V795))</f>
        <v>CENS_AMBA</v>
      </c>
      <c r="X795" s="42">
        <v>8.6999999999999994E-2</v>
      </c>
    </row>
    <row r="796" spans="1:24" ht="15" thickBot="1">
      <c r="A796" s="5" t="s">
        <v>2916</v>
      </c>
      <c r="B796" s="5" t="s">
        <v>817</v>
      </c>
      <c r="C796" s="5" t="s">
        <v>815</v>
      </c>
      <c r="D796" s="5" t="s">
        <v>816</v>
      </c>
      <c r="E796" s="5">
        <v>612876</v>
      </c>
      <c r="F796" s="5">
        <v>0</v>
      </c>
      <c r="G796" s="5" t="s">
        <v>859</v>
      </c>
      <c r="H796" s="5" t="s">
        <v>20</v>
      </c>
      <c r="I796" s="6" t="s">
        <v>142</v>
      </c>
      <c r="J796" s="6" t="s">
        <v>21</v>
      </c>
      <c r="K796" s="6"/>
      <c r="L796" s="6" t="s">
        <v>146</v>
      </c>
      <c r="M796" s="6" t="s">
        <v>22</v>
      </c>
      <c r="N796" s="6" t="s">
        <v>23</v>
      </c>
      <c r="O796" s="6" t="s">
        <v>27</v>
      </c>
      <c r="P796" s="6" t="s">
        <v>144</v>
      </c>
      <c r="Q796" s="22">
        <v>195</v>
      </c>
      <c r="R796" s="23">
        <v>16</v>
      </c>
      <c r="S796" s="39">
        <v>1</v>
      </c>
      <c r="T796" s="7"/>
      <c r="U796" t="s">
        <v>2913</v>
      </c>
      <c r="V796" s="7" t="str">
        <f>+IF(U796="","",IF(U796="FINES",CONCATENATE("R",IF(OR(B796="16",B796="21",B796="22",B796="23"),"16212223",IF(OR(B796="15",B796="17",B796="24",B796="25"),"15172425",B796))),IF(U796="CEBAS","UNICO",IF(VALUE(B796)&lt;=11,"AMBA","INTERIOR"))))</f>
        <v>AMBA</v>
      </c>
      <c r="W796" s="38" t="str">
        <f>+IF(U796="","-",CONCATENATE(U796,"_",V796))</f>
        <v>CENS_AMBA</v>
      </c>
      <c r="X796" s="42">
        <v>9.2999999999999999E-2</v>
      </c>
    </row>
    <row r="797" spans="1:24" ht="15" thickBot="1">
      <c r="A797" s="5" t="s">
        <v>2916</v>
      </c>
      <c r="B797" s="5" t="s">
        <v>1780</v>
      </c>
      <c r="C797" s="5" t="s">
        <v>1778</v>
      </c>
      <c r="D797" s="5" t="s">
        <v>1779</v>
      </c>
      <c r="E797" s="5">
        <v>623708</v>
      </c>
      <c r="F797" s="5">
        <v>0</v>
      </c>
      <c r="G797" s="5" t="s">
        <v>1834</v>
      </c>
      <c r="H797" s="5" t="s">
        <v>20</v>
      </c>
      <c r="I797" s="6" t="s">
        <v>142</v>
      </c>
      <c r="J797" s="6" t="s">
        <v>21</v>
      </c>
      <c r="K797" s="6"/>
      <c r="L797" s="6" t="s">
        <v>152</v>
      </c>
      <c r="M797" s="6" t="s">
        <v>22</v>
      </c>
      <c r="N797" s="6" t="s">
        <v>23</v>
      </c>
      <c r="O797" s="6" t="s">
        <v>27</v>
      </c>
      <c r="P797" s="6" t="s">
        <v>144</v>
      </c>
      <c r="Q797" s="22">
        <v>86</v>
      </c>
      <c r="R797" s="23">
        <v>7</v>
      </c>
      <c r="S797" s="39">
        <v>1</v>
      </c>
      <c r="T797" s="7"/>
      <c r="U797" t="s">
        <v>2913</v>
      </c>
      <c r="V797" s="7" t="str">
        <f>+IF(U797="","",IF(U797="FINES",CONCATENATE("R",IF(OR(B797="16",B797="21",B797="22",B797="23"),"16212223",IF(OR(B797="15",B797="17",B797="24",B797="25"),"15172425",B797))),IF(U797="CEBAS","UNICO",IF(VALUE(B797)&lt;=11,"AMBA","INTERIOR"))))</f>
        <v>AMBA</v>
      </c>
      <c r="W797" s="38" t="str">
        <f>+IF(U797="","-",CONCATENATE(U797,"_",V797))</f>
        <v>CENS_AMBA</v>
      </c>
      <c r="X797" s="42">
        <v>9.5000000000000001E-2</v>
      </c>
    </row>
    <row r="798" spans="1:24" ht="15" thickBot="1">
      <c r="A798" s="3" t="s">
        <v>2916</v>
      </c>
      <c r="B798" s="3" t="s">
        <v>1532</v>
      </c>
      <c r="C798" s="3" t="s">
        <v>1530</v>
      </c>
      <c r="D798" s="3" t="s">
        <v>1531</v>
      </c>
      <c r="E798" s="3">
        <v>623522</v>
      </c>
      <c r="F798" s="3">
        <v>0</v>
      </c>
      <c r="G798" s="3" t="s">
        <v>1689</v>
      </c>
      <c r="H798" s="3" t="s">
        <v>20</v>
      </c>
      <c r="I798" s="4" t="s">
        <v>142</v>
      </c>
      <c r="J798" s="4" t="s">
        <v>21</v>
      </c>
      <c r="K798" s="4"/>
      <c r="L798" s="4" t="s">
        <v>160</v>
      </c>
      <c r="M798" s="4" t="s">
        <v>22</v>
      </c>
      <c r="N798" s="4" t="s">
        <v>23</v>
      </c>
      <c r="O798" s="4" t="s">
        <v>27</v>
      </c>
      <c r="P798" s="4" t="s">
        <v>144</v>
      </c>
      <c r="Q798" s="24">
        <v>154</v>
      </c>
      <c r="R798" s="25">
        <v>12</v>
      </c>
      <c r="S798" s="39">
        <v>1</v>
      </c>
      <c r="T798" s="7"/>
      <c r="U798" t="s">
        <v>2913</v>
      </c>
      <c r="V798" s="7" t="str">
        <f>+IF(U798="","",IF(U798="FINES",CONCATENATE("R",IF(OR(B798="16",B798="21",B798="22",B798="23"),"16212223",IF(OR(B798="15",B798="17",B798="24",B798="25"),"15172425",B798))),IF(U798="CEBAS","UNICO",IF(VALUE(B798)&lt;=11,"AMBA","INTERIOR"))))</f>
        <v>AMBA</v>
      </c>
      <c r="W798" s="38" t="str">
        <f>+IF(U798="","-",CONCATENATE(U798,"_",V798))</f>
        <v>CENS_AMBA</v>
      </c>
      <c r="X798" s="42">
        <v>9.9000000000000005E-2</v>
      </c>
    </row>
    <row r="799" spans="1:24" ht="15" thickBot="1">
      <c r="A799" s="3" t="s">
        <v>2916</v>
      </c>
      <c r="B799" s="3" t="s">
        <v>817</v>
      </c>
      <c r="C799" s="3" t="s">
        <v>815</v>
      </c>
      <c r="D799" s="3" t="s">
        <v>816</v>
      </c>
      <c r="E799" s="3">
        <v>615750</v>
      </c>
      <c r="F799" s="3">
        <v>0</v>
      </c>
      <c r="G799" s="3" t="s">
        <v>871</v>
      </c>
      <c r="H799" s="3" t="s">
        <v>20</v>
      </c>
      <c r="I799" s="4" t="s">
        <v>142</v>
      </c>
      <c r="J799" s="4" t="s">
        <v>21</v>
      </c>
      <c r="K799" s="4"/>
      <c r="L799" s="4" t="s">
        <v>348</v>
      </c>
      <c r="M799" s="4" t="s">
        <v>199</v>
      </c>
      <c r="N799" s="4" t="s">
        <v>23</v>
      </c>
      <c r="O799" s="4" t="s">
        <v>27</v>
      </c>
      <c r="P799" s="4" t="s">
        <v>144</v>
      </c>
      <c r="Q799" s="24">
        <v>272</v>
      </c>
      <c r="R799" s="25">
        <v>18</v>
      </c>
      <c r="S799" s="39">
        <v>1</v>
      </c>
      <c r="T799" s="7"/>
      <c r="U799" t="s">
        <v>2913</v>
      </c>
      <c r="V799" s="7" t="str">
        <f>+IF(U799="","",IF(U799="FINES",CONCATENATE("R",IF(OR(B799="16",B799="21",B799="22",B799="23"),"16212223",IF(OR(B799="15",B799="17",B799="24",B799="25"),"15172425",B799))),IF(U799="CEBAS","UNICO",IF(VALUE(B799)&lt;=11,"AMBA","INTERIOR"))))</f>
        <v>AMBA</v>
      </c>
      <c r="W799" s="38" t="str">
        <f>+IF(U799="","-",CONCATENATE(U799,"_",V799))</f>
        <v>CENS_AMBA</v>
      </c>
      <c r="X799" s="42">
        <v>0.10199999999999999</v>
      </c>
    </row>
    <row r="800" spans="1:24" ht="15" thickBot="1">
      <c r="A800" s="5" t="s">
        <v>2916</v>
      </c>
      <c r="B800" s="5" t="s">
        <v>1532</v>
      </c>
      <c r="C800" s="5" t="s">
        <v>1530</v>
      </c>
      <c r="D800" s="5" t="s">
        <v>1531</v>
      </c>
      <c r="E800" s="5">
        <v>604095</v>
      </c>
      <c r="F800" s="5">
        <v>0</v>
      </c>
      <c r="G800" s="5" t="s">
        <v>1680</v>
      </c>
      <c r="H800" s="5" t="s">
        <v>20</v>
      </c>
      <c r="I800" s="6" t="s">
        <v>142</v>
      </c>
      <c r="J800" s="6" t="s">
        <v>21</v>
      </c>
      <c r="K800" s="6"/>
      <c r="L800" s="6" t="s">
        <v>1681</v>
      </c>
      <c r="M800" s="6" t="s">
        <v>22</v>
      </c>
      <c r="N800" s="6" t="s">
        <v>23</v>
      </c>
      <c r="O800" s="6" t="s">
        <v>27</v>
      </c>
      <c r="P800" s="6" t="s">
        <v>144</v>
      </c>
      <c r="Q800" s="22">
        <v>310</v>
      </c>
      <c r="R800" s="23">
        <v>16</v>
      </c>
      <c r="S800" s="39">
        <v>1</v>
      </c>
      <c r="T800" s="7"/>
      <c r="U800" t="s">
        <v>2913</v>
      </c>
      <c r="V800" s="7" t="str">
        <f>+IF(U800="","",IF(U800="FINES",CONCATENATE("R",IF(OR(B800="16",B800="21",B800="22",B800="23"),"16212223",IF(OR(B800="15",B800="17",B800="24",B800="25"),"15172425",B800))),IF(U800="CEBAS","UNICO",IF(VALUE(B800)&lt;=11,"AMBA","INTERIOR"))))</f>
        <v>AMBA</v>
      </c>
      <c r="W800" s="38" t="str">
        <f>+IF(U800="","-",CONCATENATE(U800,"_",V800))</f>
        <v>CENS_AMBA</v>
      </c>
      <c r="X800" s="42">
        <v>0.10199999999999999</v>
      </c>
    </row>
    <row r="801" spans="1:24" ht="15" thickBot="1">
      <c r="A801" s="3" t="s">
        <v>2916</v>
      </c>
      <c r="B801" s="3" t="s">
        <v>1257</v>
      </c>
      <c r="C801" s="3" t="s">
        <v>519</v>
      </c>
      <c r="D801" s="3" t="s">
        <v>2470</v>
      </c>
      <c r="E801" s="3">
        <v>624423</v>
      </c>
      <c r="F801" s="3">
        <v>0</v>
      </c>
      <c r="G801" s="3" t="s">
        <v>2486</v>
      </c>
      <c r="H801" s="3" t="s">
        <v>20</v>
      </c>
      <c r="I801" s="4" t="s">
        <v>142</v>
      </c>
      <c r="J801" s="4" t="s">
        <v>21</v>
      </c>
      <c r="K801" s="4"/>
      <c r="L801" s="4" t="s">
        <v>636</v>
      </c>
      <c r="M801" s="4" t="s">
        <v>22</v>
      </c>
      <c r="N801" s="4" t="s">
        <v>23</v>
      </c>
      <c r="O801" s="4" t="s">
        <v>27</v>
      </c>
      <c r="P801" s="4" t="s">
        <v>144</v>
      </c>
      <c r="Q801" s="24">
        <v>65</v>
      </c>
      <c r="R801" s="25">
        <v>3</v>
      </c>
      <c r="S801" s="39">
        <v>1</v>
      </c>
      <c r="T801" s="7"/>
      <c r="U801" t="s">
        <v>2913</v>
      </c>
      <c r="V801" s="7" t="str">
        <f>+IF(U801="","",IF(U801="FINES",CONCATENATE("R",IF(OR(B801="16",B801="21",B801="22",B801="23"),"16212223",IF(OR(B801="15",B801="17",B801="24",B801="25"),"15172425",B801))),IF(U801="CEBAS","UNICO",IF(VALUE(B801)&lt;=11,"AMBA","INTERIOR"))))</f>
        <v>AMBA</v>
      </c>
      <c r="W801" s="38" t="str">
        <f>+IF(U801="","-",CONCATENATE(U801,"_",V801))</f>
        <v>CENS_AMBA</v>
      </c>
      <c r="X801" s="42">
        <v>0.104</v>
      </c>
    </row>
    <row r="802" spans="1:24" ht="15" thickBot="1">
      <c r="A802" s="3" t="s">
        <v>2916</v>
      </c>
      <c r="B802" s="3" t="s">
        <v>1532</v>
      </c>
      <c r="C802" s="3" t="s">
        <v>1530</v>
      </c>
      <c r="D802" s="3" t="s">
        <v>1531</v>
      </c>
      <c r="E802" s="3">
        <v>623620</v>
      </c>
      <c r="F802" s="3">
        <v>0</v>
      </c>
      <c r="G802" s="3" t="s">
        <v>1742</v>
      </c>
      <c r="H802" s="3" t="s">
        <v>20</v>
      </c>
      <c r="I802" s="4" t="s">
        <v>142</v>
      </c>
      <c r="J802" s="4" t="s">
        <v>21</v>
      </c>
      <c r="K802" s="4"/>
      <c r="L802" s="4" t="s">
        <v>1743</v>
      </c>
      <c r="M802" s="4" t="s">
        <v>22</v>
      </c>
      <c r="N802" s="4" t="s">
        <v>23</v>
      </c>
      <c r="O802" s="4" t="s">
        <v>27</v>
      </c>
      <c r="P802" s="4" t="s">
        <v>144</v>
      </c>
      <c r="Q802" s="24">
        <v>71</v>
      </c>
      <c r="R802" s="25">
        <v>4</v>
      </c>
      <c r="S802" s="39">
        <v>1</v>
      </c>
      <c r="T802" s="7"/>
      <c r="U802" t="s">
        <v>2913</v>
      </c>
      <c r="V802" s="7" t="str">
        <f>+IF(U802="","",IF(U802="FINES",CONCATENATE("R",IF(OR(B802="16",B802="21",B802="22",B802="23"),"16212223",IF(OR(B802="15",B802="17",B802="24",B802="25"),"15172425",B802))),IF(U802="CEBAS","UNICO",IF(VALUE(B802)&lt;=11,"AMBA","INTERIOR"))))</f>
        <v>AMBA</v>
      </c>
      <c r="W802" s="38" t="str">
        <f>+IF(U802="","-",CONCATENATE(U802,"_",V802))</f>
        <v>CENS_AMBA</v>
      </c>
      <c r="X802" s="42">
        <v>0.107</v>
      </c>
    </row>
    <row r="803" spans="1:24" ht="15" thickBot="1">
      <c r="A803" s="5" t="s">
        <v>2916</v>
      </c>
      <c r="B803" s="5" t="s">
        <v>1780</v>
      </c>
      <c r="C803" s="5" t="s">
        <v>1248</v>
      </c>
      <c r="D803" s="5" t="s">
        <v>2348</v>
      </c>
      <c r="E803" s="5">
        <v>605885</v>
      </c>
      <c r="F803" s="5">
        <v>0</v>
      </c>
      <c r="G803" s="5" t="s">
        <v>2370</v>
      </c>
      <c r="H803" s="5" t="s">
        <v>20</v>
      </c>
      <c r="I803" s="6" t="s">
        <v>142</v>
      </c>
      <c r="J803" s="6" t="s">
        <v>21</v>
      </c>
      <c r="K803" s="6"/>
      <c r="L803" s="6" t="s">
        <v>400</v>
      </c>
      <c r="M803" s="6" t="s">
        <v>22</v>
      </c>
      <c r="N803" s="6" t="s">
        <v>23</v>
      </c>
      <c r="O803" s="6" t="s">
        <v>27</v>
      </c>
      <c r="P803" s="6" t="s">
        <v>144</v>
      </c>
      <c r="Q803" s="22">
        <v>152</v>
      </c>
      <c r="R803" s="23">
        <v>9</v>
      </c>
      <c r="S803" s="39">
        <v>1</v>
      </c>
      <c r="T803" s="7"/>
      <c r="U803" t="s">
        <v>2913</v>
      </c>
      <c r="V803" s="7" t="str">
        <f>+IF(U803="","",IF(U803="FINES",CONCATENATE("R",IF(OR(B803="16",B803="21",B803="22",B803="23"),"16212223",IF(OR(B803="15",B803="17",B803="24",B803="25"),"15172425",B803))),IF(U803="CEBAS","UNICO",IF(VALUE(B803)&lt;=11,"AMBA","INTERIOR"))))</f>
        <v>AMBA</v>
      </c>
      <c r="W803" s="38" t="str">
        <f>+IF(U803="","-",CONCATENATE(U803,"_",V803))</f>
        <v>CENS_AMBA</v>
      </c>
      <c r="X803" s="42">
        <v>0.107</v>
      </c>
    </row>
    <row r="804" spans="1:24" ht="15" thickBot="1">
      <c r="A804" s="5" t="s">
        <v>2916</v>
      </c>
      <c r="B804" s="5" t="s">
        <v>19</v>
      </c>
      <c r="C804" s="5" t="s">
        <v>1480</v>
      </c>
      <c r="D804" s="5" t="s">
        <v>1481</v>
      </c>
      <c r="E804" s="5">
        <v>615769</v>
      </c>
      <c r="F804" s="5">
        <v>0</v>
      </c>
      <c r="G804" s="5" t="s">
        <v>1490</v>
      </c>
      <c r="H804" s="5" t="s">
        <v>20</v>
      </c>
      <c r="I804" s="6" t="s">
        <v>142</v>
      </c>
      <c r="J804" s="6" t="s">
        <v>21</v>
      </c>
      <c r="K804" s="6"/>
      <c r="L804" s="6" t="s">
        <v>1491</v>
      </c>
      <c r="M804" s="6" t="s">
        <v>199</v>
      </c>
      <c r="N804" s="6" t="s">
        <v>23</v>
      </c>
      <c r="O804" s="6" t="s">
        <v>27</v>
      </c>
      <c r="P804" s="6" t="s">
        <v>144</v>
      </c>
      <c r="Q804" s="22">
        <v>303</v>
      </c>
      <c r="R804" s="23">
        <v>16</v>
      </c>
      <c r="S804" s="39">
        <v>1</v>
      </c>
      <c r="T804" s="7"/>
      <c r="U804" t="s">
        <v>2913</v>
      </c>
      <c r="V804" s="7" t="str">
        <f>+IF(U804="","",IF(U804="FINES",CONCATENATE("R",IF(OR(B804="16",B804="21",B804="22",B804="23"),"16212223",IF(OR(B804="15",B804="17",B804="24",B804="25"),"15172425",B804))),IF(U804="CEBAS","UNICO",IF(VALUE(B804)&lt;=11,"AMBA","INTERIOR"))))</f>
        <v>AMBA</v>
      </c>
      <c r="W804" s="38" t="str">
        <f>+IF(U804="","-",CONCATENATE(U804,"_",V804))</f>
        <v>CENS_AMBA</v>
      </c>
      <c r="X804" s="42">
        <v>0.109</v>
      </c>
    </row>
    <row r="805" spans="1:24" ht="15" thickBot="1">
      <c r="A805" s="3" t="s">
        <v>2916</v>
      </c>
      <c r="B805" s="3" t="s">
        <v>1860</v>
      </c>
      <c r="C805" s="3" t="s">
        <v>411</v>
      </c>
      <c r="D805" s="3" t="s">
        <v>2791</v>
      </c>
      <c r="E805" s="3">
        <v>623748</v>
      </c>
      <c r="F805" s="3">
        <v>0</v>
      </c>
      <c r="G805" s="3" t="s">
        <v>2812</v>
      </c>
      <c r="H805" s="3" t="s">
        <v>20</v>
      </c>
      <c r="I805" s="4" t="s">
        <v>142</v>
      </c>
      <c r="J805" s="4" t="s">
        <v>21</v>
      </c>
      <c r="K805" s="4"/>
      <c r="L805" s="4" t="s">
        <v>636</v>
      </c>
      <c r="M805" s="4" t="s">
        <v>22</v>
      </c>
      <c r="N805" s="4" t="s">
        <v>23</v>
      </c>
      <c r="O805" s="4" t="s">
        <v>27</v>
      </c>
      <c r="P805" s="4" t="s">
        <v>144</v>
      </c>
      <c r="Q805" s="24">
        <v>283</v>
      </c>
      <c r="R805" s="25">
        <v>6</v>
      </c>
      <c r="S805" s="39">
        <v>1</v>
      </c>
      <c r="T805" s="7"/>
      <c r="U805" t="s">
        <v>2913</v>
      </c>
      <c r="V805" s="7" t="str">
        <f>+IF(U805="","",IF(U805="FINES",CONCATENATE("R",IF(OR(B805="16",B805="21",B805="22",B805="23"),"16212223",IF(OR(B805="15",B805="17",B805="24",B805="25"),"15172425",B805))),IF(U805="CEBAS","UNICO",IF(VALUE(B805)&lt;=11,"AMBA","INTERIOR"))))</f>
        <v>AMBA</v>
      </c>
      <c r="W805" s="38" t="str">
        <f>+IF(U805="","-",CONCATENATE(U805,"_",V805))</f>
        <v>CENS_AMBA</v>
      </c>
      <c r="X805" s="42">
        <v>0.11</v>
      </c>
    </row>
    <row r="806" spans="1:24" ht="15" thickBot="1">
      <c r="A806" s="3" t="s">
        <v>2916</v>
      </c>
      <c r="B806" s="3" t="s">
        <v>1532</v>
      </c>
      <c r="C806" s="3" t="s">
        <v>1530</v>
      </c>
      <c r="D806" s="3" t="s">
        <v>1531</v>
      </c>
      <c r="E806" s="3">
        <v>623627</v>
      </c>
      <c r="F806" s="3">
        <v>0</v>
      </c>
      <c r="G806" s="3" t="s">
        <v>1712</v>
      </c>
      <c r="H806" s="3" t="s">
        <v>20</v>
      </c>
      <c r="I806" s="4" t="s">
        <v>142</v>
      </c>
      <c r="J806" s="4" t="s">
        <v>21</v>
      </c>
      <c r="K806" s="4"/>
      <c r="L806" s="4" t="s">
        <v>1713</v>
      </c>
      <c r="M806" s="4" t="s">
        <v>22</v>
      </c>
      <c r="N806" s="4" t="s">
        <v>23</v>
      </c>
      <c r="O806" s="4" t="s">
        <v>27</v>
      </c>
      <c r="P806" s="4" t="s">
        <v>144</v>
      </c>
      <c r="Q806" s="24">
        <v>88</v>
      </c>
      <c r="R806" s="25">
        <v>6</v>
      </c>
      <c r="S806" s="39">
        <v>1</v>
      </c>
      <c r="T806" s="7"/>
      <c r="U806" t="s">
        <v>2913</v>
      </c>
      <c r="V806" s="7" t="str">
        <f>+IF(U806="","",IF(U806="FINES",CONCATENATE("R",IF(OR(B806="16",B806="21",B806="22",B806="23"),"16212223",IF(OR(B806="15",B806="17",B806="24",B806="25"),"15172425",B806))),IF(U806="CEBAS","UNICO",IF(VALUE(B806)&lt;=11,"AMBA","INTERIOR"))))</f>
        <v>AMBA</v>
      </c>
      <c r="W806" s="38" t="str">
        <f>+IF(U806="","-",CONCATENATE(U806,"_",V806))</f>
        <v>CENS_AMBA</v>
      </c>
      <c r="X806" s="42">
        <v>0.112</v>
      </c>
    </row>
    <row r="807" spans="1:24" ht="15" thickBot="1">
      <c r="A807" s="5" t="s">
        <v>2916</v>
      </c>
      <c r="B807" s="5" t="s">
        <v>257</v>
      </c>
      <c r="C807" s="5" t="s">
        <v>2337</v>
      </c>
      <c r="D807" s="5" t="s">
        <v>2338</v>
      </c>
      <c r="E807" s="5">
        <v>622461</v>
      </c>
      <c r="F807" s="5">
        <v>0</v>
      </c>
      <c r="G807" s="5" t="s">
        <v>2344</v>
      </c>
      <c r="H807" s="5" t="s">
        <v>20</v>
      </c>
      <c r="I807" s="6" t="s">
        <v>142</v>
      </c>
      <c r="J807" s="6" t="s">
        <v>21</v>
      </c>
      <c r="K807" s="6"/>
      <c r="L807" s="6" t="s">
        <v>400</v>
      </c>
      <c r="M807" s="6" t="s">
        <v>22</v>
      </c>
      <c r="N807" s="6" t="s">
        <v>23</v>
      </c>
      <c r="O807" s="6" t="s">
        <v>27</v>
      </c>
      <c r="P807" s="6" t="s">
        <v>144</v>
      </c>
      <c r="Q807" s="22">
        <v>133</v>
      </c>
      <c r="R807" s="23">
        <v>6</v>
      </c>
      <c r="S807" s="39">
        <v>1</v>
      </c>
      <c r="T807" s="7"/>
      <c r="U807" t="s">
        <v>2913</v>
      </c>
      <c r="V807" s="7" t="str">
        <f>+IF(U807="","",IF(U807="FINES",CONCATENATE("R",IF(OR(B807="16",B807="21",B807="22",B807="23"),"16212223",IF(OR(B807="15",B807="17",B807="24",B807="25"),"15172425",B807))),IF(U807="CEBAS","UNICO",IF(VALUE(B807)&lt;=11,"AMBA","INTERIOR"))))</f>
        <v>AMBA</v>
      </c>
      <c r="W807" s="38" t="str">
        <f>+IF(U807="","-",CONCATENATE(U807,"_",V807))</f>
        <v>CENS_AMBA</v>
      </c>
      <c r="X807" s="42">
        <v>0.11700000000000001</v>
      </c>
    </row>
    <row r="808" spans="1:24" ht="15" thickBot="1">
      <c r="A808" s="5" t="s">
        <v>2916</v>
      </c>
      <c r="B808" s="5" t="s">
        <v>19</v>
      </c>
      <c r="C808" s="5" t="s">
        <v>17</v>
      </c>
      <c r="D808" s="5" t="s">
        <v>18</v>
      </c>
      <c r="E808" s="5">
        <v>620392</v>
      </c>
      <c r="F808" s="5">
        <v>0</v>
      </c>
      <c r="G808" s="5" t="s">
        <v>147</v>
      </c>
      <c r="H808" s="5" t="s">
        <v>20</v>
      </c>
      <c r="I808" s="6" t="s">
        <v>142</v>
      </c>
      <c r="J808" s="6" t="s">
        <v>21</v>
      </c>
      <c r="K808" s="6"/>
      <c r="L808" s="6" t="s">
        <v>148</v>
      </c>
      <c r="M808" s="6" t="s">
        <v>22</v>
      </c>
      <c r="N808" s="6" t="s">
        <v>23</v>
      </c>
      <c r="O808" s="6" t="s">
        <v>27</v>
      </c>
      <c r="P808" s="6" t="s">
        <v>144</v>
      </c>
      <c r="Q808" s="22">
        <v>214</v>
      </c>
      <c r="R808" s="23">
        <v>12</v>
      </c>
      <c r="S808" s="39">
        <v>1</v>
      </c>
      <c r="T808" s="7"/>
      <c r="U808" t="s">
        <v>2913</v>
      </c>
      <c r="V808" s="7" t="str">
        <f>+IF(U808="","",IF(U808="FINES",CONCATENATE("R",IF(OR(B808="16",B808="21",B808="22",B808="23"),"16212223",IF(OR(B808="15",B808="17",B808="24",B808="25"),"15172425",B808))),IF(U808="CEBAS","UNICO",IF(VALUE(B808)&lt;=11,"AMBA","INTERIOR"))))</f>
        <v>AMBA</v>
      </c>
      <c r="W808" s="38" t="str">
        <f>+IF(U808="","-",CONCATENATE(U808,"_",V808))</f>
        <v>CENS_AMBA</v>
      </c>
      <c r="X808" s="42">
        <v>0.11899999999999999</v>
      </c>
    </row>
    <row r="809" spans="1:24" ht="15" thickBot="1">
      <c r="A809" s="5" t="s">
        <v>2916</v>
      </c>
      <c r="B809" s="5" t="s">
        <v>19</v>
      </c>
      <c r="C809" s="5" t="s">
        <v>17</v>
      </c>
      <c r="D809" s="5" t="s">
        <v>18</v>
      </c>
      <c r="E809" s="5">
        <v>624019</v>
      </c>
      <c r="F809" s="5">
        <v>0</v>
      </c>
      <c r="G809" s="5" t="s">
        <v>185</v>
      </c>
      <c r="H809" s="5" t="s">
        <v>20</v>
      </c>
      <c r="I809" s="6" t="s">
        <v>142</v>
      </c>
      <c r="J809" s="6" t="s">
        <v>21</v>
      </c>
      <c r="K809" s="6"/>
      <c r="L809" s="6" t="s">
        <v>186</v>
      </c>
      <c r="M809" s="6" t="s">
        <v>22</v>
      </c>
      <c r="N809" s="6" t="s">
        <v>23</v>
      </c>
      <c r="O809" s="6" t="s">
        <v>27</v>
      </c>
      <c r="P809" s="6" t="s">
        <v>144</v>
      </c>
      <c r="Q809" s="22">
        <v>234</v>
      </c>
      <c r="R809" s="23">
        <v>14</v>
      </c>
      <c r="S809" s="39">
        <v>1</v>
      </c>
      <c r="T809" s="7"/>
      <c r="U809" t="s">
        <v>2913</v>
      </c>
      <c r="V809" s="7" t="str">
        <f>+IF(U809="","",IF(U809="FINES",CONCATENATE("R",IF(OR(B809="16",B809="21",B809="22",B809="23"),"16212223",IF(OR(B809="15",B809="17",B809="24",B809="25"),"15172425",B809))),IF(U809="CEBAS","UNICO",IF(VALUE(B809)&lt;=11,"AMBA","INTERIOR"))))</f>
        <v>AMBA</v>
      </c>
      <c r="W809" s="38" t="str">
        <f>+IF(U809="","-",CONCATENATE(U809,"_",V809))</f>
        <v>CENS_AMBA</v>
      </c>
      <c r="X809" s="42">
        <v>0.126</v>
      </c>
    </row>
    <row r="810" spans="1:24" ht="15" thickBot="1">
      <c r="A810" s="3" t="s">
        <v>2916</v>
      </c>
      <c r="B810" s="3" t="s">
        <v>1257</v>
      </c>
      <c r="C810" s="3" t="s">
        <v>2237</v>
      </c>
      <c r="D810" s="3" t="s">
        <v>2238</v>
      </c>
      <c r="E810" s="3">
        <v>612323</v>
      </c>
      <c r="F810" s="3">
        <v>0</v>
      </c>
      <c r="G810" s="3" t="s">
        <v>2267</v>
      </c>
      <c r="H810" s="3" t="s">
        <v>20</v>
      </c>
      <c r="I810" s="4" t="s">
        <v>142</v>
      </c>
      <c r="J810" s="4" t="s">
        <v>21</v>
      </c>
      <c r="K810" s="4"/>
      <c r="L810" s="4" t="s">
        <v>2268</v>
      </c>
      <c r="M810" s="4" t="s">
        <v>22</v>
      </c>
      <c r="N810" s="4" t="s">
        <v>23</v>
      </c>
      <c r="O810" s="4" t="s">
        <v>27</v>
      </c>
      <c r="P810" s="4" t="s">
        <v>144</v>
      </c>
      <c r="Q810" s="24">
        <v>126</v>
      </c>
      <c r="R810" s="25">
        <v>9</v>
      </c>
      <c r="S810" s="39">
        <v>1</v>
      </c>
      <c r="T810" s="7"/>
      <c r="U810" t="s">
        <v>2913</v>
      </c>
      <c r="V810" s="7" t="str">
        <f>+IF(U810="","",IF(U810="FINES",CONCATENATE("R",IF(OR(B810="16",B810="21",B810="22",B810="23"),"16212223",IF(OR(B810="15",B810="17",B810="24",B810="25"),"15172425",B810))),IF(U810="CEBAS","UNICO",IF(VALUE(B810)&lt;=11,"AMBA","INTERIOR"))))</f>
        <v>AMBA</v>
      </c>
      <c r="W810" s="38" t="str">
        <f>+IF(U810="","-",CONCATENATE(U810,"_",V810))</f>
        <v>CENS_AMBA</v>
      </c>
      <c r="X810" s="42">
        <v>0.13</v>
      </c>
    </row>
    <row r="811" spans="1:24" ht="15" thickBot="1">
      <c r="A811" s="5" t="s">
        <v>2916</v>
      </c>
      <c r="B811" s="5" t="s">
        <v>1532</v>
      </c>
      <c r="C811" s="5" t="s">
        <v>1530</v>
      </c>
      <c r="D811" s="5" t="s">
        <v>1531</v>
      </c>
      <c r="E811" s="5">
        <v>624599</v>
      </c>
      <c r="F811" s="5">
        <v>0</v>
      </c>
      <c r="G811" s="5" t="s">
        <v>1754</v>
      </c>
      <c r="H811" s="5" t="s">
        <v>20</v>
      </c>
      <c r="I811" s="6" t="s">
        <v>142</v>
      </c>
      <c r="J811" s="6" t="s">
        <v>21</v>
      </c>
      <c r="K811" s="6"/>
      <c r="L811" s="6" t="s">
        <v>1755</v>
      </c>
      <c r="M811" s="6" t="s">
        <v>22</v>
      </c>
      <c r="N811" s="6" t="s">
        <v>23</v>
      </c>
      <c r="O811" s="6" t="s">
        <v>27</v>
      </c>
      <c r="P811" s="6" t="s">
        <v>144</v>
      </c>
      <c r="Q811" s="22">
        <v>122</v>
      </c>
      <c r="R811" s="23">
        <v>9</v>
      </c>
      <c r="S811" s="39">
        <v>1</v>
      </c>
      <c r="T811" s="7"/>
      <c r="U811" t="s">
        <v>2913</v>
      </c>
      <c r="V811" s="7" t="str">
        <f>+IF(U811="","",IF(U811="FINES",CONCATENATE("R",IF(OR(B811="16",B811="21",B811="22",B811="23"),"16212223",IF(OR(B811="15",B811="17",B811="24",B811="25"),"15172425",B811))),IF(U811="CEBAS","UNICO",IF(VALUE(B811)&lt;=11,"AMBA","INTERIOR"))))</f>
        <v>AMBA</v>
      </c>
      <c r="W811" s="38" t="str">
        <f>+IF(U811="","-",CONCATENATE(U811,"_",V811))</f>
        <v>CENS_AMBA</v>
      </c>
      <c r="X811" s="42">
        <v>0.13300000000000001</v>
      </c>
    </row>
    <row r="812" spans="1:24" ht="15" thickBot="1">
      <c r="A812" s="3" t="s">
        <v>2916</v>
      </c>
      <c r="B812" s="3" t="s">
        <v>817</v>
      </c>
      <c r="C812" s="3" t="s">
        <v>815</v>
      </c>
      <c r="D812" s="3" t="s">
        <v>816</v>
      </c>
      <c r="E812" s="3">
        <v>615646</v>
      </c>
      <c r="F812" s="3">
        <v>0</v>
      </c>
      <c r="G812" s="3" t="s">
        <v>860</v>
      </c>
      <c r="H812" s="3" t="s">
        <v>20</v>
      </c>
      <c r="I812" s="4" t="s">
        <v>142</v>
      </c>
      <c r="J812" s="4" t="s">
        <v>21</v>
      </c>
      <c r="K812" s="4"/>
      <c r="L812" s="4" t="s">
        <v>861</v>
      </c>
      <c r="M812" s="4" t="s">
        <v>199</v>
      </c>
      <c r="N812" s="4" t="s">
        <v>23</v>
      </c>
      <c r="O812" s="4" t="s">
        <v>27</v>
      </c>
      <c r="P812" s="4" t="s">
        <v>144</v>
      </c>
      <c r="Q812" s="24">
        <v>443</v>
      </c>
      <c r="R812" s="25">
        <v>24</v>
      </c>
      <c r="S812" s="39">
        <v>1</v>
      </c>
      <c r="T812" s="7"/>
      <c r="U812" t="s">
        <v>2913</v>
      </c>
      <c r="V812" s="7" t="str">
        <f>+IF(U812="","",IF(U812="FINES",CONCATENATE("R",IF(OR(B812="16",B812="21",B812="22",B812="23"),"16212223",IF(OR(B812="15",B812="17",B812="24",B812="25"),"15172425",B812))),IF(U812="CEBAS","UNICO",IF(VALUE(B812)&lt;=11,"AMBA","INTERIOR"))))</f>
        <v>AMBA</v>
      </c>
      <c r="W812" s="38" t="str">
        <f>+IF(U812="","-",CONCATENATE(U812,"_",V812))</f>
        <v>CENS_AMBA</v>
      </c>
      <c r="X812" s="42">
        <v>0.13700000000000001</v>
      </c>
    </row>
    <row r="813" spans="1:24" ht="15" thickBot="1">
      <c r="A813" s="5" t="s">
        <v>2916</v>
      </c>
      <c r="B813" s="5" t="s">
        <v>1532</v>
      </c>
      <c r="C813" s="5" t="s">
        <v>1530</v>
      </c>
      <c r="D813" s="5" t="s">
        <v>1531</v>
      </c>
      <c r="E813" s="5">
        <v>623633</v>
      </c>
      <c r="F813" s="5">
        <v>0</v>
      </c>
      <c r="G813" s="5" t="s">
        <v>1724</v>
      </c>
      <c r="H813" s="5" t="s">
        <v>20</v>
      </c>
      <c r="I813" s="6" t="s">
        <v>142</v>
      </c>
      <c r="J813" s="6" t="s">
        <v>21</v>
      </c>
      <c r="K813" s="6"/>
      <c r="L813" s="6" t="s">
        <v>1725</v>
      </c>
      <c r="M813" s="6" t="s">
        <v>22</v>
      </c>
      <c r="N813" s="6" t="s">
        <v>23</v>
      </c>
      <c r="O813" s="6" t="s">
        <v>27</v>
      </c>
      <c r="P813" s="6" t="s">
        <v>144</v>
      </c>
      <c r="Q813" s="22">
        <v>102</v>
      </c>
      <c r="R813" s="23">
        <v>10</v>
      </c>
      <c r="S813" s="39">
        <v>1</v>
      </c>
      <c r="T813" s="7"/>
      <c r="U813" t="s">
        <v>2913</v>
      </c>
      <c r="V813" s="7" t="str">
        <f>+IF(U813="","",IF(U813="FINES",CONCATENATE("R",IF(OR(B813="16",B813="21",B813="22",B813="23"),"16212223",IF(OR(B813="15",B813="17",B813="24",B813="25"),"15172425",B813))),IF(U813="CEBAS","UNICO",IF(VALUE(B813)&lt;=11,"AMBA","INTERIOR"))))</f>
        <v>AMBA</v>
      </c>
      <c r="W813" s="38" t="str">
        <f>+IF(U813="","-",CONCATENATE(U813,"_",V813))</f>
        <v>CENS_AMBA</v>
      </c>
      <c r="X813" s="42">
        <v>0.13800000000000001</v>
      </c>
    </row>
    <row r="814" spans="1:24" ht="15" thickBot="1">
      <c r="A814" s="5" t="s">
        <v>2916</v>
      </c>
      <c r="B814" s="5" t="s">
        <v>1532</v>
      </c>
      <c r="C814" s="5" t="s">
        <v>1530</v>
      </c>
      <c r="D814" s="5" t="s">
        <v>1531</v>
      </c>
      <c r="E814" s="5">
        <v>623612</v>
      </c>
      <c r="F814" s="5">
        <v>0</v>
      </c>
      <c r="G814" s="5" t="s">
        <v>1699</v>
      </c>
      <c r="H814" s="5" t="s">
        <v>20</v>
      </c>
      <c r="I814" s="6" t="s">
        <v>142</v>
      </c>
      <c r="J814" s="6" t="s">
        <v>21</v>
      </c>
      <c r="K814" s="6"/>
      <c r="L814" s="6" t="s">
        <v>1447</v>
      </c>
      <c r="M814" s="6" t="s">
        <v>22</v>
      </c>
      <c r="N814" s="6" t="s">
        <v>23</v>
      </c>
      <c r="O814" s="6" t="s">
        <v>27</v>
      </c>
      <c r="P814" s="6" t="s">
        <v>144</v>
      </c>
      <c r="Q814" s="22">
        <v>145</v>
      </c>
      <c r="R814" s="23">
        <v>12</v>
      </c>
      <c r="S814" s="39">
        <v>1</v>
      </c>
      <c r="T814" s="7"/>
      <c r="U814" t="s">
        <v>2913</v>
      </c>
      <c r="V814" s="7" t="str">
        <f>+IF(U814="","",IF(U814="FINES",CONCATENATE("R",IF(OR(B814="16",B814="21",B814="22",B814="23"),"16212223",IF(OR(B814="15",B814="17",B814="24",B814="25"),"15172425",B814))),IF(U814="CEBAS","UNICO",IF(VALUE(B814)&lt;=11,"AMBA","INTERIOR"))))</f>
        <v>AMBA</v>
      </c>
      <c r="W814" s="38" t="str">
        <f>+IF(U814="","-",CONCATENATE(U814,"_",V814))</f>
        <v>CENS_AMBA</v>
      </c>
      <c r="X814" s="42">
        <v>0.14099999999999999</v>
      </c>
    </row>
    <row r="815" spans="1:24" ht="15" thickBot="1">
      <c r="A815" s="5" t="s">
        <v>2916</v>
      </c>
      <c r="B815" s="5" t="s">
        <v>204</v>
      </c>
      <c r="C815" s="5" t="s">
        <v>1084</v>
      </c>
      <c r="D815" s="5" t="s">
        <v>1085</v>
      </c>
      <c r="E815" s="5">
        <v>623688</v>
      </c>
      <c r="F815" s="5">
        <v>0</v>
      </c>
      <c r="G815" s="5" t="s">
        <v>1145</v>
      </c>
      <c r="H815" s="5" t="s">
        <v>20</v>
      </c>
      <c r="I815" s="6" t="s">
        <v>142</v>
      </c>
      <c r="J815" s="6" t="s">
        <v>21</v>
      </c>
      <c r="K815" s="6"/>
      <c r="L815" s="6" t="s">
        <v>172</v>
      </c>
      <c r="M815" s="6" t="s">
        <v>22</v>
      </c>
      <c r="N815" s="6" t="s">
        <v>23</v>
      </c>
      <c r="O815" s="6" t="s">
        <v>27</v>
      </c>
      <c r="P815" s="6" t="s">
        <v>144</v>
      </c>
      <c r="Q815" s="22">
        <v>120</v>
      </c>
      <c r="R815" s="23">
        <v>4</v>
      </c>
      <c r="S815" s="39">
        <v>1</v>
      </c>
      <c r="T815" s="7"/>
      <c r="U815" t="s">
        <v>2913</v>
      </c>
      <c r="V815" s="7" t="str">
        <f>+IF(U815="","",IF(U815="FINES",CONCATENATE("R",IF(OR(B815="16",B815="21",B815="22",B815="23"),"16212223",IF(OR(B815="15",B815="17",B815="24",B815="25"),"15172425",B815))),IF(U815="CEBAS","UNICO",IF(VALUE(B815)&lt;=11,"AMBA","INTERIOR"))))</f>
        <v>AMBA</v>
      </c>
      <c r="W815" s="38" t="str">
        <f>+IF(U815="","-",CONCATENATE(U815,"_",V815))</f>
        <v>CENS_AMBA</v>
      </c>
      <c r="X815" s="42">
        <v>0.14399999999999999</v>
      </c>
    </row>
    <row r="816" spans="1:24" ht="15" thickBot="1">
      <c r="A816" s="5" t="s">
        <v>2916</v>
      </c>
      <c r="B816" s="5" t="s">
        <v>1532</v>
      </c>
      <c r="C816" s="5" t="s">
        <v>1530</v>
      </c>
      <c r="D816" s="5" t="s">
        <v>1531</v>
      </c>
      <c r="E816" s="5">
        <v>623615</v>
      </c>
      <c r="F816" s="5">
        <v>0</v>
      </c>
      <c r="G816" s="5" t="s">
        <v>1732</v>
      </c>
      <c r="H816" s="5" t="s">
        <v>20</v>
      </c>
      <c r="I816" s="6" t="s">
        <v>142</v>
      </c>
      <c r="J816" s="6" t="s">
        <v>21</v>
      </c>
      <c r="K816" s="6"/>
      <c r="L816" s="6" t="s">
        <v>1733</v>
      </c>
      <c r="M816" s="6" t="s">
        <v>22</v>
      </c>
      <c r="N816" s="6" t="s">
        <v>23</v>
      </c>
      <c r="O816" s="6" t="s">
        <v>27</v>
      </c>
      <c r="P816" s="6" t="s">
        <v>144</v>
      </c>
      <c r="Q816" s="22">
        <v>87</v>
      </c>
      <c r="R816" s="23">
        <v>6</v>
      </c>
      <c r="S816" s="39">
        <v>1</v>
      </c>
      <c r="T816" s="7"/>
      <c r="U816" t="s">
        <v>2913</v>
      </c>
      <c r="V816" s="7" t="str">
        <f>+IF(U816="","",IF(U816="FINES",CONCATENATE("R",IF(OR(B816="16",B816="21",B816="22",B816="23"),"16212223",IF(OR(B816="15",B816="17",B816="24",B816="25"),"15172425",B816))),IF(U816="CEBAS","UNICO",IF(VALUE(B816)&lt;=11,"AMBA","INTERIOR"))))</f>
        <v>AMBA</v>
      </c>
      <c r="W816" s="38" t="str">
        <f>+IF(U816="","-",CONCATENATE(U816,"_",V816))</f>
        <v>CENS_AMBA</v>
      </c>
      <c r="X816" s="42">
        <v>0.14699999999999999</v>
      </c>
    </row>
    <row r="817" spans="1:24" ht="15" thickBot="1">
      <c r="A817" s="3" t="s">
        <v>2916</v>
      </c>
      <c r="B817" s="3" t="s">
        <v>1532</v>
      </c>
      <c r="C817" s="3" t="s">
        <v>1530</v>
      </c>
      <c r="D817" s="3" t="s">
        <v>1531</v>
      </c>
      <c r="E817" s="3">
        <v>623605</v>
      </c>
      <c r="F817" s="3">
        <v>0</v>
      </c>
      <c r="G817" s="3" t="s">
        <v>1690</v>
      </c>
      <c r="H817" s="3" t="s">
        <v>20</v>
      </c>
      <c r="I817" s="4" t="s">
        <v>142</v>
      </c>
      <c r="J817" s="4" t="s">
        <v>21</v>
      </c>
      <c r="K817" s="4"/>
      <c r="L817" s="4" t="s">
        <v>1691</v>
      </c>
      <c r="M817" s="4" t="s">
        <v>22</v>
      </c>
      <c r="N817" s="4" t="s">
        <v>23</v>
      </c>
      <c r="O817" s="4" t="s">
        <v>27</v>
      </c>
      <c r="P817" s="4" t="s">
        <v>144</v>
      </c>
      <c r="Q817" s="24">
        <v>90</v>
      </c>
      <c r="R817" s="25">
        <v>5</v>
      </c>
      <c r="S817" s="39">
        <v>1</v>
      </c>
      <c r="T817" s="7"/>
      <c r="U817" s="7" t="s">
        <v>2913</v>
      </c>
      <c r="V817" s="7" t="str">
        <f>+IF(U817="","",IF(U817="FINES",CONCATENATE("R",IF(OR(B817="16",B817="21",B817="22",B817="23"),"16212223",IF(OR(B817="15",B817="17",B817="24",B817="25"),"15172425",B817))),IF(U817="CEBAS","UNICO",IF(VALUE(B817)&lt;=11,"AMBA","INTERIOR"))))</f>
        <v>AMBA</v>
      </c>
      <c r="W817" s="38" t="str">
        <f>+IF(U817="","-",CONCATENATE(U817,"_",V817))</f>
        <v>CENS_AMBA</v>
      </c>
      <c r="X817" s="42">
        <v>0.15</v>
      </c>
    </row>
    <row r="818" spans="1:24" ht="15" thickBot="1">
      <c r="A818" s="3" t="s">
        <v>2916</v>
      </c>
      <c r="B818" s="3" t="s">
        <v>1860</v>
      </c>
      <c r="C818" s="3" t="s">
        <v>1858</v>
      </c>
      <c r="D818" s="3" t="s">
        <v>1859</v>
      </c>
      <c r="E818" s="3">
        <v>623475</v>
      </c>
      <c r="F818" s="3">
        <v>0</v>
      </c>
      <c r="G818" s="3" t="s">
        <v>1904</v>
      </c>
      <c r="H818" s="3" t="s">
        <v>20</v>
      </c>
      <c r="I818" s="4" t="s">
        <v>142</v>
      </c>
      <c r="J818" s="4" t="s">
        <v>21</v>
      </c>
      <c r="K818" s="4"/>
      <c r="L818" s="4" t="s">
        <v>1905</v>
      </c>
      <c r="M818" s="4" t="s">
        <v>22</v>
      </c>
      <c r="N818" s="4" t="s">
        <v>23</v>
      </c>
      <c r="O818" s="4" t="s">
        <v>27</v>
      </c>
      <c r="P818" s="4" t="s">
        <v>144</v>
      </c>
      <c r="Q818" s="24">
        <v>34</v>
      </c>
      <c r="R818" s="25">
        <v>3</v>
      </c>
      <c r="S818" s="39">
        <v>1</v>
      </c>
      <c r="T818" s="7"/>
      <c r="U818" s="7" t="s">
        <v>2913</v>
      </c>
      <c r="V818" s="7" t="str">
        <f>+IF(U818="","",IF(U818="FINES",CONCATENATE("R",IF(OR(B818="16",B818="21",B818="22",B818="23"),"16212223",IF(OR(B818="15",B818="17",B818="24",B818="25"),"15172425",B818))),IF(U818="CEBAS","UNICO",IF(VALUE(B818)&lt;=11,"AMBA","INTERIOR"))))</f>
        <v>AMBA</v>
      </c>
      <c r="W818" s="38" t="str">
        <f>+IF(U818="","-",CONCATENATE(U818,"_",V818))</f>
        <v>CENS_AMBA</v>
      </c>
      <c r="X818" s="42">
        <v>0.15</v>
      </c>
    </row>
    <row r="819" spans="1:24" ht="15" thickBot="1">
      <c r="A819" s="3" t="s">
        <v>2916</v>
      </c>
      <c r="B819" s="3" t="s">
        <v>356</v>
      </c>
      <c r="C819" s="3" t="s">
        <v>353</v>
      </c>
      <c r="D819" s="3" t="s">
        <v>355</v>
      </c>
      <c r="E819" s="3">
        <v>610298</v>
      </c>
      <c r="F819" s="3">
        <v>0</v>
      </c>
      <c r="G819" s="3" t="s">
        <v>404</v>
      </c>
      <c r="H819" s="3" t="s">
        <v>20</v>
      </c>
      <c r="I819" s="4" t="s">
        <v>142</v>
      </c>
      <c r="J819" s="4" t="s">
        <v>21</v>
      </c>
      <c r="K819" s="4"/>
      <c r="L819" s="4" t="s">
        <v>405</v>
      </c>
      <c r="M819" s="4" t="s">
        <v>22</v>
      </c>
      <c r="N819" s="4" t="s">
        <v>23</v>
      </c>
      <c r="O819" s="4" t="s">
        <v>27</v>
      </c>
      <c r="P819" s="4" t="s">
        <v>144</v>
      </c>
      <c r="Q819" s="24">
        <v>119</v>
      </c>
      <c r="R819" s="25">
        <v>7</v>
      </c>
      <c r="S819" s="39">
        <v>1</v>
      </c>
      <c r="T819" s="7"/>
      <c r="U819" s="7" t="s">
        <v>2913</v>
      </c>
      <c r="V819" s="7" t="str">
        <f>+IF(U819="","",IF(U819="FINES",CONCATENATE("R",IF(OR(B819="16",B819="21",B819="22",B819="23"),"16212223",IF(OR(B819="15",B819="17",B819="24",B819="25"),"15172425",B819))),IF(U819="CEBAS","UNICO",IF(VALUE(B819)&lt;=11,"AMBA","INTERIOR"))))</f>
        <v>AMBA</v>
      </c>
      <c r="W819" s="38" t="str">
        <f>+IF(U819="","-",CONCATENATE(U819,"_",V819))</f>
        <v>CENS_AMBA</v>
      </c>
      <c r="X819" s="42">
        <v>0.151</v>
      </c>
    </row>
    <row r="820" spans="1:24" ht="15" thickBot="1">
      <c r="A820" s="3" t="s">
        <v>2916</v>
      </c>
      <c r="B820" s="3" t="s">
        <v>1860</v>
      </c>
      <c r="C820" s="3" t="s">
        <v>875</v>
      </c>
      <c r="D820" s="3" t="s">
        <v>2816</v>
      </c>
      <c r="E820" s="3">
        <v>623728</v>
      </c>
      <c r="F820" s="3">
        <v>0</v>
      </c>
      <c r="G820" s="3" t="s">
        <v>2833</v>
      </c>
      <c r="H820" s="3" t="s">
        <v>20</v>
      </c>
      <c r="I820" s="4" t="s">
        <v>142</v>
      </c>
      <c r="J820" s="4" t="s">
        <v>21</v>
      </c>
      <c r="K820" s="4"/>
      <c r="L820" s="4" t="s">
        <v>154</v>
      </c>
      <c r="M820" s="4" t="s">
        <v>22</v>
      </c>
      <c r="N820" s="4" t="s">
        <v>23</v>
      </c>
      <c r="O820" s="4" t="s">
        <v>27</v>
      </c>
      <c r="P820" s="4" t="s">
        <v>144</v>
      </c>
      <c r="Q820" s="24">
        <v>118</v>
      </c>
      <c r="R820" s="25">
        <v>5</v>
      </c>
      <c r="S820" s="39">
        <v>1</v>
      </c>
      <c r="T820" s="7"/>
      <c r="U820" s="7" t="s">
        <v>2913</v>
      </c>
      <c r="V820" s="7" t="str">
        <f>+IF(U820="","",IF(U820="FINES",CONCATENATE("R",IF(OR(B820="16",B820="21",B820="22",B820="23"),"16212223",IF(OR(B820="15",B820="17",B820="24",B820="25"),"15172425",B820))),IF(U820="CEBAS","UNICO",IF(VALUE(B820)&lt;=11,"AMBA","INTERIOR"))))</f>
        <v>AMBA</v>
      </c>
      <c r="W820" s="38" t="str">
        <f>+IF(U820="","-",CONCATENATE(U820,"_",V820))</f>
        <v>CENS_AMBA</v>
      </c>
      <c r="X820" s="42">
        <v>0.154</v>
      </c>
    </row>
    <row r="821" spans="1:24" ht="15" thickBot="1">
      <c r="A821" s="5" t="s">
        <v>2916</v>
      </c>
      <c r="B821" s="5" t="s">
        <v>1532</v>
      </c>
      <c r="C821" s="5" t="s">
        <v>1530</v>
      </c>
      <c r="D821" s="5" t="s">
        <v>1531</v>
      </c>
      <c r="E821" s="5">
        <v>624061</v>
      </c>
      <c r="F821" s="5">
        <v>0</v>
      </c>
      <c r="G821" s="5" t="s">
        <v>1750</v>
      </c>
      <c r="H821" s="5" t="s">
        <v>20</v>
      </c>
      <c r="I821" s="6" t="s">
        <v>142</v>
      </c>
      <c r="J821" s="6" t="s">
        <v>21</v>
      </c>
      <c r="K821" s="6"/>
      <c r="L821" s="6" t="s">
        <v>1751</v>
      </c>
      <c r="M821" s="6" t="s">
        <v>22</v>
      </c>
      <c r="N821" s="6" t="s">
        <v>134</v>
      </c>
      <c r="O821" s="6" t="s">
        <v>27</v>
      </c>
      <c r="P821" s="6" t="s">
        <v>144</v>
      </c>
      <c r="Q821" s="22">
        <v>92</v>
      </c>
      <c r="R821" s="23">
        <v>6</v>
      </c>
      <c r="S821" s="39">
        <v>1</v>
      </c>
      <c r="T821" s="7"/>
      <c r="U821" s="7" t="s">
        <v>2913</v>
      </c>
      <c r="V821" s="7" t="str">
        <f>+IF(U821="","",IF(U821="FINES",CONCATENATE("R",IF(OR(B821="16",B821="21",B821="22",B821="23"),"16212223",IF(OR(B821="15",B821="17",B821="24",B821="25"),"15172425",B821))),IF(U821="CEBAS","UNICO",IF(VALUE(B821)&lt;=11,"AMBA","INTERIOR"))))</f>
        <v>AMBA</v>
      </c>
      <c r="W821" s="38" t="str">
        <f>+IF(U821="","-",CONCATENATE(U821,"_",V821))</f>
        <v>CENS_AMBA</v>
      </c>
      <c r="X821" s="42">
        <v>0.155</v>
      </c>
    </row>
    <row r="822" spans="1:24" ht="15" thickBot="1">
      <c r="A822" s="3" t="s">
        <v>2916</v>
      </c>
      <c r="B822" s="3" t="s">
        <v>257</v>
      </c>
      <c r="C822" s="3" t="s">
        <v>2337</v>
      </c>
      <c r="D822" s="3" t="s">
        <v>2338</v>
      </c>
      <c r="E822" s="3">
        <v>601539</v>
      </c>
      <c r="F822" s="3">
        <v>0</v>
      </c>
      <c r="G822" s="3" t="s">
        <v>2345</v>
      </c>
      <c r="H822" s="3" t="s">
        <v>20</v>
      </c>
      <c r="I822" s="4" t="s">
        <v>142</v>
      </c>
      <c r="J822" s="4" t="s">
        <v>21</v>
      </c>
      <c r="K822" s="4"/>
      <c r="L822" s="4" t="s">
        <v>2346</v>
      </c>
      <c r="M822" s="4" t="s">
        <v>22</v>
      </c>
      <c r="N822" s="4" t="s">
        <v>23</v>
      </c>
      <c r="O822" s="4" t="s">
        <v>27</v>
      </c>
      <c r="P822" s="4" t="s">
        <v>144</v>
      </c>
      <c r="Q822" s="24">
        <v>193</v>
      </c>
      <c r="R822" s="25">
        <v>14</v>
      </c>
      <c r="S822" s="39">
        <v>1</v>
      </c>
      <c r="T822" s="7"/>
      <c r="U822" s="7" t="s">
        <v>2913</v>
      </c>
      <c r="V822" s="7" t="str">
        <f>+IF(U822="","",IF(U822="FINES",CONCATENATE("R",IF(OR(B822="16",B822="21",B822="22",B822="23"),"16212223",IF(OR(B822="15",B822="17",B822="24",B822="25"),"15172425",B822))),IF(U822="CEBAS","UNICO",IF(VALUE(B822)&lt;=11,"AMBA","INTERIOR"))))</f>
        <v>AMBA</v>
      </c>
      <c r="W822" s="38" t="str">
        <f>+IF(U822="","-",CONCATENATE(U822,"_",V822))</f>
        <v>CENS_AMBA</v>
      </c>
      <c r="X822" s="42">
        <v>0.156</v>
      </c>
    </row>
    <row r="823" spans="1:24" ht="15" thickBot="1">
      <c r="A823" s="5" t="s">
        <v>2916</v>
      </c>
      <c r="B823" s="5" t="s">
        <v>1257</v>
      </c>
      <c r="C823" s="5" t="s">
        <v>2213</v>
      </c>
      <c r="D823" s="5" t="s">
        <v>2214</v>
      </c>
      <c r="E823" s="5">
        <v>623672</v>
      </c>
      <c r="F823" s="5">
        <v>0</v>
      </c>
      <c r="G823" s="5" t="s">
        <v>2236</v>
      </c>
      <c r="H823" s="5" t="s">
        <v>20</v>
      </c>
      <c r="I823" s="6" t="s">
        <v>142</v>
      </c>
      <c r="J823" s="6" t="s">
        <v>21</v>
      </c>
      <c r="K823" s="6"/>
      <c r="L823" s="6" t="s">
        <v>337</v>
      </c>
      <c r="M823" s="6" t="s">
        <v>22</v>
      </c>
      <c r="N823" s="6" t="s">
        <v>23</v>
      </c>
      <c r="O823" s="6" t="s">
        <v>27</v>
      </c>
      <c r="P823" s="6" t="s">
        <v>144</v>
      </c>
      <c r="Q823" s="22">
        <v>120</v>
      </c>
      <c r="R823" s="23">
        <v>7</v>
      </c>
      <c r="S823" s="39">
        <v>1</v>
      </c>
      <c r="T823" s="7"/>
      <c r="U823" s="7" t="s">
        <v>2913</v>
      </c>
      <c r="V823" s="7" t="str">
        <f>+IF(U823="","",IF(U823="FINES",CONCATENATE("R",IF(OR(B823="16",B823="21",B823="22",B823="23"),"16212223",IF(OR(B823="15",B823="17",B823="24",B823="25"),"15172425",B823))),IF(U823="CEBAS","UNICO",IF(VALUE(B823)&lt;=11,"AMBA","INTERIOR"))))</f>
        <v>AMBA</v>
      </c>
      <c r="W823" s="38" t="str">
        <f>+IF(U823="","-",CONCATENATE(U823,"_",V823))</f>
        <v>CENS_AMBA</v>
      </c>
      <c r="X823" s="42">
        <v>0.157</v>
      </c>
    </row>
    <row r="824" spans="1:24" ht="15" thickBot="1">
      <c r="A824" s="5" t="s">
        <v>2916</v>
      </c>
      <c r="B824" s="5" t="s">
        <v>204</v>
      </c>
      <c r="C824" s="5" t="s">
        <v>137</v>
      </c>
      <c r="D824" s="5" t="s">
        <v>2629</v>
      </c>
      <c r="E824" s="5">
        <v>623751</v>
      </c>
      <c r="F824" s="5">
        <v>0</v>
      </c>
      <c r="G824" s="5" t="s">
        <v>2646</v>
      </c>
      <c r="H824" s="5" t="s">
        <v>20</v>
      </c>
      <c r="I824" s="6" t="s">
        <v>142</v>
      </c>
      <c r="J824" s="6" t="s">
        <v>21</v>
      </c>
      <c r="K824" s="6"/>
      <c r="L824" s="6" t="s">
        <v>2647</v>
      </c>
      <c r="M824" s="6" t="s">
        <v>22</v>
      </c>
      <c r="N824" s="6" t="s">
        <v>23</v>
      </c>
      <c r="O824" s="6" t="s">
        <v>27</v>
      </c>
      <c r="P824" s="6" t="s">
        <v>144</v>
      </c>
      <c r="Q824" s="22">
        <v>195</v>
      </c>
      <c r="R824" s="23">
        <v>6</v>
      </c>
      <c r="S824" s="39">
        <v>1</v>
      </c>
      <c r="T824" s="7"/>
      <c r="U824" s="7" t="s">
        <v>2913</v>
      </c>
      <c r="V824" s="7" t="str">
        <f>+IF(U824="","",IF(U824="FINES",CONCATENATE("R",IF(OR(B824="16",B824="21",B824="22",B824="23"),"16212223",IF(OR(B824="15",B824="17",B824="24",B824="25"),"15172425",B824))),IF(U824="CEBAS","UNICO",IF(VALUE(B824)&lt;=11,"AMBA","INTERIOR"))))</f>
        <v>AMBA</v>
      </c>
      <c r="W824" s="38" t="str">
        <f>+IF(U824="","-",CONCATENATE(U824,"_",V824))</f>
        <v>CENS_AMBA</v>
      </c>
      <c r="X824" s="42">
        <v>0.158</v>
      </c>
    </row>
    <row r="825" spans="1:24" ht="15" thickBot="1">
      <c r="A825" s="3" t="s">
        <v>2916</v>
      </c>
      <c r="B825" s="3" t="s">
        <v>356</v>
      </c>
      <c r="C825" s="3" t="s">
        <v>1359</v>
      </c>
      <c r="D825" s="3" t="s">
        <v>1360</v>
      </c>
      <c r="E825" s="3">
        <v>624644</v>
      </c>
      <c r="F825" s="3">
        <v>0</v>
      </c>
      <c r="G825" s="3" t="s">
        <v>1449</v>
      </c>
      <c r="H825" s="3" t="s">
        <v>20</v>
      </c>
      <c r="I825" s="4" t="s">
        <v>142</v>
      </c>
      <c r="J825" s="4" t="s">
        <v>21</v>
      </c>
      <c r="K825" s="4"/>
      <c r="L825" s="4" t="s">
        <v>180</v>
      </c>
      <c r="M825" s="4" t="s">
        <v>22</v>
      </c>
      <c r="N825" s="4" t="s">
        <v>23</v>
      </c>
      <c r="O825" s="4" t="s">
        <v>27</v>
      </c>
      <c r="P825" s="4" t="s">
        <v>144</v>
      </c>
      <c r="Q825" s="24">
        <v>44</v>
      </c>
      <c r="R825" s="25">
        <v>2</v>
      </c>
      <c r="S825" s="39">
        <v>1</v>
      </c>
      <c r="T825" s="7"/>
      <c r="U825" s="7" t="s">
        <v>2913</v>
      </c>
      <c r="V825" s="7" t="str">
        <f>+IF(U825="","",IF(U825="FINES",CONCATENATE("R",IF(OR(B825="16",B825="21",B825="22",B825="23"),"16212223",IF(OR(B825="15",B825="17",B825="24",B825="25"),"15172425",B825))),IF(U825="CEBAS","UNICO",IF(VALUE(B825)&lt;=11,"AMBA","INTERIOR"))))</f>
        <v>AMBA</v>
      </c>
      <c r="W825" s="38" t="str">
        <f>+IF(U825="","-",CONCATENATE(U825,"_",V825))</f>
        <v>CENS_AMBA</v>
      </c>
      <c r="X825" s="42">
        <v>0.16200000000000001</v>
      </c>
    </row>
    <row r="826" spans="1:24" ht="15" thickBot="1">
      <c r="A826" s="3" t="s">
        <v>2916</v>
      </c>
      <c r="B826" s="3" t="s">
        <v>257</v>
      </c>
      <c r="C826" s="3" t="s">
        <v>254</v>
      </c>
      <c r="D826" s="3" t="s">
        <v>256</v>
      </c>
      <c r="E826" s="3">
        <v>624744</v>
      </c>
      <c r="F826" s="3">
        <v>0</v>
      </c>
      <c r="G826" s="3" t="s">
        <v>345</v>
      </c>
      <c r="H826" s="3" t="s">
        <v>20</v>
      </c>
      <c r="I826" s="4" t="s">
        <v>142</v>
      </c>
      <c r="J826" s="4" t="s">
        <v>21</v>
      </c>
      <c r="K826" s="4"/>
      <c r="L826" s="4" t="s">
        <v>346</v>
      </c>
      <c r="M826" s="4" t="s">
        <v>22</v>
      </c>
      <c r="N826" s="4" t="s">
        <v>23</v>
      </c>
      <c r="O826" s="4" t="s">
        <v>27</v>
      </c>
      <c r="P826" s="4" t="s">
        <v>144</v>
      </c>
      <c r="Q826" s="24">
        <v>69</v>
      </c>
      <c r="R826" s="25">
        <v>3</v>
      </c>
      <c r="S826" s="39">
        <v>1</v>
      </c>
      <c r="T826" s="7"/>
      <c r="U826" s="7" t="s">
        <v>2913</v>
      </c>
      <c r="V826" s="7" t="str">
        <f>+IF(U826="","",IF(U826="FINES",CONCATENATE("R",IF(OR(B826="16",B826="21",B826="22",B826="23"),"16212223",IF(OR(B826="15",B826="17",B826="24",B826="25"),"15172425",B826))),IF(U826="CEBAS","UNICO",IF(VALUE(B826)&lt;=11,"AMBA","INTERIOR"))))</f>
        <v>AMBA</v>
      </c>
      <c r="W826" s="38" t="str">
        <f>+IF(U826="","-",CONCATENATE(U826,"_",V826))</f>
        <v>CENS_AMBA</v>
      </c>
      <c r="X826" s="42">
        <v>0.16700000000000001</v>
      </c>
    </row>
    <row r="827" spans="1:24" ht="15" thickBot="1">
      <c r="A827" s="3" t="s">
        <v>2916</v>
      </c>
      <c r="B827" s="3" t="s">
        <v>204</v>
      </c>
      <c r="C827" s="3" t="s">
        <v>219</v>
      </c>
      <c r="D827" s="3" t="s">
        <v>2865</v>
      </c>
      <c r="E827" s="3">
        <v>623691</v>
      </c>
      <c r="F827" s="3">
        <v>0</v>
      </c>
      <c r="G827" s="3" t="s">
        <v>2885</v>
      </c>
      <c r="H827" s="3" t="s">
        <v>20</v>
      </c>
      <c r="I827" s="4" t="s">
        <v>142</v>
      </c>
      <c r="J827" s="4" t="s">
        <v>21</v>
      </c>
      <c r="K827" s="4"/>
      <c r="L827" s="4" t="s">
        <v>2142</v>
      </c>
      <c r="M827" s="4" t="s">
        <v>22</v>
      </c>
      <c r="N827" s="4" t="s">
        <v>23</v>
      </c>
      <c r="O827" s="4" t="s">
        <v>27</v>
      </c>
      <c r="P827" s="4" t="s">
        <v>144</v>
      </c>
      <c r="Q827" s="24">
        <v>181</v>
      </c>
      <c r="R827" s="25">
        <v>12</v>
      </c>
      <c r="S827" s="39">
        <v>1</v>
      </c>
      <c r="T827" s="7"/>
      <c r="U827" s="7" t="s">
        <v>2913</v>
      </c>
      <c r="V827" s="7" t="str">
        <f>+IF(U827="","",IF(U827="FINES",CONCATENATE("R",IF(OR(B827="16",B827="21",B827="22",B827="23"),"16212223",IF(OR(B827="15",B827="17",B827="24",B827="25"),"15172425",B827))),IF(U827="CEBAS","UNICO",IF(VALUE(B827)&lt;=11,"AMBA","INTERIOR"))))</f>
        <v>AMBA</v>
      </c>
      <c r="W827" s="38" t="str">
        <f>+IF(U827="","-",CONCATENATE(U827,"_",V827))</f>
        <v>CENS_AMBA</v>
      </c>
      <c r="X827" s="42">
        <v>0.16700000000000001</v>
      </c>
    </row>
    <row r="828" spans="1:24" ht="15" thickBot="1">
      <c r="A828" s="3" t="s">
        <v>2916</v>
      </c>
      <c r="B828" s="3" t="s">
        <v>1532</v>
      </c>
      <c r="C828" s="3" t="s">
        <v>1530</v>
      </c>
      <c r="D828" s="3" t="s">
        <v>1531</v>
      </c>
      <c r="E828" s="3">
        <v>614307</v>
      </c>
      <c r="F828" s="3">
        <v>2</v>
      </c>
      <c r="G828" s="3" t="s">
        <v>1760</v>
      </c>
      <c r="H828" s="3" t="s">
        <v>20</v>
      </c>
      <c r="I828" s="4" t="s">
        <v>142</v>
      </c>
      <c r="J828" s="4" t="s">
        <v>139</v>
      </c>
      <c r="K828" s="4" t="s">
        <v>1676</v>
      </c>
      <c r="L828" s="4" t="s">
        <v>1761</v>
      </c>
      <c r="M828" s="4" t="s">
        <v>22</v>
      </c>
      <c r="N828" s="4" t="s">
        <v>23</v>
      </c>
      <c r="O828" s="4" t="s">
        <v>27</v>
      </c>
      <c r="P828" s="4" t="s">
        <v>144</v>
      </c>
      <c r="Q828" s="24">
        <v>146</v>
      </c>
      <c r="R828" s="25">
        <v>13</v>
      </c>
      <c r="S828" s="39">
        <v>1</v>
      </c>
      <c r="T828" s="7"/>
      <c r="U828" s="7" t="s">
        <v>2913</v>
      </c>
      <c r="V828" s="7" t="str">
        <f>+IF(U828="","",IF(U828="FINES",CONCATENATE("R",IF(OR(B828="16",B828="21",B828="22",B828="23"),"16212223",IF(OR(B828="15",B828="17",B828="24",B828="25"),"15172425",B828))),IF(U828="CEBAS","UNICO",IF(VALUE(B828)&lt;=11,"AMBA","INTERIOR"))))</f>
        <v>AMBA</v>
      </c>
      <c r="W828" s="38" t="str">
        <f>+IF(U828="","-",CONCATENATE(U828,"_",V828))</f>
        <v>CENS_AMBA</v>
      </c>
      <c r="X828" s="42">
        <v>0.16900000000000001</v>
      </c>
    </row>
    <row r="829" spans="1:24" ht="15" thickBot="1">
      <c r="A829" s="5" t="s">
        <v>2916</v>
      </c>
      <c r="B829" s="5" t="s">
        <v>356</v>
      </c>
      <c r="C829" s="5" t="s">
        <v>805</v>
      </c>
      <c r="D829" s="5" t="s">
        <v>2500</v>
      </c>
      <c r="E829" s="5">
        <v>623597</v>
      </c>
      <c r="F829" s="5">
        <v>0</v>
      </c>
      <c r="G829" s="5" t="s">
        <v>2546</v>
      </c>
      <c r="H829" s="5" t="s">
        <v>20</v>
      </c>
      <c r="I829" s="6" t="s">
        <v>142</v>
      </c>
      <c r="J829" s="6" t="s">
        <v>21</v>
      </c>
      <c r="K829" s="6"/>
      <c r="L829" s="6" t="s">
        <v>341</v>
      </c>
      <c r="M829" s="6" t="s">
        <v>22</v>
      </c>
      <c r="N829" s="6" t="s">
        <v>23</v>
      </c>
      <c r="O829" s="6" t="s">
        <v>27</v>
      </c>
      <c r="P829" s="6" t="s">
        <v>144</v>
      </c>
      <c r="Q829" s="22">
        <v>94</v>
      </c>
      <c r="R829" s="23">
        <v>6</v>
      </c>
      <c r="S829" s="39">
        <v>1</v>
      </c>
      <c r="T829" s="7"/>
      <c r="U829" s="7" t="s">
        <v>2913</v>
      </c>
      <c r="V829" s="7" t="str">
        <f>+IF(U829="","",IF(U829="FINES",CONCATENATE("R",IF(OR(B829="16",B829="21",B829="22",B829="23"),"16212223",IF(OR(B829="15",B829="17",B829="24",B829="25"),"15172425",B829))),IF(U829="CEBAS","UNICO",IF(VALUE(B829)&lt;=11,"AMBA","INTERIOR"))))</f>
        <v>AMBA</v>
      </c>
      <c r="W829" s="38" t="str">
        <f>+IF(U829="","-",CONCATENATE(U829,"_",V829))</f>
        <v>CENS_AMBA</v>
      </c>
      <c r="X829" s="42">
        <v>0.17</v>
      </c>
    </row>
    <row r="830" spans="1:24" ht="15" thickBot="1">
      <c r="A830" s="3" t="s">
        <v>2916</v>
      </c>
      <c r="B830" s="3" t="s">
        <v>1780</v>
      </c>
      <c r="C830" s="3" t="s">
        <v>238</v>
      </c>
      <c r="D830" s="3" t="s">
        <v>2887</v>
      </c>
      <c r="E830" s="3">
        <v>623706</v>
      </c>
      <c r="F830" s="3">
        <v>0</v>
      </c>
      <c r="G830" s="3" t="s">
        <v>2902</v>
      </c>
      <c r="H830" s="3" t="s">
        <v>20</v>
      </c>
      <c r="I830" s="4" t="s">
        <v>142</v>
      </c>
      <c r="J830" s="4" t="s">
        <v>21</v>
      </c>
      <c r="K830" s="4"/>
      <c r="L830" s="4" t="s">
        <v>2142</v>
      </c>
      <c r="M830" s="4" t="s">
        <v>22</v>
      </c>
      <c r="N830" s="4" t="s">
        <v>23</v>
      </c>
      <c r="O830" s="4" t="s">
        <v>27</v>
      </c>
      <c r="P830" s="4" t="s">
        <v>144</v>
      </c>
      <c r="Q830" s="24">
        <v>101</v>
      </c>
      <c r="R830" s="25">
        <v>9</v>
      </c>
      <c r="S830" s="39">
        <v>1</v>
      </c>
      <c r="T830" s="7"/>
      <c r="U830" s="7" t="s">
        <v>2913</v>
      </c>
      <c r="V830" s="7" t="str">
        <f>+IF(U830="","",IF(U830="FINES",CONCATENATE("R",IF(OR(B830="16",B830="21",B830="22",B830="23"),"16212223",IF(OR(B830="15",B830="17",B830="24",B830="25"),"15172425",B830))),IF(U830="CEBAS","UNICO",IF(VALUE(B830)&lt;=11,"AMBA","INTERIOR"))))</f>
        <v>AMBA</v>
      </c>
      <c r="W830" s="38" t="str">
        <f>+IF(U830="","-",CONCATENATE(U830,"_",V830))</f>
        <v>CENS_AMBA</v>
      </c>
      <c r="X830" s="42">
        <v>0.17100000000000001</v>
      </c>
    </row>
    <row r="831" spans="1:24" ht="15" thickBot="1">
      <c r="A831" s="3" t="s">
        <v>2916</v>
      </c>
      <c r="B831" s="3" t="s">
        <v>1860</v>
      </c>
      <c r="C831" s="3" t="s">
        <v>875</v>
      </c>
      <c r="D831" s="3" t="s">
        <v>2816</v>
      </c>
      <c r="E831" s="3">
        <v>623193</v>
      </c>
      <c r="F831" s="3">
        <v>0</v>
      </c>
      <c r="G831" s="3" t="s">
        <v>2824</v>
      </c>
      <c r="H831" s="3" t="s">
        <v>20</v>
      </c>
      <c r="I831" s="4" t="s">
        <v>142</v>
      </c>
      <c r="J831" s="4" t="s">
        <v>21</v>
      </c>
      <c r="K831" s="4"/>
      <c r="L831" s="4" t="s">
        <v>2825</v>
      </c>
      <c r="M831" s="4" t="s">
        <v>22</v>
      </c>
      <c r="N831" s="4" t="s">
        <v>23</v>
      </c>
      <c r="O831" s="4" t="s">
        <v>27</v>
      </c>
      <c r="P831" s="4" t="s">
        <v>144</v>
      </c>
      <c r="Q831" s="24">
        <v>85</v>
      </c>
      <c r="R831" s="25">
        <v>6</v>
      </c>
      <c r="S831" s="39">
        <v>1</v>
      </c>
      <c r="T831" s="7"/>
      <c r="U831" s="7" t="s">
        <v>2913</v>
      </c>
      <c r="V831" s="7" t="str">
        <f>+IF(U831="","",IF(U831="FINES",CONCATENATE("R",IF(OR(B831="16",B831="21",B831="22",B831="23"),"16212223",IF(OR(B831="15",B831="17",B831="24",B831="25"),"15172425",B831))),IF(U831="CEBAS","UNICO",IF(VALUE(B831)&lt;=11,"AMBA","INTERIOR"))))</f>
        <v>AMBA</v>
      </c>
      <c r="W831" s="38" t="str">
        <f>+IF(U831="","-",CONCATENATE(U831,"_",V831))</f>
        <v>CENS_AMBA</v>
      </c>
      <c r="X831" s="42">
        <v>0.17299999999999999</v>
      </c>
    </row>
    <row r="832" spans="1:24" ht="15" thickBot="1">
      <c r="A832" s="3" t="s">
        <v>2916</v>
      </c>
      <c r="B832" s="3" t="s">
        <v>817</v>
      </c>
      <c r="C832" s="3" t="s">
        <v>600</v>
      </c>
      <c r="D832" s="3" t="s">
        <v>2661</v>
      </c>
      <c r="E832" s="3">
        <v>609840</v>
      </c>
      <c r="F832" s="3">
        <v>0</v>
      </c>
      <c r="G832" s="3" t="s">
        <v>2699</v>
      </c>
      <c r="H832" s="3" t="s">
        <v>20</v>
      </c>
      <c r="I832" s="4" t="s">
        <v>142</v>
      </c>
      <c r="J832" s="4" t="s">
        <v>21</v>
      </c>
      <c r="K832" s="4"/>
      <c r="L832" s="4" t="s">
        <v>400</v>
      </c>
      <c r="M832" s="4" t="s">
        <v>22</v>
      </c>
      <c r="N832" s="4" t="s">
        <v>23</v>
      </c>
      <c r="O832" s="4" t="s">
        <v>27</v>
      </c>
      <c r="P832" s="4" t="s">
        <v>144</v>
      </c>
      <c r="Q832" s="24">
        <v>184</v>
      </c>
      <c r="R832" s="25">
        <v>10</v>
      </c>
      <c r="S832" s="39">
        <v>1</v>
      </c>
      <c r="T832" s="7"/>
      <c r="U832" s="7" t="s">
        <v>2913</v>
      </c>
      <c r="V832" s="7" t="str">
        <f>+IF(U832="","",IF(U832="FINES",CONCATENATE("R",IF(OR(B832="16",B832="21",B832="22",B832="23"),"16212223",IF(OR(B832="15",B832="17",B832="24",B832="25"),"15172425",B832))),IF(U832="CEBAS","UNICO",IF(VALUE(B832)&lt;=11,"AMBA","INTERIOR"))))</f>
        <v>AMBA</v>
      </c>
      <c r="W832" s="38" t="str">
        <f>+IF(U832="","-",CONCATENATE(U832,"_",V832))</f>
        <v>CENS_AMBA</v>
      </c>
      <c r="X832" s="42">
        <v>0.17499999999999999</v>
      </c>
    </row>
    <row r="833" spans="1:24" ht="15" thickBot="1">
      <c r="A833" s="3" t="s">
        <v>2916</v>
      </c>
      <c r="B833" s="3" t="s">
        <v>204</v>
      </c>
      <c r="C833" s="3" t="s">
        <v>137</v>
      </c>
      <c r="D833" s="3" t="s">
        <v>2629</v>
      </c>
      <c r="E833" s="3">
        <v>623695</v>
      </c>
      <c r="F833" s="3">
        <v>0</v>
      </c>
      <c r="G833" s="3" t="s">
        <v>2650</v>
      </c>
      <c r="H833" s="3" t="s">
        <v>20</v>
      </c>
      <c r="I833" s="4" t="s">
        <v>142</v>
      </c>
      <c r="J833" s="4" t="s">
        <v>21</v>
      </c>
      <c r="K833" s="4"/>
      <c r="L833" s="4" t="s">
        <v>2651</v>
      </c>
      <c r="M833" s="4" t="s">
        <v>22</v>
      </c>
      <c r="N833" s="4" t="s">
        <v>23</v>
      </c>
      <c r="O833" s="4" t="s">
        <v>27</v>
      </c>
      <c r="P833" s="4" t="s">
        <v>144</v>
      </c>
      <c r="Q833" s="24">
        <v>102</v>
      </c>
      <c r="R833" s="25">
        <v>5</v>
      </c>
      <c r="S833" s="39">
        <v>1</v>
      </c>
      <c r="T833" s="7"/>
      <c r="U833" s="7" t="s">
        <v>2913</v>
      </c>
      <c r="V833" s="7" t="str">
        <f>+IF(U833="","",IF(U833="FINES",CONCATENATE("R",IF(OR(B833="16",B833="21",B833="22",B833="23"),"16212223",IF(OR(B833="15",B833="17",B833="24",B833="25"),"15172425",B833))),IF(U833="CEBAS","UNICO",IF(VALUE(B833)&lt;=11,"AMBA","INTERIOR"))))</f>
        <v>AMBA</v>
      </c>
      <c r="W833" s="38" t="str">
        <f>+IF(U833="","-",CONCATENATE(U833,"_",V833))</f>
        <v>CENS_AMBA</v>
      </c>
      <c r="X833" s="42">
        <v>0.17599999999999999</v>
      </c>
    </row>
    <row r="834" spans="1:24" ht="15" thickBot="1">
      <c r="A834" s="5" t="s">
        <v>2916</v>
      </c>
      <c r="B834" s="5" t="s">
        <v>1780</v>
      </c>
      <c r="C834" s="5" t="s">
        <v>1778</v>
      </c>
      <c r="D834" s="5" t="s">
        <v>1779</v>
      </c>
      <c r="E834" s="5">
        <v>607584</v>
      </c>
      <c r="F834" s="5">
        <v>0</v>
      </c>
      <c r="G834" s="5" t="s">
        <v>1842</v>
      </c>
      <c r="H834" s="5" t="s">
        <v>20</v>
      </c>
      <c r="I834" s="6" t="s">
        <v>142</v>
      </c>
      <c r="J834" s="6" t="s">
        <v>21</v>
      </c>
      <c r="K834" s="6"/>
      <c r="L834" s="6" t="s">
        <v>168</v>
      </c>
      <c r="M834" s="6" t="s">
        <v>22</v>
      </c>
      <c r="N834" s="6" t="s">
        <v>23</v>
      </c>
      <c r="O834" s="6" t="s">
        <v>27</v>
      </c>
      <c r="P834" s="6" t="s">
        <v>144</v>
      </c>
      <c r="Q834" s="22">
        <v>278</v>
      </c>
      <c r="R834" s="23">
        <v>17</v>
      </c>
      <c r="S834" s="39">
        <v>1</v>
      </c>
      <c r="T834" s="7"/>
      <c r="U834" s="7" t="s">
        <v>2913</v>
      </c>
      <c r="V834" s="7" t="str">
        <f>+IF(U834="","",IF(U834="FINES",CONCATENATE("R",IF(OR(B834="16",B834="21",B834="22",B834="23"),"16212223",IF(OR(B834="15",B834="17",B834="24",B834="25"),"15172425",B834))),IF(U834="CEBAS","UNICO",IF(VALUE(B834)&lt;=11,"AMBA","INTERIOR"))))</f>
        <v>AMBA</v>
      </c>
      <c r="W834" s="38" t="str">
        <f>+IF(U834="","-",CONCATENATE(U834,"_",V834))</f>
        <v>CENS_AMBA</v>
      </c>
      <c r="X834" s="42">
        <v>0.17899999999999999</v>
      </c>
    </row>
    <row r="835" spans="1:24" ht="15" thickBot="1">
      <c r="A835" s="5" t="s">
        <v>2916</v>
      </c>
      <c r="B835" s="5" t="s">
        <v>1780</v>
      </c>
      <c r="C835" s="5" t="s">
        <v>1778</v>
      </c>
      <c r="D835" s="5" t="s">
        <v>1779</v>
      </c>
      <c r="E835" s="5">
        <v>624722</v>
      </c>
      <c r="F835" s="5">
        <v>0</v>
      </c>
      <c r="G835" s="5" t="s">
        <v>1846</v>
      </c>
      <c r="H835" s="5" t="s">
        <v>20</v>
      </c>
      <c r="I835" s="6" t="s">
        <v>142</v>
      </c>
      <c r="J835" s="6" t="s">
        <v>21</v>
      </c>
      <c r="K835" s="6"/>
      <c r="L835" s="6" t="s">
        <v>1847</v>
      </c>
      <c r="M835" s="6" t="s">
        <v>22</v>
      </c>
      <c r="N835" s="6" t="s">
        <v>23</v>
      </c>
      <c r="O835" s="6" t="s">
        <v>27</v>
      </c>
      <c r="P835" s="6" t="s">
        <v>144</v>
      </c>
      <c r="Q835" s="22">
        <v>120</v>
      </c>
      <c r="R835" s="23">
        <v>6</v>
      </c>
      <c r="S835" s="39">
        <v>1</v>
      </c>
      <c r="T835" s="7"/>
      <c r="U835" s="7" t="s">
        <v>2913</v>
      </c>
      <c r="V835" s="7" t="str">
        <f>+IF(U835="","",IF(U835="FINES",CONCATENATE("R",IF(OR(B835="16",B835="21",B835="22",B835="23"),"16212223",IF(OR(B835="15",B835="17",B835="24",B835="25"),"15172425",B835))),IF(U835="CEBAS","UNICO",IF(VALUE(B835)&lt;=11,"AMBA","INTERIOR"))))</f>
        <v>AMBA</v>
      </c>
      <c r="W835" s="38" t="str">
        <f>+IF(U835="","-",CONCATENATE(U835,"_",V835))</f>
        <v>CENS_AMBA</v>
      </c>
      <c r="X835" s="42">
        <v>0.17899999999999999</v>
      </c>
    </row>
    <row r="836" spans="1:24" ht="15" thickBot="1">
      <c r="A836" s="5" t="s">
        <v>2916</v>
      </c>
      <c r="B836" s="5" t="s">
        <v>1780</v>
      </c>
      <c r="C836" s="5" t="s">
        <v>1248</v>
      </c>
      <c r="D836" s="5" t="s">
        <v>2348</v>
      </c>
      <c r="E836" s="5">
        <v>623719</v>
      </c>
      <c r="F836" s="5">
        <v>0</v>
      </c>
      <c r="G836" s="5" t="s">
        <v>2378</v>
      </c>
      <c r="H836" s="5" t="s">
        <v>20</v>
      </c>
      <c r="I836" s="6" t="s">
        <v>142</v>
      </c>
      <c r="J836" s="6" t="s">
        <v>21</v>
      </c>
      <c r="K836" s="6"/>
      <c r="L836" s="6" t="s">
        <v>154</v>
      </c>
      <c r="M836" s="6" t="s">
        <v>22</v>
      </c>
      <c r="N836" s="6" t="s">
        <v>23</v>
      </c>
      <c r="O836" s="6" t="s">
        <v>27</v>
      </c>
      <c r="P836" s="6" t="s">
        <v>144</v>
      </c>
      <c r="Q836" s="22">
        <v>123</v>
      </c>
      <c r="R836" s="23">
        <v>11</v>
      </c>
      <c r="S836" s="39">
        <v>1</v>
      </c>
      <c r="T836" s="7"/>
      <c r="U836" s="7" t="s">
        <v>2913</v>
      </c>
      <c r="V836" s="7" t="str">
        <f>+IF(U836="","",IF(U836="FINES",CONCATENATE("R",IF(OR(B836="16",B836="21",B836="22",B836="23"),"16212223",IF(OR(B836="15",B836="17",B836="24",B836="25"),"15172425",B836))),IF(U836="CEBAS","UNICO",IF(VALUE(B836)&lt;=11,"AMBA","INTERIOR"))))</f>
        <v>AMBA</v>
      </c>
      <c r="W836" s="38" t="str">
        <f>+IF(U836="","-",CONCATENATE(U836,"_",V836))</f>
        <v>CENS_AMBA</v>
      </c>
      <c r="X836" s="42">
        <v>0.184</v>
      </c>
    </row>
    <row r="837" spans="1:24" ht="15" thickBot="1">
      <c r="A837" s="5" t="s">
        <v>2916</v>
      </c>
      <c r="B837" s="5" t="s">
        <v>1860</v>
      </c>
      <c r="C837" s="5" t="s">
        <v>411</v>
      </c>
      <c r="D837" s="5" t="s">
        <v>2791</v>
      </c>
      <c r="E837" s="5">
        <v>623749</v>
      </c>
      <c r="F837" s="5">
        <v>0</v>
      </c>
      <c r="G837" s="5" t="s">
        <v>2813</v>
      </c>
      <c r="H837" s="5" t="s">
        <v>20</v>
      </c>
      <c r="I837" s="6" t="s">
        <v>142</v>
      </c>
      <c r="J837" s="6" t="s">
        <v>21</v>
      </c>
      <c r="K837" s="6"/>
      <c r="L837" s="6" t="s">
        <v>2814</v>
      </c>
      <c r="M837" s="6" t="s">
        <v>22</v>
      </c>
      <c r="N837" s="6" t="s">
        <v>23</v>
      </c>
      <c r="O837" s="6" t="s">
        <v>27</v>
      </c>
      <c r="P837" s="6" t="s">
        <v>144</v>
      </c>
      <c r="Q837" s="22">
        <v>157</v>
      </c>
      <c r="R837" s="23">
        <v>6</v>
      </c>
      <c r="S837" s="39">
        <v>1</v>
      </c>
      <c r="T837" s="7"/>
      <c r="U837" s="7" t="s">
        <v>2913</v>
      </c>
      <c r="V837" s="7" t="str">
        <f>+IF(U837="","",IF(U837="FINES",CONCATENATE("R",IF(OR(B837="16",B837="21",B837="22",B837="23"),"16212223",IF(OR(B837="15",B837="17",B837="24",B837="25"),"15172425",B837))),IF(U837="CEBAS","UNICO",IF(VALUE(B837)&lt;=11,"AMBA","INTERIOR"))))</f>
        <v>AMBA</v>
      </c>
      <c r="W837" s="38" t="str">
        <f>+IF(U837="","-",CONCATENATE(U837,"_",V837))</f>
        <v>CENS_AMBA</v>
      </c>
      <c r="X837" s="42">
        <v>0.186</v>
      </c>
    </row>
    <row r="838" spans="1:24" ht="15" thickBot="1">
      <c r="A838" s="3" t="s">
        <v>2916</v>
      </c>
      <c r="B838" s="3" t="s">
        <v>257</v>
      </c>
      <c r="C838" s="3" t="s">
        <v>253</v>
      </c>
      <c r="D838" s="3" t="s">
        <v>2759</v>
      </c>
      <c r="E838" s="3">
        <v>623361</v>
      </c>
      <c r="F838" s="3">
        <v>0</v>
      </c>
      <c r="G838" s="3" t="s">
        <v>2767</v>
      </c>
      <c r="H838" s="3" t="s">
        <v>20</v>
      </c>
      <c r="I838" s="4" t="s">
        <v>142</v>
      </c>
      <c r="J838" s="4" t="s">
        <v>21</v>
      </c>
      <c r="K838" s="4"/>
      <c r="L838" s="4" t="s">
        <v>770</v>
      </c>
      <c r="M838" s="4" t="s">
        <v>22</v>
      </c>
      <c r="N838" s="4" t="s">
        <v>23</v>
      </c>
      <c r="O838" s="4" t="s">
        <v>27</v>
      </c>
      <c r="P838" s="4" t="s">
        <v>144</v>
      </c>
      <c r="Q838" s="24">
        <v>250</v>
      </c>
      <c r="R838" s="25">
        <v>9</v>
      </c>
      <c r="S838" s="39">
        <v>1</v>
      </c>
      <c r="T838" s="7"/>
      <c r="U838" s="7" t="s">
        <v>2913</v>
      </c>
      <c r="V838" s="7" t="str">
        <f>+IF(U838="","",IF(U838="FINES",CONCATENATE("R",IF(OR(B838="16",B838="21",B838="22",B838="23"),"16212223",IF(OR(B838="15",B838="17",B838="24",B838="25"),"15172425",B838))),IF(U838="CEBAS","UNICO",IF(VALUE(B838)&lt;=11,"AMBA","INTERIOR"))))</f>
        <v>AMBA</v>
      </c>
      <c r="W838" s="38" t="str">
        <f>+IF(U838="","-",CONCATENATE(U838,"_",V838))</f>
        <v>CENS_AMBA</v>
      </c>
      <c r="X838" s="42">
        <v>0.189</v>
      </c>
    </row>
    <row r="839" spans="1:24" ht="15" thickBot="1">
      <c r="A839" s="3" t="s">
        <v>2916</v>
      </c>
      <c r="B839" s="3" t="s">
        <v>356</v>
      </c>
      <c r="C839" s="3" t="s">
        <v>353</v>
      </c>
      <c r="D839" s="3" t="s">
        <v>355</v>
      </c>
      <c r="E839" s="3">
        <v>601652</v>
      </c>
      <c r="F839" s="3">
        <v>0</v>
      </c>
      <c r="G839" s="3" t="s">
        <v>399</v>
      </c>
      <c r="H839" s="3" t="s">
        <v>20</v>
      </c>
      <c r="I839" s="4" t="s">
        <v>142</v>
      </c>
      <c r="J839" s="4" t="s">
        <v>21</v>
      </c>
      <c r="K839" s="4"/>
      <c r="L839" s="4" t="s">
        <v>400</v>
      </c>
      <c r="M839" s="4" t="s">
        <v>22</v>
      </c>
      <c r="N839" s="4" t="s">
        <v>23</v>
      </c>
      <c r="O839" s="4" t="s">
        <v>27</v>
      </c>
      <c r="P839" s="4" t="s">
        <v>144</v>
      </c>
      <c r="Q839" s="24">
        <v>108</v>
      </c>
      <c r="R839" s="25">
        <v>7</v>
      </c>
      <c r="S839" s="39">
        <v>1</v>
      </c>
      <c r="T839" s="7"/>
      <c r="U839" s="7" t="s">
        <v>2913</v>
      </c>
      <c r="V839" s="7" t="str">
        <f>+IF(U839="","",IF(U839="FINES",CONCATENATE("R",IF(OR(B839="16",B839="21",B839="22",B839="23"),"16212223",IF(OR(B839="15",B839="17",B839="24",B839="25"),"15172425",B839))),IF(U839="CEBAS","UNICO",IF(VALUE(B839)&lt;=11,"AMBA","INTERIOR"))))</f>
        <v>AMBA</v>
      </c>
      <c r="W839" s="38" t="str">
        <f>+IF(U839="","-",CONCATENATE(U839,"_",V839))</f>
        <v>CENS_AMBA</v>
      </c>
      <c r="X839" s="42">
        <v>0.19</v>
      </c>
    </row>
    <row r="840" spans="1:24" ht="15" thickBot="1">
      <c r="A840" s="3" t="s">
        <v>2916</v>
      </c>
      <c r="B840" s="3" t="s">
        <v>1860</v>
      </c>
      <c r="C840" s="3" t="s">
        <v>224</v>
      </c>
      <c r="D840" s="3" t="s">
        <v>2837</v>
      </c>
      <c r="E840" s="3">
        <v>623736</v>
      </c>
      <c r="F840" s="3">
        <v>0</v>
      </c>
      <c r="G840" s="3" t="s">
        <v>2861</v>
      </c>
      <c r="H840" s="3" t="s">
        <v>20</v>
      </c>
      <c r="I840" s="4" t="s">
        <v>142</v>
      </c>
      <c r="J840" s="4" t="s">
        <v>21</v>
      </c>
      <c r="K840" s="4"/>
      <c r="L840" s="4" t="s">
        <v>341</v>
      </c>
      <c r="M840" s="4" t="s">
        <v>22</v>
      </c>
      <c r="N840" s="4" t="s">
        <v>23</v>
      </c>
      <c r="O840" s="4" t="s">
        <v>27</v>
      </c>
      <c r="P840" s="4" t="s">
        <v>144</v>
      </c>
      <c r="Q840" s="24">
        <v>132</v>
      </c>
      <c r="R840" s="25">
        <v>7</v>
      </c>
      <c r="S840" s="39">
        <v>1</v>
      </c>
      <c r="T840" s="7"/>
      <c r="U840" s="7" t="s">
        <v>2913</v>
      </c>
      <c r="V840" s="7" t="str">
        <f>+IF(U840="","",IF(U840="FINES",CONCATENATE("R",IF(OR(B840="16",B840="21",B840="22",B840="23"),"16212223",IF(OR(B840="15",B840="17",B840="24",B840="25"),"15172425",B840))),IF(U840="CEBAS","UNICO",IF(VALUE(B840)&lt;=11,"AMBA","INTERIOR"))))</f>
        <v>AMBA</v>
      </c>
      <c r="W840" s="38" t="str">
        <f>+IF(U840="","-",CONCATENATE(U840,"_",V840))</f>
        <v>CENS_AMBA</v>
      </c>
      <c r="X840" s="42">
        <v>0.193</v>
      </c>
    </row>
    <row r="841" spans="1:24" ht="15" thickBot="1">
      <c r="A841" s="3" t="s">
        <v>2916</v>
      </c>
      <c r="B841" s="3" t="s">
        <v>817</v>
      </c>
      <c r="C841" s="3" t="s">
        <v>600</v>
      </c>
      <c r="D841" s="3" t="s">
        <v>2661</v>
      </c>
      <c r="E841" s="3">
        <v>623642</v>
      </c>
      <c r="F841" s="3">
        <v>0</v>
      </c>
      <c r="G841" s="3" t="s">
        <v>2702</v>
      </c>
      <c r="H841" s="3" t="s">
        <v>20</v>
      </c>
      <c r="I841" s="4" t="s">
        <v>142</v>
      </c>
      <c r="J841" s="4" t="s">
        <v>21</v>
      </c>
      <c r="K841" s="4"/>
      <c r="L841" s="4" t="s">
        <v>636</v>
      </c>
      <c r="M841" s="4" t="s">
        <v>22</v>
      </c>
      <c r="N841" s="4" t="s">
        <v>23</v>
      </c>
      <c r="O841" s="4" t="s">
        <v>27</v>
      </c>
      <c r="P841" s="4" t="s">
        <v>144</v>
      </c>
      <c r="Q841" s="24">
        <v>508</v>
      </c>
      <c r="R841" s="25">
        <v>18</v>
      </c>
      <c r="S841" s="39">
        <v>1</v>
      </c>
      <c r="T841" s="7"/>
      <c r="U841" s="7" t="s">
        <v>2913</v>
      </c>
      <c r="V841" s="7" t="str">
        <f>+IF(U841="","",IF(U841="FINES",CONCATENATE("R",IF(OR(B841="16",B841="21",B841="22",B841="23"),"16212223",IF(OR(B841="15",B841="17",B841="24",B841="25"),"15172425",B841))),IF(U841="CEBAS","UNICO",IF(VALUE(B841)&lt;=11,"AMBA","INTERIOR"))))</f>
        <v>AMBA</v>
      </c>
      <c r="W841" s="38" t="str">
        <f>+IF(U841="","-",CONCATENATE(U841,"_",V841))</f>
        <v>CENS_AMBA</v>
      </c>
      <c r="X841" s="42">
        <v>0.19600000000000001</v>
      </c>
    </row>
    <row r="842" spans="1:24" ht="15" thickBot="1">
      <c r="A842" s="3" t="s">
        <v>2916</v>
      </c>
      <c r="B842" s="3" t="s">
        <v>138</v>
      </c>
      <c r="C842" s="3" t="s">
        <v>2199</v>
      </c>
      <c r="D842" s="3" t="s">
        <v>2200</v>
      </c>
      <c r="E842" s="3">
        <v>623755</v>
      </c>
      <c r="F842" s="3">
        <v>0</v>
      </c>
      <c r="G842" s="3" t="s">
        <v>2204</v>
      </c>
      <c r="H842" s="3" t="s">
        <v>20</v>
      </c>
      <c r="I842" s="4" t="s">
        <v>142</v>
      </c>
      <c r="J842" s="4" t="s">
        <v>21</v>
      </c>
      <c r="K842" s="4"/>
      <c r="L842" s="4" t="s">
        <v>251</v>
      </c>
      <c r="M842" s="4" t="s">
        <v>22</v>
      </c>
      <c r="N842" s="4" t="s">
        <v>23</v>
      </c>
      <c r="O842" s="4" t="s">
        <v>27</v>
      </c>
      <c r="P842" s="4" t="s">
        <v>144</v>
      </c>
      <c r="Q842" s="24">
        <v>89</v>
      </c>
      <c r="R842" s="25">
        <v>4</v>
      </c>
      <c r="S842" s="39">
        <v>1</v>
      </c>
      <c r="T842" s="7"/>
      <c r="U842" s="7" t="s">
        <v>2913</v>
      </c>
      <c r="V842" s="7" t="str">
        <f>+IF(U842="","",IF(U842="FINES",CONCATENATE("R",IF(OR(B842="16",B842="21",B842="22",B842="23"),"16212223",IF(OR(B842="15",B842="17",B842="24",B842="25"),"15172425",B842))),IF(U842="CEBAS","UNICO",IF(VALUE(B842)&lt;=11,"AMBA","INTERIOR"))))</f>
        <v>AMBA</v>
      </c>
      <c r="W842" s="38" t="str">
        <f>+IF(U842="","-",CONCATENATE(U842,"_",V842))</f>
        <v>CENS_AMBA</v>
      </c>
      <c r="X842" s="42">
        <v>0.20100000000000001</v>
      </c>
    </row>
    <row r="843" spans="1:24" ht="15" thickBot="1">
      <c r="A843" s="5" t="s">
        <v>2916</v>
      </c>
      <c r="B843" s="5" t="s">
        <v>1780</v>
      </c>
      <c r="C843" s="5" t="s">
        <v>1248</v>
      </c>
      <c r="D843" s="5" t="s">
        <v>2348</v>
      </c>
      <c r="E843" s="5">
        <v>610731</v>
      </c>
      <c r="F843" s="5">
        <v>0</v>
      </c>
      <c r="G843" s="5" t="s">
        <v>2372</v>
      </c>
      <c r="H843" s="5" t="s">
        <v>20</v>
      </c>
      <c r="I843" s="6" t="s">
        <v>142</v>
      </c>
      <c r="J843" s="6" t="s">
        <v>21</v>
      </c>
      <c r="K843" s="6"/>
      <c r="L843" s="6" t="s">
        <v>146</v>
      </c>
      <c r="M843" s="6" t="s">
        <v>22</v>
      </c>
      <c r="N843" s="6" t="s">
        <v>23</v>
      </c>
      <c r="O843" s="6" t="s">
        <v>27</v>
      </c>
      <c r="P843" s="6" t="s">
        <v>144</v>
      </c>
      <c r="Q843" s="22">
        <v>124</v>
      </c>
      <c r="R843" s="23">
        <v>8</v>
      </c>
      <c r="S843" s="39">
        <v>1</v>
      </c>
      <c r="T843" s="7"/>
      <c r="U843" s="7" t="s">
        <v>2913</v>
      </c>
      <c r="V843" s="7" t="str">
        <f>+IF(U843="","",IF(U843="FINES",CONCATENATE("R",IF(OR(B843="16",B843="21",B843="22",B843="23"),"16212223",IF(OR(B843="15",B843="17",B843="24",B843="25"),"15172425",B843))),IF(U843="CEBAS","UNICO",IF(VALUE(B843)&lt;=11,"AMBA","INTERIOR"))))</f>
        <v>AMBA</v>
      </c>
      <c r="W843" s="38" t="str">
        <f>+IF(U843="","-",CONCATENATE(U843,"_",V843))</f>
        <v>CENS_AMBA</v>
      </c>
      <c r="X843" s="42">
        <v>0.20300000000000001</v>
      </c>
    </row>
    <row r="844" spans="1:24" ht="15" thickBot="1">
      <c r="A844" s="3" t="s">
        <v>2916</v>
      </c>
      <c r="B844" s="3" t="s">
        <v>1860</v>
      </c>
      <c r="C844" s="3" t="s">
        <v>1858</v>
      </c>
      <c r="D844" s="3" t="s">
        <v>1859</v>
      </c>
      <c r="E844" s="3">
        <v>623746</v>
      </c>
      <c r="F844" s="3">
        <v>0</v>
      </c>
      <c r="G844" s="3" t="s">
        <v>1914</v>
      </c>
      <c r="H844" s="3" t="s">
        <v>20</v>
      </c>
      <c r="I844" s="4" t="s">
        <v>142</v>
      </c>
      <c r="J844" s="4" t="s">
        <v>21</v>
      </c>
      <c r="K844" s="4"/>
      <c r="L844" s="4" t="s">
        <v>164</v>
      </c>
      <c r="M844" s="4" t="s">
        <v>22</v>
      </c>
      <c r="N844" s="4" t="s">
        <v>23</v>
      </c>
      <c r="O844" s="4" t="s">
        <v>27</v>
      </c>
      <c r="P844" s="4" t="s">
        <v>144</v>
      </c>
      <c r="Q844" s="24">
        <v>92</v>
      </c>
      <c r="R844" s="25">
        <v>3</v>
      </c>
      <c r="S844" s="39">
        <v>1</v>
      </c>
      <c r="T844" s="7"/>
      <c r="U844" s="7" t="s">
        <v>2913</v>
      </c>
      <c r="V844" s="7" t="str">
        <f>+IF(U844="","",IF(U844="FINES",CONCATENATE("R",IF(OR(B844="16",B844="21",B844="22",B844="23"),"16212223",IF(OR(B844="15",B844="17",B844="24",B844="25"),"15172425",B844))),IF(U844="CEBAS","UNICO",IF(VALUE(B844)&lt;=11,"AMBA","INTERIOR"))))</f>
        <v>AMBA</v>
      </c>
      <c r="W844" s="38" t="str">
        <f>+IF(U844="","-",CONCATENATE(U844,"_",V844))</f>
        <v>CENS_AMBA</v>
      </c>
      <c r="X844" s="42">
        <v>0.221</v>
      </c>
    </row>
    <row r="845" spans="1:24" ht="15" thickBot="1">
      <c r="A845" s="5" t="s">
        <v>2916</v>
      </c>
      <c r="B845" s="5" t="s">
        <v>356</v>
      </c>
      <c r="C845" s="5" t="s">
        <v>1359</v>
      </c>
      <c r="D845" s="5" t="s">
        <v>1360</v>
      </c>
      <c r="E845" s="5">
        <v>622205</v>
      </c>
      <c r="F845" s="5">
        <v>0</v>
      </c>
      <c r="G845" s="5" t="s">
        <v>1433</v>
      </c>
      <c r="H845" s="5" t="s">
        <v>20</v>
      </c>
      <c r="I845" s="6" t="s">
        <v>142</v>
      </c>
      <c r="J845" s="6" t="s">
        <v>21</v>
      </c>
      <c r="K845" s="6"/>
      <c r="L845" s="6" t="s">
        <v>1434</v>
      </c>
      <c r="M845" s="6" t="s">
        <v>22</v>
      </c>
      <c r="N845" s="6" t="s">
        <v>23</v>
      </c>
      <c r="O845" s="6" t="s">
        <v>27</v>
      </c>
      <c r="P845" s="6" t="s">
        <v>144</v>
      </c>
      <c r="Q845" s="22">
        <v>111</v>
      </c>
      <c r="R845" s="23">
        <v>6</v>
      </c>
      <c r="S845" s="39">
        <v>1</v>
      </c>
      <c r="T845" s="7"/>
      <c r="U845" s="7" t="s">
        <v>2913</v>
      </c>
      <c r="V845" s="7" t="str">
        <f>+IF(U845="","",IF(U845="FINES",CONCATENATE("R",IF(OR(B845="16",B845="21",B845="22",B845="23"),"16212223",IF(OR(B845="15",B845="17",B845="24",B845="25"),"15172425",B845))),IF(U845="CEBAS","UNICO",IF(VALUE(B845)&lt;=11,"AMBA","INTERIOR"))))</f>
        <v>AMBA</v>
      </c>
      <c r="W845" s="38" t="str">
        <f>+IF(U845="","-",CONCATENATE(U845,"_",V845))</f>
        <v>CENS_AMBA</v>
      </c>
      <c r="X845" s="42">
        <v>0.223</v>
      </c>
    </row>
    <row r="846" spans="1:24" ht="15" thickBot="1">
      <c r="A846" s="3" t="s">
        <v>2916</v>
      </c>
      <c r="B846" s="3" t="s">
        <v>19</v>
      </c>
      <c r="C846" s="3" t="s">
        <v>1480</v>
      </c>
      <c r="D846" s="3" t="s">
        <v>1481</v>
      </c>
      <c r="E846" s="3">
        <v>624112</v>
      </c>
      <c r="F846" s="3">
        <v>0</v>
      </c>
      <c r="G846" s="3" t="s">
        <v>1492</v>
      </c>
      <c r="H846" s="3" t="s">
        <v>20</v>
      </c>
      <c r="I846" s="4" t="s">
        <v>142</v>
      </c>
      <c r="J846" s="4" t="s">
        <v>21</v>
      </c>
      <c r="K846" s="4"/>
      <c r="L846" s="4" t="s">
        <v>587</v>
      </c>
      <c r="M846" s="4" t="s">
        <v>199</v>
      </c>
      <c r="N846" s="4" t="s">
        <v>23</v>
      </c>
      <c r="O846" s="4" t="s">
        <v>27</v>
      </c>
      <c r="P846" s="4" t="s">
        <v>144</v>
      </c>
      <c r="Q846" s="24">
        <v>169</v>
      </c>
      <c r="R846" s="25">
        <v>10</v>
      </c>
      <c r="S846" s="39">
        <v>1</v>
      </c>
      <c r="T846" s="7"/>
      <c r="U846" s="7" t="s">
        <v>2913</v>
      </c>
      <c r="V846" s="7" t="str">
        <f>+IF(U846="","",IF(U846="FINES",CONCATENATE("R",IF(OR(B846="16",B846="21",B846="22",B846="23"),"16212223",IF(OR(B846="15",B846="17",B846="24",B846="25"),"15172425",B846))),IF(U846="CEBAS","UNICO",IF(VALUE(B846)&lt;=11,"AMBA","INTERIOR"))))</f>
        <v>AMBA</v>
      </c>
      <c r="W846" s="38" t="str">
        <f>+IF(U846="","-",CONCATENATE(U846,"_",V846))</f>
        <v>CENS_AMBA</v>
      </c>
      <c r="X846" s="42">
        <v>0.224</v>
      </c>
    </row>
    <row r="847" spans="1:24" ht="15" thickBot="1">
      <c r="A847" s="5" t="s">
        <v>2916</v>
      </c>
      <c r="B847" s="5" t="s">
        <v>1860</v>
      </c>
      <c r="C847" s="5" t="s">
        <v>411</v>
      </c>
      <c r="D847" s="5" t="s">
        <v>2791</v>
      </c>
      <c r="E847" s="5">
        <v>603226</v>
      </c>
      <c r="F847" s="5">
        <v>0</v>
      </c>
      <c r="G847" s="5" t="s">
        <v>2808</v>
      </c>
      <c r="H847" s="5" t="s">
        <v>20</v>
      </c>
      <c r="I847" s="6" t="s">
        <v>142</v>
      </c>
      <c r="J847" s="6" t="s">
        <v>21</v>
      </c>
      <c r="K847" s="6"/>
      <c r="L847" s="6" t="s">
        <v>2809</v>
      </c>
      <c r="M847" s="6" t="s">
        <v>22</v>
      </c>
      <c r="N847" s="6" t="s">
        <v>23</v>
      </c>
      <c r="O847" s="6" t="s">
        <v>27</v>
      </c>
      <c r="P847" s="6" t="s">
        <v>144</v>
      </c>
      <c r="Q847" s="22">
        <v>284</v>
      </c>
      <c r="R847" s="23">
        <v>16</v>
      </c>
      <c r="S847" s="39">
        <v>1</v>
      </c>
      <c r="T847" s="7"/>
      <c r="U847" s="7" t="s">
        <v>2913</v>
      </c>
      <c r="V847" s="7" t="str">
        <f>+IF(U847="","",IF(U847="FINES",CONCATENATE("R",IF(OR(B847="16",B847="21",B847="22",B847="23"),"16212223",IF(OR(B847="15",B847="17",B847="24",B847="25"),"15172425",B847))),IF(U847="CEBAS","UNICO",IF(VALUE(B847)&lt;=11,"AMBA","INTERIOR"))))</f>
        <v>AMBA</v>
      </c>
      <c r="W847" s="38" t="str">
        <f>+IF(U847="","-",CONCATENATE(U847,"_",V847))</f>
        <v>CENS_AMBA</v>
      </c>
      <c r="X847" s="42">
        <v>0.22600000000000001</v>
      </c>
    </row>
    <row r="848" spans="1:24" ht="15" thickBot="1">
      <c r="A848" s="5" t="s">
        <v>2916</v>
      </c>
      <c r="B848" s="5" t="s">
        <v>257</v>
      </c>
      <c r="C848" s="5" t="s">
        <v>772</v>
      </c>
      <c r="D848" s="5" t="s">
        <v>773</v>
      </c>
      <c r="E848" s="5">
        <v>623657</v>
      </c>
      <c r="F848" s="5">
        <v>0</v>
      </c>
      <c r="G848" s="5" t="s">
        <v>797</v>
      </c>
      <c r="H848" s="5" t="s">
        <v>20</v>
      </c>
      <c r="I848" s="6" t="s">
        <v>142</v>
      </c>
      <c r="J848" s="6" t="s">
        <v>21</v>
      </c>
      <c r="K848" s="6"/>
      <c r="L848" s="6" t="s">
        <v>251</v>
      </c>
      <c r="M848" s="6" t="s">
        <v>22</v>
      </c>
      <c r="N848" s="6" t="s">
        <v>23</v>
      </c>
      <c r="O848" s="6" t="s">
        <v>27</v>
      </c>
      <c r="P848" s="6" t="s">
        <v>144</v>
      </c>
      <c r="Q848" s="22">
        <v>129</v>
      </c>
      <c r="R848" s="23">
        <v>14</v>
      </c>
      <c r="S848" s="39">
        <v>1</v>
      </c>
      <c r="T848" s="7"/>
      <c r="U848" s="7" t="s">
        <v>2913</v>
      </c>
      <c r="V848" s="7" t="str">
        <f>+IF(U848="","",IF(U848="FINES",CONCATENATE("R",IF(OR(B848="16",B848="21",B848="22",B848="23"),"16212223",IF(OR(B848="15",B848="17",B848="24",B848="25"),"15172425",B848))),IF(U848="CEBAS","UNICO",IF(VALUE(B848)&lt;=11,"AMBA","INTERIOR"))))</f>
        <v>AMBA</v>
      </c>
      <c r="W848" s="38" t="str">
        <f>+IF(U848="","-",CONCATENATE(U848,"_",V848))</f>
        <v>CENS_AMBA</v>
      </c>
      <c r="X848" s="42">
        <v>0.23200000000000001</v>
      </c>
    </row>
    <row r="849" spans="1:24" ht="15" thickBot="1">
      <c r="A849" s="5" t="s">
        <v>2916</v>
      </c>
      <c r="B849" s="5" t="s">
        <v>1532</v>
      </c>
      <c r="C849" s="5" t="s">
        <v>1530</v>
      </c>
      <c r="D849" s="5" t="s">
        <v>1531</v>
      </c>
      <c r="E849" s="5">
        <v>623628</v>
      </c>
      <c r="F849" s="5">
        <v>0</v>
      </c>
      <c r="G849" s="5" t="s">
        <v>1714</v>
      </c>
      <c r="H849" s="5" t="s">
        <v>20</v>
      </c>
      <c r="I849" s="6" t="s">
        <v>142</v>
      </c>
      <c r="J849" s="6" t="s">
        <v>21</v>
      </c>
      <c r="K849" s="6"/>
      <c r="L849" s="6" t="s">
        <v>1715</v>
      </c>
      <c r="M849" s="6" t="s">
        <v>22</v>
      </c>
      <c r="N849" s="6" t="s">
        <v>23</v>
      </c>
      <c r="O849" s="6" t="s">
        <v>27</v>
      </c>
      <c r="P849" s="6" t="s">
        <v>144</v>
      </c>
      <c r="Q849" s="22">
        <v>68</v>
      </c>
      <c r="R849" s="23">
        <v>6</v>
      </c>
      <c r="S849" s="39">
        <v>1</v>
      </c>
      <c r="T849" s="7"/>
      <c r="U849" s="7" t="s">
        <v>2913</v>
      </c>
      <c r="V849" s="7" t="str">
        <f>+IF(U849="","",IF(U849="FINES",CONCATENATE("R",IF(OR(B849="16",B849="21",B849="22",B849="23"),"16212223",IF(OR(B849="15",B849="17",B849="24",B849="25"),"15172425",B849))),IF(U849="CEBAS","UNICO",IF(VALUE(B849)&lt;=11,"AMBA","INTERIOR"))))</f>
        <v>AMBA</v>
      </c>
      <c r="W849" s="38" t="str">
        <f>+IF(U849="","-",CONCATENATE(U849,"_",V849))</f>
        <v>CENS_AMBA</v>
      </c>
      <c r="X849" s="42">
        <v>0.23499999999999999</v>
      </c>
    </row>
    <row r="850" spans="1:24" ht="15" thickBot="1">
      <c r="A850" s="3" t="s">
        <v>2916</v>
      </c>
      <c r="B850" s="3" t="s">
        <v>204</v>
      </c>
      <c r="C850" s="3" t="s">
        <v>1084</v>
      </c>
      <c r="D850" s="3" t="s">
        <v>1085</v>
      </c>
      <c r="E850" s="3">
        <v>604217</v>
      </c>
      <c r="F850" s="3">
        <v>0</v>
      </c>
      <c r="G850" s="3" t="s">
        <v>1121</v>
      </c>
      <c r="H850" s="3" t="s">
        <v>20</v>
      </c>
      <c r="I850" s="4" t="s">
        <v>142</v>
      </c>
      <c r="J850" s="4" t="s">
        <v>21</v>
      </c>
      <c r="K850" s="4"/>
      <c r="L850" s="4" t="s">
        <v>143</v>
      </c>
      <c r="M850" s="4" t="s">
        <v>22</v>
      </c>
      <c r="N850" s="4" t="s">
        <v>134</v>
      </c>
      <c r="O850" s="4" t="s">
        <v>27</v>
      </c>
      <c r="P850" s="4" t="s">
        <v>144</v>
      </c>
      <c r="Q850" s="24">
        <v>238</v>
      </c>
      <c r="R850" s="25">
        <v>13</v>
      </c>
      <c r="S850" s="39">
        <v>1</v>
      </c>
      <c r="T850" s="7"/>
      <c r="U850" s="7" t="s">
        <v>2913</v>
      </c>
      <c r="V850" s="7" t="str">
        <f>+IF(U850="","",IF(U850="FINES",CONCATENATE("R",IF(OR(B850="16",B850="21",B850="22",B850="23"),"16212223",IF(OR(B850="15",B850="17",B850="24",B850="25"),"15172425",B850))),IF(U850="CEBAS","UNICO",IF(VALUE(B850)&lt;=11,"AMBA","INTERIOR"))))</f>
        <v>AMBA</v>
      </c>
      <c r="W850" s="38" t="str">
        <f>+IF(U850="","-",CONCATENATE(U850,"_",V850))</f>
        <v>CENS_AMBA</v>
      </c>
      <c r="X850" s="42">
        <v>0.23599999999999999</v>
      </c>
    </row>
    <row r="851" spans="1:24" ht="15" thickBot="1">
      <c r="A851" s="5" t="s">
        <v>2916</v>
      </c>
      <c r="B851" s="5" t="s">
        <v>222</v>
      </c>
      <c r="C851" s="5" t="s">
        <v>1154</v>
      </c>
      <c r="D851" s="5" t="s">
        <v>1155</v>
      </c>
      <c r="E851" s="5">
        <v>623767</v>
      </c>
      <c r="F851" s="5">
        <v>0</v>
      </c>
      <c r="G851" s="5" t="s">
        <v>1174</v>
      </c>
      <c r="H851" s="5" t="s">
        <v>20</v>
      </c>
      <c r="I851" s="6" t="s">
        <v>142</v>
      </c>
      <c r="J851" s="6" t="s">
        <v>21</v>
      </c>
      <c r="K851" s="6"/>
      <c r="L851" s="6" t="s">
        <v>1175</v>
      </c>
      <c r="M851" s="6" t="s">
        <v>22</v>
      </c>
      <c r="N851" s="6" t="s">
        <v>23</v>
      </c>
      <c r="O851" s="6" t="s">
        <v>27</v>
      </c>
      <c r="P851" s="6" t="s">
        <v>144</v>
      </c>
      <c r="Q851" s="22">
        <v>118</v>
      </c>
      <c r="R851" s="23">
        <v>6</v>
      </c>
      <c r="S851" s="39">
        <v>1</v>
      </c>
      <c r="T851" s="7"/>
      <c r="U851" s="7" t="s">
        <v>2913</v>
      </c>
      <c r="V851" s="7" t="str">
        <f>+IF(U851="","",IF(U851="FINES",CONCATENATE("R",IF(OR(B851="16",B851="21",B851="22",B851="23"),"16212223",IF(OR(B851="15",B851="17",B851="24",B851="25"),"15172425",B851))),IF(U851="CEBAS","UNICO",IF(VALUE(B851)&lt;=11,"AMBA","INTERIOR"))))</f>
        <v>AMBA</v>
      </c>
      <c r="W851" s="38" t="str">
        <f>+IF(U851="","-",CONCATENATE(U851,"_",V851))</f>
        <v>CENS_AMBA</v>
      </c>
      <c r="X851" s="42">
        <v>0.23699999999999999</v>
      </c>
    </row>
    <row r="852" spans="1:24" ht="15" thickBot="1">
      <c r="A852" s="5" t="s">
        <v>2916</v>
      </c>
      <c r="B852" s="5" t="s">
        <v>1780</v>
      </c>
      <c r="C852" s="5" t="s">
        <v>1778</v>
      </c>
      <c r="D852" s="5" t="s">
        <v>1779</v>
      </c>
      <c r="E852" s="5">
        <v>623710</v>
      </c>
      <c r="F852" s="5">
        <v>0</v>
      </c>
      <c r="G852" s="5" t="s">
        <v>1836</v>
      </c>
      <c r="H852" s="5" t="s">
        <v>20</v>
      </c>
      <c r="I852" s="6" t="s">
        <v>142</v>
      </c>
      <c r="J852" s="6" t="s">
        <v>21</v>
      </c>
      <c r="K852" s="6"/>
      <c r="L852" s="6" t="s">
        <v>156</v>
      </c>
      <c r="M852" s="6" t="s">
        <v>22</v>
      </c>
      <c r="N852" s="6" t="s">
        <v>23</v>
      </c>
      <c r="O852" s="6" t="s">
        <v>27</v>
      </c>
      <c r="P852" s="6" t="s">
        <v>144</v>
      </c>
      <c r="Q852" s="22">
        <v>102</v>
      </c>
      <c r="R852" s="23">
        <v>6</v>
      </c>
      <c r="S852" s="39">
        <v>1</v>
      </c>
      <c r="T852" s="7"/>
      <c r="U852" s="7" t="s">
        <v>2913</v>
      </c>
      <c r="V852" s="7" t="str">
        <f>+IF(U852="","",IF(U852="FINES",CONCATENATE("R",IF(OR(B852="16",B852="21",B852="22",B852="23"),"16212223",IF(OR(B852="15",B852="17",B852="24",B852="25"),"15172425",B852))),IF(U852="CEBAS","UNICO",IF(VALUE(B852)&lt;=11,"AMBA","INTERIOR"))))</f>
        <v>AMBA</v>
      </c>
      <c r="W852" s="38" t="str">
        <f>+IF(U852="","-",CONCATENATE(U852,"_",V852))</f>
        <v>CENS_AMBA</v>
      </c>
      <c r="X852" s="42">
        <v>0.23899999999999999</v>
      </c>
    </row>
    <row r="853" spans="1:24" ht="15" thickBot="1">
      <c r="A853" s="5" t="s">
        <v>2916</v>
      </c>
      <c r="B853" s="5" t="s">
        <v>19</v>
      </c>
      <c r="C853" s="5" t="s">
        <v>17</v>
      </c>
      <c r="D853" s="5" t="s">
        <v>18</v>
      </c>
      <c r="E853" s="5">
        <v>623589</v>
      </c>
      <c r="F853" s="5">
        <v>0</v>
      </c>
      <c r="G853" s="5" t="s">
        <v>157</v>
      </c>
      <c r="H853" s="5" t="s">
        <v>20</v>
      </c>
      <c r="I853" s="6" t="s">
        <v>142</v>
      </c>
      <c r="J853" s="6" t="s">
        <v>21</v>
      </c>
      <c r="K853" s="6"/>
      <c r="L853" s="6" t="s">
        <v>158</v>
      </c>
      <c r="M853" s="6" t="s">
        <v>22</v>
      </c>
      <c r="N853" s="6" t="s">
        <v>23</v>
      </c>
      <c r="O853" s="6" t="s">
        <v>27</v>
      </c>
      <c r="P853" s="6" t="s">
        <v>144</v>
      </c>
      <c r="Q853" s="22">
        <v>95</v>
      </c>
      <c r="R853" s="23">
        <v>6</v>
      </c>
      <c r="S853" s="39">
        <v>1</v>
      </c>
      <c r="T853" s="7"/>
      <c r="U853" s="7" t="s">
        <v>2913</v>
      </c>
      <c r="V853" s="7" t="str">
        <f>+IF(U853="","",IF(U853="FINES",CONCATENATE("R",IF(OR(B853="16",B853="21",B853="22",B853="23"),"16212223",IF(OR(B853="15",B853="17",B853="24",B853="25"),"15172425",B853))),IF(U853="CEBAS","UNICO",IF(VALUE(B853)&lt;=11,"AMBA","INTERIOR"))))</f>
        <v>AMBA</v>
      </c>
      <c r="W853" s="38" t="str">
        <f>+IF(U853="","-",CONCATENATE(U853,"_",V853))</f>
        <v>CENS_AMBA</v>
      </c>
      <c r="X853" s="42">
        <v>0.245</v>
      </c>
    </row>
    <row r="854" spans="1:24" ht="15" thickBot="1">
      <c r="A854" s="3" t="s">
        <v>2916</v>
      </c>
      <c r="B854" s="3" t="s">
        <v>204</v>
      </c>
      <c r="C854" s="3" t="s">
        <v>1084</v>
      </c>
      <c r="D854" s="3" t="s">
        <v>1085</v>
      </c>
      <c r="E854" s="3">
        <v>623687</v>
      </c>
      <c r="F854" s="3">
        <v>0</v>
      </c>
      <c r="G854" s="3" t="s">
        <v>1144</v>
      </c>
      <c r="H854" s="3" t="s">
        <v>20</v>
      </c>
      <c r="I854" s="4" t="s">
        <v>142</v>
      </c>
      <c r="J854" s="4" t="s">
        <v>21</v>
      </c>
      <c r="K854" s="4"/>
      <c r="L854" s="4" t="s">
        <v>170</v>
      </c>
      <c r="M854" s="4" t="s">
        <v>22</v>
      </c>
      <c r="N854" s="4" t="s">
        <v>23</v>
      </c>
      <c r="O854" s="4" t="s">
        <v>27</v>
      </c>
      <c r="P854" s="4" t="s">
        <v>144</v>
      </c>
      <c r="Q854" s="24">
        <v>98</v>
      </c>
      <c r="R854" s="25">
        <v>4</v>
      </c>
      <c r="S854" s="39">
        <v>1</v>
      </c>
      <c r="T854" s="7"/>
      <c r="U854" s="7" t="s">
        <v>2913</v>
      </c>
      <c r="V854" s="7" t="str">
        <f>+IF(U854="","",IF(U854="FINES",CONCATENATE("R",IF(OR(B854="16",B854="21",B854="22",B854="23"),"16212223",IF(OR(B854="15",B854="17",B854="24",B854="25"),"15172425",B854))),IF(U854="CEBAS","UNICO",IF(VALUE(B854)&lt;=11,"AMBA","INTERIOR"))))</f>
        <v>AMBA</v>
      </c>
      <c r="W854" s="38" t="str">
        <f>+IF(U854="","-",CONCATENATE(U854,"_",V854))</f>
        <v>CENS_AMBA</v>
      </c>
      <c r="X854" s="42">
        <v>0.246</v>
      </c>
    </row>
    <row r="855" spans="1:24" ht="15" thickBot="1">
      <c r="A855" s="5" t="s">
        <v>2916</v>
      </c>
      <c r="B855" s="5" t="s">
        <v>1860</v>
      </c>
      <c r="C855" s="5" t="s">
        <v>224</v>
      </c>
      <c r="D855" s="5" t="s">
        <v>2837</v>
      </c>
      <c r="E855" s="5">
        <v>623733</v>
      </c>
      <c r="F855" s="5">
        <v>0</v>
      </c>
      <c r="G855" s="5" t="s">
        <v>2858</v>
      </c>
      <c r="H855" s="5" t="s">
        <v>20</v>
      </c>
      <c r="I855" s="6" t="s">
        <v>142</v>
      </c>
      <c r="J855" s="6" t="s">
        <v>21</v>
      </c>
      <c r="K855" s="6"/>
      <c r="L855" s="6" t="s">
        <v>337</v>
      </c>
      <c r="M855" s="6" t="s">
        <v>22</v>
      </c>
      <c r="N855" s="6" t="s">
        <v>23</v>
      </c>
      <c r="O855" s="6" t="s">
        <v>27</v>
      </c>
      <c r="P855" s="6" t="s">
        <v>144</v>
      </c>
      <c r="Q855" s="22">
        <v>177</v>
      </c>
      <c r="R855" s="23">
        <v>7</v>
      </c>
      <c r="S855" s="39">
        <v>1</v>
      </c>
      <c r="T855" s="7"/>
      <c r="U855" s="7" t="s">
        <v>2913</v>
      </c>
      <c r="V855" s="7" t="str">
        <f>+IF(U855="","",IF(U855="FINES",CONCATENATE("R",IF(OR(B855="16",B855="21",B855="22",B855="23"),"16212223",IF(OR(B855="15",B855="17",B855="24",B855="25"),"15172425",B855))),IF(U855="CEBAS","UNICO",IF(VALUE(B855)&lt;=11,"AMBA","INTERIOR"))))</f>
        <v>AMBA</v>
      </c>
      <c r="W855" s="38" t="str">
        <f>+IF(U855="","-",CONCATENATE(U855,"_",V855))</f>
        <v>CENS_AMBA</v>
      </c>
      <c r="X855" s="42">
        <v>0.247</v>
      </c>
    </row>
    <row r="856" spans="1:24" ht="15" thickBot="1">
      <c r="A856" s="3" t="s">
        <v>2916</v>
      </c>
      <c r="B856" s="3" t="s">
        <v>1860</v>
      </c>
      <c r="C856" s="3" t="s">
        <v>411</v>
      </c>
      <c r="D856" s="3" t="s">
        <v>2791</v>
      </c>
      <c r="E856" s="3">
        <v>600273</v>
      </c>
      <c r="F856" s="3">
        <v>0</v>
      </c>
      <c r="G856" s="3" t="s">
        <v>2807</v>
      </c>
      <c r="H856" s="3" t="s">
        <v>20</v>
      </c>
      <c r="I856" s="4" t="s">
        <v>142</v>
      </c>
      <c r="J856" s="4" t="s">
        <v>21</v>
      </c>
      <c r="K856" s="4"/>
      <c r="L856" s="4" t="s">
        <v>251</v>
      </c>
      <c r="M856" s="4" t="s">
        <v>22</v>
      </c>
      <c r="N856" s="4" t="s">
        <v>23</v>
      </c>
      <c r="O856" s="4" t="s">
        <v>27</v>
      </c>
      <c r="P856" s="4" t="s">
        <v>144</v>
      </c>
      <c r="Q856" s="24">
        <v>115</v>
      </c>
      <c r="R856" s="25">
        <v>6</v>
      </c>
      <c r="S856" s="39">
        <v>1</v>
      </c>
      <c r="T856" s="7"/>
      <c r="U856" s="7" t="s">
        <v>2913</v>
      </c>
      <c r="V856" s="7" t="str">
        <f>+IF(U856="","",IF(U856="FINES",CONCATENATE("R",IF(OR(B856="16",B856="21",B856="22",B856="23"),"16212223",IF(OR(B856="15",B856="17",B856="24",B856="25"),"15172425",B856))),IF(U856="CEBAS","UNICO",IF(VALUE(B856)&lt;=11,"AMBA","INTERIOR"))))</f>
        <v>AMBA</v>
      </c>
      <c r="W856" s="38" t="str">
        <f>+IF(U856="","-",CONCATENATE(U856,"_",V856))</f>
        <v>CENS_AMBA</v>
      </c>
      <c r="X856" s="42">
        <v>0.248</v>
      </c>
    </row>
    <row r="857" spans="1:24" ht="15" thickBot="1">
      <c r="A857" s="3" t="s">
        <v>2916</v>
      </c>
      <c r="B857" s="3" t="s">
        <v>356</v>
      </c>
      <c r="C857" s="3" t="s">
        <v>1359</v>
      </c>
      <c r="D857" s="3" t="s">
        <v>1360</v>
      </c>
      <c r="E857" s="3">
        <v>610693</v>
      </c>
      <c r="F857" s="3">
        <v>0</v>
      </c>
      <c r="G857" s="3" t="s">
        <v>1430</v>
      </c>
      <c r="H857" s="3" t="s">
        <v>20</v>
      </c>
      <c r="I857" s="4" t="s">
        <v>142</v>
      </c>
      <c r="J857" s="4" t="s">
        <v>21</v>
      </c>
      <c r="K857" s="4"/>
      <c r="L857" s="4" t="s">
        <v>1431</v>
      </c>
      <c r="M857" s="4" t="s">
        <v>22</v>
      </c>
      <c r="N857" s="4" t="s">
        <v>23</v>
      </c>
      <c r="O857" s="4" t="s">
        <v>27</v>
      </c>
      <c r="P857" s="4" t="s">
        <v>144</v>
      </c>
      <c r="Q857" s="24">
        <v>313</v>
      </c>
      <c r="R857" s="25">
        <v>15</v>
      </c>
      <c r="S857" s="39">
        <v>1</v>
      </c>
      <c r="T857" s="7"/>
      <c r="U857" s="7" t="s">
        <v>2913</v>
      </c>
      <c r="V857" s="7" t="str">
        <f>+IF(U857="","",IF(U857="FINES",CONCATENATE("R",IF(OR(B857="16",B857="21",B857="22",B857="23"),"16212223",IF(OR(B857="15",B857="17",B857="24",B857="25"),"15172425",B857))),IF(U857="CEBAS","UNICO",IF(VALUE(B857)&lt;=11,"AMBA","INTERIOR"))))</f>
        <v>AMBA</v>
      </c>
      <c r="W857" s="38" t="str">
        <f>+IF(U857="","-",CONCATENATE(U857,"_",V857))</f>
        <v>CENS_AMBA</v>
      </c>
      <c r="X857" s="42">
        <v>0.249</v>
      </c>
    </row>
    <row r="858" spans="1:24" ht="15" thickBot="1">
      <c r="A858" s="3" t="s">
        <v>2916</v>
      </c>
      <c r="B858" s="3" t="s">
        <v>1780</v>
      </c>
      <c r="C858" s="3" t="s">
        <v>1778</v>
      </c>
      <c r="D858" s="3" t="s">
        <v>1779</v>
      </c>
      <c r="E858" s="3">
        <v>623713</v>
      </c>
      <c r="F858" s="3">
        <v>0</v>
      </c>
      <c r="G858" s="3" t="s">
        <v>1839</v>
      </c>
      <c r="H858" s="3" t="s">
        <v>20</v>
      </c>
      <c r="I858" s="4" t="s">
        <v>142</v>
      </c>
      <c r="J858" s="4" t="s">
        <v>21</v>
      </c>
      <c r="K858" s="4"/>
      <c r="L858" s="4" t="s">
        <v>510</v>
      </c>
      <c r="M858" s="4" t="s">
        <v>22</v>
      </c>
      <c r="N858" s="4" t="s">
        <v>23</v>
      </c>
      <c r="O858" s="4" t="s">
        <v>27</v>
      </c>
      <c r="P858" s="4" t="s">
        <v>144</v>
      </c>
      <c r="Q858" s="24">
        <v>156</v>
      </c>
      <c r="R858" s="25">
        <v>6</v>
      </c>
      <c r="S858" s="39">
        <v>1</v>
      </c>
      <c r="T858" s="7"/>
      <c r="U858" s="7" t="s">
        <v>2913</v>
      </c>
      <c r="V858" s="7" t="str">
        <f>+IF(U858="","",IF(U858="FINES",CONCATENATE("R",IF(OR(B858="16",B858="21",B858="22",B858="23"),"16212223",IF(OR(B858="15",B858="17",B858="24",B858="25"),"15172425",B858))),IF(U858="CEBAS","UNICO",IF(VALUE(B858)&lt;=11,"AMBA","INTERIOR"))))</f>
        <v>AMBA</v>
      </c>
      <c r="W858" s="38" t="str">
        <f>+IF(U858="","-",CONCATENATE(U858,"_",V858))</f>
        <v>CENS_AMBA</v>
      </c>
      <c r="X858" s="42">
        <v>0.25</v>
      </c>
    </row>
    <row r="859" spans="1:24" ht="15" thickBot="1">
      <c r="A859" s="3" t="s">
        <v>2916</v>
      </c>
      <c r="B859" s="3" t="s">
        <v>817</v>
      </c>
      <c r="C859" s="3" t="s">
        <v>2080</v>
      </c>
      <c r="D859" s="3" t="s">
        <v>2081</v>
      </c>
      <c r="E859" s="3">
        <v>623650</v>
      </c>
      <c r="F859" s="3">
        <v>0</v>
      </c>
      <c r="G859" s="3" t="s">
        <v>2140</v>
      </c>
      <c r="H859" s="3" t="s">
        <v>20</v>
      </c>
      <c r="I859" s="4" t="s">
        <v>142</v>
      </c>
      <c r="J859" s="4" t="s">
        <v>21</v>
      </c>
      <c r="K859" s="4"/>
      <c r="L859" s="4" t="s">
        <v>636</v>
      </c>
      <c r="M859" s="4" t="s">
        <v>22</v>
      </c>
      <c r="N859" s="4" t="s">
        <v>23</v>
      </c>
      <c r="O859" s="4" t="s">
        <v>27</v>
      </c>
      <c r="P859" s="4" t="s">
        <v>144</v>
      </c>
      <c r="Q859" s="24">
        <v>130</v>
      </c>
      <c r="R859" s="25">
        <v>6</v>
      </c>
      <c r="S859" s="39">
        <v>1</v>
      </c>
      <c r="T859" s="7"/>
      <c r="U859" s="7" t="s">
        <v>2913</v>
      </c>
      <c r="V859" s="7" t="str">
        <f>+IF(U859="","",IF(U859="FINES",CONCATENATE("R",IF(OR(B859="16",B859="21",B859="22",B859="23"),"16212223",IF(OR(B859="15",B859="17",B859="24",B859="25"),"15172425",B859))),IF(U859="CEBAS","UNICO",IF(VALUE(B859)&lt;=11,"AMBA","INTERIOR"))))</f>
        <v>AMBA</v>
      </c>
      <c r="W859" s="38" t="str">
        <f>+IF(U859="","-",CONCATENATE(U859,"_",V859))</f>
        <v>CENS_AMBA</v>
      </c>
      <c r="X859" s="42">
        <v>0.251</v>
      </c>
    </row>
    <row r="860" spans="1:24" ht="15" thickBot="1">
      <c r="A860" s="5" t="s">
        <v>2916</v>
      </c>
      <c r="B860" s="5" t="s">
        <v>222</v>
      </c>
      <c r="C860" s="5" t="s">
        <v>807</v>
      </c>
      <c r="D860" s="5" t="s">
        <v>808</v>
      </c>
      <c r="E860" s="5">
        <v>622515</v>
      </c>
      <c r="F860" s="5">
        <v>0</v>
      </c>
      <c r="G860" s="5" t="s">
        <v>812</v>
      </c>
      <c r="H860" s="5" t="s">
        <v>20</v>
      </c>
      <c r="I860" s="6" t="s">
        <v>142</v>
      </c>
      <c r="J860" s="6" t="s">
        <v>21</v>
      </c>
      <c r="K860" s="6"/>
      <c r="L860" s="6" t="s">
        <v>813</v>
      </c>
      <c r="M860" s="6" t="s">
        <v>22</v>
      </c>
      <c r="N860" s="6" t="s">
        <v>23</v>
      </c>
      <c r="O860" s="6" t="s">
        <v>27</v>
      </c>
      <c r="P860" s="6" t="s">
        <v>144</v>
      </c>
      <c r="Q860" s="22">
        <v>97</v>
      </c>
      <c r="R860" s="23">
        <v>8</v>
      </c>
      <c r="S860" s="39">
        <v>1</v>
      </c>
      <c r="T860" s="7"/>
      <c r="U860" s="7" t="s">
        <v>2913</v>
      </c>
      <c r="V860" s="7" t="str">
        <f>+IF(U860="","",IF(U860="FINES",CONCATENATE("R",IF(OR(B860="16",B860="21",B860="22",B860="23"),"16212223",IF(OR(B860="15",B860="17",B860="24",B860="25"),"15172425",B860))),IF(U860="CEBAS","UNICO",IF(VALUE(B860)&lt;=11,"AMBA","INTERIOR"))))</f>
        <v>AMBA</v>
      </c>
      <c r="W860" s="38" t="str">
        <f>+IF(U860="","-",CONCATENATE(U860,"_",V860))</f>
        <v>CENS_AMBA</v>
      </c>
      <c r="X860" s="42">
        <v>0.251</v>
      </c>
    </row>
    <row r="861" spans="1:24" ht="15" thickBot="1">
      <c r="A861" s="3" t="s">
        <v>2916</v>
      </c>
      <c r="B861" s="3" t="s">
        <v>19</v>
      </c>
      <c r="C861" s="3" t="s">
        <v>17</v>
      </c>
      <c r="D861" s="3" t="s">
        <v>18</v>
      </c>
      <c r="E861" s="3">
        <v>623587</v>
      </c>
      <c r="F861" s="3">
        <v>0</v>
      </c>
      <c r="G861" s="3" t="s">
        <v>151</v>
      </c>
      <c r="H861" s="3" t="s">
        <v>20</v>
      </c>
      <c r="I861" s="4" t="s">
        <v>142</v>
      </c>
      <c r="J861" s="4" t="s">
        <v>21</v>
      </c>
      <c r="K861" s="4"/>
      <c r="L861" s="4" t="s">
        <v>152</v>
      </c>
      <c r="M861" s="4" t="s">
        <v>22</v>
      </c>
      <c r="N861" s="4" t="s">
        <v>23</v>
      </c>
      <c r="O861" s="4" t="s">
        <v>27</v>
      </c>
      <c r="P861" s="4" t="s">
        <v>144</v>
      </c>
      <c r="Q861" s="24">
        <v>122</v>
      </c>
      <c r="R861" s="25">
        <v>11</v>
      </c>
      <c r="S861" s="39">
        <v>1</v>
      </c>
      <c r="T861" s="7"/>
      <c r="U861" s="7" t="s">
        <v>2913</v>
      </c>
      <c r="V861" s="7" t="str">
        <f>+IF(U861="","",IF(U861="FINES",CONCATENATE("R",IF(OR(B861="16",B861="21",B861="22",B861="23"),"16212223",IF(OR(B861="15",B861="17",B861="24",B861="25"),"15172425",B861))),IF(U861="CEBAS","UNICO",IF(VALUE(B861)&lt;=11,"AMBA","INTERIOR"))))</f>
        <v>AMBA</v>
      </c>
      <c r="W861" s="38" t="str">
        <f>+IF(U861="","-",CONCATENATE(U861,"_",V861))</f>
        <v>CENS_AMBA</v>
      </c>
      <c r="X861" s="42">
        <v>0.251</v>
      </c>
    </row>
    <row r="862" spans="1:24" ht="15" thickBot="1">
      <c r="A862" s="5" t="s">
        <v>2916</v>
      </c>
      <c r="B862" s="5" t="s">
        <v>1532</v>
      </c>
      <c r="C862" s="5" t="s">
        <v>1530</v>
      </c>
      <c r="D862" s="5" t="s">
        <v>1531</v>
      </c>
      <c r="E862" s="5">
        <v>623630</v>
      </c>
      <c r="F862" s="5">
        <v>0</v>
      </c>
      <c r="G862" s="5" t="s">
        <v>1718</v>
      </c>
      <c r="H862" s="5" t="s">
        <v>20</v>
      </c>
      <c r="I862" s="6" t="s">
        <v>142</v>
      </c>
      <c r="J862" s="6" t="s">
        <v>21</v>
      </c>
      <c r="K862" s="6"/>
      <c r="L862" s="6" t="s">
        <v>1719</v>
      </c>
      <c r="M862" s="6" t="s">
        <v>22</v>
      </c>
      <c r="N862" s="6" t="s">
        <v>23</v>
      </c>
      <c r="O862" s="6" t="s">
        <v>27</v>
      </c>
      <c r="P862" s="6" t="s">
        <v>144</v>
      </c>
      <c r="Q862" s="22">
        <v>119</v>
      </c>
      <c r="R862" s="23">
        <v>6</v>
      </c>
      <c r="S862" s="39">
        <v>1</v>
      </c>
      <c r="T862" s="7"/>
      <c r="U862" s="7" t="s">
        <v>2913</v>
      </c>
      <c r="V862" s="7" t="str">
        <f>+IF(U862="","",IF(U862="FINES",CONCATENATE("R",IF(OR(B862="16",B862="21",B862="22",B862="23"),"16212223",IF(OR(B862="15",B862="17",B862="24",B862="25"),"15172425",B862))),IF(U862="CEBAS","UNICO",IF(VALUE(B862)&lt;=11,"AMBA","INTERIOR"))))</f>
        <v>AMBA</v>
      </c>
      <c r="W862" s="38" t="str">
        <f>+IF(U862="","-",CONCATENATE(U862,"_",V862))</f>
        <v>CENS_AMBA</v>
      </c>
      <c r="X862" s="42">
        <v>0.255</v>
      </c>
    </row>
    <row r="863" spans="1:24" ht="15" thickBot="1">
      <c r="A863" s="5" t="s">
        <v>2916</v>
      </c>
      <c r="B863" s="5" t="s">
        <v>1860</v>
      </c>
      <c r="C863" s="5" t="s">
        <v>1858</v>
      </c>
      <c r="D863" s="5" t="s">
        <v>1859</v>
      </c>
      <c r="E863" s="5">
        <v>623743</v>
      </c>
      <c r="F863" s="5">
        <v>0</v>
      </c>
      <c r="G863" s="5" t="s">
        <v>1910</v>
      </c>
      <c r="H863" s="5" t="s">
        <v>20</v>
      </c>
      <c r="I863" s="6" t="s">
        <v>142</v>
      </c>
      <c r="J863" s="6" t="s">
        <v>21</v>
      </c>
      <c r="K863" s="6"/>
      <c r="L863" s="6" t="s">
        <v>158</v>
      </c>
      <c r="M863" s="6" t="s">
        <v>22</v>
      </c>
      <c r="N863" s="6" t="s">
        <v>23</v>
      </c>
      <c r="O863" s="6" t="s">
        <v>27</v>
      </c>
      <c r="P863" s="6" t="s">
        <v>144</v>
      </c>
      <c r="Q863" s="22">
        <v>153</v>
      </c>
      <c r="R863" s="23">
        <v>8</v>
      </c>
      <c r="S863" s="39">
        <v>1</v>
      </c>
      <c r="T863" s="7"/>
      <c r="U863" s="7" t="s">
        <v>2913</v>
      </c>
      <c r="V863" s="7" t="str">
        <f>+IF(U863="","",IF(U863="FINES",CONCATENATE("R",IF(OR(B863="16",B863="21",B863="22",B863="23"),"16212223",IF(OR(B863="15",B863="17",B863="24",B863="25"),"15172425",B863))),IF(U863="CEBAS","UNICO",IF(VALUE(B863)&lt;=11,"AMBA","INTERIOR"))))</f>
        <v>AMBA</v>
      </c>
      <c r="W863" s="38" t="str">
        <f>+IF(U863="","-",CONCATENATE(U863,"_",V863))</f>
        <v>CENS_AMBA</v>
      </c>
      <c r="X863" s="42">
        <v>0.25700000000000001</v>
      </c>
    </row>
    <row r="864" spans="1:24" ht="15" thickBot="1">
      <c r="A864" s="3" t="s">
        <v>2916</v>
      </c>
      <c r="B864" s="3" t="s">
        <v>1257</v>
      </c>
      <c r="C864" s="3" t="s">
        <v>1255</v>
      </c>
      <c r="D864" s="3" t="s">
        <v>1256</v>
      </c>
      <c r="E864" s="3">
        <v>623676</v>
      </c>
      <c r="F864" s="3">
        <v>0</v>
      </c>
      <c r="G864" s="3" t="s">
        <v>1301</v>
      </c>
      <c r="H864" s="3" t="s">
        <v>20</v>
      </c>
      <c r="I864" s="4" t="s">
        <v>142</v>
      </c>
      <c r="J864" s="4" t="s">
        <v>21</v>
      </c>
      <c r="K864" s="4"/>
      <c r="L864" s="4" t="s">
        <v>154</v>
      </c>
      <c r="M864" s="4" t="s">
        <v>22</v>
      </c>
      <c r="N864" s="4" t="s">
        <v>23</v>
      </c>
      <c r="O864" s="4" t="s">
        <v>27</v>
      </c>
      <c r="P864" s="4" t="s">
        <v>144</v>
      </c>
      <c r="Q864" s="24">
        <v>187</v>
      </c>
      <c r="R864" s="25">
        <v>9</v>
      </c>
      <c r="S864" s="39">
        <v>1</v>
      </c>
      <c r="T864" s="7"/>
      <c r="U864" s="7" t="s">
        <v>2913</v>
      </c>
      <c r="V864" s="7" t="str">
        <f>+IF(U864="","",IF(U864="FINES",CONCATENATE("R",IF(OR(B864="16",B864="21",B864="22",B864="23"),"16212223",IF(OR(B864="15",B864="17",B864="24",B864="25"),"15172425",B864))),IF(U864="CEBAS","UNICO",IF(VALUE(B864)&lt;=11,"AMBA","INTERIOR"))))</f>
        <v>AMBA</v>
      </c>
      <c r="W864" s="38" t="str">
        <f>+IF(U864="","-",CONCATENATE(U864,"_",V864))</f>
        <v>CENS_AMBA</v>
      </c>
      <c r="X864" s="42">
        <v>0.25800000000000001</v>
      </c>
    </row>
    <row r="865" spans="1:24" ht="15" thickBot="1">
      <c r="A865" s="5" t="s">
        <v>2916</v>
      </c>
      <c r="B865" s="5" t="s">
        <v>138</v>
      </c>
      <c r="C865" s="5" t="s">
        <v>522</v>
      </c>
      <c r="D865" s="5" t="s">
        <v>1468</v>
      </c>
      <c r="E865" s="5">
        <v>623753</v>
      </c>
      <c r="F865" s="5">
        <v>0</v>
      </c>
      <c r="G865" s="5" t="s">
        <v>1479</v>
      </c>
      <c r="H865" s="5" t="s">
        <v>20</v>
      </c>
      <c r="I865" s="6" t="s">
        <v>142</v>
      </c>
      <c r="J865" s="6" t="s">
        <v>21</v>
      </c>
      <c r="K865" s="6"/>
      <c r="L865" s="6" t="s">
        <v>337</v>
      </c>
      <c r="M865" s="6" t="s">
        <v>200</v>
      </c>
      <c r="N865" s="6" t="s">
        <v>23</v>
      </c>
      <c r="O865" s="6" t="s">
        <v>27</v>
      </c>
      <c r="P865" s="6" t="s">
        <v>144</v>
      </c>
      <c r="Q865" s="22">
        <v>97</v>
      </c>
      <c r="R865" s="23">
        <v>7</v>
      </c>
      <c r="S865" s="39">
        <v>1</v>
      </c>
      <c r="T865" s="7"/>
      <c r="U865" s="7" t="s">
        <v>2913</v>
      </c>
      <c r="V865" s="7" t="str">
        <f>+IF(U865="","",IF(U865="FINES",CONCATENATE("R",IF(OR(B865="16",B865="21",B865="22",B865="23"),"16212223",IF(OR(B865="15",B865="17",B865="24",B865="25"),"15172425",B865))),IF(U865="CEBAS","UNICO",IF(VALUE(B865)&lt;=11,"AMBA","INTERIOR"))))</f>
        <v>AMBA</v>
      </c>
      <c r="W865" s="38" t="str">
        <f>+IF(U865="","-",CONCATENATE(U865,"_",V865))</f>
        <v>CENS_AMBA</v>
      </c>
      <c r="X865" s="42">
        <v>0.26900000000000002</v>
      </c>
    </row>
    <row r="866" spans="1:24" ht="15" thickBot="1">
      <c r="A866" s="5" t="s">
        <v>2916</v>
      </c>
      <c r="B866" s="5" t="s">
        <v>1532</v>
      </c>
      <c r="C866" s="5" t="s">
        <v>1530</v>
      </c>
      <c r="D866" s="5" t="s">
        <v>1531</v>
      </c>
      <c r="E866" s="5">
        <v>623618</v>
      </c>
      <c r="F866" s="5">
        <v>0</v>
      </c>
      <c r="G866" s="5" t="s">
        <v>1738</v>
      </c>
      <c r="H866" s="5" t="s">
        <v>20</v>
      </c>
      <c r="I866" s="6" t="s">
        <v>142</v>
      </c>
      <c r="J866" s="6" t="s">
        <v>21</v>
      </c>
      <c r="K866" s="6"/>
      <c r="L866" s="6" t="s">
        <v>1739</v>
      </c>
      <c r="M866" s="6" t="s">
        <v>22</v>
      </c>
      <c r="N866" s="6" t="s">
        <v>23</v>
      </c>
      <c r="O866" s="6" t="s">
        <v>27</v>
      </c>
      <c r="P866" s="6" t="s">
        <v>144</v>
      </c>
      <c r="Q866" s="22">
        <v>84</v>
      </c>
      <c r="R866" s="23">
        <v>6</v>
      </c>
      <c r="S866" s="39">
        <v>1</v>
      </c>
      <c r="T866" s="7"/>
      <c r="U866" s="7" t="s">
        <v>2913</v>
      </c>
      <c r="V866" s="7" t="str">
        <f>+IF(U866="","",IF(U866="FINES",CONCATENATE("R",IF(OR(B866="16",B866="21",B866="22",B866="23"),"16212223",IF(OR(B866="15",B866="17",B866="24",B866="25"),"15172425",B866))),IF(U866="CEBAS","UNICO",IF(VALUE(B866)&lt;=11,"AMBA","INTERIOR"))))</f>
        <v>AMBA</v>
      </c>
      <c r="W866" s="38" t="str">
        <f>+IF(U866="","-",CONCATENATE(U866,"_",V866))</f>
        <v>CENS_AMBA</v>
      </c>
      <c r="X866" s="42">
        <v>0.27400000000000002</v>
      </c>
    </row>
    <row r="867" spans="1:24" ht="15" thickBot="1">
      <c r="A867" s="3" t="s">
        <v>2916</v>
      </c>
      <c r="B867" s="3" t="s">
        <v>1780</v>
      </c>
      <c r="C867" s="3" t="s">
        <v>1778</v>
      </c>
      <c r="D867" s="3" t="s">
        <v>1779</v>
      </c>
      <c r="E867" s="3">
        <v>624721</v>
      </c>
      <c r="F867" s="3">
        <v>0</v>
      </c>
      <c r="G867" s="3" t="s">
        <v>1845</v>
      </c>
      <c r="H867" s="3" t="s">
        <v>20</v>
      </c>
      <c r="I867" s="4" t="s">
        <v>142</v>
      </c>
      <c r="J867" s="4" t="s">
        <v>21</v>
      </c>
      <c r="K867" s="4"/>
      <c r="L867" s="4" t="s">
        <v>1147</v>
      </c>
      <c r="M867" s="4" t="s">
        <v>22</v>
      </c>
      <c r="N867" s="4" t="s">
        <v>23</v>
      </c>
      <c r="O867" s="4" t="s">
        <v>27</v>
      </c>
      <c r="P867" s="4" t="s">
        <v>144</v>
      </c>
      <c r="Q867" s="24">
        <v>240</v>
      </c>
      <c r="R867" s="25">
        <v>12</v>
      </c>
      <c r="S867" s="39">
        <v>1</v>
      </c>
      <c r="T867" s="7"/>
      <c r="U867" s="7" t="s">
        <v>2913</v>
      </c>
      <c r="V867" s="7" t="str">
        <f>+IF(U867="","",IF(U867="FINES",CONCATENATE("R",IF(OR(B867="16",B867="21",B867="22",B867="23"),"16212223",IF(OR(B867="15",B867="17",B867="24",B867="25"),"15172425",B867))),IF(U867="CEBAS","UNICO",IF(VALUE(B867)&lt;=11,"AMBA","INTERIOR"))))</f>
        <v>AMBA</v>
      </c>
      <c r="W867" s="38" t="str">
        <f>+IF(U867="","-",CONCATENATE(U867,"_",V867))</f>
        <v>CENS_AMBA</v>
      </c>
      <c r="X867" s="42">
        <v>0.27500000000000002</v>
      </c>
    </row>
    <row r="868" spans="1:24" ht="15" thickBot="1">
      <c r="A868" s="3" t="s">
        <v>2916</v>
      </c>
      <c r="B868" s="3" t="s">
        <v>1532</v>
      </c>
      <c r="C868" s="3" t="s">
        <v>1530</v>
      </c>
      <c r="D868" s="3" t="s">
        <v>1531</v>
      </c>
      <c r="E868" s="3">
        <v>623613</v>
      </c>
      <c r="F868" s="3">
        <v>0</v>
      </c>
      <c r="G868" s="3" t="s">
        <v>1700</v>
      </c>
      <c r="H868" s="3" t="s">
        <v>20</v>
      </c>
      <c r="I868" s="4" t="s">
        <v>142</v>
      </c>
      <c r="J868" s="4" t="s">
        <v>21</v>
      </c>
      <c r="K868" s="4"/>
      <c r="L868" s="4" t="s">
        <v>1701</v>
      </c>
      <c r="M868" s="4" t="s">
        <v>22</v>
      </c>
      <c r="N868" s="4" t="s">
        <v>23</v>
      </c>
      <c r="O868" s="4" t="s">
        <v>27</v>
      </c>
      <c r="P868" s="4" t="s">
        <v>144</v>
      </c>
      <c r="Q868" s="24">
        <v>97</v>
      </c>
      <c r="R868" s="25">
        <v>7</v>
      </c>
      <c r="S868" s="39">
        <v>1</v>
      </c>
      <c r="T868" s="7"/>
      <c r="U868" s="7" t="s">
        <v>2913</v>
      </c>
      <c r="V868" s="7" t="str">
        <f>+IF(U868="","",IF(U868="FINES",CONCATENATE("R",IF(OR(B868="16",B868="21",B868="22",B868="23"),"16212223",IF(OR(B868="15",B868="17",B868="24",B868="25"),"15172425",B868))),IF(U868="CEBAS","UNICO",IF(VALUE(B868)&lt;=11,"AMBA","INTERIOR"))))</f>
        <v>AMBA</v>
      </c>
      <c r="W868" s="38" t="str">
        <f>+IF(U868="","-",CONCATENATE(U868,"_",V868))</f>
        <v>CENS_AMBA</v>
      </c>
      <c r="X868" s="42">
        <v>0.27600000000000002</v>
      </c>
    </row>
    <row r="869" spans="1:24" ht="15" thickBot="1">
      <c r="A869" s="3" t="s">
        <v>2916</v>
      </c>
      <c r="B869" s="3" t="s">
        <v>138</v>
      </c>
      <c r="C869" s="3" t="s">
        <v>1321</v>
      </c>
      <c r="D869" s="3" t="s">
        <v>1322</v>
      </c>
      <c r="E869" s="3">
        <v>623757</v>
      </c>
      <c r="F869" s="3">
        <v>0</v>
      </c>
      <c r="G869" s="3" t="s">
        <v>1324</v>
      </c>
      <c r="H869" s="3" t="s">
        <v>20</v>
      </c>
      <c r="I869" s="4" t="s">
        <v>142</v>
      </c>
      <c r="J869" s="4" t="s">
        <v>21</v>
      </c>
      <c r="K869" s="4"/>
      <c r="L869" s="4" t="s">
        <v>251</v>
      </c>
      <c r="M869" s="4" t="s">
        <v>22</v>
      </c>
      <c r="N869" s="4" t="s">
        <v>23</v>
      </c>
      <c r="O869" s="4" t="s">
        <v>27</v>
      </c>
      <c r="P869" s="4" t="s">
        <v>144</v>
      </c>
      <c r="Q869" s="24">
        <v>66</v>
      </c>
      <c r="R869" s="25">
        <v>3</v>
      </c>
      <c r="S869" s="39">
        <v>1</v>
      </c>
      <c r="T869" s="7"/>
      <c r="U869" s="7" t="s">
        <v>2913</v>
      </c>
      <c r="V869" s="7" t="str">
        <f>+IF(U869="","",IF(U869="FINES",CONCATENATE("R",IF(OR(B869="16",B869="21",B869="22",B869="23"),"16212223",IF(OR(B869="15",B869="17",B869="24",B869="25"),"15172425",B869))),IF(U869="CEBAS","UNICO",IF(VALUE(B869)&lt;=11,"AMBA","INTERIOR"))))</f>
        <v>AMBA</v>
      </c>
      <c r="W869" s="38" t="str">
        <f>+IF(U869="","-",CONCATENATE(U869,"_",V869))</f>
        <v>CENS_AMBA</v>
      </c>
      <c r="X869" s="42">
        <v>0.27900000000000003</v>
      </c>
    </row>
    <row r="870" spans="1:24" ht="15" thickBot="1">
      <c r="A870" s="3" t="s">
        <v>2916</v>
      </c>
      <c r="B870" s="3" t="s">
        <v>1860</v>
      </c>
      <c r="C870" s="3" t="s">
        <v>1858</v>
      </c>
      <c r="D870" s="3" t="s">
        <v>1859</v>
      </c>
      <c r="E870" s="3">
        <v>603355</v>
      </c>
      <c r="F870" s="3">
        <v>0</v>
      </c>
      <c r="G870" s="3" t="s">
        <v>1898</v>
      </c>
      <c r="H870" s="3" t="s">
        <v>20</v>
      </c>
      <c r="I870" s="4" t="s">
        <v>142</v>
      </c>
      <c r="J870" s="4" t="s">
        <v>21</v>
      </c>
      <c r="K870" s="4"/>
      <c r="L870" s="4" t="s">
        <v>400</v>
      </c>
      <c r="M870" s="4" t="s">
        <v>22</v>
      </c>
      <c r="N870" s="4" t="s">
        <v>23</v>
      </c>
      <c r="O870" s="4" t="s">
        <v>27</v>
      </c>
      <c r="P870" s="4" t="s">
        <v>144</v>
      </c>
      <c r="Q870" s="24">
        <v>797</v>
      </c>
      <c r="R870" s="25">
        <v>13</v>
      </c>
      <c r="S870" s="39">
        <v>1</v>
      </c>
      <c r="T870" s="7"/>
      <c r="U870" s="7" t="s">
        <v>2913</v>
      </c>
      <c r="V870" s="7" t="str">
        <f>+IF(U870="","",IF(U870="FINES",CONCATENATE("R",IF(OR(B870="16",B870="21",B870="22",B870="23"),"16212223",IF(OR(B870="15",B870="17",B870="24",B870="25"),"15172425",B870))),IF(U870="CEBAS","UNICO",IF(VALUE(B870)&lt;=11,"AMBA","INTERIOR"))))</f>
        <v>AMBA</v>
      </c>
      <c r="W870" s="38" t="str">
        <f>+IF(U870="","-",CONCATENATE(U870,"_",V870))</f>
        <v>CENS_AMBA</v>
      </c>
      <c r="X870" s="42">
        <v>0.28000000000000003</v>
      </c>
    </row>
    <row r="871" spans="1:24" ht="15" thickBot="1">
      <c r="A871" s="3" t="s">
        <v>2916</v>
      </c>
      <c r="B871" s="3" t="s">
        <v>1860</v>
      </c>
      <c r="C871" s="3" t="s">
        <v>411</v>
      </c>
      <c r="D871" s="3" t="s">
        <v>2791</v>
      </c>
      <c r="E871" s="3">
        <v>623750</v>
      </c>
      <c r="F871" s="3">
        <v>0</v>
      </c>
      <c r="G871" s="3" t="s">
        <v>2815</v>
      </c>
      <c r="H871" s="3" t="s">
        <v>20</v>
      </c>
      <c r="I871" s="4" t="s">
        <v>142</v>
      </c>
      <c r="J871" s="4" t="s">
        <v>21</v>
      </c>
      <c r="K871" s="4"/>
      <c r="L871" s="4" t="s">
        <v>341</v>
      </c>
      <c r="M871" s="4" t="s">
        <v>22</v>
      </c>
      <c r="N871" s="4" t="s">
        <v>23</v>
      </c>
      <c r="O871" s="4" t="s">
        <v>27</v>
      </c>
      <c r="P871" s="4" t="s">
        <v>144</v>
      </c>
      <c r="Q871" s="24">
        <v>228</v>
      </c>
      <c r="R871" s="25">
        <v>24</v>
      </c>
      <c r="S871" s="39">
        <v>1</v>
      </c>
      <c r="T871" s="7"/>
      <c r="U871" s="7" t="s">
        <v>2913</v>
      </c>
      <c r="V871" s="7" t="str">
        <f>+IF(U871="","",IF(U871="FINES",CONCATENATE("R",IF(OR(B871="16",B871="21",B871="22",B871="23"),"16212223",IF(OR(B871="15",B871="17",B871="24",B871="25"),"15172425",B871))),IF(U871="CEBAS","UNICO",IF(VALUE(B871)&lt;=11,"AMBA","INTERIOR"))))</f>
        <v>AMBA</v>
      </c>
      <c r="W871" s="38" t="str">
        <f>+IF(U871="","-",CONCATENATE(U871,"_",V871))</f>
        <v>CENS_AMBA</v>
      </c>
      <c r="X871" s="42">
        <v>0.28599999999999998</v>
      </c>
    </row>
    <row r="872" spans="1:24" ht="15" thickBot="1">
      <c r="A872" s="5" t="s">
        <v>2916</v>
      </c>
      <c r="B872" s="5" t="s">
        <v>1860</v>
      </c>
      <c r="C872" s="5" t="s">
        <v>875</v>
      </c>
      <c r="D872" s="5" t="s">
        <v>2816</v>
      </c>
      <c r="E872" s="5">
        <v>623727</v>
      </c>
      <c r="F872" s="5">
        <v>0</v>
      </c>
      <c r="G872" s="5" t="s">
        <v>2832</v>
      </c>
      <c r="H872" s="5" t="s">
        <v>20</v>
      </c>
      <c r="I872" s="6" t="s">
        <v>142</v>
      </c>
      <c r="J872" s="6" t="s">
        <v>21</v>
      </c>
      <c r="K872" s="6"/>
      <c r="L872" s="6" t="s">
        <v>152</v>
      </c>
      <c r="M872" s="6" t="s">
        <v>22</v>
      </c>
      <c r="N872" s="6" t="s">
        <v>23</v>
      </c>
      <c r="O872" s="6" t="s">
        <v>27</v>
      </c>
      <c r="P872" s="6" t="s">
        <v>144</v>
      </c>
      <c r="Q872" s="22">
        <v>185</v>
      </c>
      <c r="R872" s="23">
        <v>6</v>
      </c>
      <c r="S872" s="39">
        <v>1</v>
      </c>
      <c r="T872" s="7"/>
      <c r="U872" s="7" t="s">
        <v>2913</v>
      </c>
      <c r="V872" s="7" t="str">
        <f>+IF(U872="","",IF(U872="FINES",CONCATENATE("R",IF(OR(B872="16",B872="21",B872="22",B872="23"),"16212223",IF(OR(B872="15",B872="17",B872="24",B872="25"),"15172425",B872))),IF(U872="CEBAS","UNICO",IF(VALUE(B872)&lt;=11,"AMBA","INTERIOR"))))</f>
        <v>AMBA</v>
      </c>
      <c r="W872" s="38" t="str">
        <f>+IF(U872="","-",CONCATENATE(U872,"_",V872))</f>
        <v>CENS_AMBA</v>
      </c>
      <c r="X872" s="42">
        <v>0.28899999999999998</v>
      </c>
    </row>
    <row r="873" spans="1:24" ht="15" thickBot="1">
      <c r="A873" s="3" t="s">
        <v>2916</v>
      </c>
      <c r="B873" s="3" t="s">
        <v>356</v>
      </c>
      <c r="C873" s="3" t="s">
        <v>805</v>
      </c>
      <c r="D873" s="3" t="s">
        <v>2500</v>
      </c>
      <c r="E873" s="3">
        <v>623598</v>
      </c>
      <c r="F873" s="3">
        <v>0</v>
      </c>
      <c r="G873" s="3" t="s">
        <v>2545</v>
      </c>
      <c r="H873" s="3" t="s">
        <v>20</v>
      </c>
      <c r="I873" s="4" t="s">
        <v>142</v>
      </c>
      <c r="J873" s="4" t="s">
        <v>21</v>
      </c>
      <c r="K873" s="4"/>
      <c r="L873" s="4" t="s">
        <v>2142</v>
      </c>
      <c r="M873" s="4" t="s">
        <v>22</v>
      </c>
      <c r="N873" s="4" t="s">
        <v>23</v>
      </c>
      <c r="O873" s="4" t="s">
        <v>27</v>
      </c>
      <c r="P873" s="4" t="s">
        <v>144</v>
      </c>
      <c r="Q873" s="24">
        <v>91</v>
      </c>
      <c r="R873" s="25">
        <v>6</v>
      </c>
      <c r="S873" s="39">
        <v>1</v>
      </c>
      <c r="T873" s="7"/>
      <c r="U873" s="7" t="s">
        <v>2913</v>
      </c>
      <c r="V873" s="7" t="str">
        <f>+IF(U873="","",IF(U873="FINES",CONCATENATE("R",IF(OR(B873="16",B873="21",B873="22",B873="23"),"16212223",IF(OR(B873="15",B873="17",B873="24",B873="25"),"15172425",B873))),IF(U873="CEBAS","UNICO",IF(VALUE(B873)&lt;=11,"AMBA","INTERIOR"))))</f>
        <v>AMBA</v>
      </c>
      <c r="W873" s="38" t="str">
        <f>+IF(U873="","-",CONCATENATE(U873,"_",V873))</f>
        <v>CENS_AMBA</v>
      </c>
      <c r="X873" s="42">
        <v>0.28999999999999998</v>
      </c>
    </row>
    <row r="874" spans="1:24" ht="15" thickBot="1">
      <c r="A874" s="3" t="s">
        <v>2916</v>
      </c>
      <c r="B874" s="3" t="s">
        <v>817</v>
      </c>
      <c r="C874" s="3" t="s">
        <v>815</v>
      </c>
      <c r="D874" s="3" t="s">
        <v>816</v>
      </c>
      <c r="E874" s="3">
        <v>602768</v>
      </c>
      <c r="F874" s="3">
        <v>0</v>
      </c>
      <c r="G874" s="3" t="s">
        <v>855</v>
      </c>
      <c r="H874" s="3" t="s">
        <v>20</v>
      </c>
      <c r="I874" s="4" t="s">
        <v>142</v>
      </c>
      <c r="J874" s="4" t="s">
        <v>21</v>
      </c>
      <c r="K874" s="4"/>
      <c r="L874" s="4" t="s">
        <v>856</v>
      </c>
      <c r="M874" s="4" t="s">
        <v>22</v>
      </c>
      <c r="N874" s="4" t="s">
        <v>23</v>
      </c>
      <c r="O874" s="4" t="s">
        <v>27</v>
      </c>
      <c r="P874" s="4" t="s">
        <v>144</v>
      </c>
      <c r="Q874" s="24">
        <v>287</v>
      </c>
      <c r="R874" s="25">
        <v>15</v>
      </c>
      <c r="S874" s="39">
        <v>1</v>
      </c>
      <c r="T874" s="7"/>
      <c r="U874" s="7" t="s">
        <v>2913</v>
      </c>
      <c r="V874" s="7" t="str">
        <f>+IF(U874="","",IF(U874="FINES",CONCATENATE("R",IF(OR(B874="16",B874="21",B874="22",B874="23"),"16212223",IF(OR(B874="15",B874="17",B874="24",B874="25"),"15172425",B874))),IF(U874="CEBAS","UNICO",IF(VALUE(B874)&lt;=11,"AMBA","INTERIOR"))))</f>
        <v>AMBA</v>
      </c>
      <c r="W874" s="38" t="str">
        <f>+IF(U874="","-",CONCATENATE(U874,"_",V874))</f>
        <v>CENS_AMBA</v>
      </c>
      <c r="X874" s="42">
        <v>0.29199999999999998</v>
      </c>
    </row>
    <row r="875" spans="1:24" ht="15" thickBot="1">
      <c r="A875" s="3" t="s">
        <v>2916</v>
      </c>
      <c r="B875" s="3" t="s">
        <v>1532</v>
      </c>
      <c r="C875" s="3" t="s">
        <v>1530</v>
      </c>
      <c r="D875" s="3" t="s">
        <v>1531</v>
      </c>
      <c r="E875" s="3">
        <v>623617</v>
      </c>
      <c r="F875" s="3">
        <v>0</v>
      </c>
      <c r="G875" s="3" t="s">
        <v>1736</v>
      </c>
      <c r="H875" s="3" t="s">
        <v>20</v>
      </c>
      <c r="I875" s="4" t="s">
        <v>142</v>
      </c>
      <c r="J875" s="4" t="s">
        <v>21</v>
      </c>
      <c r="K875" s="4"/>
      <c r="L875" s="4" t="s">
        <v>1737</v>
      </c>
      <c r="M875" s="4" t="s">
        <v>22</v>
      </c>
      <c r="N875" s="4" t="s">
        <v>23</v>
      </c>
      <c r="O875" s="4" t="s">
        <v>27</v>
      </c>
      <c r="P875" s="4" t="s">
        <v>144</v>
      </c>
      <c r="Q875" s="24">
        <v>100</v>
      </c>
      <c r="R875" s="25">
        <v>4</v>
      </c>
      <c r="S875" s="39">
        <v>1</v>
      </c>
      <c r="T875" s="7"/>
      <c r="U875" s="7" t="s">
        <v>2913</v>
      </c>
      <c r="V875" s="7" t="str">
        <f>+IF(U875="","",IF(U875="FINES",CONCATENATE("R",IF(OR(B875="16",B875="21",B875="22",B875="23"),"16212223",IF(OR(B875="15",B875="17",B875="24",B875="25"),"15172425",B875))),IF(U875="CEBAS","UNICO",IF(VALUE(B875)&lt;=11,"AMBA","INTERIOR"))))</f>
        <v>AMBA</v>
      </c>
      <c r="W875" s="38" t="str">
        <f>+IF(U875="","-",CONCATENATE(U875,"_",V875))</f>
        <v>CENS_AMBA</v>
      </c>
      <c r="X875" s="42">
        <v>0.29399999999999998</v>
      </c>
    </row>
    <row r="876" spans="1:24" ht="15" thickBot="1">
      <c r="A876" s="5" t="s">
        <v>2916</v>
      </c>
      <c r="B876" s="5" t="s">
        <v>1532</v>
      </c>
      <c r="C876" s="5" t="s">
        <v>1530</v>
      </c>
      <c r="D876" s="5" t="s">
        <v>1531</v>
      </c>
      <c r="E876" s="5">
        <v>616820</v>
      </c>
      <c r="F876" s="5">
        <v>0</v>
      </c>
      <c r="G876" s="5" t="s">
        <v>1685</v>
      </c>
      <c r="H876" s="5" t="s">
        <v>20</v>
      </c>
      <c r="I876" s="6" t="s">
        <v>142</v>
      </c>
      <c r="J876" s="6" t="s">
        <v>21</v>
      </c>
      <c r="K876" s="6"/>
      <c r="L876" s="6" t="s">
        <v>1036</v>
      </c>
      <c r="M876" s="6" t="s">
        <v>22</v>
      </c>
      <c r="N876" s="6" t="s">
        <v>23</v>
      </c>
      <c r="O876" s="6" t="s">
        <v>27</v>
      </c>
      <c r="P876" s="6" t="s">
        <v>144</v>
      </c>
      <c r="Q876" s="22">
        <v>246</v>
      </c>
      <c r="R876" s="23">
        <v>21</v>
      </c>
      <c r="S876" s="39">
        <v>1</v>
      </c>
      <c r="T876" s="7"/>
      <c r="U876" s="7" t="s">
        <v>2913</v>
      </c>
      <c r="V876" s="7" t="str">
        <f>+IF(U876="","",IF(U876="FINES",CONCATENATE("R",IF(OR(B876="16",B876="21",B876="22",B876="23"),"16212223",IF(OR(B876="15",B876="17",B876="24",B876="25"),"15172425",B876))),IF(U876="CEBAS","UNICO",IF(VALUE(B876)&lt;=11,"AMBA","INTERIOR"))))</f>
        <v>AMBA</v>
      </c>
      <c r="W876" s="38" t="str">
        <f>+IF(U876="","-",CONCATENATE(U876,"_",V876))</f>
        <v>CENS_AMBA</v>
      </c>
      <c r="X876" s="42">
        <v>0.29399999999999998</v>
      </c>
    </row>
    <row r="877" spans="1:24" ht="15" thickBot="1">
      <c r="A877" s="3" t="s">
        <v>2916</v>
      </c>
      <c r="B877" s="3" t="s">
        <v>257</v>
      </c>
      <c r="C877" s="3" t="s">
        <v>772</v>
      </c>
      <c r="D877" s="3" t="s">
        <v>773</v>
      </c>
      <c r="E877" s="3">
        <v>623659</v>
      </c>
      <c r="F877" s="3">
        <v>0</v>
      </c>
      <c r="G877" s="3" t="s">
        <v>799</v>
      </c>
      <c r="H877" s="3" t="s">
        <v>20</v>
      </c>
      <c r="I877" s="4" t="s">
        <v>142</v>
      </c>
      <c r="J877" s="4" t="s">
        <v>21</v>
      </c>
      <c r="K877" s="4"/>
      <c r="L877" s="4" t="s">
        <v>337</v>
      </c>
      <c r="M877" s="4" t="s">
        <v>22</v>
      </c>
      <c r="N877" s="4" t="s">
        <v>23</v>
      </c>
      <c r="O877" s="4" t="s">
        <v>27</v>
      </c>
      <c r="P877" s="4" t="s">
        <v>144</v>
      </c>
      <c r="Q877" s="24">
        <v>59</v>
      </c>
      <c r="R877" s="25">
        <v>6</v>
      </c>
      <c r="S877" s="39">
        <v>1</v>
      </c>
      <c r="T877" s="7"/>
      <c r="U877" s="7" t="s">
        <v>2913</v>
      </c>
      <c r="V877" s="7" t="str">
        <f>+IF(U877="","",IF(U877="FINES",CONCATENATE("R",IF(OR(B877="16",B877="21",B877="22",B877="23"),"16212223",IF(OR(B877="15",B877="17",B877="24",B877="25"),"15172425",B877))),IF(U877="CEBAS","UNICO",IF(VALUE(B877)&lt;=11,"AMBA","INTERIOR"))))</f>
        <v>AMBA</v>
      </c>
      <c r="W877" s="38" t="str">
        <f>+IF(U877="","-",CONCATENATE(U877,"_",V877))</f>
        <v>CENS_AMBA</v>
      </c>
      <c r="X877" s="42">
        <v>0.29799999999999999</v>
      </c>
    </row>
    <row r="878" spans="1:24" ht="15" thickBot="1">
      <c r="A878" s="3" t="s">
        <v>2916</v>
      </c>
      <c r="B878" s="3" t="s">
        <v>138</v>
      </c>
      <c r="C878" s="3" t="s">
        <v>522</v>
      </c>
      <c r="D878" s="3" t="s">
        <v>1468</v>
      </c>
      <c r="E878" s="3">
        <v>622658</v>
      </c>
      <c r="F878" s="3">
        <v>0</v>
      </c>
      <c r="G878" s="3" t="s">
        <v>1478</v>
      </c>
      <c r="H878" s="3" t="s">
        <v>20</v>
      </c>
      <c r="I878" s="4" t="s">
        <v>142</v>
      </c>
      <c r="J878" s="4" t="s">
        <v>21</v>
      </c>
      <c r="K878" s="4"/>
      <c r="L878" s="4" t="s">
        <v>143</v>
      </c>
      <c r="M878" s="4" t="s">
        <v>22</v>
      </c>
      <c r="N878" s="4" t="s">
        <v>23</v>
      </c>
      <c r="O878" s="4" t="s">
        <v>27</v>
      </c>
      <c r="P878" s="4" t="s">
        <v>144</v>
      </c>
      <c r="Q878" s="24">
        <v>55</v>
      </c>
      <c r="R878" s="25">
        <v>3</v>
      </c>
      <c r="S878" s="39">
        <v>1</v>
      </c>
      <c r="T878" s="7"/>
      <c r="U878" s="7" t="s">
        <v>2913</v>
      </c>
      <c r="V878" s="7" t="str">
        <f>+IF(U878="","",IF(U878="FINES",CONCATENATE("R",IF(OR(B878="16",B878="21",B878="22",B878="23"),"16212223",IF(OR(B878="15",B878="17",B878="24",B878="25"),"15172425",B878))),IF(U878="CEBAS","UNICO",IF(VALUE(B878)&lt;=11,"AMBA","INTERIOR"))))</f>
        <v>AMBA</v>
      </c>
      <c r="W878" s="38" t="str">
        <f>+IF(U878="","-",CONCATENATE(U878,"_",V878))</f>
        <v>CENS_AMBA</v>
      </c>
      <c r="X878" s="42">
        <v>0.30599999999999999</v>
      </c>
    </row>
    <row r="879" spans="1:24" ht="15" thickBot="1">
      <c r="A879" s="3" t="s">
        <v>2916</v>
      </c>
      <c r="B879" s="3" t="s">
        <v>1532</v>
      </c>
      <c r="C879" s="3" t="s">
        <v>1530</v>
      </c>
      <c r="D879" s="3" t="s">
        <v>1531</v>
      </c>
      <c r="E879" s="3">
        <v>623616</v>
      </c>
      <c r="F879" s="3">
        <v>0</v>
      </c>
      <c r="G879" s="3" t="s">
        <v>1734</v>
      </c>
      <c r="H879" s="3" t="s">
        <v>20</v>
      </c>
      <c r="I879" s="4" t="s">
        <v>142</v>
      </c>
      <c r="J879" s="4" t="s">
        <v>21</v>
      </c>
      <c r="K879" s="4"/>
      <c r="L879" s="4" t="s">
        <v>1735</v>
      </c>
      <c r="M879" s="4" t="s">
        <v>22</v>
      </c>
      <c r="N879" s="4" t="s">
        <v>23</v>
      </c>
      <c r="O879" s="4" t="s">
        <v>27</v>
      </c>
      <c r="P879" s="4" t="s">
        <v>144</v>
      </c>
      <c r="Q879" s="24">
        <v>114</v>
      </c>
      <c r="R879" s="25">
        <v>9</v>
      </c>
      <c r="S879" s="39">
        <v>1</v>
      </c>
      <c r="T879" s="7"/>
      <c r="U879" s="7" t="s">
        <v>2913</v>
      </c>
      <c r="V879" s="7" t="str">
        <f>+IF(U879="","",IF(U879="FINES",CONCATENATE("R",IF(OR(B879="16",B879="21",B879="22",B879="23"),"16212223",IF(OR(B879="15",B879="17",B879="24",B879="25"),"15172425",B879))),IF(U879="CEBAS","UNICO",IF(VALUE(B879)&lt;=11,"AMBA","INTERIOR"))))</f>
        <v>AMBA</v>
      </c>
      <c r="W879" s="38" t="str">
        <f>+IF(U879="","-",CONCATENATE(U879,"_",V879))</f>
        <v>CENS_AMBA</v>
      </c>
      <c r="X879" s="42">
        <v>0.308</v>
      </c>
    </row>
    <row r="880" spans="1:24" ht="15" thickBot="1">
      <c r="A880" s="5" t="s">
        <v>2916</v>
      </c>
      <c r="B880" s="5" t="s">
        <v>19</v>
      </c>
      <c r="C880" s="5" t="s">
        <v>252</v>
      </c>
      <c r="D880" s="5" t="s">
        <v>2566</v>
      </c>
      <c r="E880" s="5">
        <v>604880</v>
      </c>
      <c r="F880" s="5">
        <v>0</v>
      </c>
      <c r="G880" s="5" t="s">
        <v>2584</v>
      </c>
      <c r="H880" s="5" t="s">
        <v>20</v>
      </c>
      <c r="I880" s="6" t="s">
        <v>142</v>
      </c>
      <c r="J880" s="6" t="s">
        <v>21</v>
      </c>
      <c r="K880" s="6"/>
      <c r="L880" s="6" t="s">
        <v>400</v>
      </c>
      <c r="M880" s="6" t="s">
        <v>22</v>
      </c>
      <c r="N880" s="6" t="s">
        <v>23</v>
      </c>
      <c r="O880" s="6" t="s">
        <v>27</v>
      </c>
      <c r="P880" s="6" t="s">
        <v>144</v>
      </c>
      <c r="Q880" s="22">
        <v>278</v>
      </c>
      <c r="R880" s="23">
        <v>15</v>
      </c>
      <c r="S880" s="39">
        <v>1</v>
      </c>
      <c r="T880" s="7"/>
      <c r="U880" s="7" t="s">
        <v>2913</v>
      </c>
      <c r="V880" s="7" t="str">
        <f>+IF(U880="","",IF(U880="FINES",CONCATENATE("R",IF(OR(B880="16",B880="21",B880="22",B880="23"),"16212223",IF(OR(B880="15",B880="17",B880="24",B880="25"),"15172425",B880))),IF(U880="CEBAS","UNICO",IF(VALUE(B880)&lt;=11,"AMBA","INTERIOR"))))</f>
        <v>AMBA</v>
      </c>
      <c r="W880" s="38" t="str">
        <f>+IF(U880="","-",CONCATENATE(U880,"_",V880))</f>
        <v>CENS_AMBA</v>
      </c>
      <c r="X880" s="42">
        <v>0.31</v>
      </c>
    </row>
    <row r="881" spans="1:24" ht="15" thickBot="1">
      <c r="A881" s="5" t="s">
        <v>2916</v>
      </c>
      <c r="B881" s="5" t="s">
        <v>356</v>
      </c>
      <c r="C881" s="5" t="s">
        <v>805</v>
      </c>
      <c r="D881" s="5" t="s">
        <v>2500</v>
      </c>
      <c r="E881" s="5">
        <v>623596</v>
      </c>
      <c r="F881" s="5">
        <v>0</v>
      </c>
      <c r="G881" s="5" t="s">
        <v>2544</v>
      </c>
      <c r="H881" s="5" t="s">
        <v>20</v>
      </c>
      <c r="I881" s="6" t="s">
        <v>142</v>
      </c>
      <c r="J881" s="6" t="s">
        <v>21</v>
      </c>
      <c r="K881" s="6"/>
      <c r="L881" s="6" t="s">
        <v>636</v>
      </c>
      <c r="M881" s="6" t="s">
        <v>22</v>
      </c>
      <c r="N881" s="6" t="s">
        <v>23</v>
      </c>
      <c r="O881" s="6" t="s">
        <v>27</v>
      </c>
      <c r="P881" s="6" t="s">
        <v>144</v>
      </c>
      <c r="Q881" s="22">
        <v>196</v>
      </c>
      <c r="R881" s="23">
        <v>7</v>
      </c>
      <c r="S881" s="39">
        <v>1</v>
      </c>
      <c r="T881" s="7"/>
      <c r="U881" s="7" t="s">
        <v>2913</v>
      </c>
      <c r="V881" s="7" t="str">
        <f>+IF(U881="","",IF(U881="FINES",CONCATENATE("R",IF(OR(B881="16",B881="21",B881="22",B881="23"),"16212223",IF(OR(B881="15",B881="17",B881="24",B881="25"),"15172425",B881))),IF(U881="CEBAS","UNICO",IF(VALUE(B881)&lt;=11,"AMBA","INTERIOR"))))</f>
        <v>AMBA</v>
      </c>
      <c r="W881" s="38" t="str">
        <f>+IF(U881="","-",CONCATENATE(U881,"_",V881))</f>
        <v>CENS_AMBA</v>
      </c>
      <c r="X881" s="42">
        <v>0.312</v>
      </c>
    </row>
    <row r="882" spans="1:24" ht="15" thickBot="1">
      <c r="A882" s="5" t="s">
        <v>2916</v>
      </c>
      <c r="B882" s="5" t="s">
        <v>1780</v>
      </c>
      <c r="C882" s="5" t="s">
        <v>1248</v>
      </c>
      <c r="D882" s="5" t="s">
        <v>2348</v>
      </c>
      <c r="E882" s="5">
        <v>616449</v>
      </c>
      <c r="F882" s="5">
        <v>0</v>
      </c>
      <c r="G882" s="5" t="s">
        <v>2374</v>
      </c>
      <c r="H882" s="5" t="s">
        <v>20</v>
      </c>
      <c r="I882" s="6" t="s">
        <v>142</v>
      </c>
      <c r="J882" s="6" t="s">
        <v>21</v>
      </c>
      <c r="K882" s="6"/>
      <c r="L882" s="6" t="s">
        <v>2375</v>
      </c>
      <c r="M882" s="6" t="s">
        <v>22</v>
      </c>
      <c r="N882" s="6" t="s">
        <v>23</v>
      </c>
      <c r="O882" s="6" t="s">
        <v>27</v>
      </c>
      <c r="P882" s="6" t="s">
        <v>144</v>
      </c>
      <c r="Q882" s="22">
        <v>189</v>
      </c>
      <c r="R882" s="23">
        <v>12</v>
      </c>
      <c r="S882" s="39">
        <v>1</v>
      </c>
      <c r="T882" s="7"/>
      <c r="U882" s="7" t="s">
        <v>2913</v>
      </c>
      <c r="V882" s="7" t="str">
        <f>+IF(U882="","",IF(U882="FINES",CONCATENATE("R",IF(OR(B882="16",B882="21",B882="22",B882="23"),"16212223",IF(OR(B882="15",B882="17",B882="24",B882="25"),"15172425",B882))),IF(U882="CEBAS","UNICO",IF(VALUE(B882)&lt;=11,"AMBA","INTERIOR"))))</f>
        <v>AMBA</v>
      </c>
      <c r="W882" s="38" t="str">
        <f>+IF(U882="","-",CONCATENATE(U882,"_",V882))</f>
        <v>CENS_AMBA</v>
      </c>
      <c r="X882" s="42">
        <v>0.314</v>
      </c>
    </row>
    <row r="883" spans="1:24" ht="15" thickBot="1">
      <c r="A883" s="3" t="s">
        <v>2916</v>
      </c>
      <c r="B883" s="3" t="s">
        <v>257</v>
      </c>
      <c r="C883" s="3" t="s">
        <v>254</v>
      </c>
      <c r="D883" s="3" t="s">
        <v>256</v>
      </c>
      <c r="E883" s="3">
        <v>623656</v>
      </c>
      <c r="F883" s="3">
        <v>0</v>
      </c>
      <c r="G883" s="3" t="s">
        <v>336</v>
      </c>
      <c r="H883" s="3" t="s">
        <v>20</v>
      </c>
      <c r="I883" s="4" t="s">
        <v>142</v>
      </c>
      <c r="J883" s="4" t="s">
        <v>21</v>
      </c>
      <c r="K883" s="4"/>
      <c r="L883" s="4" t="s">
        <v>337</v>
      </c>
      <c r="M883" s="4" t="s">
        <v>22</v>
      </c>
      <c r="N883" s="4" t="s">
        <v>23</v>
      </c>
      <c r="O883" s="4" t="s">
        <v>27</v>
      </c>
      <c r="P883" s="4" t="s">
        <v>144</v>
      </c>
      <c r="Q883" s="24">
        <v>72</v>
      </c>
      <c r="R883" s="25">
        <v>7</v>
      </c>
      <c r="S883" s="39">
        <v>1</v>
      </c>
      <c r="T883" s="7"/>
      <c r="U883" s="7" t="s">
        <v>2913</v>
      </c>
      <c r="V883" s="7" t="str">
        <f>+IF(U883="","",IF(U883="FINES",CONCATENATE("R",IF(OR(B883="16",B883="21",B883="22",B883="23"),"16212223",IF(OR(B883="15",B883="17",B883="24",B883="25"),"15172425",B883))),IF(U883="CEBAS","UNICO",IF(VALUE(B883)&lt;=11,"AMBA","INTERIOR"))))</f>
        <v>AMBA</v>
      </c>
      <c r="W883" s="38" t="str">
        <f>+IF(U883="","-",CONCATENATE(U883,"_",V883))</f>
        <v>CENS_AMBA</v>
      </c>
      <c r="X883" s="42">
        <v>0.318</v>
      </c>
    </row>
    <row r="884" spans="1:24" ht="15" thickBot="1">
      <c r="A884" s="3" t="s">
        <v>2916</v>
      </c>
      <c r="B884" s="3" t="s">
        <v>19</v>
      </c>
      <c r="C884" s="3" t="s">
        <v>17</v>
      </c>
      <c r="D884" s="3" t="s">
        <v>18</v>
      </c>
      <c r="E884" s="3">
        <v>624407</v>
      </c>
      <c r="F884" s="3">
        <v>0</v>
      </c>
      <c r="G884" s="3" t="s">
        <v>187</v>
      </c>
      <c r="H884" s="3" t="s">
        <v>20</v>
      </c>
      <c r="I884" s="4" t="s">
        <v>142</v>
      </c>
      <c r="J884" s="4" t="s">
        <v>21</v>
      </c>
      <c r="K884" s="4"/>
      <c r="L884" s="4" t="s">
        <v>188</v>
      </c>
      <c r="M884" s="4" t="s">
        <v>22</v>
      </c>
      <c r="N884" s="4" t="s">
        <v>23</v>
      </c>
      <c r="O884" s="4" t="s">
        <v>27</v>
      </c>
      <c r="P884" s="4" t="s">
        <v>144</v>
      </c>
      <c r="Q884" s="24">
        <v>64</v>
      </c>
      <c r="R884" s="25">
        <v>9</v>
      </c>
      <c r="S884" s="39">
        <v>1</v>
      </c>
      <c r="T884" s="7"/>
      <c r="U884" s="7" t="s">
        <v>2913</v>
      </c>
      <c r="V884" s="7" t="str">
        <f>+IF(U884="","",IF(U884="FINES",CONCATENATE("R",IF(OR(B884="16",B884="21",B884="22",B884="23"),"16212223",IF(OR(B884="15",B884="17",B884="24",B884="25"),"15172425",B884))),IF(U884="CEBAS","UNICO",IF(VALUE(B884)&lt;=11,"AMBA","INTERIOR"))))</f>
        <v>AMBA</v>
      </c>
      <c r="W884" s="38" t="str">
        <f>+IF(U884="","-",CONCATENATE(U884,"_",V884))</f>
        <v>CENS_AMBA</v>
      </c>
      <c r="X884" s="42">
        <v>0.31900000000000001</v>
      </c>
    </row>
    <row r="885" spans="1:24" ht="15" thickBot="1">
      <c r="A885" s="3" t="s">
        <v>2916</v>
      </c>
      <c r="B885" s="3" t="s">
        <v>19</v>
      </c>
      <c r="C885" s="3" t="s">
        <v>17</v>
      </c>
      <c r="D885" s="3" t="s">
        <v>18</v>
      </c>
      <c r="E885" s="3">
        <v>617135</v>
      </c>
      <c r="F885" s="3">
        <v>0</v>
      </c>
      <c r="G885" s="3" t="s">
        <v>183</v>
      </c>
      <c r="H885" s="3" t="s">
        <v>20</v>
      </c>
      <c r="I885" s="4" t="s">
        <v>142</v>
      </c>
      <c r="J885" s="4" t="s">
        <v>21</v>
      </c>
      <c r="K885" s="4"/>
      <c r="L885" s="4" t="s">
        <v>184</v>
      </c>
      <c r="M885" s="4" t="s">
        <v>22</v>
      </c>
      <c r="N885" s="4" t="s">
        <v>23</v>
      </c>
      <c r="O885" s="4" t="s">
        <v>27</v>
      </c>
      <c r="P885" s="4" t="s">
        <v>144</v>
      </c>
      <c r="Q885" s="24">
        <v>132</v>
      </c>
      <c r="R885" s="25">
        <v>10</v>
      </c>
      <c r="S885" s="39">
        <v>1</v>
      </c>
      <c r="T885" s="7"/>
      <c r="U885" s="7" t="s">
        <v>2913</v>
      </c>
      <c r="V885" s="7" t="str">
        <f>+IF(U885="","",IF(U885="FINES",CONCATENATE("R",IF(OR(B885="16",B885="21",B885="22",B885="23"),"16212223",IF(OR(B885="15",B885="17",B885="24",B885="25"),"15172425",B885))),IF(U885="CEBAS","UNICO",IF(VALUE(B885)&lt;=11,"AMBA","INTERIOR"))))</f>
        <v>AMBA</v>
      </c>
      <c r="W885" s="38" t="str">
        <f>+IF(U885="","-",CONCATENATE(U885,"_",V885))</f>
        <v>CENS_AMBA</v>
      </c>
      <c r="X885" s="42">
        <v>0.32</v>
      </c>
    </row>
    <row r="886" spans="1:24" ht="15" thickBot="1">
      <c r="A886" s="3" t="s">
        <v>2916</v>
      </c>
      <c r="B886" s="3" t="s">
        <v>1860</v>
      </c>
      <c r="C886" s="3" t="s">
        <v>224</v>
      </c>
      <c r="D886" s="3" t="s">
        <v>2837</v>
      </c>
      <c r="E886" s="3">
        <v>623732</v>
      </c>
      <c r="F886" s="3">
        <v>0</v>
      </c>
      <c r="G886" s="3" t="s">
        <v>2857</v>
      </c>
      <c r="H886" s="3" t="s">
        <v>20</v>
      </c>
      <c r="I886" s="4" t="s">
        <v>142</v>
      </c>
      <c r="J886" s="4" t="s">
        <v>21</v>
      </c>
      <c r="K886" s="4"/>
      <c r="L886" s="4" t="s">
        <v>335</v>
      </c>
      <c r="M886" s="4" t="s">
        <v>22</v>
      </c>
      <c r="N886" s="4" t="s">
        <v>23</v>
      </c>
      <c r="O886" s="4" t="s">
        <v>27</v>
      </c>
      <c r="P886" s="4" t="s">
        <v>144</v>
      </c>
      <c r="Q886" s="24">
        <v>239</v>
      </c>
      <c r="R886" s="25">
        <v>6</v>
      </c>
      <c r="S886" s="39">
        <v>1</v>
      </c>
      <c r="T886" s="7"/>
      <c r="U886" s="7" t="s">
        <v>2913</v>
      </c>
      <c r="V886" s="7" t="str">
        <f>+IF(U886="","",IF(U886="FINES",CONCATENATE("R",IF(OR(B886="16",B886="21",B886="22",B886="23"),"16212223",IF(OR(B886="15",B886="17",B886="24",B886="25"),"15172425",B886))),IF(U886="CEBAS","UNICO",IF(VALUE(B886)&lt;=11,"AMBA","INTERIOR"))))</f>
        <v>AMBA</v>
      </c>
      <c r="W886" s="38" t="str">
        <f>+IF(U886="","-",CONCATENATE(U886,"_",V886))</f>
        <v>CENS_AMBA</v>
      </c>
      <c r="X886" s="42">
        <v>0.33100000000000002</v>
      </c>
    </row>
    <row r="887" spans="1:24" ht="15" thickBot="1">
      <c r="A887" s="3" t="s">
        <v>2916</v>
      </c>
      <c r="B887" s="3" t="s">
        <v>204</v>
      </c>
      <c r="C887" s="3" t="s">
        <v>1084</v>
      </c>
      <c r="D887" s="3" t="s">
        <v>1085</v>
      </c>
      <c r="E887" s="3">
        <v>622213</v>
      </c>
      <c r="F887" s="3">
        <v>0</v>
      </c>
      <c r="G887" s="3" t="s">
        <v>1136</v>
      </c>
      <c r="H887" s="3" t="s">
        <v>20</v>
      </c>
      <c r="I887" s="4" t="s">
        <v>142</v>
      </c>
      <c r="J887" s="4" t="s">
        <v>21</v>
      </c>
      <c r="K887" s="4"/>
      <c r="L887" s="4" t="s">
        <v>1137</v>
      </c>
      <c r="M887" s="4" t="s">
        <v>22</v>
      </c>
      <c r="N887" s="4" t="s">
        <v>23</v>
      </c>
      <c r="O887" s="4" t="s">
        <v>27</v>
      </c>
      <c r="P887" s="4" t="s">
        <v>144</v>
      </c>
      <c r="Q887" s="24">
        <v>408</v>
      </c>
      <c r="R887" s="25">
        <v>16</v>
      </c>
      <c r="S887" s="39">
        <v>1</v>
      </c>
      <c r="T887" s="7"/>
      <c r="U887" s="7" t="s">
        <v>2913</v>
      </c>
      <c r="V887" s="7" t="str">
        <f>+IF(U887="","",IF(U887="FINES",CONCATENATE("R",IF(OR(B887="16",B887="21",B887="22",B887="23"),"16212223",IF(OR(B887="15",B887="17",B887="24",B887="25"),"15172425",B887))),IF(U887="CEBAS","UNICO",IF(VALUE(B887)&lt;=11,"AMBA","INTERIOR"))))</f>
        <v>AMBA</v>
      </c>
      <c r="W887" s="38" t="str">
        <f>+IF(U887="","-",CONCATENATE(U887,"_",V887))</f>
        <v>CENS_AMBA</v>
      </c>
      <c r="X887" s="42">
        <v>0.33300000000000002</v>
      </c>
    </row>
    <row r="888" spans="1:24" ht="15" thickBot="1">
      <c r="A888" s="5" t="s">
        <v>2916</v>
      </c>
      <c r="B888" s="5" t="s">
        <v>1257</v>
      </c>
      <c r="C888" s="5" t="s">
        <v>2237</v>
      </c>
      <c r="D888" s="5" t="s">
        <v>2238</v>
      </c>
      <c r="E888" s="5">
        <v>617171</v>
      </c>
      <c r="F888" s="5">
        <v>0</v>
      </c>
      <c r="G888" s="5" t="s">
        <v>2269</v>
      </c>
      <c r="H888" s="5" t="s">
        <v>20</v>
      </c>
      <c r="I888" s="6" t="s">
        <v>142</v>
      </c>
      <c r="J888" s="6" t="s">
        <v>21</v>
      </c>
      <c r="K888" s="6"/>
      <c r="L888" s="6" t="s">
        <v>150</v>
      </c>
      <c r="M888" s="6" t="s">
        <v>22</v>
      </c>
      <c r="N888" s="6" t="s">
        <v>23</v>
      </c>
      <c r="O888" s="6" t="s">
        <v>27</v>
      </c>
      <c r="P888" s="6" t="s">
        <v>144</v>
      </c>
      <c r="Q888" s="22">
        <v>114</v>
      </c>
      <c r="R888" s="23">
        <v>6</v>
      </c>
      <c r="S888" s="39">
        <v>1</v>
      </c>
      <c r="T888" s="7"/>
      <c r="U888" t="s">
        <v>2913</v>
      </c>
      <c r="V888" s="7" t="str">
        <f>+IF(U888="","",IF(U888="FINES",CONCATENATE("R",IF(OR(B888="16",B888="21",B888="22",B888="23"),"16212223",IF(OR(B888="15",B888="17",B888="24",B888="25"),"15172425",B888))),IF(U888="CEBAS","UNICO",IF(VALUE(B888)&lt;=11,"AMBA","INTERIOR"))))</f>
        <v>AMBA</v>
      </c>
      <c r="W888" s="38" t="str">
        <f>+IF(U888="","-",CONCATENATE(U888,"_",V888))</f>
        <v>CENS_AMBA</v>
      </c>
      <c r="X888" s="42">
        <v>0.33400000000000002</v>
      </c>
    </row>
    <row r="889" spans="1:24" ht="15" thickBot="1">
      <c r="A889" s="5" t="s">
        <v>2916</v>
      </c>
      <c r="B889" s="5" t="s">
        <v>1532</v>
      </c>
      <c r="C889" s="5" t="s">
        <v>1530</v>
      </c>
      <c r="D889" s="5" t="s">
        <v>1531</v>
      </c>
      <c r="E889" s="5">
        <v>623098</v>
      </c>
      <c r="F889" s="5">
        <v>0</v>
      </c>
      <c r="G889" s="5" t="s">
        <v>1688</v>
      </c>
      <c r="H889" s="5" t="s">
        <v>20</v>
      </c>
      <c r="I889" s="6" t="s">
        <v>142</v>
      </c>
      <c r="J889" s="6" t="s">
        <v>21</v>
      </c>
      <c r="K889" s="6"/>
      <c r="L889" s="6" t="s">
        <v>1137</v>
      </c>
      <c r="M889" s="6" t="s">
        <v>22</v>
      </c>
      <c r="N889" s="6" t="s">
        <v>23</v>
      </c>
      <c r="O889" s="6" t="s">
        <v>27</v>
      </c>
      <c r="P889" s="6" t="s">
        <v>144</v>
      </c>
      <c r="Q889" s="22">
        <v>162</v>
      </c>
      <c r="R889" s="23">
        <v>8</v>
      </c>
      <c r="S889" s="39">
        <v>1</v>
      </c>
      <c r="T889" s="7"/>
      <c r="U889" t="s">
        <v>2913</v>
      </c>
      <c r="V889" s="7" t="str">
        <f>+IF(U889="","",IF(U889="FINES",CONCATENATE("R",IF(OR(B889="16",B889="21",B889="22",B889="23"),"16212223",IF(OR(B889="15",B889="17",B889="24",B889="25"),"15172425",B889))),IF(U889="CEBAS","UNICO",IF(VALUE(B889)&lt;=11,"AMBA","INTERIOR"))))</f>
        <v>AMBA</v>
      </c>
      <c r="W889" s="38" t="str">
        <f>+IF(U889="","-",CONCATENATE(U889,"_",V889))</f>
        <v>CENS_AMBA</v>
      </c>
      <c r="X889" s="42">
        <v>0.33400000000000002</v>
      </c>
    </row>
    <row r="890" spans="1:24" ht="15" thickBot="1">
      <c r="A890" s="3" t="s">
        <v>2916</v>
      </c>
      <c r="B890" s="3" t="s">
        <v>19</v>
      </c>
      <c r="C890" s="3" t="s">
        <v>17</v>
      </c>
      <c r="D890" s="3" t="s">
        <v>18</v>
      </c>
      <c r="E890" s="3">
        <v>623592</v>
      </c>
      <c r="F890" s="3">
        <v>0</v>
      </c>
      <c r="G890" s="3" t="s">
        <v>169</v>
      </c>
      <c r="H890" s="3" t="s">
        <v>20</v>
      </c>
      <c r="I890" s="4" t="s">
        <v>142</v>
      </c>
      <c r="J890" s="4" t="s">
        <v>21</v>
      </c>
      <c r="K890" s="4"/>
      <c r="L890" s="4" t="s">
        <v>170</v>
      </c>
      <c r="M890" s="4" t="s">
        <v>22</v>
      </c>
      <c r="N890" s="4" t="s">
        <v>23</v>
      </c>
      <c r="O890" s="4" t="s">
        <v>27</v>
      </c>
      <c r="P890" s="4" t="s">
        <v>144</v>
      </c>
      <c r="Q890" s="24">
        <v>66</v>
      </c>
      <c r="R890" s="25">
        <v>3</v>
      </c>
      <c r="S890" s="39">
        <v>1</v>
      </c>
      <c r="T890" s="7"/>
      <c r="U890" t="s">
        <v>2913</v>
      </c>
      <c r="V890" s="7" t="str">
        <f>+IF(U890="","",IF(U890="FINES",CONCATENATE("R",IF(OR(B890="16",B890="21",B890="22",B890="23"),"16212223",IF(OR(B890="15",B890="17",B890="24",B890="25"),"15172425",B890))),IF(U890="CEBAS","UNICO",IF(VALUE(B890)&lt;=11,"AMBA","INTERIOR"))))</f>
        <v>AMBA</v>
      </c>
      <c r="W890" s="38" t="str">
        <f>+IF(U890="","-",CONCATENATE(U890,"_",V890))</f>
        <v>CENS_AMBA</v>
      </c>
      <c r="X890" s="42">
        <v>0.33500000000000002</v>
      </c>
    </row>
    <row r="891" spans="1:24" ht="15" thickBot="1">
      <c r="A891" s="5" t="s">
        <v>2916</v>
      </c>
      <c r="B891" s="5" t="s">
        <v>19</v>
      </c>
      <c r="C891" s="5" t="s">
        <v>449</v>
      </c>
      <c r="D891" s="5" t="s">
        <v>2590</v>
      </c>
      <c r="E891" s="5">
        <v>624051</v>
      </c>
      <c r="F891" s="5">
        <v>0</v>
      </c>
      <c r="G891" s="5" t="s">
        <v>2599</v>
      </c>
      <c r="H891" s="5" t="s">
        <v>20</v>
      </c>
      <c r="I891" s="6" t="s">
        <v>142</v>
      </c>
      <c r="J891" s="6" t="s">
        <v>21</v>
      </c>
      <c r="K891" s="6"/>
      <c r="L891" s="6" t="s">
        <v>587</v>
      </c>
      <c r="M891" s="6" t="s">
        <v>22</v>
      </c>
      <c r="N891" s="6" t="s">
        <v>134</v>
      </c>
      <c r="O891" s="6" t="s">
        <v>27</v>
      </c>
      <c r="P891" s="6" t="s">
        <v>144</v>
      </c>
      <c r="Q891" s="22">
        <v>144</v>
      </c>
      <c r="R891" s="23">
        <v>7</v>
      </c>
      <c r="S891" s="39">
        <v>1</v>
      </c>
      <c r="T891" s="7"/>
      <c r="U891" t="s">
        <v>2913</v>
      </c>
      <c r="V891" s="7" t="str">
        <f>+IF(U891="","",IF(U891="FINES",CONCATENATE("R",IF(OR(B891="16",B891="21",B891="22",B891="23"),"16212223",IF(OR(B891="15",B891="17",B891="24",B891="25"),"15172425",B891))),IF(U891="CEBAS","UNICO",IF(VALUE(B891)&lt;=11,"AMBA","INTERIOR"))))</f>
        <v>AMBA</v>
      </c>
      <c r="W891" s="38" t="str">
        <f>+IF(U891="","-",CONCATENATE(U891,"_",V891))</f>
        <v>CENS_AMBA</v>
      </c>
      <c r="X891" s="42">
        <v>0.33600000000000002</v>
      </c>
    </row>
    <row r="892" spans="1:24" ht="15" thickBot="1">
      <c r="A892" s="5" t="s">
        <v>2916</v>
      </c>
      <c r="B892" s="5" t="s">
        <v>1257</v>
      </c>
      <c r="C892" s="5" t="s">
        <v>2237</v>
      </c>
      <c r="D892" s="5" t="s">
        <v>2238</v>
      </c>
      <c r="E892" s="5">
        <v>623674</v>
      </c>
      <c r="F892" s="5">
        <v>0</v>
      </c>
      <c r="G892" s="5" t="s">
        <v>2271</v>
      </c>
      <c r="H892" s="5" t="s">
        <v>20</v>
      </c>
      <c r="I892" s="6" t="s">
        <v>142</v>
      </c>
      <c r="J892" s="6" t="s">
        <v>21</v>
      </c>
      <c r="K892" s="6"/>
      <c r="L892" s="6" t="s">
        <v>154</v>
      </c>
      <c r="M892" s="6" t="s">
        <v>22</v>
      </c>
      <c r="N892" s="6" t="s">
        <v>23</v>
      </c>
      <c r="O892" s="6" t="s">
        <v>27</v>
      </c>
      <c r="P892" s="6" t="s">
        <v>144</v>
      </c>
      <c r="Q892" s="22">
        <v>201</v>
      </c>
      <c r="R892" s="23">
        <v>9</v>
      </c>
      <c r="S892" s="39">
        <v>1</v>
      </c>
      <c r="T892" s="7"/>
      <c r="U892" s="7" t="s">
        <v>2913</v>
      </c>
      <c r="V892" s="7" t="str">
        <f>+IF(U892="","",IF(U892="FINES",CONCATENATE("R",IF(OR(B892="16",B892="21",B892="22",B892="23"),"16212223",IF(OR(B892="15",B892="17",B892="24",B892="25"),"15172425",B892))),IF(U892="CEBAS","UNICO",IF(VALUE(B892)&lt;=11,"AMBA","INTERIOR"))))</f>
        <v>AMBA</v>
      </c>
      <c r="W892" s="38" t="str">
        <f>+IF(U892="","-",CONCATENATE(U892,"_",V892))</f>
        <v>CENS_AMBA</v>
      </c>
      <c r="X892" s="42">
        <v>0.35199999999999998</v>
      </c>
    </row>
    <row r="893" spans="1:24" ht="15" thickBot="1">
      <c r="A893" s="3" t="s">
        <v>2916</v>
      </c>
      <c r="B893" s="3" t="s">
        <v>222</v>
      </c>
      <c r="C893" s="3" t="s">
        <v>610</v>
      </c>
      <c r="D893" s="3" t="s">
        <v>611</v>
      </c>
      <c r="E893" s="3">
        <v>605897</v>
      </c>
      <c r="F893" s="3">
        <v>0</v>
      </c>
      <c r="G893" s="3" t="s">
        <v>632</v>
      </c>
      <c r="H893" s="3" t="s">
        <v>20</v>
      </c>
      <c r="I893" s="4" t="s">
        <v>142</v>
      </c>
      <c r="J893" s="4" t="s">
        <v>21</v>
      </c>
      <c r="K893" s="4"/>
      <c r="L893" s="4" t="s">
        <v>335</v>
      </c>
      <c r="M893" s="4" t="s">
        <v>22</v>
      </c>
      <c r="N893" s="4" t="s">
        <v>23</v>
      </c>
      <c r="O893" s="4" t="s">
        <v>27</v>
      </c>
      <c r="P893" s="4" t="s">
        <v>144</v>
      </c>
      <c r="Q893" s="24">
        <v>156</v>
      </c>
      <c r="R893" s="25">
        <v>9</v>
      </c>
      <c r="S893" s="39">
        <v>1</v>
      </c>
      <c r="T893" s="7"/>
      <c r="U893" s="7" t="s">
        <v>2913</v>
      </c>
      <c r="V893" s="7" t="str">
        <f>+IF(U893="","",IF(U893="FINES",CONCATENATE("R",IF(OR(B893="16",B893="21",B893="22",B893="23"),"16212223",IF(OR(B893="15",B893="17",B893="24",B893="25"),"15172425",B893))),IF(U893="CEBAS","UNICO",IF(VALUE(B893)&lt;=11,"AMBA","INTERIOR"))))</f>
        <v>AMBA</v>
      </c>
      <c r="W893" s="38" t="str">
        <f>+IF(U893="","-",CONCATENATE(U893,"_",V893))</f>
        <v>CENS_AMBA</v>
      </c>
      <c r="X893" s="42">
        <v>0.35299999999999998</v>
      </c>
    </row>
    <row r="894" spans="1:24" ht="15" thickBot="1">
      <c r="A894" s="5" t="s">
        <v>2916</v>
      </c>
      <c r="B894" s="5" t="s">
        <v>356</v>
      </c>
      <c r="C894" s="5" t="s">
        <v>1359</v>
      </c>
      <c r="D894" s="5" t="s">
        <v>1360</v>
      </c>
      <c r="E894" s="5">
        <v>610701</v>
      </c>
      <c r="F894" s="5">
        <v>0</v>
      </c>
      <c r="G894" s="5" t="s">
        <v>1427</v>
      </c>
      <c r="H894" s="5" t="s">
        <v>20</v>
      </c>
      <c r="I894" s="6" t="s">
        <v>142</v>
      </c>
      <c r="J894" s="6" t="s">
        <v>21</v>
      </c>
      <c r="K894" s="6"/>
      <c r="L894" s="6" t="s">
        <v>146</v>
      </c>
      <c r="M894" s="6" t="s">
        <v>22</v>
      </c>
      <c r="N894" s="6" t="s">
        <v>23</v>
      </c>
      <c r="O894" s="6" t="s">
        <v>27</v>
      </c>
      <c r="P894" s="6" t="s">
        <v>144</v>
      </c>
      <c r="Q894" s="22">
        <v>96</v>
      </c>
      <c r="R894" s="23">
        <v>10</v>
      </c>
      <c r="S894" s="39">
        <v>1</v>
      </c>
      <c r="T894" s="7"/>
      <c r="U894" s="7" t="s">
        <v>2913</v>
      </c>
      <c r="V894" s="7" t="str">
        <f>+IF(U894="","",IF(U894="FINES",CONCATENATE("R",IF(OR(B894="16",B894="21",B894="22",B894="23"),"16212223",IF(OR(B894="15",B894="17",B894="24",B894="25"),"15172425",B894))),IF(U894="CEBAS","UNICO",IF(VALUE(B894)&lt;=11,"AMBA","INTERIOR"))))</f>
        <v>AMBA</v>
      </c>
      <c r="W894" s="38" t="str">
        <f>+IF(U894="","-",CONCATENATE(U894,"_",V894))</f>
        <v>CENS_AMBA</v>
      </c>
      <c r="X894" s="42">
        <v>0.35399999999999998</v>
      </c>
    </row>
    <row r="895" spans="1:24" ht="15" thickBot="1">
      <c r="A895" s="3" t="s">
        <v>2916</v>
      </c>
      <c r="B895" s="3" t="s">
        <v>222</v>
      </c>
      <c r="C895" s="3" t="s">
        <v>2047</v>
      </c>
      <c r="D895" s="3" t="s">
        <v>2048</v>
      </c>
      <c r="E895" s="3">
        <v>623976</v>
      </c>
      <c r="F895" s="3">
        <v>0</v>
      </c>
      <c r="G895" s="3" t="s">
        <v>2068</v>
      </c>
      <c r="H895" s="3" t="s">
        <v>20</v>
      </c>
      <c r="I895" s="4" t="s">
        <v>142</v>
      </c>
      <c r="J895" s="4" t="s">
        <v>21</v>
      </c>
      <c r="K895" s="4"/>
      <c r="L895" s="4" t="s">
        <v>2069</v>
      </c>
      <c r="M895" s="4" t="s">
        <v>22</v>
      </c>
      <c r="N895" s="4" t="s">
        <v>23</v>
      </c>
      <c r="O895" s="4" t="s">
        <v>27</v>
      </c>
      <c r="P895" s="4" t="s">
        <v>144</v>
      </c>
      <c r="Q895" s="24">
        <v>57</v>
      </c>
      <c r="R895" s="25">
        <v>3</v>
      </c>
      <c r="S895" s="39">
        <v>1</v>
      </c>
      <c r="T895" s="7"/>
      <c r="U895" s="7" t="s">
        <v>2913</v>
      </c>
      <c r="V895" s="7" t="str">
        <f>+IF(U895="","",IF(U895="FINES",CONCATENATE("R",IF(OR(B895="16",B895="21",B895="22",B895="23"),"16212223",IF(OR(B895="15",B895="17",B895="24",B895="25"),"15172425",B895))),IF(U895="CEBAS","UNICO",IF(VALUE(B895)&lt;=11,"AMBA","INTERIOR"))))</f>
        <v>AMBA</v>
      </c>
      <c r="W895" s="38" t="str">
        <f>+IF(U895="","-",CONCATENATE(U895,"_",V895))</f>
        <v>CENS_AMBA</v>
      </c>
      <c r="X895" s="42">
        <v>0.373</v>
      </c>
    </row>
    <row r="896" spans="1:24" ht="15" thickBot="1">
      <c r="A896" s="3" t="s">
        <v>2916</v>
      </c>
      <c r="B896" s="3" t="s">
        <v>222</v>
      </c>
      <c r="C896" s="3" t="s">
        <v>227</v>
      </c>
      <c r="D896" s="3" t="s">
        <v>2603</v>
      </c>
      <c r="E896" s="3">
        <v>624129</v>
      </c>
      <c r="F896" s="3">
        <v>0</v>
      </c>
      <c r="G896" s="3" t="s">
        <v>2625</v>
      </c>
      <c r="H896" s="3" t="s">
        <v>20</v>
      </c>
      <c r="I896" s="4" t="s">
        <v>142</v>
      </c>
      <c r="J896" s="4" t="s">
        <v>21</v>
      </c>
      <c r="K896" s="4"/>
      <c r="L896" s="4" t="s">
        <v>339</v>
      </c>
      <c r="M896" s="4" t="s">
        <v>22</v>
      </c>
      <c r="N896" s="4" t="s">
        <v>23</v>
      </c>
      <c r="O896" s="4" t="s">
        <v>27</v>
      </c>
      <c r="P896" s="4" t="s">
        <v>144</v>
      </c>
      <c r="Q896" s="24">
        <v>140</v>
      </c>
      <c r="R896" s="25">
        <v>6</v>
      </c>
      <c r="S896" s="39">
        <v>1</v>
      </c>
      <c r="T896" s="7"/>
      <c r="U896" s="7" t="s">
        <v>2913</v>
      </c>
      <c r="V896" s="7" t="str">
        <f>+IF(U896="","",IF(U896="FINES",CONCATENATE("R",IF(OR(B896="16",B896="21",B896="22",B896="23"),"16212223",IF(OR(B896="15",B896="17",B896="24",B896="25"),"15172425",B896))),IF(U896="CEBAS","UNICO",IF(VALUE(B896)&lt;=11,"AMBA","INTERIOR"))))</f>
        <v>AMBA</v>
      </c>
      <c r="W896" s="38" t="str">
        <f>+IF(U896="","-",CONCATENATE(U896,"_",V896))</f>
        <v>CENS_AMBA</v>
      </c>
      <c r="X896" s="42">
        <v>0.373</v>
      </c>
    </row>
    <row r="897" spans="1:24" ht="15" thickBot="1">
      <c r="A897" s="3" t="s">
        <v>2916</v>
      </c>
      <c r="B897" s="3" t="s">
        <v>138</v>
      </c>
      <c r="C897" s="3" t="s">
        <v>522</v>
      </c>
      <c r="D897" s="3" t="s">
        <v>1468</v>
      </c>
      <c r="E897" s="3">
        <v>608776</v>
      </c>
      <c r="F897" s="3">
        <v>0</v>
      </c>
      <c r="G897" s="3" t="s">
        <v>1477</v>
      </c>
      <c r="H897" s="3" t="s">
        <v>20</v>
      </c>
      <c r="I897" s="4" t="s">
        <v>142</v>
      </c>
      <c r="J897" s="4" t="s">
        <v>21</v>
      </c>
      <c r="K897" s="4"/>
      <c r="L897" s="4" t="s">
        <v>400</v>
      </c>
      <c r="M897" s="4" t="s">
        <v>22</v>
      </c>
      <c r="N897" s="4" t="s">
        <v>23</v>
      </c>
      <c r="O897" s="4" t="s">
        <v>27</v>
      </c>
      <c r="P897" s="4" t="s">
        <v>144</v>
      </c>
      <c r="Q897" s="24">
        <v>330</v>
      </c>
      <c r="R897" s="25">
        <v>15</v>
      </c>
      <c r="S897" s="39">
        <v>1</v>
      </c>
      <c r="T897" s="7"/>
      <c r="U897" t="s">
        <v>2913</v>
      </c>
      <c r="V897" s="7" t="str">
        <f>+IF(U897="","",IF(U897="FINES",CONCATENATE("R",IF(OR(B897="16",B897="21",B897="22",B897="23"),"16212223",IF(OR(B897="15",B897="17",B897="24",B897="25"),"15172425",B897))),IF(U897="CEBAS","UNICO",IF(VALUE(B897)&lt;=11,"AMBA","INTERIOR"))))</f>
        <v>AMBA</v>
      </c>
      <c r="W897" s="38" t="str">
        <f>+IF(U897="","-",CONCATENATE(U897,"_",V897))</f>
        <v>CENS_AMBA</v>
      </c>
      <c r="X897" s="42">
        <v>0.38200000000000001</v>
      </c>
    </row>
    <row r="898" spans="1:24" ht="15" thickBot="1">
      <c r="A898" s="3" t="s">
        <v>2916</v>
      </c>
      <c r="B898" s="3" t="s">
        <v>1257</v>
      </c>
      <c r="C898" s="3" t="s">
        <v>1255</v>
      </c>
      <c r="D898" s="3" t="s">
        <v>1256</v>
      </c>
      <c r="E898" s="3">
        <v>623678</v>
      </c>
      <c r="F898" s="3">
        <v>0</v>
      </c>
      <c r="G898" s="3" t="s">
        <v>1303</v>
      </c>
      <c r="H898" s="3" t="s">
        <v>20</v>
      </c>
      <c r="I898" s="4" t="s">
        <v>142</v>
      </c>
      <c r="J898" s="4" t="s">
        <v>21</v>
      </c>
      <c r="K898" s="4"/>
      <c r="L898" s="4" t="s">
        <v>158</v>
      </c>
      <c r="M898" s="4" t="s">
        <v>22</v>
      </c>
      <c r="N898" s="4" t="s">
        <v>23</v>
      </c>
      <c r="O898" s="4" t="s">
        <v>27</v>
      </c>
      <c r="P898" s="4" t="s">
        <v>144</v>
      </c>
      <c r="Q898" s="24">
        <v>66</v>
      </c>
      <c r="R898" s="25">
        <v>3</v>
      </c>
      <c r="S898" s="39">
        <v>1</v>
      </c>
      <c r="T898" s="7"/>
      <c r="U898" t="s">
        <v>2913</v>
      </c>
      <c r="V898" s="7" t="str">
        <f>+IF(U898="","",IF(U898="FINES",CONCATENATE("R",IF(OR(B898="16",B898="21",B898="22",B898="23"),"16212223",IF(OR(B898="15",B898="17",B898="24",B898="25"),"15172425",B898))),IF(U898="CEBAS","UNICO",IF(VALUE(B898)&lt;=11,"AMBA","INTERIOR"))))</f>
        <v>AMBA</v>
      </c>
      <c r="W898" s="38" t="str">
        <f>+IF(U898="","-",CONCATENATE(U898,"_",V898))</f>
        <v>CENS_AMBA</v>
      </c>
      <c r="X898" s="42">
        <v>0.38400000000000001</v>
      </c>
    </row>
    <row r="899" spans="1:24" ht="15" thickBot="1">
      <c r="A899" s="5" t="s">
        <v>2916</v>
      </c>
      <c r="B899" s="5" t="s">
        <v>356</v>
      </c>
      <c r="C899" s="5" t="s">
        <v>1359</v>
      </c>
      <c r="D899" s="5" t="s">
        <v>1360</v>
      </c>
      <c r="E899" s="5">
        <v>624645</v>
      </c>
      <c r="F899" s="5">
        <v>2</v>
      </c>
      <c r="G899" s="5" t="s">
        <v>1454</v>
      </c>
      <c r="H899" s="5" t="s">
        <v>20</v>
      </c>
      <c r="I899" s="6" t="s">
        <v>142</v>
      </c>
      <c r="J899" s="6" t="s">
        <v>139</v>
      </c>
      <c r="K899" s="6" t="s">
        <v>1450</v>
      </c>
      <c r="L899" s="6" t="s">
        <v>1455</v>
      </c>
      <c r="M899" s="6" t="s">
        <v>22</v>
      </c>
      <c r="N899" s="6" t="s">
        <v>23</v>
      </c>
      <c r="O899" s="6" t="s">
        <v>27</v>
      </c>
      <c r="P899" s="6" t="s">
        <v>144</v>
      </c>
      <c r="Q899" s="22">
        <v>24</v>
      </c>
      <c r="R899" s="23">
        <v>3</v>
      </c>
      <c r="S899" s="39">
        <v>1</v>
      </c>
      <c r="T899" s="7"/>
      <c r="U899" t="s">
        <v>2913</v>
      </c>
      <c r="V899" s="7" t="str">
        <f>+IF(U899="","",IF(U899="FINES",CONCATENATE("R",IF(OR(B899="16",B899="21",B899="22",B899="23"),"16212223",IF(OR(B899="15",B899="17",B899="24",B899="25"),"15172425",B899))),IF(U899="CEBAS","UNICO",IF(VALUE(B899)&lt;=11,"AMBA","INTERIOR"))))</f>
        <v>AMBA</v>
      </c>
      <c r="W899" s="38" t="str">
        <f>+IF(U899="","-",CONCATENATE(U899,"_",V899))</f>
        <v>CENS_AMBA</v>
      </c>
      <c r="X899" s="42">
        <v>0.38600000000000001</v>
      </c>
    </row>
    <row r="900" spans="1:24" ht="15" thickBot="1">
      <c r="A900" s="5" t="s">
        <v>2916</v>
      </c>
      <c r="B900" s="5" t="s">
        <v>204</v>
      </c>
      <c r="C900" s="5" t="s">
        <v>219</v>
      </c>
      <c r="D900" s="5" t="s">
        <v>2865</v>
      </c>
      <c r="E900" s="5">
        <v>623690</v>
      </c>
      <c r="F900" s="5">
        <v>0</v>
      </c>
      <c r="G900" s="5" t="s">
        <v>2883</v>
      </c>
      <c r="H900" s="5" t="s">
        <v>20</v>
      </c>
      <c r="I900" s="6" t="s">
        <v>142</v>
      </c>
      <c r="J900" s="6" t="s">
        <v>21</v>
      </c>
      <c r="K900" s="6"/>
      <c r="L900" s="6" t="s">
        <v>2884</v>
      </c>
      <c r="M900" s="6" t="s">
        <v>22</v>
      </c>
      <c r="N900" s="6" t="s">
        <v>23</v>
      </c>
      <c r="O900" s="6" t="s">
        <v>27</v>
      </c>
      <c r="P900" s="6" t="s">
        <v>144</v>
      </c>
      <c r="Q900" s="22">
        <v>166</v>
      </c>
      <c r="R900" s="23">
        <v>9</v>
      </c>
      <c r="S900" s="39">
        <v>1</v>
      </c>
      <c r="T900" s="7"/>
      <c r="U900" t="s">
        <v>2913</v>
      </c>
      <c r="V900" s="7" t="str">
        <f>+IF(U900="","",IF(U900="FINES",CONCATENATE("R",IF(OR(B900="16",B900="21",B900="22",B900="23"),"16212223",IF(OR(B900="15",B900="17",B900="24",B900="25"),"15172425",B900))),IF(U900="CEBAS","UNICO",IF(VALUE(B900)&lt;=11,"AMBA","INTERIOR"))))</f>
        <v>AMBA</v>
      </c>
      <c r="W900" s="38" t="str">
        <f>+IF(U900="","-",CONCATENATE(U900,"_",V900))</f>
        <v>CENS_AMBA</v>
      </c>
      <c r="X900" s="42">
        <v>0.39500000000000002</v>
      </c>
    </row>
    <row r="901" spans="1:24" ht="15" thickBot="1">
      <c r="A901" s="5" t="s">
        <v>2916</v>
      </c>
      <c r="B901" s="5" t="s">
        <v>138</v>
      </c>
      <c r="C901" s="5" t="s">
        <v>1507</v>
      </c>
      <c r="D901" s="5" t="s">
        <v>1508</v>
      </c>
      <c r="E901" s="5">
        <v>623754</v>
      </c>
      <c r="F901" s="5">
        <v>0</v>
      </c>
      <c r="G901" s="5" t="s">
        <v>1520</v>
      </c>
      <c r="H901" s="5" t="s">
        <v>20</v>
      </c>
      <c r="I901" s="6" t="s">
        <v>142</v>
      </c>
      <c r="J901" s="6" t="s">
        <v>21</v>
      </c>
      <c r="K901" s="6"/>
      <c r="L901" s="6" t="s">
        <v>335</v>
      </c>
      <c r="M901" s="6" t="s">
        <v>22</v>
      </c>
      <c r="N901" s="6" t="s">
        <v>23</v>
      </c>
      <c r="O901" s="6" t="s">
        <v>27</v>
      </c>
      <c r="P901" s="6" t="s">
        <v>144</v>
      </c>
      <c r="Q901" s="22">
        <v>281</v>
      </c>
      <c r="R901" s="23">
        <v>10</v>
      </c>
      <c r="S901" s="39">
        <v>1</v>
      </c>
      <c r="T901" s="7"/>
      <c r="U901" t="s">
        <v>2913</v>
      </c>
      <c r="V901" s="7" t="str">
        <f>+IF(U901="","",IF(U901="FINES",CONCATENATE("R",IF(OR(B901="16",B901="21",B901="22",B901="23"),"16212223",IF(OR(B901="15",B901="17",B901="24",B901="25"),"15172425",B901))),IF(U901="CEBAS","UNICO",IF(VALUE(B901)&lt;=11,"AMBA","INTERIOR"))))</f>
        <v>AMBA</v>
      </c>
      <c r="W901" s="38" t="str">
        <f>+IF(U901="","-",CONCATENATE(U901,"_",V901))</f>
        <v>CENS_AMBA</v>
      </c>
      <c r="X901" s="42">
        <v>0.4</v>
      </c>
    </row>
    <row r="902" spans="1:24" ht="15" thickBot="1">
      <c r="A902" s="5" t="s">
        <v>2916</v>
      </c>
      <c r="B902" s="5" t="s">
        <v>1780</v>
      </c>
      <c r="C902" s="5" t="s">
        <v>238</v>
      </c>
      <c r="D902" s="5" t="s">
        <v>2887</v>
      </c>
      <c r="E902" s="5">
        <v>620530</v>
      </c>
      <c r="F902" s="5">
        <v>0</v>
      </c>
      <c r="G902" s="5" t="s">
        <v>2903</v>
      </c>
      <c r="H902" s="5" t="s">
        <v>20</v>
      </c>
      <c r="I902" s="6" t="s">
        <v>142</v>
      </c>
      <c r="J902" s="6" t="s">
        <v>21</v>
      </c>
      <c r="K902" s="6"/>
      <c r="L902" s="6" t="s">
        <v>2904</v>
      </c>
      <c r="M902" s="6" t="s">
        <v>22</v>
      </c>
      <c r="N902" s="6" t="s">
        <v>23</v>
      </c>
      <c r="O902" s="6" t="s">
        <v>27</v>
      </c>
      <c r="P902" s="6" t="s">
        <v>144</v>
      </c>
      <c r="Q902" s="22">
        <v>230</v>
      </c>
      <c r="R902" s="23">
        <v>6</v>
      </c>
      <c r="S902" s="39">
        <v>1</v>
      </c>
      <c r="T902" s="7"/>
      <c r="U902" t="s">
        <v>2913</v>
      </c>
      <c r="V902" s="7" t="str">
        <f>+IF(U902="","",IF(U902="FINES",CONCATENATE("R",IF(OR(B902="16",B902="21",B902="22",B902="23"),"16212223",IF(OR(B902="15",B902="17",B902="24",B902="25"),"15172425",B902))),IF(U902="CEBAS","UNICO",IF(VALUE(B902)&lt;=11,"AMBA","INTERIOR"))))</f>
        <v>AMBA</v>
      </c>
      <c r="W902" s="38" t="str">
        <f>+IF(U902="","-",CONCATENATE(U902,"_",V902))</f>
        <v>CENS_AMBA</v>
      </c>
      <c r="X902" s="42">
        <v>0.4</v>
      </c>
    </row>
    <row r="903" spans="1:24" ht="15" thickBot="1">
      <c r="A903" s="5" t="s">
        <v>2916</v>
      </c>
      <c r="B903" s="5" t="s">
        <v>222</v>
      </c>
      <c r="C903" s="5" t="s">
        <v>610</v>
      </c>
      <c r="D903" s="5" t="s">
        <v>611</v>
      </c>
      <c r="E903" s="5">
        <v>623760</v>
      </c>
      <c r="F903" s="5">
        <v>0</v>
      </c>
      <c r="G903" s="5" t="s">
        <v>635</v>
      </c>
      <c r="H903" s="5" t="s">
        <v>20</v>
      </c>
      <c r="I903" s="6" t="s">
        <v>142</v>
      </c>
      <c r="J903" s="6" t="s">
        <v>21</v>
      </c>
      <c r="K903" s="6"/>
      <c r="L903" s="6" t="s">
        <v>636</v>
      </c>
      <c r="M903" s="6" t="s">
        <v>22</v>
      </c>
      <c r="N903" s="6" t="s">
        <v>23</v>
      </c>
      <c r="O903" s="6" t="s">
        <v>27</v>
      </c>
      <c r="P903" s="6" t="s">
        <v>144</v>
      </c>
      <c r="Q903" s="22">
        <v>50</v>
      </c>
      <c r="R903" s="23">
        <v>3</v>
      </c>
      <c r="S903" s="39">
        <v>1</v>
      </c>
      <c r="T903" s="7"/>
      <c r="U903" t="s">
        <v>2913</v>
      </c>
      <c r="V903" s="7" t="str">
        <f>+IF(U903="","",IF(U903="FINES",CONCATENATE("R",IF(OR(B903="16",B903="21",B903="22",B903="23"),"16212223",IF(OR(B903="15",B903="17",B903="24",B903="25"),"15172425",B903))),IF(U903="CEBAS","UNICO",IF(VALUE(B903)&lt;=11,"AMBA","INTERIOR"))))</f>
        <v>AMBA</v>
      </c>
      <c r="W903" s="38" t="str">
        <f>+IF(U903="","-",CONCATENATE(U903,"_",V903))</f>
        <v>CENS_AMBA</v>
      </c>
      <c r="X903" s="42">
        <v>0.40400000000000003</v>
      </c>
    </row>
    <row r="904" spans="1:24" ht="15" thickBot="1">
      <c r="A904" s="5" t="s">
        <v>2916</v>
      </c>
      <c r="B904" s="5" t="s">
        <v>19</v>
      </c>
      <c r="C904" s="5" t="s">
        <v>17</v>
      </c>
      <c r="D904" s="5" t="s">
        <v>18</v>
      </c>
      <c r="E904" s="5">
        <v>620529</v>
      </c>
      <c r="F904" s="5">
        <v>1</v>
      </c>
      <c r="G904" s="5" t="s">
        <v>189</v>
      </c>
      <c r="H904" s="5" t="s">
        <v>20</v>
      </c>
      <c r="I904" s="6" t="s">
        <v>142</v>
      </c>
      <c r="J904" s="6" t="s">
        <v>139</v>
      </c>
      <c r="K904" s="6" t="s">
        <v>149</v>
      </c>
      <c r="L904" s="6" t="s">
        <v>190</v>
      </c>
      <c r="M904" s="6" t="s">
        <v>22</v>
      </c>
      <c r="N904" s="6" t="s">
        <v>23</v>
      </c>
      <c r="O904" s="6" t="s">
        <v>27</v>
      </c>
      <c r="P904" s="6" t="s">
        <v>144</v>
      </c>
      <c r="Q904" s="22">
        <v>100</v>
      </c>
      <c r="R904" s="23">
        <v>6</v>
      </c>
      <c r="S904" s="39">
        <v>1</v>
      </c>
      <c r="T904" s="7"/>
      <c r="U904" t="s">
        <v>2913</v>
      </c>
      <c r="V904" s="7" t="str">
        <f>+IF(U904="","",IF(U904="FINES",CONCATENATE("R",IF(OR(B904="16",B904="21",B904="22",B904="23"),"16212223",IF(OR(B904="15",B904="17",B904="24",B904="25"),"15172425",B904))),IF(U904="CEBAS","UNICO",IF(VALUE(B904)&lt;=11,"AMBA","INTERIOR"))))</f>
        <v>AMBA</v>
      </c>
      <c r="W904" s="38" t="str">
        <f>+IF(U904="","-",CONCATENATE(U904,"_",V904))</f>
        <v>CENS_AMBA</v>
      </c>
      <c r="X904" s="42">
        <v>0.40500000000000003</v>
      </c>
    </row>
    <row r="905" spans="1:24" ht="15" thickBot="1">
      <c r="A905" s="5" t="s">
        <v>2916</v>
      </c>
      <c r="B905" s="5" t="s">
        <v>222</v>
      </c>
      <c r="C905" s="5" t="s">
        <v>227</v>
      </c>
      <c r="D905" s="5" t="s">
        <v>2603</v>
      </c>
      <c r="E905" s="5">
        <v>624126</v>
      </c>
      <c r="F905" s="5">
        <v>0</v>
      </c>
      <c r="G905" s="5" t="s">
        <v>2626</v>
      </c>
      <c r="H905" s="5" t="s">
        <v>20</v>
      </c>
      <c r="I905" s="6" t="s">
        <v>142</v>
      </c>
      <c r="J905" s="6" t="s">
        <v>21</v>
      </c>
      <c r="K905" s="6"/>
      <c r="L905" s="6" t="s">
        <v>638</v>
      </c>
      <c r="M905" s="6" t="s">
        <v>22</v>
      </c>
      <c r="N905" s="6" t="s">
        <v>23</v>
      </c>
      <c r="O905" s="6" t="s">
        <v>27</v>
      </c>
      <c r="P905" s="6" t="s">
        <v>144</v>
      </c>
      <c r="Q905" s="22">
        <v>52</v>
      </c>
      <c r="R905" s="23">
        <v>3</v>
      </c>
      <c r="S905" s="39">
        <v>1</v>
      </c>
      <c r="T905" s="7"/>
      <c r="U905" t="s">
        <v>2913</v>
      </c>
      <c r="V905" s="7" t="str">
        <f>+IF(U905="","",IF(U905="FINES",CONCATENATE("R",IF(OR(B905="16",B905="21",B905="22",B905="23"),"16212223",IF(OR(B905="15",B905="17",B905="24",B905="25"),"15172425",B905))),IF(U905="CEBAS","UNICO",IF(VALUE(B905)&lt;=11,"AMBA","INTERIOR"))))</f>
        <v>AMBA</v>
      </c>
      <c r="W905" s="38" t="str">
        <f>+IF(U905="","-",CONCATENATE(U905,"_",V905))</f>
        <v>CENS_AMBA</v>
      </c>
      <c r="X905" s="42">
        <v>0.41</v>
      </c>
    </row>
    <row r="906" spans="1:24" ht="15" thickBot="1">
      <c r="A906" s="3" t="s">
        <v>2916</v>
      </c>
      <c r="B906" s="3" t="s">
        <v>19</v>
      </c>
      <c r="C906" s="3" t="s">
        <v>599</v>
      </c>
      <c r="D906" s="3" t="s">
        <v>601</v>
      </c>
      <c r="E906" s="3">
        <v>607867</v>
      </c>
      <c r="F906" s="3">
        <v>0</v>
      </c>
      <c r="G906" s="3" t="s">
        <v>608</v>
      </c>
      <c r="H906" s="3" t="s">
        <v>20</v>
      </c>
      <c r="I906" s="4" t="s">
        <v>142</v>
      </c>
      <c r="J906" s="4" t="s">
        <v>21</v>
      </c>
      <c r="K906" s="4"/>
      <c r="L906" s="4" t="s">
        <v>335</v>
      </c>
      <c r="M906" s="4" t="s">
        <v>22</v>
      </c>
      <c r="N906" s="4" t="s">
        <v>23</v>
      </c>
      <c r="O906" s="4" t="s">
        <v>27</v>
      </c>
      <c r="P906" s="4" t="s">
        <v>144</v>
      </c>
      <c r="Q906" s="24">
        <v>94</v>
      </c>
      <c r="R906" s="25">
        <v>6</v>
      </c>
      <c r="S906" s="39">
        <v>1</v>
      </c>
      <c r="T906" s="7"/>
      <c r="U906" t="s">
        <v>2913</v>
      </c>
      <c r="V906" s="7" t="str">
        <f>+IF(U906="","",IF(U906="FINES",CONCATENATE("R",IF(OR(B906="16",B906="21",B906="22",B906="23"),"16212223",IF(OR(B906="15",B906="17",B906="24",B906="25"),"15172425",B906))),IF(U906="CEBAS","UNICO",IF(VALUE(B906)&lt;=11,"AMBA","INTERIOR"))))</f>
        <v>AMBA</v>
      </c>
      <c r="W906" s="38" t="str">
        <f>+IF(U906="","-",CONCATENATE(U906,"_",V906))</f>
        <v>CENS_AMBA</v>
      </c>
      <c r="X906" s="42">
        <v>0.41399999999999998</v>
      </c>
    </row>
    <row r="907" spans="1:24" ht="15" thickBot="1">
      <c r="A907" s="5" t="s">
        <v>2916</v>
      </c>
      <c r="B907" s="5" t="s">
        <v>1780</v>
      </c>
      <c r="C907" s="5" t="s">
        <v>1778</v>
      </c>
      <c r="D907" s="5" t="s">
        <v>1779</v>
      </c>
      <c r="E907" s="5">
        <v>610308</v>
      </c>
      <c r="F907" s="5">
        <v>0</v>
      </c>
      <c r="G907" s="5" t="s">
        <v>1840</v>
      </c>
      <c r="H907" s="5" t="s">
        <v>20</v>
      </c>
      <c r="I907" s="6" t="s">
        <v>142</v>
      </c>
      <c r="J907" s="6" t="s">
        <v>21</v>
      </c>
      <c r="K907" s="6"/>
      <c r="L907" s="6" t="s">
        <v>164</v>
      </c>
      <c r="M907" s="6" t="s">
        <v>22</v>
      </c>
      <c r="N907" s="6" t="s">
        <v>23</v>
      </c>
      <c r="O907" s="6" t="s">
        <v>27</v>
      </c>
      <c r="P907" s="6" t="s">
        <v>144</v>
      </c>
      <c r="Q907" s="22">
        <v>180</v>
      </c>
      <c r="R907" s="23">
        <v>16</v>
      </c>
      <c r="S907" s="39">
        <v>1</v>
      </c>
      <c r="T907" s="7"/>
      <c r="U907" t="s">
        <v>2913</v>
      </c>
      <c r="V907" s="7" t="str">
        <f>+IF(U907="","",IF(U907="FINES",CONCATENATE("R",IF(OR(B907="16",B907="21",B907="22",B907="23"),"16212223",IF(OR(B907="15",B907="17",B907="24",B907="25"),"15172425",B907))),IF(U907="CEBAS","UNICO",IF(VALUE(B907)&lt;=11,"AMBA","INTERIOR"))))</f>
        <v>AMBA</v>
      </c>
      <c r="W907" s="38" t="str">
        <f>+IF(U907="","-",CONCATENATE(U907,"_",V907))</f>
        <v>CENS_AMBA</v>
      </c>
      <c r="X907" s="42">
        <v>0.41499999999999998</v>
      </c>
    </row>
    <row r="908" spans="1:24" ht="15" thickBot="1">
      <c r="A908" s="5" t="s">
        <v>2916</v>
      </c>
      <c r="B908" s="5" t="s">
        <v>1532</v>
      </c>
      <c r="C908" s="5" t="s">
        <v>1530</v>
      </c>
      <c r="D908" s="5" t="s">
        <v>1531</v>
      </c>
      <c r="E908" s="5">
        <v>623634</v>
      </c>
      <c r="F908" s="5">
        <v>0</v>
      </c>
      <c r="G908" s="5" t="s">
        <v>1726</v>
      </c>
      <c r="H908" s="5" t="s">
        <v>20</v>
      </c>
      <c r="I908" s="6" t="s">
        <v>142</v>
      </c>
      <c r="J908" s="6" t="s">
        <v>21</v>
      </c>
      <c r="K908" s="6"/>
      <c r="L908" s="6" t="s">
        <v>1727</v>
      </c>
      <c r="M908" s="6" t="s">
        <v>22</v>
      </c>
      <c r="N908" s="6" t="s">
        <v>23</v>
      </c>
      <c r="O908" s="6" t="s">
        <v>27</v>
      </c>
      <c r="P908" s="6" t="s">
        <v>144</v>
      </c>
      <c r="Q908" s="22">
        <v>152</v>
      </c>
      <c r="R908" s="23">
        <v>6</v>
      </c>
      <c r="S908" s="39">
        <v>1</v>
      </c>
      <c r="T908" s="7"/>
      <c r="U908" t="s">
        <v>2913</v>
      </c>
      <c r="V908" s="7" t="str">
        <f>+IF(U908="","",IF(U908="FINES",CONCATENATE("R",IF(OR(B908="16",B908="21",B908="22",B908="23"),"16212223",IF(OR(B908="15",B908="17",B908="24",B908="25"),"15172425",B908))),IF(U908="CEBAS","UNICO",IF(VALUE(B908)&lt;=11,"AMBA","INTERIOR"))))</f>
        <v>AMBA</v>
      </c>
      <c r="W908" s="38" t="str">
        <f>+IF(U908="","-",CONCATENATE(U908,"_",V908))</f>
        <v>CENS_AMBA</v>
      </c>
      <c r="X908" s="42">
        <v>0.41599999999999998</v>
      </c>
    </row>
    <row r="909" spans="1:24" ht="15" thickBot="1">
      <c r="A909" s="5" t="s">
        <v>2916</v>
      </c>
      <c r="B909" s="5" t="s">
        <v>257</v>
      </c>
      <c r="C909" s="5" t="s">
        <v>415</v>
      </c>
      <c r="D909" s="5" t="s">
        <v>2770</v>
      </c>
      <c r="E909" s="5">
        <v>623662</v>
      </c>
      <c r="F909" s="5">
        <v>0</v>
      </c>
      <c r="G909" s="5" t="s">
        <v>2783</v>
      </c>
      <c r="H909" s="5" t="s">
        <v>20</v>
      </c>
      <c r="I909" s="6" t="s">
        <v>142</v>
      </c>
      <c r="J909" s="6" t="s">
        <v>21</v>
      </c>
      <c r="K909" s="6"/>
      <c r="L909" s="6" t="s">
        <v>2784</v>
      </c>
      <c r="M909" s="6" t="s">
        <v>22</v>
      </c>
      <c r="N909" s="6" t="s">
        <v>23</v>
      </c>
      <c r="O909" s="6" t="s">
        <v>27</v>
      </c>
      <c r="P909" s="6" t="s">
        <v>144</v>
      </c>
      <c r="Q909" s="22">
        <v>159</v>
      </c>
      <c r="R909" s="23">
        <v>8</v>
      </c>
      <c r="S909" s="39">
        <v>1</v>
      </c>
      <c r="T909" s="7"/>
      <c r="U909" t="s">
        <v>2913</v>
      </c>
      <c r="V909" s="7" t="str">
        <f>+IF(U909="","",IF(U909="FINES",CONCATENATE("R",IF(OR(B909="16",B909="21",B909="22",B909="23"),"16212223",IF(OR(B909="15",B909="17",B909="24",B909="25"),"15172425",B909))),IF(U909="CEBAS","UNICO",IF(VALUE(B909)&lt;=11,"AMBA","INTERIOR"))))</f>
        <v>AMBA</v>
      </c>
      <c r="W909" s="38" t="str">
        <f>+IF(U909="","-",CONCATENATE(U909,"_",V909))</f>
        <v>CENS_AMBA</v>
      </c>
      <c r="X909" s="42">
        <v>0.42</v>
      </c>
    </row>
    <row r="910" spans="1:24" ht="15" thickBot="1">
      <c r="A910" s="5" t="s">
        <v>2916</v>
      </c>
      <c r="B910" s="5" t="s">
        <v>1780</v>
      </c>
      <c r="C910" s="5" t="s">
        <v>1248</v>
      </c>
      <c r="D910" s="5" t="s">
        <v>2348</v>
      </c>
      <c r="E910" s="5">
        <v>623724</v>
      </c>
      <c r="F910" s="5">
        <v>0</v>
      </c>
      <c r="G910" s="5" t="s">
        <v>2385</v>
      </c>
      <c r="H910" s="5" t="s">
        <v>20</v>
      </c>
      <c r="I910" s="6" t="s">
        <v>142</v>
      </c>
      <c r="J910" s="6" t="s">
        <v>21</v>
      </c>
      <c r="K910" s="6"/>
      <c r="L910" s="6" t="s">
        <v>166</v>
      </c>
      <c r="M910" s="6" t="s">
        <v>22</v>
      </c>
      <c r="N910" s="6" t="s">
        <v>23</v>
      </c>
      <c r="O910" s="6" t="s">
        <v>27</v>
      </c>
      <c r="P910" s="6" t="s">
        <v>144</v>
      </c>
      <c r="Q910" s="22">
        <v>90</v>
      </c>
      <c r="R910" s="23">
        <v>6</v>
      </c>
      <c r="S910" s="39">
        <v>1</v>
      </c>
      <c r="T910" s="7"/>
      <c r="U910" t="s">
        <v>2913</v>
      </c>
      <c r="V910" s="7" t="str">
        <f>+IF(U910="","",IF(U910="FINES",CONCATENATE("R",IF(OR(B910="16",B910="21",B910="22",B910="23"),"16212223",IF(OR(B910="15",B910="17",B910="24",B910="25"),"15172425",B910))),IF(U910="CEBAS","UNICO",IF(VALUE(B910)&lt;=11,"AMBA","INTERIOR"))))</f>
        <v>AMBA</v>
      </c>
      <c r="W910" s="38" t="str">
        <f>+IF(U910="","-",CONCATENATE(U910,"_",V910))</f>
        <v>CENS_AMBA</v>
      </c>
      <c r="X910" s="42">
        <v>0.42299999999999999</v>
      </c>
    </row>
    <row r="911" spans="1:24" ht="15" thickBot="1">
      <c r="A911" s="5" t="s">
        <v>2916</v>
      </c>
      <c r="B911" s="5" t="s">
        <v>257</v>
      </c>
      <c r="C911" s="5" t="s">
        <v>415</v>
      </c>
      <c r="D911" s="5" t="s">
        <v>2770</v>
      </c>
      <c r="E911" s="5">
        <v>623664</v>
      </c>
      <c r="F911" s="5">
        <v>0</v>
      </c>
      <c r="G911" s="5" t="s">
        <v>2786</v>
      </c>
      <c r="H911" s="5" t="s">
        <v>20</v>
      </c>
      <c r="I911" s="6" t="s">
        <v>142</v>
      </c>
      <c r="J911" s="6" t="s">
        <v>21</v>
      </c>
      <c r="K911" s="6"/>
      <c r="L911" s="6" t="s">
        <v>802</v>
      </c>
      <c r="M911" s="6" t="s">
        <v>22</v>
      </c>
      <c r="N911" s="6" t="s">
        <v>23</v>
      </c>
      <c r="O911" s="6" t="s">
        <v>27</v>
      </c>
      <c r="P911" s="6" t="s">
        <v>144</v>
      </c>
      <c r="Q911" s="22">
        <v>198</v>
      </c>
      <c r="R911" s="23">
        <v>8</v>
      </c>
      <c r="S911" s="39">
        <v>1</v>
      </c>
      <c r="T911" s="7"/>
      <c r="U911" t="s">
        <v>2913</v>
      </c>
      <c r="V911" s="7" t="str">
        <f>+IF(U911="","",IF(U911="FINES",CONCATENATE("R",IF(OR(B911="16",B911="21",B911="22",B911="23"),"16212223",IF(OR(B911="15",B911="17",B911="24",B911="25"),"15172425",B911))),IF(U911="CEBAS","UNICO",IF(VALUE(B911)&lt;=11,"AMBA","INTERIOR"))))</f>
        <v>AMBA</v>
      </c>
      <c r="W911" s="38" t="str">
        <f>+IF(U911="","-",CONCATENATE(U911,"_",V911))</f>
        <v>CENS_AMBA</v>
      </c>
      <c r="X911" s="42">
        <v>0.42699999999999999</v>
      </c>
    </row>
    <row r="912" spans="1:24" ht="15" thickBot="1">
      <c r="A912" s="5" t="s">
        <v>2916</v>
      </c>
      <c r="B912" s="5" t="s">
        <v>1257</v>
      </c>
      <c r="C912" s="5" t="s">
        <v>1255</v>
      </c>
      <c r="D912" s="5" t="s">
        <v>1256</v>
      </c>
      <c r="E912" s="5">
        <v>621165</v>
      </c>
      <c r="F912" s="5">
        <v>1</v>
      </c>
      <c r="G912" s="5" t="s">
        <v>1308</v>
      </c>
      <c r="H912" s="5" t="s">
        <v>20</v>
      </c>
      <c r="I912" s="6" t="s">
        <v>142</v>
      </c>
      <c r="J912" s="6" t="s">
        <v>51</v>
      </c>
      <c r="K912" s="6" t="s">
        <v>1296</v>
      </c>
      <c r="L912" s="6" t="s">
        <v>1309</v>
      </c>
      <c r="M912" s="6" t="s">
        <v>22</v>
      </c>
      <c r="N912" s="6" t="s">
        <v>23</v>
      </c>
      <c r="O912" s="6" t="s">
        <v>27</v>
      </c>
      <c r="P912" s="6" t="s">
        <v>144</v>
      </c>
      <c r="Q912" s="22">
        <v>52</v>
      </c>
      <c r="R912" s="23">
        <v>3</v>
      </c>
      <c r="S912" s="39">
        <v>1</v>
      </c>
      <c r="T912" s="7"/>
      <c r="U912" t="s">
        <v>2913</v>
      </c>
      <c r="V912" s="7" t="str">
        <f>+IF(U912="","",IF(U912="FINES",CONCATENATE("R",IF(OR(B912="16",B912="21",B912="22",B912="23"),"16212223",IF(OR(B912="15",B912="17",B912="24",B912="25"),"15172425",B912))),IF(U912="CEBAS","UNICO",IF(VALUE(B912)&lt;=11,"AMBA","INTERIOR"))))</f>
        <v>AMBA</v>
      </c>
      <c r="W912" s="38" t="str">
        <f>+IF(U912="","-",CONCATENATE(U912,"_",V912))</f>
        <v>CENS_AMBA</v>
      </c>
      <c r="X912" s="42">
        <v>0.433</v>
      </c>
    </row>
    <row r="913" spans="1:24" ht="15" thickBot="1">
      <c r="A913" s="5" t="s">
        <v>2916</v>
      </c>
      <c r="B913" s="5" t="s">
        <v>356</v>
      </c>
      <c r="C913" s="5" t="s">
        <v>805</v>
      </c>
      <c r="D913" s="5" t="s">
        <v>2500</v>
      </c>
      <c r="E913" s="5">
        <v>624117</v>
      </c>
      <c r="F913" s="5">
        <v>0</v>
      </c>
      <c r="G913" s="5" t="s">
        <v>2549</v>
      </c>
      <c r="H913" s="5" t="s">
        <v>20</v>
      </c>
      <c r="I913" s="6" t="s">
        <v>142</v>
      </c>
      <c r="J913" s="6" t="s">
        <v>21</v>
      </c>
      <c r="K913" s="6"/>
      <c r="L913" s="6" t="s">
        <v>2071</v>
      </c>
      <c r="M913" s="6" t="s">
        <v>22</v>
      </c>
      <c r="N913" s="6" t="s">
        <v>23</v>
      </c>
      <c r="O913" s="6" t="s">
        <v>27</v>
      </c>
      <c r="P913" s="6" t="s">
        <v>144</v>
      </c>
      <c r="Q913" s="22">
        <v>110</v>
      </c>
      <c r="R913" s="23">
        <v>6</v>
      </c>
      <c r="S913" s="39">
        <v>1</v>
      </c>
      <c r="T913" s="7"/>
      <c r="U913" s="7" t="s">
        <v>2913</v>
      </c>
      <c r="V913" s="7" t="str">
        <f>+IF(U913="","",IF(U913="FINES",CONCATENATE("R",IF(OR(B913="16",B913="21",B913="22",B913="23"),"16212223",IF(OR(B913="15",B913="17",B913="24",B913="25"),"15172425",B913))),IF(U913="CEBAS","UNICO",IF(VALUE(B913)&lt;=11,"AMBA","INTERIOR"))))</f>
        <v>AMBA</v>
      </c>
      <c r="W913" s="38" t="str">
        <f>+IF(U913="","-",CONCATENATE(U913,"_",V913))</f>
        <v>CENS_AMBA</v>
      </c>
      <c r="X913" s="42">
        <v>0.434</v>
      </c>
    </row>
    <row r="914" spans="1:24" ht="15" thickBot="1">
      <c r="A914" s="5" t="s">
        <v>2916</v>
      </c>
      <c r="B914" s="5" t="s">
        <v>19</v>
      </c>
      <c r="C914" s="5" t="s">
        <v>599</v>
      </c>
      <c r="D914" s="5" t="s">
        <v>601</v>
      </c>
      <c r="E914" s="5">
        <v>623584</v>
      </c>
      <c r="F914" s="5">
        <v>0</v>
      </c>
      <c r="G914" s="5" t="s">
        <v>609</v>
      </c>
      <c r="H914" s="5" t="s">
        <v>20</v>
      </c>
      <c r="I914" s="6" t="s">
        <v>142</v>
      </c>
      <c r="J914" s="6" t="s">
        <v>21</v>
      </c>
      <c r="K914" s="6"/>
      <c r="L914" s="6" t="s">
        <v>337</v>
      </c>
      <c r="M914" s="6" t="s">
        <v>22</v>
      </c>
      <c r="N914" s="6" t="s">
        <v>23</v>
      </c>
      <c r="O914" s="6" t="s">
        <v>27</v>
      </c>
      <c r="P914" s="6" t="s">
        <v>144</v>
      </c>
      <c r="Q914" s="22">
        <v>50</v>
      </c>
      <c r="R914" s="23">
        <v>3</v>
      </c>
      <c r="S914" s="39">
        <v>1</v>
      </c>
      <c r="T914" s="7"/>
      <c r="U914" s="7" t="s">
        <v>2913</v>
      </c>
      <c r="V914" s="7" t="str">
        <f>+IF(U914="","",IF(U914="FINES",CONCATENATE("R",IF(OR(B914="16",B914="21",B914="22",B914="23"),"16212223",IF(OR(B914="15",B914="17",B914="24",B914="25"),"15172425",B914))),IF(U914="CEBAS","UNICO",IF(VALUE(B914)&lt;=11,"AMBA","INTERIOR"))))</f>
        <v>AMBA</v>
      </c>
      <c r="W914" s="38" t="str">
        <f>+IF(U914="","-",CONCATENATE(U914,"_",V914))</f>
        <v>CENS_AMBA</v>
      </c>
      <c r="X914" s="42">
        <v>0.436</v>
      </c>
    </row>
    <row r="915" spans="1:24" ht="15" thickBot="1">
      <c r="A915" s="3" t="s">
        <v>2916</v>
      </c>
      <c r="B915" s="3" t="s">
        <v>204</v>
      </c>
      <c r="C915" s="3" t="s">
        <v>137</v>
      </c>
      <c r="D915" s="3" t="s">
        <v>2629</v>
      </c>
      <c r="E915" s="3">
        <v>623698</v>
      </c>
      <c r="F915" s="3">
        <v>0</v>
      </c>
      <c r="G915" s="3" t="s">
        <v>2654</v>
      </c>
      <c r="H915" s="3" t="s">
        <v>20</v>
      </c>
      <c r="I915" s="4" t="s">
        <v>142</v>
      </c>
      <c r="J915" s="4" t="s">
        <v>21</v>
      </c>
      <c r="K915" s="4"/>
      <c r="L915" s="4" t="s">
        <v>152</v>
      </c>
      <c r="M915" s="4" t="s">
        <v>22</v>
      </c>
      <c r="N915" s="4" t="s">
        <v>134</v>
      </c>
      <c r="O915" s="4" t="s">
        <v>27</v>
      </c>
      <c r="P915" s="4" t="s">
        <v>144</v>
      </c>
      <c r="Q915" s="24">
        <v>84</v>
      </c>
      <c r="R915" s="25">
        <v>4</v>
      </c>
      <c r="S915" s="39">
        <v>1</v>
      </c>
      <c r="T915" s="7"/>
      <c r="U915" s="7" t="s">
        <v>2913</v>
      </c>
      <c r="V915" s="7" t="str">
        <f>+IF(U915="","",IF(U915="FINES",CONCATENATE("R",IF(OR(B915="16",B915="21",B915="22",B915="23"),"16212223",IF(OR(B915="15",B915="17",B915="24",B915="25"),"15172425",B915))),IF(U915="CEBAS","UNICO",IF(VALUE(B915)&lt;=11,"AMBA","INTERIOR"))))</f>
        <v>AMBA</v>
      </c>
      <c r="W915" s="38" t="str">
        <f>+IF(U915="","-",CONCATENATE(U915,"_",V915))</f>
        <v>CENS_AMBA</v>
      </c>
      <c r="X915" s="42">
        <v>0.436</v>
      </c>
    </row>
    <row r="916" spans="1:24" ht="15" thickBot="1">
      <c r="A916" s="3" t="s">
        <v>2916</v>
      </c>
      <c r="B916" s="3" t="s">
        <v>1780</v>
      </c>
      <c r="C916" s="3" t="s">
        <v>1778</v>
      </c>
      <c r="D916" s="3" t="s">
        <v>1779</v>
      </c>
      <c r="E916" s="3">
        <v>623711</v>
      </c>
      <c r="F916" s="3">
        <v>0</v>
      </c>
      <c r="G916" s="3" t="s">
        <v>1837</v>
      </c>
      <c r="H916" s="3" t="s">
        <v>20</v>
      </c>
      <c r="I916" s="4" t="s">
        <v>142</v>
      </c>
      <c r="J916" s="4" t="s">
        <v>21</v>
      </c>
      <c r="K916" s="4"/>
      <c r="L916" s="4" t="s">
        <v>158</v>
      </c>
      <c r="M916" s="4" t="s">
        <v>22</v>
      </c>
      <c r="N916" s="4" t="s">
        <v>23</v>
      </c>
      <c r="O916" s="4" t="s">
        <v>27</v>
      </c>
      <c r="P916" s="4" t="s">
        <v>144</v>
      </c>
      <c r="Q916" s="24">
        <v>56</v>
      </c>
      <c r="R916" s="25">
        <v>3</v>
      </c>
      <c r="S916" s="39">
        <v>1</v>
      </c>
      <c r="T916" s="7"/>
      <c r="U916" s="7" t="s">
        <v>2913</v>
      </c>
      <c r="V916" s="7" t="str">
        <f>+IF(U916="","",IF(U916="FINES",CONCATENATE("R",IF(OR(B916="16",B916="21",B916="22",B916="23"),"16212223",IF(OR(B916="15",B916="17",B916="24",B916="25"),"15172425",B916))),IF(U916="CEBAS","UNICO",IF(VALUE(B916)&lt;=11,"AMBA","INTERIOR"))))</f>
        <v>AMBA</v>
      </c>
      <c r="W916" s="38" t="str">
        <f>+IF(U916="","-",CONCATENATE(U916,"_",V916))</f>
        <v>CENS_AMBA</v>
      </c>
      <c r="X916" s="42">
        <v>0.439</v>
      </c>
    </row>
    <row r="917" spans="1:24" ht="15" thickBot="1">
      <c r="A917" s="3" t="s">
        <v>2916</v>
      </c>
      <c r="B917" s="3" t="s">
        <v>356</v>
      </c>
      <c r="C917" s="3" t="s">
        <v>805</v>
      </c>
      <c r="D917" s="3" t="s">
        <v>2500</v>
      </c>
      <c r="E917" s="3">
        <v>605065</v>
      </c>
      <c r="F917" s="3">
        <v>0</v>
      </c>
      <c r="G917" s="3" t="s">
        <v>2542</v>
      </c>
      <c r="H917" s="3" t="s">
        <v>20</v>
      </c>
      <c r="I917" s="4" t="s">
        <v>142</v>
      </c>
      <c r="J917" s="4" t="s">
        <v>21</v>
      </c>
      <c r="K917" s="4"/>
      <c r="L917" s="4" t="s">
        <v>143</v>
      </c>
      <c r="M917" s="4" t="s">
        <v>22</v>
      </c>
      <c r="N917" s="4" t="s">
        <v>23</v>
      </c>
      <c r="O917" s="4" t="s">
        <v>27</v>
      </c>
      <c r="P917" s="4" t="s">
        <v>144</v>
      </c>
      <c r="Q917" s="24">
        <v>556</v>
      </c>
      <c r="R917" s="25">
        <v>64</v>
      </c>
      <c r="S917" s="39">
        <v>1</v>
      </c>
      <c r="T917" s="7"/>
      <c r="U917" s="7" t="s">
        <v>2913</v>
      </c>
      <c r="V917" s="7" t="str">
        <f>+IF(U917="","",IF(U917="FINES",CONCATENATE("R",IF(OR(B917="16",B917="21",B917="22",B917="23"),"16212223",IF(OR(B917="15",B917="17",B917="24",B917="25"),"15172425",B917))),IF(U917="CEBAS","UNICO",IF(VALUE(B917)&lt;=11,"AMBA","INTERIOR"))))</f>
        <v>AMBA</v>
      </c>
      <c r="W917" s="38" t="str">
        <f>+IF(U917="","-",CONCATENATE(U917,"_",V917))</f>
        <v>CENS_AMBA</v>
      </c>
      <c r="X917" s="42">
        <v>0.44</v>
      </c>
    </row>
    <row r="918" spans="1:24" ht="15" thickBot="1">
      <c r="A918" s="3" t="s">
        <v>2916</v>
      </c>
      <c r="B918" s="3" t="s">
        <v>1532</v>
      </c>
      <c r="C918" s="3" t="s">
        <v>1530</v>
      </c>
      <c r="D918" s="3" t="s">
        <v>1531</v>
      </c>
      <c r="E918" s="3">
        <v>623014</v>
      </c>
      <c r="F918" s="3">
        <v>0</v>
      </c>
      <c r="G918" s="3" t="s">
        <v>1687</v>
      </c>
      <c r="H918" s="3" t="s">
        <v>20</v>
      </c>
      <c r="I918" s="4" t="s">
        <v>142</v>
      </c>
      <c r="J918" s="4" t="s">
        <v>21</v>
      </c>
      <c r="K918" s="4"/>
      <c r="L918" s="4" t="s">
        <v>1135</v>
      </c>
      <c r="M918" s="4" t="s">
        <v>22</v>
      </c>
      <c r="N918" s="4" t="s">
        <v>23</v>
      </c>
      <c r="O918" s="4" t="s">
        <v>27</v>
      </c>
      <c r="P918" s="4" t="s">
        <v>144</v>
      </c>
      <c r="Q918" s="24">
        <v>341</v>
      </c>
      <c r="R918" s="25">
        <v>20</v>
      </c>
      <c r="S918" s="39">
        <v>1</v>
      </c>
      <c r="T918" s="7"/>
      <c r="U918" s="7" t="s">
        <v>2913</v>
      </c>
      <c r="V918" s="7" t="str">
        <f>+IF(U918="","",IF(U918="FINES",CONCATENATE("R",IF(OR(B918="16",B918="21",B918="22",B918="23"),"16212223",IF(OR(B918="15",B918="17",B918="24",B918="25"),"15172425",B918))),IF(U918="CEBAS","UNICO",IF(VALUE(B918)&lt;=11,"AMBA","INTERIOR"))))</f>
        <v>AMBA</v>
      </c>
      <c r="W918" s="38" t="str">
        <f>+IF(U918="","-",CONCATENATE(U918,"_",V918))</f>
        <v>CENS_AMBA</v>
      </c>
      <c r="X918" s="42">
        <v>0.443</v>
      </c>
    </row>
    <row r="919" spans="1:24" ht="15" thickBot="1">
      <c r="A919" s="3" t="s">
        <v>2916</v>
      </c>
      <c r="B919" s="3" t="s">
        <v>1532</v>
      </c>
      <c r="C919" s="3" t="s">
        <v>1530</v>
      </c>
      <c r="D919" s="3" t="s">
        <v>1531</v>
      </c>
      <c r="E919" s="3">
        <v>624115</v>
      </c>
      <c r="F919" s="3">
        <v>0</v>
      </c>
      <c r="G919" s="3" t="s">
        <v>1748</v>
      </c>
      <c r="H919" s="3" t="s">
        <v>20</v>
      </c>
      <c r="I919" s="4" t="s">
        <v>142</v>
      </c>
      <c r="J919" s="4" t="s">
        <v>21</v>
      </c>
      <c r="K919" s="4"/>
      <c r="L919" s="4" t="s">
        <v>1749</v>
      </c>
      <c r="M919" s="4" t="s">
        <v>22</v>
      </c>
      <c r="N919" s="4" t="s">
        <v>134</v>
      </c>
      <c r="O919" s="4" t="s">
        <v>27</v>
      </c>
      <c r="P919" s="4" t="s">
        <v>144</v>
      </c>
      <c r="Q919" s="24">
        <v>45</v>
      </c>
      <c r="R919" s="25">
        <v>3</v>
      </c>
      <c r="S919" s="39">
        <v>1</v>
      </c>
      <c r="T919" s="7"/>
      <c r="U919" s="7" t="s">
        <v>2913</v>
      </c>
      <c r="V919" s="7" t="str">
        <f>+IF(U919="","",IF(U919="FINES",CONCATENATE("R",IF(OR(B919="16",B919="21",B919="22",B919="23"),"16212223",IF(OR(B919="15",B919="17",B919="24",B919="25"),"15172425",B919))),IF(U919="CEBAS","UNICO",IF(VALUE(B919)&lt;=11,"AMBA","INTERIOR"))))</f>
        <v>AMBA</v>
      </c>
      <c r="W919" s="38" t="str">
        <f>+IF(U919="","-",CONCATENATE(U919,"_",V919))</f>
        <v>CENS_AMBA</v>
      </c>
      <c r="X919" s="42">
        <v>0.46100000000000002</v>
      </c>
    </row>
    <row r="920" spans="1:24" ht="15" thickBot="1">
      <c r="A920" s="3" t="s">
        <v>2916</v>
      </c>
      <c r="B920" s="3" t="s">
        <v>222</v>
      </c>
      <c r="C920" s="3" t="s">
        <v>1154</v>
      </c>
      <c r="D920" s="3" t="s">
        <v>1155</v>
      </c>
      <c r="E920" s="3">
        <v>624165</v>
      </c>
      <c r="F920" s="3">
        <v>0</v>
      </c>
      <c r="G920" s="3" t="s">
        <v>1176</v>
      </c>
      <c r="H920" s="3" t="s">
        <v>20</v>
      </c>
      <c r="I920" s="4" t="s">
        <v>142</v>
      </c>
      <c r="J920" s="4" t="s">
        <v>21</v>
      </c>
      <c r="K920" s="4"/>
      <c r="L920" s="4" t="s">
        <v>1177</v>
      </c>
      <c r="M920" s="4" t="s">
        <v>22</v>
      </c>
      <c r="N920" s="4" t="s">
        <v>23</v>
      </c>
      <c r="O920" s="4" t="s">
        <v>27</v>
      </c>
      <c r="P920" s="4" t="s">
        <v>144</v>
      </c>
      <c r="Q920" s="24">
        <v>184</v>
      </c>
      <c r="R920" s="25">
        <v>9</v>
      </c>
      <c r="S920" s="39">
        <v>1</v>
      </c>
      <c r="T920" s="7"/>
      <c r="U920" s="7" t="s">
        <v>2913</v>
      </c>
      <c r="V920" s="7" t="str">
        <f>+IF(U920="","",IF(U920="FINES",CONCATENATE("R",IF(OR(B920="16",B920="21",B920="22",B920="23"),"16212223",IF(OR(B920="15",B920="17",B920="24",B920="25"),"15172425",B920))),IF(U920="CEBAS","UNICO",IF(VALUE(B920)&lt;=11,"AMBA","INTERIOR"))))</f>
        <v>AMBA</v>
      </c>
      <c r="W920" s="38" t="str">
        <f>+IF(U920="","-",CONCATENATE(U920,"_",V920))</f>
        <v>CENS_AMBA</v>
      </c>
      <c r="X920" s="42">
        <v>0.46200000000000002</v>
      </c>
    </row>
    <row r="921" spans="1:24" ht="15" thickBot="1">
      <c r="A921" s="5" t="s">
        <v>2916</v>
      </c>
      <c r="B921" s="5" t="s">
        <v>204</v>
      </c>
      <c r="C921" s="5" t="s">
        <v>219</v>
      </c>
      <c r="D921" s="5" t="s">
        <v>2865</v>
      </c>
      <c r="E921" s="5">
        <v>623692</v>
      </c>
      <c r="F921" s="5">
        <v>0</v>
      </c>
      <c r="G921" s="5" t="s">
        <v>2886</v>
      </c>
      <c r="H921" s="5" t="s">
        <v>20</v>
      </c>
      <c r="I921" s="6" t="s">
        <v>142</v>
      </c>
      <c r="J921" s="6" t="s">
        <v>21</v>
      </c>
      <c r="K921" s="6"/>
      <c r="L921" s="6" t="s">
        <v>341</v>
      </c>
      <c r="M921" s="6" t="s">
        <v>22</v>
      </c>
      <c r="N921" s="6" t="s">
        <v>23</v>
      </c>
      <c r="O921" s="6" t="s">
        <v>27</v>
      </c>
      <c r="P921" s="6" t="s">
        <v>144</v>
      </c>
      <c r="Q921" s="22">
        <v>91</v>
      </c>
      <c r="R921" s="23">
        <v>6</v>
      </c>
      <c r="S921" s="39">
        <v>1</v>
      </c>
      <c r="T921" s="7"/>
      <c r="U921" s="7" t="s">
        <v>2913</v>
      </c>
      <c r="V921" s="7" t="str">
        <f>+IF(U921="","",IF(U921="FINES",CONCATENATE("R",IF(OR(B921="16",B921="21",B921="22",B921="23"),"16212223",IF(OR(B921="15",B921="17",B921="24",B921="25"),"15172425",B921))),IF(U921="CEBAS","UNICO",IF(VALUE(B921)&lt;=11,"AMBA","INTERIOR"))))</f>
        <v>AMBA</v>
      </c>
      <c r="W921" s="38" t="str">
        <f>+IF(U921="","-",CONCATENATE(U921,"_",V921))</f>
        <v>CENS_AMBA</v>
      </c>
      <c r="X921" s="42">
        <v>0.47299999999999998</v>
      </c>
    </row>
    <row r="922" spans="1:24" ht="15" thickBot="1">
      <c r="A922" s="3" t="s">
        <v>2916</v>
      </c>
      <c r="B922" s="3" t="s">
        <v>19</v>
      </c>
      <c r="C922" s="3" t="s">
        <v>17</v>
      </c>
      <c r="D922" s="3" t="s">
        <v>18</v>
      </c>
      <c r="E922" s="3">
        <v>623590</v>
      </c>
      <c r="F922" s="3">
        <v>0</v>
      </c>
      <c r="G922" s="3" t="s">
        <v>159</v>
      </c>
      <c r="H922" s="3" t="s">
        <v>20</v>
      </c>
      <c r="I922" s="4" t="s">
        <v>142</v>
      </c>
      <c r="J922" s="4" t="s">
        <v>21</v>
      </c>
      <c r="K922" s="4"/>
      <c r="L922" s="4" t="s">
        <v>160</v>
      </c>
      <c r="M922" s="4" t="s">
        <v>22</v>
      </c>
      <c r="N922" s="4" t="s">
        <v>23</v>
      </c>
      <c r="O922" s="4" t="s">
        <v>27</v>
      </c>
      <c r="P922" s="4" t="s">
        <v>144</v>
      </c>
      <c r="Q922" s="24">
        <v>136</v>
      </c>
      <c r="R922" s="25">
        <v>8</v>
      </c>
      <c r="S922" s="39">
        <v>1</v>
      </c>
      <c r="T922" s="7"/>
      <c r="U922" s="7" t="s">
        <v>2913</v>
      </c>
      <c r="V922" s="7" t="str">
        <f>+IF(U922="","",IF(U922="FINES",CONCATENATE("R",IF(OR(B922="16",B922="21",B922="22",B922="23"),"16212223",IF(OR(B922="15",B922="17",B922="24",B922="25"),"15172425",B922))),IF(U922="CEBAS","UNICO",IF(VALUE(B922)&lt;=11,"AMBA","INTERIOR"))))</f>
        <v>AMBA</v>
      </c>
      <c r="W922" s="38" t="str">
        <f>+IF(U922="","-",CONCATENATE(U922,"_",V922))</f>
        <v>CENS_AMBA</v>
      </c>
      <c r="X922" s="42">
        <v>0.47899999999999998</v>
      </c>
    </row>
    <row r="923" spans="1:24" ht="15" thickBot="1">
      <c r="A923" s="5" t="s">
        <v>2916</v>
      </c>
      <c r="B923" s="5" t="s">
        <v>19</v>
      </c>
      <c r="C923" s="5" t="s">
        <v>17</v>
      </c>
      <c r="D923" s="5" t="s">
        <v>18</v>
      </c>
      <c r="E923" s="5">
        <v>618227</v>
      </c>
      <c r="F923" s="5">
        <v>0</v>
      </c>
      <c r="G923" s="5" t="s">
        <v>141</v>
      </c>
      <c r="H923" s="5" t="s">
        <v>20</v>
      </c>
      <c r="I923" s="6" t="s">
        <v>142</v>
      </c>
      <c r="J923" s="6" t="s">
        <v>21</v>
      </c>
      <c r="K923" s="6"/>
      <c r="L923" s="6" t="s">
        <v>143</v>
      </c>
      <c r="M923" s="6" t="s">
        <v>22</v>
      </c>
      <c r="N923" s="6" t="s">
        <v>134</v>
      </c>
      <c r="O923" s="6" t="s">
        <v>27</v>
      </c>
      <c r="P923" s="6" t="s">
        <v>144</v>
      </c>
      <c r="Q923" s="22">
        <v>597</v>
      </c>
      <c r="R923" s="23">
        <v>15</v>
      </c>
      <c r="S923" s="39">
        <v>1</v>
      </c>
      <c r="T923" s="7"/>
      <c r="U923" s="7" t="s">
        <v>2913</v>
      </c>
      <c r="V923" s="7" t="str">
        <f>+IF(U923="","",IF(U923="FINES",CONCATENATE("R",IF(OR(B923="16",B923="21",B923="22",B923="23"),"16212223",IF(OR(B923="15",B923="17",B923="24",B923="25"),"15172425",B923))),IF(U923="CEBAS","UNICO",IF(VALUE(B923)&lt;=11,"AMBA","INTERIOR"))))</f>
        <v>AMBA</v>
      </c>
      <c r="W923" s="38" t="str">
        <f>+IF(U923="","-",CONCATENATE(U923,"_",V923))</f>
        <v>CENS_AMBA</v>
      </c>
      <c r="X923" s="42">
        <v>0.48099999999999998</v>
      </c>
    </row>
    <row r="924" spans="1:24" ht="15" thickBot="1">
      <c r="A924" s="5" t="s">
        <v>2916</v>
      </c>
      <c r="B924" s="5" t="s">
        <v>204</v>
      </c>
      <c r="C924" s="5" t="s">
        <v>137</v>
      </c>
      <c r="D924" s="5" t="s">
        <v>2629</v>
      </c>
      <c r="E924" s="5">
        <v>623697</v>
      </c>
      <c r="F924" s="5">
        <v>0</v>
      </c>
      <c r="G924" s="5" t="s">
        <v>2653</v>
      </c>
      <c r="H924" s="5" t="s">
        <v>20</v>
      </c>
      <c r="I924" s="6" t="s">
        <v>142</v>
      </c>
      <c r="J924" s="6" t="s">
        <v>21</v>
      </c>
      <c r="K924" s="6"/>
      <c r="L924" s="6" t="s">
        <v>341</v>
      </c>
      <c r="M924" s="6" t="s">
        <v>22</v>
      </c>
      <c r="N924" s="6" t="s">
        <v>134</v>
      </c>
      <c r="O924" s="6" t="s">
        <v>27</v>
      </c>
      <c r="P924" s="6" t="s">
        <v>144</v>
      </c>
      <c r="Q924" s="22">
        <v>213</v>
      </c>
      <c r="R924" s="23">
        <v>11</v>
      </c>
      <c r="S924" s="39">
        <v>1</v>
      </c>
      <c r="T924" s="7"/>
      <c r="U924" s="7" t="s">
        <v>2913</v>
      </c>
      <c r="V924" s="7" t="str">
        <f>+IF(U924="","",IF(U924="FINES",CONCATENATE("R",IF(OR(B924="16",B924="21",B924="22",B924="23"),"16212223",IF(OR(B924="15",B924="17",B924="24",B924="25"),"15172425",B924))),IF(U924="CEBAS","UNICO",IF(VALUE(B924)&lt;=11,"AMBA","INTERIOR"))))</f>
        <v>AMBA</v>
      </c>
      <c r="W924" s="38" t="str">
        <f>+IF(U924="","-",CONCATENATE(U924,"_",V924))</f>
        <v>CENS_AMBA</v>
      </c>
      <c r="X924" s="42">
        <v>0.48299999999999998</v>
      </c>
    </row>
    <row r="925" spans="1:24" ht="15" thickBot="1">
      <c r="A925" s="3" t="s">
        <v>2916</v>
      </c>
      <c r="B925" s="3" t="s">
        <v>257</v>
      </c>
      <c r="C925" s="3" t="s">
        <v>415</v>
      </c>
      <c r="D925" s="3" t="s">
        <v>2770</v>
      </c>
      <c r="E925" s="3">
        <v>602930</v>
      </c>
      <c r="F925" s="3">
        <v>0</v>
      </c>
      <c r="G925" s="3" t="s">
        <v>2781</v>
      </c>
      <c r="H925" s="3" t="s">
        <v>20</v>
      </c>
      <c r="I925" s="4" t="s">
        <v>142</v>
      </c>
      <c r="J925" s="4" t="s">
        <v>21</v>
      </c>
      <c r="K925" s="4"/>
      <c r="L925" s="4" t="s">
        <v>400</v>
      </c>
      <c r="M925" s="4" t="s">
        <v>22</v>
      </c>
      <c r="N925" s="4" t="s">
        <v>23</v>
      </c>
      <c r="O925" s="4" t="s">
        <v>27</v>
      </c>
      <c r="P925" s="4" t="s">
        <v>144</v>
      </c>
      <c r="Q925" s="24">
        <v>167</v>
      </c>
      <c r="R925" s="25">
        <v>9</v>
      </c>
      <c r="S925" s="39">
        <v>1</v>
      </c>
      <c r="T925" s="7"/>
      <c r="U925" s="7" t="s">
        <v>2913</v>
      </c>
      <c r="V925" s="7" t="str">
        <f>+IF(U925="","",IF(U925="FINES",CONCATENATE("R",IF(OR(B925="16",B925="21",B925="22",B925="23"),"16212223",IF(OR(B925="15",B925="17",B925="24",B925="25"),"15172425",B925))),IF(U925="CEBAS","UNICO",IF(VALUE(B925)&lt;=11,"AMBA","INTERIOR"))))</f>
        <v>AMBA</v>
      </c>
      <c r="W925" s="38" t="str">
        <f>+IF(U925="","-",CONCATENATE(U925,"_",V925))</f>
        <v>CENS_AMBA</v>
      </c>
      <c r="X925" s="42">
        <v>0.48499999999999999</v>
      </c>
    </row>
    <row r="926" spans="1:24" ht="15" thickBot="1">
      <c r="A926" s="5" t="s">
        <v>2916</v>
      </c>
      <c r="B926" s="5" t="s">
        <v>1860</v>
      </c>
      <c r="C926" s="5" t="s">
        <v>224</v>
      </c>
      <c r="D926" s="5" t="s">
        <v>2837</v>
      </c>
      <c r="E926" s="5">
        <v>617079</v>
      </c>
      <c r="F926" s="5">
        <v>0</v>
      </c>
      <c r="G926" s="5" t="s">
        <v>2856</v>
      </c>
      <c r="H926" s="5" t="s">
        <v>20</v>
      </c>
      <c r="I926" s="6" t="s">
        <v>142</v>
      </c>
      <c r="J926" s="6" t="s">
        <v>21</v>
      </c>
      <c r="K926" s="6"/>
      <c r="L926" s="6" t="s">
        <v>400</v>
      </c>
      <c r="M926" s="6" t="s">
        <v>22</v>
      </c>
      <c r="N926" s="6" t="s">
        <v>23</v>
      </c>
      <c r="O926" s="6" t="s">
        <v>27</v>
      </c>
      <c r="P926" s="6" t="s">
        <v>144</v>
      </c>
      <c r="Q926" s="22">
        <v>257</v>
      </c>
      <c r="R926" s="23">
        <v>14</v>
      </c>
      <c r="S926" s="39">
        <v>1</v>
      </c>
      <c r="T926" s="7"/>
      <c r="U926" s="7" t="s">
        <v>2913</v>
      </c>
      <c r="V926" s="7" t="str">
        <f>+IF(U926="","",IF(U926="FINES",CONCATENATE("R",IF(OR(B926="16",B926="21",B926="22",B926="23"),"16212223",IF(OR(B926="15",B926="17",B926="24",B926="25"),"15172425",B926))),IF(U926="CEBAS","UNICO",IF(VALUE(B926)&lt;=11,"AMBA","INTERIOR"))))</f>
        <v>AMBA</v>
      </c>
      <c r="W926" s="38" t="str">
        <f>+IF(U926="","-",CONCATENATE(U926,"_",V926))</f>
        <v>CENS_AMBA</v>
      </c>
      <c r="X926" s="42">
        <v>0.49099999999999999</v>
      </c>
    </row>
    <row r="927" spans="1:24" ht="15" thickBot="1">
      <c r="A927" s="3" t="s">
        <v>2916</v>
      </c>
      <c r="B927" s="3" t="s">
        <v>356</v>
      </c>
      <c r="C927" s="3" t="s">
        <v>353</v>
      </c>
      <c r="D927" s="3" t="s">
        <v>355</v>
      </c>
      <c r="E927" s="3">
        <v>607800</v>
      </c>
      <c r="F927" s="3">
        <v>0</v>
      </c>
      <c r="G927" s="3" t="s">
        <v>402</v>
      </c>
      <c r="H927" s="3" t="s">
        <v>20</v>
      </c>
      <c r="I927" s="4" t="s">
        <v>142</v>
      </c>
      <c r="J927" s="4" t="s">
        <v>21</v>
      </c>
      <c r="K927" s="4"/>
      <c r="L927" s="4" t="s">
        <v>146</v>
      </c>
      <c r="M927" s="4" t="s">
        <v>22</v>
      </c>
      <c r="N927" s="4" t="s">
        <v>23</v>
      </c>
      <c r="O927" s="4" t="s">
        <v>27</v>
      </c>
      <c r="P927" s="4" t="s">
        <v>144</v>
      </c>
      <c r="Q927" s="24">
        <v>415</v>
      </c>
      <c r="R927" s="25">
        <v>23</v>
      </c>
      <c r="S927" s="39">
        <v>1</v>
      </c>
      <c r="T927" s="7"/>
      <c r="U927" s="7" t="s">
        <v>2913</v>
      </c>
      <c r="V927" s="7" t="str">
        <f>+IF(U927="","",IF(U927="FINES",CONCATENATE("R",IF(OR(B927="16",B927="21",B927="22",B927="23"),"16212223",IF(OR(B927="15",B927="17",B927="24",B927="25"),"15172425",B927))),IF(U927="CEBAS","UNICO",IF(VALUE(B927)&lt;=11,"AMBA","INTERIOR"))))</f>
        <v>AMBA</v>
      </c>
      <c r="W927" s="38" t="str">
        <f>+IF(U927="","-",CONCATENATE(U927,"_",V927))</f>
        <v>CENS_AMBA</v>
      </c>
      <c r="X927" s="42">
        <v>0.49199999999999999</v>
      </c>
    </row>
    <row r="928" spans="1:24" ht="15" thickBot="1">
      <c r="A928" s="3" t="s">
        <v>2916</v>
      </c>
      <c r="B928" s="3" t="s">
        <v>1860</v>
      </c>
      <c r="C928" s="3" t="s">
        <v>1858</v>
      </c>
      <c r="D928" s="3" t="s">
        <v>1859</v>
      </c>
      <c r="E928" s="3">
        <v>603356</v>
      </c>
      <c r="F928" s="3">
        <v>0</v>
      </c>
      <c r="G928" s="3" t="s">
        <v>1902</v>
      </c>
      <c r="H928" s="3" t="s">
        <v>20</v>
      </c>
      <c r="I928" s="4" t="s">
        <v>142</v>
      </c>
      <c r="J928" s="4" t="s">
        <v>21</v>
      </c>
      <c r="K928" s="4"/>
      <c r="L928" s="4" t="s">
        <v>1903</v>
      </c>
      <c r="M928" s="4" t="s">
        <v>22</v>
      </c>
      <c r="N928" s="4" t="s">
        <v>23</v>
      </c>
      <c r="O928" s="4" t="s">
        <v>27</v>
      </c>
      <c r="P928" s="4" t="s">
        <v>144</v>
      </c>
      <c r="Q928" s="24">
        <v>194</v>
      </c>
      <c r="R928" s="25">
        <v>9</v>
      </c>
      <c r="S928" s="39">
        <v>1</v>
      </c>
      <c r="T928" s="7"/>
      <c r="U928" s="7" t="s">
        <v>2913</v>
      </c>
      <c r="V928" s="7" t="str">
        <f>+IF(U928="","",IF(U928="FINES",CONCATENATE("R",IF(OR(B928="16",B928="21",B928="22",B928="23"),"16212223",IF(OR(B928="15",B928="17",B928="24",B928="25"),"15172425",B928))),IF(U928="CEBAS","UNICO",IF(VALUE(B928)&lt;=11,"AMBA","INTERIOR"))))</f>
        <v>AMBA</v>
      </c>
      <c r="W928" s="38" t="str">
        <f>+IF(U928="","-",CONCATENATE(U928,"_",V928))</f>
        <v>CENS_AMBA</v>
      </c>
      <c r="X928" s="42">
        <v>0.49199999999999999</v>
      </c>
    </row>
    <row r="929" spans="1:24" ht="15" thickBot="1">
      <c r="A929" s="5" t="s">
        <v>2916</v>
      </c>
      <c r="B929" s="5" t="s">
        <v>1257</v>
      </c>
      <c r="C929" s="5" t="s">
        <v>1255</v>
      </c>
      <c r="D929" s="5" t="s">
        <v>1256</v>
      </c>
      <c r="E929" s="5">
        <v>623680</v>
      </c>
      <c r="F929" s="5">
        <v>0</v>
      </c>
      <c r="G929" s="5" t="s">
        <v>1306</v>
      </c>
      <c r="H929" s="5" t="s">
        <v>20</v>
      </c>
      <c r="I929" s="6" t="s">
        <v>142</v>
      </c>
      <c r="J929" s="6" t="s">
        <v>21</v>
      </c>
      <c r="K929" s="6"/>
      <c r="L929" s="6" t="s">
        <v>164</v>
      </c>
      <c r="M929" s="6" t="s">
        <v>22</v>
      </c>
      <c r="N929" s="6" t="s">
        <v>23</v>
      </c>
      <c r="O929" s="6" t="s">
        <v>27</v>
      </c>
      <c r="P929" s="6" t="s">
        <v>144</v>
      </c>
      <c r="Q929" s="22">
        <v>180</v>
      </c>
      <c r="R929" s="23">
        <v>10</v>
      </c>
      <c r="S929" s="39">
        <v>1</v>
      </c>
      <c r="T929" s="7"/>
      <c r="U929" s="7" t="s">
        <v>2913</v>
      </c>
      <c r="V929" s="7" t="str">
        <f>+IF(U929="","",IF(U929="FINES",CONCATENATE("R",IF(OR(B929="16",B929="21",B929="22",B929="23"),"16212223",IF(OR(B929="15",B929="17",B929="24",B929="25"),"15172425",B929))),IF(U929="CEBAS","UNICO",IF(VALUE(B929)&lt;=11,"AMBA","INTERIOR"))))</f>
        <v>AMBA</v>
      </c>
      <c r="W929" s="38" t="str">
        <f>+IF(U929="","-",CONCATENATE(U929,"_",V929))</f>
        <v>CENS_AMBA</v>
      </c>
      <c r="X929" s="42">
        <v>0.49399999999999999</v>
      </c>
    </row>
    <row r="930" spans="1:24" ht="15" thickBot="1">
      <c r="A930" s="5" t="s">
        <v>2916</v>
      </c>
      <c r="B930" s="5" t="s">
        <v>204</v>
      </c>
      <c r="C930" s="5" t="s">
        <v>219</v>
      </c>
      <c r="D930" s="5" t="s">
        <v>2865</v>
      </c>
      <c r="E930" s="5">
        <v>623689</v>
      </c>
      <c r="F930" s="5">
        <v>0</v>
      </c>
      <c r="G930" s="5" t="s">
        <v>2882</v>
      </c>
      <c r="H930" s="5" t="s">
        <v>20</v>
      </c>
      <c r="I930" s="6" t="s">
        <v>142</v>
      </c>
      <c r="J930" s="6" t="s">
        <v>21</v>
      </c>
      <c r="K930" s="6"/>
      <c r="L930" s="6" t="s">
        <v>337</v>
      </c>
      <c r="M930" s="6" t="s">
        <v>22</v>
      </c>
      <c r="N930" s="6" t="s">
        <v>23</v>
      </c>
      <c r="O930" s="6" t="s">
        <v>27</v>
      </c>
      <c r="P930" s="6" t="s">
        <v>144</v>
      </c>
      <c r="Q930" s="22">
        <v>86</v>
      </c>
      <c r="R930" s="23">
        <v>9</v>
      </c>
      <c r="S930" s="39">
        <v>1</v>
      </c>
      <c r="T930" s="7"/>
      <c r="U930" s="7" t="s">
        <v>2913</v>
      </c>
      <c r="V930" s="7" t="str">
        <f>+IF(U930="","",IF(U930="FINES",CONCATENATE("R",IF(OR(B930="16",B930="21",B930="22",B930="23"),"16212223",IF(OR(B930="15",B930="17",B930="24",B930="25"),"15172425",B930))),IF(U930="CEBAS","UNICO",IF(VALUE(B930)&lt;=11,"AMBA","INTERIOR"))))</f>
        <v>AMBA</v>
      </c>
      <c r="W930" s="38" t="str">
        <f>+IF(U930="","-",CONCATENATE(U930,"_",V930))</f>
        <v>CENS_AMBA</v>
      </c>
      <c r="X930" s="42">
        <v>0.495</v>
      </c>
    </row>
    <row r="931" spans="1:24" ht="15" thickBot="1">
      <c r="A931" s="5" t="s">
        <v>2916</v>
      </c>
      <c r="B931" s="5" t="s">
        <v>1532</v>
      </c>
      <c r="C931" s="5" t="s">
        <v>1530</v>
      </c>
      <c r="D931" s="5" t="s">
        <v>1531</v>
      </c>
      <c r="E931" s="5">
        <v>623958</v>
      </c>
      <c r="F931" s="5">
        <v>0</v>
      </c>
      <c r="G931" s="5" t="s">
        <v>1746</v>
      </c>
      <c r="H931" s="5" t="s">
        <v>20</v>
      </c>
      <c r="I931" s="6" t="s">
        <v>142</v>
      </c>
      <c r="J931" s="6" t="s">
        <v>21</v>
      </c>
      <c r="K931" s="6"/>
      <c r="L931" s="6" t="s">
        <v>1747</v>
      </c>
      <c r="M931" s="6" t="s">
        <v>22</v>
      </c>
      <c r="N931" s="6" t="s">
        <v>134</v>
      </c>
      <c r="O931" s="6" t="s">
        <v>27</v>
      </c>
      <c r="P931" s="6" t="s">
        <v>144</v>
      </c>
      <c r="Q931" s="22">
        <v>61</v>
      </c>
      <c r="R931" s="23">
        <v>3</v>
      </c>
      <c r="S931" s="39">
        <v>1</v>
      </c>
      <c r="T931" s="7"/>
      <c r="U931" s="7" t="s">
        <v>2913</v>
      </c>
      <c r="V931" s="7" t="str">
        <f>+IF(U931="","",IF(U931="FINES",CONCATENATE("R",IF(OR(B931="16",B931="21",B931="22",B931="23"),"16212223",IF(OR(B931="15",B931="17",B931="24",B931="25"),"15172425",B931))),IF(U931="CEBAS","UNICO",IF(VALUE(B931)&lt;=11,"AMBA","INTERIOR"))))</f>
        <v>AMBA</v>
      </c>
      <c r="W931" s="38" t="str">
        <f>+IF(U931="","-",CONCATENATE(U931,"_",V931))</f>
        <v>CENS_AMBA</v>
      </c>
      <c r="X931" s="42">
        <v>0.498</v>
      </c>
    </row>
    <row r="932" spans="1:24" ht="15" thickBot="1">
      <c r="A932" s="3" t="s">
        <v>2916</v>
      </c>
      <c r="B932" s="3" t="s">
        <v>1257</v>
      </c>
      <c r="C932" s="3" t="s">
        <v>1255</v>
      </c>
      <c r="D932" s="3" t="s">
        <v>1256</v>
      </c>
      <c r="E932" s="3">
        <v>623683</v>
      </c>
      <c r="F932" s="3">
        <v>0</v>
      </c>
      <c r="G932" s="3" t="s">
        <v>1307</v>
      </c>
      <c r="H932" s="3" t="s">
        <v>20</v>
      </c>
      <c r="I932" s="4" t="s">
        <v>142</v>
      </c>
      <c r="J932" s="4" t="s">
        <v>21</v>
      </c>
      <c r="K932" s="4"/>
      <c r="L932" s="4" t="s">
        <v>166</v>
      </c>
      <c r="M932" s="4" t="s">
        <v>22</v>
      </c>
      <c r="N932" s="4" t="s">
        <v>23</v>
      </c>
      <c r="O932" s="4" t="s">
        <v>27</v>
      </c>
      <c r="P932" s="4" t="s">
        <v>144</v>
      </c>
      <c r="Q932" s="24">
        <v>58</v>
      </c>
      <c r="R932" s="25">
        <v>3</v>
      </c>
      <c r="S932" s="39">
        <v>1</v>
      </c>
      <c r="T932" s="7"/>
      <c r="U932" s="7" t="s">
        <v>2913</v>
      </c>
      <c r="V932" s="7" t="str">
        <f>+IF(U932="","",IF(U932="FINES",CONCATENATE("R",IF(OR(B932="16",B932="21",B932="22",B932="23"),"16212223",IF(OR(B932="15",B932="17",B932="24",B932="25"),"15172425",B932))),IF(U932="CEBAS","UNICO",IF(VALUE(B932)&lt;=11,"AMBA","INTERIOR"))))</f>
        <v>AMBA</v>
      </c>
      <c r="W932" s="38" t="str">
        <f>+IF(U932="","-",CONCATENATE(U932,"_",V932))</f>
        <v>CENS_AMBA</v>
      </c>
      <c r="X932" s="42">
        <v>0.498</v>
      </c>
    </row>
    <row r="933" spans="1:24" ht="15" thickBot="1">
      <c r="A933" s="3" t="s">
        <v>2916</v>
      </c>
      <c r="B933" s="3" t="s">
        <v>1532</v>
      </c>
      <c r="C933" s="3" t="s">
        <v>1530</v>
      </c>
      <c r="D933" s="3" t="s">
        <v>1531</v>
      </c>
      <c r="E933" s="3">
        <v>623639</v>
      </c>
      <c r="F933" s="3">
        <v>0</v>
      </c>
      <c r="G933" s="3" t="s">
        <v>1702</v>
      </c>
      <c r="H933" s="3" t="s">
        <v>20</v>
      </c>
      <c r="I933" s="4" t="s">
        <v>142</v>
      </c>
      <c r="J933" s="4" t="s">
        <v>21</v>
      </c>
      <c r="K933" s="4"/>
      <c r="L933" s="4" t="s">
        <v>1703</v>
      </c>
      <c r="M933" s="4" t="s">
        <v>22</v>
      </c>
      <c r="N933" s="4" t="s">
        <v>23</v>
      </c>
      <c r="O933" s="4" t="s">
        <v>27</v>
      </c>
      <c r="P933" s="4" t="s">
        <v>144</v>
      </c>
      <c r="Q933" s="24">
        <v>110</v>
      </c>
      <c r="R933" s="25">
        <v>9</v>
      </c>
      <c r="S933" s="39">
        <v>1</v>
      </c>
      <c r="T933" s="7"/>
      <c r="U933" s="7" t="s">
        <v>2913</v>
      </c>
      <c r="V933" s="7" t="str">
        <f>+IF(U933="","",IF(U933="FINES",CONCATENATE("R",IF(OR(B933="16",B933="21",B933="22",B933="23"),"16212223",IF(OR(B933="15",B933="17",B933="24",B933="25"),"15172425",B933))),IF(U933="CEBAS","UNICO",IF(VALUE(B933)&lt;=11,"AMBA","INTERIOR"))))</f>
        <v>AMBA</v>
      </c>
      <c r="W933" s="38" t="str">
        <f>+IF(U933="","-",CONCATENATE(U933,"_",V933))</f>
        <v>CENS_AMBA</v>
      </c>
      <c r="X933" s="42">
        <v>0.5</v>
      </c>
    </row>
    <row r="934" spans="1:24" ht="15" thickBot="1">
      <c r="A934" s="3" t="s">
        <v>2916</v>
      </c>
      <c r="B934" s="3" t="s">
        <v>19</v>
      </c>
      <c r="C934" s="3" t="s">
        <v>17</v>
      </c>
      <c r="D934" s="3" t="s">
        <v>18</v>
      </c>
      <c r="E934" s="3">
        <v>620529</v>
      </c>
      <c r="F934" s="3">
        <v>0</v>
      </c>
      <c r="G934" s="3" t="s">
        <v>149</v>
      </c>
      <c r="H934" s="3" t="s">
        <v>20</v>
      </c>
      <c r="I934" s="4" t="s">
        <v>142</v>
      </c>
      <c r="J934" s="4" t="s">
        <v>21</v>
      </c>
      <c r="K934" s="4"/>
      <c r="L934" s="4" t="s">
        <v>150</v>
      </c>
      <c r="M934" s="4" t="s">
        <v>22</v>
      </c>
      <c r="N934" s="4" t="s">
        <v>23</v>
      </c>
      <c r="O934" s="4" t="s">
        <v>27</v>
      </c>
      <c r="P934" s="4" t="s">
        <v>144</v>
      </c>
      <c r="Q934" s="24">
        <v>160</v>
      </c>
      <c r="R934" s="25">
        <v>9</v>
      </c>
      <c r="S934" s="39">
        <v>1</v>
      </c>
      <c r="T934" s="7"/>
      <c r="U934" s="7" t="s">
        <v>2913</v>
      </c>
      <c r="V934" s="7" t="str">
        <f>+IF(U934="","",IF(U934="FINES",CONCATENATE("R",IF(OR(B934="16",B934="21",B934="22",B934="23"),"16212223",IF(OR(B934="15",B934="17",B934="24",B934="25"),"15172425",B934))),IF(U934="CEBAS","UNICO",IF(VALUE(B934)&lt;=11,"AMBA","INTERIOR"))))</f>
        <v>AMBA</v>
      </c>
      <c r="W934" s="38" t="str">
        <f>+IF(U934="","-",CONCATENATE(U934,"_",V934))</f>
        <v>CENS_AMBA</v>
      </c>
      <c r="X934" s="42">
        <v>0.501</v>
      </c>
    </row>
    <row r="935" spans="1:24" ht="15" thickBot="1">
      <c r="A935" s="3" t="s">
        <v>2916</v>
      </c>
      <c r="B935" s="3" t="s">
        <v>1257</v>
      </c>
      <c r="C935" s="3" t="s">
        <v>1255</v>
      </c>
      <c r="D935" s="3" t="s">
        <v>1256</v>
      </c>
      <c r="E935" s="3">
        <v>621170</v>
      </c>
      <c r="F935" s="3">
        <v>0</v>
      </c>
      <c r="G935" s="3" t="s">
        <v>1294</v>
      </c>
      <c r="H935" s="3" t="s">
        <v>20</v>
      </c>
      <c r="I935" s="4" t="s">
        <v>142</v>
      </c>
      <c r="J935" s="4" t="s">
        <v>21</v>
      </c>
      <c r="K935" s="4"/>
      <c r="L935" s="4" t="s">
        <v>1295</v>
      </c>
      <c r="M935" s="4" t="s">
        <v>22</v>
      </c>
      <c r="N935" s="4" t="s">
        <v>23</v>
      </c>
      <c r="O935" s="4" t="s">
        <v>27</v>
      </c>
      <c r="P935" s="4" t="s">
        <v>144</v>
      </c>
      <c r="Q935" s="24">
        <v>70</v>
      </c>
      <c r="R935" s="25">
        <v>3</v>
      </c>
      <c r="S935" s="39">
        <v>1</v>
      </c>
      <c r="T935" s="7"/>
      <c r="U935" s="7" t="s">
        <v>2913</v>
      </c>
      <c r="V935" s="7" t="str">
        <f>+IF(U935="","",IF(U935="FINES",CONCATENATE("R",IF(OR(B935="16",B935="21",B935="22",B935="23"),"16212223",IF(OR(B935="15",B935="17",B935="24",B935="25"),"15172425",B935))),IF(U935="CEBAS","UNICO",IF(VALUE(B935)&lt;=11,"AMBA","INTERIOR"))))</f>
        <v>AMBA</v>
      </c>
      <c r="W935" s="38" t="str">
        <f>+IF(U935="","-",CONCATENATE(U935,"_",V935))</f>
        <v>CENS_AMBA</v>
      </c>
      <c r="X935" s="42">
        <v>0.503</v>
      </c>
    </row>
    <row r="936" spans="1:24" ht="15" thickBot="1">
      <c r="A936" s="5" t="s">
        <v>2916</v>
      </c>
      <c r="B936" s="5" t="s">
        <v>356</v>
      </c>
      <c r="C936" s="5" t="s">
        <v>1359</v>
      </c>
      <c r="D936" s="5" t="s">
        <v>1360</v>
      </c>
      <c r="E936" s="5">
        <v>623289</v>
      </c>
      <c r="F936" s="5">
        <v>0</v>
      </c>
      <c r="G936" s="5" t="s">
        <v>1436</v>
      </c>
      <c r="H936" s="5" t="s">
        <v>20</v>
      </c>
      <c r="I936" s="6" t="s">
        <v>142</v>
      </c>
      <c r="J936" s="6" t="s">
        <v>21</v>
      </c>
      <c r="K936" s="6"/>
      <c r="L936" s="6" t="s">
        <v>1437</v>
      </c>
      <c r="M936" s="6" t="s">
        <v>22</v>
      </c>
      <c r="N936" s="6" t="s">
        <v>23</v>
      </c>
      <c r="O936" s="6" t="s">
        <v>27</v>
      </c>
      <c r="P936" s="6" t="s">
        <v>144</v>
      </c>
      <c r="Q936" s="22">
        <v>356</v>
      </c>
      <c r="R936" s="23">
        <v>15</v>
      </c>
      <c r="S936" s="39">
        <v>1</v>
      </c>
      <c r="T936" s="7"/>
      <c r="U936" s="7" t="s">
        <v>2913</v>
      </c>
      <c r="V936" s="7" t="str">
        <f>+IF(U936="","",IF(U936="FINES",CONCATENATE("R",IF(OR(B936="16",B936="21",B936="22",B936="23"),"16212223",IF(OR(B936="15",B936="17",B936="24",B936="25"),"15172425",B936))),IF(U936="CEBAS","UNICO",IF(VALUE(B936)&lt;=11,"AMBA","INTERIOR"))))</f>
        <v>AMBA</v>
      </c>
      <c r="W936" s="38" t="str">
        <f>+IF(U936="","-",CONCATENATE(U936,"_",V936))</f>
        <v>CENS_AMBA</v>
      </c>
      <c r="X936" s="42">
        <v>0.504</v>
      </c>
    </row>
    <row r="937" spans="1:24" ht="15" thickBot="1">
      <c r="A937" s="5" t="s">
        <v>2916</v>
      </c>
      <c r="B937" s="5" t="s">
        <v>817</v>
      </c>
      <c r="C937" s="5" t="s">
        <v>815</v>
      </c>
      <c r="D937" s="5" t="s">
        <v>816</v>
      </c>
      <c r="E937" s="5">
        <v>623647</v>
      </c>
      <c r="F937" s="5">
        <v>0</v>
      </c>
      <c r="G937" s="5" t="s">
        <v>866</v>
      </c>
      <c r="H937" s="5" t="s">
        <v>20</v>
      </c>
      <c r="I937" s="6" t="s">
        <v>142</v>
      </c>
      <c r="J937" s="6" t="s">
        <v>21</v>
      </c>
      <c r="K937" s="6"/>
      <c r="L937" s="6" t="s">
        <v>867</v>
      </c>
      <c r="M937" s="6" t="s">
        <v>22</v>
      </c>
      <c r="N937" s="6" t="s">
        <v>23</v>
      </c>
      <c r="O937" s="6" t="s">
        <v>27</v>
      </c>
      <c r="P937" s="6" t="s">
        <v>144</v>
      </c>
      <c r="Q937" s="22">
        <v>418</v>
      </c>
      <c r="R937" s="23">
        <v>15</v>
      </c>
      <c r="S937" s="39">
        <v>1</v>
      </c>
      <c r="T937" s="7"/>
      <c r="U937" s="7" t="s">
        <v>2913</v>
      </c>
      <c r="V937" s="7" t="str">
        <f>+IF(U937="","",IF(U937="FINES",CONCATENATE("R",IF(OR(B937="16",B937="21",B937="22",B937="23"),"16212223",IF(OR(B937="15",B937="17",B937="24",B937="25"),"15172425",B937))),IF(U937="CEBAS","UNICO",IF(VALUE(B937)&lt;=11,"AMBA","INTERIOR"))))</f>
        <v>AMBA</v>
      </c>
      <c r="W937" s="38" t="str">
        <f>+IF(U937="","-",CONCATENATE(U937,"_",V937))</f>
        <v>CENS_AMBA</v>
      </c>
      <c r="X937" s="42">
        <v>0.51100000000000001</v>
      </c>
    </row>
    <row r="938" spans="1:24" ht="15" thickBot="1">
      <c r="A938" s="3" t="s">
        <v>2916</v>
      </c>
      <c r="B938" s="3" t="s">
        <v>204</v>
      </c>
      <c r="C938" s="3" t="s">
        <v>1084</v>
      </c>
      <c r="D938" s="3" t="s">
        <v>1085</v>
      </c>
      <c r="E938" s="3">
        <v>606115</v>
      </c>
      <c r="F938" s="3">
        <v>0</v>
      </c>
      <c r="G938" s="3" t="s">
        <v>1119</v>
      </c>
      <c r="H938" s="3" t="s">
        <v>20</v>
      </c>
      <c r="I938" s="4" t="s">
        <v>142</v>
      </c>
      <c r="J938" s="4" t="s">
        <v>21</v>
      </c>
      <c r="K938" s="4"/>
      <c r="L938" s="4" t="s">
        <v>1120</v>
      </c>
      <c r="M938" s="4" t="s">
        <v>22</v>
      </c>
      <c r="N938" s="4" t="s">
        <v>23</v>
      </c>
      <c r="O938" s="4" t="s">
        <v>27</v>
      </c>
      <c r="P938" s="4" t="s">
        <v>144</v>
      </c>
      <c r="Q938" s="24">
        <v>192</v>
      </c>
      <c r="R938" s="25">
        <v>7</v>
      </c>
      <c r="S938" s="39">
        <v>1</v>
      </c>
      <c r="T938" s="7"/>
      <c r="U938" s="7" t="s">
        <v>2913</v>
      </c>
      <c r="V938" s="7" t="str">
        <f>+IF(U938="","",IF(U938="FINES",CONCATENATE("R",IF(OR(B938="16",B938="21",B938="22",B938="23"),"16212223",IF(OR(B938="15",B938="17",B938="24",B938="25"),"15172425",B938))),IF(U938="CEBAS","UNICO",IF(VALUE(B938)&lt;=11,"AMBA","INTERIOR"))))</f>
        <v>AMBA</v>
      </c>
      <c r="W938" s="38" t="str">
        <f>+IF(U938="","-",CONCATENATE(U938,"_",V938))</f>
        <v>CENS_AMBA</v>
      </c>
      <c r="X938" s="42">
        <v>0.51400000000000001</v>
      </c>
    </row>
    <row r="939" spans="1:24" ht="15" thickBot="1">
      <c r="A939" s="3" t="s">
        <v>2916</v>
      </c>
      <c r="B939" s="3" t="s">
        <v>204</v>
      </c>
      <c r="C939" s="3" t="s">
        <v>1084</v>
      </c>
      <c r="D939" s="3" t="s">
        <v>1085</v>
      </c>
      <c r="E939" s="3">
        <v>610719</v>
      </c>
      <c r="F939" s="3">
        <v>0</v>
      </c>
      <c r="G939" s="3" t="s">
        <v>1142</v>
      </c>
      <c r="H939" s="3" t="s">
        <v>20</v>
      </c>
      <c r="I939" s="4" t="s">
        <v>142</v>
      </c>
      <c r="J939" s="4" t="s">
        <v>21</v>
      </c>
      <c r="K939" s="4"/>
      <c r="L939" s="4" t="s">
        <v>166</v>
      </c>
      <c r="M939" s="4" t="s">
        <v>22</v>
      </c>
      <c r="N939" s="4" t="s">
        <v>23</v>
      </c>
      <c r="O939" s="4" t="s">
        <v>27</v>
      </c>
      <c r="P939" s="4" t="s">
        <v>144</v>
      </c>
      <c r="Q939" s="24">
        <v>173</v>
      </c>
      <c r="R939" s="25">
        <v>11</v>
      </c>
      <c r="S939" s="39">
        <v>1</v>
      </c>
      <c r="T939" s="7"/>
      <c r="U939" s="7" t="s">
        <v>2913</v>
      </c>
      <c r="V939" s="7" t="str">
        <f>+IF(U939="","",IF(U939="FINES",CONCATENATE("R",IF(OR(B939="16",B939="21",B939="22",B939="23"),"16212223",IF(OR(B939="15",B939="17",B939="24",B939="25"),"15172425",B939))),IF(U939="CEBAS","UNICO",IF(VALUE(B939)&lt;=11,"AMBA","INTERIOR"))))</f>
        <v>AMBA</v>
      </c>
      <c r="W939" s="38" t="str">
        <f>+IF(U939="","-",CONCATENATE(U939,"_",V939))</f>
        <v>CENS_AMBA</v>
      </c>
      <c r="X939" s="42">
        <v>0.51400000000000001</v>
      </c>
    </row>
    <row r="940" spans="1:24" ht="15" thickBot="1">
      <c r="A940" s="3" t="s">
        <v>2916</v>
      </c>
      <c r="B940" s="3" t="s">
        <v>222</v>
      </c>
      <c r="C940" s="3" t="s">
        <v>610</v>
      </c>
      <c r="D940" s="3" t="s">
        <v>611</v>
      </c>
      <c r="E940" s="3">
        <v>623888</v>
      </c>
      <c r="F940" s="3">
        <v>0</v>
      </c>
      <c r="G940" s="3" t="s">
        <v>637</v>
      </c>
      <c r="H940" s="3" t="s">
        <v>20</v>
      </c>
      <c r="I940" s="4" t="s">
        <v>142</v>
      </c>
      <c r="J940" s="4" t="s">
        <v>21</v>
      </c>
      <c r="K940" s="4"/>
      <c r="L940" s="4" t="s">
        <v>638</v>
      </c>
      <c r="M940" s="4" t="s">
        <v>199</v>
      </c>
      <c r="N940" s="4" t="s">
        <v>23</v>
      </c>
      <c r="O940" s="4" t="s">
        <v>27</v>
      </c>
      <c r="P940" s="4" t="s">
        <v>144</v>
      </c>
      <c r="Q940" s="24">
        <v>432</v>
      </c>
      <c r="R940" s="25">
        <v>11</v>
      </c>
      <c r="S940" s="39">
        <v>1</v>
      </c>
      <c r="T940" s="7"/>
      <c r="U940" s="7" t="s">
        <v>2913</v>
      </c>
      <c r="V940" s="7" t="str">
        <f>+IF(U940="","",IF(U940="FINES",CONCATENATE("R",IF(OR(B940="16",B940="21",B940="22",B940="23"),"16212223",IF(OR(B940="15",B940="17",B940="24",B940="25"),"15172425",B940))),IF(U940="CEBAS","UNICO",IF(VALUE(B940)&lt;=11,"AMBA","INTERIOR"))))</f>
        <v>AMBA</v>
      </c>
      <c r="W940" s="38" t="str">
        <f>+IF(U940="","-",CONCATENATE(U940,"_",V940))</f>
        <v>CENS_AMBA</v>
      </c>
      <c r="X940" s="42">
        <v>0.51500000000000001</v>
      </c>
    </row>
    <row r="941" spans="1:24" ht="15" thickBot="1">
      <c r="A941" s="5" t="s">
        <v>2916</v>
      </c>
      <c r="B941" s="5" t="s">
        <v>257</v>
      </c>
      <c r="C941" s="5" t="s">
        <v>772</v>
      </c>
      <c r="D941" s="5" t="s">
        <v>773</v>
      </c>
      <c r="E941" s="5">
        <v>623660</v>
      </c>
      <c r="F941" s="5">
        <v>0</v>
      </c>
      <c r="G941" s="5" t="s">
        <v>800</v>
      </c>
      <c r="H941" s="5" t="s">
        <v>20</v>
      </c>
      <c r="I941" s="6" t="s">
        <v>142</v>
      </c>
      <c r="J941" s="6" t="s">
        <v>21</v>
      </c>
      <c r="K941" s="6"/>
      <c r="L941" s="6" t="s">
        <v>636</v>
      </c>
      <c r="M941" s="6" t="s">
        <v>22</v>
      </c>
      <c r="N941" s="6" t="s">
        <v>23</v>
      </c>
      <c r="O941" s="6" t="s">
        <v>27</v>
      </c>
      <c r="P941" s="6" t="s">
        <v>144</v>
      </c>
      <c r="Q941" s="22">
        <v>92</v>
      </c>
      <c r="R941" s="23">
        <v>6</v>
      </c>
      <c r="S941" s="39">
        <v>1</v>
      </c>
      <c r="T941" s="7"/>
      <c r="U941" s="7" t="s">
        <v>2913</v>
      </c>
      <c r="V941" s="7" t="str">
        <f>+IF(U941="","",IF(U941="FINES",CONCATENATE("R",IF(OR(B941="16",B941="21",B941="22",B941="23"),"16212223",IF(OR(B941="15",B941="17",B941="24",B941="25"),"15172425",B941))),IF(U941="CEBAS","UNICO",IF(VALUE(B941)&lt;=11,"AMBA","INTERIOR"))))</f>
        <v>AMBA</v>
      </c>
      <c r="W941" s="38" t="str">
        <f>+IF(U941="","-",CONCATENATE(U941,"_",V941))</f>
        <v>CENS_AMBA</v>
      </c>
      <c r="X941" s="42">
        <v>0.51700000000000002</v>
      </c>
    </row>
    <row r="942" spans="1:24" ht="15" thickBot="1">
      <c r="A942" s="5" t="s">
        <v>2916</v>
      </c>
      <c r="B942" s="5" t="s">
        <v>1257</v>
      </c>
      <c r="C942" s="5" t="s">
        <v>2237</v>
      </c>
      <c r="D942" s="5" t="s">
        <v>2238</v>
      </c>
      <c r="E942" s="5">
        <v>612194</v>
      </c>
      <c r="F942" s="5">
        <v>0</v>
      </c>
      <c r="G942" s="5" t="s">
        <v>2263</v>
      </c>
      <c r="H942" s="5" t="s">
        <v>20</v>
      </c>
      <c r="I942" s="6" t="s">
        <v>142</v>
      </c>
      <c r="J942" s="6" t="s">
        <v>21</v>
      </c>
      <c r="K942" s="6"/>
      <c r="L942" s="6" t="s">
        <v>2264</v>
      </c>
      <c r="M942" s="6" t="s">
        <v>22</v>
      </c>
      <c r="N942" s="6" t="s">
        <v>23</v>
      </c>
      <c r="O942" s="6" t="s">
        <v>27</v>
      </c>
      <c r="P942" s="6" t="s">
        <v>144</v>
      </c>
      <c r="Q942" s="22">
        <v>215</v>
      </c>
      <c r="R942" s="23">
        <v>11</v>
      </c>
      <c r="S942" s="39">
        <v>1</v>
      </c>
      <c r="T942" s="7"/>
      <c r="U942" s="7" t="s">
        <v>2913</v>
      </c>
      <c r="V942" s="7" t="str">
        <f>+IF(U942="","",IF(U942="FINES",CONCATENATE("R",IF(OR(B942="16",B942="21",B942="22",B942="23"),"16212223",IF(OR(B942="15",B942="17",B942="24",B942="25"),"15172425",B942))),IF(U942="CEBAS","UNICO",IF(VALUE(B942)&lt;=11,"AMBA","INTERIOR"))))</f>
        <v>AMBA</v>
      </c>
      <c r="W942" s="38" t="str">
        <f>+IF(U942="","-",CONCATENATE(U942,"_",V942))</f>
        <v>CENS_AMBA</v>
      </c>
      <c r="X942" s="42">
        <v>0.51800000000000002</v>
      </c>
    </row>
    <row r="943" spans="1:24" ht="15" thickBot="1">
      <c r="A943" s="3" t="s">
        <v>2916</v>
      </c>
      <c r="B943" s="3" t="s">
        <v>1532</v>
      </c>
      <c r="C943" s="3" t="s">
        <v>1530</v>
      </c>
      <c r="D943" s="3" t="s">
        <v>1531</v>
      </c>
      <c r="E943" s="3">
        <v>622192</v>
      </c>
      <c r="F943" s="3">
        <v>0</v>
      </c>
      <c r="G943" s="3" t="s">
        <v>1686</v>
      </c>
      <c r="H943" s="3" t="s">
        <v>20</v>
      </c>
      <c r="I943" s="4" t="s">
        <v>142</v>
      </c>
      <c r="J943" s="4" t="s">
        <v>21</v>
      </c>
      <c r="K943" s="4"/>
      <c r="L943" s="4" t="s">
        <v>1434</v>
      </c>
      <c r="M943" s="4" t="s">
        <v>22</v>
      </c>
      <c r="N943" s="4" t="s">
        <v>23</v>
      </c>
      <c r="O943" s="4" t="s">
        <v>27</v>
      </c>
      <c r="P943" s="4" t="s">
        <v>144</v>
      </c>
      <c r="Q943" s="24">
        <v>188</v>
      </c>
      <c r="R943" s="25">
        <v>6</v>
      </c>
      <c r="S943" s="39">
        <v>1</v>
      </c>
      <c r="T943" s="7"/>
      <c r="U943" s="7" t="s">
        <v>2913</v>
      </c>
      <c r="V943" s="7" t="str">
        <f>+IF(U943="","",IF(U943="FINES",CONCATENATE("R",IF(OR(B943="16",B943="21",B943="22",B943="23"),"16212223",IF(OR(B943="15",B943="17",B943="24",B943="25"),"15172425",B943))),IF(U943="CEBAS","UNICO",IF(VALUE(B943)&lt;=11,"AMBA","INTERIOR"))))</f>
        <v>AMBA</v>
      </c>
      <c r="W943" s="38" t="str">
        <f>+IF(U943="","-",CONCATENATE(U943,"_",V943))</f>
        <v>CENS_AMBA</v>
      </c>
      <c r="X943" s="42">
        <v>0.51900000000000002</v>
      </c>
    </row>
    <row r="944" spans="1:24" ht="15" thickBot="1">
      <c r="A944" s="5" t="s">
        <v>2916</v>
      </c>
      <c r="B944" s="5" t="s">
        <v>817</v>
      </c>
      <c r="C944" s="5" t="s">
        <v>815</v>
      </c>
      <c r="D944" s="5" t="s">
        <v>816</v>
      </c>
      <c r="E944" s="5">
        <v>612832</v>
      </c>
      <c r="F944" s="5">
        <v>0</v>
      </c>
      <c r="G944" s="5" t="s">
        <v>857</v>
      </c>
      <c r="H944" s="5" t="s">
        <v>20</v>
      </c>
      <c r="I944" s="6" t="s">
        <v>142</v>
      </c>
      <c r="J944" s="6" t="s">
        <v>21</v>
      </c>
      <c r="K944" s="6"/>
      <c r="L944" s="6" t="s">
        <v>858</v>
      </c>
      <c r="M944" s="6" t="s">
        <v>22</v>
      </c>
      <c r="N944" s="6" t="s">
        <v>23</v>
      </c>
      <c r="O944" s="6" t="s">
        <v>27</v>
      </c>
      <c r="P944" s="6" t="s">
        <v>144</v>
      </c>
      <c r="Q944" s="22">
        <v>375</v>
      </c>
      <c r="R944" s="23">
        <v>16</v>
      </c>
      <c r="S944" s="39">
        <v>1</v>
      </c>
      <c r="T944" s="7"/>
      <c r="U944" s="7" t="s">
        <v>2913</v>
      </c>
      <c r="V944" s="7" t="str">
        <f>+IF(U944="","",IF(U944="FINES",CONCATENATE("R",IF(OR(B944="16",B944="21",B944="22",B944="23"),"16212223",IF(OR(B944="15",B944="17",B944="24",B944="25"),"15172425",B944))),IF(U944="CEBAS","UNICO",IF(VALUE(B944)&lt;=11,"AMBA","INTERIOR"))))</f>
        <v>AMBA</v>
      </c>
      <c r="W944" s="38" t="str">
        <f>+IF(U944="","-",CONCATENATE(U944,"_",V944))</f>
        <v>CENS_AMBA</v>
      </c>
      <c r="X944" s="42">
        <v>0.52500000000000002</v>
      </c>
    </row>
    <row r="945" spans="1:24" ht="15" thickBot="1">
      <c r="A945" s="3" t="s">
        <v>2916</v>
      </c>
      <c r="B945" s="3" t="s">
        <v>204</v>
      </c>
      <c r="C945" s="3" t="s">
        <v>1084</v>
      </c>
      <c r="D945" s="3" t="s">
        <v>1085</v>
      </c>
      <c r="E945" s="3">
        <v>610720</v>
      </c>
      <c r="F945" s="3">
        <v>0</v>
      </c>
      <c r="G945" s="3" t="s">
        <v>1128</v>
      </c>
      <c r="H945" s="3" t="s">
        <v>20</v>
      </c>
      <c r="I945" s="4" t="s">
        <v>142</v>
      </c>
      <c r="J945" s="4" t="s">
        <v>21</v>
      </c>
      <c r="K945" s="4"/>
      <c r="L945" s="4" t="s">
        <v>1129</v>
      </c>
      <c r="M945" s="4" t="s">
        <v>22</v>
      </c>
      <c r="N945" s="4" t="s">
        <v>23</v>
      </c>
      <c r="O945" s="4" t="s">
        <v>27</v>
      </c>
      <c r="P945" s="4" t="s">
        <v>144</v>
      </c>
      <c r="Q945" s="24">
        <v>93</v>
      </c>
      <c r="R945" s="25">
        <v>6</v>
      </c>
      <c r="S945" s="39">
        <v>1</v>
      </c>
      <c r="T945" s="7"/>
      <c r="U945" t="s">
        <v>2913</v>
      </c>
      <c r="V945" s="7" t="str">
        <f>+IF(U945="","",IF(U945="FINES",CONCATENATE("R",IF(OR(B945="16",B945="21",B945="22",B945="23"),"16212223",IF(OR(B945="15",B945="17",B945="24",B945="25"),"15172425",B945))),IF(U945="CEBAS","UNICO",IF(VALUE(B945)&lt;=11,"AMBA","INTERIOR"))))</f>
        <v>AMBA</v>
      </c>
      <c r="W945" s="38" t="str">
        <f>+IF(U945="","-",CONCATENATE(U945,"_",V945))</f>
        <v>CENS_AMBA</v>
      </c>
      <c r="X945" s="42">
        <v>0.52700000000000002</v>
      </c>
    </row>
    <row r="946" spans="1:24" ht="15" thickBot="1">
      <c r="A946" s="3" t="s">
        <v>2916</v>
      </c>
      <c r="B946" s="3" t="s">
        <v>356</v>
      </c>
      <c r="C946" s="3" t="s">
        <v>1359</v>
      </c>
      <c r="D946" s="3" t="s">
        <v>1360</v>
      </c>
      <c r="E946" s="3">
        <v>615589</v>
      </c>
      <c r="F946" s="3">
        <v>0</v>
      </c>
      <c r="G946" s="3" t="s">
        <v>1424</v>
      </c>
      <c r="H946" s="3" t="s">
        <v>20</v>
      </c>
      <c r="I946" s="4" t="s">
        <v>142</v>
      </c>
      <c r="J946" s="4" t="s">
        <v>21</v>
      </c>
      <c r="K946" s="4"/>
      <c r="L946" s="4" t="s">
        <v>1425</v>
      </c>
      <c r="M946" s="4" t="s">
        <v>22</v>
      </c>
      <c r="N946" s="4" t="s">
        <v>23</v>
      </c>
      <c r="O946" s="4" t="s">
        <v>27</v>
      </c>
      <c r="P946" s="4" t="s">
        <v>144</v>
      </c>
      <c r="Q946" s="24">
        <v>172</v>
      </c>
      <c r="R946" s="25">
        <v>14</v>
      </c>
      <c r="S946" s="39">
        <v>1</v>
      </c>
      <c r="T946" s="7"/>
      <c r="U946" s="7" t="s">
        <v>2913</v>
      </c>
      <c r="V946" s="7" t="str">
        <f>+IF(U946="","",IF(U946="FINES",CONCATENATE("R",IF(OR(B946="16",B946="21",B946="22",B946="23"),"16212223",IF(OR(B946="15",B946="17",B946="24",B946="25"),"15172425",B946))),IF(U946="CEBAS","UNICO",IF(VALUE(B946)&lt;=11,"AMBA","INTERIOR"))))</f>
        <v>AMBA</v>
      </c>
      <c r="W946" s="38" t="str">
        <f>+IF(U946="","-",CONCATENATE(U946,"_",V946))</f>
        <v>CENS_AMBA</v>
      </c>
      <c r="X946" s="42">
        <v>0.53400000000000003</v>
      </c>
    </row>
    <row r="947" spans="1:24" ht="15" thickBot="1">
      <c r="A947" s="5" t="s">
        <v>2916</v>
      </c>
      <c r="B947" s="5" t="s">
        <v>817</v>
      </c>
      <c r="C947" s="5" t="s">
        <v>600</v>
      </c>
      <c r="D947" s="5" t="s">
        <v>2661</v>
      </c>
      <c r="E947" s="5">
        <v>623641</v>
      </c>
      <c r="F947" s="5">
        <v>0</v>
      </c>
      <c r="G947" s="5" t="s">
        <v>2701</v>
      </c>
      <c r="H947" s="5" t="s">
        <v>20</v>
      </c>
      <c r="I947" s="6" t="s">
        <v>142</v>
      </c>
      <c r="J947" s="6" t="s">
        <v>21</v>
      </c>
      <c r="K947" s="6"/>
      <c r="L947" s="6" t="s">
        <v>337</v>
      </c>
      <c r="M947" s="6" t="s">
        <v>22</v>
      </c>
      <c r="N947" s="6" t="s">
        <v>23</v>
      </c>
      <c r="O947" s="6" t="s">
        <v>27</v>
      </c>
      <c r="P947" s="6" t="s">
        <v>144</v>
      </c>
      <c r="Q947" s="22">
        <v>97</v>
      </c>
      <c r="R947" s="23">
        <v>6</v>
      </c>
      <c r="S947" s="39">
        <v>1</v>
      </c>
      <c r="T947" s="7"/>
      <c r="U947" s="7" t="s">
        <v>2913</v>
      </c>
      <c r="V947" s="7" t="str">
        <f>+IF(U947="","",IF(U947="FINES",CONCATENATE("R",IF(OR(B947="16",B947="21",B947="22",B947="23"),"16212223",IF(OR(B947="15",B947="17",B947="24",B947="25"),"15172425",B947))),IF(U947="CEBAS","UNICO",IF(VALUE(B947)&lt;=11,"AMBA","INTERIOR"))))</f>
        <v>AMBA</v>
      </c>
      <c r="W947" s="38" t="str">
        <f>+IF(U947="","-",CONCATENATE(U947,"_",V947))</f>
        <v>CENS_AMBA</v>
      </c>
      <c r="X947" s="42">
        <v>0.53400000000000003</v>
      </c>
    </row>
    <row r="948" spans="1:24" ht="15" thickBot="1">
      <c r="A948" s="5" t="s">
        <v>2916</v>
      </c>
      <c r="B948" s="5" t="s">
        <v>1780</v>
      </c>
      <c r="C948" s="5" t="s">
        <v>238</v>
      </c>
      <c r="D948" s="5" t="s">
        <v>2887</v>
      </c>
      <c r="E948" s="5">
        <v>623702</v>
      </c>
      <c r="F948" s="5">
        <v>0</v>
      </c>
      <c r="G948" s="5" t="s">
        <v>2898</v>
      </c>
      <c r="H948" s="5" t="s">
        <v>20</v>
      </c>
      <c r="I948" s="6" t="s">
        <v>142</v>
      </c>
      <c r="J948" s="6" t="s">
        <v>21</v>
      </c>
      <c r="K948" s="6"/>
      <c r="L948" s="6" t="s">
        <v>2899</v>
      </c>
      <c r="M948" s="6" t="s">
        <v>22</v>
      </c>
      <c r="N948" s="6" t="s">
        <v>23</v>
      </c>
      <c r="O948" s="6" t="s">
        <v>27</v>
      </c>
      <c r="P948" s="6" t="s">
        <v>144</v>
      </c>
      <c r="Q948" s="22">
        <v>130</v>
      </c>
      <c r="R948" s="23">
        <v>9</v>
      </c>
      <c r="S948" s="39">
        <v>1</v>
      </c>
      <c r="T948" s="7"/>
      <c r="U948" t="s">
        <v>2913</v>
      </c>
      <c r="V948" s="7" t="str">
        <f>+IF(U948="","",IF(U948="FINES",CONCATENATE("R",IF(OR(B948="16",B948="21",B948="22",B948="23"),"16212223",IF(OR(B948="15",B948="17",B948="24",B948="25"),"15172425",B948))),IF(U948="CEBAS","UNICO",IF(VALUE(B948)&lt;=11,"AMBA","INTERIOR"))))</f>
        <v>AMBA</v>
      </c>
      <c r="W948" s="38" t="str">
        <f>+IF(U948="","-",CONCATENATE(U948,"_",V948))</f>
        <v>CENS_AMBA</v>
      </c>
      <c r="X948" s="42">
        <v>0.53500000000000003</v>
      </c>
    </row>
    <row r="949" spans="1:24" ht="15" thickBot="1">
      <c r="A949" s="3" t="s">
        <v>2916</v>
      </c>
      <c r="B949" s="3" t="s">
        <v>356</v>
      </c>
      <c r="C949" s="3" t="s">
        <v>1359</v>
      </c>
      <c r="D949" s="3" t="s">
        <v>1360</v>
      </c>
      <c r="E949" s="3">
        <v>623600</v>
      </c>
      <c r="F949" s="3">
        <v>0</v>
      </c>
      <c r="G949" s="3" t="s">
        <v>1440</v>
      </c>
      <c r="H949" s="3" t="s">
        <v>20</v>
      </c>
      <c r="I949" s="4" t="s">
        <v>142</v>
      </c>
      <c r="J949" s="4" t="s">
        <v>21</v>
      </c>
      <c r="K949" s="4"/>
      <c r="L949" s="4" t="s">
        <v>164</v>
      </c>
      <c r="M949" s="4" t="s">
        <v>22</v>
      </c>
      <c r="N949" s="4" t="s">
        <v>23</v>
      </c>
      <c r="O949" s="4" t="s">
        <v>27</v>
      </c>
      <c r="P949" s="4" t="s">
        <v>144</v>
      </c>
      <c r="Q949" s="24">
        <v>184</v>
      </c>
      <c r="R949" s="25">
        <v>8</v>
      </c>
      <c r="S949" s="39">
        <v>1</v>
      </c>
      <c r="T949" s="7"/>
      <c r="U949" t="s">
        <v>2913</v>
      </c>
      <c r="V949" s="7" t="str">
        <f>+IF(U949="","",IF(U949="FINES",CONCATENATE("R",IF(OR(B949="16",B949="21",B949="22",B949="23"),"16212223",IF(OR(B949="15",B949="17",B949="24",B949="25"),"15172425",B949))),IF(U949="CEBAS","UNICO",IF(VALUE(B949)&lt;=11,"AMBA","INTERIOR"))))</f>
        <v>AMBA</v>
      </c>
      <c r="W949" s="38" t="str">
        <f>+IF(U949="","-",CONCATENATE(U949,"_",V949))</f>
        <v>CENS_AMBA</v>
      </c>
      <c r="X949" s="42">
        <v>0.53600000000000003</v>
      </c>
    </row>
    <row r="950" spans="1:24" ht="15" thickBot="1">
      <c r="A950" s="5" t="s">
        <v>2916</v>
      </c>
      <c r="B950" s="5" t="s">
        <v>356</v>
      </c>
      <c r="C950" s="5" t="s">
        <v>1359</v>
      </c>
      <c r="D950" s="5" t="s">
        <v>1360</v>
      </c>
      <c r="E950" s="5">
        <v>624645</v>
      </c>
      <c r="F950" s="5">
        <v>0</v>
      </c>
      <c r="G950" s="5" t="s">
        <v>1450</v>
      </c>
      <c r="H950" s="5" t="s">
        <v>20</v>
      </c>
      <c r="I950" s="6" t="s">
        <v>142</v>
      </c>
      <c r="J950" s="6" t="s">
        <v>21</v>
      </c>
      <c r="K950" s="6"/>
      <c r="L950" s="6" t="s">
        <v>1451</v>
      </c>
      <c r="M950" s="6" t="s">
        <v>22</v>
      </c>
      <c r="N950" s="6" t="s">
        <v>23</v>
      </c>
      <c r="O950" s="6" t="s">
        <v>27</v>
      </c>
      <c r="P950" s="6" t="s">
        <v>144</v>
      </c>
      <c r="Q950" s="22">
        <v>45</v>
      </c>
      <c r="R950" s="23">
        <v>4</v>
      </c>
      <c r="S950" s="39">
        <v>1</v>
      </c>
      <c r="T950" s="7"/>
      <c r="U950" t="s">
        <v>2913</v>
      </c>
      <c r="V950" s="7" t="str">
        <f>+IF(U950="","",IF(U950="FINES",CONCATENATE("R",IF(OR(B950="16",B950="21",B950="22",B950="23"),"16212223",IF(OR(B950="15",B950="17",B950="24",B950="25"),"15172425",B950))),IF(U950="CEBAS","UNICO",IF(VALUE(B950)&lt;=11,"AMBA","INTERIOR"))))</f>
        <v>AMBA</v>
      </c>
      <c r="W950" s="38" t="str">
        <f>+IF(U950="","-",CONCATENATE(U950,"_",V950))</f>
        <v>CENS_AMBA</v>
      </c>
      <c r="X950" s="42">
        <v>0.53600000000000003</v>
      </c>
    </row>
    <row r="951" spans="1:24" ht="15" thickBot="1">
      <c r="A951" s="3" t="s">
        <v>2916</v>
      </c>
      <c r="B951" s="3" t="s">
        <v>1860</v>
      </c>
      <c r="C951" s="3" t="s">
        <v>1858</v>
      </c>
      <c r="D951" s="3" t="s">
        <v>1859</v>
      </c>
      <c r="E951" s="3">
        <v>623744</v>
      </c>
      <c r="F951" s="3">
        <v>0</v>
      </c>
      <c r="G951" s="3" t="s">
        <v>1911</v>
      </c>
      <c r="H951" s="3" t="s">
        <v>20</v>
      </c>
      <c r="I951" s="4" t="s">
        <v>142</v>
      </c>
      <c r="J951" s="4" t="s">
        <v>21</v>
      </c>
      <c r="K951" s="4"/>
      <c r="L951" s="4" t="s">
        <v>1912</v>
      </c>
      <c r="M951" s="4" t="s">
        <v>22</v>
      </c>
      <c r="N951" s="4" t="s">
        <v>23</v>
      </c>
      <c r="O951" s="4" t="s">
        <v>27</v>
      </c>
      <c r="P951" s="4" t="s">
        <v>144</v>
      </c>
      <c r="Q951" s="24">
        <v>179</v>
      </c>
      <c r="R951" s="25">
        <v>11</v>
      </c>
      <c r="S951" s="39">
        <v>1</v>
      </c>
      <c r="T951" s="7"/>
      <c r="U951" t="s">
        <v>2913</v>
      </c>
      <c r="V951" s="7" t="str">
        <f>+IF(U951="","",IF(U951="FINES",CONCATENATE("R",IF(OR(B951="16",B951="21",B951="22",B951="23"),"16212223",IF(OR(B951="15",B951="17",B951="24",B951="25"),"15172425",B951))),IF(U951="CEBAS","UNICO",IF(VALUE(B951)&lt;=11,"AMBA","INTERIOR"))))</f>
        <v>AMBA</v>
      </c>
      <c r="W951" s="38" t="str">
        <f>+IF(U951="","-",CONCATENATE(U951,"_",V951))</f>
        <v>CENS_AMBA</v>
      </c>
      <c r="X951" s="42">
        <v>0.53900000000000003</v>
      </c>
    </row>
    <row r="952" spans="1:24" ht="15" thickBot="1">
      <c r="A952" s="3" t="s">
        <v>2916</v>
      </c>
      <c r="B952" s="3" t="s">
        <v>1257</v>
      </c>
      <c r="C952" s="3" t="s">
        <v>1255</v>
      </c>
      <c r="D952" s="3" t="s">
        <v>1256</v>
      </c>
      <c r="E952" s="3">
        <v>623682</v>
      </c>
      <c r="F952" s="3">
        <v>0</v>
      </c>
      <c r="G952" s="3" t="s">
        <v>1305</v>
      </c>
      <c r="H952" s="3" t="s">
        <v>20</v>
      </c>
      <c r="I952" s="4" t="s">
        <v>142</v>
      </c>
      <c r="J952" s="4" t="s">
        <v>21</v>
      </c>
      <c r="K952" s="4"/>
      <c r="L952" s="4" t="s">
        <v>510</v>
      </c>
      <c r="M952" s="4" t="s">
        <v>22</v>
      </c>
      <c r="N952" s="4" t="s">
        <v>23</v>
      </c>
      <c r="O952" s="4" t="s">
        <v>27</v>
      </c>
      <c r="P952" s="4" t="s">
        <v>144</v>
      </c>
      <c r="Q952" s="24">
        <v>208</v>
      </c>
      <c r="R952" s="25">
        <v>5</v>
      </c>
      <c r="S952" s="39">
        <v>1</v>
      </c>
      <c r="T952" s="7"/>
      <c r="U952" t="s">
        <v>2913</v>
      </c>
      <c r="V952" s="7" t="str">
        <f>+IF(U952="","",IF(U952="FINES",CONCATENATE("R",IF(OR(B952="16",B952="21",B952="22",B952="23"),"16212223",IF(OR(B952="15",B952="17",B952="24",B952="25"),"15172425",B952))),IF(U952="CEBAS","UNICO",IF(VALUE(B952)&lt;=11,"AMBA","INTERIOR"))))</f>
        <v>AMBA</v>
      </c>
      <c r="W952" s="38" t="str">
        <f>+IF(U952="","-",CONCATENATE(U952,"_",V952))</f>
        <v>CENS_AMBA</v>
      </c>
      <c r="X952" s="42">
        <v>0.54400000000000004</v>
      </c>
    </row>
    <row r="953" spans="1:24" ht="15" thickBot="1">
      <c r="A953" s="5" t="s">
        <v>2916</v>
      </c>
      <c r="B953" s="5" t="s">
        <v>19</v>
      </c>
      <c r="C953" s="5" t="s">
        <v>252</v>
      </c>
      <c r="D953" s="5" t="s">
        <v>2566</v>
      </c>
      <c r="E953" s="5">
        <v>623583</v>
      </c>
      <c r="F953" s="5">
        <v>0</v>
      </c>
      <c r="G953" s="5" t="s">
        <v>2585</v>
      </c>
      <c r="H953" s="5" t="s">
        <v>20</v>
      </c>
      <c r="I953" s="6" t="s">
        <v>142</v>
      </c>
      <c r="J953" s="6" t="s">
        <v>21</v>
      </c>
      <c r="K953" s="6"/>
      <c r="L953" s="6" t="s">
        <v>335</v>
      </c>
      <c r="M953" s="6" t="s">
        <v>22</v>
      </c>
      <c r="N953" s="6" t="s">
        <v>23</v>
      </c>
      <c r="O953" s="6" t="s">
        <v>27</v>
      </c>
      <c r="P953" s="6" t="s">
        <v>144</v>
      </c>
      <c r="Q953" s="22">
        <v>185</v>
      </c>
      <c r="R953" s="23">
        <v>8</v>
      </c>
      <c r="S953" s="39">
        <v>1</v>
      </c>
      <c r="T953" s="7"/>
      <c r="U953" t="s">
        <v>2913</v>
      </c>
      <c r="V953" s="7" t="str">
        <f>+IF(U953="","",IF(U953="FINES",CONCATENATE("R",IF(OR(B953="16",B953="21",B953="22",B953="23"),"16212223",IF(OR(B953="15",B953="17",B953="24",B953="25"),"15172425",B953))),IF(U953="CEBAS","UNICO",IF(VALUE(B953)&lt;=11,"AMBA","INTERIOR"))))</f>
        <v>AMBA</v>
      </c>
      <c r="W953" s="38" t="str">
        <f>+IF(U953="","-",CONCATENATE(U953,"_",V953))</f>
        <v>CENS_AMBA</v>
      </c>
      <c r="X953" s="42">
        <v>0.54700000000000004</v>
      </c>
    </row>
    <row r="954" spans="1:24" ht="15" thickBot="1">
      <c r="A954" s="3" t="s">
        <v>2916</v>
      </c>
      <c r="B954" s="3" t="s">
        <v>1780</v>
      </c>
      <c r="C954" s="3" t="s">
        <v>1778</v>
      </c>
      <c r="D954" s="3" t="s">
        <v>1779</v>
      </c>
      <c r="E954" s="3">
        <v>623715</v>
      </c>
      <c r="F954" s="3">
        <v>0</v>
      </c>
      <c r="G954" s="3" t="s">
        <v>1843</v>
      </c>
      <c r="H954" s="3" t="s">
        <v>20</v>
      </c>
      <c r="I954" s="4" t="s">
        <v>142</v>
      </c>
      <c r="J954" s="4" t="s">
        <v>21</v>
      </c>
      <c r="K954" s="4"/>
      <c r="L954" s="4" t="s">
        <v>170</v>
      </c>
      <c r="M954" s="4" t="s">
        <v>22</v>
      </c>
      <c r="N954" s="4" t="s">
        <v>23</v>
      </c>
      <c r="O954" s="4" t="s">
        <v>27</v>
      </c>
      <c r="P954" s="4" t="s">
        <v>144</v>
      </c>
      <c r="Q954" s="24">
        <v>59</v>
      </c>
      <c r="R954" s="25">
        <v>6</v>
      </c>
      <c r="S954" s="39">
        <v>1</v>
      </c>
      <c r="T954" s="7"/>
      <c r="U954" t="s">
        <v>2913</v>
      </c>
      <c r="V954" s="7" t="str">
        <f>+IF(U954="","",IF(U954="FINES",CONCATENATE("R",IF(OR(B954="16",B954="21",B954="22",B954="23"),"16212223",IF(OR(B954="15",B954="17",B954="24",B954="25"),"15172425",B954))),IF(U954="CEBAS","UNICO",IF(VALUE(B954)&lt;=11,"AMBA","INTERIOR"))))</f>
        <v>AMBA</v>
      </c>
      <c r="W954" s="38" t="str">
        <f>+IF(U954="","-",CONCATENATE(U954,"_",V954))</f>
        <v>CENS_AMBA</v>
      </c>
      <c r="X954" s="42">
        <v>0.54700000000000004</v>
      </c>
    </row>
    <row r="955" spans="1:24" ht="15" thickBot="1">
      <c r="A955" s="3" t="s">
        <v>2916</v>
      </c>
      <c r="B955" s="3" t="s">
        <v>1532</v>
      </c>
      <c r="C955" s="3" t="s">
        <v>1530</v>
      </c>
      <c r="D955" s="3" t="s">
        <v>1531</v>
      </c>
      <c r="E955" s="3">
        <v>624598</v>
      </c>
      <c r="F955" s="3">
        <v>0</v>
      </c>
      <c r="G955" s="3" t="s">
        <v>1752</v>
      </c>
      <c r="H955" s="3" t="s">
        <v>20</v>
      </c>
      <c r="I955" s="4" t="s">
        <v>142</v>
      </c>
      <c r="J955" s="4" t="s">
        <v>21</v>
      </c>
      <c r="K955" s="4"/>
      <c r="L955" s="4" t="s">
        <v>1753</v>
      </c>
      <c r="M955" s="4" t="s">
        <v>22</v>
      </c>
      <c r="N955" s="4" t="s">
        <v>23</v>
      </c>
      <c r="O955" s="4" t="s">
        <v>27</v>
      </c>
      <c r="P955" s="4" t="s">
        <v>144</v>
      </c>
      <c r="Q955" s="24">
        <v>150</v>
      </c>
      <c r="R955" s="25">
        <v>9</v>
      </c>
      <c r="S955" s="39">
        <v>1</v>
      </c>
      <c r="T955" s="7"/>
      <c r="U955" t="s">
        <v>2913</v>
      </c>
      <c r="V955" s="7" t="str">
        <f>+IF(U955="","",IF(U955="FINES",CONCATENATE("R",IF(OR(B955="16",B955="21",B955="22",B955="23"),"16212223",IF(OR(B955="15",B955="17",B955="24",B955="25"),"15172425",B955))),IF(U955="CEBAS","UNICO",IF(VALUE(B955)&lt;=11,"AMBA","INTERIOR"))))</f>
        <v>AMBA</v>
      </c>
      <c r="W955" s="38" t="str">
        <f>+IF(U955="","-",CONCATENATE(U955,"_",V955))</f>
        <v>CENS_AMBA</v>
      </c>
      <c r="X955" s="42">
        <v>0.55200000000000005</v>
      </c>
    </row>
    <row r="956" spans="1:24" ht="15" thickBot="1">
      <c r="A956" s="3" t="s">
        <v>2916</v>
      </c>
      <c r="B956" s="3" t="s">
        <v>1860</v>
      </c>
      <c r="C956" s="3" t="s">
        <v>1858</v>
      </c>
      <c r="D956" s="3" t="s">
        <v>1859</v>
      </c>
      <c r="E956" s="3">
        <v>614308</v>
      </c>
      <c r="F956" s="3">
        <v>0</v>
      </c>
      <c r="G956" s="3" t="s">
        <v>1900</v>
      </c>
      <c r="H956" s="3" t="s">
        <v>20</v>
      </c>
      <c r="I956" s="4" t="s">
        <v>142</v>
      </c>
      <c r="J956" s="4" t="s">
        <v>21</v>
      </c>
      <c r="K956" s="4"/>
      <c r="L956" s="4" t="s">
        <v>1901</v>
      </c>
      <c r="M956" s="4" t="s">
        <v>22</v>
      </c>
      <c r="N956" s="4" t="s">
        <v>23</v>
      </c>
      <c r="O956" s="4" t="s">
        <v>27</v>
      </c>
      <c r="P956" s="4" t="s">
        <v>144</v>
      </c>
      <c r="Q956" s="24">
        <v>182</v>
      </c>
      <c r="R956" s="25">
        <v>7</v>
      </c>
      <c r="S956" s="39">
        <v>1</v>
      </c>
      <c r="T956" s="7"/>
      <c r="U956" t="s">
        <v>2913</v>
      </c>
      <c r="V956" s="7" t="str">
        <f>+IF(U956="","",IF(U956="FINES",CONCATENATE("R",IF(OR(B956="16",B956="21",B956="22",B956="23"),"16212223",IF(OR(B956="15",B956="17",B956="24",B956="25"),"15172425",B956))),IF(U956="CEBAS","UNICO",IF(VALUE(B956)&lt;=11,"AMBA","INTERIOR"))))</f>
        <v>AMBA</v>
      </c>
      <c r="W956" s="38" t="str">
        <f>+IF(U956="","-",CONCATENATE(U956,"_",V956))</f>
        <v>CENS_AMBA</v>
      </c>
      <c r="X956" s="42">
        <v>0.55400000000000005</v>
      </c>
    </row>
    <row r="957" spans="1:24" ht="15" thickBot="1">
      <c r="A957" s="5" t="s">
        <v>2916</v>
      </c>
      <c r="B957" s="5" t="s">
        <v>19</v>
      </c>
      <c r="C957" s="5" t="s">
        <v>17</v>
      </c>
      <c r="D957" s="5" t="s">
        <v>18</v>
      </c>
      <c r="E957" s="5">
        <v>602865</v>
      </c>
      <c r="F957" s="5">
        <v>0</v>
      </c>
      <c r="G957" s="5" t="s">
        <v>163</v>
      </c>
      <c r="H957" s="5" t="s">
        <v>20</v>
      </c>
      <c r="I957" s="6" t="s">
        <v>142</v>
      </c>
      <c r="J957" s="6" t="s">
        <v>21</v>
      </c>
      <c r="K957" s="6"/>
      <c r="L957" s="6" t="s">
        <v>164</v>
      </c>
      <c r="M957" s="6" t="s">
        <v>22</v>
      </c>
      <c r="N957" s="6" t="s">
        <v>23</v>
      </c>
      <c r="O957" s="6" t="s">
        <v>27</v>
      </c>
      <c r="P957" s="6" t="s">
        <v>144</v>
      </c>
      <c r="Q957" s="22">
        <v>136</v>
      </c>
      <c r="R957" s="23">
        <v>17</v>
      </c>
      <c r="S957" s="39">
        <v>1</v>
      </c>
      <c r="T957" s="7"/>
      <c r="U957" t="s">
        <v>2913</v>
      </c>
      <c r="V957" s="7" t="str">
        <f>+IF(U957="","",IF(U957="FINES",CONCATENATE("R",IF(OR(B957="16",B957="21",B957="22",B957="23"),"16212223",IF(OR(B957="15",B957="17",B957="24",B957="25"),"15172425",B957))),IF(U957="CEBAS","UNICO",IF(VALUE(B957)&lt;=11,"AMBA","INTERIOR"))))</f>
        <v>AMBA</v>
      </c>
      <c r="W957" s="38" t="str">
        <f>+IF(U957="","-",CONCATENATE(U957,"_",V957))</f>
        <v>CENS_AMBA</v>
      </c>
      <c r="X957" s="42">
        <v>0.55600000000000005</v>
      </c>
    </row>
    <row r="958" spans="1:24" ht="15" thickBot="1">
      <c r="A958" s="5" t="s">
        <v>2916</v>
      </c>
      <c r="B958" s="5" t="s">
        <v>817</v>
      </c>
      <c r="C958" s="5" t="s">
        <v>600</v>
      </c>
      <c r="D958" s="5" t="s">
        <v>2661</v>
      </c>
      <c r="E958" s="5">
        <v>623908</v>
      </c>
      <c r="F958" s="5">
        <v>0</v>
      </c>
      <c r="G958" s="5" t="s">
        <v>2705</v>
      </c>
      <c r="H958" s="5" t="s">
        <v>20</v>
      </c>
      <c r="I958" s="6" t="s">
        <v>142</v>
      </c>
      <c r="J958" s="6" t="s">
        <v>21</v>
      </c>
      <c r="K958" s="6"/>
      <c r="L958" s="6" t="s">
        <v>343</v>
      </c>
      <c r="M958" s="6" t="s">
        <v>22</v>
      </c>
      <c r="N958" s="6" t="s">
        <v>23</v>
      </c>
      <c r="O958" s="6" t="s">
        <v>27</v>
      </c>
      <c r="P958" s="6" t="s">
        <v>144</v>
      </c>
      <c r="Q958" s="22">
        <v>54</v>
      </c>
      <c r="R958" s="23">
        <v>3</v>
      </c>
      <c r="S958" s="39">
        <v>1</v>
      </c>
      <c r="T958" s="7"/>
      <c r="U958" t="s">
        <v>2913</v>
      </c>
      <c r="V958" s="7" t="str">
        <f>+IF(U958="","",IF(U958="FINES",CONCATENATE("R",IF(OR(B958="16",B958="21",B958="22",B958="23"),"16212223",IF(OR(B958="15",B958="17",B958="24",B958="25"),"15172425",B958))),IF(U958="CEBAS","UNICO",IF(VALUE(B958)&lt;=11,"AMBA","INTERIOR"))))</f>
        <v>AMBA</v>
      </c>
      <c r="W958" s="38" t="str">
        <f>+IF(U958="","-",CONCATENATE(U958,"_",V958))</f>
        <v>CENS_AMBA</v>
      </c>
      <c r="X958" s="42">
        <v>0.55900000000000005</v>
      </c>
    </row>
    <row r="959" spans="1:24" ht="15" thickBot="1">
      <c r="A959" s="3" t="s">
        <v>2916</v>
      </c>
      <c r="B959" s="3" t="s">
        <v>1532</v>
      </c>
      <c r="C959" s="3" t="s">
        <v>1530</v>
      </c>
      <c r="D959" s="3" t="s">
        <v>1531</v>
      </c>
      <c r="E959" s="3">
        <v>623614</v>
      </c>
      <c r="F959" s="3">
        <v>0</v>
      </c>
      <c r="G959" s="3" t="s">
        <v>1730</v>
      </c>
      <c r="H959" s="3" t="s">
        <v>20</v>
      </c>
      <c r="I959" s="4" t="s">
        <v>142</v>
      </c>
      <c r="J959" s="4" t="s">
        <v>21</v>
      </c>
      <c r="K959" s="4"/>
      <c r="L959" s="4" t="s">
        <v>1731</v>
      </c>
      <c r="M959" s="4" t="s">
        <v>22</v>
      </c>
      <c r="N959" s="4" t="s">
        <v>23</v>
      </c>
      <c r="O959" s="4" t="s">
        <v>27</v>
      </c>
      <c r="P959" s="4" t="s">
        <v>144</v>
      </c>
      <c r="Q959" s="24">
        <v>115</v>
      </c>
      <c r="R959" s="25">
        <v>9</v>
      </c>
      <c r="S959" s="39">
        <v>1</v>
      </c>
      <c r="T959" s="7"/>
      <c r="U959" t="s">
        <v>2913</v>
      </c>
      <c r="V959" s="7" t="str">
        <f>+IF(U959="","",IF(U959="FINES",CONCATENATE("R",IF(OR(B959="16",B959="21",B959="22",B959="23"),"16212223",IF(OR(B959="15",B959="17",B959="24",B959="25"),"15172425",B959))),IF(U959="CEBAS","UNICO",IF(VALUE(B959)&lt;=11,"AMBA","INTERIOR"))))</f>
        <v>AMBA</v>
      </c>
      <c r="W959" s="38" t="str">
        <f>+IF(U959="","-",CONCATENATE(U959,"_",V959))</f>
        <v>CENS_AMBA</v>
      </c>
      <c r="X959" s="42">
        <v>0.56499999999999995</v>
      </c>
    </row>
    <row r="960" spans="1:24" ht="15" thickBot="1">
      <c r="A960" s="3" t="s">
        <v>2916</v>
      </c>
      <c r="B960" s="3" t="s">
        <v>356</v>
      </c>
      <c r="C960" s="3" t="s">
        <v>1359</v>
      </c>
      <c r="D960" s="3" t="s">
        <v>1360</v>
      </c>
      <c r="E960" s="3">
        <v>623245</v>
      </c>
      <c r="F960" s="3">
        <v>0</v>
      </c>
      <c r="G960" s="3" t="s">
        <v>1438</v>
      </c>
      <c r="H960" s="3" t="s">
        <v>20</v>
      </c>
      <c r="I960" s="4" t="s">
        <v>142</v>
      </c>
      <c r="J960" s="4" t="s">
        <v>21</v>
      </c>
      <c r="K960" s="4"/>
      <c r="L960" s="4" t="s">
        <v>1439</v>
      </c>
      <c r="M960" s="4" t="s">
        <v>22</v>
      </c>
      <c r="N960" s="4" t="s">
        <v>23</v>
      </c>
      <c r="O960" s="4" t="s">
        <v>27</v>
      </c>
      <c r="P960" s="4" t="s">
        <v>144</v>
      </c>
      <c r="Q960" s="24">
        <v>306</v>
      </c>
      <c r="R960" s="25">
        <v>21</v>
      </c>
      <c r="S960" s="39">
        <v>1</v>
      </c>
      <c r="T960" s="7"/>
      <c r="U960" t="s">
        <v>2913</v>
      </c>
      <c r="V960" s="7" t="str">
        <f>+IF(U960="","",IF(U960="FINES",CONCATENATE("R",IF(OR(B960="16",B960="21",B960="22",B960="23"),"16212223",IF(OR(B960="15",B960="17",B960="24",B960="25"),"15172425",B960))),IF(U960="CEBAS","UNICO",IF(VALUE(B960)&lt;=11,"AMBA","INTERIOR"))))</f>
        <v>AMBA</v>
      </c>
      <c r="W960" s="38" t="str">
        <f>+IF(U960="","-",CONCATENATE(U960,"_",V960))</f>
        <v>CENS_AMBA</v>
      </c>
      <c r="X960" s="42">
        <v>0.56599999999999995</v>
      </c>
    </row>
    <row r="961" spans="1:24" ht="15" thickBot="1">
      <c r="A961" s="3" t="s">
        <v>2916</v>
      </c>
      <c r="B961" s="3" t="s">
        <v>257</v>
      </c>
      <c r="C961" s="3" t="s">
        <v>415</v>
      </c>
      <c r="D961" s="3" t="s">
        <v>2770</v>
      </c>
      <c r="E961" s="3">
        <v>616468</v>
      </c>
      <c r="F961" s="3">
        <v>0</v>
      </c>
      <c r="G961" s="3" t="s">
        <v>2782</v>
      </c>
      <c r="H961" s="3" t="s">
        <v>20</v>
      </c>
      <c r="I961" s="4" t="s">
        <v>142</v>
      </c>
      <c r="J961" s="4" t="s">
        <v>21</v>
      </c>
      <c r="K961" s="4"/>
      <c r="L961" s="4" t="s">
        <v>143</v>
      </c>
      <c r="M961" s="4" t="s">
        <v>22</v>
      </c>
      <c r="N961" s="4" t="s">
        <v>23</v>
      </c>
      <c r="O961" s="4" t="s">
        <v>27</v>
      </c>
      <c r="P961" s="4" t="s">
        <v>144</v>
      </c>
      <c r="Q961" s="24">
        <v>621</v>
      </c>
      <c r="R961" s="25">
        <v>25</v>
      </c>
      <c r="S961" s="39">
        <v>1</v>
      </c>
      <c r="T961" s="7"/>
      <c r="U961" t="s">
        <v>2913</v>
      </c>
      <c r="V961" s="7" t="str">
        <f>+IF(U961="","",IF(U961="FINES",CONCATENATE("R",IF(OR(B961="16",B961="21",B961="22",B961="23"),"16212223",IF(OR(B961="15",B961="17",B961="24",B961="25"),"15172425",B961))),IF(U961="CEBAS","UNICO",IF(VALUE(B961)&lt;=11,"AMBA","INTERIOR"))))</f>
        <v>AMBA</v>
      </c>
      <c r="W961" s="38" t="str">
        <f>+IF(U961="","-",CONCATENATE(U961,"_",V961))</f>
        <v>CENS_AMBA</v>
      </c>
      <c r="X961" s="42">
        <v>0.56699999999999995</v>
      </c>
    </row>
    <row r="962" spans="1:24" ht="15" thickBot="1">
      <c r="A962" s="5" t="s">
        <v>2916</v>
      </c>
      <c r="B962" s="5" t="s">
        <v>1860</v>
      </c>
      <c r="C962" s="5" t="s">
        <v>1858</v>
      </c>
      <c r="D962" s="5" t="s">
        <v>1859</v>
      </c>
      <c r="E962" s="5">
        <v>623737</v>
      </c>
      <c r="F962" s="5">
        <v>0</v>
      </c>
      <c r="G962" s="5" t="s">
        <v>1906</v>
      </c>
      <c r="H962" s="5" t="s">
        <v>20</v>
      </c>
      <c r="I962" s="6" t="s">
        <v>142</v>
      </c>
      <c r="J962" s="6" t="s">
        <v>21</v>
      </c>
      <c r="K962" s="6"/>
      <c r="L962" s="6" t="s">
        <v>341</v>
      </c>
      <c r="M962" s="6" t="s">
        <v>22</v>
      </c>
      <c r="N962" s="6" t="s">
        <v>23</v>
      </c>
      <c r="O962" s="6" t="s">
        <v>27</v>
      </c>
      <c r="P962" s="6" t="s">
        <v>144</v>
      </c>
      <c r="Q962" s="22">
        <v>68</v>
      </c>
      <c r="R962" s="23">
        <v>10</v>
      </c>
      <c r="S962" s="39">
        <v>1</v>
      </c>
      <c r="T962" s="7"/>
      <c r="U962" t="s">
        <v>2913</v>
      </c>
      <c r="V962" s="7" t="str">
        <f>+IF(U962="","",IF(U962="FINES",CONCATENATE("R",IF(OR(B962="16",B962="21",B962="22",B962="23"),"16212223",IF(OR(B962="15",B962="17",B962="24",B962="25"),"15172425",B962))),IF(U962="CEBAS","UNICO",IF(VALUE(B962)&lt;=11,"AMBA","INTERIOR"))))</f>
        <v>AMBA</v>
      </c>
      <c r="W962" s="38" t="str">
        <f>+IF(U962="","-",CONCATENATE(U962,"_",V962))</f>
        <v>CENS_AMBA</v>
      </c>
      <c r="X962" s="42">
        <v>0.56899999999999995</v>
      </c>
    </row>
    <row r="963" spans="1:24" ht="15" thickBot="1">
      <c r="A963" s="3" t="s">
        <v>2916</v>
      </c>
      <c r="B963" s="3" t="s">
        <v>204</v>
      </c>
      <c r="C963" s="3" t="s">
        <v>1084</v>
      </c>
      <c r="D963" s="3" t="s">
        <v>1085</v>
      </c>
      <c r="E963" s="3">
        <v>614694</v>
      </c>
      <c r="F963" s="3">
        <v>0</v>
      </c>
      <c r="G963" s="3" t="s">
        <v>1132</v>
      </c>
      <c r="H963" s="3" t="s">
        <v>20</v>
      </c>
      <c r="I963" s="4" t="s">
        <v>142</v>
      </c>
      <c r="J963" s="4" t="s">
        <v>21</v>
      </c>
      <c r="K963" s="4"/>
      <c r="L963" s="4" t="s">
        <v>1133</v>
      </c>
      <c r="M963" s="4" t="s">
        <v>22</v>
      </c>
      <c r="N963" s="4" t="s">
        <v>23</v>
      </c>
      <c r="O963" s="4" t="s">
        <v>27</v>
      </c>
      <c r="P963" s="4" t="s">
        <v>144</v>
      </c>
      <c r="Q963" s="24">
        <v>142</v>
      </c>
      <c r="R963" s="25">
        <v>8</v>
      </c>
      <c r="S963" s="39">
        <v>1</v>
      </c>
      <c r="T963" s="7"/>
      <c r="U963" t="s">
        <v>2913</v>
      </c>
      <c r="V963" s="7" t="str">
        <f>+IF(U963="","",IF(U963="FINES",CONCATENATE("R",IF(OR(B963="16",B963="21",B963="22",B963="23"),"16212223",IF(OR(B963="15",B963="17",B963="24",B963="25"),"15172425",B963))),IF(U963="CEBAS","UNICO",IF(VALUE(B963)&lt;=11,"AMBA","INTERIOR"))))</f>
        <v>AMBA</v>
      </c>
      <c r="W963" s="38" t="str">
        <f>+IF(U963="","-",CONCATENATE(U963,"_",V963))</f>
        <v>CENS_AMBA</v>
      </c>
      <c r="X963" s="42">
        <v>0.57499999999999996</v>
      </c>
    </row>
    <row r="964" spans="1:24" ht="15" thickBot="1">
      <c r="A964" s="3" t="s">
        <v>2916</v>
      </c>
      <c r="B964" s="3" t="s">
        <v>1257</v>
      </c>
      <c r="C964" s="3" t="s">
        <v>1255</v>
      </c>
      <c r="D964" s="3" t="s">
        <v>1256</v>
      </c>
      <c r="E964" s="3">
        <v>623543</v>
      </c>
      <c r="F964" s="3">
        <v>0</v>
      </c>
      <c r="G964" s="3" t="s">
        <v>1298</v>
      </c>
      <c r="H964" s="3" t="s">
        <v>20</v>
      </c>
      <c r="I964" s="4" t="s">
        <v>142</v>
      </c>
      <c r="J964" s="4" t="s">
        <v>21</v>
      </c>
      <c r="K964" s="4"/>
      <c r="L964" s="4" t="s">
        <v>1299</v>
      </c>
      <c r="M964" s="4" t="s">
        <v>22</v>
      </c>
      <c r="N964" s="4" t="s">
        <v>23</v>
      </c>
      <c r="O964" s="4" t="s">
        <v>27</v>
      </c>
      <c r="P964" s="4" t="s">
        <v>144</v>
      </c>
      <c r="Q964" s="24">
        <v>275</v>
      </c>
      <c r="R964" s="25">
        <v>12</v>
      </c>
      <c r="S964" s="39">
        <v>1</v>
      </c>
      <c r="T964" s="7"/>
      <c r="U964" t="s">
        <v>2913</v>
      </c>
      <c r="V964" s="7" t="str">
        <f>+IF(U964="","",IF(U964="FINES",CONCATENATE("R",IF(OR(B964="16",B964="21",B964="22",B964="23"),"16212223",IF(OR(B964="15",B964="17",B964="24",B964="25"),"15172425",B964))),IF(U964="CEBAS","UNICO",IF(VALUE(B964)&lt;=11,"AMBA","INTERIOR"))))</f>
        <v>AMBA</v>
      </c>
      <c r="W964" s="38" t="str">
        <f>+IF(U964="","-",CONCATENATE(U964,"_",V964))</f>
        <v>CENS_AMBA</v>
      </c>
      <c r="X964" s="42">
        <v>0.57699999999999996</v>
      </c>
    </row>
    <row r="965" spans="1:24" ht="15" thickBot="1">
      <c r="A965" s="5" t="s">
        <v>2916</v>
      </c>
      <c r="B965" s="5" t="s">
        <v>138</v>
      </c>
      <c r="C965" s="5" t="s">
        <v>643</v>
      </c>
      <c r="D965" s="5" t="s">
        <v>645</v>
      </c>
      <c r="E965" s="5">
        <v>623752</v>
      </c>
      <c r="F965" s="5">
        <v>0</v>
      </c>
      <c r="G965" s="5" t="s">
        <v>652</v>
      </c>
      <c r="H965" s="5" t="s">
        <v>20</v>
      </c>
      <c r="I965" s="6" t="s">
        <v>142</v>
      </c>
      <c r="J965" s="6" t="s">
        <v>21</v>
      </c>
      <c r="K965" s="6"/>
      <c r="L965" s="6" t="s">
        <v>251</v>
      </c>
      <c r="M965" s="6" t="s">
        <v>22</v>
      </c>
      <c r="N965" s="6" t="s">
        <v>23</v>
      </c>
      <c r="O965" s="6" t="s">
        <v>27</v>
      </c>
      <c r="P965" s="6" t="s">
        <v>144</v>
      </c>
      <c r="Q965" s="22">
        <v>286</v>
      </c>
      <c r="R965" s="23">
        <v>10</v>
      </c>
      <c r="S965" s="39">
        <v>1</v>
      </c>
      <c r="T965" s="7"/>
      <c r="U965" t="s">
        <v>2913</v>
      </c>
      <c r="V965" s="7" t="str">
        <f>+IF(U965="","",IF(U965="FINES",CONCATENATE("R",IF(OR(B965="16",B965="21",B965="22",B965="23"),"16212223",IF(OR(B965="15",B965="17",B965="24",B965="25"),"15172425",B965))),IF(U965="CEBAS","UNICO",IF(VALUE(B965)&lt;=11,"AMBA","INTERIOR"))))</f>
        <v>AMBA</v>
      </c>
      <c r="W965" s="38" t="str">
        <f>+IF(U965="","-",CONCATENATE(U965,"_",V965))</f>
        <v>CENS_AMBA</v>
      </c>
      <c r="X965" s="42">
        <v>0.57699999999999996</v>
      </c>
    </row>
    <row r="966" spans="1:24" ht="15" thickBot="1">
      <c r="A966" s="3" t="s">
        <v>2916</v>
      </c>
      <c r="B966" s="3" t="s">
        <v>1532</v>
      </c>
      <c r="C966" s="3" t="s">
        <v>1530</v>
      </c>
      <c r="D966" s="3" t="s">
        <v>1531</v>
      </c>
      <c r="E966" s="3">
        <v>616431</v>
      </c>
      <c r="F966" s="3">
        <v>0</v>
      </c>
      <c r="G966" s="3" t="s">
        <v>1683</v>
      </c>
      <c r="H966" s="3" t="s">
        <v>20</v>
      </c>
      <c r="I966" s="4" t="s">
        <v>142</v>
      </c>
      <c r="J966" s="4" t="s">
        <v>21</v>
      </c>
      <c r="K966" s="4"/>
      <c r="L966" s="4" t="s">
        <v>1684</v>
      </c>
      <c r="M966" s="4" t="s">
        <v>22</v>
      </c>
      <c r="N966" s="4" t="s">
        <v>134</v>
      </c>
      <c r="O966" s="4" t="s">
        <v>27</v>
      </c>
      <c r="P966" s="4" t="s">
        <v>144</v>
      </c>
      <c r="Q966" s="24">
        <v>184</v>
      </c>
      <c r="R966" s="25">
        <v>10</v>
      </c>
      <c r="S966" s="39">
        <v>1</v>
      </c>
      <c r="T966" s="7"/>
      <c r="U966" t="s">
        <v>2913</v>
      </c>
      <c r="V966" s="7" t="str">
        <f>+IF(U966="","",IF(U966="FINES",CONCATENATE("R",IF(OR(B966="16",B966="21",B966="22",B966="23"),"16212223",IF(OR(B966="15",B966="17",B966="24",B966="25"),"15172425",B966))),IF(U966="CEBAS","UNICO",IF(VALUE(B966)&lt;=11,"AMBA","INTERIOR"))))</f>
        <v>AMBA</v>
      </c>
      <c r="W966" s="38" t="str">
        <f>+IF(U966="","-",CONCATENATE(U966,"_",V966))</f>
        <v>CENS_AMBA</v>
      </c>
      <c r="X966" s="42">
        <v>0.57899999999999996</v>
      </c>
    </row>
    <row r="967" spans="1:24" ht="15" thickBot="1">
      <c r="A967" s="3" t="s">
        <v>2916</v>
      </c>
      <c r="B967" s="3" t="s">
        <v>356</v>
      </c>
      <c r="C967" s="3" t="s">
        <v>1359</v>
      </c>
      <c r="D967" s="3" t="s">
        <v>1360</v>
      </c>
      <c r="E967" s="3">
        <v>624645</v>
      </c>
      <c r="F967" s="3">
        <v>3</v>
      </c>
      <c r="G967" s="3" t="s">
        <v>1456</v>
      </c>
      <c r="H967" s="3" t="s">
        <v>20</v>
      </c>
      <c r="I967" s="4" t="s">
        <v>142</v>
      </c>
      <c r="J967" s="4" t="s">
        <v>139</v>
      </c>
      <c r="K967" s="4" t="s">
        <v>1450</v>
      </c>
      <c r="L967" s="4" t="s">
        <v>1457</v>
      </c>
      <c r="M967" s="4" t="s">
        <v>22</v>
      </c>
      <c r="N967" s="4" t="s">
        <v>23</v>
      </c>
      <c r="O967" s="4" t="s">
        <v>27</v>
      </c>
      <c r="P967" s="4" t="s">
        <v>144</v>
      </c>
      <c r="Q967" s="24">
        <v>39</v>
      </c>
      <c r="R967" s="25">
        <v>3</v>
      </c>
      <c r="S967" s="39">
        <v>1</v>
      </c>
      <c r="T967" s="7"/>
      <c r="U967" s="7" t="s">
        <v>2913</v>
      </c>
      <c r="V967" s="7" t="str">
        <f>+IF(U967="","",IF(U967="FINES",CONCATENATE("R",IF(OR(B967="16",B967="21",B967="22",B967="23"),"16212223",IF(OR(B967="15",B967="17",B967="24",B967="25"),"15172425",B967))),IF(U967="CEBAS","UNICO",IF(VALUE(B967)&lt;=11,"AMBA","INTERIOR"))))</f>
        <v>AMBA</v>
      </c>
      <c r="W967" s="38" t="str">
        <f>+IF(U967="","-",CONCATENATE(U967,"_",V967))</f>
        <v>CENS_AMBA</v>
      </c>
      <c r="X967" s="42">
        <v>0.57999999999999996</v>
      </c>
    </row>
    <row r="968" spans="1:24" ht="15" thickBot="1">
      <c r="A968" s="5" t="s">
        <v>2916</v>
      </c>
      <c r="B968" s="5" t="s">
        <v>19</v>
      </c>
      <c r="C968" s="5" t="s">
        <v>17</v>
      </c>
      <c r="D968" s="5" t="s">
        <v>18</v>
      </c>
      <c r="E968" s="5">
        <v>600732</v>
      </c>
      <c r="F968" s="5">
        <v>0</v>
      </c>
      <c r="G968" s="5" t="s">
        <v>177</v>
      </c>
      <c r="H968" s="5" t="s">
        <v>20</v>
      </c>
      <c r="I968" s="6" t="s">
        <v>142</v>
      </c>
      <c r="J968" s="6" t="s">
        <v>21</v>
      </c>
      <c r="K968" s="6"/>
      <c r="L968" s="6" t="s">
        <v>178</v>
      </c>
      <c r="M968" s="6" t="s">
        <v>22</v>
      </c>
      <c r="N968" s="6" t="s">
        <v>23</v>
      </c>
      <c r="O968" s="6" t="s">
        <v>27</v>
      </c>
      <c r="P968" s="6" t="s">
        <v>144</v>
      </c>
      <c r="Q968" s="22">
        <v>309</v>
      </c>
      <c r="R968" s="23">
        <v>13</v>
      </c>
      <c r="S968" s="39">
        <v>1</v>
      </c>
      <c r="T968" s="7"/>
      <c r="U968" s="7" t="s">
        <v>2913</v>
      </c>
      <c r="V968" s="7" t="str">
        <f>+IF(U968="","",IF(U968="FINES",CONCATENATE("R",IF(OR(B968="16",B968="21",B968="22",B968="23"),"16212223",IF(OR(B968="15",B968="17",B968="24",B968="25"),"15172425",B968))),IF(U968="CEBAS","UNICO",IF(VALUE(B968)&lt;=11,"AMBA","INTERIOR"))))</f>
        <v>AMBA</v>
      </c>
      <c r="W968" s="38" t="str">
        <f>+IF(U968="","-",CONCATENATE(U968,"_",V968))</f>
        <v>CENS_AMBA</v>
      </c>
      <c r="X968" s="42">
        <v>0.58599999999999997</v>
      </c>
    </row>
    <row r="969" spans="1:24" ht="15" thickBot="1">
      <c r="A969" s="5" t="s">
        <v>2916</v>
      </c>
      <c r="B969" s="5" t="s">
        <v>204</v>
      </c>
      <c r="C969" s="5" t="s">
        <v>1084</v>
      </c>
      <c r="D969" s="5" t="s">
        <v>1085</v>
      </c>
      <c r="E969" s="5">
        <v>623686</v>
      </c>
      <c r="F969" s="5">
        <v>0</v>
      </c>
      <c r="G969" s="5" t="s">
        <v>1143</v>
      </c>
      <c r="H969" s="5" t="s">
        <v>20</v>
      </c>
      <c r="I969" s="6" t="s">
        <v>142</v>
      </c>
      <c r="J969" s="6" t="s">
        <v>21</v>
      </c>
      <c r="K969" s="6"/>
      <c r="L969" s="6" t="s">
        <v>168</v>
      </c>
      <c r="M969" s="6" t="s">
        <v>22</v>
      </c>
      <c r="N969" s="6" t="s">
        <v>23</v>
      </c>
      <c r="O969" s="6" t="s">
        <v>27</v>
      </c>
      <c r="P969" s="6" t="s">
        <v>144</v>
      </c>
      <c r="Q969" s="22">
        <v>111</v>
      </c>
      <c r="R969" s="23">
        <v>5</v>
      </c>
      <c r="S969" s="39">
        <v>1</v>
      </c>
      <c r="T969" s="7"/>
      <c r="U969" s="7" t="s">
        <v>2913</v>
      </c>
      <c r="V969" s="7" t="str">
        <f>+IF(U969="","",IF(U969="FINES",CONCATENATE("R",IF(OR(B969="16",B969="21",B969="22",B969="23"),"16212223",IF(OR(B969="15",B969="17",B969="24",B969="25"),"15172425",B969))),IF(U969="CEBAS","UNICO",IF(VALUE(B969)&lt;=11,"AMBA","INTERIOR"))))</f>
        <v>AMBA</v>
      </c>
      <c r="W969" s="38" t="str">
        <f>+IF(U969="","-",CONCATENATE(U969,"_",V969))</f>
        <v>CENS_AMBA</v>
      </c>
      <c r="X969" s="42">
        <v>0.59</v>
      </c>
    </row>
    <row r="970" spans="1:24" ht="15" thickBot="1">
      <c r="A970" s="5" t="s">
        <v>2916</v>
      </c>
      <c r="B970" s="5" t="s">
        <v>1532</v>
      </c>
      <c r="C970" s="5" t="s">
        <v>1530</v>
      </c>
      <c r="D970" s="5" t="s">
        <v>1531</v>
      </c>
      <c r="E970" s="5">
        <v>623606</v>
      </c>
      <c r="F970" s="5">
        <v>0</v>
      </c>
      <c r="G970" s="5" t="s">
        <v>1692</v>
      </c>
      <c r="H970" s="5" t="s">
        <v>20</v>
      </c>
      <c r="I970" s="6" t="s">
        <v>142</v>
      </c>
      <c r="J970" s="6" t="s">
        <v>21</v>
      </c>
      <c r="K970" s="6"/>
      <c r="L970" s="6" t="s">
        <v>164</v>
      </c>
      <c r="M970" s="6" t="s">
        <v>22</v>
      </c>
      <c r="N970" s="6" t="s">
        <v>23</v>
      </c>
      <c r="O970" s="6" t="s">
        <v>27</v>
      </c>
      <c r="P970" s="6" t="s">
        <v>144</v>
      </c>
      <c r="Q970" s="22">
        <v>34</v>
      </c>
      <c r="R970" s="23">
        <v>4</v>
      </c>
      <c r="S970" s="39">
        <v>1</v>
      </c>
      <c r="T970" s="7"/>
      <c r="U970" s="7" t="s">
        <v>2913</v>
      </c>
      <c r="V970" s="7" t="str">
        <f>+IF(U970="","",IF(U970="FINES",CONCATENATE("R",IF(OR(B970="16",B970="21",B970="22",B970="23"),"16212223",IF(OR(B970="15",B970="17",B970="24",B970="25"),"15172425",B970))),IF(U970="CEBAS","UNICO",IF(VALUE(B970)&lt;=11,"AMBA","INTERIOR"))))</f>
        <v>AMBA</v>
      </c>
      <c r="W970" s="38" t="str">
        <f>+IF(U970="","-",CONCATENATE(U970,"_",V970))</f>
        <v>CENS_AMBA</v>
      </c>
      <c r="X970" s="42">
        <v>0.60599999999999998</v>
      </c>
    </row>
    <row r="971" spans="1:24" ht="15" thickBot="1">
      <c r="A971" s="5" t="s">
        <v>2916</v>
      </c>
      <c r="B971" s="5" t="s">
        <v>19</v>
      </c>
      <c r="C971" s="5" t="s">
        <v>17</v>
      </c>
      <c r="D971" s="5" t="s">
        <v>18</v>
      </c>
      <c r="E971" s="5">
        <v>608823</v>
      </c>
      <c r="F971" s="5">
        <v>0</v>
      </c>
      <c r="G971" s="5" t="s">
        <v>173</v>
      </c>
      <c r="H971" s="5" t="s">
        <v>20</v>
      </c>
      <c r="I971" s="6" t="s">
        <v>142</v>
      </c>
      <c r="J971" s="6" t="s">
        <v>21</v>
      </c>
      <c r="K971" s="6"/>
      <c r="L971" s="6" t="s">
        <v>174</v>
      </c>
      <c r="M971" s="6" t="s">
        <v>22</v>
      </c>
      <c r="N971" s="6" t="s">
        <v>23</v>
      </c>
      <c r="O971" s="6" t="s">
        <v>27</v>
      </c>
      <c r="P971" s="6" t="s">
        <v>144</v>
      </c>
      <c r="Q971" s="22">
        <v>83</v>
      </c>
      <c r="R971" s="23">
        <v>6</v>
      </c>
      <c r="S971" s="39">
        <v>1</v>
      </c>
      <c r="T971" s="7"/>
      <c r="U971" s="7" t="s">
        <v>2913</v>
      </c>
      <c r="V971" s="7" t="str">
        <f>+IF(U971="","",IF(U971="FINES",CONCATENATE("R",IF(OR(B971="16",B971="21",B971="22",B971="23"),"16212223",IF(OR(B971="15",B971="17",B971="24",B971="25"),"15172425",B971))),IF(U971="CEBAS","UNICO",IF(VALUE(B971)&lt;=11,"AMBA","INTERIOR"))))</f>
        <v>AMBA</v>
      </c>
      <c r="W971" s="38" t="str">
        <f>+IF(U971="","-",CONCATENATE(U971,"_",V971))</f>
        <v>CENS_AMBA</v>
      </c>
      <c r="X971" s="42">
        <v>0.60799999999999998</v>
      </c>
    </row>
    <row r="972" spans="1:24" ht="15" thickBot="1">
      <c r="A972" s="5" t="s">
        <v>2916</v>
      </c>
      <c r="B972" s="5" t="s">
        <v>1780</v>
      </c>
      <c r="C972" s="5" t="s">
        <v>1248</v>
      </c>
      <c r="D972" s="5" t="s">
        <v>2348</v>
      </c>
      <c r="E972" s="5">
        <v>610728</v>
      </c>
      <c r="F972" s="5">
        <v>0</v>
      </c>
      <c r="G972" s="5" t="s">
        <v>2382</v>
      </c>
      <c r="H972" s="5" t="s">
        <v>20</v>
      </c>
      <c r="I972" s="6" t="s">
        <v>142</v>
      </c>
      <c r="J972" s="6" t="s">
        <v>21</v>
      </c>
      <c r="K972" s="6"/>
      <c r="L972" s="6" t="s">
        <v>2383</v>
      </c>
      <c r="M972" s="6" t="s">
        <v>22</v>
      </c>
      <c r="N972" s="6" t="s">
        <v>23</v>
      </c>
      <c r="O972" s="6" t="s">
        <v>27</v>
      </c>
      <c r="P972" s="6" t="s">
        <v>144</v>
      </c>
      <c r="Q972" s="22">
        <v>99</v>
      </c>
      <c r="R972" s="23">
        <v>6</v>
      </c>
      <c r="S972" s="39">
        <v>1</v>
      </c>
      <c r="T972" s="7"/>
      <c r="U972" s="7" t="s">
        <v>2913</v>
      </c>
      <c r="V972" s="7" t="str">
        <f>+IF(U972="","",IF(U972="FINES",CONCATENATE("R",IF(OR(B972="16",B972="21",B972="22",B972="23"),"16212223",IF(OR(B972="15",B972="17",B972="24",B972="25"),"15172425",B972))),IF(U972="CEBAS","UNICO",IF(VALUE(B972)&lt;=11,"AMBA","INTERIOR"))))</f>
        <v>AMBA</v>
      </c>
      <c r="W972" s="38" t="str">
        <f>+IF(U972="","-",CONCATENATE(U972,"_",V972))</f>
        <v>CENS_AMBA</v>
      </c>
      <c r="X972" s="42">
        <v>0.60899999999999999</v>
      </c>
    </row>
    <row r="973" spans="1:24" ht="15" thickBot="1">
      <c r="A973" s="3" t="s">
        <v>2916</v>
      </c>
      <c r="B973" s="3" t="s">
        <v>1860</v>
      </c>
      <c r="C973" s="3" t="s">
        <v>1858</v>
      </c>
      <c r="D973" s="3" t="s">
        <v>1859</v>
      </c>
      <c r="E973" s="3">
        <v>624056</v>
      </c>
      <c r="F973" s="3">
        <v>0</v>
      </c>
      <c r="G973" s="3" t="s">
        <v>1916</v>
      </c>
      <c r="H973" s="3" t="s">
        <v>20</v>
      </c>
      <c r="I973" s="4" t="s">
        <v>142</v>
      </c>
      <c r="J973" s="4" t="s">
        <v>21</v>
      </c>
      <c r="K973" s="4"/>
      <c r="L973" s="4" t="s">
        <v>1917</v>
      </c>
      <c r="M973" s="4" t="s">
        <v>22</v>
      </c>
      <c r="N973" s="4" t="s">
        <v>23</v>
      </c>
      <c r="O973" s="4" t="s">
        <v>27</v>
      </c>
      <c r="P973" s="4" t="s">
        <v>144</v>
      </c>
      <c r="Q973" s="24">
        <v>120</v>
      </c>
      <c r="R973" s="25">
        <v>3</v>
      </c>
      <c r="S973" s="39">
        <v>1</v>
      </c>
      <c r="T973" s="7"/>
      <c r="U973" s="7" t="s">
        <v>2913</v>
      </c>
      <c r="V973" s="7" t="str">
        <f>+IF(U973="","",IF(U973="FINES",CONCATENATE("R",IF(OR(B973="16",B973="21",B973="22",B973="23"),"16212223",IF(OR(B973="15",B973="17",B973="24",B973="25"),"15172425",B973))),IF(U973="CEBAS","UNICO",IF(VALUE(B973)&lt;=11,"AMBA","INTERIOR"))))</f>
        <v>AMBA</v>
      </c>
      <c r="W973" s="38" t="str">
        <f>+IF(U973="","-",CONCATENATE(U973,"_",V973))</f>
        <v>CENS_AMBA</v>
      </c>
      <c r="X973" s="42">
        <v>0.61199999999999999</v>
      </c>
    </row>
    <row r="974" spans="1:24" ht="15" thickBot="1">
      <c r="A974" s="5" t="s">
        <v>2916</v>
      </c>
      <c r="B974" s="5" t="s">
        <v>204</v>
      </c>
      <c r="C974" s="5" t="s">
        <v>1084</v>
      </c>
      <c r="D974" s="5" t="s">
        <v>1085</v>
      </c>
      <c r="E974" s="5">
        <v>608146</v>
      </c>
      <c r="F974" s="5">
        <v>0</v>
      </c>
      <c r="G974" s="5" t="s">
        <v>1122</v>
      </c>
      <c r="H974" s="5" t="s">
        <v>20</v>
      </c>
      <c r="I974" s="6" t="s">
        <v>142</v>
      </c>
      <c r="J974" s="6" t="s">
        <v>21</v>
      </c>
      <c r="K974" s="6"/>
      <c r="L974" s="6" t="s">
        <v>1123</v>
      </c>
      <c r="M974" s="6" t="s">
        <v>22</v>
      </c>
      <c r="N974" s="6" t="s">
        <v>23</v>
      </c>
      <c r="O974" s="6" t="s">
        <v>27</v>
      </c>
      <c r="P974" s="6" t="s">
        <v>144</v>
      </c>
      <c r="Q974" s="22">
        <v>117</v>
      </c>
      <c r="R974" s="23">
        <v>6</v>
      </c>
      <c r="S974" s="39">
        <v>1</v>
      </c>
      <c r="T974" s="7"/>
      <c r="U974" s="7" t="s">
        <v>2913</v>
      </c>
      <c r="V974" s="7" t="str">
        <f>+IF(U974="","",IF(U974="FINES",CONCATENATE("R",IF(OR(B974="16",B974="21",B974="22",B974="23"),"16212223",IF(OR(B974="15",B974="17",B974="24",B974="25"),"15172425",B974))),IF(U974="CEBAS","UNICO",IF(VALUE(B974)&lt;=11,"AMBA","INTERIOR"))))</f>
        <v>AMBA</v>
      </c>
      <c r="W974" s="38" t="str">
        <f>+IF(U974="","-",CONCATENATE(U974,"_",V974))</f>
        <v>CENS_AMBA</v>
      </c>
      <c r="X974" s="42">
        <v>0.61299999999999999</v>
      </c>
    </row>
    <row r="975" spans="1:24" ht="15" thickBot="1">
      <c r="A975" s="5" t="s">
        <v>2916</v>
      </c>
      <c r="B975" s="5" t="s">
        <v>1780</v>
      </c>
      <c r="C975" s="5" t="s">
        <v>1778</v>
      </c>
      <c r="D975" s="5" t="s">
        <v>1779</v>
      </c>
      <c r="E975" s="5">
        <v>615661</v>
      </c>
      <c r="F975" s="5">
        <v>0</v>
      </c>
      <c r="G975" s="5" t="s">
        <v>1830</v>
      </c>
      <c r="H975" s="5" t="s">
        <v>20</v>
      </c>
      <c r="I975" s="6" t="s">
        <v>142</v>
      </c>
      <c r="J975" s="6" t="s">
        <v>21</v>
      </c>
      <c r="K975" s="6"/>
      <c r="L975" s="6" t="s">
        <v>146</v>
      </c>
      <c r="M975" s="6" t="s">
        <v>22</v>
      </c>
      <c r="N975" s="6" t="s">
        <v>23</v>
      </c>
      <c r="O975" s="6" t="s">
        <v>27</v>
      </c>
      <c r="P975" s="6" t="s">
        <v>144</v>
      </c>
      <c r="Q975" s="22">
        <v>59</v>
      </c>
      <c r="R975" s="23">
        <v>3</v>
      </c>
      <c r="S975" s="39">
        <v>1</v>
      </c>
      <c r="T975" s="7"/>
      <c r="U975" s="7" t="s">
        <v>2913</v>
      </c>
      <c r="V975" s="7" t="str">
        <f>+IF(U975="","",IF(U975="FINES",CONCATENATE("R",IF(OR(B975="16",B975="21",B975="22",B975="23"),"16212223",IF(OR(B975="15",B975="17",B975="24",B975="25"),"15172425",B975))),IF(U975="CEBAS","UNICO",IF(VALUE(B975)&lt;=11,"AMBA","INTERIOR"))))</f>
        <v>AMBA</v>
      </c>
      <c r="W975" s="38" t="str">
        <f>+IF(U975="","-",CONCATENATE(U975,"_",V975))</f>
        <v>CENS_AMBA</v>
      </c>
      <c r="X975" s="42">
        <v>0.61599999999999999</v>
      </c>
    </row>
    <row r="976" spans="1:24" ht="15" thickBot="1">
      <c r="A976" s="5" t="s">
        <v>2916</v>
      </c>
      <c r="B976" s="5" t="s">
        <v>1860</v>
      </c>
      <c r="C976" s="5" t="s">
        <v>875</v>
      </c>
      <c r="D976" s="5" t="s">
        <v>2816</v>
      </c>
      <c r="E976" s="5">
        <v>623725</v>
      </c>
      <c r="F976" s="5">
        <v>0</v>
      </c>
      <c r="G976" s="5" t="s">
        <v>2826</v>
      </c>
      <c r="H976" s="5" t="s">
        <v>20</v>
      </c>
      <c r="I976" s="6" t="s">
        <v>142</v>
      </c>
      <c r="J976" s="6" t="s">
        <v>21</v>
      </c>
      <c r="K976" s="6"/>
      <c r="L976" s="6" t="s">
        <v>335</v>
      </c>
      <c r="M976" s="6" t="s">
        <v>22</v>
      </c>
      <c r="N976" s="6" t="s">
        <v>23</v>
      </c>
      <c r="O976" s="6" t="s">
        <v>27</v>
      </c>
      <c r="P976" s="6" t="s">
        <v>144</v>
      </c>
      <c r="Q976" s="22">
        <v>185</v>
      </c>
      <c r="R976" s="23">
        <v>6</v>
      </c>
      <c r="S976" s="39">
        <v>1</v>
      </c>
      <c r="T976" s="7"/>
      <c r="U976" s="7" t="s">
        <v>2913</v>
      </c>
      <c r="V976" s="7" t="str">
        <f>+IF(U976="","",IF(U976="FINES",CONCATENATE("R",IF(OR(B976="16",B976="21",B976="22",B976="23"),"16212223",IF(OR(B976="15",B976="17",B976="24",B976="25"),"15172425",B976))),IF(U976="CEBAS","UNICO",IF(VALUE(B976)&lt;=11,"AMBA","INTERIOR"))))</f>
        <v>AMBA</v>
      </c>
      <c r="W976" s="38" t="str">
        <f>+IF(U976="","-",CONCATENATE(U976,"_",V976))</f>
        <v>CENS_AMBA</v>
      </c>
      <c r="X976" s="42">
        <v>0.61899999999999999</v>
      </c>
    </row>
    <row r="977" spans="1:24" ht="15" thickBot="1">
      <c r="A977" s="5" t="s">
        <v>2916</v>
      </c>
      <c r="B977" s="5" t="s">
        <v>356</v>
      </c>
      <c r="C977" s="5" t="s">
        <v>1359</v>
      </c>
      <c r="D977" s="5" t="s">
        <v>1360</v>
      </c>
      <c r="E977" s="5">
        <v>624645</v>
      </c>
      <c r="F977" s="5">
        <v>4</v>
      </c>
      <c r="G977" s="5" t="s">
        <v>1458</v>
      </c>
      <c r="H977" s="5" t="s">
        <v>20</v>
      </c>
      <c r="I977" s="6" t="s">
        <v>142</v>
      </c>
      <c r="J977" s="6" t="s">
        <v>139</v>
      </c>
      <c r="K977" s="6" t="s">
        <v>1450</v>
      </c>
      <c r="L977" s="6" t="s">
        <v>1459</v>
      </c>
      <c r="M977" s="6" t="s">
        <v>22</v>
      </c>
      <c r="N977" s="6" t="s">
        <v>23</v>
      </c>
      <c r="O977" s="6" t="s">
        <v>27</v>
      </c>
      <c r="P977" s="6" t="s">
        <v>144</v>
      </c>
      <c r="Q977" s="22">
        <v>39</v>
      </c>
      <c r="R977" s="23">
        <v>3</v>
      </c>
      <c r="S977" s="39">
        <v>1</v>
      </c>
      <c r="T977" s="7"/>
      <c r="U977" s="7" t="s">
        <v>2913</v>
      </c>
      <c r="V977" s="7" t="str">
        <f>+IF(U977="","",IF(U977="FINES",CONCATENATE("R",IF(OR(B977="16",B977="21",B977="22",B977="23"),"16212223",IF(OR(B977="15",B977="17",B977="24",B977="25"),"15172425",B977))),IF(U977="CEBAS","UNICO",IF(VALUE(B977)&lt;=11,"AMBA","INTERIOR"))))</f>
        <v>AMBA</v>
      </c>
      <c r="W977" s="38" t="str">
        <f>+IF(U977="","-",CONCATENATE(U977,"_",V977))</f>
        <v>CENS_AMBA</v>
      </c>
      <c r="X977" s="42">
        <v>0.623</v>
      </c>
    </row>
    <row r="978" spans="1:24" ht="15" thickBot="1">
      <c r="A978" s="3" t="s">
        <v>2916</v>
      </c>
      <c r="B978" s="3" t="s">
        <v>1780</v>
      </c>
      <c r="C978" s="3" t="s">
        <v>1778</v>
      </c>
      <c r="D978" s="3" t="s">
        <v>1779</v>
      </c>
      <c r="E978" s="3">
        <v>623707</v>
      </c>
      <c r="F978" s="3">
        <v>0</v>
      </c>
      <c r="G978" s="3" t="s">
        <v>1833</v>
      </c>
      <c r="H978" s="3" t="s">
        <v>20</v>
      </c>
      <c r="I978" s="4" t="s">
        <v>142</v>
      </c>
      <c r="J978" s="4" t="s">
        <v>21</v>
      </c>
      <c r="K978" s="4"/>
      <c r="L978" s="4" t="s">
        <v>341</v>
      </c>
      <c r="M978" s="4" t="s">
        <v>22</v>
      </c>
      <c r="N978" s="4" t="s">
        <v>23</v>
      </c>
      <c r="O978" s="4" t="s">
        <v>27</v>
      </c>
      <c r="P978" s="4" t="s">
        <v>144</v>
      </c>
      <c r="Q978" s="24">
        <v>99</v>
      </c>
      <c r="R978" s="25">
        <v>6</v>
      </c>
      <c r="S978" s="39">
        <v>1</v>
      </c>
      <c r="T978" s="7"/>
      <c r="U978" s="7" t="s">
        <v>2913</v>
      </c>
      <c r="V978" s="7" t="str">
        <f>+IF(U978="","",IF(U978="FINES",CONCATENATE("R",IF(OR(B978="16",B978="21",B978="22",B978="23"),"16212223",IF(OR(B978="15",B978="17",B978="24",B978="25"),"15172425",B978))),IF(U978="CEBAS","UNICO",IF(VALUE(B978)&lt;=11,"AMBA","INTERIOR"))))</f>
        <v>AMBA</v>
      </c>
      <c r="W978" s="38" t="str">
        <f>+IF(U978="","-",CONCATENATE(U978,"_",V978))</f>
        <v>CENS_AMBA</v>
      </c>
      <c r="X978" s="42">
        <v>0.629</v>
      </c>
    </row>
    <row r="979" spans="1:24" ht="15" thickBot="1">
      <c r="A979" s="5" t="s">
        <v>2916</v>
      </c>
      <c r="B979" s="5" t="s">
        <v>356</v>
      </c>
      <c r="C979" s="5" t="s">
        <v>1359</v>
      </c>
      <c r="D979" s="5" t="s">
        <v>1360</v>
      </c>
      <c r="E979" s="5">
        <v>623603</v>
      </c>
      <c r="F979" s="5">
        <v>0</v>
      </c>
      <c r="G979" s="5" t="s">
        <v>1443</v>
      </c>
      <c r="H979" s="5" t="s">
        <v>20</v>
      </c>
      <c r="I979" s="6" t="s">
        <v>142</v>
      </c>
      <c r="J979" s="6" t="s">
        <v>21</v>
      </c>
      <c r="K979" s="6"/>
      <c r="L979" s="6" t="s">
        <v>170</v>
      </c>
      <c r="M979" s="6" t="s">
        <v>22</v>
      </c>
      <c r="N979" s="6" t="s">
        <v>23</v>
      </c>
      <c r="O979" s="6" t="s">
        <v>27</v>
      </c>
      <c r="P979" s="6" t="s">
        <v>144</v>
      </c>
      <c r="Q979" s="22">
        <v>121</v>
      </c>
      <c r="R979" s="23">
        <v>6</v>
      </c>
      <c r="S979" s="39">
        <v>1</v>
      </c>
      <c r="T979" s="7"/>
      <c r="U979" s="7" t="s">
        <v>2913</v>
      </c>
      <c r="V979" s="7" t="str">
        <f>+IF(U979="","",IF(U979="FINES",CONCATENATE("R",IF(OR(B979="16",B979="21",B979="22",B979="23"),"16212223",IF(OR(B979="15",B979="17",B979="24",B979="25"),"15172425",B979))),IF(U979="CEBAS","UNICO",IF(VALUE(B979)&lt;=11,"AMBA","INTERIOR"))))</f>
        <v>AMBA</v>
      </c>
      <c r="W979" s="38" t="str">
        <f>+IF(U979="","-",CONCATENATE(U979,"_",V979))</f>
        <v>CENS_AMBA</v>
      </c>
      <c r="X979" s="42">
        <v>0.63200000000000001</v>
      </c>
    </row>
    <row r="980" spans="1:24" ht="15" thickBot="1">
      <c r="A980" s="3" t="s">
        <v>2916</v>
      </c>
      <c r="B980" s="3" t="s">
        <v>356</v>
      </c>
      <c r="C980" s="3" t="s">
        <v>1359</v>
      </c>
      <c r="D980" s="3" t="s">
        <v>1360</v>
      </c>
      <c r="E980" s="3">
        <v>624645</v>
      </c>
      <c r="F980" s="3">
        <v>1</v>
      </c>
      <c r="G980" s="3" t="s">
        <v>1452</v>
      </c>
      <c r="H980" s="3" t="s">
        <v>20</v>
      </c>
      <c r="I980" s="4" t="s">
        <v>142</v>
      </c>
      <c r="J980" s="4" t="s">
        <v>139</v>
      </c>
      <c r="K980" s="4" t="s">
        <v>1450</v>
      </c>
      <c r="L980" s="4" t="s">
        <v>1453</v>
      </c>
      <c r="M980" s="4" t="s">
        <v>22</v>
      </c>
      <c r="N980" s="4" t="s">
        <v>23</v>
      </c>
      <c r="O980" s="4" t="s">
        <v>27</v>
      </c>
      <c r="P980" s="4" t="s">
        <v>144</v>
      </c>
      <c r="Q980" s="24">
        <v>28</v>
      </c>
      <c r="R980" s="25">
        <v>3</v>
      </c>
      <c r="S980" s="39">
        <v>1</v>
      </c>
      <c r="T980" s="7"/>
      <c r="U980" s="7" t="s">
        <v>2913</v>
      </c>
      <c r="V980" s="7" t="str">
        <f>+IF(U980="","",IF(U980="FINES",CONCATENATE("R",IF(OR(B980="16",B980="21",B980="22",B980="23"),"16212223",IF(OR(B980="15",B980="17",B980="24",B980="25"),"15172425",B980))),IF(U980="CEBAS","UNICO",IF(VALUE(B980)&lt;=11,"AMBA","INTERIOR"))))</f>
        <v>AMBA</v>
      </c>
      <c r="W980" s="38" t="str">
        <f>+IF(U980="","-",CONCATENATE(U980,"_",V980))</f>
        <v>CENS_AMBA</v>
      </c>
      <c r="X980" s="42">
        <v>0.63400000000000001</v>
      </c>
    </row>
    <row r="981" spans="1:24" ht="15" thickBot="1">
      <c r="A981" s="3" t="s">
        <v>2916</v>
      </c>
      <c r="B981" s="3" t="s">
        <v>1860</v>
      </c>
      <c r="C981" s="3" t="s">
        <v>875</v>
      </c>
      <c r="D981" s="3" t="s">
        <v>2816</v>
      </c>
      <c r="E981" s="3">
        <v>623726</v>
      </c>
      <c r="F981" s="3">
        <v>0</v>
      </c>
      <c r="G981" s="3" t="s">
        <v>2827</v>
      </c>
      <c r="H981" s="3" t="s">
        <v>20</v>
      </c>
      <c r="I981" s="4" t="s">
        <v>142</v>
      </c>
      <c r="J981" s="4" t="s">
        <v>21</v>
      </c>
      <c r="K981" s="4"/>
      <c r="L981" s="4" t="s">
        <v>337</v>
      </c>
      <c r="M981" s="4" t="s">
        <v>22</v>
      </c>
      <c r="N981" s="4" t="s">
        <v>23</v>
      </c>
      <c r="O981" s="4" t="s">
        <v>27</v>
      </c>
      <c r="P981" s="4" t="s">
        <v>144</v>
      </c>
      <c r="Q981" s="24">
        <v>189</v>
      </c>
      <c r="R981" s="25">
        <v>7</v>
      </c>
      <c r="S981" s="39">
        <v>1</v>
      </c>
      <c r="T981" s="7"/>
      <c r="U981" s="7" t="s">
        <v>2913</v>
      </c>
      <c r="V981" s="7" t="str">
        <f>+IF(U981="","",IF(U981="FINES",CONCATENATE("R",IF(OR(B981="16",B981="21",B981="22",B981="23"),"16212223",IF(OR(B981="15",B981="17",B981="24",B981="25"),"15172425",B981))),IF(U981="CEBAS","UNICO",IF(VALUE(B981)&lt;=11,"AMBA","INTERIOR"))))</f>
        <v>AMBA</v>
      </c>
      <c r="W981" s="38" t="str">
        <f>+IF(U981="","-",CONCATENATE(U981,"_",V981))</f>
        <v>CENS_AMBA</v>
      </c>
      <c r="X981" s="42">
        <v>0.63700000000000001</v>
      </c>
    </row>
    <row r="982" spans="1:24" ht="15" thickBot="1">
      <c r="A982" s="5" t="s">
        <v>2916</v>
      </c>
      <c r="B982" s="5" t="s">
        <v>222</v>
      </c>
      <c r="C982" s="5" t="s">
        <v>2047</v>
      </c>
      <c r="D982" s="5" t="s">
        <v>2048</v>
      </c>
      <c r="E982" s="5">
        <v>613092</v>
      </c>
      <c r="F982" s="5">
        <v>0</v>
      </c>
      <c r="G982" s="5" t="s">
        <v>2059</v>
      </c>
      <c r="H982" s="5" t="s">
        <v>20</v>
      </c>
      <c r="I982" s="6" t="s">
        <v>142</v>
      </c>
      <c r="J982" s="6" t="s">
        <v>21</v>
      </c>
      <c r="K982" s="6"/>
      <c r="L982" s="6" t="s">
        <v>400</v>
      </c>
      <c r="M982" s="6" t="s">
        <v>22</v>
      </c>
      <c r="N982" s="6" t="s">
        <v>23</v>
      </c>
      <c r="O982" s="6" t="s">
        <v>27</v>
      </c>
      <c r="P982" s="6" t="s">
        <v>144</v>
      </c>
      <c r="Q982" s="22">
        <v>233</v>
      </c>
      <c r="R982" s="23">
        <v>10</v>
      </c>
      <c r="S982" s="39">
        <v>1</v>
      </c>
      <c r="T982" s="7"/>
      <c r="U982" s="7" t="s">
        <v>2913</v>
      </c>
      <c r="V982" s="7" t="str">
        <f>+IF(U982="","",IF(U982="FINES",CONCATENATE("R",IF(OR(B982="16",B982="21",B982="22",B982="23"),"16212223",IF(OR(B982="15",B982="17",B982="24",B982="25"),"15172425",B982))),IF(U982="CEBAS","UNICO",IF(VALUE(B982)&lt;=11,"AMBA","INTERIOR"))))</f>
        <v>AMBA</v>
      </c>
      <c r="W982" s="38" t="str">
        <f>+IF(U982="","-",CONCATENATE(U982,"_",V982))</f>
        <v>CENS_AMBA</v>
      </c>
      <c r="X982" s="42">
        <v>0.64100000000000001</v>
      </c>
    </row>
    <row r="983" spans="1:24" ht="15" thickBot="1">
      <c r="A983" s="5" t="s">
        <v>2916</v>
      </c>
      <c r="B983" s="5" t="s">
        <v>1532</v>
      </c>
      <c r="C983" s="5" t="s">
        <v>1530</v>
      </c>
      <c r="D983" s="5" t="s">
        <v>1531</v>
      </c>
      <c r="E983" s="5">
        <v>610437</v>
      </c>
      <c r="F983" s="5">
        <v>0</v>
      </c>
      <c r="G983" s="5" t="s">
        <v>1682</v>
      </c>
      <c r="H983" s="5" t="s">
        <v>20</v>
      </c>
      <c r="I983" s="6" t="s">
        <v>142</v>
      </c>
      <c r="J983" s="6" t="s">
        <v>21</v>
      </c>
      <c r="K983" s="6"/>
      <c r="L983" s="6" t="s">
        <v>501</v>
      </c>
      <c r="M983" s="6" t="s">
        <v>22</v>
      </c>
      <c r="N983" s="6" t="s">
        <v>23</v>
      </c>
      <c r="O983" s="6" t="s">
        <v>27</v>
      </c>
      <c r="P983" s="6" t="s">
        <v>144</v>
      </c>
      <c r="Q983" s="22">
        <v>287</v>
      </c>
      <c r="R983" s="23">
        <v>36</v>
      </c>
      <c r="S983" s="39">
        <v>1</v>
      </c>
      <c r="T983" s="7"/>
      <c r="U983" s="7" t="s">
        <v>2913</v>
      </c>
      <c r="V983" s="7" t="str">
        <f>+IF(U983="","",IF(U983="FINES",CONCATENATE("R",IF(OR(B983="16",B983="21",B983="22",B983="23"),"16212223",IF(OR(B983="15",B983="17",B983="24",B983="25"),"15172425",B983))),IF(U983="CEBAS","UNICO",IF(VALUE(B983)&lt;=11,"AMBA","INTERIOR"))))</f>
        <v>AMBA</v>
      </c>
      <c r="W983" s="38" t="str">
        <f>+IF(U983="","-",CONCATENATE(U983,"_",V983))</f>
        <v>CENS_AMBA</v>
      </c>
      <c r="X983" s="42">
        <v>0.64100000000000001</v>
      </c>
    </row>
    <row r="984" spans="1:24" ht="15" thickBot="1">
      <c r="A984" s="5" t="s">
        <v>2916</v>
      </c>
      <c r="B984" s="5" t="s">
        <v>1532</v>
      </c>
      <c r="C984" s="5" t="s">
        <v>1530</v>
      </c>
      <c r="D984" s="5" t="s">
        <v>1531</v>
      </c>
      <c r="E984" s="5">
        <v>623637</v>
      </c>
      <c r="F984" s="5">
        <v>0</v>
      </c>
      <c r="G984" s="5" t="s">
        <v>1710</v>
      </c>
      <c r="H984" s="5" t="s">
        <v>20</v>
      </c>
      <c r="I984" s="6" t="s">
        <v>142</v>
      </c>
      <c r="J984" s="6" t="s">
        <v>21</v>
      </c>
      <c r="K984" s="6"/>
      <c r="L984" s="6" t="s">
        <v>1711</v>
      </c>
      <c r="M984" s="6" t="s">
        <v>22</v>
      </c>
      <c r="N984" s="6" t="s">
        <v>23</v>
      </c>
      <c r="O984" s="6" t="s">
        <v>27</v>
      </c>
      <c r="P984" s="6" t="s">
        <v>144</v>
      </c>
      <c r="Q984" s="22">
        <v>154</v>
      </c>
      <c r="R984" s="23">
        <v>12</v>
      </c>
      <c r="S984" s="39">
        <v>1</v>
      </c>
      <c r="T984" s="7"/>
      <c r="U984" s="7" t="s">
        <v>2913</v>
      </c>
      <c r="V984" s="7" t="str">
        <f>+IF(U984="","",IF(U984="FINES",CONCATENATE("R",IF(OR(B984="16",B984="21",B984="22",B984="23"),"16212223",IF(OR(B984="15",B984="17",B984="24",B984="25"),"15172425",B984))),IF(U984="CEBAS","UNICO",IF(VALUE(B984)&lt;=11,"AMBA","INTERIOR"))))</f>
        <v>AMBA</v>
      </c>
      <c r="W984" s="38" t="str">
        <f>+IF(U984="","-",CONCATENATE(U984,"_",V984))</f>
        <v>CENS_AMBA</v>
      </c>
      <c r="X984" s="42">
        <v>0.64200000000000002</v>
      </c>
    </row>
    <row r="985" spans="1:24" ht="15" thickBot="1">
      <c r="A985" s="3" t="s">
        <v>2916</v>
      </c>
      <c r="B985" s="3" t="s">
        <v>222</v>
      </c>
      <c r="C985" s="3" t="s">
        <v>227</v>
      </c>
      <c r="D985" s="3" t="s">
        <v>2603</v>
      </c>
      <c r="E985" s="3">
        <v>624128</v>
      </c>
      <c r="F985" s="3">
        <v>0</v>
      </c>
      <c r="G985" s="3" t="s">
        <v>2627</v>
      </c>
      <c r="H985" s="3" t="s">
        <v>20</v>
      </c>
      <c r="I985" s="4" t="s">
        <v>142</v>
      </c>
      <c r="J985" s="4" t="s">
        <v>21</v>
      </c>
      <c r="K985" s="4"/>
      <c r="L985" s="4" t="s">
        <v>2067</v>
      </c>
      <c r="M985" s="4" t="s">
        <v>22</v>
      </c>
      <c r="N985" s="4" t="s">
        <v>23</v>
      </c>
      <c r="O985" s="4" t="s">
        <v>27</v>
      </c>
      <c r="P985" s="4" t="s">
        <v>144</v>
      </c>
      <c r="Q985" s="24">
        <v>94</v>
      </c>
      <c r="R985" s="25">
        <v>6</v>
      </c>
      <c r="S985" s="39">
        <v>1</v>
      </c>
      <c r="T985" s="7"/>
      <c r="U985" s="7" t="s">
        <v>2913</v>
      </c>
      <c r="V985" s="7" t="str">
        <f>+IF(U985="","",IF(U985="FINES",CONCATENATE("R",IF(OR(B985="16",B985="21",B985="22",B985="23"),"16212223",IF(OR(B985="15",B985="17",B985="24",B985="25"),"15172425",B985))),IF(U985="CEBAS","UNICO",IF(VALUE(B985)&lt;=11,"AMBA","INTERIOR"))))</f>
        <v>AMBA</v>
      </c>
      <c r="W985" s="38" t="str">
        <f>+IF(U985="","-",CONCATENATE(U985,"_",V985))</f>
        <v>CENS_AMBA</v>
      </c>
      <c r="X985" s="42">
        <v>0.64500000000000002</v>
      </c>
    </row>
    <row r="986" spans="1:24" ht="15" thickBot="1">
      <c r="A986" s="3" t="s">
        <v>2916</v>
      </c>
      <c r="B986" s="3" t="s">
        <v>1780</v>
      </c>
      <c r="C986" s="3" t="s">
        <v>1778</v>
      </c>
      <c r="D986" s="3" t="s">
        <v>1779</v>
      </c>
      <c r="E986" s="3">
        <v>615660</v>
      </c>
      <c r="F986" s="3">
        <v>0</v>
      </c>
      <c r="G986" s="3" t="s">
        <v>1829</v>
      </c>
      <c r="H986" s="3" t="s">
        <v>20</v>
      </c>
      <c r="I986" s="4" t="s">
        <v>142</v>
      </c>
      <c r="J986" s="4" t="s">
        <v>21</v>
      </c>
      <c r="K986" s="4"/>
      <c r="L986" s="4" t="s">
        <v>143</v>
      </c>
      <c r="M986" s="4" t="s">
        <v>22</v>
      </c>
      <c r="N986" s="4" t="s">
        <v>23</v>
      </c>
      <c r="O986" s="4" t="s">
        <v>27</v>
      </c>
      <c r="P986" s="4" t="s">
        <v>144</v>
      </c>
      <c r="Q986" s="24">
        <v>50</v>
      </c>
      <c r="R986" s="25">
        <v>3</v>
      </c>
      <c r="S986" s="39">
        <v>1</v>
      </c>
      <c r="T986" s="7"/>
      <c r="U986" s="7" t="s">
        <v>2913</v>
      </c>
      <c r="V986" s="7" t="str">
        <f>+IF(U986="","",IF(U986="FINES",CONCATENATE("R",IF(OR(B986="16",B986="21",B986="22",B986="23"),"16212223",IF(OR(B986="15",B986="17",B986="24",B986="25"),"15172425",B986))),IF(U986="CEBAS","UNICO",IF(VALUE(B986)&lt;=11,"AMBA","INTERIOR"))))</f>
        <v>AMBA</v>
      </c>
      <c r="W986" s="38" t="str">
        <f>+IF(U986="","-",CONCATENATE(U986,"_",V986))</f>
        <v>CENS_AMBA</v>
      </c>
      <c r="X986" s="42">
        <v>0.64700000000000002</v>
      </c>
    </row>
    <row r="987" spans="1:24" ht="15" thickBot="1">
      <c r="A987" s="3" t="s">
        <v>2916</v>
      </c>
      <c r="B987" s="3" t="s">
        <v>19</v>
      </c>
      <c r="C987" s="3" t="s">
        <v>252</v>
      </c>
      <c r="D987" s="3" t="s">
        <v>2566</v>
      </c>
      <c r="E987" s="3">
        <v>624407</v>
      </c>
      <c r="F987" s="3">
        <v>1</v>
      </c>
      <c r="G987" s="3" t="s">
        <v>2587</v>
      </c>
      <c r="H987" s="3" t="s">
        <v>20</v>
      </c>
      <c r="I987" s="4" t="s">
        <v>142</v>
      </c>
      <c r="J987" s="4" t="s">
        <v>51</v>
      </c>
      <c r="K987" s="4" t="s">
        <v>187</v>
      </c>
      <c r="L987" s="4" t="s">
        <v>2588</v>
      </c>
      <c r="M987" s="4" t="s">
        <v>22</v>
      </c>
      <c r="N987" s="4" t="s">
        <v>23</v>
      </c>
      <c r="O987" s="4" t="s">
        <v>27</v>
      </c>
      <c r="P987" s="4" t="s">
        <v>144</v>
      </c>
      <c r="Q987" s="24">
        <v>22</v>
      </c>
      <c r="R987" s="25">
        <v>3</v>
      </c>
      <c r="S987" s="39">
        <v>1</v>
      </c>
      <c r="T987" s="7"/>
      <c r="U987" s="7" t="s">
        <v>2913</v>
      </c>
      <c r="V987" s="7" t="str">
        <f>+IF(U987="","",IF(U987="FINES",CONCATENATE("R",IF(OR(B987="16",B987="21",B987="22",B987="23"),"16212223",IF(OR(B987="15",B987="17",B987="24",B987="25"),"15172425",B987))),IF(U987="CEBAS","UNICO",IF(VALUE(B987)&lt;=11,"AMBA","INTERIOR"))))</f>
        <v>AMBA</v>
      </c>
      <c r="W987" s="38" t="str">
        <f>+IF(U987="","-",CONCATENATE(U987,"_",V987))</f>
        <v>CENS_AMBA</v>
      </c>
      <c r="X987" s="42">
        <v>0.64800000000000002</v>
      </c>
    </row>
    <row r="988" spans="1:24" ht="15" thickBot="1">
      <c r="A988" s="5" t="s">
        <v>2916</v>
      </c>
      <c r="B988" s="5" t="s">
        <v>1257</v>
      </c>
      <c r="C988" s="5" t="s">
        <v>519</v>
      </c>
      <c r="D988" s="5" t="s">
        <v>2470</v>
      </c>
      <c r="E988" s="5">
        <v>623684</v>
      </c>
      <c r="F988" s="5">
        <v>0</v>
      </c>
      <c r="G988" s="5" t="s">
        <v>2484</v>
      </c>
      <c r="H988" s="5" t="s">
        <v>20</v>
      </c>
      <c r="I988" s="6" t="s">
        <v>142</v>
      </c>
      <c r="J988" s="6" t="s">
        <v>21</v>
      </c>
      <c r="K988" s="6"/>
      <c r="L988" s="6" t="s">
        <v>2485</v>
      </c>
      <c r="M988" s="6" t="s">
        <v>22</v>
      </c>
      <c r="N988" s="6" t="s">
        <v>23</v>
      </c>
      <c r="O988" s="6" t="s">
        <v>27</v>
      </c>
      <c r="P988" s="6" t="s">
        <v>144</v>
      </c>
      <c r="Q988" s="22">
        <v>118</v>
      </c>
      <c r="R988" s="23">
        <v>9</v>
      </c>
      <c r="S988" s="39">
        <v>1</v>
      </c>
      <c r="T988" s="7"/>
      <c r="U988" t="s">
        <v>2913</v>
      </c>
      <c r="V988" s="7" t="str">
        <f>+IF(U988="","",IF(U988="FINES",CONCATENATE("R",IF(OR(B988="16",B988="21",B988="22",B988="23"),"16212223",IF(OR(B988="15",B988="17",B988="24",B988="25"),"15172425",B988))),IF(U988="CEBAS","UNICO",IF(VALUE(B988)&lt;=11,"AMBA","INTERIOR"))))</f>
        <v>AMBA</v>
      </c>
      <c r="W988" s="38" t="str">
        <f>+IF(U988="","-",CONCATENATE(U988,"_",V988))</f>
        <v>CENS_AMBA</v>
      </c>
      <c r="X988" s="42">
        <v>0.64900000000000002</v>
      </c>
    </row>
    <row r="989" spans="1:24" ht="15" thickBot="1">
      <c r="A989" s="3" t="s">
        <v>2916</v>
      </c>
      <c r="B989" s="3" t="s">
        <v>138</v>
      </c>
      <c r="C989" s="3" t="s">
        <v>436</v>
      </c>
      <c r="D989" s="3" t="s">
        <v>1067</v>
      </c>
      <c r="E989" s="3">
        <v>604058</v>
      </c>
      <c r="F989" s="3">
        <v>0</v>
      </c>
      <c r="G989" s="3" t="s">
        <v>1082</v>
      </c>
      <c r="H989" s="3" t="s">
        <v>20</v>
      </c>
      <c r="I989" s="4" t="s">
        <v>142</v>
      </c>
      <c r="J989" s="4" t="s">
        <v>21</v>
      </c>
      <c r="K989" s="4"/>
      <c r="L989" s="4" t="s">
        <v>1083</v>
      </c>
      <c r="M989" s="4" t="s">
        <v>22</v>
      </c>
      <c r="N989" s="4" t="s">
        <v>23</v>
      </c>
      <c r="O989" s="4" t="s">
        <v>27</v>
      </c>
      <c r="P989" s="4" t="s">
        <v>144</v>
      </c>
      <c r="Q989" s="24">
        <v>737</v>
      </c>
      <c r="R989" s="25">
        <v>23</v>
      </c>
      <c r="S989" s="39">
        <v>1</v>
      </c>
      <c r="T989" s="7"/>
      <c r="U989" s="7" t="s">
        <v>2913</v>
      </c>
      <c r="V989" s="7" t="str">
        <f>+IF(U989="","",IF(U989="FINES",CONCATENATE("R",IF(OR(B989="16",B989="21",B989="22",B989="23"),"16212223",IF(OR(B989="15",B989="17",B989="24",B989="25"),"15172425",B989))),IF(U989="CEBAS","UNICO",IF(VALUE(B989)&lt;=11,"AMBA","INTERIOR"))))</f>
        <v>AMBA</v>
      </c>
      <c r="W989" s="38" t="str">
        <f>+IF(U989="","-",CONCATENATE(U989,"_",V989))</f>
        <v>CENS_AMBA</v>
      </c>
      <c r="X989" s="42">
        <v>0.65</v>
      </c>
    </row>
    <row r="990" spans="1:24" ht="15" thickBot="1">
      <c r="A990" s="5" t="s">
        <v>2916</v>
      </c>
      <c r="B990" s="5" t="s">
        <v>1532</v>
      </c>
      <c r="C990" s="5" t="s">
        <v>1530</v>
      </c>
      <c r="D990" s="5" t="s">
        <v>1531</v>
      </c>
      <c r="E990" s="5">
        <v>623635</v>
      </c>
      <c r="F990" s="5">
        <v>0</v>
      </c>
      <c r="G990" s="5" t="s">
        <v>1728</v>
      </c>
      <c r="H990" s="5" t="s">
        <v>20</v>
      </c>
      <c r="I990" s="6" t="s">
        <v>142</v>
      </c>
      <c r="J990" s="6" t="s">
        <v>21</v>
      </c>
      <c r="K990" s="6"/>
      <c r="L990" s="6" t="s">
        <v>1729</v>
      </c>
      <c r="M990" s="6" t="s">
        <v>22</v>
      </c>
      <c r="N990" s="6" t="s">
        <v>23</v>
      </c>
      <c r="O990" s="6" t="s">
        <v>27</v>
      </c>
      <c r="P990" s="6" t="s">
        <v>144</v>
      </c>
      <c r="Q990" s="22">
        <v>49</v>
      </c>
      <c r="R990" s="23">
        <v>3</v>
      </c>
      <c r="S990" s="39">
        <v>1</v>
      </c>
      <c r="T990" s="7"/>
      <c r="U990" t="s">
        <v>2913</v>
      </c>
      <c r="V990" s="7" t="str">
        <f>+IF(U990="","",IF(U990="FINES",CONCATENATE("R",IF(OR(B990="16",B990="21",B990="22",B990="23"),"16212223",IF(OR(B990="15",B990="17",B990="24",B990="25"),"15172425",B990))),IF(U990="CEBAS","UNICO",IF(VALUE(B990)&lt;=11,"AMBA","INTERIOR"))))</f>
        <v>AMBA</v>
      </c>
      <c r="W990" s="38" t="str">
        <f>+IF(U990="","-",CONCATENATE(U990,"_",V990))</f>
        <v>CENS_AMBA</v>
      </c>
      <c r="X990" s="42">
        <v>0.65200000000000002</v>
      </c>
    </row>
    <row r="991" spans="1:24" ht="15" thickBot="1">
      <c r="A991" s="5" t="s">
        <v>2916</v>
      </c>
      <c r="B991" s="5" t="s">
        <v>1257</v>
      </c>
      <c r="C991" s="5" t="s">
        <v>1255</v>
      </c>
      <c r="D991" s="5" t="s">
        <v>1256</v>
      </c>
      <c r="E991" s="5">
        <v>623677</v>
      </c>
      <c r="F991" s="5">
        <v>0</v>
      </c>
      <c r="G991" s="5" t="s">
        <v>1302</v>
      </c>
      <c r="H991" s="5" t="s">
        <v>20</v>
      </c>
      <c r="I991" s="6" t="s">
        <v>142</v>
      </c>
      <c r="J991" s="6" t="s">
        <v>21</v>
      </c>
      <c r="K991" s="6"/>
      <c r="L991" s="6" t="s">
        <v>156</v>
      </c>
      <c r="M991" s="6" t="s">
        <v>22</v>
      </c>
      <c r="N991" s="6" t="s">
        <v>23</v>
      </c>
      <c r="O991" s="6" t="s">
        <v>27</v>
      </c>
      <c r="P991" s="6" t="s">
        <v>144</v>
      </c>
      <c r="Q991" s="22">
        <v>151</v>
      </c>
      <c r="R991" s="23">
        <v>6</v>
      </c>
      <c r="S991" s="39">
        <v>1</v>
      </c>
      <c r="T991" s="7"/>
      <c r="U991" t="s">
        <v>2913</v>
      </c>
      <c r="V991" s="7" t="str">
        <f>+IF(U991="","",IF(U991="FINES",CONCATENATE("R",IF(OR(B991="16",B991="21",B991="22",B991="23"),"16212223",IF(OR(B991="15",B991="17",B991="24",B991="25"),"15172425",B991))),IF(U991="CEBAS","UNICO",IF(VALUE(B991)&lt;=11,"AMBA","INTERIOR"))))</f>
        <v>AMBA</v>
      </c>
      <c r="W991" s="38" t="str">
        <f>+IF(U991="","-",CONCATENATE(U991,"_",V991))</f>
        <v>CENS_AMBA</v>
      </c>
      <c r="X991" s="42">
        <v>0.65300000000000002</v>
      </c>
    </row>
    <row r="992" spans="1:24" ht="15" thickBot="1">
      <c r="A992" s="3" t="s">
        <v>2916</v>
      </c>
      <c r="B992" s="3" t="s">
        <v>19</v>
      </c>
      <c r="C992" s="3" t="s">
        <v>17</v>
      </c>
      <c r="D992" s="3" t="s">
        <v>18</v>
      </c>
      <c r="E992" s="3">
        <v>608838</v>
      </c>
      <c r="F992" s="3">
        <v>0</v>
      </c>
      <c r="G992" s="3" t="s">
        <v>161</v>
      </c>
      <c r="H992" s="3" t="s">
        <v>20</v>
      </c>
      <c r="I992" s="4" t="s">
        <v>142</v>
      </c>
      <c r="J992" s="4" t="s">
        <v>21</v>
      </c>
      <c r="K992" s="4"/>
      <c r="L992" s="4" t="s">
        <v>162</v>
      </c>
      <c r="M992" s="4" t="s">
        <v>22</v>
      </c>
      <c r="N992" s="4" t="s">
        <v>23</v>
      </c>
      <c r="O992" s="4" t="s">
        <v>27</v>
      </c>
      <c r="P992" s="4" t="s">
        <v>144</v>
      </c>
      <c r="Q992" s="24">
        <v>392</v>
      </c>
      <c r="R992" s="25">
        <v>18</v>
      </c>
      <c r="S992" s="39">
        <v>1</v>
      </c>
      <c r="T992" s="7"/>
      <c r="U992" t="s">
        <v>2913</v>
      </c>
      <c r="V992" s="7" t="str">
        <f>+IF(U992="","",IF(U992="FINES",CONCATENATE("R",IF(OR(B992="16",B992="21",B992="22",B992="23"),"16212223",IF(OR(B992="15",B992="17",B992="24",B992="25"),"15172425",B992))),IF(U992="CEBAS","UNICO",IF(VALUE(B992)&lt;=11,"AMBA","INTERIOR"))))</f>
        <v>AMBA</v>
      </c>
      <c r="W992" s="38" t="str">
        <f>+IF(U992="","-",CONCATENATE(U992,"_",V992))</f>
        <v>CENS_AMBA</v>
      </c>
      <c r="X992" s="42">
        <v>0.65300000000000002</v>
      </c>
    </row>
    <row r="993" spans="1:24" ht="15" thickBot="1">
      <c r="A993" s="3" t="s">
        <v>2916</v>
      </c>
      <c r="B993" s="3" t="s">
        <v>356</v>
      </c>
      <c r="C993" s="3" t="s">
        <v>1359</v>
      </c>
      <c r="D993" s="3" t="s">
        <v>1360</v>
      </c>
      <c r="E993" s="3">
        <v>609356</v>
      </c>
      <c r="F993" s="3">
        <v>0</v>
      </c>
      <c r="G993" s="3" t="s">
        <v>1428</v>
      </c>
      <c r="H993" s="3" t="s">
        <v>20</v>
      </c>
      <c r="I993" s="4" t="s">
        <v>142</v>
      </c>
      <c r="J993" s="4" t="s">
        <v>21</v>
      </c>
      <c r="K993" s="4"/>
      <c r="L993" s="4" t="s">
        <v>1429</v>
      </c>
      <c r="M993" s="4" t="s">
        <v>22</v>
      </c>
      <c r="N993" s="4" t="s">
        <v>23</v>
      </c>
      <c r="O993" s="4" t="s">
        <v>27</v>
      </c>
      <c r="P993" s="4" t="s">
        <v>144</v>
      </c>
      <c r="Q993" s="24">
        <v>217</v>
      </c>
      <c r="R993" s="25">
        <v>12</v>
      </c>
      <c r="S993" s="39">
        <v>1</v>
      </c>
      <c r="T993" s="7"/>
      <c r="U993" t="s">
        <v>2913</v>
      </c>
      <c r="V993" s="7" t="str">
        <f>+IF(U993="","",IF(U993="FINES",CONCATENATE("R",IF(OR(B993="16",B993="21",B993="22",B993="23"),"16212223",IF(OR(B993="15",B993="17",B993="24",B993="25"),"15172425",B993))),IF(U993="CEBAS","UNICO",IF(VALUE(B993)&lt;=11,"AMBA","INTERIOR"))))</f>
        <v>AMBA</v>
      </c>
      <c r="W993" s="38" t="str">
        <f>+IF(U993="","-",CONCATENATE(U993,"_",V993))</f>
        <v>CENS_AMBA</v>
      </c>
      <c r="X993" s="42">
        <v>0.66300000000000003</v>
      </c>
    </row>
    <row r="994" spans="1:24" ht="15" thickBot="1">
      <c r="A994" s="5" t="s">
        <v>2916</v>
      </c>
      <c r="B994" s="5" t="s">
        <v>204</v>
      </c>
      <c r="C994" s="5" t="s">
        <v>137</v>
      </c>
      <c r="D994" s="5" t="s">
        <v>2629</v>
      </c>
      <c r="E994" s="5">
        <v>623694</v>
      </c>
      <c r="F994" s="5">
        <v>0</v>
      </c>
      <c r="G994" s="5" t="s">
        <v>2649</v>
      </c>
      <c r="H994" s="5" t="s">
        <v>20</v>
      </c>
      <c r="I994" s="6" t="s">
        <v>142</v>
      </c>
      <c r="J994" s="6" t="s">
        <v>21</v>
      </c>
      <c r="K994" s="6"/>
      <c r="L994" s="6" t="s">
        <v>337</v>
      </c>
      <c r="M994" s="6" t="s">
        <v>22</v>
      </c>
      <c r="N994" s="6" t="s">
        <v>23</v>
      </c>
      <c r="O994" s="6" t="s">
        <v>27</v>
      </c>
      <c r="P994" s="6" t="s">
        <v>144</v>
      </c>
      <c r="Q994" s="22">
        <v>69</v>
      </c>
      <c r="R994" s="23">
        <v>3</v>
      </c>
      <c r="S994" s="39">
        <v>1</v>
      </c>
      <c r="T994" s="7"/>
      <c r="U994" t="s">
        <v>2913</v>
      </c>
      <c r="V994" s="7" t="str">
        <f>+IF(U994="","",IF(U994="FINES",CONCATENATE("R",IF(OR(B994="16",B994="21",B994="22",B994="23"),"16212223",IF(OR(B994="15",B994="17",B994="24",B994="25"),"15172425",B994))),IF(U994="CEBAS","UNICO",IF(VALUE(B994)&lt;=11,"AMBA","INTERIOR"))))</f>
        <v>AMBA</v>
      </c>
      <c r="W994" s="38" t="str">
        <f>+IF(U994="","-",CONCATENATE(U994,"_",V994))</f>
        <v>CENS_AMBA</v>
      </c>
      <c r="X994" s="42">
        <v>0.66900000000000004</v>
      </c>
    </row>
    <row r="995" spans="1:24" ht="15" thickBot="1">
      <c r="A995" s="3" t="s">
        <v>2916</v>
      </c>
      <c r="B995" s="3" t="s">
        <v>257</v>
      </c>
      <c r="C995" s="3" t="s">
        <v>254</v>
      </c>
      <c r="D995" s="3" t="s">
        <v>256</v>
      </c>
      <c r="E995" s="3">
        <v>623909</v>
      </c>
      <c r="F995" s="3">
        <v>0</v>
      </c>
      <c r="G995" s="3" t="s">
        <v>338</v>
      </c>
      <c r="H995" s="3" t="s">
        <v>20</v>
      </c>
      <c r="I995" s="4" t="s">
        <v>142</v>
      </c>
      <c r="J995" s="4" t="s">
        <v>21</v>
      </c>
      <c r="K995" s="4"/>
      <c r="L995" s="4" t="s">
        <v>339</v>
      </c>
      <c r="M995" s="4" t="s">
        <v>22</v>
      </c>
      <c r="N995" s="4" t="s">
        <v>23</v>
      </c>
      <c r="O995" s="4" t="s">
        <v>27</v>
      </c>
      <c r="P995" s="4" t="s">
        <v>144</v>
      </c>
      <c r="Q995" s="24">
        <v>56</v>
      </c>
      <c r="R995" s="25">
        <v>3</v>
      </c>
      <c r="S995" s="39">
        <v>1</v>
      </c>
      <c r="T995" s="7"/>
      <c r="U995" t="s">
        <v>2913</v>
      </c>
      <c r="V995" s="7" t="str">
        <f>+IF(U995="","",IF(U995="FINES",CONCATENATE("R",IF(OR(B995="16",B995="21",B995="22",B995="23"),"16212223",IF(OR(B995="15",B995="17",B995="24",B995="25"),"15172425",B995))),IF(U995="CEBAS","UNICO",IF(VALUE(B995)&lt;=11,"AMBA","INTERIOR"))))</f>
        <v>AMBA</v>
      </c>
      <c r="W995" s="38" t="str">
        <f>+IF(U995="","-",CONCATENATE(U995,"_",V995))</f>
        <v>CENS_AMBA</v>
      </c>
      <c r="X995" s="42">
        <v>0.66900000000000004</v>
      </c>
    </row>
    <row r="996" spans="1:24" ht="15" thickBot="1">
      <c r="A996" s="5" t="s">
        <v>2916</v>
      </c>
      <c r="B996" s="5" t="s">
        <v>257</v>
      </c>
      <c r="C996" s="5" t="s">
        <v>254</v>
      </c>
      <c r="D996" s="5" t="s">
        <v>256</v>
      </c>
      <c r="E996" s="5">
        <v>624745</v>
      </c>
      <c r="F996" s="5">
        <v>0</v>
      </c>
      <c r="G996" s="5" t="s">
        <v>347</v>
      </c>
      <c r="H996" s="5" t="s">
        <v>20</v>
      </c>
      <c r="I996" s="6" t="s">
        <v>142</v>
      </c>
      <c r="J996" s="6" t="s">
        <v>21</v>
      </c>
      <c r="K996" s="6"/>
      <c r="L996" s="6" t="s">
        <v>348</v>
      </c>
      <c r="M996" s="6" t="s">
        <v>22</v>
      </c>
      <c r="N996" s="6" t="s">
        <v>23</v>
      </c>
      <c r="O996" s="6" t="s">
        <v>27</v>
      </c>
      <c r="P996" s="6" t="s">
        <v>144</v>
      </c>
      <c r="Q996" s="22">
        <v>75</v>
      </c>
      <c r="R996" s="23">
        <v>3</v>
      </c>
      <c r="S996" s="39">
        <v>1</v>
      </c>
      <c r="T996" s="7"/>
      <c r="U996" t="s">
        <v>2913</v>
      </c>
      <c r="V996" s="7" t="str">
        <f>+IF(U996="","",IF(U996="FINES",CONCATENATE("R",IF(OR(B996="16",B996="21",B996="22",B996="23"),"16212223",IF(OR(B996="15",B996="17",B996="24",B996="25"),"15172425",B996))),IF(U996="CEBAS","UNICO",IF(VALUE(B996)&lt;=11,"AMBA","INTERIOR"))))</f>
        <v>AMBA</v>
      </c>
      <c r="W996" s="38" t="str">
        <f>+IF(U996="","-",CONCATENATE(U996,"_",V996))</f>
        <v>CENS_AMBA</v>
      </c>
      <c r="X996" s="42">
        <v>0.67</v>
      </c>
    </row>
    <row r="997" spans="1:24" ht="15" thickBot="1">
      <c r="A997" s="3" t="s">
        <v>2916</v>
      </c>
      <c r="B997" s="3" t="s">
        <v>257</v>
      </c>
      <c r="C997" s="3" t="s">
        <v>254</v>
      </c>
      <c r="D997" s="3" t="s">
        <v>256</v>
      </c>
      <c r="E997" s="3">
        <v>623655</v>
      </c>
      <c r="F997" s="3">
        <v>0</v>
      </c>
      <c r="G997" s="3" t="s">
        <v>334</v>
      </c>
      <c r="H997" s="3" t="s">
        <v>20</v>
      </c>
      <c r="I997" s="4" t="s">
        <v>142</v>
      </c>
      <c r="J997" s="4" t="s">
        <v>21</v>
      </c>
      <c r="K997" s="4"/>
      <c r="L997" s="4" t="s">
        <v>335</v>
      </c>
      <c r="M997" s="4" t="s">
        <v>22</v>
      </c>
      <c r="N997" s="4" t="s">
        <v>23</v>
      </c>
      <c r="O997" s="4" t="s">
        <v>27</v>
      </c>
      <c r="P997" s="4" t="s">
        <v>144</v>
      </c>
      <c r="Q997" s="24">
        <v>295</v>
      </c>
      <c r="R997" s="25">
        <v>14</v>
      </c>
      <c r="S997" s="39">
        <v>1</v>
      </c>
      <c r="T997" s="7"/>
      <c r="U997" s="7" t="s">
        <v>2913</v>
      </c>
      <c r="V997" s="7" t="str">
        <f>+IF(U997="","",IF(U997="FINES",CONCATENATE("R",IF(OR(B997="16",B997="21",B997="22",B997="23"),"16212223",IF(OR(B997="15",B997="17",B997="24",B997="25"),"15172425",B997))),IF(U997="CEBAS","UNICO",IF(VALUE(B997)&lt;=11,"AMBA","INTERIOR"))))</f>
        <v>AMBA</v>
      </c>
      <c r="W997" s="38" t="str">
        <f>+IF(U997="","-",CONCATENATE(U997,"_",V997))</f>
        <v>CENS_AMBA</v>
      </c>
      <c r="X997" s="42">
        <v>0.67</v>
      </c>
    </row>
    <row r="998" spans="1:24" ht="15" thickBot="1">
      <c r="A998" s="3" t="s">
        <v>2916</v>
      </c>
      <c r="B998" s="3" t="s">
        <v>19</v>
      </c>
      <c r="C998" s="3" t="s">
        <v>1480</v>
      </c>
      <c r="D998" s="3" t="s">
        <v>1481</v>
      </c>
      <c r="E998" s="3">
        <v>623594</v>
      </c>
      <c r="F998" s="3">
        <v>0</v>
      </c>
      <c r="G998" s="3" t="s">
        <v>1489</v>
      </c>
      <c r="H998" s="3" t="s">
        <v>20</v>
      </c>
      <c r="I998" s="4" t="s">
        <v>142</v>
      </c>
      <c r="J998" s="4" t="s">
        <v>21</v>
      </c>
      <c r="K998" s="4"/>
      <c r="L998" s="4" t="s">
        <v>251</v>
      </c>
      <c r="M998" s="4" t="s">
        <v>22</v>
      </c>
      <c r="N998" s="4" t="s">
        <v>23</v>
      </c>
      <c r="O998" s="4" t="s">
        <v>27</v>
      </c>
      <c r="P998" s="4" t="s">
        <v>144</v>
      </c>
      <c r="Q998" s="24">
        <v>87</v>
      </c>
      <c r="R998" s="25">
        <v>8</v>
      </c>
      <c r="S998" s="39">
        <v>1</v>
      </c>
      <c r="T998" s="7"/>
      <c r="U998" s="7" t="s">
        <v>2913</v>
      </c>
      <c r="V998" s="7" t="str">
        <f>+IF(U998="","",IF(U998="FINES",CONCATENATE("R",IF(OR(B998="16",B998="21",B998="22",B998="23"),"16212223",IF(OR(B998="15",B998="17",B998="24",B998="25"),"15172425",B998))),IF(U998="CEBAS","UNICO",IF(VALUE(B998)&lt;=11,"AMBA","INTERIOR"))))</f>
        <v>AMBA</v>
      </c>
      <c r="W998" s="38" t="str">
        <f>+IF(U998="","-",CONCATENATE(U998,"_",V998))</f>
        <v>CENS_AMBA</v>
      </c>
      <c r="X998" s="42">
        <v>0.67100000000000004</v>
      </c>
    </row>
    <row r="999" spans="1:24" ht="15" thickBot="1">
      <c r="A999" s="5" t="s">
        <v>2916</v>
      </c>
      <c r="B999" s="5" t="s">
        <v>1532</v>
      </c>
      <c r="C999" s="5" t="s">
        <v>1530</v>
      </c>
      <c r="D999" s="5" t="s">
        <v>1531</v>
      </c>
      <c r="E999" s="5">
        <v>623621</v>
      </c>
      <c r="F999" s="5">
        <v>0</v>
      </c>
      <c r="G999" s="5" t="s">
        <v>1706</v>
      </c>
      <c r="H999" s="5" t="s">
        <v>20</v>
      </c>
      <c r="I999" s="6" t="s">
        <v>142</v>
      </c>
      <c r="J999" s="6" t="s">
        <v>21</v>
      </c>
      <c r="K999" s="6"/>
      <c r="L999" s="6" t="s">
        <v>1707</v>
      </c>
      <c r="M999" s="6" t="s">
        <v>22</v>
      </c>
      <c r="N999" s="6" t="s">
        <v>23</v>
      </c>
      <c r="O999" s="6" t="s">
        <v>27</v>
      </c>
      <c r="P999" s="6" t="s">
        <v>144</v>
      </c>
      <c r="Q999" s="22">
        <v>122</v>
      </c>
      <c r="R999" s="23">
        <v>9</v>
      </c>
      <c r="S999" s="39">
        <v>1</v>
      </c>
      <c r="T999" s="7"/>
      <c r="U999" s="7" t="s">
        <v>2913</v>
      </c>
      <c r="V999" s="7" t="str">
        <f>+IF(U999="","",IF(U999="FINES",CONCATENATE("R",IF(OR(B999="16",B999="21",B999="22",B999="23"),"16212223",IF(OR(B999="15",B999="17",B999="24",B999="25"),"15172425",B999))),IF(U999="CEBAS","UNICO",IF(VALUE(B999)&lt;=11,"AMBA","INTERIOR"))))</f>
        <v>AMBA</v>
      </c>
      <c r="W999" s="38" t="str">
        <f>+IF(U999="","-",CONCATENATE(U999,"_",V999))</f>
        <v>CENS_AMBA</v>
      </c>
      <c r="X999" s="42">
        <v>0.67500000000000004</v>
      </c>
    </row>
    <row r="1000" spans="1:24" ht="15" thickBot="1">
      <c r="A1000" s="5" t="s">
        <v>2916</v>
      </c>
      <c r="B1000" s="5" t="s">
        <v>356</v>
      </c>
      <c r="C1000" s="5" t="s">
        <v>353</v>
      </c>
      <c r="D1000" s="5" t="s">
        <v>355</v>
      </c>
      <c r="E1000" s="5">
        <v>604043</v>
      </c>
      <c r="F1000" s="5">
        <v>0</v>
      </c>
      <c r="G1000" s="5" t="s">
        <v>401</v>
      </c>
      <c r="H1000" s="5" t="s">
        <v>20</v>
      </c>
      <c r="I1000" s="6" t="s">
        <v>142</v>
      </c>
      <c r="J1000" s="6" t="s">
        <v>21</v>
      </c>
      <c r="K1000" s="6"/>
      <c r="L1000" s="6" t="s">
        <v>143</v>
      </c>
      <c r="M1000" s="6" t="s">
        <v>22</v>
      </c>
      <c r="N1000" s="6" t="s">
        <v>23</v>
      </c>
      <c r="O1000" s="6" t="s">
        <v>27</v>
      </c>
      <c r="P1000" s="6" t="s">
        <v>144</v>
      </c>
      <c r="Q1000" s="22">
        <v>90</v>
      </c>
      <c r="R1000" s="23">
        <v>7</v>
      </c>
      <c r="S1000" s="39">
        <v>1</v>
      </c>
      <c r="T1000" s="7"/>
      <c r="U1000" s="7" t="s">
        <v>2913</v>
      </c>
      <c r="V1000" s="7" t="str">
        <f>+IF(U1000="","",IF(U1000="FINES",CONCATENATE("R",IF(OR(B1000="16",B1000="21",B1000="22",B1000="23"),"16212223",IF(OR(B1000="15",B1000="17",B1000="24",B1000="25"),"15172425",B1000))),IF(U1000="CEBAS","UNICO",IF(VALUE(B1000)&lt;=11,"AMBA","INTERIOR"))))</f>
        <v>AMBA</v>
      </c>
      <c r="W1000" s="38" t="str">
        <f>+IF(U1000="","-",CONCATENATE(U1000,"_",V1000))</f>
        <v>CENS_AMBA</v>
      </c>
      <c r="X1000" s="42">
        <v>0.68</v>
      </c>
    </row>
    <row r="1001" spans="1:24" ht="15" thickBot="1">
      <c r="A1001" s="3" t="s">
        <v>2916</v>
      </c>
      <c r="B1001" s="3" t="s">
        <v>1860</v>
      </c>
      <c r="C1001" s="3" t="s">
        <v>224</v>
      </c>
      <c r="D1001" s="3" t="s">
        <v>2837</v>
      </c>
      <c r="E1001" s="3">
        <v>623734</v>
      </c>
      <c r="F1001" s="3">
        <v>0</v>
      </c>
      <c r="G1001" s="3" t="s">
        <v>2859</v>
      </c>
      <c r="H1001" s="3" t="s">
        <v>20</v>
      </c>
      <c r="I1001" s="4" t="s">
        <v>142</v>
      </c>
      <c r="J1001" s="4" t="s">
        <v>21</v>
      </c>
      <c r="K1001" s="4"/>
      <c r="L1001" s="4" t="s">
        <v>636</v>
      </c>
      <c r="M1001" s="4" t="s">
        <v>22</v>
      </c>
      <c r="N1001" s="4" t="s">
        <v>23</v>
      </c>
      <c r="O1001" s="4" t="s">
        <v>27</v>
      </c>
      <c r="P1001" s="4" t="s">
        <v>144</v>
      </c>
      <c r="Q1001" s="24">
        <v>130</v>
      </c>
      <c r="R1001" s="25">
        <v>6</v>
      </c>
      <c r="S1001" s="39">
        <v>1</v>
      </c>
      <c r="T1001" s="7"/>
      <c r="U1001" s="7" t="s">
        <v>2913</v>
      </c>
      <c r="V1001" s="7" t="str">
        <f>+IF(U1001="","",IF(U1001="FINES",CONCATENATE("R",IF(OR(B1001="16",B1001="21",B1001="22",B1001="23"),"16212223",IF(OR(B1001="15",B1001="17",B1001="24",B1001="25"),"15172425",B1001))),IF(U1001="CEBAS","UNICO",IF(VALUE(B1001)&lt;=11,"AMBA","INTERIOR"))))</f>
        <v>AMBA</v>
      </c>
      <c r="W1001" s="38" t="str">
        <f>+IF(U1001="","-",CONCATENATE(U1001,"_",V1001))</f>
        <v>CENS_AMBA</v>
      </c>
      <c r="X1001" s="42">
        <v>0.68</v>
      </c>
    </row>
    <row r="1002" spans="1:24" ht="15" thickBot="1">
      <c r="A1002" s="5" t="s">
        <v>2916</v>
      </c>
      <c r="B1002" s="5" t="s">
        <v>817</v>
      </c>
      <c r="C1002" s="5" t="s">
        <v>600</v>
      </c>
      <c r="D1002" s="5" t="s">
        <v>2661</v>
      </c>
      <c r="E1002" s="5">
        <v>623640</v>
      </c>
      <c r="F1002" s="5">
        <v>0</v>
      </c>
      <c r="G1002" s="5" t="s">
        <v>2700</v>
      </c>
      <c r="H1002" s="5" t="s">
        <v>20</v>
      </c>
      <c r="I1002" s="6" t="s">
        <v>142</v>
      </c>
      <c r="J1002" s="6" t="s">
        <v>21</v>
      </c>
      <c r="K1002" s="6"/>
      <c r="L1002" s="6" t="s">
        <v>335</v>
      </c>
      <c r="M1002" s="6" t="s">
        <v>22</v>
      </c>
      <c r="N1002" s="6" t="s">
        <v>23</v>
      </c>
      <c r="O1002" s="6" t="s">
        <v>27</v>
      </c>
      <c r="P1002" s="6" t="s">
        <v>144</v>
      </c>
      <c r="Q1002" s="22">
        <v>121</v>
      </c>
      <c r="R1002" s="23">
        <v>6</v>
      </c>
      <c r="S1002" s="39">
        <v>1</v>
      </c>
      <c r="T1002" s="7"/>
      <c r="U1002" s="7" t="s">
        <v>2913</v>
      </c>
      <c r="V1002" s="7" t="str">
        <f>+IF(U1002="","",IF(U1002="FINES",CONCATENATE("R",IF(OR(B1002="16",B1002="21",B1002="22",B1002="23"),"16212223",IF(OR(B1002="15",B1002="17",B1002="24",B1002="25"),"15172425",B1002))),IF(U1002="CEBAS","UNICO",IF(VALUE(B1002)&lt;=11,"AMBA","INTERIOR"))))</f>
        <v>AMBA</v>
      </c>
      <c r="W1002" s="38" t="str">
        <f>+IF(U1002="","-",CONCATENATE(U1002,"_",V1002))</f>
        <v>CENS_AMBA</v>
      </c>
      <c r="X1002" s="42">
        <v>0.68799999999999994</v>
      </c>
    </row>
    <row r="1003" spans="1:24" ht="15" thickBot="1">
      <c r="A1003" s="3" t="s">
        <v>2916</v>
      </c>
      <c r="B1003" s="3" t="s">
        <v>356</v>
      </c>
      <c r="C1003" s="3" t="s">
        <v>805</v>
      </c>
      <c r="D1003" s="3" t="s">
        <v>2500</v>
      </c>
      <c r="E1003" s="3">
        <v>623599</v>
      </c>
      <c r="F1003" s="3">
        <v>0</v>
      </c>
      <c r="G1003" s="3" t="s">
        <v>2547</v>
      </c>
      <c r="H1003" s="3" t="s">
        <v>20</v>
      </c>
      <c r="I1003" s="4" t="s">
        <v>142</v>
      </c>
      <c r="J1003" s="4" t="s">
        <v>21</v>
      </c>
      <c r="K1003" s="4"/>
      <c r="L1003" s="4" t="s">
        <v>2548</v>
      </c>
      <c r="M1003" s="4" t="s">
        <v>22</v>
      </c>
      <c r="N1003" s="4" t="s">
        <v>23</v>
      </c>
      <c r="O1003" s="4" t="s">
        <v>27</v>
      </c>
      <c r="P1003" s="4" t="s">
        <v>144</v>
      </c>
      <c r="Q1003" s="24">
        <v>299</v>
      </c>
      <c r="R1003" s="25">
        <v>12</v>
      </c>
      <c r="S1003" s="39">
        <v>1</v>
      </c>
      <c r="T1003" s="7"/>
      <c r="U1003" s="7" t="s">
        <v>2913</v>
      </c>
      <c r="V1003" s="7" t="str">
        <f>+IF(U1003="","",IF(U1003="FINES",CONCATENATE("R",IF(OR(B1003="16",B1003="21",B1003="22",B1003="23"),"16212223",IF(OR(B1003="15",B1003="17",B1003="24",B1003="25"),"15172425",B1003))),IF(U1003="CEBAS","UNICO",IF(VALUE(B1003)&lt;=11,"AMBA","INTERIOR"))))</f>
        <v>AMBA</v>
      </c>
      <c r="W1003" s="38" t="str">
        <f>+IF(U1003="","-",CONCATENATE(U1003,"_",V1003))</f>
        <v>CENS_AMBA</v>
      </c>
      <c r="X1003" s="42">
        <v>0.68799999999999994</v>
      </c>
    </row>
    <row r="1004" spans="1:24" ht="15" thickBot="1">
      <c r="A1004" s="5" t="s">
        <v>2916</v>
      </c>
      <c r="B1004" s="5" t="s">
        <v>1532</v>
      </c>
      <c r="C1004" s="5" t="s">
        <v>1530</v>
      </c>
      <c r="D1004" s="5" t="s">
        <v>1531</v>
      </c>
      <c r="E1004" s="5">
        <v>614307</v>
      </c>
      <c r="F1004" s="5">
        <v>1</v>
      </c>
      <c r="G1004" s="5" t="s">
        <v>1758</v>
      </c>
      <c r="H1004" s="5" t="s">
        <v>20</v>
      </c>
      <c r="I1004" s="6" t="s">
        <v>142</v>
      </c>
      <c r="J1004" s="6" t="s">
        <v>139</v>
      </c>
      <c r="K1004" s="6" t="s">
        <v>1676</v>
      </c>
      <c r="L1004" s="6" t="s">
        <v>1759</v>
      </c>
      <c r="M1004" s="6" t="s">
        <v>22</v>
      </c>
      <c r="N1004" s="6" t="s">
        <v>23</v>
      </c>
      <c r="O1004" s="6" t="s">
        <v>27</v>
      </c>
      <c r="P1004" s="6" t="s">
        <v>144</v>
      </c>
      <c r="Q1004" s="22">
        <v>59</v>
      </c>
      <c r="R1004" s="23">
        <v>6</v>
      </c>
      <c r="S1004" s="39">
        <v>1</v>
      </c>
      <c r="T1004" s="7"/>
      <c r="U1004" t="s">
        <v>2913</v>
      </c>
      <c r="V1004" s="7" t="str">
        <f>+IF(U1004="","",IF(U1004="FINES",CONCATENATE("R",IF(OR(B1004="16",B1004="21",B1004="22",B1004="23"),"16212223",IF(OR(B1004="15",B1004="17",B1004="24",B1004="25"),"15172425",B1004))),IF(U1004="CEBAS","UNICO",IF(VALUE(B1004)&lt;=11,"AMBA","INTERIOR"))))</f>
        <v>AMBA</v>
      </c>
      <c r="W1004" s="38" t="str">
        <f>+IF(U1004="","-",CONCATENATE(U1004,"_",V1004))</f>
        <v>CENS_AMBA</v>
      </c>
      <c r="X1004" s="42">
        <v>0.68799999999999994</v>
      </c>
    </row>
    <row r="1005" spans="1:24" ht="15" thickBot="1">
      <c r="A1005" s="3" t="s">
        <v>2916</v>
      </c>
      <c r="B1005" s="3" t="s">
        <v>1780</v>
      </c>
      <c r="C1005" s="3" t="s">
        <v>1778</v>
      </c>
      <c r="D1005" s="3" t="s">
        <v>1779</v>
      </c>
      <c r="E1005" s="3">
        <v>623709</v>
      </c>
      <c r="F1005" s="3">
        <v>0</v>
      </c>
      <c r="G1005" s="3" t="s">
        <v>1835</v>
      </c>
      <c r="H1005" s="3" t="s">
        <v>20</v>
      </c>
      <c r="I1005" s="4" t="s">
        <v>142</v>
      </c>
      <c r="J1005" s="4" t="s">
        <v>21</v>
      </c>
      <c r="K1005" s="4"/>
      <c r="L1005" s="4" t="s">
        <v>154</v>
      </c>
      <c r="M1005" s="4" t="s">
        <v>22</v>
      </c>
      <c r="N1005" s="4" t="s">
        <v>23</v>
      </c>
      <c r="O1005" s="4" t="s">
        <v>27</v>
      </c>
      <c r="P1005" s="4" t="s">
        <v>144</v>
      </c>
      <c r="Q1005" s="24">
        <v>93</v>
      </c>
      <c r="R1005" s="25">
        <v>6</v>
      </c>
      <c r="S1005" s="39">
        <v>1</v>
      </c>
      <c r="T1005" s="7"/>
      <c r="U1005" t="s">
        <v>2913</v>
      </c>
      <c r="V1005" s="7" t="str">
        <f>+IF(U1005="","",IF(U1005="FINES",CONCATENATE("R",IF(OR(B1005="16",B1005="21",B1005="22",B1005="23"),"16212223",IF(OR(B1005="15",B1005="17",B1005="24",B1005="25"),"15172425",B1005))),IF(U1005="CEBAS","UNICO",IF(VALUE(B1005)&lt;=11,"AMBA","INTERIOR"))))</f>
        <v>AMBA</v>
      </c>
      <c r="W1005" s="38" t="str">
        <f>+IF(U1005="","-",CONCATENATE(U1005,"_",V1005))</f>
        <v>CENS_AMBA</v>
      </c>
      <c r="X1005" s="42">
        <v>0.69099999999999995</v>
      </c>
    </row>
    <row r="1006" spans="1:24" ht="15" thickBot="1">
      <c r="A1006" s="3" t="s">
        <v>2916</v>
      </c>
      <c r="B1006" s="3" t="s">
        <v>222</v>
      </c>
      <c r="C1006" s="3" t="s">
        <v>1154</v>
      </c>
      <c r="D1006" s="3" t="s">
        <v>1155</v>
      </c>
      <c r="E1006" s="3">
        <v>605750</v>
      </c>
      <c r="F1006" s="3">
        <v>0</v>
      </c>
      <c r="G1006" s="3" t="s">
        <v>1171</v>
      </c>
      <c r="H1006" s="3" t="s">
        <v>20</v>
      </c>
      <c r="I1006" s="4" t="s">
        <v>142</v>
      </c>
      <c r="J1006" s="4" t="s">
        <v>21</v>
      </c>
      <c r="K1006" s="4"/>
      <c r="L1006" s="4" t="s">
        <v>1172</v>
      </c>
      <c r="M1006" s="4" t="s">
        <v>22</v>
      </c>
      <c r="N1006" s="4" t="s">
        <v>23</v>
      </c>
      <c r="O1006" s="4" t="s">
        <v>27</v>
      </c>
      <c r="P1006" s="4" t="s">
        <v>144</v>
      </c>
      <c r="Q1006" s="24">
        <v>304</v>
      </c>
      <c r="R1006" s="25">
        <v>16</v>
      </c>
      <c r="S1006" s="39">
        <v>1</v>
      </c>
      <c r="T1006" s="7"/>
      <c r="U1006" t="s">
        <v>2913</v>
      </c>
      <c r="V1006" s="7" t="str">
        <f>+IF(U1006="","",IF(U1006="FINES",CONCATENATE("R",IF(OR(B1006="16",B1006="21",B1006="22",B1006="23"),"16212223",IF(OR(B1006="15",B1006="17",B1006="24",B1006="25"),"15172425",B1006))),IF(U1006="CEBAS","UNICO",IF(VALUE(B1006)&lt;=11,"AMBA","INTERIOR"))))</f>
        <v>AMBA</v>
      </c>
      <c r="W1006" s="38" t="str">
        <f>+IF(U1006="","-",CONCATENATE(U1006,"_",V1006))</f>
        <v>CENS_AMBA</v>
      </c>
      <c r="X1006" s="42">
        <v>0.69299999999999995</v>
      </c>
    </row>
    <row r="1007" spans="1:24" ht="15" thickBot="1">
      <c r="A1007" s="5" t="s">
        <v>2916</v>
      </c>
      <c r="B1007" s="5" t="s">
        <v>1257</v>
      </c>
      <c r="C1007" s="5" t="s">
        <v>1255</v>
      </c>
      <c r="D1007" s="5" t="s">
        <v>1256</v>
      </c>
      <c r="E1007" s="5">
        <v>621167</v>
      </c>
      <c r="F1007" s="5">
        <v>0</v>
      </c>
      <c r="G1007" s="5" t="s">
        <v>1292</v>
      </c>
      <c r="H1007" s="5" t="s">
        <v>20</v>
      </c>
      <c r="I1007" s="6" t="s">
        <v>142</v>
      </c>
      <c r="J1007" s="6" t="s">
        <v>21</v>
      </c>
      <c r="K1007" s="6"/>
      <c r="L1007" s="6" t="s">
        <v>1293</v>
      </c>
      <c r="M1007" s="6" t="s">
        <v>22</v>
      </c>
      <c r="N1007" s="6" t="s">
        <v>23</v>
      </c>
      <c r="O1007" s="6" t="s">
        <v>27</v>
      </c>
      <c r="P1007" s="6" t="s">
        <v>144</v>
      </c>
      <c r="Q1007" s="22">
        <v>80</v>
      </c>
      <c r="R1007" s="23">
        <v>6</v>
      </c>
      <c r="S1007" s="39">
        <v>1</v>
      </c>
      <c r="T1007" s="7"/>
      <c r="U1007" t="s">
        <v>2913</v>
      </c>
      <c r="V1007" s="7" t="str">
        <f>+IF(U1007="","",IF(U1007="FINES",CONCATENATE("R",IF(OR(B1007="16",B1007="21",B1007="22",B1007="23"),"16212223",IF(OR(B1007="15",B1007="17",B1007="24",B1007="25"),"15172425",B1007))),IF(U1007="CEBAS","UNICO",IF(VALUE(B1007)&lt;=11,"AMBA","INTERIOR"))))</f>
        <v>AMBA</v>
      </c>
      <c r="W1007" s="38" t="str">
        <f>+IF(U1007="","-",CONCATENATE(U1007,"_",V1007))</f>
        <v>CENS_AMBA</v>
      </c>
      <c r="X1007" s="42">
        <v>0.69299999999999995</v>
      </c>
    </row>
    <row r="1008" spans="1:24" ht="15" thickBot="1">
      <c r="A1008" s="5" t="s">
        <v>2916</v>
      </c>
      <c r="B1008" s="5" t="s">
        <v>19</v>
      </c>
      <c r="C1008" s="5" t="s">
        <v>17</v>
      </c>
      <c r="D1008" s="5" t="s">
        <v>18</v>
      </c>
      <c r="E1008" s="5">
        <v>620391</v>
      </c>
      <c r="F1008" s="5">
        <v>0</v>
      </c>
      <c r="G1008" s="5" t="s">
        <v>145</v>
      </c>
      <c r="H1008" s="5" t="s">
        <v>20</v>
      </c>
      <c r="I1008" s="6" t="s">
        <v>142</v>
      </c>
      <c r="J1008" s="6" t="s">
        <v>21</v>
      </c>
      <c r="K1008" s="6"/>
      <c r="L1008" s="6" t="s">
        <v>146</v>
      </c>
      <c r="M1008" s="6" t="s">
        <v>22</v>
      </c>
      <c r="N1008" s="6" t="s">
        <v>23</v>
      </c>
      <c r="O1008" s="6" t="s">
        <v>27</v>
      </c>
      <c r="P1008" s="6" t="s">
        <v>144</v>
      </c>
      <c r="Q1008" s="22">
        <v>234</v>
      </c>
      <c r="R1008" s="23">
        <v>11</v>
      </c>
      <c r="S1008" s="39">
        <v>1</v>
      </c>
      <c r="T1008" s="7"/>
      <c r="U1008" t="s">
        <v>2913</v>
      </c>
      <c r="V1008" s="7" t="str">
        <f>+IF(U1008="","",IF(U1008="FINES",CONCATENATE("R",IF(OR(B1008="16",B1008="21",B1008="22",B1008="23"),"16212223",IF(OR(B1008="15",B1008="17",B1008="24",B1008="25"),"15172425",B1008))),IF(U1008="CEBAS","UNICO",IF(VALUE(B1008)&lt;=11,"AMBA","INTERIOR"))))</f>
        <v>AMBA</v>
      </c>
      <c r="W1008" s="38" t="str">
        <f>+IF(U1008="","-",CONCATENATE(U1008,"_",V1008))</f>
        <v>CENS_AMBA</v>
      </c>
      <c r="X1008" s="42">
        <v>0.69299999999999995</v>
      </c>
    </row>
    <row r="1009" spans="1:24" ht="15" thickBot="1">
      <c r="A1009" s="3" t="s">
        <v>2916</v>
      </c>
      <c r="B1009" s="3" t="s">
        <v>222</v>
      </c>
      <c r="C1009" s="3" t="s">
        <v>2047</v>
      </c>
      <c r="D1009" s="3" t="s">
        <v>2048</v>
      </c>
      <c r="E1009" s="3">
        <v>623974</v>
      </c>
      <c r="F1009" s="3">
        <v>0</v>
      </c>
      <c r="G1009" s="3" t="s">
        <v>2065</v>
      </c>
      <c r="H1009" s="3" t="s">
        <v>20</v>
      </c>
      <c r="I1009" s="4" t="s">
        <v>142</v>
      </c>
      <c r="J1009" s="4" t="s">
        <v>21</v>
      </c>
      <c r="K1009" s="4"/>
      <c r="L1009" s="4" t="s">
        <v>638</v>
      </c>
      <c r="M1009" s="4" t="s">
        <v>22</v>
      </c>
      <c r="N1009" s="4" t="s">
        <v>23</v>
      </c>
      <c r="O1009" s="4" t="s">
        <v>27</v>
      </c>
      <c r="P1009" s="4" t="s">
        <v>144</v>
      </c>
      <c r="Q1009" s="24">
        <v>123</v>
      </c>
      <c r="R1009" s="25">
        <v>6</v>
      </c>
      <c r="S1009" s="39">
        <v>1</v>
      </c>
      <c r="T1009" s="7"/>
      <c r="U1009" t="s">
        <v>2913</v>
      </c>
      <c r="V1009" s="7" t="str">
        <f>+IF(U1009="","",IF(U1009="FINES",CONCATENATE("R",IF(OR(B1009="16",B1009="21",B1009="22",B1009="23"),"16212223",IF(OR(B1009="15",B1009="17",B1009="24",B1009="25"),"15172425",B1009))),IF(U1009="CEBAS","UNICO",IF(VALUE(B1009)&lt;=11,"AMBA","INTERIOR"))))</f>
        <v>AMBA</v>
      </c>
      <c r="W1009" s="38" t="str">
        <f>+IF(U1009="","-",CONCATENATE(U1009,"_",V1009))</f>
        <v>CENS_AMBA</v>
      </c>
      <c r="X1009" s="42">
        <v>0.69399999999999995</v>
      </c>
    </row>
    <row r="1010" spans="1:24" ht="15" thickBot="1">
      <c r="A1010" s="5" t="s">
        <v>2916</v>
      </c>
      <c r="B1010" s="5" t="s">
        <v>817</v>
      </c>
      <c r="C1010" s="5" t="s">
        <v>600</v>
      </c>
      <c r="D1010" s="5" t="s">
        <v>2661</v>
      </c>
      <c r="E1010" s="5">
        <v>623643</v>
      </c>
      <c r="F1010" s="5">
        <v>0</v>
      </c>
      <c r="G1010" s="5" t="s">
        <v>2703</v>
      </c>
      <c r="H1010" s="5" t="s">
        <v>20</v>
      </c>
      <c r="I1010" s="6" t="s">
        <v>142</v>
      </c>
      <c r="J1010" s="6" t="s">
        <v>21</v>
      </c>
      <c r="K1010" s="6"/>
      <c r="L1010" s="6" t="s">
        <v>2142</v>
      </c>
      <c r="M1010" s="6" t="s">
        <v>22</v>
      </c>
      <c r="N1010" s="6" t="s">
        <v>23</v>
      </c>
      <c r="O1010" s="6" t="s">
        <v>27</v>
      </c>
      <c r="P1010" s="6" t="s">
        <v>144</v>
      </c>
      <c r="Q1010" s="22">
        <v>54</v>
      </c>
      <c r="R1010" s="23">
        <v>6</v>
      </c>
      <c r="S1010" s="39">
        <v>1</v>
      </c>
      <c r="T1010" s="7"/>
      <c r="U1010" s="7" t="s">
        <v>2913</v>
      </c>
      <c r="V1010" s="7" t="str">
        <f>+IF(U1010="","",IF(U1010="FINES",CONCATENATE("R",IF(OR(B1010="16",B1010="21",B1010="22",B1010="23"),"16212223",IF(OR(B1010="15",B1010="17",B1010="24",B1010="25"),"15172425",B1010))),IF(U1010="CEBAS","UNICO",IF(VALUE(B1010)&lt;=11,"AMBA","INTERIOR"))))</f>
        <v>AMBA</v>
      </c>
      <c r="W1010" s="38" t="str">
        <f>+IF(U1010="","-",CONCATENATE(U1010,"_",V1010))</f>
        <v>CENS_AMBA</v>
      </c>
      <c r="X1010" s="42">
        <v>0.69499999999999995</v>
      </c>
    </row>
    <row r="1011" spans="1:24" ht="15" thickBot="1">
      <c r="A1011" s="5" t="s">
        <v>2916</v>
      </c>
      <c r="B1011" s="5" t="s">
        <v>257</v>
      </c>
      <c r="C1011" s="5" t="s">
        <v>254</v>
      </c>
      <c r="D1011" s="5" t="s">
        <v>256</v>
      </c>
      <c r="E1011" s="5">
        <v>624174</v>
      </c>
      <c r="F1011" s="5">
        <v>0</v>
      </c>
      <c r="G1011" s="5" t="s">
        <v>344</v>
      </c>
      <c r="H1011" s="5" t="s">
        <v>20</v>
      </c>
      <c r="I1011" s="6" t="s">
        <v>142</v>
      </c>
      <c r="J1011" s="6" t="s">
        <v>21</v>
      </c>
      <c r="K1011" s="6"/>
      <c r="L1011" s="6" t="s">
        <v>154</v>
      </c>
      <c r="M1011" s="6" t="s">
        <v>22</v>
      </c>
      <c r="N1011" s="6" t="s">
        <v>23</v>
      </c>
      <c r="O1011" s="6" t="s">
        <v>27</v>
      </c>
      <c r="P1011" s="6" t="s">
        <v>144</v>
      </c>
      <c r="Q1011" s="22">
        <v>120</v>
      </c>
      <c r="R1011" s="23">
        <v>4</v>
      </c>
      <c r="S1011" s="39">
        <v>1</v>
      </c>
      <c r="T1011" s="7"/>
      <c r="U1011" s="7" t="s">
        <v>2913</v>
      </c>
      <c r="V1011" s="7" t="str">
        <f>+IF(U1011="","",IF(U1011="FINES",CONCATENATE("R",IF(OR(B1011="16",B1011="21",B1011="22",B1011="23"),"16212223",IF(OR(B1011="15",B1011="17",B1011="24",B1011="25"),"15172425",B1011))),IF(U1011="CEBAS","UNICO",IF(VALUE(B1011)&lt;=11,"AMBA","INTERIOR"))))</f>
        <v>AMBA</v>
      </c>
      <c r="W1011" s="38" t="str">
        <f>+IF(U1011="","-",CONCATENATE(U1011,"_",V1011))</f>
        <v>CENS_AMBA</v>
      </c>
      <c r="X1011" s="42">
        <v>0.70099999999999996</v>
      </c>
    </row>
    <row r="1012" spans="1:24" ht="15" thickBot="1">
      <c r="A1012" s="5" t="s">
        <v>2916</v>
      </c>
      <c r="B1012" s="5" t="s">
        <v>1780</v>
      </c>
      <c r="C1012" s="5" t="s">
        <v>1778</v>
      </c>
      <c r="D1012" s="5" t="s">
        <v>1779</v>
      </c>
      <c r="E1012" s="5">
        <v>609387</v>
      </c>
      <c r="F1012" s="5">
        <v>0</v>
      </c>
      <c r="G1012" s="5" t="s">
        <v>1832</v>
      </c>
      <c r="H1012" s="5" t="s">
        <v>20</v>
      </c>
      <c r="I1012" s="6" t="s">
        <v>142</v>
      </c>
      <c r="J1012" s="6" t="s">
        <v>21</v>
      </c>
      <c r="K1012" s="6"/>
      <c r="L1012" s="6" t="s">
        <v>501</v>
      </c>
      <c r="M1012" s="6" t="s">
        <v>22</v>
      </c>
      <c r="N1012" s="6" t="s">
        <v>23</v>
      </c>
      <c r="O1012" s="6" t="s">
        <v>27</v>
      </c>
      <c r="P1012" s="6" t="s">
        <v>144</v>
      </c>
      <c r="Q1012" s="22">
        <v>163</v>
      </c>
      <c r="R1012" s="23">
        <v>7</v>
      </c>
      <c r="S1012" s="39">
        <v>1</v>
      </c>
      <c r="T1012" s="7"/>
      <c r="U1012" s="7" t="s">
        <v>2913</v>
      </c>
      <c r="V1012" s="7" t="str">
        <f>+IF(U1012="","",IF(U1012="FINES",CONCATENATE("R",IF(OR(B1012="16",B1012="21",B1012="22",B1012="23"),"16212223",IF(OR(B1012="15",B1012="17",B1012="24",B1012="25"),"15172425",B1012))),IF(U1012="CEBAS","UNICO",IF(VALUE(B1012)&lt;=11,"AMBA","INTERIOR"))))</f>
        <v>AMBA</v>
      </c>
      <c r="W1012" s="38" t="str">
        <f>+IF(U1012="","-",CONCATENATE(U1012,"_",V1012))</f>
        <v>CENS_AMBA</v>
      </c>
      <c r="X1012" s="42">
        <v>0.70699999999999996</v>
      </c>
    </row>
    <row r="1013" spans="1:24" ht="15" thickBot="1">
      <c r="A1013" s="3" t="s">
        <v>2916</v>
      </c>
      <c r="B1013" s="3" t="s">
        <v>222</v>
      </c>
      <c r="C1013" s="3" t="s">
        <v>227</v>
      </c>
      <c r="D1013" s="3" t="s">
        <v>2603</v>
      </c>
      <c r="E1013" s="3">
        <v>624127</v>
      </c>
      <c r="F1013" s="3">
        <v>0</v>
      </c>
      <c r="G1013" s="3" t="s">
        <v>2624</v>
      </c>
      <c r="H1013" s="3" t="s">
        <v>20</v>
      </c>
      <c r="I1013" s="4" t="s">
        <v>142</v>
      </c>
      <c r="J1013" s="4" t="s">
        <v>21</v>
      </c>
      <c r="K1013" s="4"/>
      <c r="L1013" s="4" t="s">
        <v>587</v>
      </c>
      <c r="M1013" s="4" t="s">
        <v>22</v>
      </c>
      <c r="N1013" s="4" t="s">
        <v>23</v>
      </c>
      <c r="O1013" s="4" t="s">
        <v>27</v>
      </c>
      <c r="P1013" s="4" t="s">
        <v>144</v>
      </c>
      <c r="Q1013" s="24">
        <v>149</v>
      </c>
      <c r="R1013" s="25">
        <v>6</v>
      </c>
      <c r="S1013" s="39">
        <v>1</v>
      </c>
      <c r="T1013" s="7"/>
      <c r="U1013" s="7" t="s">
        <v>2913</v>
      </c>
      <c r="V1013" s="7" t="str">
        <f>+IF(U1013="","",IF(U1013="FINES",CONCATENATE("R",IF(OR(B1013="16",B1013="21",B1013="22",B1013="23"),"16212223",IF(OR(B1013="15",B1013="17",B1013="24",B1013="25"),"15172425",B1013))),IF(U1013="CEBAS","UNICO",IF(VALUE(B1013)&lt;=11,"AMBA","INTERIOR"))))</f>
        <v>AMBA</v>
      </c>
      <c r="W1013" s="38" t="str">
        <f>+IF(U1013="","-",CONCATENATE(U1013,"_",V1013))</f>
        <v>CENS_AMBA</v>
      </c>
      <c r="X1013" s="42">
        <v>0.70699999999999996</v>
      </c>
    </row>
    <row r="1014" spans="1:24" ht="15" thickBot="1">
      <c r="A1014" s="5" t="s">
        <v>2916</v>
      </c>
      <c r="B1014" s="5" t="s">
        <v>356</v>
      </c>
      <c r="C1014" s="5" t="s">
        <v>353</v>
      </c>
      <c r="D1014" s="5" t="s">
        <v>355</v>
      </c>
      <c r="E1014" s="5">
        <v>624533</v>
      </c>
      <c r="F1014" s="5">
        <v>0</v>
      </c>
      <c r="G1014" s="5" t="s">
        <v>406</v>
      </c>
      <c r="H1014" s="5" t="s">
        <v>20</v>
      </c>
      <c r="I1014" s="6" t="s">
        <v>142</v>
      </c>
      <c r="J1014" s="6" t="s">
        <v>21</v>
      </c>
      <c r="K1014" s="6"/>
      <c r="L1014" s="6" t="s">
        <v>407</v>
      </c>
      <c r="M1014" s="6" t="s">
        <v>22</v>
      </c>
      <c r="N1014" s="6" t="s">
        <v>23</v>
      </c>
      <c r="O1014" s="6" t="s">
        <v>27</v>
      </c>
      <c r="P1014" s="6" t="s">
        <v>144</v>
      </c>
      <c r="Q1014" s="22">
        <v>92</v>
      </c>
      <c r="R1014" s="23">
        <v>4</v>
      </c>
      <c r="S1014" s="39">
        <v>1</v>
      </c>
      <c r="T1014" s="7"/>
      <c r="U1014" t="s">
        <v>2913</v>
      </c>
      <c r="V1014" s="7" t="str">
        <f>+IF(U1014="","",IF(U1014="FINES",CONCATENATE("R",IF(OR(B1014="16",B1014="21",B1014="22",B1014="23"),"16212223",IF(OR(B1014="15",B1014="17",B1014="24",B1014="25"),"15172425",B1014))),IF(U1014="CEBAS","UNICO",IF(VALUE(B1014)&lt;=11,"AMBA","INTERIOR"))))</f>
        <v>AMBA</v>
      </c>
      <c r="W1014" s="38" t="str">
        <f>+IF(U1014="","-",CONCATENATE(U1014,"_",V1014))</f>
        <v>CENS_AMBA</v>
      </c>
      <c r="X1014" s="42">
        <v>0.70799999999999996</v>
      </c>
    </row>
    <row r="1015" spans="1:24" ht="15" thickBot="1">
      <c r="A1015" s="5" t="s">
        <v>2916</v>
      </c>
      <c r="B1015" s="5" t="s">
        <v>1860</v>
      </c>
      <c r="C1015" s="5" t="s">
        <v>875</v>
      </c>
      <c r="D1015" s="5" t="s">
        <v>2816</v>
      </c>
      <c r="E1015" s="5">
        <v>623731</v>
      </c>
      <c r="F1015" s="5">
        <v>0</v>
      </c>
      <c r="G1015" s="5" t="s">
        <v>2831</v>
      </c>
      <c r="H1015" s="5" t="s">
        <v>20</v>
      </c>
      <c r="I1015" s="6" t="s">
        <v>142</v>
      </c>
      <c r="J1015" s="6" t="s">
        <v>21</v>
      </c>
      <c r="K1015" s="6"/>
      <c r="L1015" s="6" t="s">
        <v>341</v>
      </c>
      <c r="M1015" s="6" t="s">
        <v>22</v>
      </c>
      <c r="N1015" s="6" t="s">
        <v>23</v>
      </c>
      <c r="O1015" s="6" t="s">
        <v>27</v>
      </c>
      <c r="P1015" s="6" t="s">
        <v>144</v>
      </c>
      <c r="Q1015" s="22">
        <v>61</v>
      </c>
      <c r="R1015" s="23">
        <v>5</v>
      </c>
      <c r="S1015" s="39">
        <v>1</v>
      </c>
      <c r="T1015" s="7"/>
      <c r="U1015" t="s">
        <v>2913</v>
      </c>
      <c r="V1015" s="7" t="str">
        <f>+IF(U1015="","",IF(U1015="FINES",CONCATENATE("R",IF(OR(B1015="16",B1015="21",B1015="22",B1015="23"),"16212223",IF(OR(B1015="15",B1015="17",B1015="24",B1015="25"),"15172425",B1015))),IF(U1015="CEBAS","UNICO",IF(VALUE(B1015)&lt;=11,"AMBA","INTERIOR"))))</f>
        <v>AMBA</v>
      </c>
      <c r="W1015" s="38" t="str">
        <f>+IF(U1015="","-",CONCATENATE(U1015,"_",V1015))</f>
        <v>CENS_AMBA</v>
      </c>
      <c r="X1015" s="42">
        <v>0.71</v>
      </c>
    </row>
    <row r="1016" spans="1:24" ht="15" thickBot="1">
      <c r="A1016" s="3" t="s">
        <v>2916</v>
      </c>
      <c r="B1016" s="3" t="s">
        <v>1532</v>
      </c>
      <c r="C1016" s="3" t="s">
        <v>1530</v>
      </c>
      <c r="D1016" s="3" t="s">
        <v>1531</v>
      </c>
      <c r="E1016" s="3">
        <v>623619</v>
      </c>
      <c r="F1016" s="3">
        <v>0</v>
      </c>
      <c r="G1016" s="3" t="s">
        <v>1740</v>
      </c>
      <c r="H1016" s="3" t="s">
        <v>20</v>
      </c>
      <c r="I1016" s="4" t="s">
        <v>142</v>
      </c>
      <c r="J1016" s="4" t="s">
        <v>21</v>
      </c>
      <c r="K1016" s="4"/>
      <c r="L1016" s="4" t="s">
        <v>1741</v>
      </c>
      <c r="M1016" s="4" t="s">
        <v>22</v>
      </c>
      <c r="N1016" s="4" t="s">
        <v>23</v>
      </c>
      <c r="O1016" s="4" t="s">
        <v>27</v>
      </c>
      <c r="P1016" s="4" t="s">
        <v>144</v>
      </c>
      <c r="Q1016" s="24">
        <v>67</v>
      </c>
      <c r="R1016" s="25">
        <v>3</v>
      </c>
      <c r="S1016" s="39">
        <v>1</v>
      </c>
      <c r="T1016" s="7"/>
      <c r="U1016" t="s">
        <v>2913</v>
      </c>
      <c r="V1016" s="7" t="str">
        <f>+IF(U1016="","",IF(U1016="FINES",CONCATENATE("R",IF(OR(B1016="16",B1016="21",B1016="22",B1016="23"),"16212223",IF(OR(B1016="15",B1016="17",B1016="24",B1016="25"),"15172425",B1016))),IF(U1016="CEBAS","UNICO",IF(VALUE(B1016)&lt;=11,"AMBA","INTERIOR"))))</f>
        <v>AMBA</v>
      </c>
      <c r="W1016" s="38" t="str">
        <f>+IF(U1016="","-",CONCATENATE(U1016,"_",V1016))</f>
        <v>CENS_AMBA</v>
      </c>
      <c r="X1016" s="42">
        <v>0.71499999999999997</v>
      </c>
    </row>
    <row r="1017" spans="1:24" ht="15" thickBot="1">
      <c r="A1017" s="3" t="s">
        <v>2916</v>
      </c>
      <c r="B1017" s="3" t="s">
        <v>19</v>
      </c>
      <c r="C1017" s="3" t="s">
        <v>17</v>
      </c>
      <c r="D1017" s="3" t="s">
        <v>18</v>
      </c>
      <c r="E1017" s="3">
        <v>600727</v>
      </c>
      <c r="F1017" s="3">
        <v>0</v>
      </c>
      <c r="G1017" s="3" t="s">
        <v>179</v>
      </c>
      <c r="H1017" s="3" t="s">
        <v>20</v>
      </c>
      <c r="I1017" s="4" t="s">
        <v>142</v>
      </c>
      <c r="J1017" s="4" t="s">
        <v>21</v>
      </c>
      <c r="K1017" s="4"/>
      <c r="L1017" s="4" t="s">
        <v>180</v>
      </c>
      <c r="M1017" s="4" t="s">
        <v>22</v>
      </c>
      <c r="N1017" s="4" t="s">
        <v>23</v>
      </c>
      <c r="O1017" s="4" t="s">
        <v>27</v>
      </c>
      <c r="P1017" s="4" t="s">
        <v>144</v>
      </c>
      <c r="Q1017" s="24">
        <v>403</v>
      </c>
      <c r="R1017" s="25">
        <v>14</v>
      </c>
      <c r="S1017" s="39">
        <v>1</v>
      </c>
      <c r="T1017" s="7"/>
      <c r="U1017" t="s">
        <v>2913</v>
      </c>
      <c r="V1017" s="7" t="str">
        <f>+IF(U1017="","",IF(U1017="FINES",CONCATENATE("R",IF(OR(B1017="16",B1017="21",B1017="22",B1017="23"),"16212223",IF(OR(B1017="15",B1017="17",B1017="24",B1017="25"),"15172425",B1017))),IF(U1017="CEBAS","UNICO",IF(VALUE(B1017)&lt;=11,"AMBA","INTERIOR"))))</f>
        <v>AMBA</v>
      </c>
      <c r="W1017" s="38" t="str">
        <f>+IF(U1017="","-",CONCATENATE(U1017,"_",V1017))</f>
        <v>CENS_AMBA</v>
      </c>
      <c r="X1017" s="42">
        <v>0.71599999999999997</v>
      </c>
    </row>
    <row r="1018" spans="1:24" ht="15" thickBot="1">
      <c r="A1018" s="5" t="s">
        <v>2916</v>
      </c>
      <c r="B1018" s="5" t="s">
        <v>19</v>
      </c>
      <c r="C1018" s="5" t="s">
        <v>17</v>
      </c>
      <c r="D1018" s="5" t="s">
        <v>18</v>
      </c>
      <c r="E1018" s="5">
        <v>623591</v>
      </c>
      <c r="F1018" s="5">
        <v>0</v>
      </c>
      <c r="G1018" s="5" t="s">
        <v>167</v>
      </c>
      <c r="H1018" s="5" t="s">
        <v>20</v>
      </c>
      <c r="I1018" s="6" t="s">
        <v>142</v>
      </c>
      <c r="J1018" s="6" t="s">
        <v>21</v>
      </c>
      <c r="K1018" s="6"/>
      <c r="L1018" s="6" t="s">
        <v>168</v>
      </c>
      <c r="M1018" s="6" t="s">
        <v>22</v>
      </c>
      <c r="N1018" s="6" t="s">
        <v>23</v>
      </c>
      <c r="O1018" s="6" t="s">
        <v>27</v>
      </c>
      <c r="P1018" s="6" t="s">
        <v>144</v>
      </c>
      <c r="Q1018" s="22">
        <v>63</v>
      </c>
      <c r="R1018" s="23">
        <v>8</v>
      </c>
      <c r="S1018" s="39">
        <v>1</v>
      </c>
      <c r="T1018" s="7"/>
      <c r="U1018" t="s">
        <v>2913</v>
      </c>
      <c r="V1018" s="7" t="str">
        <f>+IF(U1018="","",IF(U1018="FINES",CONCATENATE("R",IF(OR(B1018="16",B1018="21",B1018="22",B1018="23"),"16212223",IF(OR(B1018="15",B1018="17",B1018="24",B1018="25"),"15172425",B1018))),IF(U1018="CEBAS","UNICO",IF(VALUE(B1018)&lt;=11,"AMBA","INTERIOR"))))</f>
        <v>AMBA</v>
      </c>
      <c r="W1018" s="38" t="str">
        <f>+IF(U1018="","-",CONCATENATE(U1018,"_",V1018))</f>
        <v>CENS_AMBA</v>
      </c>
      <c r="X1018" s="42">
        <v>0.71899999999999997</v>
      </c>
    </row>
    <row r="1019" spans="1:24" ht="15" thickBot="1">
      <c r="A1019" s="3" t="s">
        <v>2916</v>
      </c>
      <c r="B1019" s="3" t="s">
        <v>1860</v>
      </c>
      <c r="C1019" s="3" t="s">
        <v>875</v>
      </c>
      <c r="D1019" s="3" t="s">
        <v>2816</v>
      </c>
      <c r="E1019" s="3">
        <v>623730</v>
      </c>
      <c r="F1019" s="3">
        <v>0</v>
      </c>
      <c r="G1019" s="3" t="s">
        <v>2829</v>
      </c>
      <c r="H1019" s="3" t="s">
        <v>20</v>
      </c>
      <c r="I1019" s="4" t="s">
        <v>142</v>
      </c>
      <c r="J1019" s="4" t="s">
        <v>21</v>
      </c>
      <c r="K1019" s="4"/>
      <c r="L1019" s="4" t="s">
        <v>2830</v>
      </c>
      <c r="M1019" s="4" t="s">
        <v>22</v>
      </c>
      <c r="N1019" s="4" t="s">
        <v>23</v>
      </c>
      <c r="O1019" s="4" t="s">
        <v>27</v>
      </c>
      <c r="P1019" s="4" t="s">
        <v>144</v>
      </c>
      <c r="Q1019" s="24">
        <v>56</v>
      </c>
      <c r="R1019" s="25">
        <v>3</v>
      </c>
      <c r="S1019" s="39">
        <v>1</v>
      </c>
      <c r="T1019" s="7"/>
      <c r="U1019" t="s">
        <v>2913</v>
      </c>
      <c r="V1019" s="7" t="str">
        <f>+IF(U1019="","",IF(U1019="FINES",CONCATENATE("R",IF(OR(B1019="16",B1019="21",B1019="22",B1019="23"),"16212223",IF(OR(B1019="15",B1019="17",B1019="24",B1019="25"),"15172425",B1019))),IF(U1019="CEBAS","UNICO",IF(VALUE(B1019)&lt;=11,"AMBA","INTERIOR"))))</f>
        <v>AMBA</v>
      </c>
      <c r="W1019" s="38" t="str">
        <f>+IF(U1019="","-",CONCATENATE(U1019,"_",V1019))</f>
        <v>CENS_AMBA</v>
      </c>
      <c r="X1019" s="42">
        <v>0.72</v>
      </c>
    </row>
    <row r="1020" spans="1:24" ht="15" thickBot="1">
      <c r="A1020" s="3" t="s">
        <v>2916</v>
      </c>
      <c r="B1020" s="3" t="s">
        <v>1780</v>
      </c>
      <c r="C1020" s="3" t="s">
        <v>1248</v>
      </c>
      <c r="D1020" s="3" t="s">
        <v>2348</v>
      </c>
      <c r="E1020" s="3">
        <v>623720</v>
      </c>
      <c r="F1020" s="3">
        <v>0</v>
      </c>
      <c r="G1020" s="3" t="s">
        <v>2379</v>
      </c>
      <c r="H1020" s="3" t="s">
        <v>20</v>
      </c>
      <c r="I1020" s="4" t="s">
        <v>142</v>
      </c>
      <c r="J1020" s="4" t="s">
        <v>21</v>
      </c>
      <c r="K1020" s="4"/>
      <c r="L1020" s="4" t="s">
        <v>156</v>
      </c>
      <c r="M1020" s="4" t="s">
        <v>22</v>
      </c>
      <c r="N1020" s="4" t="s">
        <v>23</v>
      </c>
      <c r="O1020" s="4" t="s">
        <v>27</v>
      </c>
      <c r="P1020" s="4" t="s">
        <v>144</v>
      </c>
      <c r="Q1020" s="24">
        <v>131</v>
      </c>
      <c r="R1020" s="25">
        <v>8</v>
      </c>
      <c r="S1020" s="39">
        <v>1</v>
      </c>
      <c r="T1020" s="7"/>
      <c r="U1020" s="7" t="s">
        <v>2913</v>
      </c>
      <c r="V1020" s="7" t="str">
        <f>+IF(U1020="","",IF(U1020="FINES",CONCATENATE("R",IF(OR(B1020="16",B1020="21",B1020="22",B1020="23"),"16212223",IF(OR(B1020="15",B1020="17",B1020="24",B1020="25"),"15172425",B1020))),IF(U1020="CEBAS","UNICO",IF(VALUE(B1020)&lt;=11,"AMBA","INTERIOR"))))</f>
        <v>AMBA</v>
      </c>
      <c r="W1020" s="38" t="str">
        <f>+IF(U1020="","-",CONCATENATE(U1020,"_",V1020))</f>
        <v>CENS_AMBA</v>
      </c>
      <c r="X1020" s="42">
        <v>0.72199999999999998</v>
      </c>
    </row>
    <row r="1021" spans="1:24" ht="15" thickBot="1">
      <c r="A1021" s="3" t="s">
        <v>2916</v>
      </c>
      <c r="B1021" s="3" t="s">
        <v>356</v>
      </c>
      <c r="C1021" s="3" t="s">
        <v>1359</v>
      </c>
      <c r="D1021" s="3" t="s">
        <v>1360</v>
      </c>
      <c r="E1021" s="3">
        <v>621005</v>
      </c>
      <c r="F1021" s="3">
        <v>0</v>
      </c>
      <c r="G1021" s="3" t="s">
        <v>1435</v>
      </c>
      <c r="H1021" s="3" t="s">
        <v>20</v>
      </c>
      <c r="I1021" s="4" t="s">
        <v>142</v>
      </c>
      <c r="J1021" s="4" t="s">
        <v>21</v>
      </c>
      <c r="K1021" s="4"/>
      <c r="L1021" s="4" t="s">
        <v>1135</v>
      </c>
      <c r="M1021" s="4" t="s">
        <v>22</v>
      </c>
      <c r="N1021" s="4" t="s">
        <v>23</v>
      </c>
      <c r="O1021" s="4" t="s">
        <v>27</v>
      </c>
      <c r="P1021" s="4" t="s">
        <v>144</v>
      </c>
      <c r="Q1021" s="24">
        <v>101</v>
      </c>
      <c r="R1021" s="25">
        <v>6</v>
      </c>
      <c r="S1021" s="39">
        <v>1</v>
      </c>
      <c r="T1021" s="7"/>
      <c r="U1021" s="7" t="s">
        <v>2913</v>
      </c>
      <c r="V1021" s="7" t="str">
        <f>+IF(U1021="","",IF(U1021="FINES",CONCATENATE("R",IF(OR(B1021="16",B1021="21",B1021="22",B1021="23"),"16212223",IF(OR(B1021="15",B1021="17",B1021="24",B1021="25"),"15172425",B1021))),IF(U1021="CEBAS","UNICO",IF(VALUE(B1021)&lt;=11,"AMBA","INTERIOR"))))</f>
        <v>AMBA</v>
      </c>
      <c r="W1021" s="38" t="str">
        <f>+IF(U1021="","-",CONCATENATE(U1021,"_",V1021))</f>
        <v>CENS_AMBA</v>
      </c>
      <c r="X1021" s="42">
        <v>0.72299999999999998</v>
      </c>
    </row>
    <row r="1022" spans="1:24" ht="15" thickBot="1">
      <c r="A1022" s="5" t="s">
        <v>2916</v>
      </c>
      <c r="B1022" s="5" t="s">
        <v>19</v>
      </c>
      <c r="C1022" s="5" t="s">
        <v>252</v>
      </c>
      <c r="D1022" s="5" t="s">
        <v>2566</v>
      </c>
      <c r="E1022" s="5">
        <v>623937</v>
      </c>
      <c r="F1022" s="5">
        <v>0</v>
      </c>
      <c r="G1022" s="5" t="s">
        <v>2586</v>
      </c>
      <c r="H1022" s="5" t="s">
        <v>20</v>
      </c>
      <c r="I1022" s="6" t="s">
        <v>142</v>
      </c>
      <c r="J1022" s="6" t="s">
        <v>21</v>
      </c>
      <c r="K1022" s="6"/>
      <c r="L1022" s="6" t="s">
        <v>587</v>
      </c>
      <c r="M1022" s="6" t="s">
        <v>22</v>
      </c>
      <c r="N1022" s="6" t="s">
        <v>23</v>
      </c>
      <c r="O1022" s="6" t="s">
        <v>27</v>
      </c>
      <c r="P1022" s="6" t="s">
        <v>144</v>
      </c>
      <c r="Q1022" s="22">
        <v>179</v>
      </c>
      <c r="R1022" s="23">
        <v>9</v>
      </c>
      <c r="S1022" s="39">
        <v>1</v>
      </c>
      <c r="T1022" s="7"/>
      <c r="U1022" s="7" t="s">
        <v>2913</v>
      </c>
      <c r="V1022" s="7" t="str">
        <f>+IF(U1022="","",IF(U1022="FINES",CONCATENATE("R",IF(OR(B1022="16",B1022="21",B1022="22",B1022="23"),"16212223",IF(OR(B1022="15",B1022="17",B1022="24",B1022="25"),"15172425",B1022))),IF(U1022="CEBAS","UNICO",IF(VALUE(B1022)&lt;=11,"AMBA","INTERIOR"))))</f>
        <v>AMBA</v>
      </c>
      <c r="W1022" s="38" t="str">
        <f>+IF(U1022="","-",CONCATENATE(U1022,"_",V1022))</f>
        <v>CENS_AMBA</v>
      </c>
      <c r="X1022" s="42">
        <v>0.72499999999999998</v>
      </c>
    </row>
    <row r="1023" spans="1:24" ht="15" thickBot="1">
      <c r="A1023" s="5" t="s">
        <v>2916</v>
      </c>
      <c r="B1023" s="5" t="s">
        <v>817</v>
      </c>
      <c r="C1023" s="5" t="s">
        <v>2080</v>
      </c>
      <c r="D1023" s="5" t="s">
        <v>2081</v>
      </c>
      <c r="E1023" s="5">
        <v>607787</v>
      </c>
      <c r="F1023" s="5">
        <v>0</v>
      </c>
      <c r="G1023" s="5" t="s">
        <v>2139</v>
      </c>
      <c r="H1023" s="5" t="s">
        <v>20</v>
      </c>
      <c r="I1023" s="6" t="s">
        <v>142</v>
      </c>
      <c r="J1023" s="6" t="s">
        <v>21</v>
      </c>
      <c r="K1023" s="6"/>
      <c r="L1023" s="6" t="s">
        <v>146</v>
      </c>
      <c r="M1023" s="6" t="s">
        <v>22</v>
      </c>
      <c r="N1023" s="6" t="s">
        <v>23</v>
      </c>
      <c r="O1023" s="6" t="s">
        <v>27</v>
      </c>
      <c r="P1023" s="6" t="s">
        <v>144</v>
      </c>
      <c r="Q1023" s="22">
        <v>209</v>
      </c>
      <c r="R1023" s="23">
        <v>9</v>
      </c>
      <c r="S1023" s="39">
        <v>1</v>
      </c>
      <c r="T1023" s="7"/>
      <c r="U1023" s="7" t="s">
        <v>2913</v>
      </c>
      <c r="V1023" s="7" t="str">
        <f>+IF(U1023="","",IF(U1023="FINES",CONCATENATE("R",IF(OR(B1023="16",B1023="21",B1023="22",B1023="23"),"16212223",IF(OR(B1023="15",B1023="17",B1023="24",B1023="25"),"15172425",B1023))),IF(U1023="CEBAS","UNICO",IF(VALUE(B1023)&lt;=11,"AMBA","INTERIOR"))))</f>
        <v>AMBA</v>
      </c>
      <c r="W1023" s="38" t="str">
        <f>+IF(U1023="","-",CONCATENATE(U1023,"_",V1023))</f>
        <v>CENS_AMBA</v>
      </c>
      <c r="X1023" s="42">
        <v>0.73499999999999999</v>
      </c>
    </row>
    <row r="1024" spans="1:24" ht="15" thickBot="1">
      <c r="A1024" s="5" t="s">
        <v>2916</v>
      </c>
      <c r="B1024" s="5" t="s">
        <v>1532</v>
      </c>
      <c r="C1024" s="5" t="s">
        <v>1530</v>
      </c>
      <c r="D1024" s="5" t="s">
        <v>1531</v>
      </c>
      <c r="E1024" s="5">
        <v>623983</v>
      </c>
      <c r="F1024" s="5">
        <v>0</v>
      </c>
      <c r="G1024" s="5" t="s">
        <v>1744</v>
      </c>
      <c r="H1024" s="5" t="s">
        <v>20</v>
      </c>
      <c r="I1024" s="6" t="s">
        <v>142</v>
      </c>
      <c r="J1024" s="6" t="s">
        <v>21</v>
      </c>
      <c r="K1024" s="6"/>
      <c r="L1024" s="6" t="s">
        <v>1745</v>
      </c>
      <c r="M1024" s="6" t="s">
        <v>22</v>
      </c>
      <c r="N1024" s="6" t="s">
        <v>23</v>
      </c>
      <c r="O1024" s="6" t="s">
        <v>27</v>
      </c>
      <c r="P1024" s="6" t="s">
        <v>144</v>
      </c>
      <c r="Q1024" s="22">
        <v>183</v>
      </c>
      <c r="R1024" s="23">
        <v>9</v>
      </c>
      <c r="S1024" s="39">
        <v>1</v>
      </c>
      <c r="T1024" s="7"/>
      <c r="U1024" s="7" t="s">
        <v>2913</v>
      </c>
      <c r="V1024" s="7" t="str">
        <f>+IF(U1024="","",IF(U1024="FINES",CONCATENATE("R",IF(OR(B1024="16",B1024="21",B1024="22",B1024="23"),"16212223",IF(OR(B1024="15",B1024="17",B1024="24",B1024="25"),"15172425",B1024))),IF(U1024="CEBAS","UNICO",IF(VALUE(B1024)&lt;=11,"AMBA","INTERIOR"))))</f>
        <v>AMBA</v>
      </c>
      <c r="W1024" s="38" t="str">
        <f>+IF(U1024="","-",CONCATENATE(U1024,"_",V1024))</f>
        <v>CENS_AMBA</v>
      </c>
      <c r="X1024" s="42">
        <v>0.73799999999999999</v>
      </c>
    </row>
    <row r="1025" spans="1:24" ht="15" thickBot="1">
      <c r="A1025" s="3" t="s">
        <v>2916</v>
      </c>
      <c r="B1025" s="3" t="s">
        <v>204</v>
      </c>
      <c r="C1025" s="3" t="s">
        <v>1084</v>
      </c>
      <c r="D1025" s="3" t="s">
        <v>1085</v>
      </c>
      <c r="E1025" s="3">
        <v>623393</v>
      </c>
      <c r="F1025" s="3">
        <v>0</v>
      </c>
      <c r="G1025" s="3" t="s">
        <v>1140</v>
      </c>
      <c r="H1025" s="3" t="s">
        <v>20</v>
      </c>
      <c r="I1025" s="4" t="s">
        <v>142</v>
      </c>
      <c r="J1025" s="4" t="s">
        <v>21</v>
      </c>
      <c r="K1025" s="4"/>
      <c r="L1025" s="4" t="s">
        <v>510</v>
      </c>
      <c r="M1025" s="4" t="s">
        <v>22</v>
      </c>
      <c r="N1025" s="4" t="s">
        <v>23</v>
      </c>
      <c r="O1025" s="4" t="s">
        <v>27</v>
      </c>
      <c r="P1025" s="4" t="s">
        <v>144</v>
      </c>
      <c r="Q1025" s="24">
        <v>207</v>
      </c>
      <c r="R1025" s="25">
        <v>13</v>
      </c>
      <c r="S1025" s="39">
        <v>1</v>
      </c>
      <c r="T1025" s="7"/>
      <c r="U1025" s="7" t="s">
        <v>2913</v>
      </c>
      <c r="V1025" s="7" t="str">
        <f>+IF(U1025="","",IF(U1025="FINES",CONCATENATE("R",IF(OR(B1025="16",B1025="21",B1025="22",B1025="23"),"16212223",IF(OR(B1025="15",B1025="17",B1025="24",B1025="25"),"15172425",B1025))),IF(U1025="CEBAS","UNICO",IF(VALUE(B1025)&lt;=11,"AMBA","INTERIOR"))))</f>
        <v>AMBA</v>
      </c>
      <c r="W1025" s="38" t="str">
        <f>+IF(U1025="","-",CONCATENATE(U1025,"_",V1025))</f>
        <v>CENS_AMBA</v>
      </c>
      <c r="X1025" s="42">
        <v>0.74099999999999999</v>
      </c>
    </row>
    <row r="1026" spans="1:24" ht="15" thickBot="1">
      <c r="A1026" s="5" t="s">
        <v>2916</v>
      </c>
      <c r="B1026" s="5" t="s">
        <v>204</v>
      </c>
      <c r="C1026" s="5" t="s">
        <v>219</v>
      </c>
      <c r="D1026" s="5" t="s">
        <v>2865</v>
      </c>
      <c r="E1026" s="5">
        <v>605672</v>
      </c>
      <c r="F1026" s="5">
        <v>0</v>
      </c>
      <c r="G1026" s="5" t="s">
        <v>2879</v>
      </c>
      <c r="H1026" s="5" t="s">
        <v>20</v>
      </c>
      <c r="I1026" s="6" t="s">
        <v>142</v>
      </c>
      <c r="J1026" s="6" t="s">
        <v>21</v>
      </c>
      <c r="K1026" s="6"/>
      <c r="L1026" s="6" t="s">
        <v>2880</v>
      </c>
      <c r="M1026" s="6" t="s">
        <v>22</v>
      </c>
      <c r="N1026" s="6" t="s">
        <v>23</v>
      </c>
      <c r="O1026" s="6" t="s">
        <v>27</v>
      </c>
      <c r="P1026" s="6" t="s">
        <v>144</v>
      </c>
      <c r="Q1026" s="22">
        <v>172</v>
      </c>
      <c r="R1026" s="23">
        <v>9</v>
      </c>
      <c r="S1026" s="39">
        <v>1</v>
      </c>
      <c r="T1026" s="7"/>
      <c r="U1026" s="7" t="s">
        <v>2913</v>
      </c>
      <c r="V1026" s="7" t="str">
        <f>+IF(U1026="","",IF(U1026="FINES",CONCATENATE("R",IF(OR(B1026="16",B1026="21",B1026="22",B1026="23"),"16212223",IF(OR(B1026="15",B1026="17",B1026="24",B1026="25"),"15172425",B1026))),IF(U1026="CEBAS","UNICO",IF(VALUE(B1026)&lt;=11,"AMBA","INTERIOR"))))</f>
        <v>AMBA</v>
      </c>
      <c r="W1026" s="38" t="str">
        <f>+IF(U1026="","-",CONCATENATE(U1026,"_",V1026))</f>
        <v>CENS_AMBA</v>
      </c>
      <c r="X1026" s="42">
        <v>0.74299999999999999</v>
      </c>
    </row>
    <row r="1027" spans="1:24" ht="15" thickBot="1">
      <c r="A1027" s="5" t="s">
        <v>2916</v>
      </c>
      <c r="B1027" s="5" t="s">
        <v>19</v>
      </c>
      <c r="C1027" s="5" t="s">
        <v>599</v>
      </c>
      <c r="D1027" s="5" t="s">
        <v>601</v>
      </c>
      <c r="E1027" s="5">
        <v>608412</v>
      </c>
      <c r="F1027" s="5">
        <v>0</v>
      </c>
      <c r="G1027" s="5" t="s">
        <v>607</v>
      </c>
      <c r="H1027" s="5" t="s">
        <v>20</v>
      </c>
      <c r="I1027" s="6" t="s">
        <v>142</v>
      </c>
      <c r="J1027" s="6" t="s">
        <v>21</v>
      </c>
      <c r="K1027" s="6"/>
      <c r="L1027" s="6" t="s">
        <v>251</v>
      </c>
      <c r="M1027" s="6" t="s">
        <v>22</v>
      </c>
      <c r="N1027" s="6" t="s">
        <v>23</v>
      </c>
      <c r="O1027" s="6" t="s">
        <v>27</v>
      </c>
      <c r="P1027" s="6" t="s">
        <v>144</v>
      </c>
      <c r="Q1027" s="22">
        <v>122</v>
      </c>
      <c r="R1027" s="23">
        <v>13</v>
      </c>
      <c r="S1027" s="39">
        <v>1</v>
      </c>
      <c r="T1027" s="7"/>
      <c r="U1027" s="7" t="s">
        <v>2913</v>
      </c>
      <c r="V1027" s="7" t="str">
        <f>+IF(U1027="","",IF(U1027="FINES",CONCATENATE("R",IF(OR(B1027="16",B1027="21",B1027="22",B1027="23"),"16212223",IF(OR(B1027="15",B1027="17",B1027="24",B1027="25"),"15172425",B1027))),IF(U1027="CEBAS","UNICO",IF(VALUE(B1027)&lt;=11,"AMBA","INTERIOR"))))</f>
        <v>AMBA</v>
      </c>
      <c r="W1027" s="38" t="str">
        <f>+IF(U1027="","-",CONCATENATE(U1027,"_",V1027))</f>
        <v>CENS_AMBA</v>
      </c>
      <c r="X1027" s="42">
        <v>0.745</v>
      </c>
    </row>
    <row r="1028" spans="1:24" ht="15" thickBot="1">
      <c r="A1028" s="3" t="s">
        <v>2916</v>
      </c>
      <c r="B1028" s="3" t="s">
        <v>19</v>
      </c>
      <c r="C1028" s="3" t="s">
        <v>17</v>
      </c>
      <c r="D1028" s="3" t="s">
        <v>18</v>
      </c>
      <c r="E1028" s="3">
        <v>606407</v>
      </c>
      <c r="F1028" s="3">
        <v>0</v>
      </c>
      <c r="G1028" s="3" t="s">
        <v>175</v>
      </c>
      <c r="H1028" s="3" t="s">
        <v>20</v>
      </c>
      <c r="I1028" s="4" t="s">
        <v>142</v>
      </c>
      <c r="J1028" s="4" t="s">
        <v>21</v>
      </c>
      <c r="K1028" s="4"/>
      <c r="L1028" s="4" t="s">
        <v>176</v>
      </c>
      <c r="M1028" s="4" t="s">
        <v>22</v>
      </c>
      <c r="N1028" s="4" t="s">
        <v>23</v>
      </c>
      <c r="O1028" s="4" t="s">
        <v>27</v>
      </c>
      <c r="P1028" s="4" t="s">
        <v>144</v>
      </c>
      <c r="Q1028" s="24">
        <v>167</v>
      </c>
      <c r="R1028" s="25">
        <v>11</v>
      </c>
      <c r="S1028" s="39">
        <v>1</v>
      </c>
      <c r="T1028" s="7"/>
      <c r="U1028" s="7" t="s">
        <v>2913</v>
      </c>
      <c r="V1028" s="7" t="str">
        <f>+IF(U1028="","",IF(U1028="FINES",CONCATENATE("R",IF(OR(B1028="16",B1028="21",B1028="22",B1028="23"),"16212223",IF(OR(B1028="15",B1028="17",B1028="24",B1028="25"),"15172425",B1028))),IF(U1028="CEBAS","UNICO",IF(VALUE(B1028)&lt;=11,"AMBA","INTERIOR"))))</f>
        <v>AMBA</v>
      </c>
      <c r="W1028" s="38" t="str">
        <f>+IF(U1028="","-",CONCATENATE(U1028,"_",V1028))</f>
        <v>CENS_AMBA</v>
      </c>
      <c r="X1028" s="42">
        <v>0.747</v>
      </c>
    </row>
    <row r="1029" spans="1:24" ht="15" thickBot="1">
      <c r="A1029" s="5" t="s">
        <v>2916</v>
      </c>
      <c r="B1029" s="5" t="s">
        <v>356</v>
      </c>
      <c r="C1029" s="5" t="s">
        <v>1359</v>
      </c>
      <c r="D1029" s="5" t="s">
        <v>1360</v>
      </c>
      <c r="E1029" s="5">
        <v>602517</v>
      </c>
      <c r="F1029" s="5">
        <v>0</v>
      </c>
      <c r="G1029" s="5" t="s">
        <v>1432</v>
      </c>
      <c r="H1029" s="5" t="s">
        <v>20</v>
      </c>
      <c r="I1029" s="6" t="s">
        <v>142</v>
      </c>
      <c r="J1029" s="6" t="s">
        <v>21</v>
      </c>
      <c r="K1029" s="6"/>
      <c r="L1029" s="6" t="s">
        <v>150</v>
      </c>
      <c r="M1029" s="6" t="s">
        <v>22</v>
      </c>
      <c r="N1029" s="6" t="s">
        <v>23</v>
      </c>
      <c r="O1029" s="6" t="s">
        <v>27</v>
      </c>
      <c r="P1029" s="6" t="s">
        <v>144</v>
      </c>
      <c r="Q1029" s="22">
        <v>398</v>
      </c>
      <c r="R1029" s="23">
        <v>24</v>
      </c>
      <c r="S1029" s="39">
        <v>1</v>
      </c>
      <c r="T1029" s="7"/>
      <c r="U1029" t="s">
        <v>2913</v>
      </c>
      <c r="V1029" s="7" t="str">
        <f>+IF(U1029="","",IF(U1029="FINES",CONCATENATE("R",IF(OR(B1029="16",B1029="21",B1029="22",B1029="23"),"16212223",IF(OR(B1029="15",B1029="17",B1029="24",B1029="25"),"15172425",B1029))),IF(U1029="CEBAS","UNICO",IF(VALUE(B1029)&lt;=11,"AMBA","INTERIOR"))))</f>
        <v>AMBA</v>
      </c>
      <c r="W1029" s="38" t="str">
        <f>+IF(U1029="","-",CONCATENATE(U1029,"_",V1029))</f>
        <v>CENS_AMBA</v>
      </c>
      <c r="X1029" s="42">
        <v>0.751</v>
      </c>
    </row>
    <row r="1030" spans="1:24" ht="15" thickBot="1">
      <c r="A1030" s="5" t="s">
        <v>2916</v>
      </c>
      <c r="B1030" s="5" t="s">
        <v>1780</v>
      </c>
      <c r="C1030" s="5" t="s">
        <v>1248</v>
      </c>
      <c r="D1030" s="5" t="s">
        <v>2348</v>
      </c>
      <c r="E1030" s="5">
        <v>623721</v>
      </c>
      <c r="F1030" s="5">
        <v>0</v>
      </c>
      <c r="G1030" s="5" t="s">
        <v>2380</v>
      </c>
      <c r="H1030" s="5" t="s">
        <v>20</v>
      </c>
      <c r="I1030" s="6" t="s">
        <v>142</v>
      </c>
      <c r="J1030" s="6" t="s">
        <v>21</v>
      </c>
      <c r="K1030" s="6"/>
      <c r="L1030" s="6" t="s">
        <v>158</v>
      </c>
      <c r="M1030" s="6" t="s">
        <v>22</v>
      </c>
      <c r="N1030" s="6" t="s">
        <v>23</v>
      </c>
      <c r="O1030" s="6" t="s">
        <v>27</v>
      </c>
      <c r="P1030" s="6" t="s">
        <v>144</v>
      </c>
      <c r="Q1030" s="22">
        <v>102</v>
      </c>
      <c r="R1030" s="23">
        <v>9</v>
      </c>
      <c r="S1030" s="39">
        <v>1</v>
      </c>
      <c r="T1030" s="7"/>
      <c r="U1030" t="s">
        <v>2913</v>
      </c>
      <c r="V1030" s="7" t="str">
        <f>+IF(U1030="","",IF(U1030="FINES",CONCATENATE("R",IF(OR(B1030="16",B1030="21",B1030="22",B1030="23"),"16212223",IF(OR(B1030="15",B1030="17",B1030="24",B1030="25"),"15172425",B1030))),IF(U1030="CEBAS","UNICO",IF(VALUE(B1030)&lt;=11,"AMBA","INTERIOR"))))</f>
        <v>AMBA</v>
      </c>
      <c r="W1030" s="38" t="str">
        <f>+IF(U1030="","-",CONCATENATE(U1030,"_",V1030))</f>
        <v>CENS_AMBA</v>
      </c>
      <c r="X1030" s="42">
        <v>0.754</v>
      </c>
    </row>
    <row r="1031" spans="1:24" ht="15" thickBot="1">
      <c r="A1031" s="5" t="s">
        <v>2916</v>
      </c>
      <c r="B1031" s="5" t="s">
        <v>1532</v>
      </c>
      <c r="C1031" s="5" t="s">
        <v>1530</v>
      </c>
      <c r="D1031" s="5" t="s">
        <v>1531</v>
      </c>
      <c r="E1031" s="5">
        <v>610732</v>
      </c>
      <c r="F1031" s="5">
        <v>0</v>
      </c>
      <c r="G1031" s="5" t="s">
        <v>1678</v>
      </c>
      <c r="H1031" s="5" t="s">
        <v>20</v>
      </c>
      <c r="I1031" s="6" t="s">
        <v>142</v>
      </c>
      <c r="J1031" s="6" t="s">
        <v>21</v>
      </c>
      <c r="K1031" s="6"/>
      <c r="L1031" s="6" t="s">
        <v>1679</v>
      </c>
      <c r="M1031" s="6" t="s">
        <v>22</v>
      </c>
      <c r="N1031" s="6" t="s">
        <v>23</v>
      </c>
      <c r="O1031" s="6" t="s">
        <v>27</v>
      </c>
      <c r="P1031" s="6" t="s">
        <v>144</v>
      </c>
      <c r="Q1031" s="22">
        <v>177</v>
      </c>
      <c r="R1031" s="23">
        <v>11</v>
      </c>
      <c r="S1031" s="39">
        <v>1</v>
      </c>
      <c r="T1031" s="7"/>
      <c r="U1031" t="s">
        <v>2913</v>
      </c>
      <c r="V1031" s="7" t="str">
        <f>+IF(U1031="","",IF(U1031="FINES",CONCATENATE("R",IF(OR(B1031="16",B1031="21",B1031="22",B1031="23"),"16212223",IF(OR(B1031="15",B1031="17",B1031="24",B1031="25"),"15172425",B1031))),IF(U1031="CEBAS","UNICO",IF(VALUE(B1031)&lt;=11,"AMBA","INTERIOR"))))</f>
        <v>AMBA</v>
      </c>
      <c r="W1031" s="38" t="str">
        <f>+IF(U1031="","-",CONCATENATE(U1031,"_",V1031))</f>
        <v>CENS_AMBA</v>
      </c>
      <c r="X1031" s="42">
        <v>0.76400000000000001</v>
      </c>
    </row>
    <row r="1032" spans="1:24" ht="15" thickBot="1">
      <c r="A1032" s="5" t="s">
        <v>2916</v>
      </c>
      <c r="B1032" s="5" t="s">
        <v>204</v>
      </c>
      <c r="C1032" s="5" t="s">
        <v>137</v>
      </c>
      <c r="D1032" s="5" t="s">
        <v>2629</v>
      </c>
      <c r="E1032" s="5">
        <v>623696</v>
      </c>
      <c r="F1032" s="5">
        <v>0</v>
      </c>
      <c r="G1032" s="5" t="s">
        <v>2652</v>
      </c>
      <c r="H1032" s="5" t="s">
        <v>20</v>
      </c>
      <c r="I1032" s="6" t="s">
        <v>142</v>
      </c>
      <c r="J1032" s="6" t="s">
        <v>21</v>
      </c>
      <c r="K1032" s="6"/>
      <c r="L1032" s="6" t="s">
        <v>2142</v>
      </c>
      <c r="M1032" s="6" t="s">
        <v>22</v>
      </c>
      <c r="N1032" s="6" t="s">
        <v>23</v>
      </c>
      <c r="O1032" s="6" t="s">
        <v>27</v>
      </c>
      <c r="P1032" s="6" t="s">
        <v>144</v>
      </c>
      <c r="Q1032" s="22">
        <v>75</v>
      </c>
      <c r="R1032" s="23">
        <v>3</v>
      </c>
      <c r="S1032" s="39">
        <v>1</v>
      </c>
      <c r="T1032" s="7"/>
      <c r="U1032" t="s">
        <v>2913</v>
      </c>
      <c r="V1032" s="7" t="str">
        <f>+IF(U1032="","",IF(U1032="FINES",CONCATENATE("R",IF(OR(B1032="16",B1032="21",B1032="22",B1032="23"),"16212223",IF(OR(B1032="15",B1032="17",B1032="24",B1032="25"),"15172425",B1032))),IF(U1032="CEBAS","UNICO",IF(VALUE(B1032)&lt;=11,"AMBA","INTERIOR"))))</f>
        <v>AMBA</v>
      </c>
      <c r="W1032" s="38" t="str">
        <f>+IF(U1032="","-",CONCATENATE(U1032,"_",V1032))</f>
        <v>CENS_AMBA</v>
      </c>
      <c r="X1032" s="42">
        <v>0.76500000000000001</v>
      </c>
    </row>
    <row r="1033" spans="1:24" ht="15" thickBot="1">
      <c r="A1033" s="3" t="s">
        <v>2916</v>
      </c>
      <c r="B1033" s="3" t="s">
        <v>356</v>
      </c>
      <c r="C1033" s="3" t="s">
        <v>1359</v>
      </c>
      <c r="D1033" s="3" t="s">
        <v>1360</v>
      </c>
      <c r="E1033" s="3">
        <v>624162</v>
      </c>
      <c r="F1033" s="3">
        <v>0</v>
      </c>
      <c r="G1033" s="3" t="s">
        <v>1446</v>
      </c>
      <c r="H1033" s="3" t="s">
        <v>20</v>
      </c>
      <c r="I1033" s="4" t="s">
        <v>142</v>
      </c>
      <c r="J1033" s="4" t="s">
        <v>21</v>
      </c>
      <c r="K1033" s="4"/>
      <c r="L1033" s="4" t="s">
        <v>1447</v>
      </c>
      <c r="M1033" s="4" t="s">
        <v>22</v>
      </c>
      <c r="N1033" s="4" t="s">
        <v>23</v>
      </c>
      <c r="O1033" s="4" t="s">
        <v>27</v>
      </c>
      <c r="P1033" s="4" t="s">
        <v>144</v>
      </c>
      <c r="Q1033" s="24">
        <v>161</v>
      </c>
      <c r="R1033" s="25">
        <v>9</v>
      </c>
      <c r="S1033" s="39">
        <v>1</v>
      </c>
      <c r="T1033" s="7"/>
      <c r="U1033" t="s">
        <v>2913</v>
      </c>
      <c r="V1033" s="7" t="str">
        <f>+IF(U1033="","",IF(U1033="FINES",CONCATENATE("R",IF(OR(B1033="16",B1033="21",B1033="22",B1033="23"),"16212223",IF(OR(B1033="15",B1033="17",B1033="24",B1033="25"),"15172425",B1033))),IF(U1033="CEBAS","UNICO",IF(VALUE(B1033)&lt;=11,"AMBA","INTERIOR"))))</f>
        <v>AMBA</v>
      </c>
      <c r="W1033" s="38" t="str">
        <f>+IF(U1033="","-",CONCATENATE(U1033,"_",V1033))</f>
        <v>CENS_AMBA</v>
      </c>
      <c r="X1033" s="42">
        <v>0.76800000000000002</v>
      </c>
    </row>
    <row r="1034" spans="1:24" ht="15" thickBot="1">
      <c r="A1034" s="3" t="s">
        <v>2916</v>
      </c>
      <c r="B1034" s="3" t="s">
        <v>1780</v>
      </c>
      <c r="C1034" s="3" t="s">
        <v>1248</v>
      </c>
      <c r="D1034" s="3" t="s">
        <v>2348</v>
      </c>
      <c r="E1034" s="3">
        <v>619038</v>
      </c>
      <c r="F1034" s="3">
        <v>0</v>
      </c>
      <c r="G1034" s="3" t="s">
        <v>2376</v>
      </c>
      <c r="H1034" s="3" t="s">
        <v>20</v>
      </c>
      <c r="I1034" s="4" t="s">
        <v>142</v>
      </c>
      <c r="J1034" s="4" t="s">
        <v>21</v>
      </c>
      <c r="K1034" s="4"/>
      <c r="L1034" s="4" t="s">
        <v>150</v>
      </c>
      <c r="M1034" s="4" t="s">
        <v>22</v>
      </c>
      <c r="N1034" s="4" t="s">
        <v>23</v>
      </c>
      <c r="O1034" s="4" t="s">
        <v>27</v>
      </c>
      <c r="P1034" s="4" t="s">
        <v>144</v>
      </c>
      <c r="Q1034" s="24">
        <v>126</v>
      </c>
      <c r="R1034" s="25">
        <v>9</v>
      </c>
      <c r="S1034" s="39">
        <v>1</v>
      </c>
      <c r="T1034" s="7"/>
      <c r="U1034" t="s">
        <v>2913</v>
      </c>
      <c r="V1034" s="7" t="str">
        <f>+IF(U1034="","",IF(U1034="FINES",CONCATENATE("R",IF(OR(B1034="16",B1034="21",B1034="22",B1034="23"),"16212223",IF(OR(B1034="15",B1034="17",B1034="24",B1034="25"),"15172425",B1034))),IF(U1034="CEBAS","UNICO",IF(VALUE(B1034)&lt;=11,"AMBA","INTERIOR"))))</f>
        <v>AMBA</v>
      </c>
      <c r="W1034" s="38" t="str">
        <f>+IF(U1034="","-",CONCATENATE(U1034,"_",V1034))</f>
        <v>CENS_AMBA</v>
      </c>
      <c r="X1034" s="42">
        <v>0.77400000000000002</v>
      </c>
    </row>
    <row r="1035" spans="1:24" ht="15" thickBot="1">
      <c r="A1035" s="3" t="s">
        <v>2916</v>
      </c>
      <c r="B1035" s="3" t="s">
        <v>1780</v>
      </c>
      <c r="C1035" s="3" t="s">
        <v>238</v>
      </c>
      <c r="D1035" s="3" t="s">
        <v>2887</v>
      </c>
      <c r="E1035" s="3">
        <v>623704</v>
      </c>
      <c r="F1035" s="3">
        <v>0</v>
      </c>
      <c r="G1035" s="3" t="s">
        <v>2900</v>
      </c>
      <c r="H1035" s="3" t="s">
        <v>20</v>
      </c>
      <c r="I1035" s="4" t="s">
        <v>142</v>
      </c>
      <c r="J1035" s="4" t="s">
        <v>21</v>
      </c>
      <c r="K1035" s="4"/>
      <c r="L1035" s="4" t="s">
        <v>337</v>
      </c>
      <c r="M1035" s="4" t="s">
        <v>22</v>
      </c>
      <c r="N1035" s="4" t="s">
        <v>23</v>
      </c>
      <c r="O1035" s="4" t="s">
        <v>27</v>
      </c>
      <c r="P1035" s="4" t="s">
        <v>144</v>
      </c>
      <c r="Q1035" s="24">
        <v>51</v>
      </c>
      <c r="R1035" s="25">
        <v>5</v>
      </c>
      <c r="S1035" s="39">
        <v>1</v>
      </c>
      <c r="T1035" s="7"/>
      <c r="U1035" s="7" t="s">
        <v>2913</v>
      </c>
      <c r="V1035" s="7" t="str">
        <f>+IF(U1035="","",IF(U1035="FINES",CONCATENATE("R",IF(OR(B1035="16",B1035="21",B1035="22",B1035="23"),"16212223",IF(OR(B1035="15",B1035="17",B1035="24",B1035="25"),"15172425",B1035))),IF(U1035="CEBAS","UNICO",IF(VALUE(B1035)&lt;=11,"AMBA","INTERIOR"))))</f>
        <v>AMBA</v>
      </c>
      <c r="W1035" s="38" t="str">
        <f>+IF(U1035="","-",CONCATENATE(U1035,"_",V1035))</f>
        <v>CENS_AMBA</v>
      </c>
      <c r="X1035" s="42">
        <v>0.77600000000000002</v>
      </c>
    </row>
    <row r="1036" spans="1:24" ht="15" thickBot="1">
      <c r="A1036" s="5" t="s">
        <v>2916</v>
      </c>
      <c r="B1036" s="5" t="s">
        <v>817</v>
      </c>
      <c r="C1036" s="5" t="s">
        <v>815</v>
      </c>
      <c r="D1036" s="5" t="s">
        <v>816</v>
      </c>
      <c r="E1036" s="5">
        <v>623645</v>
      </c>
      <c r="F1036" s="5">
        <v>0</v>
      </c>
      <c r="G1036" s="5" t="s">
        <v>862</v>
      </c>
      <c r="H1036" s="5" t="s">
        <v>20</v>
      </c>
      <c r="I1036" s="6" t="s">
        <v>142</v>
      </c>
      <c r="J1036" s="6" t="s">
        <v>21</v>
      </c>
      <c r="K1036" s="6"/>
      <c r="L1036" s="6" t="s">
        <v>863</v>
      </c>
      <c r="M1036" s="6" t="s">
        <v>22</v>
      </c>
      <c r="N1036" s="6" t="s">
        <v>23</v>
      </c>
      <c r="O1036" s="6" t="s">
        <v>27</v>
      </c>
      <c r="P1036" s="6" t="s">
        <v>144</v>
      </c>
      <c r="Q1036" s="22">
        <v>361</v>
      </c>
      <c r="R1036" s="23">
        <v>14</v>
      </c>
      <c r="S1036" s="39">
        <v>1</v>
      </c>
      <c r="T1036" s="7"/>
      <c r="U1036" s="7" t="s">
        <v>2913</v>
      </c>
      <c r="V1036" s="7" t="str">
        <f>+IF(U1036="","",IF(U1036="FINES",CONCATENATE("R",IF(OR(B1036="16",B1036="21",B1036="22",B1036="23"),"16212223",IF(OR(B1036="15",B1036="17",B1036="24",B1036="25"),"15172425",B1036))),IF(U1036="CEBAS","UNICO",IF(VALUE(B1036)&lt;=11,"AMBA","INTERIOR"))))</f>
        <v>AMBA</v>
      </c>
      <c r="W1036" s="38" t="str">
        <f>+IF(U1036="","-",CONCATENATE(U1036,"_",V1036))</f>
        <v>CENS_AMBA</v>
      </c>
      <c r="X1036" s="42">
        <v>0.78200000000000003</v>
      </c>
    </row>
    <row r="1037" spans="1:24" ht="15" thickBot="1">
      <c r="A1037" s="3" t="s">
        <v>2916</v>
      </c>
      <c r="B1037" s="3" t="s">
        <v>356</v>
      </c>
      <c r="C1037" s="3" t="s">
        <v>1359</v>
      </c>
      <c r="D1037" s="3" t="s">
        <v>1360</v>
      </c>
      <c r="E1037" s="3">
        <v>623602</v>
      </c>
      <c r="F1037" s="3">
        <v>0</v>
      </c>
      <c r="G1037" s="3" t="s">
        <v>1442</v>
      </c>
      <c r="H1037" s="3" t="s">
        <v>20</v>
      </c>
      <c r="I1037" s="4" t="s">
        <v>142</v>
      </c>
      <c r="J1037" s="4" t="s">
        <v>21</v>
      </c>
      <c r="K1037" s="4"/>
      <c r="L1037" s="4" t="s">
        <v>168</v>
      </c>
      <c r="M1037" s="4" t="s">
        <v>22</v>
      </c>
      <c r="N1037" s="4" t="s">
        <v>23</v>
      </c>
      <c r="O1037" s="4" t="s">
        <v>27</v>
      </c>
      <c r="P1037" s="4" t="s">
        <v>144</v>
      </c>
      <c r="Q1037" s="24">
        <v>69</v>
      </c>
      <c r="R1037" s="25">
        <v>6</v>
      </c>
      <c r="S1037" s="39">
        <v>1</v>
      </c>
      <c r="T1037" s="7"/>
      <c r="U1037" s="7" t="s">
        <v>2913</v>
      </c>
      <c r="V1037" s="7" t="str">
        <f>+IF(U1037="","",IF(U1037="FINES",CONCATENATE("R",IF(OR(B1037="16",B1037="21",B1037="22",B1037="23"),"16212223",IF(OR(B1037="15",B1037="17",B1037="24",B1037="25"),"15172425",B1037))),IF(U1037="CEBAS","UNICO",IF(VALUE(B1037)&lt;=11,"AMBA","INTERIOR"))))</f>
        <v>AMBA</v>
      </c>
      <c r="W1037" s="38" t="str">
        <f>+IF(U1037="","-",CONCATENATE(U1037,"_",V1037))</f>
        <v>CENS_AMBA</v>
      </c>
      <c r="X1037" s="42">
        <v>0.78400000000000003</v>
      </c>
    </row>
    <row r="1038" spans="1:24" ht="15" thickBot="1">
      <c r="A1038" s="3" t="s">
        <v>2916</v>
      </c>
      <c r="B1038" s="3" t="s">
        <v>138</v>
      </c>
      <c r="C1038" s="3" t="s">
        <v>1920</v>
      </c>
      <c r="D1038" s="3" t="s">
        <v>1921</v>
      </c>
      <c r="E1038" s="3">
        <v>623756</v>
      </c>
      <c r="F1038" s="3">
        <v>0</v>
      </c>
      <c r="G1038" s="3" t="s">
        <v>1923</v>
      </c>
      <c r="H1038" s="3" t="s">
        <v>20</v>
      </c>
      <c r="I1038" s="4" t="s">
        <v>142</v>
      </c>
      <c r="J1038" s="4" t="s">
        <v>21</v>
      </c>
      <c r="K1038" s="4"/>
      <c r="L1038" s="4" t="s">
        <v>251</v>
      </c>
      <c r="M1038" s="4" t="s">
        <v>22</v>
      </c>
      <c r="N1038" s="4" t="s">
        <v>23</v>
      </c>
      <c r="O1038" s="4" t="s">
        <v>27</v>
      </c>
      <c r="P1038" s="4" t="s">
        <v>144</v>
      </c>
      <c r="Q1038" s="24">
        <v>50</v>
      </c>
      <c r="R1038" s="25">
        <v>3</v>
      </c>
      <c r="S1038" s="39">
        <v>1</v>
      </c>
      <c r="T1038" s="7"/>
      <c r="U1038" s="7" t="s">
        <v>2913</v>
      </c>
      <c r="V1038" s="7" t="str">
        <f>+IF(U1038="","",IF(U1038="FINES",CONCATENATE("R",IF(OR(B1038="16",B1038="21",B1038="22",B1038="23"),"16212223",IF(OR(B1038="15",B1038="17",B1038="24",B1038="25"),"15172425",B1038))),IF(U1038="CEBAS","UNICO",IF(VALUE(B1038)&lt;=11,"AMBA","INTERIOR"))))</f>
        <v>AMBA</v>
      </c>
      <c r="W1038" s="38" t="str">
        <f>+IF(U1038="","-",CONCATENATE(U1038,"_",V1038))</f>
        <v>CENS_AMBA</v>
      </c>
      <c r="X1038" s="42">
        <v>0.79900000000000004</v>
      </c>
    </row>
    <row r="1039" spans="1:24" ht="15" thickBot="1">
      <c r="A1039" s="5" t="s">
        <v>2916</v>
      </c>
      <c r="B1039" s="5" t="s">
        <v>1860</v>
      </c>
      <c r="C1039" s="5" t="s">
        <v>1858</v>
      </c>
      <c r="D1039" s="5" t="s">
        <v>1859</v>
      </c>
      <c r="E1039" s="5">
        <v>623739</v>
      </c>
      <c r="F1039" s="5">
        <v>0</v>
      </c>
      <c r="G1039" s="5" t="s">
        <v>1908</v>
      </c>
      <c r="H1039" s="5" t="s">
        <v>20</v>
      </c>
      <c r="I1039" s="6" t="s">
        <v>142</v>
      </c>
      <c r="J1039" s="6" t="s">
        <v>21</v>
      </c>
      <c r="K1039" s="6"/>
      <c r="L1039" s="6" t="s">
        <v>154</v>
      </c>
      <c r="M1039" s="6" t="s">
        <v>22</v>
      </c>
      <c r="N1039" s="6" t="s">
        <v>23</v>
      </c>
      <c r="O1039" s="6" t="s">
        <v>27</v>
      </c>
      <c r="P1039" s="6" t="s">
        <v>144</v>
      </c>
      <c r="Q1039" s="22">
        <v>151</v>
      </c>
      <c r="R1039" s="23">
        <v>6</v>
      </c>
      <c r="S1039" s="39">
        <v>1</v>
      </c>
      <c r="T1039" s="7"/>
      <c r="U1039" s="7" t="s">
        <v>2913</v>
      </c>
      <c r="V1039" s="7" t="str">
        <f>+IF(U1039="","",IF(U1039="FINES",CONCATENATE("R",IF(OR(B1039="16",B1039="21",B1039="22",B1039="23"),"16212223",IF(OR(B1039="15",B1039="17",B1039="24",B1039="25"),"15172425",B1039))),IF(U1039="CEBAS","UNICO",IF(VALUE(B1039)&lt;=11,"AMBA","INTERIOR"))))</f>
        <v>AMBA</v>
      </c>
      <c r="W1039" s="38" t="str">
        <f>+IF(U1039="","-",CONCATENATE(U1039,"_",V1039))</f>
        <v>CENS_AMBA</v>
      </c>
      <c r="X1039" s="42">
        <v>0.80300000000000005</v>
      </c>
    </row>
    <row r="1040" spans="1:24" ht="15" thickBot="1">
      <c r="A1040" s="3" t="s">
        <v>2916</v>
      </c>
      <c r="B1040" s="3" t="s">
        <v>817</v>
      </c>
      <c r="C1040" s="3" t="s">
        <v>2080</v>
      </c>
      <c r="D1040" s="3" t="s">
        <v>2081</v>
      </c>
      <c r="E1040" s="3">
        <v>623652</v>
      </c>
      <c r="F1040" s="3">
        <v>0</v>
      </c>
      <c r="G1040" s="3" t="s">
        <v>2143</v>
      </c>
      <c r="H1040" s="3" t="s">
        <v>20</v>
      </c>
      <c r="I1040" s="4" t="s">
        <v>142</v>
      </c>
      <c r="J1040" s="4" t="s">
        <v>21</v>
      </c>
      <c r="K1040" s="4"/>
      <c r="L1040" s="4" t="s">
        <v>341</v>
      </c>
      <c r="M1040" s="4" t="s">
        <v>22</v>
      </c>
      <c r="N1040" s="4" t="s">
        <v>23</v>
      </c>
      <c r="O1040" s="4" t="s">
        <v>27</v>
      </c>
      <c r="P1040" s="4" t="s">
        <v>144</v>
      </c>
      <c r="Q1040" s="24">
        <v>155</v>
      </c>
      <c r="R1040" s="25">
        <v>9</v>
      </c>
      <c r="S1040" s="39">
        <v>1</v>
      </c>
      <c r="T1040" s="7"/>
      <c r="U1040" t="s">
        <v>2913</v>
      </c>
      <c r="V1040" s="7" t="str">
        <f>+IF(U1040="","",IF(U1040="FINES",CONCATENATE("R",IF(OR(B1040="16",B1040="21",B1040="22",B1040="23"),"16212223",IF(OR(B1040="15",B1040="17",B1040="24",B1040="25"),"15172425",B1040))),IF(U1040="CEBAS","UNICO",IF(VALUE(B1040)&lt;=11,"AMBA","INTERIOR"))))</f>
        <v>AMBA</v>
      </c>
      <c r="W1040" s="38" t="str">
        <f>+IF(U1040="","-",CONCATENATE(U1040,"_",V1040))</f>
        <v>CENS_AMBA</v>
      </c>
      <c r="X1040" s="42">
        <v>0.81</v>
      </c>
    </row>
    <row r="1041" spans="1:24" ht="15" thickBot="1">
      <c r="A1041" s="3" t="s">
        <v>2916</v>
      </c>
      <c r="B1041" s="3" t="s">
        <v>1532</v>
      </c>
      <c r="C1041" s="3" t="s">
        <v>1530</v>
      </c>
      <c r="D1041" s="3" t="s">
        <v>1531</v>
      </c>
      <c r="E1041" s="3">
        <v>623609</v>
      </c>
      <c r="F1041" s="3">
        <v>0</v>
      </c>
      <c r="G1041" s="3" t="s">
        <v>1695</v>
      </c>
      <c r="H1041" s="3" t="s">
        <v>20</v>
      </c>
      <c r="I1041" s="4" t="s">
        <v>142</v>
      </c>
      <c r="J1041" s="4" t="s">
        <v>21</v>
      </c>
      <c r="K1041" s="4"/>
      <c r="L1041" s="4" t="s">
        <v>170</v>
      </c>
      <c r="M1041" s="4" t="s">
        <v>22</v>
      </c>
      <c r="N1041" s="4" t="s">
        <v>23</v>
      </c>
      <c r="O1041" s="4" t="s">
        <v>27</v>
      </c>
      <c r="P1041" s="4" t="s">
        <v>144</v>
      </c>
      <c r="Q1041" s="24">
        <v>111</v>
      </c>
      <c r="R1041" s="25">
        <v>8</v>
      </c>
      <c r="S1041" s="39">
        <v>1</v>
      </c>
      <c r="T1041" s="7"/>
      <c r="U1041" t="s">
        <v>2913</v>
      </c>
      <c r="V1041" s="7" t="str">
        <f>+IF(U1041="","",IF(U1041="FINES",CONCATENATE("R",IF(OR(B1041="16",B1041="21",B1041="22",B1041="23"),"16212223",IF(OR(B1041="15",B1041="17",B1041="24",B1041="25"),"15172425",B1041))),IF(U1041="CEBAS","UNICO",IF(VALUE(B1041)&lt;=11,"AMBA","INTERIOR"))))</f>
        <v>AMBA</v>
      </c>
      <c r="W1041" s="38" t="str">
        <f>+IF(U1041="","-",CONCATENATE(U1041,"_",V1041))</f>
        <v>CENS_AMBA</v>
      </c>
      <c r="X1041" s="42">
        <v>0.81100000000000005</v>
      </c>
    </row>
    <row r="1042" spans="1:24" ht="15" thickBot="1">
      <c r="A1042" s="5" t="s">
        <v>2916</v>
      </c>
      <c r="B1042" s="5" t="s">
        <v>1257</v>
      </c>
      <c r="C1042" s="5" t="s">
        <v>2237</v>
      </c>
      <c r="D1042" s="5" t="s">
        <v>2238</v>
      </c>
      <c r="E1042" s="5">
        <v>614309</v>
      </c>
      <c r="F1042" s="5">
        <v>0</v>
      </c>
      <c r="G1042" s="5" t="s">
        <v>2265</v>
      </c>
      <c r="H1042" s="5" t="s">
        <v>20</v>
      </c>
      <c r="I1042" s="6" t="s">
        <v>142</v>
      </c>
      <c r="J1042" s="6" t="s">
        <v>21</v>
      </c>
      <c r="K1042" s="6"/>
      <c r="L1042" s="6" t="s">
        <v>2266</v>
      </c>
      <c r="M1042" s="6" t="s">
        <v>22</v>
      </c>
      <c r="N1042" s="6" t="s">
        <v>23</v>
      </c>
      <c r="O1042" s="6" t="s">
        <v>27</v>
      </c>
      <c r="P1042" s="6" t="s">
        <v>144</v>
      </c>
      <c r="Q1042" s="22">
        <v>146</v>
      </c>
      <c r="R1042" s="23">
        <v>9</v>
      </c>
      <c r="S1042" s="39">
        <v>1</v>
      </c>
      <c r="T1042" s="7"/>
      <c r="U1042" t="s">
        <v>2913</v>
      </c>
      <c r="V1042" s="7" t="str">
        <f>+IF(U1042="","",IF(U1042="FINES",CONCATENATE("R",IF(OR(B1042="16",B1042="21",B1042="22",B1042="23"),"16212223",IF(OR(B1042="15",B1042="17",B1042="24",B1042="25"),"15172425",B1042))),IF(U1042="CEBAS","UNICO",IF(VALUE(B1042)&lt;=11,"AMBA","INTERIOR"))))</f>
        <v>AMBA</v>
      </c>
      <c r="W1042" s="38" t="str">
        <f>+IF(U1042="","-",CONCATENATE(U1042,"_",V1042))</f>
        <v>CENS_AMBA</v>
      </c>
      <c r="X1042" s="42">
        <v>0.81299999999999994</v>
      </c>
    </row>
    <row r="1043" spans="1:24" ht="15" thickBot="1">
      <c r="A1043" s="5" t="s">
        <v>2916</v>
      </c>
      <c r="B1043" s="5" t="s">
        <v>1860</v>
      </c>
      <c r="C1043" s="5" t="s">
        <v>1858</v>
      </c>
      <c r="D1043" s="5" t="s">
        <v>1859</v>
      </c>
      <c r="E1043" s="5">
        <v>623747</v>
      </c>
      <c r="F1043" s="5">
        <v>0</v>
      </c>
      <c r="G1043" s="5" t="s">
        <v>1915</v>
      </c>
      <c r="H1043" s="5" t="s">
        <v>20</v>
      </c>
      <c r="I1043" s="6" t="s">
        <v>142</v>
      </c>
      <c r="J1043" s="6" t="s">
        <v>21</v>
      </c>
      <c r="K1043" s="6"/>
      <c r="L1043" s="6" t="s">
        <v>166</v>
      </c>
      <c r="M1043" s="6" t="s">
        <v>22</v>
      </c>
      <c r="N1043" s="6" t="s">
        <v>23</v>
      </c>
      <c r="O1043" s="6" t="s">
        <v>27</v>
      </c>
      <c r="P1043" s="6" t="s">
        <v>144</v>
      </c>
      <c r="Q1043" s="22">
        <v>98</v>
      </c>
      <c r="R1043" s="23">
        <v>3</v>
      </c>
      <c r="S1043" s="39">
        <v>1</v>
      </c>
      <c r="T1043" s="7"/>
      <c r="U1043" t="s">
        <v>2913</v>
      </c>
      <c r="V1043" s="7" t="str">
        <f>+IF(U1043="","",IF(U1043="FINES",CONCATENATE("R",IF(OR(B1043="16",B1043="21",B1043="22",B1043="23"),"16212223",IF(OR(B1043="15",B1043="17",B1043="24",B1043="25"),"15172425",B1043))),IF(U1043="CEBAS","UNICO",IF(VALUE(B1043)&lt;=11,"AMBA","INTERIOR"))))</f>
        <v>AMBA</v>
      </c>
      <c r="W1043" s="38" t="str">
        <f>+IF(U1043="","-",CONCATENATE(U1043,"_",V1043))</f>
        <v>CENS_AMBA</v>
      </c>
      <c r="X1043" s="42">
        <v>0.81699999999999995</v>
      </c>
    </row>
    <row r="1044" spans="1:24" ht="15" thickBot="1">
      <c r="A1044" s="3" t="s">
        <v>2916</v>
      </c>
      <c r="B1044" s="3" t="s">
        <v>138</v>
      </c>
      <c r="C1044" s="3" t="s">
        <v>540</v>
      </c>
      <c r="D1044" s="3" t="s">
        <v>1766</v>
      </c>
      <c r="E1044" s="3">
        <v>611520</v>
      </c>
      <c r="F1044" s="3">
        <v>0</v>
      </c>
      <c r="G1044" s="3" t="s">
        <v>1774</v>
      </c>
      <c r="H1044" s="3" t="s">
        <v>20</v>
      </c>
      <c r="I1044" s="4" t="s">
        <v>142</v>
      </c>
      <c r="J1044" s="4" t="s">
        <v>21</v>
      </c>
      <c r="K1044" s="4"/>
      <c r="L1044" s="4" t="s">
        <v>1775</v>
      </c>
      <c r="M1044" s="4" t="s">
        <v>22</v>
      </c>
      <c r="N1044" s="4" t="s">
        <v>23</v>
      </c>
      <c r="O1044" s="4" t="s">
        <v>27</v>
      </c>
      <c r="P1044" s="4" t="s">
        <v>144</v>
      </c>
      <c r="Q1044" s="24">
        <v>186</v>
      </c>
      <c r="R1044" s="25">
        <v>12</v>
      </c>
      <c r="S1044" s="39">
        <v>1</v>
      </c>
      <c r="T1044" s="7"/>
      <c r="U1044" t="s">
        <v>2913</v>
      </c>
      <c r="V1044" s="7" t="str">
        <f>+IF(U1044="","",IF(U1044="FINES",CONCATENATE("R",IF(OR(B1044="16",B1044="21",B1044="22",B1044="23"),"16212223",IF(OR(B1044="15",B1044="17",B1044="24",B1044="25"),"15172425",B1044))),IF(U1044="CEBAS","UNICO",IF(VALUE(B1044)&lt;=11,"AMBA","INTERIOR"))))</f>
        <v>AMBA</v>
      </c>
      <c r="W1044" s="38" t="str">
        <f>+IF(U1044="","-",CONCATENATE(U1044,"_",V1044))</f>
        <v>CENS_AMBA</v>
      </c>
      <c r="X1044" s="42">
        <v>0.82099999999999995</v>
      </c>
    </row>
    <row r="1045" spans="1:24" ht="15" thickBot="1">
      <c r="A1045" s="3" t="s">
        <v>2916</v>
      </c>
      <c r="B1045" s="3" t="s">
        <v>1532</v>
      </c>
      <c r="C1045" s="3" t="s">
        <v>1530</v>
      </c>
      <c r="D1045" s="3" t="s">
        <v>1531</v>
      </c>
      <c r="E1045" s="3">
        <v>623636</v>
      </c>
      <c r="F1045" s="3">
        <v>0</v>
      </c>
      <c r="G1045" s="3" t="s">
        <v>1704</v>
      </c>
      <c r="H1045" s="3" t="s">
        <v>20</v>
      </c>
      <c r="I1045" s="4" t="s">
        <v>142</v>
      </c>
      <c r="J1045" s="4" t="s">
        <v>21</v>
      </c>
      <c r="K1045" s="4"/>
      <c r="L1045" s="4" t="s">
        <v>1705</v>
      </c>
      <c r="M1045" s="4" t="s">
        <v>22</v>
      </c>
      <c r="N1045" s="4" t="s">
        <v>23</v>
      </c>
      <c r="O1045" s="4" t="s">
        <v>27</v>
      </c>
      <c r="P1045" s="4" t="s">
        <v>144</v>
      </c>
      <c r="Q1045" s="24">
        <v>108</v>
      </c>
      <c r="R1045" s="25">
        <v>9</v>
      </c>
      <c r="S1045" s="39">
        <v>1</v>
      </c>
      <c r="T1045" s="7"/>
      <c r="U1045" t="s">
        <v>2913</v>
      </c>
      <c r="V1045" s="7" t="str">
        <f>+IF(U1045="","",IF(U1045="FINES",CONCATENATE("R",IF(OR(B1045="16",B1045="21",B1045="22",B1045="23"),"16212223",IF(OR(B1045="15",B1045="17",B1045="24",B1045="25"),"15172425",B1045))),IF(U1045="CEBAS","UNICO",IF(VALUE(B1045)&lt;=11,"AMBA","INTERIOR"))))</f>
        <v>AMBA</v>
      </c>
      <c r="W1045" s="38" t="str">
        <f>+IF(U1045="","-",CONCATENATE(U1045,"_",V1045))</f>
        <v>CENS_AMBA</v>
      </c>
      <c r="X1045" s="42">
        <v>0.82299999999999995</v>
      </c>
    </row>
    <row r="1046" spans="1:24" ht="15" thickBot="1">
      <c r="A1046" s="3" t="s">
        <v>2916</v>
      </c>
      <c r="B1046" s="3" t="s">
        <v>1257</v>
      </c>
      <c r="C1046" s="3" t="s">
        <v>2237</v>
      </c>
      <c r="D1046" s="3" t="s">
        <v>2238</v>
      </c>
      <c r="E1046" s="3">
        <v>623673</v>
      </c>
      <c r="F1046" s="3">
        <v>0</v>
      </c>
      <c r="G1046" s="3" t="s">
        <v>2270</v>
      </c>
      <c r="H1046" s="3" t="s">
        <v>20</v>
      </c>
      <c r="I1046" s="4" t="s">
        <v>142</v>
      </c>
      <c r="J1046" s="4" t="s">
        <v>21</v>
      </c>
      <c r="K1046" s="4"/>
      <c r="L1046" s="4" t="s">
        <v>152</v>
      </c>
      <c r="M1046" s="4" t="s">
        <v>22</v>
      </c>
      <c r="N1046" s="4" t="s">
        <v>23</v>
      </c>
      <c r="O1046" s="4" t="s">
        <v>27</v>
      </c>
      <c r="P1046" s="4" t="s">
        <v>144</v>
      </c>
      <c r="Q1046" s="24">
        <v>109</v>
      </c>
      <c r="R1046" s="25">
        <v>7</v>
      </c>
      <c r="S1046" s="39">
        <v>1</v>
      </c>
      <c r="T1046" s="7"/>
      <c r="U1046" t="s">
        <v>2913</v>
      </c>
      <c r="V1046" s="7" t="str">
        <f>+IF(U1046="","",IF(U1046="FINES",CONCATENATE("R",IF(OR(B1046="16",B1046="21",B1046="22",B1046="23"),"16212223",IF(OR(B1046="15",B1046="17",B1046="24",B1046="25"),"15172425",B1046))),IF(U1046="CEBAS","UNICO",IF(VALUE(B1046)&lt;=11,"AMBA","INTERIOR"))))</f>
        <v>AMBA</v>
      </c>
      <c r="W1046" s="38" t="str">
        <f>+IF(U1046="","-",CONCATENATE(U1046,"_",V1046))</f>
        <v>CENS_AMBA</v>
      </c>
      <c r="X1046" s="42">
        <v>0.82399999999999995</v>
      </c>
    </row>
    <row r="1047" spans="1:24" ht="15" thickBot="1">
      <c r="A1047" s="3" t="s">
        <v>2916</v>
      </c>
      <c r="B1047" s="3" t="s">
        <v>257</v>
      </c>
      <c r="C1047" s="3" t="s">
        <v>253</v>
      </c>
      <c r="D1047" s="3" t="s">
        <v>2759</v>
      </c>
      <c r="E1047" s="3">
        <v>623666</v>
      </c>
      <c r="F1047" s="3">
        <v>0</v>
      </c>
      <c r="G1047" s="3" t="s">
        <v>2768</v>
      </c>
      <c r="H1047" s="3" t="s">
        <v>20</v>
      </c>
      <c r="I1047" s="4" t="s">
        <v>142</v>
      </c>
      <c r="J1047" s="4" t="s">
        <v>21</v>
      </c>
      <c r="K1047" s="4"/>
      <c r="L1047" s="4" t="s">
        <v>2769</v>
      </c>
      <c r="M1047" s="4" t="s">
        <v>22</v>
      </c>
      <c r="N1047" s="4" t="s">
        <v>23</v>
      </c>
      <c r="O1047" s="4" t="s">
        <v>27</v>
      </c>
      <c r="P1047" s="4" t="s">
        <v>144</v>
      </c>
      <c r="Q1047" s="24">
        <v>259</v>
      </c>
      <c r="R1047" s="25">
        <v>9</v>
      </c>
      <c r="S1047" s="39">
        <v>1</v>
      </c>
      <c r="T1047" s="7"/>
      <c r="U1047" s="7" t="s">
        <v>2913</v>
      </c>
      <c r="V1047" s="7" t="str">
        <f>+IF(U1047="","",IF(U1047="FINES",CONCATENATE("R",IF(OR(B1047="16",B1047="21",B1047="22",B1047="23"),"16212223",IF(OR(B1047="15",B1047="17",B1047="24",B1047="25"),"15172425",B1047))),IF(U1047="CEBAS","UNICO",IF(VALUE(B1047)&lt;=11,"AMBA","INTERIOR"))))</f>
        <v>AMBA</v>
      </c>
      <c r="W1047" s="38" t="str">
        <f>+IF(U1047="","-",CONCATENATE(U1047,"_",V1047))</f>
        <v>CENS_AMBA</v>
      </c>
      <c r="X1047" s="42">
        <v>0.82499999999999996</v>
      </c>
    </row>
    <row r="1048" spans="1:24" ht="15" thickBot="1">
      <c r="A1048" s="3" t="s">
        <v>2916</v>
      </c>
      <c r="B1048" s="3" t="s">
        <v>222</v>
      </c>
      <c r="C1048" s="3" t="s">
        <v>610</v>
      </c>
      <c r="D1048" s="3" t="s">
        <v>611</v>
      </c>
      <c r="E1048" s="3">
        <v>623759</v>
      </c>
      <c r="F1048" s="3">
        <v>0</v>
      </c>
      <c r="G1048" s="3" t="s">
        <v>633</v>
      </c>
      <c r="H1048" s="3" t="s">
        <v>20</v>
      </c>
      <c r="I1048" s="4" t="s">
        <v>142</v>
      </c>
      <c r="J1048" s="4" t="s">
        <v>21</v>
      </c>
      <c r="K1048" s="4"/>
      <c r="L1048" s="4" t="s">
        <v>634</v>
      </c>
      <c r="M1048" s="4" t="s">
        <v>22</v>
      </c>
      <c r="N1048" s="4" t="s">
        <v>23</v>
      </c>
      <c r="O1048" s="4" t="s">
        <v>27</v>
      </c>
      <c r="P1048" s="4" t="s">
        <v>144</v>
      </c>
      <c r="Q1048" s="24">
        <v>57</v>
      </c>
      <c r="R1048" s="25">
        <v>3</v>
      </c>
      <c r="S1048" s="39">
        <v>1</v>
      </c>
      <c r="T1048" s="7"/>
      <c r="U1048" s="7" t="s">
        <v>2913</v>
      </c>
      <c r="V1048" s="7" t="str">
        <f>+IF(U1048="","",IF(U1048="FINES",CONCATENATE("R",IF(OR(B1048="16",B1048="21",B1048="22",B1048="23"),"16212223",IF(OR(B1048="15",B1048="17",B1048="24",B1048="25"),"15172425",B1048))),IF(U1048="CEBAS","UNICO",IF(VALUE(B1048)&lt;=11,"AMBA","INTERIOR"))))</f>
        <v>AMBA</v>
      </c>
      <c r="W1048" s="38" t="str">
        <f>+IF(U1048="","-",CONCATENATE(U1048,"_",V1048))</f>
        <v>CENS_AMBA</v>
      </c>
      <c r="X1048" s="42">
        <v>0.82799999999999996</v>
      </c>
    </row>
    <row r="1049" spans="1:24" ht="15" thickBot="1">
      <c r="A1049" s="5" t="s">
        <v>2916</v>
      </c>
      <c r="B1049" s="5" t="s">
        <v>257</v>
      </c>
      <c r="C1049" s="5" t="s">
        <v>254</v>
      </c>
      <c r="D1049" s="5" t="s">
        <v>256</v>
      </c>
      <c r="E1049" s="5">
        <v>624173</v>
      </c>
      <c r="F1049" s="5">
        <v>0</v>
      </c>
      <c r="G1049" s="5" t="s">
        <v>340</v>
      </c>
      <c r="H1049" s="5" t="s">
        <v>20</v>
      </c>
      <c r="I1049" s="6" t="s">
        <v>142</v>
      </c>
      <c r="J1049" s="6" t="s">
        <v>21</v>
      </c>
      <c r="K1049" s="6"/>
      <c r="L1049" s="6" t="s">
        <v>341</v>
      </c>
      <c r="M1049" s="6" t="s">
        <v>22</v>
      </c>
      <c r="N1049" s="6" t="s">
        <v>23</v>
      </c>
      <c r="O1049" s="6" t="s">
        <v>27</v>
      </c>
      <c r="P1049" s="6" t="s">
        <v>144</v>
      </c>
      <c r="Q1049" s="22">
        <v>90</v>
      </c>
      <c r="R1049" s="23">
        <v>3</v>
      </c>
      <c r="S1049" s="39">
        <v>1</v>
      </c>
      <c r="T1049" s="7"/>
      <c r="U1049" s="7" t="s">
        <v>2913</v>
      </c>
      <c r="V1049" s="7" t="str">
        <f>+IF(U1049="","",IF(U1049="FINES",CONCATENATE("R",IF(OR(B1049="16",B1049="21",B1049="22",B1049="23"),"16212223",IF(OR(B1049="15",B1049="17",B1049="24",B1049="25"),"15172425",B1049))),IF(U1049="CEBAS","UNICO",IF(VALUE(B1049)&lt;=11,"AMBA","INTERIOR"))))</f>
        <v>AMBA</v>
      </c>
      <c r="W1049" s="38" t="str">
        <f>+IF(U1049="","-",CONCATENATE(U1049,"_",V1049))</f>
        <v>CENS_AMBA</v>
      </c>
      <c r="X1049" s="42">
        <v>0.83</v>
      </c>
    </row>
    <row r="1050" spans="1:24" ht="15" thickBot="1">
      <c r="A1050" s="3" t="s">
        <v>2916</v>
      </c>
      <c r="B1050" s="3" t="s">
        <v>1780</v>
      </c>
      <c r="C1050" s="3" t="s">
        <v>1248</v>
      </c>
      <c r="D1050" s="3" t="s">
        <v>2348</v>
      </c>
      <c r="E1050" s="3">
        <v>600527</v>
      </c>
      <c r="F1050" s="3">
        <v>0</v>
      </c>
      <c r="G1050" s="3" t="s">
        <v>2371</v>
      </c>
      <c r="H1050" s="3" t="s">
        <v>20</v>
      </c>
      <c r="I1050" s="4" t="s">
        <v>142</v>
      </c>
      <c r="J1050" s="4" t="s">
        <v>21</v>
      </c>
      <c r="K1050" s="4"/>
      <c r="L1050" s="4" t="s">
        <v>143</v>
      </c>
      <c r="M1050" s="4" t="s">
        <v>22</v>
      </c>
      <c r="N1050" s="4" t="s">
        <v>23</v>
      </c>
      <c r="O1050" s="4" t="s">
        <v>27</v>
      </c>
      <c r="P1050" s="4" t="s">
        <v>144</v>
      </c>
      <c r="Q1050" s="24">
        <v>132</v>
      </c>
      <c r="R1050" s="25">
        <v>6</v>
      </c>
      <c r="S1050" s="39">
        <v>1</v>
      </c>
      <c r="T1050" s="7"/>
      <c r="U1050" s="7" t="s">
        <v>2913</v>
      </c>
      <c r="V1050" s="7" t="str">
        <f>+IF(U1050="","",IF(U1050="FINES",CONCATENATE("R",IF(OR(B1050="16",B1050="21",B1050="22",B1050="23"),"16212223",IF(OR(B1050="15",B1050="17",B1050="24",B1050="25"),"15172425",B1050))),IF(U1050="CEBAS","UNICO",IF(VALUE(B1050)&lt;=11,"AMBA","INTERIOR"))))</f>
        <v>AMBA</v>
      </c>
      <c r="W1050" s="38" t="str">
        <f>+IF(U1050="","-",CONCATENATE(U1050,"_",V1050))</f>
        <v>CENS_AMBA</v>
      </c>
      <c r="X1050" s="42">
        <v>0.83199999999999996</v>
      </c>
    </row>
    <row r="1051" spans="1:24" ht="15" thickBot="1">
      <c r="A1051" s="3" t="s">
        <v>2916</v>
      </c>
      <c r="B1051" s="3" t="s">
        <v>817</v>
      </c>
      <c r="C1051" s="3" t="s">
        <v>815</v>
      </c>
      <c r="D1051" s="3" t="s">
        <v>816</v>
      </c>
      <c r="E1051" s="3">
        <v>623648</v>
      </c>
      <c r="F1051" s="3">
        <v>0</v>
      </c>
      <c r="G1051" s="3" t="s">
        <v>868</v>
      </c>
      <c r="H1051" s="3" t="s">
        <v>20</v>
      </c>
      <c r="I1051" s="4" t="s">
        <v>142</v>
      </c>
      <c r="J1051" s="4" t="s">
        <v>21</v>
      </c>
      <c r="K1051" s="4"/>
      <c r="L1051" s="4" t="s">
        <v>154</v>
      </c>
      <c r="M1051" s="4" t="s">
        <v>22</v>
      </c>
      <c r="N1051" s="4" t="s">
        <v>23</v>
      </c>
      <c r="O1051" s="4" t="s">
        <v>27</v>
      </c>
      <c r="P1051" s="4" t="s">
        <v>144</v>
      </c>
      <c r="Q1051" s="24">
        <v>77</v>
      </c>
      <c r="R1051" s="25">
        <v>6</v>
      </c>
      <c r="S1051" s="39">
        <v>1</v>
      </c>
      <c r="T1051" s="7"/>
      <c r="U1051" s="7" t="s">
        <v>2913</v>
      </c>
      <c r="V1051" s="7" t="str">
        <f>+IF(U1051="","",IF(U1051="FINES",CONCATENATE("R",IF(OR(B1051="16",B1051="21",B1051="22",B1051="23"),"16212223",IF(OR(B1051="15",B1051="17",B1051="24",B1051="25"),"15172425",B1051))),IF(U1051="CEBAS","UNICO",IF(VALUE(B1051)&lt;=11,"AMBA","INTERIOR"))))</f>
        <v>AMBA</v>
      </c>
      <c r="W1051" s="38" t="str">
        <f>+IF(U1051="","-",CONCATENATE(U1051,"_",V1051))</f>
        <v>CENS_AMBA</v>
      </c>
      <c r="X1051" s="42">
        <v>0.83399999999999996</v>
      </c>
    </row>
    <row r="1052" spans="1:24" ht="15" thickBot="1">
      <c r="A1052" s="5" t="s">
        <v>2916</v>
      </c>
      <c r="B1052" s="5" t="s">
        <v>1780</v>
      </c>
      <c r="C1052" s="5" t="s">
        <v>238</v>
      </c>
      <c r="D1052" s="5" t="s">
        <v>2887</v>
      </c>
      <c r="E1052" s="5">
        <v>623705</v>
      </c>
      <c r="F1052" s="5">
        <v>0</v>
      </c>
      <c r="G1052" s="5" t="s">
        <v>2901</v>
      </c>
      <c r="H1052" s="5" t="s">
        <v>20</v>
      </c>
      <c r="I1052" s="6" t="s">
        <v>142</v>
      </c>
      <c r="J1052" s="6" t="s">
        <v>21</v>
      </c>
      <c r="K1052" s="6"/>
      <c r="L1052" s="6" t="s">
        <v>636</v>
      </c>
      <c r="M1052" s="6" t="s">
        <v>22</v>
      </c>
      <c r="N1052" s="6" t="s">
        <v>23</v>
      </c>
      <c r="O1052" s="6" t="s">
        <v>27</v>
      </c>
      <c r="P1052" s="6" t="s">
        <v>144</v>
      </c>
      <c r="Q1052" s="22">
        <v>144</v>
      </c>
      <c r="R1052" s="23">
        <v>11</v>
      </c>
      <c r="S1052" s="39">
        <v>1</v>
      </c>
      <c r="T1052" s="7"/>
      <c r="U1052" s="7" t="s">
        <v>2913</v>
      </c>
      <c r="V1052" s="7" t="str">
        <f>+IF(U1052="","",IF(U1052="FINES",CONCATENATE("R",IF(OR(B1052="16",B1052="21",B1052="22",B1052="23"),"16212223",IF(OR(B1052="15",B1052="17",B1052="24",B1052="25"),"15172425",B1052))),IF(U1052="CEBAS","UNICO",IF(VALUE(B1052)&lt;=11,"AMBA","INTERIOR"))))</f>
        <v>AMBA</v>
      </c>
      <c r="W1052" s="38" t="str">
        <f>+IF(U1052="","-",CONCATENATE(U1052,"_",V1052))</f>
        <v>CENS_AMBA</v>
      </c>
      <c r="X1052" s="42">
        <v>0.83899999999999997</v>
      </c>
    </row>
    <row r="1053" spans="1:24" ht="15" thickBot="1">
      <c r="A1053" s="5" t="s">
        <v>2916</v>
      </c>
      <c r="B1053" s="5" t="s">
        <v>1860</v>
      </c>
      <c r="C1053" s="5" t="s">
        <v>1858</v>
      </c>
      <c r="D1053" s="5" t="s">
        <v>1859</v>
      </c>
      <c r="E1053" s="5">
        <v>623745</v>
      </c>
      <c r="F1053" s="5">
        <v>0</v>
      </c>
      <c r="G1053" s="5" t="s">
        <v>1913</v>
      </c>
      <c r="H1053" s="5" t="s">
        <v>20</v>
      </c>
      <c r="I1053" s="6" t="s">
        <v>142</v>
      </c>
      <c r="J1053" s="6" t="s">
        <v>21</v>
      </c>
      <c r="K1053" s="6"/>
      <c r="L1053" s="6" t="s">
        <v>510</v>
      </c>
      <c r="M1053" s="6" t="s">
        <v>22</v>
      </c>
      <c r="N1053" s="6" t="s">
        <v>23</v>
      </c>
      <c r="O1053" s="6" t="s">
        <v>27</v>
      </c>
      <c r="P1053" s="6" t="s">
        <v>144</v>
      </c>
      <c r="Q1053" s="22">
        <v>158</v>
      </c>
      <c r="R1053" s="23">
        <v>15</v>
      </c>
      <c r="S1053" s="39">
        <v>1</v>
      </c>
      <c r="T1053" s="7"/>
      <c r="U1053" t="s">
        <v>2913</v>
      </c>
      <c r="V1053" s="7" t="str">
        <f>+IF(U1053="","",IF(U1053="FINES",CONCATENATE("R",IF(OR(B1053="16",B1053="21",B1053="22",B1053="23"),"16212223",IF(OR(B1053="15",B1053="17",B1053="24",B1053="25"),"15172425",B1053))),IF(U1053="CEBAS","UNICO",IF(VALUE(B1053)&lt;=11,"AMBA","INTERIOR"))))</f>
        <v>AMBA</v>
      </c>
      <c r="W1053" s="38" t="str">
        <f>+IF(U1053="","-",CONCATENATE(U1053,"_",V1053))</f>
        <v>CENS_AMBA</v>
      </c>
      <c r="X1053" s="42">
        <v>0.84</v>
      </c>
    </row>
    <row r="1054" spans="1:24" ht="15" thickBot="1">
      <c r="A1054" s="5" t="s">
        <v>2916</v>
      </c>
      <c r="B1054" s="5" t="s">
        <v>356</v>
      </c>
      <c r="C1054" s="5" t="s">
        <v>1359</v>
      </c>
      <c r="D1054" s="5" t="s">
        <v>1360</v>
      </c>
      <c r="E1054" s="5">
        <v>624011</v>
      </c>
      <c r="F1054" s="5">
        <v>0</v>
      </c>
      <c r="G1054" s="5" t="s">
        <v>1445</v>
      </c>
      <c r="H1054" s="5" t="s">
        <v>20</v>
      </c>
      <c r="I1054" s="6" t="s">
        <v>142</v>
      </c>
      <c r="J1054" s="6" t="s">
        <v>21</v>
      </c>
      <c r="K1054" s="6"/>
      <c r="L1054" s="6" t="s">
        <v>1147</v>
      </c>
      <c r="M1054" s="6" t="s">
        <v>22</v>
      </c>
      <c r="N1054" s="6" t="s">
        <v>23</v>
      </c>
      <c r="O1054" s="6" t="s">
        <v>27</v>
      </c>
      <c r="P1054" s="6" t="s">
        <v>144</v>
      </c>
      <c r="Q1054" s="22">
        <v>181</v>
      </c>
      <c r="R1054" s="23">
        <v>9</v>
      </c>
      <c r="S1054" s="39">
        <v>1</v>
      </c>
      <c r="T1054" s="7"/>
      <c r="U1054" t="s">
        <v>2913</v>
      </c>
      <c r="V1054" s="7" t="str">
        <f>+IF(U1054="","",IF(U1054="FINES",CONCATENATE("R",IF(OR(B1054="16",B1054="21",B1054="22",B1054="23"),"16212223",IF(OR(B1054="15",B1054="17",B1054="24",B1054="25"),"15172425",B1054))),IF(U1054="CEBAS","UNICO",IF(VALUE(B1054)&lt;=11,"AMBA","INTERIOR"))))</f>
        <v>AMBA</v>
      </c>
      <c r="W1054" s="38" t="str">
        <f>+IF(U1054="","-",CONCATENATE(U1054,"_",V1054))</f>
        <v>CENS_AMBA</v>
      </c>
      <c r="X1054" s="42">
        <v>0.84</v>
      </c>
    </row>
    <row r="1055" spans="1:24" ht="15" thickBot="1">
      <c r="A1055" s="3" t="s">
        <v>2916</v>
      </c>
      <c r="B1055" s="3" t="s">
        <v>817</v>
      </c>
      <c r="C1055" s="3" t="s">
        <v>2080</v>
      </c>
      <c r="D1055" s="3" t="s">
        <v>2081</v>
      </c>
      <c r="E1055" s="3">
        <v>608181</v>
      </c>
      <c r="F1055" s="3">
        <v>0</v>
      </c>
      <c r="G1055" s="3" t="s">
        <v>2138</v>
      </c>
      <c r="H1055" s="3" t="s">
        <v>20</v>
      </c>
      <c r="I1055" s="4" t="s">
        <v>142</v>
      </c>
      <c r="J1055" s="4" t="s">
        <v>21</v>
      </c>
      <c r="K1055" s="4"/>
      <c r="L1055" s="4" t="s">
        <v>143</v>
      </c>
      <c r="M1055" s="4" t="s">
        <v>22</v>
      </c>
      <c r="N1055" s="4" t="s">
        <v>23</v>
      </c>
      <c r="O1055" s="4" t="s">
        <v>27</v>
      </c>
      <c r="P1055" s="4" t="s">
        <v>144</v>
      </c>
      <c r="Q1055" s="24">
        <v>331</v>
      </c>
      <c r="R1055" s="25">
        <v>7</v>
      </c>
      <c r="S1055" s="39">
        <v>1</v>
      </c>
      <c r="T1055" s="7"/>
      <c r="U1055" t="s">
        <v>2913</v>
      </c>
      <c r="V1055" s="7" t="str">
        <f>+IF(U1055="","",IF(U1055="FINES",CONCATENATE("R",IF(OR(B1055="16",B1055="21",B1055="22",B1055="23"),"16212223",IF(OR(B1055="15",B1055="17",B1055="24",B1055="25"),"15172425",B1055))),IF(U1055="CEBAS","UNICO",IF(VALUE(B1055)&lt;=11,"AMBA","INTERIOR"))))</f>
        <v>AMBA</v>
      </c>
      <c r="W1055" s="38" t="str">
        <f>+IF(U1055="","-",CONCATENATE(U1055,"_",V1055))</f>
        <v>CENS_AMBA</v>
      </c>
      <c r="X1055" s="42">
        <v>0.84399999999999997</v>
      </c>
    </row>
    <row r="1056" spans="1:24" ht="15" thickBot="1">
      <c r="A1056" s="5" t="s">
        <v>2916</v>
      </c>
      <c r="B1056" s="5" t="s">
        <v>257</v>
      </c>
      <c r="C1056" s="5" t="s">
        <v>772</v>
      </c>
      <c r="D1056" s="5" t="s">
        <v>773</v>
      </c>
      <c r="E1056" s="5">
        <v>623661</v>
      </c>
      <c r="F1056" s="5">
        <v>0</v>
      </c>
      <c r="G1056" s="5" t="s">
        <v>801</v>
      </c>
      <c r="H1056" s="5" t="s">
        <v>20</v>
      </c>
      <c r="I1056" s="6" t="s">
        <v>142</v>
      </c>
      <c r="J1056" s="6" t="s">
        <v>21</v>
      </c>
      <c r="K1056" s="6"/>
      <c r="L1056" s="6" t="s">
        <v>802</v>
      </c>
      <c r="M1056" s="6" t="s">
        <v>22</v>
      </c>
      <c r="N1056" s="6" t="s">
        <v>23</v>
      </c>
      <c r="O1056" s="6" t="s">
        <v>27</v>
      </c>
      <c r="P1056" s="6" t="s">
        <v>144</v>
      </c>
      <c r="Q1056" s="22">
        <v>139</v>
      </c>
      <c r="R1056" s="23">
        <v>9</v>
      </c>
      <c r="S1056" s="39">
        <v>1</v>
      </c>
      <c r="T1056" s="7"/>
      <c r="U1056" t="s">
        <v>2913</v>
      </c>
      <c r="V1056" s="7" t="str">
        <f>+IF(U1056="","",IF(U1056="FINES",CONCATENATE("R",IF(OR(B1056="16",B1056="21",B1056="22",B1056="23"),"16212223",IF(OR(B1056="15",B1056="17",B1056="24",B1056="25"),"15172425",B1056))),IF(U1056="CEBAS","UNICO",IF(VALUE(B1056)&lt;=11,"AMBA","INTERIOR"))))</f>
        <v>AMBA</v>
      </c>
      <c r="W1056" s="38" t="str">
        <f>+IF(U1056="","-",CONCATENATE(U1056,"_",V1056))</f>
        <v>CENS_AMBA</v>
      </c>
      <c r="X1056" s="42">
        <v>0.84399999999999997</v>
      </c>
    </row>
    <row r="1057" spans="1:24" ht="15" thickBot="1">
      <c r="A1057" s="5" t="s">
        <v>2916</v>
      </c>
      <c r="B1057" s="5" t="s">
        <v>19</v>
      </c>
      <c r="C1057" s="5" t="s">
        <v>644</v>
      </c>
      <c r="D1057" s="5" t="s">
        <v>2862</v>
      </c>
      <c r="E1057" s="5">
        <v>623595</v>
      </c>
      <c r="F1057" s="5">
        <v>0</v>
      </c>
      <c r="G1057" s="5" t="s">
        <v>2864</v>
      </c>
      <c r="H1057" s="5" t="s">
        <v>20</v>
      </c>
      <c r="I1057" s="6" t="s">
        <v>142</v>
      </c>
      <c r="J1057" s="6" t="s">
        <v>21</v>
      </c>
      <c r="K1057" s="6"/>
      <c r="L1057" s="6" t="s">
        <v>251</v>
      </c>
      <c r="M1057" s="6" t="s">
        <v>22</v>
      </c>
      <c r="N1057" s="6" t="s">
        <v>23</v>
      </c>
      <c r="O1057" s="6" t="s">
        <v>27</v>
      </c>
      <c r="P1057" s="6" t="s">
        <v>144</v>
      </c>
      <c r="Q1057" s="22">
        <v>95</v>
      </c>
      <c r="R1057" s="23">
        <v>6</v>
      </c>
      <c r="S1057" s="39">
        <v>1</v>
      </c>
      <c r="T1057" s="7"/>
      <c r="U1057" t="s">
        <v>2913</v>
      </c>
      <c r="V1057" s="7" t="str">
        <f>+IF(U1057="","",IF(U1057="FINES",CONCATENATE("R",IF(OR(B1057="16",B1057="21",B1057="22",B1057="23"),"16212223",IF(OR(B1057="15",B1057="17",B1057="24",B1057="25"),"15172425",B1057))),IF(U1057="CEBAS","UNICO",IF(VALUE(B1057)&lt;=11,"AMBA","INTERIOR"))))</f>
        <v>AMBA</v>
      </c>
      <c r="W1057" s="38" t="str">
        <f>+IF(U1057="","-",CONCATENATE(U1057,"_",V1057))</f>
        <v>CENS_AMBA</v>
      </c>
      <c r="X1057" s="42">
        <v>0.84499999999999997</v>
      </c>
    </row>
    <row r="1058" spans="1:24" ht="15" thickBot="1">
      <c r="A1058" s="3" t="s">
        <v>2916</v>
      </c>
      <c r="B1058" s="3" t="s">
        <v>204</v>
      </c>
      <c r="C1058" s="3" t="s">
        <v>219</v>
      </c>
      <c r="D1058" s="3" t="s">
        <v>2865</v>
      </c>
      <c r="E1058" s="3">
        <v>623164</v>
      </c>
      <c r="F1058" s="3">
        <v>0</v>
      </c>
      <c r="G1058" s="3" t="s">
        <v>2881</v>
      </c>
      <c r="H1058" s="3" t="s">
        <v>20</v>
      </c>
      <c r="I1058" s="4" t="s">
        <v>142</v>
      </c>
      <c r="J1058" s="4" t="s">
        <v>21</v>
      </c>
      <c r="K1058" s="4"/>
      <c r="L1058" s="4" t="s">
        <v>143</v>
      </c>
      <c r="M1058" s="4" t="s">
        <v>22</v>
      </c>
      <c r="N1058" s="4" t="s">
        <v>23</v>
      </c>
      <c r="O1058" s="4" t="s">
        <v>27</v>
      </c>
      <c r="P1058" s="4" t="s">
        <v>144</v>
      </c>
      <c r="Q1058" s="24">
        <v>129</v>
      </c>
      <c r="R1058" s="25">
        <v>6</v>
      </c>
      <c r="S1058" s="39">
        <v>1</v>
      </c>
      <c r="T1058" s="7"/>
      <c r="U1058" t="s">
        <v>2913</v>
      </c>
      <c r="V1058" s="7" t="str">
        <f>+IF(U1058="","",IF(U1058="FINES",CONCATENATE("R",IF(OR(B1058="16",B1058="21",B1058="22",B1058="23"),"16212223",IF(OR(B1058="15",B1058="17",B1058="24",B1058="25"),"15172425",B1058))),IF(U1058="CEBAS","UNICO",IF(VALUE(B1058)&lt;=11,"AMBA","INTERIOR"))))</f>
        <v>AMBA</v>
      </c>
      <c r="W1058" s="38" t="str">
        <f>+IF(U1058="","-",CONCATENATE(U1058,"_",V1058))</f>
        <v>CENS_AMBA</v>
      </c>
      <c r="X1058" s="42">
        <v>0.84499999999999997</v>
      </c>
    </row>
    <row r="1059" spans="1:24" ht="15" thickBot="1">
      <c r="A1059" s="5" t="s">
        <v>2916</v>
      </c>
      <c r="B1059" s="5" t="s">
        <v>204</v>
      </c>
      <c r="C1059" s="5" t="s">
        <v>1084</v>
      </c>
      <c r="D1059" s="5" t="s">
        <v>1085</v>
      </c>
      <c r="E1059" s="5">
        <v>603622</v>
      </c>
      <c r="F1059" s="5">
        <v>0</v>
      </c>
      <c r="G1059" s="5" t="s">
        <v>1130</v>
      </c>
      <c r="H1059" s="5" t="s">
        <v>20</v>
      </c>
      <c r="I1059" s="6" t="s">
        <v>142</v>
      </c>
      <c r="J1059" s="6" t="s">
        <v>21</v>
      </c>
      <c r="K1059" s="6"/>
      <c r="L1059" s="6" t="s">
        <v>1131</v>
      </c>
      <c r="M1059" s="6" t="s">
        <v>22</v>
      </c>
      <c r="N1059" s="6" t="s">
        <v>23</v>
      </c>
      <c r="O1059" s="6" t="s">
        <v>27</v>
      </c>
      <c r="P1059" s="6" t="s">
        <v>144</v>
      </c>
      <c r="Q1059" s="22">
        <v>74</v>
      </c>
      <c r="R1059" s="23">
        <v>7</v>
      </c>
      <c r="S1059" s="39">
        <v>1</v>
      </c>
      <c r="T1059" s="7"/>
      <c r="U1059" s="7" t="s">
        <v>2913</v>
      </c>
      <c r="V1059" s="7" t="str">
        <f>+IF(U1059="","",IF(U1059="FINES",CONCATENATE("R",IF(OR(B1059="16",B1059="21",B1059="22",B1059="23"),"16212223",IF(OR(B1059="15",B1059="17",B1059="24",B1059="25"),"15172425",B1059))),IF(U1059="CEBAS","UNICO",IF(VALUE(B1059)&lt;=11,"AMBA","INTERIOR"))))</f>
        <v>AMBA</v>
      </c>
      <c r="W1059" s="38" t="str">
        <f>+IF(U1059="","-",CONCATENATE(U1059,"_",V1059))</f>
        <v>CENS_AMBA</v>
      </c>
      <c r="X1059" s="42">
        <v>0.85099999999999998</v>
      </c>
    </row>
    <row r="1060" spans="1:24" ht="15" thickBot="1">
      <c r="A1060" s="5" t="s">
        <v>2916</v>
      </c>
      <c r="B1060" s="5" t="s">
        <v>204</v>
      </c>
      <c r="C1060" s="5" t="s">
        <v>137</v>
      </c>
      <c r="D1060" s="5" t="s">
        <v>2629</v>
      </c>
      <c r="E1060" s="5">
        <v>623699</v>
      </c>
      <c r="F1060" s="5">
        <v>0</v>
      </c>
      <c r="G1060" s="5" t="s">
        <v>2655</v>
      </c>
      <c r="H1060" s="5" t="s">
        <v>20</v>
      </c>
      <c r="I1060" s="6" t="s">
        <v>142</v>
      </c>
      <c r="J1060" s="6" t="s">
        <v>21</v>
      </c>
      <c r="K1060" s="6"/>
      <c r="L1060" s="6" t="s">
        <v>154</v>
      </c>
      <c r="M1060" s="6" t="s">
        <v>22</v>
      </c>
      <c r="N1060" s="6" t="s">
        <v>23</v>
      </c>
      <c r="O1060" s="6" t="s">
        <v>27</v>
      </c>
      <c r="P1060" s="6" t="s">
        <v>144</v>
      </c>
      <c r="Q1060" s="22">
        <v>61</v>
      </c>
      <c r="R1060" s="23">
        <v>3</v>
      </c>
      <c r="S1060" s="39">
        <v>1</v>
      </c>
      <c r="T1060" s="7"/>
      <c r="U1060" s="7" t="s">
        <v>2913</v>
      </c>
      <c r="V1060" s="7" t="str">
        <f>+IF(U1060="","",IF(U1060="FINES",CONCATENATE("R",IF(OR(B1060="16",B1060="21",B1060="22",B1060="23"),"16212223",IF(OR(B1060="15",B1060="17",B1060="24",B1060="25"),"15172425",B1060))),IF(U1060="CEBAS","UNICO",IF(VALUE(B1060)&lt;=11,"AMBA","INTERIOR"))))</f>
        <v>AMBA</v>
      </c>
      <c r="W1060" s="38" t="str">
        <f>+IF(U1060="","-",CONCATENATE(U1060,"_",V1060))</f>
        <v>CENS_AMBA</v>
      </c>
      <c r="X1060" s="42">
        <v>0.85199999999999998</v>
      </c>
    </row>
    <row r="1061" spans="1:24" ht="15" thickBot="1">
      <c r="A1061" s="3" t="s">
        <v>2916</v>
      </c>
      <c r="B1061" s="3" t="s">
        <v>1780</v>
      </c>
      <c r="C1061" s="3" t="s">
        <v>1248</v>
      </c>
      <c r="D1061" s="3" t="s">
        <v>2348</v>
      </c>
      <c r="E1061" s="3">
        <v>623722</v>
      </c>
      <c r="F1061" s="3">
        <v>0</v>
      </c>
      <c r="G1061" s="3" t="s">
        <v>2381</v>
      </c>
      <c r="H1061" s="3" t="s">
        <v>20</v>
      </c>
      <c r="I1061" s="4" t="s">
        <v>142</v>
      </c>
      <c r="J1061" s="4" t="s">
        <v>21</v>
      </c>
      <c r="K1061" s="4"/>
      <c r="L1061" s="4" t="s">
        <v>160</v>
      </c>
      <c r="M1061" s="4" t="s">
        <v>22</v>
      </c>
      <c r="N1061" s="4" t="s">
        <v>23</v>
      </c>
      <c r="O1061" s="4" t="s">
        <v>27</v>
      </c>
      <c r="P1061" s="4" t="s">
        <v>144</v>
      </c>
      <c r="Q1061" s="24">
        <v>158</v>
      </c>
      <c r="R1061" s="25">
        <v>9</v>
      </c>
      <c r="S1061" s="39">
        <v>1</v>
      </c>
      <c r="T1061" s="7"/>
      <c r="U1061" s="7" t="s">
        <v>2913</v>
      </c>
      <c r="V1061" s="7" t="str">
        <f>+IF(U1061="","",IF(U1061="FINES",CONCATENATE("R",IF(OR(B1061="16",B1061="21",B1061="22",B1061="23"),"16212223",IF(OR(B1061="15",B1061="17",B1061="24",B1061="25"),"15172425",B1061))),IF(U1061="CEBAS","UNICO",IF(VALUE(B1061)&lt;=11,"AMBA","INTERIOR"))))</f>
        <v>AMBA</v>
      </c>
      <c r="W1061" s="38" t="str">
        <f>+IF(U1061="","-",CONCATENATE(U1061,"_",V1061))</f>
        <v>CENS_AMBA</v>
      </c>
      <c r="X1061" s="42">
        <v>0.85699999999999998</v>
      </c>
    </row>
    <row r="1062" spans="1:24" ht="15" thickBot="1">
      <c r="A1062" s="5" t="s">
        <v>2916</v>
      </c>
      <c r="B1062" s="5" t="s">
        <v>1780</v>
      </c>
      <c r="C1062" s="5" t="s">
        <v>1778</v>
      </c>
      <c r="D1062" s="5" t="s">
        <v>1779</v>
      </c>
      <c r="E1062" s="5">
        <v>623717</v>
      </c>
      <c r="F1062" s="5">
        <v>0</v>
      </c>
      <c r="G1062" s="5" t="s">
        <v>1844</v>
      </c>
      <c r="H1062" s="5" t="s">
        <v>20</v>
      </c>
      <c r="I1062" s="6" t="s">
        <v>142</v>
      </c>
      <c r="J1062" s="6" t="s">
        <v>21</v>
      </c>
      <c r="K1062" s="6"/>
      <c r="L1062" s="6" t="s">
        <v>172</v>
      </c>
      <c r="M1062" s="6" t="s">
        <v>22</v>
      </c>
      <c r="N1062" s="6" t="s">
        <v>23</v>
      </c>
      <c r="O1062" s="6" t="s">
        <v>27</v>
      </c>
      <c r="P1062" s="6" t="s">
        <v>144</v>
      </c>
      <c r="Q1062" s="22">
        <v>174</v>
      </c>
      <c r="R1062" s="23">
        <v>12</v>
      </c>
      <c r="S1062" s="39">
        <v>1</v>
      </c>
      <c r="T1062" s="7"/>
      <c r="U1062" s="7" t="s">
        <v>2913</v>
      </c>
      <c r="V1062" s="7" t="str">
        <f>+IF(U1062="","",IF(U1062="FINES",CONCATENATE("R",IF(OR(B1062="16",B1062="21",B1062="22",B1062="23"),"16212223",IF(OR(B1062="15",B1062="17",B1062="24",B1062="25"),"15172425",B1062))),IF(U1062="CEBAS","UNICO",IF(VALUE(B1062)&lt;=11,"AMBA","INTERIOR"))))</f>
        <v>AMBA</v>
      </c>
      <c r="W1062" s="38" t="str">
        <f>+IF(U1062="","-",CONCATENATE(U1062,"_",V1062))</f>
        <v>CENS_AMBA</v>
      </c>
      <c r="X1062" s="42">
        <v>0.86099999999999999</v>
      </c>
    </row>
    <row r="1063" spans="1:24" ht="15" thickBot="1">
      <c r="A1063" s="3" t="s">
        <v>2916</v>
      </c>
      <c r="B1063" s="3" t="s">
        <v>138</v>
      </c>
      <c r="C1063" s="3" t="s">
        <v>540</v>
      </c>
      <c r="D1063" s="3" t="s">
        <v>1766</v>
      </c>
      <c r="E1063" s="3">
        <v>623959</v>
      </c>
      <c r="F1063" s="3">
        <v>0</v>
      </c>
      <c r="G1063" s="3" t="s">
        <v>1777</v>
      </c>
      <c r="H1063" s="3" t="s">
        <v>20</v>
      </c>
      <c r="I1063" s="4" t="s">
        <v>142</v>
      </c>
      <c r="J1063" s="4" t="s">
        <v>21</v>
      </c>
      <c r="K1063" s="4"/>
      <c r="L1063" s="4" t="s">
        <v>587</v>
      </c>
      <c r="M1063" s="4" t="s">
        <v>22</v>
      </c>
      <c r="N1063" s="4" t="s">
        <v>23</v>
      </c>
      <c r="O1063" s="4" t="s">
        <v>27</v>
      </c>
      <c r="P1063" s="4" t="s">
        <v>144</v>
      </c>
      <c r="Q1063" s="24">
        <v>97</v>
      </c>
      <c r="R1063" s="25">
        <v>6</v>
      </c>
      <c r="S1063" s="39">
        <v>1</v>
      </c>
      <c r="T1063" s="7"/>
      <c r="U1063" s="7" t="s">
        <v>2913</v>
      </c>
      <c r="V1063" s="7" t="str">
        <f>+IF(U1063="","",IF(U1063="FINES",CONCATENATE("R",IF(OR(B1063="16",B1063="21",B1063="22",B1063="23"),"16212223",IF(OR(B1063="15",B1063="17",B1063="24",B1063="25"),"15172425",B1063))),IF(U1063="CEBAS","UNICO",IF(VALUE(B1063)&lt;=11,"AMBA","INTERIOR"))))</f>
        <v>AMBA</v>
      </c>
      <c r="W1063" s="38" t="str">
        <f>+IF(U1063="","-",CONCATENATE(U1063,"_",V1063))</f>
        <v>CENS_AMBA</v>
      </c>
      <c r="X1063" s="42">
        <v>0.86199999999999999</v>
      </c>
    </row>
    <row r="1064" spans="1:24" ht="15" thickBot="1">
      <c r="A1064" s="5" t="s">
        <v>2916</v>
      </c>
      <c r="B1064" s="5" t="s">
        <v>1532</v>
      </c>
      <c r="C1064" s="5" t="s">
        <v>1530</v>
      </c>
      <c r="D1064" s="5" t="s">
        <v>1531</v>
      </c>
      <c r="E1064" s="5">
        <v>623610</v>
      </c>
      <c r="F1064" s="5">
        <v>0</v>
      </c>
      <c r="G1064" s="5" t="s">
        <v>1696</v>
      </c>
      <c r="H1064" s="5" t="s">
        <v>20</v>
      </c>
      <c r="I1064" s="6" t="s">
        <v>142</v>
      </c>
      <c r="J1064" s="6" t="s">
        <v>21</v>
      </c>
      <c r="K1064" s="6"/>
      <c r="L1064" s="6" t="s">
        <v>1697</v>
      </c>
      <c r="M1064" s="6" t="s">
        <v>22</v>
      </c>
      <c r="N1064" s="6" t="s">
        <v>23</v>
      </c>
      <c r="O1064" s="6" t="s">
        <v>27</v>
      </c>
      <c r="P1064" s="6" t="s">
        <v>144</v>
      </c>
      <c r="Q1064" s="22">
        <v>171</v>
      </c>
      <c r="R1064" s="23">
        <v>10</v>
      </c>
      <c r="S1064" s="39">
        <v>1</v>
      </c>
      <c r="T1064" s="7"/>
      <c r="U1064" s="7" t="s">
        <v>2913</v>
      </c>
      <c r="V1064" s="7" t="str">
        <f>+IF(U1064="","",IF(U1064="FINES",CONCATENATE("R",IF(OR(B1064="16",B1064="21",B1064="22",B1064="23"),"16212223",IF(OR(B1064="15",B1064="17",B1064="24",B1064="25"),"15172425",B1064))),IF(U1064="CEBAS","UNICO",IF(VALUE(B1064)&lt;=11,"AMBA","INTERIOR"))))</f>
        <v>AMBA</v>
      </c>
      <c r="W1064" s="38" t="str">
        <f>+IF(U1064="","-",CONCATENATE(U1064,"_",V1064))</f>
        <v>CENS_AMBA</v>
      </c>
      <c r="X1064" s="42">
        <v>0.86299999999999999</v>
      </c>
    </row>
    <row r="1065" spans="1:24" ht="15" thickBot="1">
      <c r="A1065" s="5" t="s">
        <v>2916</v>
      </c>
      <c r="B1065" s="5" t="s">
        <v>204</v>
      </c>
      <c r="C1065" s="5" t="s">
        <v>1084</v>
      </c>
      <c r="D1065" s="5" t="s">
        <v>1085</v>
      </c>
      <c r="E1065" s="5">
        <v>609796</v>
      </c>
      <c r="F1065" s="5">
        <v>0</v>
      </c>
      <c r="G1065" s="5" t="s">
        <v>1126</v>
      </c>
      <c r="H1065" s="5" t="s">
        <v>20</v>
      </c>
      <c r="I1065" s="6" t="s">
        <v>142</v>
      </c>
      <c r="J1065" s="6" t="s">
        <v>21</v>
      </c>
      <c r="K1065" s="6"/>
      <c r="L1065" s="6" t="s">
        <v>1127</v>
      </c>
      <c r="M1065" s="6" t="s">
        <v>22</v>
      </c>
      <c r="N1065" s="6" t="s">
        <v>23</v>
      </c>
      <c r="O1065" s="6" t="s">
        <v>27</v>
      </c>
      <c r="P1065" s="6" t="s">
        <v>144</v>
      </c>
      <c r="Q1065" s="22">
        <v>151</v>
      </c>
      <c r="R1065" s="23">
        <v>16</v>
      </c>
      <c r="S1065" s="39">
        <v>1</v>
      </c>
      <c r="T1065" s="7"/>
      <c r="U1065" t="s">
        <v>2913</v>
      </c>
      <c r="V1065" s="7" t="str">
        <f>+IF(U1065="","",IF(U1065="FINES",CONCATENATE("R",IF(OR(B1065="16",B1065="21",B1065="22",B1065="23"),"16212223",IF(OR(B1065="15",B1065="17",B1065="24",B1065="25"),"15172425",B1065))),IF(U1065="CEBAS","UNICO",IF(VALUE(B1065)&lt;=11,"AMBA","INTERIOR"))))</f>
        <v>AMBA</v>
      </c>
      <c r="W1065" s="38" t="str">
        <f>+IF(U1065="","-",CONCATENATE(U1065,"_",V1065))</f>
        <v>CENS_AMBA</v>
      </c>
      <c r="X1065" s="42">
        <v>0.86299999999999999</v>
      </c>
    </row>
    <row r="1066" spans="1:24" ht="15" thickBot="1">
      <c r="A1066" s="5" t="s">
        <v>2916</v>
      </c>
      <c r="B1066" s="5" t="s">
        <v>19</v>
      </c>
      <c r="C1066" s="5" t="s">
        <v>17</v>
      </c>
      <c r="D1066" s="5" t="s">
        <v>18</v>
      </c>
      <c r="E1066" s="5">
        <v>602867</v>
      </c>
      <c r="F1066" s="5">
        <v>0</v>
      </c>
      <c r="G1066" s="5" t="s">
        <v>153</v>
      </c>
      <c r="H1066" s="5" t="s">
        <v>20</v>
      </c>
      <c r="I1066" s="6" t="s">
        <v>142</v>
      </c>
      <c r="J1066" s="6" t="s">
        <v>21</v>
      </c>
      <c r="K1066" s="6"/>
      <c r="L1066" s="6" t="s">
        <v>154</v>
      </c>
      <c r="M1066" s="6" t="s">
        <v>22</v>
      </c>
      <c r="N1066" s="6" t="s">
        <v>23</v>
      </c>
      <c r="O1066" s="6" t="s">
        <v>27</v>
      </c>
      <c r="P1066" s="6" t="s">
        <v>144</v>
      </c>
      <c r="Q1066" s="22">
        <v>108</v>
      </c>
      <c r="R1066" s="23">
        <v>7</v>
      </c>
      <c r="S1066" s="39">
        <v>1</v>
      </c>
      <c r="T1066" s="7"/>
      <c r="U1066" s="7" t="s">
        <v>2913</v>
      </c>
      <c r="V1066" s="7" t="str">
        <f>+IF(U1066="","",IF(U1066="FINES",CONCATENATE("R",IF(OR(B1066="16",B1066="21",B1066="22",B1066="23"),"16212223",IF(OR(B1066="15",B1066="17",B1066="24",B1066="25"),"15172425",B1066))),IF(U1066="CEBAS","UNICO",IF(VALUE(B1066)&lt;=11,"AMBA","INTERIOR"))))</f>
        <v>AMBA</v>
      </c>
      <c r="W1066" s="38" t="str">
        <f>+IF(U1066="","-",CONCATENATE(U1066,"_",V1066))</f>
        <v>CENS_AMBA</v>
      </c>
      <c r="X1066" s="42">
        <v>0.86599999999999999</v>
      </c>
    </row>
    <row r="1067" spans="1:24" ht="15" thickBot="1">
      <c r="A1067" s="5" t="s">
        <v>2916</v>
      </c>
      <c r="B1067" s="5" t="s">
        <v>222</v>
      </c>
      <c r="C1067" s="5" t="s">
        <v>2047</v>
      </c>
      <c r="D1067" s="5" t="s">
        <v>2048</v>
      </c>
      <c r="E1067" s="5">
        <v>623764</v>
      </c>
      <c r="F1067" s="5">
        <v>0</v>
      </c>
      <c r="G1067" s="5" t="s">
        <v>2062</v>
      </c>
      <c r="H1067" s="5" t="s">
        <v>20</v>
      </c>
      <c r="I1067" s="6" t="s">
        <v>142</v>
      </c>
      <c r="J1067" s="6" t="s">
        <v>21</v>
      </c>
      <c r="K1067" s="6"/>
      <c r="L1067" s="6" t="s">
        <v>2063</v>
      </c>
      <c r="M1067" s="6" t="s">
        <v>22</v>
      </c>
      <c r="N1067" s="6" t="s">
        <v>23</v>
      </c>
      <c r="O1067" s="6" t="s">
        <v>27</v>
      </c>
      <c r="P1067" s="6" t="s">
        <v>144</v>
      </c>
      <c r="Q1067" s="22">
        <v>130</v>
      </c>
      <c r="R1067" s="23">
        <v>9</v>
      </c>
      <c r="S1067" s="39">
        <v>1</v>
      </c>
      <c r="T1067" s="7"/>
      <c r="U1067" t="s">
        <v>2913</v>
      </c>
      <c r="V1067" s="7" t="str">
        <f>+IF(U1067="","",IF(U1067="FINES",CONCATENATE("R",IF(OR(B1067="16",B1067="21",B1067="22",B1067="23"),"16212223",IF(OR(B1067="15",B1067="17",B1067="24",B1067="25"),"15172425",B1067))),IF(U1067="CEBAS","UNICO",IF(VALUE(B1067)&lt;=11,"AMBA","INTERIOR"))))</f>
        <v>AMBA</v>
      </c>
      <c r="W1067" s="38" t="str">
        <f>+IF(U1067="","-",CONCATENATE(U1067,"_",V1067))</f>
        <v>CENS_AMBA</v>
      </c>
      <c r="X1067" s="42">
        <v>0.86699999999999999</v>
      </c>
    </row>
    <row r="1068" spans="1:24" ht="15" thickBot="1">
      <c r="A1068" s="3" t="s">
        <v>2916</v>
      </c>
      <c r="B1068" s="3" t="s">
        <v>1860</v>
      </c>
      <c r="C1068" s="3" t="s">
        <v>1858</v>
      </c>
      <c r="D1068" s="3" t="s">
        <v>1859</v>
      </c>
      <c r="E1068" s="3">
        <v>623738</v>
      </c>
      <c r="F1068" s="3">
        <v>0</v>
      </c>
      <c r="G1068" s="3" t="s">
        <v>1907</v>
      </c>
      <c r="H1068" s="3" t="s">
        <v>20</v>
      </c>
      <c r="I1068" s="4" t="s">
        <v>142</v>
      </c>
      <c r="J1068" s="4" t="s">
        <v>21</v>
      </c>
      <c r="K1068" s="4"/>
      <c r="L1068" s="4" t="s">
        <v>152</v>
      </c>
      <c r="M1068" s="4" t="s">
        <v>22</v>
      </c>
      <c r="N1068" s="4" t="s">
        <v>23</v>
      </c>
      <c r="O1068" s="4" t="s">
        <v>27</v>
      </c>
      <c r="P1068" s="4" t="s">
        <v>144</v>
      </c>
      <c r="Q1068" s="24">
        <v>162</v>
      </c>
      <c r="R1068" s="25">
        <v>7</v>
      </c>
      <c r="S1068" s="39">
        <v>1</v>
      </c>
      <c r="T1068" s="7"/>
      <c r="U1068" t="s">
        <v>2913</v>
      </c>
      <c r="V1068" s="7" t="str">
        <f>+IF(U1068="","",IF(U1068="FINES",CONCATENATE("R",IF(OR(B1068="16",B1068="21",B1068="22",B1068="23"),"16212223",IF(OR(B1068="15",B1068="17",B1068="24",B1068="25"),"15172425",B1068))),IF(U1068="CEBAS","UNICO",IF(VALUE(B1068)&lt;=11,"AMBA","INTERIOR"))))</f>
        <v>AMBA</v>
      </c>
      <c r="W1068" s="38" t="str">
        <f>+IF(U1068="","-",CONCATENATE(U1068,"_",V1068))</f>
        <v>CENS_AMBA</v>
      </c>
      <c r="X1068" s="42">
        <v>0.86799999999999999</v>
      </c>
    </row>
    <row r="1069" spans="1:24" ht="15" thickBot="1">
      <c r="A1069" s="5" t="s">
        <v>2916</v>
      </c>
      <c r="B1069" s="5" t="s">
        <v>1257</v>
      </c>
      <c r="C1069" s="5" t="s">
        <v>2213</v>
      </c>
      <c r="D1069" s="5" t="s">
        <v>2214</v>
      </c>
      <c r="E1069" s="5">
        <v>603760</v>
      </c>
      <c r="F1069" s="5">
        <v>0</v>
      </c>
      <c r="G1069" s="5" t="s">
        <v>2234</v>
      </c>
      <c r="H1069" s="5" t="s">
        <v>20</v>
      </c>
      <c r="I1069" s="6" t="s">
        <v>142</v>
      </c>
      <c r="J1069" s="6" t="s">
        <v>21</v>
      </c>
      <c r="K1069" s="6"/>
      <c r="L1069" s="6" t="s">
        <v>400</v>
      </c>
      <c r="M1069" s="6" t="s">
        <v>22</v>
      </c>
      <c r="N1069" s="6" t="s">
        <v>23</v>
      </c>
      <c r="O1069" s="6" t="s">
        <v>27</v>
      </c>
      <c r="P1069" s="6" t="s">
        <v>144</v>
      </c>
      <c r="Q1069" s="22">
        <v>325</v>
      </c>
      <c r="R1069" s="23">
        <v>15</v>
      </c>
      <c r="S1069" s="39">
        <v>1</v>
      </c>
      <c r="T1069" s="7"/>
      <c r="U1069" t="s">
        <v>2913</v>
      </c>
      <c r="V1069" s="7" t="str">
        <f>+IF(U1069="","",IF(U1069="FINES",CONCATENATE("R",IF(OR(B1069="16",B1069="21",B1069="22",B1069="23"),"16212223",IF(OR(B1069="15",B1069="17",B1069="24",B1069="25"),"15172425",B1069))),IF(U1069="CEBAS","UNICO",IF(VALUE(B1069)&lt;=11,"AMBA","INTERIOR"))))</f>
        <v>AMBA</v>
      </c>
      <c r="W1069" s="38" t="str">
        <f>+IF(U1069="","-",CONCATENATE(U1069,"_",V1069))</f>
        <v>CENS_AMBA</v>
      </c>
      <c r="X1069" s="42">
        <v>0.87</v>
      </c>
    </row>
    <row r="1070" spans="1:24" ht="15" thickBot="1">
      <c r="A1070" s="5" t="s">
        <v>2916</v>
      </c>
      <c r="B1070" s="5" t="s">
        <v>817</v>
      </c>
      <c r="C1070" s="5" t="s">
        <v>2080</v>
      </c>
      <c r="D1070" s="5" t="s">
        <v>2081</v>
      </c>
      <c r="E1070" s="5">
        <v>623651</v>
      </c>
      <c r="F1070" s="5">
        <v>0</v>
      </c>
      <c r="G1070" s="5" t="s">
        <v>2141</v>
      </c>
      <c r="H1070" s="5" t="s">
        <v>20</v>
      </c>
      <c r="I1070" s="6" t="s">
        <v>142</v>
      </c>
      <c r="J1070" s="6" t="s">
        <v>21</v>
      </c>
      <c r="K1070" s="6"/>
      <c r="L1070" s="6" t="s">
        <v>2142</v>
      </c>
      <c r="M1070" s="6" t="s">
        <v>22</v>
      </c>
      <c r="N1070" s="6" t="s">
        <v>23</v>
      </c>
      <c r="O1070" s="6" t="s">
        <v>27</v>
      </c>
      <c r="P1070" s="6" t="s">
        <v>144</v>
      </c>
      <c r="Q1070" s="22">
        <v>270</v>
      </c>
      <c r="R1070" s="23">
        <v>11</v>
      </c>
      <c r="S1070" s="39">
        <v>1</v>
      </c>
      <c r="T1070" s="7"/>
      <c r="U1070" t="s">
        <v>2913</v>
      </c>
      <c r="V1070" s="7" t="str">
        <f>+IF(U1070="","",IF(U1070="FINES",CONCATENATE("R",IF(OR(B1070="16",B1070="21",B1070="22",B1070="23"),"16212223",IF(OR(B1070="15",B1070="17",B1070="24",B1070="25"),"15172425",B1070))),IF(U1070="CEBAS","UNICO",IF(VALUE(B1070)&lt;=11,"AMBA","INTERIOR"))))</f>
        <v>AMBA</v>
      </c>
      <c r="W1070" s="38" t="str">
        <f>+IF(U1070="","-",CONCATENATE(U1070,"_",V1070))</f>
        <v>CENS_AMBA</v>
      </c>
      <c r="X1070" s="42">
        <v>0.874</v>
      </c>
    </row>
    <row r="1071" spans="1:24" ht="15" thickBot="1">
      <c r="A1071" s="5" t="s">
        <v>2916</v>
      </c>
      <c r="B1071" s="5" t="s">
        <v>356</v>
      </c>
      <c r="C1071" s="5" t="s">
        <v>805</v>
      </c>
      <c r="D1071" s="5" t="s">
        <v>2500</v>
      </c>
      <c r="E1071" s="5">
        <v>615771</v>
      </c>
      <c r="F1071" s="5">
        <v>0</v>
      </c>
      <c r="G1071" s="5" t="s">
        <v>2543</v>
      </c>
      <c r="H1071" s="5" t="s">
        <v>20</v>
      </c>
      <c r="I1071" s="6" t="s">
        <v>142</v>
      </c>
      <c r="J1071" s="6" t="s">
        <v>21</v>
      </c>
      <c r="K1071" s="6"/>
      <c r="L1071" s="6" t="s">
        <v>146</v>
      </c>
      <c r="M1071" s="6" t="s">
        <v>22</v>
      </c>
      <c r="N1071" s="6" t="s">
        <v>23</v>
      </c>
      <c r="O1071" s="6" t="s">
        <v>27</v>
      </c>
      <c r="P1071" s="6" t="s">
        <v>144</v>
      </c>
      <c r="Q1071" s="22">
        <v>148</v>
      </c>
      <c r="R1071" s="23">
        <v>18</v>
      </c>
      <c r="S1071" s="39">
        <v>1</v>
      </c>
      <c r="T1071" s="7"/>
      <c r="U1071" t="s">
        <v>2913</v>
      </c>
      <c r="V1071" s="7" t="str">
        <f>+IF(U1071="","",IF(U1071="FINES",CONCATENATE("R",IF(OR(B1071="16",B1071="21",B1071="22",B1071="23"),"16212223",IF(OR(B1071="15",B1071="17",B1071="24",B1071="25"),"15172425",B1071))),IF(U1071="CEBAS","UNICO",IF(VALUE(B1071)&lt;=11,"AMBA","INTERIOR"))))</f>
        <v>AMBA</v>
      </c>
      <c r="W1071" s="38" t="str">
        <f>+IF(U1071="","-",CONCATENATE(U1071,"_",V1071))</f>
        <v>CENS_AMBA</v>
      </c>
      <c r="X1071" s="42">
        <v>0.875</v>
      </c>
    </row>
    <row r="1072" spans="1:24" ht="15" thickBot="1">
      <c r="A1072" s="3" t="s">
        <v>2916</v>
      </c>
      <c r="B1072" s="3" t="s">
        <v>1780</v>
      </c>
      <c r="C1072" s="3" t="s">
        <v>1248</v>
      </c>
      <c r="D1072" s="3" t="s">
        <v>2348</v>
      </c>
      <c r="E1072" s="3">
        <v>623723</v>
      </c>
      <c r="F1072" s="3">
        <v>0</v>
      </c>
      <c r="G1072" s="3" t="s">
        <v>2384</v>
      </c>
      <c r="H1072" s="3" t="s">
        <v>20</v>
      </c>
      <c r="I1072" s="4" t="s">
        <v>142</v>
      </c>
      <c r="J1072" s="4" t="s">
        <v>21</v>
      </c>
      <c r="K1072" s="4"/>
      <c r="L1072" s="4" t="s">
        <v>164</v>
      </c>
      <c r="M1072" s="4" t="s">
        <v>22</v>
      </c>
      <c r="N1072" s="4" t="s">
        <v>23</v>
      </c>
      <c r="O1072" s="4" t="s">
        <v>27</v>
      </c>
      <c r="P1072" s="4" t="s">
        <v>144</v>
      </c>
      <c r="Q1072" s="24">
        <v>69</v>
      </c>
      <c r="R1072" s="25">
        <v>3</v>
      </c>
      <c r="S1072" s="39">
        <v>1</v>
      </c>
      <c r="T1072" s="7"/>
      <c r="U1072" s="7" t="s">
        <v>2913</v>
      </c>
      <c r="V1072" s="7" t="str">
        <f>+IF(U1072="","",IF(U1072="FINES",CONCATENATE("R",IF(OR(B1072="16",B1072="21",B1072="22",B1072="23"),"16212223",IF(OR(B1072="15",B1072="17",B1072="24",B1072="25"),"15172425",B1072))),IF(U1072="CEBAS","UNICO",IF(VALUE(B1072)&lt;=11,"AMBA","INTERIOR"))))</f>
        <v>AMBA</v>
      </c>
      <c r="W1072" s="38" t="str">
        <f>+IF(U1072="","-",CONCATENATE(U1072,"_",V1072))</f>
        <v>CENS_AMBA</v>
      </c>
      <c r="X1072" s="42">
        <v>0.879</v>
      </c>
    </row>
    <row r="1073" spans="1:24" ht="15" thickBot="1">
      <c r="A1073" s="5" t="s">
        <v>2916</v>
      </c>
      <c r="B1073" s="5" t="s">
        <v>222</v>
      </c>
      <c r="C1073" s="5" t="s">
        <v>610</v>
      </c>
      <c r="D1073" s="5" t="s">
        <v>611</v>
      </c>
      <c r="E1073" s="5">
        <v>605899</v>
      </c>
      <c r="F1073" s="5">
        <v>0</v>
      </c>
      <c r="G1073" s="5" t="s">
        <v>630</v>
      </c>
      <c r="H1073" s="5" t="s">
        <v>20</v>
      </c>
      <c r="I1073" s="6" t="s">
        <v>142</v>
      </c>
      <c r="J1073" s="6" t="s">
        <v>21</v>
      </c>
      <c r="K1073" s="6"/>
      <c r="L1073" s="6" t="s">
        <v>631</v>
      </c>
      <c r="M1073" s="6" t="s">
        <v>22</v>
      </c>
      <c r="N1073" s="6" t="s">
        <v>23</v>
      </c>
      <c r="O1073" s="6" t="s">
        <v>27</v>
      </c>
      <c r="P1073" s="6" t="s">
        <v>144</v>
      </c>
      <c r="Q1073" s="22">
        <v>96</v>
      </c>
      <c r="R1073" s="23">
        <v>4</v>
      </c>
      <c r="S1073" s="39">
        <v>1</v>
      </c>
      <c r="T1073" s="7"/>
      <c r="U1073" s="7" t="s">
        <v>2913</v>
      </c>
      <c r="V1073" s="7" t="str">
        <f>+IF(U1073="","",IF(U1073="FINES",CONCATENATE("R",IF(OR(B1073="16",B1073="21",B1073="22",B1073="23"),"16212223",IF(OR(B1073="15",B1073="17",B1073="24",B1073="25"),"15172425",B1073))),IF(U1073="CEBAS","UNICO",IF(VALUE(B1073)&lt;=11,"AMBA","INTERIOR"))))</f>
        <v>AMBA</v>
      </c>
      <c r="W1073" s="38" t="str">
        <f>+IF(U1073="","-",CONCATENATE(U1073,"_",V1073))</f>
        <v>CENS_AMBA</v>
      </c>
      <c r="X1073" s="42">
        <v>0.88400000000000001</v>
      </c>
    </row>
    <row r="1074" spans="1:24" ht="15" thickBot="1">
      <c r="A1074" s="5" t="s">
        <v>2916</v>
      </c>
      <c r="B1074" s="5" t="s">
        <v>204</v>
      </c>
      <c r="C1074" s="5" t="s">
        <v>1084</v>
      </c>
      <c r="D1074" s="5" t="s">
        <v>1085</v>
      </c>
      <c r="E1074" s="5">
        <v>620985</v>
      </c>
      <c r="F1074" s="5">
        <v>0</v>
      </c>
      <c r="G1074" s="5" t="s">
        <v>1138</v>
      </c>
      <c r="H1074" s="5" t="s">
        <v>20</v>
      </c>
      <c r="I1074" s="6" t="s">
        <v>142</v>
      </c>
      <c r="J1074" s="6" t="s">
        <v>21</v>
      </c>
      <c r="K1074" s="6"/>
      <c r="L1074" s="6" t="s">
        <v>1139</v>
      </c>
      <c r="M1074" s="6" t="s">
        <v>22</v>
      </c>
      <c r="N1074" s="6" t="s">
        <v>23</v>
      </c>
      <c r="O1074" s="6" t="s">
        <v>27</v>
      </c>
      <c r="P1074" s="6" t="s">
        <v>144</v>
      </c>
      <c r="Q1074" s="22">
        <v>75</v>
      </c>
      <c r="R1074" s="23">
        <v>6</v>
      </c>
      <c r="S1074" s="39">
        <v>1</v>
      </c>
      <c r="T1074" s="7"/>
      <c r="U1074" s="7" t="s">
        <v>2913</v>
      </c>
      <c r="V1074" s="7" t="str">
        <f>+IF(U1074="","",IF(U1074="FINES",CONCATENATE("R",IF(OR(B1074="16",B1074="21",B1074="22",B1074="23"),"16212223",IF(OR(B1074="15",B1074="17",B1074="24",B1074="25"),"15172425",B1074))),IF(U1074="CEBAS","UNICO",IF(VALUE(B1074)&lt;=11,"AMBA","INTERIOR"))))</f>
        <v>AMBA</v>
      </c>
      <c r="W1074" s="38" t="str">
        <f>+IF(U1074="","-",CONCATENATE(U1074,"_",V1074))</f>
        <v>CENS_AMBA</v>
      </c>
      <c r="X1074" s="42">
        <v>0.88700000000000001</v>
      </c>
    </row>
    <row r="1075" spans="1:24" ht="15" thickBot="1">
      <c r="A1075" s="3" t="s">
        <v>2916</v>
      </c>
      <c r="B1075" s="3" t="s">
        <v>1532</v>
      </c>
      <c r="C1075" s="3" t="s">
        <v>1530</v>
      </c>
      <c r="D1075" s="3" t="s">
        <v>1531</v>
      </c>
      <c r="E1075" s="3">
        <v>623098</v>
      </c>
      <c r="F1075" s="3">
        <v>3</v>
      </c>
      <c r="G1075" s="3" t="s">
        <v>1756</v>
      </c>
      <c r="H1075" s="3" t="s">
        <v>20</v>
      </c>
      <c r="I1075" s="4" t="s">
        <v>142</v>
      </c>
      <c r="J1075" s="4" t="s">
        <v>51</v>
      </c>
      <c r="K1075" s="4" t="s">
        <v>1688</v>
      </c>
      <c r="L1075" s="4" t="s">
        <v>1757</v>
      </c>
      <c r="M1075" s="4" t="s">
        <v>22</v>
      </c>
      <c r="N1075" s="4" t="s">
        <v>23</v>
      </c>
      <c r="O1075" s="4" t="s">
        <v>27</v>
      </c>
      <c r="P1075" s="4" t="s">
        <v>144</v>
      </c>
      <c r="Q1075" s="24">
        <v>88</v>
      </c>
      <c r="R1075" s="25">
        <v>6</v>
      </c>
      <c r="S1075" s="39">
        <v>1</v>
      </c>
      <c r="T1075" s="7"/>
      <c r="U1075" s="7" t="s">
        <v>2913</v>
      </c>
      <c r="V1075" s="7" t="str">
        <f>+IF(U1075="","",IF(U1075="FINES",CONCATENATE("R",IF(OR(B1075="16",B1075="21",B1075="22",B1075="23"),"16212223",IF(OR(B1075="15",B1075="17",B1075="24",B1075="25"),"15172425",B1075))),IF(U1075="CEBAS","UNICO",IF(VALUE(B1075)&lt;=11,"AMBA","INTERIOR"))))</f>
        <v>AMBA</v>
      </c>
      <c r="W1075" s="38" t="str">
        <f>+IF(U1075="","-",CONCATENATE(U1075,"_",V1075))</f>
        <v>CENS_AMBA</v>
      </c>
      <c r="X1075" s="42">
        <v>0.88900000000000001</v>
      </c>
    </row>
    <row r="1076" spans="1:24" ht="15" thickBot="1">
      <c r="A1076" s="3" t="s">
        <v>2916</v>
      </c>
      <c r="B1076" s="3" t="s">
        <v>257</v>
      </c>
      <c r="C1076" s="3" t="s">
        <v>415</v>
      </c>
      <c r="D1076" s="3" t="s">
        <v>2770</v>
      </c>
      <c r="E1076" s="3">
        <v>623941</v>
      </c>
      <c r="F1076" s="3">
        <v>0</v>
      </c>
      <c r="G1076" s="3" t="s">
        <v>2788</v>
      </c>
      <c r="H1076" s="3" t="s">
        <v>20</v>
      </c>
      <c r="I1076" s="4" t="s">
        <v>142</v>
      </c>
      <c r="J1076" s="4" t="s">
        <v>21</v>
      </c>
      <c r="K1076" s="4"/>
      <c r="L1076" s="4" t="s">
        <v>343</v>
      </c>
      <c r="M1076" s="4" t="s">
        <v>22</v>
      </c>
      <c r="N1076" s="4" t="s">
        <v>23</v>
      </c>
      <c r="O1076" s="4" t="s">
        <v>27</v>
      </c>
      <c r="P1076" s="4" t="s">
        <v>144</v>
      </c>
      <c r="Q1076" s="24">
        <v>315</v>
      </c>
      <c r="R1076" s="25">
        <v>11</v>
      </c>
      <c r="S1076" s="39">
        <v>1</v>
      </c>
      <c r="T1076" s="7"/>
      <c r="U1076" s="7" t="s">
        <v>2913</v>
      </c>
      <c r="V1076" s="7" t="str">
        <f>+IF(U1076="","",IF(U1076="FINES",CONCATENATE("R",IF(OR(B1076="16",B1076="21",B1076="22",B1076="23"),"16212223",IF(OR(B1076="15",B1076="17",B1076="24",B1076="25"),"15172425",B1076))),IF(U1076="CEBAS","UNICO",IF(VALUE(B1076)&lt;=11,"AMBA","INTERIOR"))))</f>
        <v>AMBA</v>
      </c>
      <c r="W1076" s="38" t="str">
        <f>+IF(U1076="","-",CONCATENATE(U1076,"_",V1076))</f>
        <v>CENS_AMBA</v>
      </c>
      <c r="X1076" s="42">
        <v>0.88900000000000001</v>
      </c>
    </row>
    <row r="1077" spans="1:24" ht="15" thickBot="1">
      <c r="A1077" s="3" t="s">
        <v>2916</v>
      </c>
      <c r="B1077" s="3" t="s">
        <v>1780</v>
      </c>
      <c r="C1077" s="3" t="s">
        <v>238</v>
      </c>
      <c r="D1077" s="3" t="s">
        <v>2887</v>
      </c>
      <c r="E1077" s="3">
        <v>623852</v>
      </c>
      <c r="F1077" s="3">
        <v>0</v>
      </c>
      <c r="G1077" s="3" t="s">
        <v>2897</v>
      </c>
      <c r="H1077" s="3" t="s">
        <v>20</v>
      </c>
      <c r="I1077" s="4" t="s">
        <v>142</v>
      </c>
      <c r="J1077" s="4" t="s">
        <v>21</v>
      </c>
      <c r="K1077" s="4"/>
      <c r="L1077" s="4" t="s">
        <v>240</v>
      </c>
      <c r="M1077" s="4" t="s">
        <v>22</v>
      </c>
      <c r="N1077" s="4" t="s">
        <v>23</v>
      </c>
      <c r="O1077" s="4" t="s">
        <v>27</v>
      </c>
      <c r="P1077" s="4" t="s">
        <v>144</v>
      </c>
      <c r="Q1077" s="24">
        <v>64</v>
      </c>
      <c r="R1077" s="25">
        <v>3</v>
      </c>
      <c r="S1077" s="39">
        <v>1</v>
      </c>
      <c r="T1077" s="7"/>
      <c r="U1077" s="7" t="s">
        <v>2913</v>
      </c>
      <c r="V1077" s="7" t="str">
        <f>+IF(U1077="","",IF(U1077="FINES",CONCATENATE("R",IF(OR(B1077="16",B1077="21",B1077="22",B1077="23"),"16212223",IF(OR(B1077="15",B1077="17",B1077="24",B1077="25"),"15172425",B1077))),IF(U1077="CEBAS","UNICO",IF(VALUE(B1077)&lt;=11,"AMBA","INTERIOR"))))</f>
        <v>AMBA</v>
      </c>
      <c r="W1077" s="38" t="str">
        <f>+IF(U1077="","-",CONCATENATE(U1077,"_",V1077))</f>
        <v>CENS_AMBA</v>
      </c>
      <c r="X1077" s="42">
        <v>0.89200000000000002</v>
      </c>
    </row>
    <row r="1078" spans="1:24" ht="15" thickBot="1">
      <c r="A1078" s="3" t="s">
        <v>2916</v>
      </c>
      <c r="B1078" s="3" t="s">
        <v>257</v>
      </c>
      <c r="C1078" s="3" t="s">
        <v>254</v>
      </c>
      <c r="D1078" s="3" t="s">
        <v>256</v>
      </c>
      <c r="E1078" s="3">
        <v>624743</v>
      </c>
      <c r="F1078" s="3">
        <v>0</v>
      </c>
      <c r="G1078" s="3" t="s">
        <v>342</v>
      </c>
      <c r="H1078" s="3" t="s">
        <v>20</v>
      </c>
      <c r="I1078" s="4" t="s">
        <v>142</v>
      </c>
      <c r="J1078" s="4" t="s">
        <v>21</v>
      </c>
      <c r="K1078" s="4"/>
      <c r="L1078" s="4" t="s">
        <v>343</v>
      </c>
      <c r="M1078" s="4" t="s">
        <v>22</v>
      </c>
      <c r="N1078" s="4" t="s">
        <v>134</v>
      </c>
      <c r="O1078" s="4" t="s">
        <v>27</v>
      </c>
      <c r="P1078" s="4" t="s">
        <v>144</v>
      </c>
      <c r="Q1078" s="24">
        <v>68</v>
      </c>
      <c r="R1078" s="25">
        <v>3</v>
      </c>
      <c r="S1078" s="39">
        <v>1</v>
      </c>
      <c r="T1078" s="7"/>
      <c r="U1078" s="7" t="s">
        <v>2913</v>
      </c>
      <c r="V1078" s="7" t="str">
        <f>+IF(U1078="","",IF(U1078="FINES",CONCATENATE("R",IF(OR(B1078="16",B1078="21",B1078="22",B1078="23"),"16212223",IF(OR(B1078="15",B1078="17",B1078="24",B1078="25"),"15172425",B1078))),IF(U1078="CEBAS","UNICO",IF(VALUE(B1078)&lt;=11,"AMBA","INTERIOR"))))</f>
        <v>AMBA</v>
      </c>
      <c r="W1078" s="38" t="str">
        <f>+IF(U1078="","-",CONCATENATE(U1078,"_",V1078))</f>
        <v>CENS_AMBA</v>
      </c>
      <c r="X1078" s="42">
        <v>0.9</v>
      </c>
    </row>
    <row r="1079" spans="1:24" ht="15" thickBot="1">
      <c r="A1079" s="3" t="s">
        <v>2916</v>
      </c>
      <c r="B1079" s="3" t="s">
        <v>1532</v>
      </c>
      <c r="C1079" s="3" t="s">
        <v>1530</v>
      </c>
      <c r="D1079" s="3" t="s">
        <v>1531</v>
      </c>
      <c r="E1079" s="3">
        <v>623632</v>
      </c>
      <c r="F1079" s="3">
        <v>0</v>
      </c>
      <c r="G1079" s="3" t="s">
        <v>1722</v>
      </c>
      <c r="H1079" s="3" t="s">
        <v>20</v>
      </c>
      <c r="I1079" s="4" t="s">
        <v>142</v>
      </c>
      <c r="J1079" s="4" t="s">
        <v>21</v>
      </c>
      <c r="K1079" s="4"/>
      <c r="L1079" s="4" t="s">
        <v>1723</v>
      </c>
      <c r="M1079" s="4" t="s">
        <v>22</v>
      </c>
      <c r="N1079" s="4" t="s">
        <v>23</v>
      </c>
      <c r="O1079" s="4" t="s">
        <v>27</v>
      </c>
      <c r="P1079" s="4" t="s">
        <v>144</v>
      </c>
      <c r="Q1079" s="24">
        <v>137</v>
      </c>
      <c r="R1079" s="25">
        <v>6</v>
      </c>
      <c r="S1079" s="39">
        <v>1</v>
      </c>
      <c r="T1079" s="7"/>
      <c r="U1079" s="7" t="s">
        <v>2913</v>
      </c>
      <c r="V1079" s="7" t="str">
        <f>+IF(U1079="","",IF(U1079="FINES",CONCATENATE("R",IF(OR(B1079="16",B1079="21",B1079="22",B1079="23"),"16212223",IF(OR(B1079="15",B1079="17",B1079="24",B1079="25"),"15172425",B1079))),IF(U1079="CEBAS","UNICO",IF(VALUE(B1079)&lt;=11,"AMBA","INTERIOR"))))</f>
        <v>AMBA</v>
      </c>
      <c r="W1079" s="38" t="str">
        <f>+IF(U1079="","-",CONCATENATE(U1079,"_",V1079))</f>
        <v>CENS_AMBA</v>
      </c>
      <c r="X1079" s="42">
        <v>0.90100000000000002</v>
      </c>
    </row>
    <row r="1080" spans="1:24" ht="15" thickBot="1">
      <c r="A1080" s="3" t="s">
        <v>2916</v>
      </c>
      <c r="B1080" s="3" t="s">
        <v>204</v>
      </c>
      <c r="C1080" s="3" t="s">
        <v>137</v>
      </c>
      <c r="D1080" s="3" t="s">
        <v>2629</v>
      </c>
      <c r="E1080" s="3">
        <v>623693</v>
      </c>
      <c r="F1080" s="3">
        <v>0</v>
      </c>
      <c r="G1080" s="3" t="s">
        <v>2648</v>
      </c>
      <c r="H1080" s="3" t="s">
        <v>20</v>
      </c>
      <c r="I1080" s="4" t="s">
        <v>142</v>
      </c>
      <c r="J1080" s="4" t="s">
        <v>21</v>
      </c>
      <c r="K1080" s="4"/>
      <c r="L1080" s="4" t="s">
        <v>2061</v>
      </c>
      <c r="M1080" s="4" t="s">
        <v>22</v>
      </c>
      <c r="N1080" s="4" t="s">
        <v>134</v>
      </c>
      <c r="O1080" s="4" t="s">
        <v>27</v>
      </c>
      <c r="P1080" s="4" t="s">
        <v>144</v>
      </c>
      <c r="Q1080" s="24">
        <v>165</v>
      </c>
      <c r="R1080" s="25">
        <v>8</v>
      </c>
      <c r="S1080" s="39">
        <v>1</v>
      </c>
      <c r="T1080" s="7"/>
      <c r="U1080" s="7" t="s">
        <v>2913</v>
      </c>
      <c r="V1080" s="7" t="str">
        <f>+IF(U1080="","",IF(U1080="FINES",CONCATENATE("R",IF(OR(B1080="16",B1080="21",B1080="22",B1080="23"),"16212223",IF(OR(B1080="15",B1080="17",B1080="24",B1080="25"),"15172425",B1080))),IF(U1080="CEBAS","UNICO",IF(VALUE(B1080)&lt;=11,"AMBA","INTERIOR"))))</f>
        <v>AMBA</v>
      </c>
      <c r="W1080" s="38" t="str">
        <f>+IF(U1080="","-",CONCATENATE(U1080,"_",V1080))</f>
        <v>CENS_AMBA</v>
      </c>
      <c r="X1080" s="42">
        <v>0.90300000000000002</v>
      </c>
    </row>
    <row r="1081" spans="1:24" ht="15" thickBot="1">
      <c r="A1081" s="3" t="s">
        <v>2916</v>
      </c>
      <c r="B1081" s="3" t="s">
        <v>1257</v>
      </c>
      <c r="C1081" s="3" t="s">
        <v>1255</v>
      </c>
      <c r="D1081" s="3" t="s">
        <v>1256</v>
      </c>
      <c r="E1081" s="3">
        <v>621797</v>
      </c>
      <c r="F1081" s="3">
        <v>0</v>
      </c>
      <c r="G1081" s="3" t="s">
        <v>1290</v>
      </c>
      <c r="H1081" s="3" t="s">
        <v>20</v>
      </c>
      <c r="I1081" s="4" t="s">
        <v>142</v>
      </c>
      <c r="J1081" s="4" t="s">
        <v>21</v>
      </c>
      <c r="K1081" s="4"/>
      <c r="L1081" s="4" t="s">
        <v>1291</v>
      </c>
      <c r="M1081" s="4" t="s">
        <v>22</v>
      </c>
      <c r="N1081" s="4" t="s">
        <v>23</v>
      </c>
      <c r="O1081" s="4" t="s">
        <v>27</v>
      </c>
      <c r="P1081" s="4" t="s">
        <v>144</v>
      </c>
      <c r="Q1081" s="24">
        <v>444</v>
      </c>
      <c r="R1081" s="25">
        <v>20</v>
      </c>
      <c r="S1081" s="39">
        <v>1</v>
      </c>
      <c r="T1081" s="7"/>
      <c r="U1081" s="7" t="s">
        <v>2913</v>
      </c>
      <c r="V1081" s="7" t="str">
        <f>+IF(U1081="","",IF(U1081="FINES",CONCATENATE("R",IF(OR(B1081="16",B1081="21",B1081="22",B1081="23"),"16212223",IF(OR(B1081="15",B1081="17",B1081="24",B1081="25"),"15172425",B1081))),IF(U1081="CEBAS","UNICO",IF(VALUE(B1081)&lt;=11,"AMBA","INTERIOR"))))</f>
        <v>AMBA</v>
      </c>
      <c r="W1081" s="38" t="str">
        <f>+IF(U1081="","-",CONCATENATE(U1081,"_",V1081))</f>
        <v>CENS_AMBA</v>
      </c>
      <c r="X1081" s="42">
        <v>0.90500000000000003</v>
      </c>
    </row>
    <row r="1082" spans="1:24" ht="15" thickBot="1">
      <c r="A1082" s="5" t="s">
        <v>2916</v>
      </c>
      <c r="B1082" s="5" t="s">
        <v>222</v>
      </c>
      <c r="C1082" s="5" t="s">
        <v>2047</v>
      </c>
      <c r="D1082" s="5" t="s">
        <v>2048</v>
      </c>
      <c r="E1082" s="5">
        <v>623765</v>
      </c>
      <c r="F1082" s="5">
        <v>0</v>
      </c>
      <c r="G1082" s="5" t="s">
        <v>2064</v>
      </c>
      <c r="H1082" s="5" t="s">
        <v>20</v>
      </c>
      <c r="I1082" s="6" t="s">
        <v>142</v>
      </c>
      <c r="J1082" s="6" t="s">
        <v>21</v>
      </c>
      <c r="K1082" s="6"/>
      <c r="L1082" s="6" t="s">
        <v>636</v>
      </c>
      <c r="M1082" s="6" t="s">
        <v>22</v>
      </c>
      <c r="N1082" s="6" t="s">
        <v>23</v>
      </c>
      <c r="O1082" s="6" t="s">
        <v>27</v>
      </c>
      <c r="P1082" s="6" t="s">
        <v>144</v>
      </c>
      <c r="Q1082" s="22">
        <v>150</v>
      </c>
      <c r="R1082" s="23">
        <v>6</v>
      </c>
      <c r="S1082" s="39">
        <v>1</v>
      </c>
      <c r="T1082" s="7"/>
      <c r="U1082" s="7" t="s">
        <v>2913</v>
      </c>
      <c r="V1082" s="7" t="str">
        <f>+IF(U1082="","",IF(U1082="FINES",CONCATENATE("R",IF(OR(B1082="16",B1082="21",B1082="22",B1082="23"),"16212223",IF(OR(B1082="15",B1082="17",B1082="24",B1082="25"),"15172425",B1082))),IF(U1082="CEBAS","UNICO",IF(VALUE(B1082)&lt;=11,"AMBA","INTERIOR"))))</f>
        <v>AMBA</v>
      </c>
      <c r="W1082" s="38" t="str">
        <f>+IF(U1082="","-",CONCATENATE(U1082,"_",V1082))</f>
        <v>CENS_AMBA</v>
      </c>
      <c r="X1082" s="42">
        <v>0.90800000000000003</v>
      </c>
    </row>
    <row r="1083" spans="1:24" ht="15" thickBot="1">
      <c r="A1083" s="3" t="s">
        <v>2916</v>
      </c>
      <c r="B1083" s="3" t="s">
        <v>1532</v>
      </c>
      <c r="C1083" s="3" t="s">
        <v>1530</v>
      </c>
      <c r="D1083" s="3" t="s">
        <v>1531</v>
      </c>
      <c r="E1083" s="3">
        <v>623638</v>
      </c>
      <c r="F1083" s="3">
        <v>0</v>
      </c>
      <c r="G1083" s="3" t="s">
        <v>1694</v>
      </c>
      <c r="H1083" s="3" t="s">
        <v>20</v>
      </c>
      <c r="I1083" s="4" t="s">
        <v>142</v>
      </c>
      <c r="J1083" s="4" t="s">
        <v>21</v>
      </c>
      <c r="K1083" s="4"/>
      <c r="L1083" s="4" t="s">
        <v>168</v>
      </c>
      <c r="M1083" s="4" t="s">
        <v>22</v>
      </c>
      <c r="N1083" s="4" t="s">
        <v>23</v>
      </c>
      <c r="O1083" s="4" t="s">
        <v>27</v>
      </c>
      <c r="P1083" s="4" t="s">
        <v>144</v>
      </c>
      <c r="Q1083" s="24">
        <v>190</v>
      </c>
      <c r="R1083" s="25">
        <v>12</v>
      </c>
      <c r="S1083" s="39">
        <v>1</v>
      </c>
      <c r="T1083" s="7"/>
      <c r="U1083" t="s">
        <v>2913</v>
      </c>
      <c r="V1083" s="7" t="str">
        <f>+IF(U1083="","",IF(U1083="FINES",CONCATENATE("R",IF(OR(B1083="16",B1083="21",B1083="22",B1083="23"),"16212223",IF(OR(B1083="15",B1083="17",B1083="24",B1083="25"),"15172425",B1083))),IF(U1083="CEBAS","UNICO",IF(VALUE(B1083)&lt;=11,"AMBA","INTERIOR"))))</f>
        <v>AMBA</v>
      </c>
      <c r="W1083" s="38" t="str">
        <f>+IF(U1083="","-",CONCATENATE(U1083,"_",V1083))</f>
        <v>CENS_AMBA</v>
      </c>
      <c r="X1083" s="42">
        <v>0.90800000000000003</v>
      </c>
    </row>
    <row r="1084" spans="1:24" ht="15" thickBot="1">
      <c r="A1084" s="5" t="s">
        <v>2916</v>
      </c>
      <c r="B1084" s="5" t="s">
        <v>222</v>
      </c>
      <c r="C1084" s="5" t="s">
        <v>2047</v>
      </c>
      <c r="D1084" s="5" t="s">
        <v>2048</v>
      </c>
      <c r="E1084" s="5">
        <v>623763</v>
      </c>
      <c r="F1084" s="5">
        <v>0</v>
      </c>
      <c r="G1084" s="5" t="s">
        <v>2060</v>
      </c>
      <c r="H1084" s="5" t="s">
        <v>20</v>
      </c>
      <c r="I1084" s="6" t="s">
        <v>142</v>
      </c>
      <c r="J1084" s="6" t="s">
        <v>21</v>
      </c>
      <c r="K1084" s="6"/>
      <c r="L1084" s="6" t="s">
        <v>2061</v>
      </c>
      <c r="M1084" s="6" t="s">
        <v>22</v>
      </c>
      <c r="N1084" s="6" t="s">
        <v>23</v>
      </c>
      <c r="O1084" s="6" t="s">
        <v>27</v>
      </c>
      <c r="P1084" s="6" t="s">
        <v>144</v>
      </c>
      <c r="Q1084" s="22">
        <v>238</v>
      </c>
      <c r="R1084" s="23">
        <v>9</v>
      </c>
      <c r="S1084" s="39">
        <v>1</v>
      </c>
      <c r="T1084" s="7"/>
      <c r="U1084" t="s">
        <v>2913</v>
      </c>
      <c r="V1084" s="7" t="str">
        <f>+IF(U1084="","",IF(U1084="FINES",CONCATENATE("R",IF(OR(B1084="16",B1084="21",B1084="22",B1084="23"),"16212223",IF(OR(B1084="15",B1084="17",B1084="24",B1084="25"),"15172425",B1084))),IF(U1084="CEBAS","UNICO",IF(VALUE(B1084)&lt;=11,"AMBA","INTERIOR"))))</f>
        <v>AMBA</v>
      </c>
      <c r="W1084" s="38" t="str">
        <f>+IF(U1084="","-",CONCATENATE(U1084,"_",V1084))</f>
        <v>CENS_AMBA</v>
      </c>
      <c r="X1084" s="42">
        <v>0.90900000000000003</v>
      </c>
    </row>
    <row r="1085" spans="1:24" ht="15" thickBot="1">
      <c r="A1085" s="3" t="s">
        <v>2916</v>
      </c>
      <c r="B1085" s="3" t="s">
        <v>1780</v>
      </c>
      <c r="C1085" s="3" t="s">
        <v>1778</v>
      </c>
      <c r="D1085" s="3" t="s">
        <v>1779</v>
      </c>
      <c r="E1085" s="3">
        <v>623714</v>
      </c>
      <c r="F1085" s="3">
        <v>0</v>
      </c>
      <c r="G1085" s="3" t="s">
        <v>1841</v>
      </c>
      <c r="H1085" s="3" t="s">
        <v>20</v>
      </c>
      <c r="I1085" s="4" t="s">
        <v>142</v>
      </c>
      <c r="J1085" s="4" t="s">
        <v>21</v>
      </c>
      <c r="K1085" s="4"/>
      <c r="L1085" s="4" t="s">
        <v>166</v>
      </c>
      <c r="M1085" s="4" t="s">
        <v>22</v>
      </c>
      <c r="N1085" s="4" t="s">
        <v>23</v>
      </c>
      <c r="O1085" s="4" t="s">
        <v>27</v>
      </c>
      <c r="P1085" s="4" t="s">
        <v>144</v>
      </c>
      <c r="Q1085" s="24">
        <v>93</v>
      </c>
      <c r="R1085" s="25">
        <v>6</v>
      </c>
      <c r="S1085" s="39">
        <v>1</v>
      </c>
      <c r="T1085" s="7"/>
      <c r="U1085" t="s">
        <v>2913</v>
      </c>
      <c r="V1085" s="7" t="str">
        <f>+IF(U1085="","",IF(U1085="FINES",CONCATENATE("R",IF(OR(B1085="16",B1085="21",B1085="22",B1085="23"),"16212223",IF(OR(B1085="15",B1085="17",B1085="24",B1085="25"),"15172425",B1085))),IF(U1085="CEBAS","UNICO",IF(VALUE(B1085)&lt;=11,"AMBA","INTERIOR"))))</f>
        <v>AMBA</v>
      </c>
      <c r="W1085" s="38" t="str">
        <f>+IF(U1085="","-",CONCATENATE(U1085,"_",V1085))</f>
        <v>CENS_AMBA</v>
      </c>
      <c r="X1085" s="42">
        <v>0.90900000000000003</v>
      </c>
    </row>
    <row r="1086" spans="1:24" ht="15" thickBot="1">
      <c r="A1086" s="5" t="s">
        <v>2916</v>
      </c>
      <c r="B1086" s="5" t="s">
        <v>222</v>
      </c>
      <c r="C1086" s="5" t="s">
        <v>610</v>
      </c>
      <c r="D1086" s="5" t="s">
        <v>611</v>
      </c>
      <c r="E1086" s="5">
        <v>623982</v>
      </c>
      <c r="F1086" s="5">
        <v>0</v>
      </c>
      <c r="G1086" s="5" t="s">
        <v>639</v>
      </c>
      <c r="H1086" s="5" t="s">
        <v>20</v>
      </c>
      <c r="I1086" s="6" t="s">
        <v>142</v>
      </c>
      <c r="J1086" s="6" t="s">
        <v>21</v>
      </c>
      <c r="K1086" s="6"/>
      <c r="L1086" s="6" t="s">
        <v>640</v>
      </c>
      <c r="M1086" s="6" t="s">
        <v>199</v>
      </c>
      <c r="N1086" s="6" t="s">
        <v>23</v>
      </c>
      <c r="O1086" s="6" t="s">
        <v>27</v>
      </c>
      <c r="P1086" s="6" t="s">
        <v>144</v>
      </c>
      <c r="Q1086" s="22">
        <v>354</v>
      </c>
      <c r="R1086" s="23">
        <v>12</v>
      </c>
      <c r="S1086" s="39">
        <v>1</v>
      </c>
      <c r="T1086" s="7"/>
      <c r="U1086" s="7" t="s">
        <v>2913</v>
      </c>
      <c r="V1086" s="7" t="str">
        <f>+IF(U1086="","",IF(U1086="FINES",CONCATENATE("R",IF(OR(B1086="16",B1086="21",B1086="22",B1086="23"),"16212223",IF(OR(B1086="15",B1086="17",B1086="24",B1086="25"),"15172425",B1086))),IF(U1086="CEBAS","UNICO",IF(VALUE(B1086)&lt;=11,"AMBA","INTERIOR"))))</f>
        <v>AMBA</v>
      </c>
      <c r="W1086" s="38" t="str">
        <f>+IF(U1086="","-",CONCATENATE(U1086,"_",V1086))</f>
        <v>CENS_AMBA</v>
      </c>
      <c r="X1086" s="42">
        <v>0.91400000000000003</v>
      </c>
    </row>
    <row r="1087" spans="1:24" ht="15" thickBot="1">
      <c r="A1087" s="5" t="s">
        <v>2916</v>
      </c>
      <c r="B1087" s="5" t="s">
        <v>1780</v>
      </c>
      <c r="C1087" s="5" t="s">
        <v>1778</v>
      </c>
      <c r="D1087" s="5" t="s">
        <v>1779</v>
      </c>
      <c r="E1087" s="5">
        <v>612016</v>
      </c>
      <c r="F1087" s="5">
        <v>0</v>
      </c>
      <c r="G1087" s="5" t="s">
        <v>1828</v>
      </c>
      <c r="H1087" s="5" t="s">
        <v>20</v>
      </c>
      <c r="I1087" s="6" t="s">
        <v>142</v>
      </c>
      <c r="J1087" s="6" t="s">
        <v>21</v>
      </c>
      <c r="K1087" s="6"/>
      <c r="L1087" s="6" t="s">
        <v>400</v>
      </c>
      <c r="M1087" s="6" t="s">
        <v>22</v>
      </c>
      <c r="N1087" s="6" t="s">
        <v>23</v>
      </c>
      <c r="O1087" s="6" t="s">
        <v>27</v>
      </c>
      <c r="P1087" s="6" t="s">
        <v>144</v>
      </c>
      <c r="Q1087" s="22">
        <v>76</v>
      </c>
      <c r="R1087" s="23">
        <v>6</v>
      </c>
      <c r="S1087" s="39">
        <v>1</v>
      </c>
      <c r="T1087" s="7"/>
      <c r="U1087" s="7" t="s">
        <v>2913</v>
      </c>
      <c r="V1087" s="7" t="str">
        <f>+IF(U1087="","",IF(U1087="FINES",CONCATENATE("R",IF(OR(B1087="16",B1087="21",B1087="22",B1087="23"),"16212223",IF(OR(B1087="15",B1087="17",B1087="24",B1087="25"),"15172425",B1087))),IF(U1087="CEBAS","UNICO",IF(VALUE(B1087)&lt;=11,"AMBA","INTERIOR"))))</f>
        <v>AMBA</v>
      </c>
      <c r="W1087" s="38" t="str">
        <f>+IF(U1087="","-",CONCATENATE(U1087,"_",V1087))</f>
        <v>CENS_AMBA</v>
      </c>
      <c r="X1087" s="42">
        <v>0.91500000000000004</v>
      </c>
    </row>
    <row r="1088" spans="1:24" ht="15" thickBot="1">
      <c r="A1088" s="3" t="s">
        <v>2916</v>
      </c>
      <c r="B1088" s="3" t="s">
        <v>19</v>
      </c>
      <c r="C1088" s="3" t="s">
        <v>17</v>
      </c>
      <c r="D1088" s="3" t="s">
        <v>18</v>
      </c>
      <c r="E1088" s="3">
        <v>623588</v>
      </c>
      <c r="F1088" s="3">
        <v>0</v>
      </c>
      <c r="G1088" s="3" t="s">
        <v>155</v>
      </c>
      <c r="H1088" s="3" t="s">
        <v>20</v>
      </c>
      <c r="I1088" s="4" t="s">
        <v>142</v>
      </c>
      <c r="J1088" s="4" t="s">
        <v>21</v>
      </c>
      <c r="K1088" s="4"/>
      <c r="L1088" s="4" t="s">
        <v>156</v>
      </c>
      <c r="M1088" s="4" t="s">
        <v>22</v>
      </c>
      <c r="N1088" s="4" t="s">
        <v>23</v>
      </c>
      <c r="O1088" s="4" t="s">
        <v>27</v>
      </c>
      <c r="P1088" s="4" t="s">
        <v>144</v>
      </c>
      <c r="Q1088" s="24">
        <v>77</v>
      </c>
      <c r="R1088" s="25">
        <v>4</v>
      </c>
      <c r="S1088" s="39">
        <v>1</v>
      </c>
      <c r="T1088" s="7"/>
      <c r="U1088" t="s">
        <v>2913</v>
      </c>
      <c r="V1088" s="7" t="str">
        <f>+IF(U1088="","",IF(U1088="FINES",CONCATENATE("R",IF(OR(B1088="16",B1088="21",B1088="22",B1088="23"),"16212223",IF(OR(B1088="15",B1088="17",B1088="24",B1088="25"),"15172425",B1088))),IF(U1088="CEBAS","UNICO",IF(VALUE(B1088)&lt;=11,"AMBA","INTERIOR"))))</f>
        <v>AMBA</v>
      </c>
      <c r="W1088" s="38" t="str">
        <f>+IF(U1088="","-",CONCATENATE(U1088,"_",V1088))</f>
        <v>CENS_AMBA</v>
      </c>
      <c r="X1088" s="42">
        <v>0.91900000000000004</v>
      </c>
    </row>
    <row r="1089" spans="1:24" ht="15" thickBot="1">
      <c r="A1089" s="5" t="s">
        <v>2916</v>
      </c>
      <c r="B1089" s="5" t="s">
        <v>1860</v>
      </c>
      <c r="C1089" s="5" t="s">
        <v>1858</v>
      </c>
      <c r="D1089" s="5" t="s">
        <v>1859</v>
      </c>
      <c r="E1089" s="5">
        <v>612990</v>
      </c>
      <c r="F1089" s="5">
        <v>0</v>
      </c>
      <c r="G1089" s="5" t="s">
        <v>1899</v>
      </c>
      <c r="H1089" s="5" t="s">
        <v>20</v>
      </c>
      <c r="I1089" s="6" t="s">
        <v>142</v>
      </c>
      <c r="J1089" s="6" t="s">
        <v>21</v>
      </c>
      <c r="K1089" s="6"/>
      <c r="L1089" s="6" t="s">
        <v>143</v>
      </c>
      <c r="M1089" s="6" t="s">
        <v>22</v>
      </c>
      <c r="N1089" s="6" t="s">
        <v>23</v>
      </c>
      <c r="O1089" s="6" t="s">
        <v>27</v>
      </c>
      <c r="P1089" s="6" t="s">
        <v>144</v>
      </c>
      <c r="Q1089" s="22">
        <v>264</v>
      </c>
      <c r="R1089" s="23">
        <v>9</v>
      </c>
      <c r="S1089" s="39">
        <v>1</v>
      </c>
      <c r="T1089" s="7"/>
      <c r="U1089" t="s">
        <v>2913</v>
      </c>
      <c r="V1089" s="7" t="str">
        <f>+IF(U1089="","",IF(U1089="FINES",CONCATENATE("R",IF(OR(B1089="16",B1089="21",B1089="22",B1089="23"),"16212223",IF(OR(B1089="15",B1089="17",B1089="24",B1089="25"),"15172425",B1089))),IF(U1089="CEBAS","UNICO",IF(VALUE(B1089)&lt;=11,"AMBA","INTERIOR"))))</f>
        <v>AMBA</v>
      </c>
      <c r="W1089" s="38" t="str">
        <f>+IF(U1089="","-",CONCATENATE(U1089,"_",V1089))</f>
        <v>CENS_AMBA</v>
      </c>
      <c r="X1089" s="42">
        <v>0.92100000000000004</v>
      </c>
    </row>
    <row r="1090" spans="1:24" ht="15" thickBot="1">
      <c r="A1090" s="5" t="s">
        <v>2916</v>
      </c>
      <c r="B1090" s="5" t="s">
        <v>222</v>
      </c>
      <c r="C1090" s="5" t="s">
        <v>2047</v>
      </c>
      <c r="D1090" s="5" t="s">
        <v>2048</v>
      </c>
      <c r="E1090" s="5">
        <v>623977</v>
      </c>
      <c r="F1090" s="5">
        <v>0</v>
      </c>
      <c r="G1090" s="5" t="s">
        <v>2070</v>
      </c>
      <c r="H1090" s="5" t="s">
        <v>20</v>
      </c>
      <c r="I1090" s="6" t="s">
        <v>142</v>
      </c>
      <c r="J1090" s="6" t="s">
        <v>21</v>
      </c>
      <c r="K1090" s="6"/>
      <c r="L1090" s="6" t="s">
        <v>2071</v>
      </c>
      <c r="M1090" s="6" t="s">
        <v>22</v>
      </c>
      <c r="N1090" s="6" t="s">
        <v>23</v>
      </c>
      <c r="O1090" s="6" t="s">
        <v>27</v>
      </c>
      <c r="P1090" s="6" t="s">
        <v>144</v>
      </c>
      <c r="Q1090" s="22">
        <v>45</v>
      </c>
      <c r="R1090" s="23">
        <v>3</v>
      </c>
      <c r="S1090" s="39">
        <v>1</v>
      </c>
      <c r="T1090" s="7"/>
      <c r="U1090" t="s">
        <v>2913</v>
      </c>
      <c r="V1090" s="7" t="str">
        <f>+IF(U1090="","",IF(U1090="FINES",CONCATENATE("R",IF(OR(B1090="16",B1090="21",B1090="22",B1090="23"),"16212223",IF(OR(B1090="15",B1090="17",B1090="24",B1090="25"),"15172425",B1090))),IF(U1090="CEBAS","UNICO",IF(VALUE(B1090)&lt;=11,"AMBA","INTERIOR"))))</f>
        <v>AMBA</v>
      </c>
      <c r="W1090" s="38" t="str">
        <f>+IF(U1090="","-",CONCATENATE(U1090,"_",V1090))</f>
        <v>CENS_AMBA</v>
      </c>
      <c r="X1090" s="42">
        <v>0.92100000000000004</v>
      </c>
    </row>
    <row r="1091" spans="1:24" ht="15" thickBot="1">
      <c r="A1091" s="3" t="s">
        <v>2916</v>
      </c>
      <c r="B1091" s="3" t="s">
        <v>1257</v>
      </c>
      <c r="C1091" s="3" t="s">
        <v>1255</v>
      </c>
      <c r="D1091" s="3" t="s">
        <v>1256</v>
      </c>
      <c r="E1091" s="3">
        <v>608478</v>
      </c>
      <c r="F1091" s="3">
        <v>0</v>
      </c>
      <c r="G1091" s="3" t="s">
        <v>1289</v>
      </c>
      <c r="H1091" s="3" t="s">
        <v>20</v>
      </c>
      <c r="I1091" s="4" t="s">
        <v>142</v>
      </c>
      <c r="J1091" s="4" t="s">
        <v>21</v>
      </c>
      <c r="K1091" s="4"/>
      <c r="L1091" s="4" t="s">
        <v>400</v>
      </c>
      <c r="M1091" s="4" t="s">
        <v>22</v>
      </c>
      <c r="N1091" s="4" t="s">
        <v>23</v>
      </c>
      <c r="O1091" s="4" t="s">
        <v>27</v>
      </c>
      <c r="P1091" s="4" t="s">
        <v>144</v>
      </c>
      <c r="Q1091" s="24">
        <v>51</v>
      </c>
      <c r="R1091" s="25">
        <v>3</v>
      </c>
      <c r="S1091" s="39">
        <v>1</v>
      </c>
      <c r="T1091" s="7"/>
      <c r="U1091" t="s">
        <v>2913</v>
      </c>
      <c r="V1091" s="7" t="str">
        <f>+IF(U1091="","",IF(U1091="FINES",CONCATENATE("R",IF(OR(B1091="16",B1091="21",B1091="22",B1091="23"),"16212223",IF(OR(B1091="15",B1091="17",B1091="24",B1091="25"),"15172425",B1091))),IF(U1091="CEBAS","UNICO",IF(VALUE(B1091)&lt;=11,"AMBA","INTERIOR"))))</f>
        <v>AMBA</v>
      </c>
      <c r="W1091" s="38" t="str">
        <f>+IF(U1091="","-",CONCATENATE(U1091,"_",V1091))</f>
        <v>CENS_AMBA</v>
      </c>
      <c r="X1091" s="42">
        <v>0.92900000000000005</v>
      </c>
    </row>
    <row r="1092" spans="1:24" ht="15" thickBot="1">
      <c r="A1092" s="3" t="s">
        <v>2916</v>
      </c>
      <c r="B1092" s="3" t="s">
        <v>19</v>
      </c>
      <c r="C1092" s="3" t="s">
        <v>449</v>
      </c>
      <c r="D1092" s="3" t="s">
        <v>2590</v>
      </c>
      <c r="E1092" s="3">
        <v>623586</v>
      </c>
      <c r="F1092" s="3">
        <v>0</v>
      </c>
      <c r="G1092" s="3" t="s">
        <v>2598</v>
      </c>
      <c r="H1092" s="3" t="s">
        <v>20</v>
      </c>
      <c r="I1092" s="4" t="s">
        <v>142</v>
      </c>
      <c r="J1092" s="4" t="s">
        <v>21</v>
      </c>
      <c r="K1092" s="4"/>
      <c r="L1092" s="4" t="s">
        <v>335</v>
      </c>
      <c r="M1092" s="4" t="s">
        <v>22</v>
      </c>
      <c r="N1092" s="4" t="s">
        <v>23</v>
      </c>
      <c r="O1092" s="4" t="s">
        <v>27</v>
      </c>
      <c r="P1092" s="4" t="s">
        <v>144</v>
      </c>
      <c r="Q1092" s="24">
        <v>176</v>
      </c>
      <c r="R1092" s="25">
        <v>7</v>
      </c>
      <c r="S1092" s="39">
        <v>1</v>
      </c>
      <c r="T1092" s="7"/>
      <c r="U1092" t="s">
        <v>2913</v>
      </c>
      <c r="V1092" s="7" t="str">
        <f>+IF(U1092="","",IF(U1092="FINES",CONCATENATE("R",IF(OR(B1092="16",B1092="21",B1092="22",B1092="23"),"16212223",IF(OR(B1092="15",B1092="17",B1092="24",B1092="25"),"15172425",B1092))),IF(U1092="CEBAS","UNICO",IF(VALUE(B1092)&lt;=11,"AMBA","INTERIOR"))))</f>
        <v>AMBA</v>
      </c>
      <c r="W1092" s="38" t="str">
        <f>+IF(U1092="","-",CONCATENATE(U1092,"_",V1092))</f>
        <v>CENS_AMBA</v>
      </c>
      <c r="X1092" s="42">
        <v>0.93</v>
      </c>
    </row>
    <row r="1093" spans="1:24" ht="15" thickBot="1">
      <c r="A1093" s="3" t="s">
        <v>2916</v>
      </c>
      <c r="B1093" s="3" t="s">
        <v>817</v>
      </c>
      <c r="C1093" s="3" t="s">
        <v>600</v>
      </c>
      <c r="D1093" s="3" t="s">
        <v>2661</v>
      </c>
      <c r="E1093" s="3">
        <v>624012</v>
      </c>
      <c r="F1093" s="3">
        <v>0</v>
      </c>
      <c r="G1093" s="3" t="s">
        <v>2706</v>
      </c>
      <c r="H1093" s="3" t="s">
        <v>20</v>
      </c>
      <c r="I1093" s="4" t="s">
        <v>142</v>
      </c>
      <c r="J1093" s="4" t="s">
        <v>21</v>
      </c>
      <c r="K1093" s="4"/>
      <c r="L1093" s="4" t="s">
        <v>2071</v>
      </c>
      <c r="M1093" s="4" t="s">
        <v>22</v>
      </c>
      <c r="N1093" s="4" t="s">
        <v>23</v>
      </c>
      <c r="O1093" s="4" t="s">
        <v>27</v>
      </c>
      <c r="P1093" s="4" t="s">
        <v>144</v>
      </c>
      <c r="Q1093" s="24">
        <v>164</v>
      </c>
      <c r="R1093" s="25">
        <v>10</v>
      </c>
      <c r="S1093" s="39">
        <v>1</v>
      </c>
      <c r="T1093" s="7"/>
      <c r="U1093" t="s">
        <v>2913</v>
      </c>
      <c r="V1093" s="7" t="str">
        <f>+IF(U1093="","",IF(U1093="FINES",CONCATENATE("R",IF(OR(B1093="16",B1093="21",B1093="22",B1093="23"),"16212223",IF(OR(B1093="15",B1093="17",B1093="24",B1093="25"),"15172425",B1093))),IF(U1093="CEBAS","UNICO",IF(VALUE(B1093)&lt;=11,"AMBA","INTERIOR"))))</f>
        <v>AMBA</v>
      </c>
      <c r="W1093" s="38" t="str">
        <f>+IF(U1093="","-",CONCATENATE(U1093,"_",V1093))</f>
        <v>CENS_AMBA</v>
      </c>
      <c r="X1093" s="42">
        <v>0.93100000000000005</v>
      </c>
    </row>
    <row r="1094" spans="1:24" ht="15" thickBot="1">
      <c r="A1094" s="5" t="s">
        <v>2916</v>
      </c>
      <c r="B1094" s="5" t="s">
        <v>1257</v>
      </c>
      <c r="C1094" s="5" t="s">
        <v>1255</v>
      </c>
      <c r="D1094" s="5" t="s">
        <v>1256</v>
      </c>
      <c r="E1094" s="5">
        <v>623681</v>
      </c>
      <c r="F1094" s="5">
        <v>0</v>
      </c>
      <c r="G1094" s="5" t="s">
        <v>1304</v>
      </c>
      <c r="H1094" s="5" t="s">
        <v>20</v>
      </c>
      <c r="I1094" s="6" t="s">
        <v>142</v>
      </c>
      <c r="J1094" s="6" t="s">
        <v>21</v>
      </c>
      <c r="K1094" s="6"/>
      <c r="L1094" s="6" t="s">
        <v>160</v>
      </c>
      <c r="M1094" s="6" t="s">
        <v>199</v>
      </c>
      <c r="N1094" s="6" t="s">
        <v>23</v>
      </c>
      <c r="O1094" s="6" t="s">
        <v>27</v>
      </c>
      <c r="P1094" s="6" t="s">
        <v>144</v>
      </c>
      <c r="Q1094" s="22">
        <v>45</v>
      </c>
      <c r="R1094" s="23">
        <v>3</v>
      </c>
      <c r="S1094" s="39">
        <v>1</v>
      </c>
      <c r="T1094" s="7"/>
      <c r="U1094" t="s">
        <v>2913</v>
      </c>
      <c r="V1094" s="7" t="str">
        <f>+IF(U1094="","",IF(U1094="FINES",CONCATENATE("R",IF(OR(B1094="16",B1094="21",B1094="22",B1094="23"),"16212223",IF(OR(B1094="15",B1094="17",B1094="24",B1094="25"),"15172425",B1094))),IF(U1094="CEBAS","UNICO",IF(VALUE(B1094)&lt;=11,"AMBA","INTERIOR"))))</f>
        <v>AMBA</v>
      </c>
      <c r="W1094" s="38" t="str">
        <f>+IF(U1094="","-",CONCATENATE(U1094,"_",V1094))</f>
        <v>CENS_AMBA</v>
      </c>
      <c r="X1094" s="42">
        <v>0.93200000000000005</v>
      </c>
    </row>
    <row r="1095" spans="1:24" ht="15" thickBot="1">
      <c r="A1095" s="3" t="s">
        <v>2916</v>
      </c>
      <c r="B1095" s="3" t="s">
        <v>1257</v>
      </c>
      <c r="C1095" s="3" t="s">
        <v>2213</v>
      </c>
      <c r="D1095" s="3" t="s">
        <v>2214</v>
      </c>
      <c r="E1095" s="3">
        <v>610985</v>
      </c>
      <c r="F1095" s="3">
        <v>0</v>
      </c>
      <c r="G1095" s="3" t="s">
        <v>2235</v>
      </c>
      <c r="H1095" s="3" t="s">
        <v>20</v>
      </c>
      <c r="I1095" s="4" t="s">
        <v>142</v>
      </c>
      <c r="J1095" s="4" t="s">
        <v>21</v>
      </c>
      <c r="K1095" s="4"/>
      <c r="L1095" s="4" t="s">
        <v>143</v>
      </c>
      <c r="M1095" s="4" t="s">
        <v>22</v>
      </c>
      <c r="N1095" s="4" t="s">
        <v>23</v>
      </c>
      <c r="O1095" s="4" t="s">
        <v>27</v>
      </c>
      <c r="P1095" s="4" t="s">
        <v>144</v>
      </c>
      <c r="Q1095" s="24">
        <v>219</v>
      </c>
      <c r="R1095" s="25">
        <v>16</v>
      </c>
      <c r="S1095" s="39">
        <v>1</v>
      </c>
      <c r="T1095" s="7"/>
      <c r="U1095" t="s">
        <v>2913</v>
      </c>
      <c r="V1095" s="7" t="str">
        <f>+IF(U1095="","",IF(U1095="FINES",CONCATENATE("R",IF(OR(B1095="16",B1095="21",B1095="22",B1095="23"),"16212223",IF(OR(B1095="15",B1095="17",B1095="24",B1095="25"),"15172425",B1095))),IF(U1095="CEBAS","UNICO",IF(VALUE(B1095)&lt;=11,"AMBA","INTERIOR"))))</f>
        <v>AMBA</v>
      </c>
      <c r="W1095" s="38" t="str">
        <f>+IF(U1095="","-",CONCATENATE(U1095,"_",V1095))</f>
        <v>CENS_AMBA</v>
      </c>
      <c r="X1095" s="42">
        <v>0.93600000000000005</v>
      </c>
    </row>
    <row r="1096" spans="1:24" ht="15" thickBot="1">
      <c r="A1096" s="5" t="s">
        <v>2916</v>
      </c>
      <c r="B1096" s="5" t="s">
        <v>1257</v>
      </c>
      <c r="C1096" s="5" t="s">
        <v>1255</v>
      </c>
      <c r="D1096" s="5" t="s">
        <v>1256</v>
      </c>
      <c r="E1096" s="5">
        <v>621165</v>
      </c>
      <c r="F1096" s="5">
        <v>0</v>
      </c>
      <c r="G1096" s="5" t="s">
        <v>1296</v>
      </c>
      <c r="H1096" s="5" t="s">
        <v>20</v>
      </c>
      <c r="I1096" s="6" t="s">
        <v>142</v>
      </c>
      <c r="J1096" s="6" t="s">
        <v>21</v>
      </c>
      <c r="K1096" s="6"/>
      <c r="L1096" s="6" t="s">
        <v>1297</v>
      </c>
      <c r="M1096" s="6" t="s">
        <v>22</v>
      </c>
      <c r="N1096" s="6" t="s">
        <v>23</v>
      </c>
      <c r="O1096" s="6" t="s">
        <v>27</v>
      </c>
      <c r="P1096" s="6" t="s">
        <v>144</v>
      </c>
      <c r="Q1096" s="22">
        <v>46</v>
      </c>
      <c r="R1096" s="23">
        <v>3</v>
      </c>
      <c r="S1096" s="39">
        <v>1</v>
      </c>
      <c r="T1096" s="7"/>
      <c r="U1096" t="s">
        <v>2913</v>
      </c>
      <c r="V1096" s="7" t="str">
        <f>+IF(U1096="","",IF(U1096="FINES",CONCATENATE("R",IF(OR(B1096="16",B1096="21",B1096="22",B1096="23"),"16212223",IF(OR(B1096="15",B1096="17",B1096="24",B1096="25"),"15172425",B1096))),IF(U1096="CEBAS","UNICO",IF(VALUE(B1096)&lt;=11,"AMBA","INTERIOR"))))</f>
        <v>AMBA</v>
      </c>
      <c r="W1096" s="38" t="str">
        <f>+IF(U1096="","-",CONCATENATE(U1096,"_",V1096))</f>
        <v>CENS_AMBA</v>
      </c>
      <c r="X1096" s="42">
        <v>0.93700000000000006</v>
      </c>
    </row>
    <row r="1097" spans="1:24" ht="15" thickBot="1">
      <c r="A1097" s="5" t="s">
        <v>2916</v>
      </c>
      <c r="B1097" s="5" t="s">
        <v>204</v>
      </c>
      <c r="C1097" s="5" t="s">
        <v>1084</v>
      </c>
      <c r="D1097" s="5" t="s">
        <v>1085</v>
      </c>
      <c r="E1097" s="5">
        <v>616742</v>
      </c>
      <c r="F1097" s="5">
        <v>0</v>
      </c>
      <c r="G1097" s="5" t="s">
        <v>1134</v>
      </c>
      <c r="H1097" s="5" t="s">
        <v>20</v>
      </c>
      <c r="I1097" s="6" t="s">
        <v>142</v>
      </c>
      <c r="J1097" s="6" t="s">
        <v>21</v>
      </c>
      <c r="K1097" s="6"/>
      <c r="L1097" s="6" t="s">
        <v>1135</v>
      </c>
      <c r="M1097" s="6" t="s">
        <v>22</v>
      </c>
      <c r="N1097" s="6" t="s">
        <v>23</v>
      </c>
      <c r="O1097" s="6" t="s">
        <v>27</v>
      </c>
      <c r="P1097" s="6" t="s">
        <v>144</v>
      </c>
      <c r="Q1097" s="22">
        <v>132</v>
      </c>
      <c r="R1097" s="23">
        <v>6</v>
      </c>
      <c r="S1097" s="39">
        <v>1</v>
      </c>
      <c r="T1097" s="7"/>
      <c r="U1097" t="s">
        <v>2913</v>
      </c>
      <c r="V1097" s="7" t="str">
        <f>+IF(U1097="","",IF(U1097="FINES",CONCATENATE("R",IF(OR(B1097="16",B1097="21",B1097="22",B1097="23"),"16212223",IF(OR(B1097="15",B1097="17",B1097="24",B1097="25"),"15172425",B1097))),IF(U1097="CEBAS","UNICO",IF(VALUE(B1097)&lt;=11,"AMBA","INTERIOR"))))</f>
        <v>AMBA</v>
      </c>
      <c r="W1097" s="38" t="str">
        <f>+IF(U1097="","-",CONCATENATE(U1097,"_",V1097))</f>
        <v>CENS_AMBA</v>
      </c>
      <c r="X1097" s="42">
        <v>0.93899999999999995</v>
      </c>
    </row>
    <row r="1098" spans="1:24" ht="15" thickBot="1">
      <c r="A1098" s="5" t="s">
        <v>2916</v>
      </c>
      <c r="B1098" s="5" t="s">
        <v>222</v>
      </c>
      <c r="C1098" s="5" t="s">
        <v>227</v>
      </c>
      <c r="D1098" s="5" t="s">
        <v>2603</v>
      </c>
      <c r="E1098" s="5">
        <v>623761</v>
      </c>
      <c r="F1098" s="5">
        <v>0</v>
      </c>
      <c r="G1098" s="5" t="s">
        <v>2623</v>
      </c>
      <c r="H1098" s="5" t="s">
        <v>20</v>
      </c>
      <c r="I1098" s="6" t="s">
        <v>142</v>
      </c>
      <c r="J1098" s="6" t="s">
        <v>21</v>
      </c>
      <c r="K1098" s="6"/>
      <c r="L1098" s="6" t="s">
        <v>335</v>
      </c>
      <c r="M1098" s="6" t="s">
        <v>22</v>
      </c>
      <c r="N1098" s="6" t="s">
        <v>23</v>
      </c>
      <c r="O1098" s="6" t="s">
        <v>27</v>
      </c>
      <c r="P1098" s="6" t="s">
        <v>144</v>
      </c>
      <c r="Q1098" s="22">
        <v>245</v>
      </c>
      <c r="R1098" s="23">
        <v>7</v>
      </c>
      <c r="S1098" s="39">
        <v>1</v>
      </c>
      <c r="T1098" s="7"/>
      <c r="U1098" t="s">
        <v>2913</v>
      </c>
      <c r="V1098" s="7" t="str">
        <f>+IF(U1098="","",IF(U1098="FINES",CONCATENATE("R",IF(OR(B1098="16",B1098="21",B1098="22",B1098="23"),"16212223",IF(OR(B1098="15",B1098="17",B1098="24",B1098="25"),"15172425",B1098))),IF(U1098="CEBAS","UNICO",IF(VALUE(B1098)&lt;=11,"AMBA","INTERIOR"))))</f>
        <v>AMBA</v>
      </c>
      <c r="W1098" s="38" t="str">
        <f>+IF(U1098="","-",CONCATENATE(U1098,"_",V1098))</f>
        <v>CENS_AMBA</v>
      </c>
      <c r="X1098" s="42">
        <v>0.94299999999999995</v>
      </c>
    </row>
    <row r="1099" spans="1:24" ht="15" thickBot="1">
      <c r="A1099" s="3" t="s">
        <v>2916</v>
      </c>
      <c r="B1099" s="3" t="s">
        <v>817</v>
      </c>
      <c r="C1099" s="3" t="s">
        <v>815</v>
      </c>
      <c r="D1099" s="3" t="s">
        <v>816</v>
      </c>
      <c r="E1099" s="3">
        <v>623646</v>
      </c>
      <c r="F1099" s="3">
        <v>0</v>
      </c>
      <c r="G1099" s="3" t="s">
        <v>864</v>
      </c>
      <c r="H1099" s="3" t="s">
        <v>20</v>
      </c>
      <c r="I1099" s="4" t="s">
        <v>142</v>
      </c>
      <c r="J1099" s="4" t="s">
        <v>21</v>
      </c>
      <c r="K1099" s="4"/>
      <c r="L1099" s="4" t="s">
        <v>865</v>
      </c>
      <c r="M1099" s="4" t="s">
        <v>22</v>
      </c>
      <c r="N1099" s="4" t="s">
        <v>23</v>
      </c>
      <c r="O1099" s="4" t="s">
        <v>27</v>
      </c>
      <c r="P1099" s="4" t="s">
        <v>144</v>
      </c>
      <c r="Q1099" s="24">
        <v>315</v>
      </c>
      <c r="R1099" s="25">
        <v>13</v>
      </c>
      <c r="S1099" s="39">
        <v>1</v>
      </c>
      <c r="T1099" s="7"/>
      <c r="U1099" t="s">
        <v>2913</v>
      </c>
      <c r="V1099" s="7" t="str">
        <f>+IF(U1099="","",IF(U1099="FINES",CONCATENATE("R",IF(OR(B1099="16",B1099="21",B1099="22",B1099="23"),"16212223",IF(OR(B1099="15",B1099="17",B1099="24",B1099="25"),"15172425",B1099))),IF(U1099="CEBAS","UNICO",IF(VALUE(B1099)&lt;=11,"AMBA","INTERIOR"))))</f>
        <v>AMBA</v>
      </c>
      <c r="W1099" s="38" t="str">
        <f>+IF(U1099="","-",CONCATENATE(U1099,"_",V1099))</f>
        <v>CENS_AMBA</v>
      </c>
      <c r="X1099" s="42">
        <v>0.94499999999999995</v>
      </c>
    </row>
    <row r="1100" spans="1:24" ht="15" thickBot="1">
      <c r="A1100" s="5" t="s">
        <v>2916</v>
      </c>
      <c r="B1100" s="5" t="s">
        <v>356</v>
      </c>
      <c r="C1100" s="5" t="s">
        <v>1359</v>
      </c>
      <c r="D1100" s="5" t="s">
        <v>1360</v>
      </c>
      <c r="E1100" s="5">
        <v>623601</v>
      </c>
      <c r="F1100" s="5">
        <v>0</v>
      </c>
      <c r="G1100" s="5" t="s">
        <v>1441</v>
      </c>
      <c r="H1100" s="5" t="s">
        <v>20</v>
      </c>
      <c r="I1100" s="6" t="s">
        <v>142</v>
      </c>
      <c r="J1100" s="6" t="s">
        <v>21</v>
      </c>
      <c r="K1100" s="6"/>
      <c r="L1100" s="6" t="s">
        <v>166</v>
      </c>
      <c r="M1100" s="6" t="s">
        <v>22</v>
      </c>
      <c r="N1100" s="6" t="s">
        <v>23</v>
      </c>
      <c r="O1100" s="6" t="s">
        <v>27</v>
      </c>
      <c r="P1100" s="6" t="s">
        <v>144</v>
      </c>
      <c r="Q1100" s="22">
        <v>140</v>
      </c>
      <c r="R1100" s="23">
        <v>6</v>
      </c>
      <c r="S1100" s="39">
        <v>1</v>
      </c>
      <c r="T1100" s="7"/>
      <c r="U1100" t="s">
        <v>2913</v>
      </c>
      <c r="V1100" s="7" t="str">
        <f>+IF(U1100="","",IF(U1100="FINES",CONCATENATE("R",IF(OR(B1100="16",B1100="21",B1100="22",B1100="23"),"16212223",IF(OR(B1100="15",B1100="17",B1100="24",B1100="25"),"15172425",B1100))),IF(U1100="CEBAS","UNICO",IF(VALUE(B1100)&lt;=11,"AMBA","INTERIOR"))))</f>
        <v>AMBA</v>
      </c>
      <c r="W1100" s="38" t="str">
        <f>+IF(U1100="","-",CONCATENATE(U1100,"_",V1100))</f>
        <v>CENS_AMBA</v>
      </c>
      <c r="X1100" s="42">
        <v>0.94799999999999995</v>
      </c>
    </row>
    <row r="1101" spans="1:24" ht="15" thickBot="1">
      <c r="A1101" s="5" t="s">
        <v>2916</v>
      </c>
      <c r="B1101" s="5" t="s">
        <v>1860</v>
      </c>
      <c r="C1101" s="5" t="s">
        <v>875</v>
      </c>
      <c r="D1101" s="5" t="s">
        <v>2816</v>
      </c>
      <c r="E1101" s="5">
        <v>623729</v>
      </c>
      <c r="F1101" s="5">
        <v>0</v>
      </c>
      <c r="G1101" s="5" t="s">
        <v>2828</v>
      </c>
      <c r="H1101" s="5" t="s">
        <v>20</v>
      </c>
      <c r="I1101" s="6" t="s">
        <v>142</v>
      </c>
      <c r="J1101" s="6" t="s">
        <v>21</v>
      </c>
      <c r="K1101" s="6"/>
      <c r="L1101" s="6" t="s">
        <v>636</v>
      </c>
      <c r="M1101" s="6" t="s">
        <v>22</v>
      </c>
      <c r="N1101" s="6" t="s">
        <v>23</v>
      </c>
      <c r="O1101" s="6" t="s">
        <v>27</v>
      </c>
      <c r="P1101" s="6" t="s">
        <v>144</v>
      </c>
      <c r="Q1101" s="22">
        <v>200</v>
      </c>
      <c r="R1101" s="23">
        <v>7</v>
      </c>
      <c r="S1101" s="39">
        <v>1</v>
      </c>
      <c r="T1101" s="7"/>
      <c r="U1101" t="s">
        <v>2913</v>
      </c>
      <c r="V1101" s="7" t="str">
        <f>+IF(U1101="","",IF(U1101="FINES",CONCATENATE("R",IF(OR(B1101="16",B1101="21",B1101="22",B1101="23"),"16212223",IF(OR(B1101="15",B1101="17",B1101="24",B1101="25"),"15172425",B1101))),IF(U1101="CEBAS","UNICO",IF(VALUE(B1101)&lt;=11,"AMBA","INTERIOR"))))</f>
        <v>AMBA</v>
      </c>
      <c r="W1101" s="38" t="str">
        <f>+IF(U1101="","-",CONCATENATE(U1101,"_",V1101))</f>
        <v>CENS_AMBA</v>
      </c>
      <c r="X1101" s="42">
        <v>0.94899999999999995</v>
      </c>
    </row>
    <row r="1102" spans="1:24" ht="15" thickBot="1">
      <c r="A1102" s="5" t="s">
        <v>2916</v>
      </c>
      <c r="B1102" s="5" t="s">
        <v>138</v>
      </c>
      <c r="C1102" s="5" t="s">
        <v>555</v>
      </c>
      <c r="D1102" s="5" t="s">
        <v>2392</v>
      </c>
      <c r="E1102" s="5">
        <v>623758</v>
      </c>
      <c r="F1102" s="5">
        <v>0</v>
      </c>
      <c r="G1102" s="5" t="s">
        <v>2396</v>
      </c>
      <c r="H1102" s="5" t="s">
        <v>20</v>
      </c>
      <c r="I1102" s="6" t="s">
        <v>142</v>
      </c>
      <c r="J1102" s="6" t="s">
        <v>21</v>
      </c>
      <c r="K1102" s="6"/>
      <c r="L1102" s="6" t="s">
        <v>251</v>
      </c>
      <c r="M1102" s="6" t="s">
        <v>22</v>
      </c>
      <c r="N1102" s="6" t="s">
        <v>23</v>
      </c>
      <c r="O1102" s="6" t="s">
        <v>27</v>
      </c>
      <c r="P1102" s="6" t="s">
        <v>144</v>
      </c>
      <c r="Q1102" s="22">
        <v>45</v>
      </c>
      <c r="R1102" s="23">
        <v>3</v>
      </c>
      <c r="S1102" s="39">
        <v>1</v>
      </c>
      <c r="T1102" s="7"/>
      <c r="U1102" t="s">
        <v>2913</v>
      </c>
      <c r="V1102" s="7" t="str">
        <f>+IF(U1102="","",IF(U1102="FINES",CONCATENATE("R",IF(OR(B1102="16",B1102="21",B1102="22",B1102="23"),"16212223",IF(OR(B1102="15",B1102="17",B1102="24",B1102="25"),"15172425",B1102))),IF(U1102="CEBAS","UNICO",IF(VALUE(B1102)&lt;=11,"AMBA","INTERIOR"))))</f>
        <v>AMBA</v>
      </c>
      <c r="W1102" s="38" t="str">
        <f>+IF(U1102="","-",CONCATENATE(U1102,"_",V1102))</f>
        <v>CENS_AMBA</v>
      </c>
      <c r="X1102" s="42">
        <v>0.94899999999999995</v>
      </c>
    </row>
    <row r="1103" spans="1:24" ht="15" thickBot="1">
      <c r="A1103" s="3" t="s">
        <v>2916</v>
      </c>
      <c r="B1103" s="3" t="s">
        <v>257</v>
      </c>
      <c r="C1103" s="3" t="s">
        <v>772</v>
      </c>
      <c r="D1103" s="3" t="s">
        <v>773</v>
      </c>
      <c r="E1103" s="3">
        <v>623658</v>
      </c>
      <c r="F1103" s="3">
        <v>0</v>
      </c>
      <c r="G1103" s="3" t="s">
        <v>798</v>
      </c>
      <c r="H1103" s="3" t="s">
        <v>20</v>
      </c>
      <c r="I1103" s="4" t="s">
        <v>142</v>
      </c>
      <c r="J1103" s="4" t="s">
        <v>21</v>
      </c>
      <c r="K1103" s="4"/>
      <c r="L1103" s="4" t="s">
        <v>335</v>
      </c>
      <c r="M1103" s="4" t="s">
        <v>22</v>
      </c>
      <c r="N1103" s="4" t="s">
        <v>23</v>
      </c>
      <c r="O1103" s="4" t="s">
        <v>27</v>
      </c>
      <c r="P1103" s="4" t="s">
        <v>144</v>
      </c>
      <c r="Q1103" s="24">
        <v>121</v>
      </c>
      <c r="R1103" s="25">
        <v>9</v>
      </c>
      <c r="S1103" s="39">
        <v>1</v>
      </c>
      <c r="T1103" s="7"/>
      <c r="U1103" t="s">
        <v>2913</v>
      </c>
      <c r="V1103" s="7" t="str">
        <f>+IF(U1103="","",IF(U1103="FINES",CONCATENATE("R",IF(OR(B1103="16",B1103="21",B1103="22",B1103="23"),"16212223",IF(OR(B1103="15",B1103="17",B1103="24",B1103="25"),"15172425",B1103))),IF(U1103="CEBAS","UNICO",IF(VALUE(B1103)&lt;=11,"AMBA","INTERIOR"))))</f>
        <v>AMBA</v>
      </c>
      <c r="W1103" s="38" t="str">
        <f>+IF(U1103="","-",CONCATENATE(U1103,"_",V1103))</f>
        <v>CENS_AMBA</v>
      </c>
      <c r="X1103" s="42">
        <v>0.94899999999999995</v>
      </c>
    </row>
    <row r="1104" spans="1:24" ht="15" thickBot="1">
      <c r="A1104" s="5" t="s">
        <v>2916</v>
      </c>
      <c r="B1104" s="5" t="s">
        <v>1780</v>
      </c>
      <c r="C1104" s="5" t="s">
        <v>1778</v>
      </c>
      <c r="D1104" s="5" t="s">
        <v>1779</v>
      </c>
      <c r="E1104" s="5">
        <v>623712</v>
      </c>
      <c r="F1104" s="5">
        <v>0</v>
      </c>
      <c r="G1104" s="5" t="s">
        <v>1838</v>
      </c>
      <c r="H1104" s="5" t="s">
        <v>20</v>
      </c>
      <c r="I1104" s="6" t="s">
        <v>142</v>
      </c>
      <c r="J1104" s="6" t="s">
        <v>21</v>
      </c>
      <c r="K1104" s="6"/>
      <c r="L1104" s="6" t="s">
        <v>160</v>
      </c>
      <c r="M1104" s="6" t="s">
        <v>22</v>
      </c>
      <c r="N1104" s="6" t="s">
        <v>23</v>
      </c>
      <c r="O1104" s="6" t="s">
        <v>27</v>
      </c>
      <c r="P1104" s="6" t="s">
        <v>144</v>
      </c>
      <c r="Q1104" s="22">
        <v>227</v>
      </c>
      <c r="R1104" s="23">
        <v>11</v>
      </c>
      <c r="S1104" s="39">
        <v>1</v>
      </c>
      <c r="T1104" s="7"/>
      <c r="U1104" t="s">
        <v>2913</v>
      </c>
      <c r="V1104" s="7" t="str">
        <f>+IF(U1104="","",IF(U1104="FINES",CONCATENATE("R",IF(OR(B1104="16",B1104="21",B1104="22",B1104="23"),"16212223",IF(OR(B1104="15",B1104="17",B1104="24",B1104="25"),"15172425",B1104))),IF(U1104="CEBAS","UNICO",IF(VALUE(B1104)&lt;=11,"AMBA","INTERIOR"))))</f>
        <v>AMBA</v>
      </c>
      <c r="W1104" s="38" t="str">
        <f>+IF(U1104="","-",CONCATENATE(U1104,"_",V1104))</f>
        <v>CENS_AMBA</v>
      </c>
      <c r="X1104" s="42">
        <v>0.95399999999999996</v>
      </c>
    </row>
    <row r="1105" spans="1:24" ht="15" thickBot="1">
      <c r="A1105" s="5" t="s">
        <v>2916</v>
      </c>
      <c r="B1105" s="5" t="s">
        <v>356</v>
      </c>
      <c r="C1105" s="5" t="s">
        <v>1359</v>
      </c>
      <c r="D1105" s="5" t="s">
        <v>1360</v>
      </c>
      <c r="E1105" s="5">
        <v>602730</v>
      </c>
      <c r="F1105" s="5">
        <v>0</v>
      </c>
      <c r="G1105" s="5" t="s">
        <v>1426</v>
      </c>
      <c r="H1105" s="5" t="s">
        <v>20</v>
      </c>
      <c r="I1105" s="6" t="s">
        <v>142</v>
      </c>
      <c r="J1105" s="6" t="s">
        <v>21</v>
      </c>
      <c r="K1105" s="6"/>
      <c r="L1105" s="6" t="s">
        <v>143</v>
      </c>
      <c r="M1105" s="6" t="s">
        <v>22</v>
      </c>
      <c r="N1105" s="6" t="s">
        <v>23</v>
      </c>
      <c r="O1105" s="6" t="s">
        <v>27</v>
      </c>
      <c r="P1105" s="6" t="s">
        <v>144</v>
      </c>
      <c r="Q1105" s="22">
        <v>252</v>
      </c>
      <c r="R1105" s="23">
        <v>21</v>
      </c>
      <c r="S1105" s="39">
        <v>1</v>
      </c>
      <c r="T1105" s="7"/>
      <c r="U1105" t="s">
        <v>2913</v>
      </c>
      <c r="V1105" s="7" t="str">
        <f>+IF(U1105="","",IF(U1105="FINES",CONCATENATE("R",IF(OR(B1105="16",B1105="21",B1105="22",B1105="23"),"16212223",IF(OR(B1105="15",B1105="17",B1105="24",B1105="25"),"15172425",B1105))),IF(U1105="CEBAS","UNICO",IF(VALUE(B1105)&lt;=11,"AMBA","INTERIOR"))))</f>
        <v>AMBA</v>
      </c>
      <c r="W1105" s="38" t="str">
        <f>+IF(U1105="","-",CONCATENATE(U1105,"_",V1105))</f>
        <v>CENS_AMBA</v>
      </c>
      <c r="X1105" s="42">
        <v>0.96</v>
      </c>
    </row>
    <row r="1106" spans="1:24" ht="15" thickBot="1">
      <c r="A1106" s="5" t="s">
        <v>2916</v>
      </c>
      <c r="B1106" s="5" t="s">
        <v>19</v>
      </c>
      <c r="C1106" s="5" t="s">
        <v>449</v>
      </c>
      <c r="D1106" s="5" t="s">
        <v>2590</v>
      </c>
      <c r="E1106" s="5">
        <v>623585</v>
      </c>
      <c r="F1106" s="5">
        <v>0</v>
      </c>
      <c r="G1106" s="5" t="s">
        <v>2597</v>
      </c>
      <c r="H1106" s="5" t="s">
        <v>20</v>
      </c>
      <c r="I1106" s="6" t="s">
        <v>142</v>
      </c>
      <c r="J1106" s="6" t="s">
        <v>21</v>
      </c>
      <c r="K1106" s="6"/>
      <c r="L1106" s="6" t="s">
        <v>251</v>
      </c>
      <c r="M1106" s="6" t="s">
        <v>22</v>
      </c>
      <c r="N1106" s="6" t="s">
        <v>23</v>
      </c>
      <c r="O1106" s="6" t="s">
        <v>27</v>
      </c>
      <c r="P1106" s="6" t="s">
        <v>144</v>
      </c>
      <c r="Q1106" s="22">
        <v>187</v>
      </c>
      <c r="R1106" s="23">
        <v>12</v>
      </c>
      <c r="S1106" s="39">
        <v>1</v>
      </c>
      <c r="T1106" s="7"/>
      <c r="U1106" t="s">
        <v>2913</v>
      </c>
      <c r="V1106" s="7" t="str">
        <f>+IF(U1106="","",IF(U1106="FINES",CONCATENATE("R",IF(OR(B1106="16",B1106="21",B1106="22",B1106="23"),"16212223",IF(OR(B1106="15",B1106="17",B1106="24",B1106="25"),"15172425",B1106))),IF(U1106="CEBAS","UNICO",IF(VALUE(B1106)&lt;=11,"AMBA","INTERIOR"))))</f>
        <v>AMBA</v>
      </c>
      <c r="W1106" s="38" t="str">
        <f>+IF(U1106="","-",CONCATENATE(U1106,"_",V1106))</f>
        <v>CENS_AMBA</v>
      </c>
      <c r="X1106" s="42">
        <v>0.96199999999999997</v>
      </c>
    </row>
    <row r="1107" spans="1:24" ht="15" thickBot="1">
      <c r="A1107" s="5" t="s">
        <v>2916</v>
      </c>
      <c r="B1107" s="5" t="s">
        <v>1860</v>
      </c>
      <c r="C1107" s="5" t="s">
        <v>411</v>
      </c>
      <c r="D1107" s="5" t="s">
        <v>2791</v>
      </c>
      <c r="E1107" s="5">
        <v>617094</v>
      </c>
      <c r="F1107" s="5">
        <v>0</v>
      </c>
      <c r="G1107" s="5" t="s">
        <v>2810</v>
      </c>
      <c r="H1107" s="5" t="s">
        <v>20</v>
      </c>
      <c r="I1107" s="6" t="s">
        <v>142</v>
      </c>
      <c r="J1107" s="6" t="s">
        <v>21</v>
      </c>
      <c r="K1107" s="6"/>
      <c r="L1107" s="6" t="s">
        <v>2811</v>
      </c>
      <c r="M1107" s="6" t="s">
        <v>22</v>
      </c>
      <c r="N1107" s="6" t="s">
        <v>23</v>
      </c>
      <c r="O1107" s="6" t="s">
        <v>27</v>
      </c>
      <c r="P1107" s="6" t="s">
        <v>144</v>
      </c>
      <c r="Q1107" s="22">
        <v>425</v>
      </c>
      <c r="R1107" s="23">
        <v>12</v>
      </c>
      <c r="S1107" s="39">
        <v>1</v>
      </c>
      <c r="T1107" s="7"/>
      <c r="U1107" t="s">
        <v>2913</v>
      </c>
      <c r="V1107" s="7" t="str">
        <f>+IF(U1107="","",IF(U1107="FINES",CONCATENATE("R",IF(OR(B1107="16",B1107="21",B1107="22",B1107="23"),"16212223",IF(OR(B1107="15",B1107="17",B1107="24",B1107="25"),"15172425",B1107))),IF(U1107="CEBAS","UNICO",IF(VALUE(B1107)&lt;=11,"AMBA","INTERIOR"))))</f>
        <v>AMBA</v>
      </c>
      <c r="W1107" s="38" t="str">
        <f>+IF(U1107="","-",CONCATENATE(U1107,"_",V1107))</f>
        <v>CENS_AMBA</v>
      </c>
      <c r="X1107" s="42">
        <v>0.96499999999999997</v>
      </c>
    </row>
    <row r="1108" spans="1:24" ht="15" thickBot="1">
      <c r="A1108" s="3" t="s">
        <v>2916</v>
      </c>
      <c r="B1108" s="3" t="s">
        <v>1532</v>
      </c>
      <c r="C1108" s="3" t="s">
        <v>1530</v>
      </c>
      <c r="D1108" s="3" t="s">
        <v>1531</v>
      </c>
      <c r="E1108" s="3">
        <v>623622</v>
      </c>
      <c r="F1108" s="3">
        <v>0</v>
      </c>
      <c r="G1108" s="3" t="s">
        <v>1708</v>
      </c>
      <c r="H1108" s="3" t="s">
        <v>20</v>
      </c>
      <c r="I1108" s="4" t="s">
        <v>142</v>
      </c>
      <c r="J1108" s="4" t="s">
        <v>21</v>
      </c>
      <c r="K1108" s="4"/>
      <c r="L1108" s="4" t="s">
        <v>1709</v>
      </c>
      <c r="M1108" s="4" t="s">
        <v>22</v>
      </c>
      <c r="N1108" s="4" t="s">
        <v>23</v>
      </c>
      <c r="O1108" s="4" t="s">
        <v>27</v>
      </c>
      <c r="P1108" s="4" t="s">
        <v>144</v>
      </c>
      <c r="Q1108" s="24">
        <v>107</v>
      </c>
      <c r="R1108" s="25">
        <v>6</v>
      </c>
      <c r="S1108" s="39">
        <v>1</v>
      </c>
      <c r="T1108" s="7"/>
      <c r="U1108" t="s">
        <v>2913</v>
      </c>
      <c r="V1108" s="7" t="str">
        <f>+IF(U1108="","",IF(U1108="FINES",CONCATENATE("R",IF(OR(B1108="16",B1108="21",B1108="22",B1108="23"),"16212223",IF(OR(B1108="15",B1108="17",B1108="24",B1108="25"),"15172425",B1108))),IF(U1108="CEBAS","UNICO",IF(VALUE(B1108)&lt;=11,"AMBA","INTERIOR"))))</f>
        <v>AMBA</v>
      </c>
      <c r="W1108" s="38" t="str">
        <f>+IF(U1108="","-",CONCATENATE(U1108,"_",V1108))</f>
        <v>CENS_AMBA</v>
      </c>
      <c r="X1108" s="42">
        <v>0.96599999999999997</v>
      </c>
    </row>
    <row r="1109" spans="1:24" ht="15" thickBot="1">
      <c r="A1109" s="5" t="s">
        <v>2916</v>
      </c>
      <c r="B1109" s="5" t="s">
        <v>257</v>
      </c>
      <c r="C1109" s="5" t="s">
        <v>254</v>
      </c>
      <c r="D1109" s="5" t="s">
        <v>256</v>
      </c>
      <c r="E1109" s="5">
        <v>601902</v>
      </c>
      <c r="F1109" s="5">
        <v>0</v>
      </c>
      <c r="G1109" s="5" t="s">
        <v>332</v>
      </c>
      <c r="H1109" s="5" t="s">
        <v>20</v>
      </c>
      <c r="I1109" s="6" t="s">
        <v>142</v>
      </c>
      <c r="J1109" s="6" t="s">
        <v>21</v>
      </c>
      <c r="K1109" s="6"/>
      <c r="L1109" s="6" t="s">
        <v>333</v>
      </c>
      <c r="M1109" s="6" t="s">
        <v>22</v>
      </c>
      <c r="N1109" s="6" t="s">
        <v>23</v>
      </c>
      <c r="O1109" s="6" t="s">
        <v>27</v>
      </c>
      <c r="P1109" s="6" t="s">
        <v>144</v>
      </c>
      <c r="Q1109" s="22">
        <v>206</v>
      </c>
      <c r="R1109" s="23">
        <v>16</v>
      </c>
      <c r="S1109" s="39">
        <v>1</v>
      </c>
      <c r="T1109" s="7"/>
      <c r="U1109" t="s">
        <v>2913</v>
      </c>
      <c r="V1109" s="7" t="str">
        <f>+IF(U1109="","",IF(U1109="FINES",CONCATENATE("R",IF(OR(B1109="16",B1109="21",B1109="22",B1109="23"),"16212223",IF(OR(B1109="15",B1109="17",B1109="24",B1109="25"),"15172425",B1109))),IF(U1109="CEBAS","UNICO",IF(VALUE(B1109)&lt;=11,"AMBA","INTERIOR"))))</f>
        <v>AMBA</v>
      </c>
      <c r="W1109" s="38" t="str">
        <f>+IF(U1109="","-",CONCATENATE(U1109,"_",V1109))</f>
        <v>CENS_AMBA</v>
      </c>
      <c r="X1109" s="42">
        <v>0.96699999999999997</v>
      </c>
    </row>
    <row r="1110" spans="1:24" ht="15" thickBot="1">
      <c r="A1110" s="5" t="s">
        <v>2916</v>
      </c>
      <c r="B1110" s="5" t="s">
        <v>356</v>
      </c>
      <c r="C1110" s="5" t="s">
        <v>1359</v>
      </c>
      <c r="D1110" s="5" t="s">
        <v>1360</v>
      </c>
      <c r="E1110" s="5">
        <v>624445</v>
      </c>
      <c r="F1110" s="5">
        <v>0</v>
      </c>
      <c r="G1110" s="5" t="s">
        <v>1448</v>
      </c>
      <c r="H1110" s="5" t="s">
        <v>20</v>
      </c>
      <c r="I1110" s="6" t="s">
        <v>142</v>
      </c>
      <c r="J1110" s="6" t="s">
        <v>21</v>
      </c>
      <c r="K1110" s="6"/>
      <c r="L1110" s="6" t="s">
        <v>178</v>
      </c>
      <c r="M1110" s="6" t="s">
        <v>22</v>
      </c>
      <c r="N1110" s="6" t="s">
        <v>23</v>
      </c>
      <c r="O1110" s="6" t="s">
        <v>27</v>
      </c>
      <c r="P1110" s="6" t="s">
        <v>144</v>
      </c>
      <c r="Q1110" s="22">
        <v>79</v>
      </c>
      <c r="R1110" s="23">
        <v>6</v>
      </c>
      <c r="S1110" s="39">
        <v>1</v>
      </c>
      <c r="T1110" s="7"/>
      <c r="U1110" s="7" t="s">
        <v>2913</v>
      </c>
      <c r="V1110" s="7" t="str">
        <f>+IF(U1110="","",IF(U1110="FINES",CONCATENATE("R",IF(OR(B1110="16",B1110="21",B1110="22",B1110="23"),"16212223",IF(OR(B1110="15",B1110="17",B1110="24",B1110="25"),"15172425",B1110))),IF(U1110="CEBAS","UNICO",IF(VALUE(B1110)&lt;=11,"AMBA","INTERIOR"))))</f>
        <v>AMBA</v>
      </c>
      <c r="W1110" s="38" t="str">
        <f>+IF(U1110="","-",CONCATENATE(U1110,"_",V1110))</f>
        <v>CENS_AMBA</v>
      </c>
      <c r="X1110" s="42">
        <v>0.97</v>
      </c>
    </row>
    <row r="1111" spans="1:24" ht="15" thickBot="1">
      <c r="A1111" s="5" t="s">
        <v>2916</v>
      </c>
      <c r="B1111" s="5" t="s">
        <v>817</v>
      </c>
      <c r="C1111" s="5" t="s">
        <v>600</v>
      </c>
      <c r="D1111" s="5" t="s">
        <v>2661</v>
      </c>
      <c r="E1111" s="5">
        <v>624590</v>
      </c>
      <c r="F1111" s="5">
        <v>0</v>
      </c>
      <c r="G1111" s="5" t="s">
        <v>2707</v>
      </c>
      <c r="H1111" s="5" t="s">
        <v>20</v>
      </c>
      <c r="I1111" s="6" t="s">
        <v>142</v>
      </c>
      <c r="J1111" s="6" t="s">
        <v>21</v>
      </c>
      <c r="K1111" s="6"/>
      <c r="L1111" s="6" t="s">
        <v>2708</v>
      </c>
      <c r="M1111" s="6" t="s">
        <v>22</v>
      </c>
      <c r="N1111" s="6" t="s">
        <v>23</v>
      </c>
      <c r="O1111" s="6" t="s">
        <v>27</v>
      </c>
      <c r="P1111" s="6" t="s">
        <v>144</v>
      </c>
      <c r="Q1111" s="22">
        <v>140</v>
      </c>
      <c r="R1111" s="23">
        <v>6</v>
      </c>
      <c r="S1111" s="39">
        <v>1</v>
      </c>
      <c r="T1111" s="7"/>
      <c r="U1111" s="7" t="s">
        <v>2913</v>
      </c>
      <c r="V1111" s="7" t="str">
        <f>+IF(U1111="","",IF(U1111="FINES",CONCATENATE("R",IF(OR(B1111="16",B1111="21",B1111="22",B1111="23"),"16212223",IF(OR(B1111="15",B1111="17",B1111="24",B1111="25"),"15172425",B1111))),IF(U1111="CEBAS","UNICO",IF(VALUE(B1111)&lt;=11,"AMBA","INTERIOR"))))</f>
        <v>AMBA</v>
      </c>
      <c r="W1111" s="38" t="str">
        <f>+IF(U1111="","-",CONCATENATE(U1111,"_",V1111))</f>
        <v>CENS_AMBA</v>
      </c>
      <c r="X1111" s="42">
        <v>0.97499999999999998</v>
      </c>
    </row>
    <row r="1112" spans="1:24" ht="15" thickBot="1">
      <c r="A1112" s="3" t="s">
        <v>2916</v>
      </c>
      <c r="B1112" s="3" t="s">
        <v>1780</v>
      </c>
      <c r="C1112" s="3" t="s">
        <v>1248</v>
      </c>
      <c r="D1112" s="3" t="s">
        <v>2348</v>
      </c>
      <c r="E1112" s="3">
        <v>623718</v>
      </c>
      <c r="F1112" s="3">
        <v>0</v>
      </c>
      <c r="G1112" s="3" t="s">
        <v>2377</v>
      </c>
      <c r="H1112" s="3" t="s">
        <v>20</v>
      </c>
      <c r="I1112" s="4" t="s">
        <v>142</v>
      </c>
      <c r="J1112" s="4" t="s">
        <v>21</v>
      </c>
      <c r="K1112" s="4"/>
      <c r="L1112" s="4" t="s">
        <v>152</v>
      </c>
      <c r="M1112" s="4" t="s">
        <v>22</v>
      </c>
      <c r="N1112" s="4" t="s">
        <v>23</v>
      </c>
      <c r="O1112" s="4" t="s">
        <v>27</v>
      </c>
      <c r="P1112" s="4" t="s">
        <v>144</v>
      </c>
      <c r="Q1112" s="24">
        <v>181</v>
      </c>
      <c r="R1112" s="25">
        <v>9</v>
      </c>
      <c r="S1112" s="39">
        <v>1</v>
      </c>
      <c r="T1112" s="7"/>
      <c r="U1112" s="7" t="s">
        <v>2913</v>
      </c>
      <c r="V1112" s="7" t="str">
        <f>+IF(U1112="","",IF(U1112="FINES",CONCATENATE("R",IF(OR(B1112="16",B1112="21",B1112="22",B1112="23"),"16212223",IF(OR(B1112="15",B1112="17",B1112="24",B1112="25"),"15172425",B1112))),IF(U1112="CEBAS","UNICO",IF(VALUE(B1112)&lt;=11,"AMBA","INTERIOR"))))</f>
        <v>AMBA</v>
      </c>
      <c r="W1112" s="38" t="str">
        <f>+IF(U1112="","-",CONCATENATE(U1112,"_",V1112))</f>
        <v>CENS_AMBA</v>
      </c>
      <c r="X1112" s="42">
        <v>0.97599999999999998</v>
      </c>
    </row>
    <row r="1113" spans="1:24" ht="15" thickBot="1">
      <c r="A1113" s="5" t="s">
        <v>2916</v>
      </c>
      <c r="B1113" s="5" t="s">
        <v>138</v>
      </c>
      <c r="C1113" s="5" t="s">
        <v>1507</v>
      </c>
      <c r="D1113" s="5" t="s">
        <v>1508</v>
      </c>
      <c r="E1113" s="5">
        <v>616469</v>
      </c>
      <c r="F1113" s="5">
        <v>0</v>
      </c>
      <c r="G1113" s="5" t="s">
        <v>1519</v>
      </c>
      <c r="H1113" s="5" t="s">
        <v>20</v>
      </c>
      <c r="I1113" s="6" t="s">
        <v>142</v>
      </c>
      <c r="J1113" s="6" t="s">
        <v>21</v>
      </c>
      <c r="K1113" s="6"/>
      <c r="L1113" s="6" t="s">
        <v>400</v>
      </c>
      <c r="M1113" s="6" t="s">
        <v>199</v>
      </c>
      <c r="N1113" s="6" t="s">
        <v>23</v>
      </c>
      <c r="O1113" s="6" t="s">
        <v>27</v>
      </c>
      <c r="P1113" s="6" t="s">
        <v>144</v>
      </c>
      <c r="Q1113" s="22">
        <v>727</v>
      </c>
      <c r="R1113" s="23">
        <v>32</v>
      </c>
      <c r="S1113" s="39">
        <v>1</v>
      </c>
      <c r="T1113" s="7"/>
      <c r="U1113" s="7" t="s">
        <v>2913</v>
      </c>
      <c r="V1113" s="7" t="str">
        <f>+IF(U1113="","",IF(U1113="FINES",CONCATENATE("R",IF(OR(B1113="16",B1113="21",B1113="22",B1113="23"),"16212223",IF(OR(B1113="15",B1113="17",B1113="24",B1113="25"),"15172425",B1113))),IF(U1113="CEBAS","UNICO",IF(VALUE(B1113)&lt;=11,"AMBA","INTERIOR"))))</f>
        <v>AMBA</v>
      </c>
      <c r="W1113" s="38" t="str">
        <f>+IF(U1113="","-",CONCATENATE(U1113,"_",V1113))</f>
        <v>CENS_AMBA</v>
      </c>
      <c r="X1113" s="42">
        <v>0.97599999999999998</v>
      </c>
    </row>
    <row r="1114" spans="1:24" ht="15" thickBot="1">
      <c r="A1114" s="5" t="s">
        <v>2916</v>
      </c>
      <c r="B1114" s="5" t="s">
        <v>1257</v>
      </c>
      <c r="C1114" s="5" t="s">
        <v>1255</v>
      </c>
      <c r="D1114" s="5" t="s">
        <v>1256</v>
      </c>
      <c r="E1114" s="5">
        <v>623675</v>
      </c>
      <c r="F1114" s="5">
        <v>0</v>
      </c>
      <c r="G1114" s="5" t="s">
        <v>1300</v>
      </c>
      <c r="H1114" s="5" t="s">
        <v>20</v>
      </c>
      <c r="I1114" s="6" t="s">
        <v>142</v>
      </c>
      <c r="J1114" s="6" t="s">
        <v>21</v>
      </c>
      <c r="K1114" s="6"/>
      <c r="L1114" s="6" t="s">
        <v>152</v>
      </c>
      <c r="M1114" s="6" t="s">
        <v>22</v>
      </c>
      <c r="N1114" s="6" t="s">
        <v>23</v>
      </c>
      <c r="O1114" s="6" t="s">
        <v>27</v>
      </c>
      <c r="P1114" s="6" t="s">
        <v>144</v>
      </c>
      <c r="Q1114" s="22">
        <v>129</v>
      </c>
      <c r="R1114" s="23">
        <v>16</v>
      </c>
      <c r="S1114" s="39">
        <v>1</v>
      </c>
      <c r="T1114" s="7"/>
      <c r="U1114" s="7" t="s">
        <v>2913</v>
      </c>
      <c r="V1114" s="7" t="str">
        <f>+IF(U1114="","",IF(U1114="FINES",CONCATENATE("R",IF(OR(B1114="16",B1114="21",B1114="22",B1114="23"),"16212223",IF(OR(B1114="15",B1114="17",B1114="24",B1114="25"),"15172425",B1114))),IF(U1114="CEBAS","UNICO",IF(VALUE(B1114)&lt;=11,"AMBA","INTERIOR"))))</f>
        <v>AMBA</v>
      </c>
      <c r="W1114" s="38" t="str">
        <f>+IF(U1114="","-",CONCATENATE(U1114,"_",V1114))</f>
        <v>CENS_AMBA</v>
      </c>
      <c r="X1114" s="42">
        <v>0.98099999999999998</v>
      </c>
    </row>
    <row r="1115" spans="1:24" ht="15" thickBot="1">
      <c r="A1115" s="3" t="s">
        <v>2916</v>
      </c>
      <c r="B1115" s="3" t="s">
        <v>356</v>
      </c>
      <c r="C1115" s="3" t="s">
        <v>805</v>
      </c>
      <c r="D1115" s="3" t="s">
        <v>2500</v>
      </c>
      <c r="E1115" s="3">
        <v>602414</v>
      </c>
      <c r="F1115" s="3">
        <v>0</v>
      </c>
      <c r="G1115" s="3" t="s">
        <v>2541</v>
      </c>
      <c r="H1115" s="3" t="s">
        <v>20</v>
      </c>
      <c r="I1115" s="4" t="s">
        <v>142</v>
      </c>
      <c r="J1115" s="4" t="s">
        <v>21</v>
      </c>
      <c r="K1115" s="4"/>
      <c r="L1115" s="4" t="s">
        <v>400</v>
      </c>
      <c r="M1115" s="4" t="s">
        <v>22</v>
      </c>
      <c r="N1115" s="4" t="s">
        <v>23</v>
      </c>
      <c r="O1115" s="4" t="s">
        <v>27</v>
      </c>
      <c r="P1115" s="4" t="s">
        <v>144</v>
      </c>
      <c r="Q1115" s="24">
        <v>114</v>
      </c>
      <c r="R1115" s="25">
        <v>7</v>
      </c>
      <c r="S1115" s="39">
        <v>1</v>
      </c>
      <c r="T1115" s="7"/>
      <c r="U1115" s="7" t="s">
        <v>2913</v>
      </c>
      <c r="V1115" s="7" t="str">
        <f>+IF(U1115="","",IF(U1115="FINES",CONCATENATE("R",IF(OR(B1115="16",B1115="21",B1115="22",B1115="23"),"16212223",IF(OR(B1115="15",B1115="17",B1115="24",B1115="25"),"15172425",B1115))),IF(U1115="CEBAS","UNICO",IF(VALUE(B1115)&lt;=11,"AMBA","INTERIOR"))))</f>
        <v>AMBA</v>
      </c>
      <c r="W1115" s="38" t="str">
        <f>+IF(U1115="","-",CONCATENATE(U1115,"_",V1115))</f>
        <v>CENS_AMBA</v>
      </c>
      <c r="X1115" s="42">
        <v>0.98599999999999999</v>
      </c>
    </row>
    <row r="1116" spans="1:24" ht="15" thickBot="1">
      <c r="A1116" s="3" t="s">
        <v>2916</v>
      </c>
      <c r="B1116" s="3" t="s">
        <v>817</v>
      </c>
      <c r="C1116" s="3" t="s">
        <v>600</v>
      </c>
      <c r="D1116" s="3" t="s">
        <v>2661</v>
      </c>
      <c r="E1116" s="3">
        <v>623644</v>
      </c>
      <c r="F1116" s="3">
        <v>0</v>
      </c>
      <c r="G1116" s="3" t="s">
        <v>2704</v>
      </c>
      <c r="H1116" s="3" t="s">
        <v>20</v>
      </c>
      <c r="I1116" s="4" t="s">
        <v>142</v>
      </c>
      <c r="J1116" s="4" t="s">
        <v>21</v>
      </c>
      <c r="K1116" s="4"/>
      <c r="L1116" s="4" t="s">
        <v>341</v>
      </c>
      <c r="M1116" s="4" t="s">
        <v>22</v>
      </c>
      <c r="N1116" s="4" t="s">
        <v>23</v>
      </c>
      <c r="O1116" s="4" t="s">
        <v>27</v>
      </c>
      <c r="P1116" s="4" t="s">
        <v>144</v>
      </c>
      <c r="Q1116" s="24">
        <v>184</v>
      </c>
      <c r="R1116" s="25">
        <v>9</v>
      </c>
      <c r="S1116" s="39">
        <v>1</v>
      </c>
      <c r="T1116" s="7"/>
      <c r="U1116" s="7" t="s">
        <v>2913</v>
      </c>
      <c r="V1116" s="7" t="str">
        <f>+IF(U1116="","",IF(U1116="FINES",CONCATENATE("R",IF(OR(B1116="16",B1116="21",B1116="22",B1116="23"),"16212223",IF(OR(B1116="15",B1116="17",B1116="24",B1116="25"),"15172425",B1116))),IF(U1116="CEBAS","UNICO",IF(VALUE(B1116)&lt;=11,"AMBA","INTERIOR"))))</f>
        <v>AMBA</v>
      </c>
      <c r="W1116" s="38" t="str">
        <f>+IF(U1116="","-",CONCATENATE(U1116,"_",V1116))</f>
        <v>CENS_AMBA</v>
      </c>
      <c r="X1116" s="42">
        <v>0.98899999999999999</v>
      </c>
    </row>
    <row r="1117" spans="1:24" ht="15" thickBot="1">
      <c r="A1117" s="5" t="s">
        <v>2916</v>
      </c>
      <c r="B1117" s="5" t="s">
        <v>19</v>
      </c>
      <c r="C1117" s="5" t="s">
        <v>17</v>
      </c>
      <c r="D1117" s="5" t="s">
        <v>18</v>
      </c>
      <c r="E1117" s="5">
        <v>602887</v>
      </c>
      <c r="F1117" s="5">
        <v>0</v>
      </c>
      <c r="G1117" s="5" t="s">
        <v>181</v>
      </c>
      <c r="H1117" s="5" t="s">
        <v>20</v>
      </c>
      <c r="I1117" s="6" t="s">
        <v>142</v>
      </c>
      <c r="J1117" s="6" t="s">
        <v>21</v>
      </c>
      <c r="K1117" s="6"/>
      <c r="L1117" s="6" t="s">
        <v>182</v>
      </c>
      <c r="M1117" s="6" t="s">
        <v>22</v>
      </c>
      <c r="N1117" s="6" t="s">
        <v>134</v>
      </c>
      <c r="O1117" s="6" t="s">
        <v>27</v>
      </c>
      <c r="P1117" s="6" t="s">
        <v>144</v>
      </c>
      <c r="Q1117" s="22">
        <v>93</v>
      </c>
      <c r="R1117" s="23">
        <v>8</v>
      </c>
      <c r="S1117" s="39">
        <v>1</v>
      </c>
      <c r="T1117" s="7"/>
      <c r="U1117" s="7" t="s">
        <v>2913</v>
      </c>
      <c r="V1117" s="7" t="str">
        <f>+IF(U1117="","",IF(U1117="FINES",CONCATENATE("R",IF(OR(B1117="16",B1117="21",B1117="22",B1117="23"),"16212223",IF(OR(B1117="15",B1117="17",B1117="24",B1117="25"),"15172425",B1117))),IF(U1117="CEBAS","UNICO",IF(VALUE(B1117)&lt;=11,"AMBA","INTERIOR"))))</f>
        <v>AMBA</v>
      </c>
      <c r="W1117" s="38" t="str">
        <f>+IF(U1117="","-",CONCATENATE(U1117,"_",V1117))</f>
        <v>CENS_AMBA</v>
      </c>
      <c r="X1117" s="42">
        <v>0.99299999999999999</v>
      </c>
    </row>
    <row r="1118" spans="1:24" ht="15" thickBot="1">
      <c r="A1118" s="5" t="s">
        <v>2916</v>
      </c>
      <c r="B1118" s="5" t="s">
        <v>204</v>
      </c>
      <c r="C1118" s="5" t="s">
        <v>1084</v>
      </c>
      <c r="D1118" s="5" t="s">
        <v>1085</v>
      </c>
      <c r="E1118" s="5">
        <v>623685</v>
      </c>
      <c r="F1118" s="5">
        <v>0</v>
      </c>
      <c r="G1118" s="5" t="s">
        <v>1141</v>
      </c>
      <c r="H1118" s="5" t="s">
        <v>20</v>
      </c>
      <c r="I1118" s="6" t="s">
        <v>142</v>
      </c>
      <c r="J1118" s="6" t="s">
        <v>21</v>
      </c>
      <c r="K1118" s="6"/>
      <c r="L1118" s="6" t="s">
        <v>164</v>
      </c>
      <c r="M1118" s="6" t="s">
        <v>22</v>
      </c>
      <c r="N1118" s="6" t="s">
        <v>23</v>
      </c>
      <c r="O1118" s="6" t="s">
        <v>27</v>
      </c>
      <c r="P1118" s="6" t="s">
        <v>144</v>
      </c>
      <c r="Q1118" s="22">
        <v>203</v>
      </c>
      <c r="R1118" s="23">
        <v>17</v>
      </c>
      <c r="S1118" s="39">
        <v>1</v>
      </c>
      <c r="T1118" s="7"/>
      <c r="U1118" s="7" t="s">
        <v>2913</v>
      </c>
      <c r="V1118" s="7" t="str">
        <f>+IF(U1118="","",IF(U1118="FINES",CONCATENATE("R",IF(OR(B1118="16",B1118="21",B1118="22",B1118="23"),"16212223",IF(OR(B1118="15",B1118="17",B1118="24",B1118="25"),"15172425",B1118))),IF(U1118="CEBAS","UNICO",IF(VALUE(B1118)&lt;=11,"AMBA","INTERIOR"))))</f>
        <v>AMBA</v>
      </c>
      <c r="W1118" s="38" t="str">
        <f>+IF(U1118="","-",CONCATENATE(U1118,"_",V1118))</f>
        <v>CENS_AMBA</v>
      </c>
      <c r="X1118" s="42">
        <v>0.995</v>
      </c>
    </row>
    <row r="1119" spans="1:24" ht="15" thickBot="1">
      <c r="A1119" s="5" t="s">
        <v>2916</v>
      </c>
      <c r="B1119" s="5" t="s">
        <v>222</v>
      </c>
      <c r="C1119" s="5" t="s">
        <v>807</v>
      </c>
      <c r="D1119" s="5" t="s">
        <v>808</v>
      </c>
      <c r="E1119" s="5">
        <v>623762</v>
      </c>
      <c r="F1119" s="5">
        <v>0</v>
      </c>
      <c r="G1119" s="5" t="s">
        <v>814</v>
      </c>
      <c r="H1119" s="5" t="s">
        <v>20</v>
      </c>
      <c r="I1119" s="6" t="s">
        <v>142</v>
      </c>
      <c r="J1119" s="6" t="s">
        <v>21</v>
      </c>
      <c r="K1119" s="6"/>
      <c r="L1119" s="6" t="s">
        <v>335</v>
      </c>
      <c r="M1119" s="6" t="s">
        <v>22</v>
      </c>
      <c r="N1119" s="6" t="s">
        <v>23</v>
      </c>
      <c r="O1119" s="6" t="s">
        <v>27</v>
      </c>
      <c r="P1119" s="6" t="s">
        <v>144</v>
      </c>
      <c r="Q1119" s="22">
        <v>63</v>
      </c>
      <c r="R1119" s="23">
        <v>6</v>
      </c>
      <c r="S1119" s="39">
        <v>1</v>
      </c>
      <c r="T1119" s="7"/>
      <c r="U1119" s="7" t="s">
        <v>2913</v>
      </c>
      <c r="V1119" s="7" t="str">
        <f>+IF(U1119="","",IF(U1119="FINES",CONCATENATE("R",IF(OR(B1119="16",B1119="21",B1119="22",B1119="23"),"16212223",IF(OR(B1119="15",B1119="17",B1119="24",B1119="25"),"15172425",B1119))),IF(U1119="CEBAS","UNICO",IF(VALUE(B1119)&lt;=11,"AMBA","INTERIOR"))))</f>
        <v>AMBA</v>
      </c>
      <c r="W1119" s="38" t="str">
        <f>+IF(U1119="","-",CONCATENATE(U1119,"_",V1119))</f>
        <v>CENS_AMBA</v>
      </c>
      <c r="X1119" s="42">
        <v>0.997</v>
      </c>
    </row>
    <row r="1120" spans="1:24" ht="15" thickBot="1">
      <c r="A1120" s="5" t="s">
        <v>2916</v>
      </c>
      <c r="B1120" s="5" t="s">
        <v>206</v>
      </c>
      <c r="C1120" s="5" t="s">
        <v>2043</v>
      </c>
      <c r="D1120" s="5" t="s">
        <v>2044</v>
      </c>
      <c r="E1120" s="5">
        <v>624441</v>
      </c>
      <c r="F1120" s="5">
        <v>0</v>
      </c>
      <c r="G1120" s="5" t="s">
        <v>2046</v>
      </c>
      <c r="H1120" s="5" t="s">
        <v>20</v>
      </c>
      <c r="I1120" s="6" t="s">
        <v>142</v>
      </c>
      <c r="J1120" s="6" t="s">
        <v>21</v>
      </c>
      <c r="K1120" s="6"/>
      <c r="L1120" s="6" t="s">
        <v>912</v>
      </c>
      <c r="M1120" s="6" t="s">
        <v>22</v>
      </c>
      <c r="N1120" s="6" t="s">
        <v>23</v>
      </c>
      <c r="O1120" s="6" t="s">
        <v>27</v>
      </c>
      <c r="P1120" s="6" t="s">
        <v>144</v>
      </c>
      <c r="Q1120" s="22">
        <v>11</v>
      </c>
      <c r="R1120" s="23">
        <v>3</v>
      </c>
      <c r="S1120" s="39">
        <v>1</v>
      </c>
      <c r="T1120" s="7"/>
      <c r="U1120" s="7" t="s">
        <v>2913</v>
      </c>
      <c r="V1120" s="7" t="str">
        <f>+IF(U1120="","",IF(U1120="FINES",CONCATENATE("R",IF(OR(B1120="16",B1120="21",B1120="22",B1120="23"),"16212223",IF(OR(B1120="15",B1120="17",B1120="24",B1120="25"),"15172425",B1120))),IF(U1120="CEBAS","UNICO",IF(VALUE(B1120)&lt;=11,"AMBA","INTERIOR"))))</f>
        <v>INTERIOR</v>
      </c>
      <c r="W1120" s="38" t="str">
        <f>+IF(U1120="","-",CONCATENATE(U1120,"_",V1120))</f>
        <v>CENS_INTERIOR</v>
      </c>
      <c r="X1120" s="42">
        <v>5.0000000000000001E-3</v>
      </c>
    </row>
    <row r="1121" spans="1:24" ht="15" thickBot="1">
      <c r="A1121" s="3" t="s">
        <v>2916</v>
      </c>
      <c r="B1121" s="3" t="s">
        <v>225</v>
      </c>
      <c r="C1121" s="3" t="s">
        <v>942</v>
      </c>
      <c r="D1121" s="3" t="s">
        <v>943</v>
      </c>
      <c r="E1121" s="3">
        <v>609074</v>
      </c>
      <c r="F1121" s="3">
        <v>0</v>
      </c>
      <c r="G1121" s="3" t="s">
        <v>1040</v>
      </c>
      <c r="H1121" s="3" t="s">
        <v>20</v>
      </c>
      <c r="I1121" s="4" t="s">
        <v>142</v>
      </c>
      <c r="J1121" s="4" t="s">
        <v>21</v>
      </c>
      <c r="K1121" s="4"/>
      <c r="L1121" s="4" t="s">
        <v>158</v>
      </c>
      <c r="M1121" s="4" t="s">
        <v>22</v>
      </c>
      <c r="N1121" s="4" t="s">
        <v>23</v>
      </c>
      <c r="O1121" s="4" t="s">
        <v>27</v>
      </c>
      <c r="P1121" s="4" t="s">
        <v>144</v>
      </c>
      <c r="Q1121" s="24">
        <v>152</v>
      </c>
      <c r="R1121" s="25">
        <v>11</v>
      </c>
      <c r="S1121" s="39">
        <v>1</v>
      </c>
      <c r="T1121" s="7"/>
      <c r="U1121" s="7" t="s">
        <v>2913</v>
      </c>
      <c r="V1121" s="7" t="str">
        <f>+IF(U1121="","",IF(U1121="FINES",CONCATENATE("R",IF(OR(B1121="16",B1121="21",B1121="22",B1121="23"),"16212223",IF(OR(B1121="15",B1121="17",B1121="24",B1121="25"),"15172425",B1121))),IF(U1121="CEBAS","UNICO",IF(VALUE(B1121)&lt;=11,"AMBA","INTERIOR"))))</f>
        <v>INTERIOR</v>
      </c>
      <c r="W1121" s="38" t="str">
        <f>+IF(U1121="","-",CONCATENATE(U1121,"_",V1121))</f>
        <v>CENS_INTERIOR</v>
      </c>
      <c r="X1121" s="42">
        <v>0.01</v>
      </c>
    </row>
    <row r="1122" spans="1:24" ht="15" thickBot="1">
      <c r="A1122" s="5" t="s">
        <v>2916</v>
      </c>
      <c r="B1122" s="5" t="s">
        <v>135</v>
      </c>
      <c r="C1122" s="5" t="s">
        <v>1217</v>
      </c>
      <c r="D1122" s="5" t="s">
        <v>1218</v>
      </c>
      <c r="E1122" s="5">
        <v>603334</v>
      </c>
      <c r="F1122" s="5">
        <v>0</v>
      </c>
      <c r="G1122" s="5" t="s">
        <v>1239</v>
      </c>
      <c r="H1122" s="5" t="s">
        <v>20</v>
      </c>
      <c r="I1122" s="6" t="s">
        <v>142</v>
      </c>
      <c r="J1122" s="6" t="s">
        <v>21</v>
      </c>
      <c r="K1122" s="6"/>
      <c r="L1122" s="6" t="s">
        <v>587</v>
      </c>
      <c r="M1122" s="6" t="s">
        <v>22</v>
      </c>
      <c r="N1122" s="6" t="s">
        <v>23</v>
      </c>
      <c r="O1122" s="6" t="s">
        <v>27</v>
      </c>
      <c r="P1122" s="6" t="s">
        <v>144</v>
      </c>
      <c r="Q1122" s="22">
        <v>208</v>
      </c>
      <c r="R1122" s="23">
        <v>16</v>
      </c>
      <c r="S1122" s="39">
        <v>1</v>
      </c>
      <c r="T1122" s="7"/>
      <c r="U1122" s="7" t="s">
        <v>2913</v>
      </c>
      <c r="V1122" s="7" t="str">
        <f>+IF(U1122="","",IF(U1122="FINES",CONCATENATE("R",IF(OR(B1122="16",B1122="21",B1122="22",B1122="23"),"16212223",IF(OR(B1122="15",B1122="17",B1122="24",B1122="25"),"15172425",B1122))),IF(U1122="CEBAS","UNICO",IF(VALUE(B1122)&lt;=11,"AMBA","INTERIOR"))))</f>
        <v>INTERIOR</v>
      </c>
      <c r="W1122" s="38" t="str">
        <f>+IF(U1122="","-",CONCATENATE(U1122,"_",V1122))</f>
        <v>CENS_INTERIOR</v>
      </c>
      <c r="X1122" s="42">
        <v>1.9E-2</v>
      </c>
    </row>
    <row r="1123" spans="1:24" ht="15" thickBot="1">
      <c r="A1123" s="5" t="s">
        <v>2916</v>
      </c>
      <c r="B1123" s="5" t="s">
        <v>220</v>
      </c>
      <c r="C1123" s="5" t="s">
        <v>726</v>
      </c>
      <c r="D1123" s="5" t="s">
        <v>2434</v>
      </c>
      <c r="E1123" s="5">
        <v>623525</v>
      </c>
      <c r="F1123" s="5">
        <v>0</v>
      </c>
      <c r="G1123" s="5" t="s">
        <v>2443</v>
      </c>
      <c r="H1123" s="5" t="s">
        <v>20</v>
      </c>
      <c r="I1123" s="6" t="s">
        <v>142</v>
      </c>
      <c r="J1123" s="6" t="s">
        <v>21</v>
      </c>
      <c r="K1123" s="6"/>
      <c r="L1123" s="6" t="s">
        <v>2444</v>
      </c>
      <c r="M1123" s="6" t="s">
        <v>22</v>
      </c>
      <c r="N1123" s="6" t="s">
        <v>23</v>
      </c>
      <c r="O1123" s="6" t="s">
        <v>27</v>
      </c>
      <c r="P1123" s="6" t="s">
        <v>144</v>
      </c>
      <c r="Q1123" s="22">
        <v>70</v>
      </c>
      <c r="R1123" s="23">
        <v>6</v>
      </c>
      <c r="S1123" s="39">
        <v>1</v>
      </c>
      <c r="T1123" s="7"/>
      <c r="U1123" s="7" t="s">
        <v>2913</v>
      </c>
      <c r="V1123" s="7" t="str">
        <f>+IF(U1123="","",IF(U1123="FINES",CONCATENATE("R",IF(OR(B1123="16",B1123="21",B1123="22",B1123="23"),"16212223",IF(OR(B1123="15",B1123="17",B1123="24",B1123="25"),"15172425",B1123))),IF(U1123="CEBAS","UNICO",IF(VALUE(B1123)&lt;=11,"AMBA","INTERIOR"))))</f>
        <v>INTERIOR</v>
      </c>
      <c r="W1123" s="38" t="str">
        <f>+IF(U1123="","-",CONCATENATE(U1123,"_",V1123))</f>
        <v>CENS_INTERIOR</v>
      </c>
      <c r="X1123" s="42">
        <v>2.1999999999999999E-2</v>
      </c>
    </row>
    <row r="1124" spans="1:24" ht="15" thickBot="1">
      <c r="A1124" s="5" t="s">
        <v>2916</v>
      </c>
      <c r="B1124" s="5" t="s">
        <v>205</v>
      </c>
      <c r="C1124" s="5" t="s">
        <v>243</v>
      </c>
      <c r="D1124" s="5" t="s">
        <v>245</v>
      </c>
      <c r="E1124" s="5">
        <v>623786</v>
      </c>
      <c r="F1124" s="5">
        <v>0</v>
      </c>
      <c r="G1124" s="5" t="s">
        <v>250</v>
      </c>
      <c r="H1124" s="5" t="s">
        <v>20</v>
      </c>
      <c r="I1124" s="6" t="s">
        <v>142</v>
      </c>
      <c r="J1124" s="6" t="s">
        <v>21</v>
      </c>
      <c r="K1124" s="6"/>
      <c r="L1124" s="6" t="s">
        <v>251</v>
      </c>
      <c r="M1124" s="6" t="s">
        <v>22</v>
      </c>
      <c r="N1124" s="6" t="s">
        <v>23</v>
      </c>
      <c r="O1124" s="6" t="s">
        <v>27</v>
      </c>
      <c r="P1124" s="6" t="s">
        <v>144</v>
      </c>
      <c r="Q1124" s="22">
        <v>66</v>
      </c>
      <c r="R1124" s="23">
        <v>3</v>
      </c>
      <c r="S1124" s="39">
        <v>1</v>
      </c>
      <c r="T1124" s="7"/>
      <c r="U1124" s="7" t="s">
        <v>2913</v>
      </c>
      <c r="V1124" s="7" t="str">
        <f>+IF(U1124="","",IF(U1124="FINES",CONCATENATE("R",IF(OR(B1124="16",B1124="21",B1124="22",B1124="23"),"16212223",IF(OR(B1124="15",B1124="17",B1124="24",B1124="25"),"15172425",B1124))),IF(U1124="CEBAS","UNICO",IF(VALUE(B1124)&lt;=11,"AMBA","INTERIOR"))))</f>
        <v>INTERIOR</v>
      </c>
      <c r="W1124" s="38" t="str">
        <f>+IF(U1124="","-",CONCATENATE(U1124,"_",V1124))</f>
        <v>CENS_INTERIOR</v>
      </c>
      <c r="X1124" s="42">
        <v>2.5000000000000001E-2</v>
      </c>
    </row>
    <row r="1125" spans="1:24" ht="15" thickBot="1">
      <c r="A1125" s="3" t="s">
        <v>2916</v>
      </c>
      <c r="B1125" s="3" t="s">
        <v>203</v>
      </c>
      <c r="C1125" s="3" t="s">
        <v>450</v>
      </c>
      <c r="D1125" s="3" t="s">
        <v>452</v>
      </c>
      <c r="E1125" s="3">
        <v>623827</v>
      </c>
      <c r="F1125" s="3">
        <v>0</v>
      </c>
      <c r="G1125" s="3" t="s">
        <v>506</v>
      </c>
      <c r="H1125" s="3" t="s">
        <v>20</v>
      </c>
      <c r="I1125" s="4" t="s">
        <v>142</v>
      </c>
      <c r="J1125" s="4" t="s">
        <v>21</v>
      </c>
      <c r="K1125" s="4"/>
      <c r="L1125" s="4" t="s">
        <v>158</v>
      </c>
      <c r="M1125" s="4" t="s">
        <v>22</v>
      </c>
      <c r="N1125" s="4" t="s">
        <v>23</v>
      </c>
      <c r="O1125" s="4" t="s">
        <v>27</v>
      </c>
      <c r="P1125" s="4" t="s">
        <v>144</v>
      </c>
      <c r="Q1125" s="24">
        <v>115</v>
      </c>
      <c r="R1125" s="25">
        <v>6</v>
      </c>
      <c r="S1125" s="39">
        <v>1</v>
      </c>
      <c r="T1125" s="7"/>
      <c r="U1125" s="7" t="s">
        <v>2913</v>
      </c>
      <c r="V1125" s="7" t="str">
        <f>+IF(U1125="","",IF(U1125="FINES",CONCATENATE("R",IF(OR(B1125="16",B1125="21",B1125="22",B1125="23"),"16212223",IF(OR(B1125="15",B1125="17",B1125="24",B1125="25"),"15172425",B1125))),IF(U1125="CEBAS","UNICO",IF(VALUE(B1125)&lt;=11,"AMBA","INTERIOR"))))</f>
        <v>INTERIOR</v>
      </c>
      <c r="W1125" s="38" t="str">
        <f>+IF(U1125="","-",CONCATENATE(U1125,"_",V1125))</f>
        <v>CENS_INTERIOR</v>
      </c>
      <c r="X1125" s="42">
        <v>2.7E-2</v>
      </c>
    </row>
    <row r="1126" spans="1:24" ht="15" thickBot="1">
      <c r="A1126" s="5" t="s">
        <v>2916</v>
      </c>
      <c r="B1126" s="5" t="s">
        <v>225</v>
      </c>
      <c r="C1126" s="5" t="s">
        <v>942</v>
      </c>
      <c r="D1126" s="5" t="s">
        <v>943</v>
      </c>
      <c r="E1126" s="5">
        <v>623811</v>
      </c>
      <c r="F1126" s="5">
        <v>0</v>
      </c>
      <c r="G1126" s="5" t="s">
        <v>1056</v>
      </c>
      <c r="H1126" s="5" t="s">
        <v>20</v>
      </c>
      <c r="I1126" s="6" t="s">
        <v>142</v>
      </c>
      <c r="J1126" s="6" t="s">
        <v>21</v>
      </c>
      <c r="K1126" s="6"/>
      <c r="L1126" s="6" t="s">
        <v>1057</v>
      </c>
      <c r="M1126" s="6" t="s">
        <v>22</v>
      </c>
      <c r="N1126" s="6" t="s">
        <v>23</v>
      </c>
      <c r="O1126" s="6" t="s">
        <v>27</v>
      </c>
      <c r="P1126" s="6" t="s">
        <v>144</v>
      </c>
      <c r="Q1126" s="22">
        <v>113</v>
      </c>
      <c r="R1126" s="23">
        <v>7</v>
      </c>
      <c r="S1126" s="39">
        <v>1</v>
      </c>
      <c r="T1126" s="7"/>
      <c r="U1126" s="7" t="s">
        <v>2913</v>
      </c>
      <c r="V1126" s="7" t="str">
        <f>+IF(U1126="","",IF(U1126="FINES",CONCATENATE("R",IF(OR(B1126="16",B1126="21",B1126="22",B1126="23"),"16212223",IF(OR(B1126="15",B1126="17",B1126="24",B1126="25"),"15172425",B1126))),IF(U1126="CEBAS","UNICO",IF(VALUE(B1126)&lt;=11,"AMBA","INTERIOR"))))</f>
        <v>INTERIOR</v>
      </c>
      <c r="W1126" s="38" t="str">
        <f>+IF(U1126="","-",CONCATENATE(U1126,"_",V1126))</f>
        <v>CENS_INTERIOR</v>
      </c>
      <c r="X1126" s="42">
        <v>2.9000000000000001E-2</v>
      </c>
    </row>
    <row r="1127" spans="1:24" ht="15" thickBot="1">
      <c r="A1127" s="3" t="s">
        <v>2916</v>
      </c>
      <c r="B1127" s="3" t="s">
        <v>203</v>
      </c>
      <c r="C1127" s="3" t="s">
        <v>450</v>
      </c>
      <c r="D1127" s="3" t="s">
        <v>452</v>
      </c>
      <c r="E1127" s="3">
        <v>610994</v>
      </c>
      <c r="F1127" s="3">
        <v>0</v>
      </c>
      <c r="G1127" s="3" t="s">
        <v>493</v>
      </c>
      <c r="H1127" s="3" t="s">
        <v>20</v>
      </c>
      <c r="I1127" s="4" t="s">
        <v>142</v>
      </c>
      <c r="J1127" s="4" t="s">
        <v>21</v>
      </c>
      <c r="K1127" s="4"/>
      <c r="L1127" s="4" t="s">
        <v>400</v>
      </c>
      <c r="M1127" s="4" t="s">
        <v>22</v>
      </c>
      <c r="N1127" s="4" t="s">
        <v>23</v>
      </c>
      <c r="O1127" s="4" t="s">
        <v>27</v>
      </c>
      <c r="P1127" s="4" t="s">
        <v>144</v>
      </c>
      <c r="Q1127" s="24">
        <v>151</v>
      </c>
      <c r="R1127" s="25">
        <v>14</v>
      </c>
      <c r="S1127" s="39">
        <v>1</v>
      </c>
      <c r="T1127" s="7"/>
      <c r="U1127" s="7" t="s">
        <v>2913</v>
      </c>
      <c r="V1127" s="7" t="str">
        <f>+IF(U1127="","",IF(U1127="FINES",CONCATENATE("R",IF(OR(B1127="16",B1127="21",B1127="22",B1127="23"),"16212223",IF(OR(B1127="15",B1127="17",B1127="24",B1127="25"),"15172425",B1127))),IF(U1127="CEBAS","UNICO",IF(VALUE(B1127)&lt;=11,"AMBA","INTERIOR"))))</f>
        <v>INTERIOR</v>
      </c>
      <c r="W1127" s="38" t="str">
        <f>+IF(U1127="","-",CONCATENATE(U1127,"_",V1127))</f>
        <v>CENS_INTERIOR</v>
      </c>
      <c r="X1127" s="42">
        <v>3.3000000000000002E-2</v>
      </c>
    </row>
    <row r="1128" spans="1:24" ht="15" thickBot="1">
      <c r="A1128" s="5" t="s">
        <v>2916</v>
      </c>
      <c r="B1128" s="5" t="s">
        <v>205</v>
      </c>
      <c r="C1128" s="5" t="s">
        <v>2002</v>
      </c>
      <c r="D1128" s="5" t="s">
        <v>2003</v>
      </c>
      <c r="E1128" s="5">
        <v>623789</v>
      </c>
      <c r="F1128" s="5">
        <v>0</v>
      </c>
      <c r="G1128" s="5" t="s">
        <v>2020</v>
      </c>
      <c r="H1128" s="5" t="s">
        <v>20</v>
      </c>
      <c r="I1128" s="6" t="s">
        <v>142</v>
      </c>
      <c r="J1128" s="6" t="s">
        <v>21</v>
      </c>
      <c r="K1128" s="6"/>
      <c r="L1128" s="6" t="s">
        <v>335</v>
      </c>
      <c r="M1128" s="6" t="s">
        <v>22</v>
      </c>
      <c r="N1128" s="6" t="s">
        <v>23</v>
      </c>
      <c r="O1128" s="6" t="s">
        <v>27</v>
      </c>
      <c r="P1128" s="6" t="s">
        <v>144</v>
      </c>
      <c r="Q1128" s="22">
        <v>80</v>
      </c>
      <c r="R1128" s="23">
        <v>5</v>
      </c>
      <c r="S1128" s="39">
        <v>1</v>
      </c>
      <c r="T1128" s="7"/>
      <c r="U1128" t="s">
        <v>2913</v>
      </c>
      <c r="V1128" s="7" t="str">
        <f>+IF(U1128="","",IF(U1128="FINES",CONCATENATE("R",IF(OR(B1128="16",B1128="21",B1128="22",B1128="23"),"16212223",IF(OR(B1128="15",B1128="17",B1128="24",B1128="25"),"15172425",B1128))),IF(U1128="CEBAS","UNICO",IF(VALUE(B1128)&lt;=11,"AMBA","INTERIOR"))))</f>
        <v>INTERIOR</v>
      </c>
      <c r="W1128" s="38" t="str">
        <f>+IF(U1128="","-",CONCATENATE(U1128,"_",V1128))</f>
        <v>CENS_INTERIOR</v>
      </c>
      <c r="X1128" s="42">
        <v>3.9E-2</v>
      </c>
    </row>
    <row r="1129" spans="1:24" ht="15" thickBot="1">
      <c r="A1129" s="5" t="s">
        <v>2916</v>
      </c>
      <c r="B1129" s="5" t="s">
        <v>140</v>
      </c>
      <c r="C1129" s="5" t="s">
        <v>2322</v>
      </c>
      <c r="D1129" s="5" t="s">
        <v>2323</v>
      </c>
      <c r="E1129" s="5">
        <v>623777</v>
      </c>
      <c r="F1129" s="5">
        <v>0</v>
      </c>
      <c r="G1129" s="5" t="s">
        <v>2335</v>
      </c>
      <c r="H1129" s="5" t="s">
        <v>20</v>
      </c>
      <c r="I1129" s="6" t="s">
        <v>142</v>
      </c>
      <c r="J1129" s="6" t="s">
        <v>21</v>
      </c>
      <c r="K1129" s="6"/>
      <c r="L1129" s="6" t="s">
        <v>251</v>
      </c>
      <c r="M1129" s="6" t="s">
        <v>22</v>
      </c>
      <c r="N1129" s="6" t="s">
        <v>23</v>
      </c>
      <c r="O1129" s="6" t="s">
        <v>27</v>
      </c>
      <c r="P1129" s="6" t="s">
        <v>144</v>
      </c>
      <c r="Q1129" s="22">
        <v>52</v>
      </c>
      <c r="R1129" s="23">
        <v>3</v>
      </c>
      <c r="S1129" s="39">
        <v>1</v>
      </c>
      <c r="T1129" s="7"/>
      <c r="U1129" t="s">
        <v>2913</v>
      </c>
      <c r="V1129" s="7" t="str">
        <f>+IF(U1129="","",IF(U1129="FINES",CONCATENATE("R",IF(OR(B1129="16",B1129="21",B1129="22",B1129="23"),"16212223",IF(OR(B1129="15",B1129="17",B1129="24",B1129="25"),"15172425",B1129))),IF(U1129="CEBAS","UNICO",IF(VALUE(B1129)&lt;=11,"AMBA","INTERIOR"))))</f>
        <v>INTERIOR</v>
      </c>
      <c r="W1129" s="38" t="str">
        <f>+IF(U1129="","-",CONCATENATE(U1129,"_",V1129))</f>
        <v>CENS_INTERIOR</v>
      </c>
      <c r="X1129" s="42">
        <v>4.4999999999999998E-2</v>
      </c>
    </row>
    <row r="1130" spans="1:24" ht="15" thickBot="1">
      <c r="A1130" s="3" t="s">
        <v>2916</v>
      </c>
      <c r="B1130" s="3" t="s">
        <v>203</v>
      </c>
      <c r="C1130" s="3" t="s">
        <v>590</v>
      </c>
      <c r="D1130" s="3" t="s">
        <v>2553</v>
      </c>
      <c r="E1130" s="3">
        <v>612519</v>
      </c>
      <c r="F1130" s="3">
        <v>0</v>
      </c>
      <c r="G1130" s="3" t="s">
        <v>2562</v>
      </c>
      <c r="H1130" s="3" t="s">
        <v>20</v>
      </c>
      <c r="I1130" s="4" t="s">
        <v>142</v>
      </c>
      <c r="J1130" s="4" t="s">
        <v>21</v>
      </c>
      <c r="K1130" s="4"/>
      <c r="L1130" s="4" t="s">
        <v>143</v>
      </c>
      <c r="M1130" s="4" t="s">
        <v>22</v>
      </c>
      <c r="N1130" s="4" t="s">
        <v>23</v>
      </c>
      <c r="O1130" s="4" t="s">
        <v>27</v>
      </c>
      <c r="P1130" s="4" t="s">
        <v>144</v>
      </c>
      <c r="Q1130" s="24">
        <v>211</v>
      </c>
      <c r="R1130" s="25">
        <v>19</v>
      </c>
      <c r="S1130" s="39">
        <v>1</v>
      </c>
      <c r="T1130" s="7"/>
      <c r="U1130" t="s">
        <v>2913</v>
      </c>
      <c r="V1130" s="7" t="str">
        <f>+IF(U1130="","",IF(U1130="FINES",CONCATENATE("R",IF(OR(B1130="16",B1130="21",B1130="22",B1130="23"),"16212223",IF(OR(B1130="15",B1130="17",B1130="24",B1130="25"),"15172425",B1130))),IF(U1130="CEBAS","UNICO",IF(VALUE(B1130)&lt;=11,"AMBA","INTERIOR"))))</f>
        <v>INTERIOR</v>
      </c>
      <c r="W1130" s="38" t="str">
        <f>+IF(U1130="","-",CONCATENATE(U1130,"_",V1130))</f>
        <v>CENS_INTERIOR</v>
      </c>
      <c r="X1130" s="42">
        <v>6.0999999999999999E-2</v>
      </c>
    </row>
    <row r="1131" spans="1:24" ht="15" thickBot="1">
      <c r="A1131" s="5" t="s">
        <v>2916</v>
      </c>
      <c r="B1131" s="5" t="s">
        <v>223</v>
      </c>
      <c r="C1131" s="5" t="s">
        <v>2184</v>
      </c>
      <c r="D1131" s="5" t="s">
        <v>2185</v>
      </c>
      <c r="E1131" s="5">
        <v>623942</v>
      </c>
      <c r="F1131" s="5">
        <v>0</v>
      </c>
      <c r="G1131" s="5" t="s">
        <v>2194</v>
      </c>
      <c r="H1131" s="5" t="s">
        <v>20</v>
      </c>
      <c r="I1131" s="6" t="s">
        <v>142</v>
      </c>
      <c r="J1131" s="6" t="s">
        <v>21</v>
      </c>
      <c r="K1131" s="6"/>
      <c r="L1131" s="6" t="s">
        <v>448</v>
      </c>
      <c r="M1131" s="6" t="s">
        <v>22</v>
      </c>
      <c r="N1131" s="6" t="s">
        <v>23</v>
      </c>
      <c r="O1131" s="6" t="s">
        <v>27</v>
      </c>
      <c r="P1131" s="6" t="s">
        <v>144</v>
      </c>
      <c r="Q1131" s="22">
        <v>346</v>
      </c>
      <c r="R1131" s="23">
        <v>6</v>
      </c>
      <c r="S1131" s="39">
        <v>1</v>
      </c>
      <c r="T1131" s="7"/>
      <c r="U1131" t="s">
        <v>2913</v>
      </c>
      <c r="V1131" s="7" t="str">
        <f>+IF(U1131="","",IF(U1131="FINES",CONCATENATE("R",IF(OR(B1131="16",B1131="21",B1131="22",B1131="23"),"16212223",IF(OR(B1131="15",B1131="17",B1131="24",B1131="25"),"15172425",B1131))),IF(U1131="CEBAS","UNICO",IF(VALUE(B1131)&lt;=11,"AMBA","INTERIOR"))))</f>
        <v>INTERIOR</v>
      </c>
      <c r="W1131" s="38" t="str">
        <f>+IF(U1131="","-",CONCATENATE(U1131,"_",V1131))</f>
        <v>CENS_INTERIOR</v>
      </c>
      <c r="X1131" s="42">
        <v>6.8000000000000005E-2</v>
      </c>
    </row>
    <row r="1132" spans="1:24" ht="15" thickBot="1">
      <c r="A1132" s="5" t="s">
        <v>2916</v>
      </c>
      <c r="B1132" s="5" t="s">
        <v>217</v>
      </c>
      <c r="C1132" s="5" t="s">
        <v>2027</v>
      </c>
      <c r="D1132" s="5" t="s">
        <v>2028</v>
      </c>
      <c r="E1132" s="5">
        <v>623780</v>
      </c>
      <c r="F1132" s="5">
        <v>0</v>
      </c>
      <c r="G1132" s="5" t="s">
        <v>2040</v>
      </c>
      <c r="H1132" s="5" t="s">
        <v>20</v>
      </c>
      <c r="I1132" s="6" t="s">
        <v>142</v>
      </c>
      <c r="J1132" s="6" t="s">
        <v>21</v>
      </c>
      <c r="K1132" s="6"/>
      <c r="L1132" s="6" t="s">
        <v>335</v>
      </c>
      <c r="M1132" s="6" t="s">
        <v>22</v>
      </c>
      <c r="N1132" s="6" t="s">
        <v>23</v>
      </c>
      <c r="O1132" s="6" t="s">
        <v>27</v>
      </c>
      <c r="P1132" s="6" t="s">
        <v>144</v>
      </c>
      <c r="Q1132" s="22">
        <v>190</v>
      </c>
      <c r="R1132" s="23">
        <v>10</v>
      </c>
      <c r="S1132" s="39">
        <v>1</v>
      </c>
      <c r="T1132" s="7"/>
      <c r="U1132" t="s">
        <v>2913</v>
      </c>
      <c r="V1132" s="7" t="str">
        <f>+IF(U1132="","",IF(U1132="FINES",CONCATENATE("R",IF(OR(B1132="16",B1132="21",B1132="22",B1132="23"),"16212223",IF(OR(B1132="15",B1132="17",B1132="24",B1132="25"),"15172425",B1132))),IF(U1132="CEBAS","UNICO",IF(VALUE(B1132)&lt;=11,"AMBA","INTERIOR"))))</f>
        <v>INTERIOR</v>
      </c>
      <c r="W1132" s="38" t="str">
        <f>+IF(U1132="","-",CONCATENATE(U1132,"_",V1132))</f>
        <v>CENS_INTERIOR</v>
      </c>
      <c r="X1132" s="42">
        <v>7.8E-2</v>
      </c>
    </row>
    <row r="1133" spans="1:24" ht="15" thickBot="1">
      <c r="A1133" s="5" t="s">
        <v>2916</v>
      </c>
      <c r="B1133" s="5" t="s">
        <v>217</v>
      </c>
      <c r="C1133" s="5" t="s">
        <v>693</v>
      </c>
      <c r="D1133" s="5" t="s">
        <v>694</v>
      </c>
      <c r="E1133" s="5">
        <v>623779</v>
      </c>
      <c r="F1133" s="5">
        <v>0</v>
      </c>
      <c r="G1133" s="5" t="s">
        <v>699</v>
      </c>
      <c r="H1133" s="5" t="s">
        <v>20</v>
      </c>
      <c r="I1133" s="6" t="s">
        <v>142</v>
      </c>
      <c r="J1133" s="6" t="s">
        <v>21</v>
      </c>
      <c r="K1133" s="6"/>
      <c r="L1133" s="6" t="s">
        <v>251</v>
      </c>
      <c r="M1133" s="6" t="s">
        <v>22</v>
      </c>
      <c r="N1133" s="6" t="s">
        <v>23</v>
      </c>
      <c r="O1133" s="6" t="s">
        <v>27</v>
      </c>
      <c r="P1133" s="6" t="s">
        <v>144</v>
      </c>
      <c r="Q1133" s="22">
        <v>134</v>
      </c>
      <c r="R1133" s="23">
        <v>6</v>
      </c>
      <c r="S1133" s="39">
        <v>1</v>
      </c>
      <c r="T1133" s="7"/>
      <c r="U1133" t="s">
        <v>2913</v>
      </c>
      <c r="V1133" s="7" t="str">
        <f>+IF(U1133="","",IF(U1133="FINES",CONCATENATE("R",IF(OR(B1133="16",B1133="21",B1133="22",B1133="23"),"16212223",IF(OR(B1133="15",B1133="17",B1133="24",B1133="25"),"15172425",B1133))),IF(U1133="CEBAS","UNICO",IF(VALUE(B1133)&lt;=11,"AMBA","INTERIOR"))))</f>
        <v>INTERIOR</v>
      </c>
      <c r="W1133" s="38" t="str">
        <f>+IF(U1133="","-",CONCATENATE(U1133,"_",V1133))</f>
        <v>CENS_INTERIOR</v>
      </c>
      <c r="X1133" s="42">
        <v>8.4000000000000005E-2</v>
      </c>
    </row>
    <row r="1134" spans="1:24" ht="15" thickBot="1">
      <c r="A1134" s="5" t="s">
        <v>2916</v>
      </c>
      <c r="B1134" s="5" t="s">
        <v>203</v>
      </c>
      <c r="C1134" s="5" t="s">
        <v>590</v>
      </c>
      <c r="D1134" s="5" t="s">
        <v>2553</v>
      </c>
      <c r="E1134" s="5">
        <v>623830</v>
      </c>
      <c r="F1134" s="5">
        <v>0</v>
      </c>
      <c r="G1134" s="5" t="s">
        <v>2565</v>
      </c>
      <c r="H1134" s="5" t="s">
        <v>20</v>
      </c>
      <c r="I1134" s="6" t="s">
        <v>142</v>
      </c>
      <c r="J1134" s="6" t="s">
        <v>21</v>
      </c>
      <c r="K1134" s="6"/>
      <c r="L1134" s="6" t="s">
        <v>636</v>
      </c>
      <c r="M1134" s="6" t="s">
        <v>22</v>
      </c>
      <c r="N1134" s="6" t="s">
        <v>23</v>
      </c>
      <c r="O1134" s="6" t="s">
        <v>27</v>
      </c>
      <c r="P1134" s="6" t="s">
        <v>144</v>
      </c>
      <c r="Q1134" s="22">
        <v>79</v>
      </c>
      <c r="R1134" s="23">
        <v>5</v>
      </c>
      <c r="S1134" s="39">
        <v>1</v>
      </c>
      <c r="T1134" s="7"/>
      <c r="U1134" s="7" t="s">
        <v>2913</v>
      </c>
      <c r="V1134" s="7" t="str">
        <f>+IF(U1134="","",IF(U1134="FINES",CONCATENATE("R",IF(OR(B1134="16",B1134="21",B1134="22",B1134="23"),"16212223",IF(OR(B1134="15",B1134="17",B1134="24",B1134="25"),"15172425",B1134))),IF(U1134="CEBAS","UNICO",IF(VALUE(B1134)&lt;=11,"AMBA","INTERIOR"))))</f>
        <v>INTERIOR</v>
      </c>
      <c r="W1134" s="38" t="str">
        <f>+IF(U1134="","-",CONCATENATE(U1134,"_",V1134))</f>
        <v>CENS_INTERIOR</v>
      </c>
      <c r="X1134" s="42">
        <v>8.5000000000000006E-2</v>
      </c>
    </row>
    <row r="1135" spans="1:24" ht="15" thickBot="1">
      <c r="A1135" s="3" t="s">
        <v>2916</v>
      </c>
      <c r="B1135" s="3" t="s">
        <v>410</v>
      </c>
      <c r="C1135" s="3" t="s">
        <v>570</v>
      </c>
      <c r="D1135" s="3" t="s">
        <v>2717</v>
      </c>
      <c r="E1135" s="3">
        <v>623801</v>
      </c>
      <c r="F1135" s="3">
        <v>0</v>
      </c>
      <c r="G1135" s="3" t="s">
        <v>2732</v>
      </c>
      <c r="H1135" s="3" t="s">
        <v>20</v>
      </c>
      <c r="I1135" s="4" t="s">
        <v>142</v>
      </c>
      <c r="J1135" s="4" t="s">
        <v>21</v>
      </c>
      <c r="K1135" s="4"/>
      <c r="L1135" s="4" t="s">
        <v>337</v>
      </c>
      <c r="M1135" s="4" t="s">
        <v>22</v>
      </c>
      <c r="N1135" s="4" t="s">
        <v>23</v>
      </c>
      <c r="O1135" s="4" t="s">
        <v>27</v>
      </c>
      <c r="P1135" s="4" t="s">
        <v>144</v>
      </c>
      <c r="Q1135" s="24">
        <v>127</v>
      </c>
      <c r="R1135" s="25">
        <v>6</v>
      </c>
      <c r="S1135" s="39">
        <v>1</v>
      </c>
      <c r="T1135" s="7"/>
      <c r="U1135" s="7" t="s">
        <v>2913</v>
      </c>
      <c r="V1135" s="7" t="str">
        <f>+IF(U1135="","",IF(U1135="FINES",CONCATENATE("R",IF(OR(B1135="16",B1135="21",B1135="22",B1135="23"),"16212223",IF(OR(B1135="15",B1135="17",B1135="24",B1135="25"),"15172425",B1135))),IF(U1135="CEBAS","UNICO",IF(VALUE(B1135)&lt;=11,"AMBA","INTERIOR"))))</f>
        <v>INTERIOR</v>
      </c>
      <c r="W1135" s="38" t="str">
        <f>+IF(U1135="","-",CONCATENATE(U1135,"_",V1135))</f>
        <v>CENS_INTERIOR</v>
      </c>
      <c r="X1135" s="42">
        <v>8.5999999999999993E-2</v>
      </c>
    </row>
    <row r="1136" spans="1:24" ht="15" thickBot="1">
      <c r="A1136" s="3" t="s">
        <v>2916</v>
      </c>
      <c r="B1136" s="3" t="s">
        <v>220</v>
      </c>
      <c r="C1136" s="3" t="s">
        <v>665</v>
      </c>
      <c r="D1136" s="3" t="s">
        <v>666</v>
      </c>
      <c r="E1136" s="3">
        <v>623791</v>
      </c>
      <c r="F1136" s="3">
        <v>0</v>
      </c>
      <c r="G1136" s="3" t="s">
        <v>673</v>
      </c>
      <c r="H1136" s="3" t="s">
        <v>20</v>
      </c>
      <c r="I1136" s="4" t="s">
        <v>142</v>
      </c>
      <c r="J1136" s="4" t="s">
        <v>21</v>
      </c>
      <c r="K1136" s="4"/>
      <c r="L1136" s="4" t="s">
        <v>251</v>
      </c>
      <c r="M1136" s="4" t="s">
        <v>22</v>
      </c>
      <c r="N1136" s="4" t="s">
        <v>23</v>
      </c>
      <c r="O1136" s="4" t="s">
        <v>27</v>
      </c>
      <c r="P1136" s="4" t="s">
        <v>144</v>
      </c>
      <c r="Q1136" s="24">
        <v>76</v>
      </c>
      <c r="R1136" s="25">
        <v>5</v>
      </c>
      <c r="S1136" s="39">
        <v>1</v>
      </c>
      <c r="T1136" s="7"/>
      <c r="U1136" s="7" t="s">
        <v>2913</v>
      </c>
      <c r="V1136" s="7" t="str">
        <f>+IF(U1136="","",IF(U1136="FINES",CONCATENATE("R",IF(OR(B1136="16",B1136="21",B1136="22",B1136="23"),"16212223",IF(OR(B1136="15",B1136="17",B1136="24",B1136="25"),"15172425",B1136))),IF(U1136="CEBAS","UNICO",IF(VALUE(B1136)&lt;=11,"AMBA","INTERIOR"))))</f>
        <v>INTERIOR</v>
      </c>
      <c r="W1136" s="38" t="str">
        <f>+IF(U1136="","-",CONCATENATE(U1136,"_",V1136))</f>
        <v>CENS_INTERIOR</v>
      </c>
      <c r="X1136" s="42">
        <v>9.0999999999999998E-2</v>
      </c>
    </row>
    <row r="1137" spans="1:24" ht="15" thickBot="1">
      <c r="A1137" s="5" t="s">
        <v>2916</v>
      </c>
      <c r="B1137" s="5" t="s">
        <v>206</v>
      </c>
      <c r="C1137" s="5" t="s">
        <v>930</v>
      </c>
      <c r="D1137" s="5" t="s">
        <v>931</v>
      </c>
      <c r="E1137" s="5">
        <v>607575</v>
      </c>
      <c r="F1137" s="5">
        <v>0</v>
      </c>
      <c r="G1137" s="5" t="s">
        <v>936</v>
      </c>
      <c r="H1137" s="5" t="s">
        <v>20</v>
      </c>
      <c r="I1137" s="6" t="s">
        <v>142</v>
      </c>
      <c r="J1137" s="6" t="s">
        <v>21</v>
      </c>
      <c r="K1137" s="6"/>
      <c r="L1137" s="6" t="s">
        <v>251</v>
      </c>
      <c r="M1137" s="6" t="s">
        <v>22</v>
      </c>
      <c r="N1137" s="6" t="s">
        <v>23</v>
      </c>
      <c r="O1137" s="6" t="s">
        <v>27</v>
      </c>
      <c r="P1137" s="6" t="s">
        <v>144</v>
      </c>
      <c r="Q1137" s="22">
        <v>119</v>
      </c>
      <c r="R1137" s="23">
        <v>5</v>
      </c>
      <c r="S1137" s="39">
        <v>1</v>
      </c>
      <c r="T1137" s="7"/>
      <c r="U1137" t="s">
        <v>2913</v>
      </c>
      <c r="V1137" s="7" t="str">
        <f>+IF(U1137="","",IF(U1137="FINES",CONCATENATE("R",IF(OR(B1137="16",B1137="21",B1137="22",B1137="23"),"16212223",IF(OR(B1137="15",B1137="17",B1137="24",B1137="25"),"15172425",B1137))),IF(U1137="CEBAS","UNICO",IF(VALUE(B1137)&lt;=11,"AMBA","INTERIOR"))))</f>
        <v>INTERIOR</v>
      </c>
      <c r="W1137" s="38" t="str">
        <f>+IF(U1137="","-",CONCATENATE(U1137,"_",V1137))</f>
        <v>CENS_INTERIOR</v>
      </c>
      <c r="X1137" s="42">
        <v>9.8000000000000004E-2</v>
      </c>
    </row>
    <row r="1138" spans="1:24" ht="15" thickBot="1">
      <c r="A1138" s="5" t="s">
        <v>2916</v>
      </c>
      <c r="B1138" s="5" t="s">
        <v>410</v>
      </c>
      <c r="C1138" s="5" t="s">
        <v>760</v>
      </c>
      <c r="D1138" s="5" t="s">
        <v>761</v>
      </c>
      <c r="E1138" s="5">
        <v>607676</v>
      </c>
      <c r="F1138" s="5">
        <v>0</v>
      </c>
      <c r="G1138" s="5" t="s">
        <v>771</v>
      </c>
      <c r="H1138" s="5" t="s">
        <v>20</v>
      </c>
      <c r="I1138" s="6" t="s">
        <v>142</v>
      </c>
      <c r="J1138" s="6" t="s">
        <v>21</v>
      </c>
      <c r="K1138" s="6"/>
      <c r="L1138" s="6" t="s">
        <v>448</v>
      </c>
      <c r="M1138" s="6" t="s">
        <v>22</v>
      </c>
      <c r="N1138" s="6" t="s">
        <v>23</v>
      </c>
      <c r="O1138" s="6" t="s">
        <v>27</v>
      </c>
      <c r="P1138" s="6" t="s">
        <v>144</v>
      </c>
      <c r="Q1138" s="22">
        <v>98</v>
      </c>
      <c r="R1138" s="23">
        <v>9</v>
      </c>
      <c r="S1138" s="39">
        <v>1</v>
      </c>
      <c r="T1138" s="7"/>
      <c r="U1138" t="s">
        <v>2913</v>
      </c>
      <c r="V1138" s="7" t="str">
        <f>+IF(U1138="","",IF(U1138="FINES",CONCATENATE("R",IF(OR(B1138="16",B1138="21",B1138="22",B1138="23"),"16212223",IF(OR(B1138="15",B1138="17",B1138="24",B1138="25"),"15172425",B1138))),IF(U1138="CEBAS","UNICO",IF(VALUE(B1138)&lt;=11,"AMBA","INTERIOR"))))</f>
        <v>INTERIOR</v>
      </c>
      <c r="W1138" s="38" t="str">
        <f>+IF(U1138="","-",CONCATENATE(U1138,"_",V1138))</f>
        <v>CENS_INTERIOR</v>
      </c>
      <c r="X1138" s="42">
        <v>0.1</v>
      </c>
    </row>
    <row r="1139" spans="1:24" ht="15" thickBot="1">
      <c r="A1139" s="3" t="s">
        <v>2916</v>
      </c>
      <c r="B1139" s="3" t="s">
        <v>516</v>
      </c>
      <c r="C1139" s="3" t="s">
        <v>1348</v>
      </c>
      <c r="D1139" s="3" t="s">
        <v>1349</v>
      </c>
      <c r="E1139" s="3">
        <v>623837</v>
      </c>
      <c r="F1139" s="3">
        <v>0</v>
      </c>
      <c r="G1139" s="3" t="s">
        <v>1357</v>
      </c>
      <c r="H1139" s="3" t="s">
        <v>20</v>
      </c>
      <c r="I1139" s="4" t="s">
        <v>142</v>
      </c>
      <c r="J1139" s="4" t="s">
        <v>21</v>
      </c>
      <c r="K1139" s="4"/>
      <c r="L1139" s="4" t="s">
        <v>251</v>
      </c>
      <c r="M1139" s="4" t="s">
        <v>22</v>
      </c>
      <c r="N1139" s="4" t="s">
        <v>23</v>
      </c>
      <c r="O1139" s="4" t="s">
        <v>27</v>
      </c>
      <c r="P1139" s="4" t="s">
        <v>144</v>
      </c>
      <c r="Q1139" s="24">
        <v>207</v>
      </c>
      <c r="R1139" s="25">
        <v>8</v>
      </c>
      <c r="S1139" s="39">
        <v>1</v>
      </c>
      <c r="T1139" s="7"/>
      <c r="U1139" s="7" t="s">
        <v>2913</v>
      </c>
      <c r="V1139" s="7" t="str">
        <f>+IF(U1139="","",IF(U1139="FINES",CONCATENATE("R",IF(OR(B1139="16",B1139="21",B1139="22",B1139="23"),"16212223",IF(OR(B1139="15",B1139="17",B1139="24",B1139="25"),"15172425",B1139))),IF(U1139="CEBAS","UNICO",IF(VALUE(B1139)&lt;=11,"AMBA","INTERIOR"))))</f>
        <v>INTERIOR</v>
      </c>
      <c r="W1139" s="38" t="str">
        <f>+IF(U1139="","-",CONCATENATE(U1139,"_",V1139))</f>
        <v>CENS_INTERIOR</v>
      </c>
      <c r="X1139" s="42">
        <v>0.10100000000000001</v>
      </c>
    </row>
    <row r="1140" spans="1:24" ht="15" thickBot="1">
      <c r="A1140" s="5" t="s">
        <v>2916</v>
      </c>
      <c r="B1140" s="5" t="s">
        <v>223</v>
      </c>
      <c r="C1140" s="5" t="s">
        <v>683</v>
      </c>
      <c r="D1140" s="5" t="s">
        <v>684</v>
      </c>
      <c r="E1140" s="5">
        <v>623873</v>
      </c>
      <c r="F1140" s="5">
        <v>0</v>
      </c>
      <c r="G1140" s="5" t="s">
        <v>686</v>
      </c>
      <c r="H1140" s="5" t="s">
        <v>20</v>
      </c>
      <c r="I1140" s="6" t="s">
        <v>142</v>
      </c>
      <c r="J1140" s="6" t="s">
        <v>21</v>
      </c>
      <c r="K1140" s="6"/>
      <c r="L1140" s="6" t="s">
        <v>687</v>
      </c>
      <c r="M1140" s="6" t="s">
        <v>22</v>
      </c>
      <c r="N1140" s="6" t="s">
        <v>23</v>
      </c>
      <c r="O1140" s="6" t="s">
        <v>27</v>
      </c>
      <c r="P1140" s="6" t="s">
        <v>144</v>
      </c>
      <c r="Q1140" s="22">
        <v>74</v>
      </c>
      <c r="R1140" s="23">
        <v>5</v>
      </c>
      <c r="S1140" s="39">
        <v>1</v>
      </c>
      <c r="T1140" s="7"/>
      <c r="U1140" t="s">
        <v>2913</v>
      </c>
      <c r="V1140" s="7" t="str">
        <f>+IF(U1140="","",IF(U1140="FINES",CONCATENATE("R",IF(OR(B1140="16",B1140="21",B1140="22",B1140="23"),"16212223",IF(OR(B1140="15",B1140="17",B1140="24",B1140="25"),"15172425",B1140))),IF(U1140="CEBAS","UNICO",IF(VALUE(B1140)&lt;=11,"AMBA","INTERIOR"))))</f>
        <v>INTERIOR</v>
      </c>
      <c r="W1140" s="38" t="str">
        <f>+IF(U1140="","-",CONCATENATE(U1140,"_",V1140))</f>
        <v>CENS_INTERIOR</v>
      </c>
      <c r="X1140" s="42">
        <v>0.108</v>
      </c>
    </row>
    <row r="1141" spans="1:24" ht="15" thickBot="1">
      <c r="A1141" s="5" t="s">
        <v>2916</v>
      </c>
      <c r="B1141" s="5" t="s">
        <v>206</v>
      </c>
      <c r="C1141" s="5" t="s">
        <v>739</v>
      </c>
      <c r="D1141" s="5" t="s">
        <v>740</v>
      </c>
      <c r="E1141" s="5">
        <v>623795</v>
      </c>
      <c r="F1141" s="5">
        <v>0</v>
      </c>
      <c r="G1141" s="5" t="s">
        <v>747</v>
      </c>
      <c r="H1141" s="5" t="s">
        <v>20</v>
      </c>
      <c r="I1141" s="6" t="s">
        <v>142</v>
      </c>
      <c r="J1141" s="6" t="s">
        <v>21</v>
      </c>
      <c r="K1141" s="6"/>
      <c r="L1141" s="6" t="s">
        <v>251</v>
      </c>
      <c r="M1141" s="6" t="s">
        <v>22</v>
      </c>
      <c r="N1141" s="6" t="s">
        <v>23</v>
      </c>
      <c r="O1141" s="6" t="s">
        <v>27</v>
      </c>
      <c r="P1141" s="6" t="s">
        <v>144</v>
      </c>
      <c r="Q1141" s="22">
        <v>121</v>
      </c>
      <c r="R1141" s="23">
        <v>6</v>
      </c>
      <c r="S1141" s="39">
        <v>1</v>
      </c>
      <c r="T1141" s="7"/>
      <c r="U1141" s="7" t="s">
        <v>2913</v>
      </c>
      <c r="V1141" s="7" t="str">
        <f>+IF(U1141="","",IF(U1141="FINES",CONCATENATE("R",IF(OR(B1141="16",B1141="21",B1141="22",B1141="23"),"16212223",IF(OR(B1141="15",B1141="17",B1141="24",B1141="25"),"15172425",B1141))),IF(U1141="CEBAS","UNICO",IF(VALUE(B1141)&lt;=11,"AMBA","INTERIOR"))))</f>
        <v>INTERIOR</v>
      </c>
      <c r="W1141" s="38" t="str">
        <f>+IF(U1141="","-",CONCATENATE(U1141,"_",V1141))</f>
        <v>CENS_INTERIOR</v>
      </c>
      <c r="X1141" s="42">
        <v>0.109</v>
      </c>
    </row>
    <row r="1142" spans="1:24" ht="15" thickBot="1">
      <c r="A1142" s="3" t="s">
        <v>2916</v>
      </c>
      <c r="B1142" s="3" t="s">
        <v>598</v>
      </c>
      <c r="C1142" s="3" t="s">
        <v>748</v>
      </c>
      <c r="D1142" s="3" t="s">
        <v>2452</v>
      </c>
      <c r="E1142" s="3">
        <v>613159</v>
      </c>
      <c r="F1142" s="3">
        <v>0</v>
      </c>
      <c r="G1142" s="3" t="s">
        <v>2457</v>
      </c>
      <c r="H1142" s="3" t="s">
        <v>20</v>
      </c>
      <c r="I1142" s="4" t="s">
        <v>142</v>
      </c>
      <c r="J1142" s="4" t="s">
        <v>21</v>
      </c>
      <c r="K1142" s="4"/>
      <c r="L1142" s="4" t="s">
        <v>400</v>
      </c>
      <c r="M1142" s="4" t="s">
        <v>22</v>
      </c>
      <c r="N1142" s="4" t="s">
        <v>23</v>
      </c>
      <c r="O1142" s="4" t="s">
        <v>27</v>
      </c>
      <c r="P1142" s="4" t="s">
        <v>144</v>
      </c>
      <c r="Q1142" s="24">
        <v>305</v>
      </c>
      <c r="R1142" s="25">
        <v>18</v>
      </c>
      <c r="S1142" s="39">
        <v>1</v>
      </c>
      <c r="T1142" s="7"/>
      <c r="U1142" s="7" t="s">
        <v>2913</v>
      </c>
      <c r="V1142" s="7" t="str">
        <f>+IF(U1142="","",IF(U1142="FINES",CONCATENATE("R",IF(OR(B1142="16",B1142="21",B1142="22",B1142="23"),"16212223",IF(OR(B1142="15",B1142="17",B1142="24",B1142="25"),"15172425",B1142))),IF(U1142="CEBAS","UNICO",IF(VALUE(B1142)&lt;=11,"AMBA","INTERIOR"))))</f>
        <v>INTERIOR</v>
      </c>
      <c r="W1142" s="38" t="str">
        <f>+IF(U1142="","-",CONCATENATE(U1142,"_",V1142))</f>
        <v>CENS_INTERIOR</v>
      </c>
      <c r="X1142" s="42">
        <v>0.13100000000000001</v>
      </c>
    </row>
    <row r="1143" spans="1:24" ht="15" thickBot="1">
      <c r="A1143" s="5" t="s">
        <v>2916</v>
      </c>
      <c r="B1143" s="5" t="s">
        <v>217</v>
      </c>
      <c r="C1143" s="5" t="s">
        <v>2171</v>
      </c>
      <c r="D1143" s="5" t="s">
        <v>2172</v>
      </c>
      <c r="E1143" s="5">
        <v>623782</v>
      </c>
      <c r="F1143" s="5">
        <v>0</v>
      </c>
      <c r="G1143" s="5" t="s">
        <v>2178</v>
      </c>
      <c r="H1143" s="5" t="s">
        <v>20</v>
      </c>
      <c r="I1143" s="6" t="s">
        <v>142</v>
      </c>
      <c r="J1143" s="6" t="s">
        <v>21</v>
      </c>
      <c r="K1143" s="6"/>
      <c r="L1143" s="6" t="s">
        <v>251</v>
      </c>
      <c r="M1143" s="6" t="s">
        <v>22</v>
      </c>
      <c r="N1143" s="6" t="s">
        <v>23</v>
      </c>
      <c r="O1143" s="6" t="s">
        <v>27</v>
      </c>
      <c r="P1143" s="6" t="s">
        <v>144</v>
      </c>
      <c r="Q1143" s="22">
        <v>117</v>
      </c>
      <c r="R1143" s="23">
        <v>4</v>
      </c>
      <c r="S1143" s="39">
        <v>1</v>
      </c>
      <c r="T1143" s="7"/>
      <c r="U1143" t="s">
        <v>2913</v>
      </c>
      <c r="V1143" s="7" t="str">
        <f>+IF(U1143="","",IF(U1143="FINES",CONCATENATE("R",IF(OR(B1143="16",B1143="21",B1143="22",B1143="23"),"16212223",IF(OR(B1143="15",B1143="17",B1143="24",B1143="25"),"15172425",B1143))),IF(U1143="CEBAS","UNICO",IF(VALUE(B1143)&lt;=11,"AMBA","INTERIOR"))))</f>
        <v>INTERIOR</v>
      </c>
      <c r="W1143" s="38" t="str">
        <f>+IF(U1143="","-",CONCATENATE(U1143,"_",V1143))</f>
        <v>CENS_INTERIOR</v>
      </c>
      <c r="X1143" s="42">
        <v>0.13200000000000001</v>
      </c>
    </row>
    <row r="1144" spans="1:24" ht="15" thickBot="1">
      <c r="A1144" s="5" t="s">
        <v>2916</v>
      </c>
      <c r="B1144" s="5" t="s">
        <v>410</v>
      </c>
      <c r="C1144" s="5" t="s">
        <v>760</v>
      </c>
      <c r="D1144" s="5" t="s">
        <v>761</v>
      </c>
      <c r="E1144" s="5">
        <v>623451</v>
      </c>
      <c r="F1144" s="5">
        <v>0</v>
      </c>
      <c r="G1144" s="5" t="s">
        <v>769</v>
      </c>
      <c r="H1144" s="5" t="s">
        <v>20</v>
      </c>
      <c r="I1144" s="6" t="s">
        <v>142</v>
      </c>
      <c r="J1144" s="6" t="s">
        <v>21</v>
      </c>
      <c r="K1144" s="6"/>
      <c r="L1144" s="6" t="s">
        <v>770</v>
      </c>
      <c r="M1144" s="6" t="s">
        <v>22</v>
      </c>
      <c r="N1144" s="6" t="s">
        <v>23</v>
      </c>
      <c r="O1144" s="6" t="s">
        <v>27</v>
      </c>
      <c r="P1144" s="6" t="s">
        <v>144</v>
      </c>
      <c r="Q1144" s="22">
        <v>248</v>
      </c>
      <c r="R1144" s="23">
        <v>11</v>
      </c>
      <c r="S1144" s="39">
        <v>1</v>
      </c>
      <c r="T1144" s="7"/>
      <c r="U1144" t="s">
        <v>2913</v>
      </c>
      <c r="V1144" s="7" t="str">
        <f>+IF(U1144="","",IF(U1144="FINES",CONCATENATE("R",IF(OR(B1144="16",B1144="21",B1144="22",B1144="23"),"16212223",IF(OR(B1144="15",B1144="17",B1144="24",B1144="25"),"15172425",B1144))),IF(U1144="CEBAS","UNICO",IF(VALUE(B1144)&lt;=11,"AMBA","INTERIOR"))))</f>
        <v>INTERIOR</v>
      </c>
      <c r="W1144" s="38" t="str">
        <f>+IF(U1144="","-",CONCATENATE(U1144,"_",V1144))</f>
        <v>CENS_INTERIOR</v>
      </c>
      <c r="X1144" s="42">
        <v>0.13500000000000001</v>
      </c>
    </row>
    <row r="1145" spans="1:24" ht="15" thickBot="1">
      <c r="A1145" s="3" t="s">
        <v>2916</v>
      </c>
      <c r="B1145" s="3" t="s">
        <v>410</v>
      </c>
      <c r="C1145" s="3" t="s">
        <v>908</v>
      </c>
      <c r="D1145" s="3" t="s">
        <v>909</v>
      </c>
      <c r="E1145" s="3">
        <v>624581</v>
      </c>
      <c r="F1145" s="3">
        <v>0</v>
      </c>
      <c r="G1145" s="3" t="s">
        <v>911</v>
      </c>
      <c r="H1145" s="3" t="s">
        <v>20</v>
      </c>
      <c r="I1145" s="4" t="s">
        <v>142</v>
      </c>
      <c r="J1145" s="4" t="s">
        <v>21</v>
      </c>
      <c r="K1145" s="4"/>
      <c r="L1145" s="4" t="s">
        <v>912</v>
      </c>
      <c r="M1145" s="4" t="s">
        <v>200</v>
      </c>
      <c r="N1145" s="4" t="s">
        <v>23</v>
      </c>
      <c r="O1145" s="4" t="s">
        <v>27</v>
      </c>
      <c r="P1145" s="4" t="s">
        <v>144</v>
      </c>
      <c r="Q1145" s="24">
        <v>44</v>
      </c>
      <c r="R1145" s="25">
        <v>3</v>
      </c>
      <c r="S1145" s="39">
        <v>1</v>
      </c>
      <c r="T1145" s="7"/>
      <c r="U1145" t="s">
        <v>2913</v>
      </c>
      <c r="V1145" s="7" t="str">
        <f>+IF(U1145="","",IF(U1145="FINES",CONCATENATE("R",IF(OR(B1145="16",B1145="21",B1145="22",B1145="23"),"16212223",IF(OR(B1145="15",B1145="17",B1145="24",B1145="25"),"15172425",B1145))),IF(U1145="CEBAS","UNICO",IF(VALUE(B1145)&lt;=11,"AMBA","INTERIOR"))))</f>
        <v>INTERIOR</v>
      </c>
      <c r="W1145" s="38" t="str">
        <f>+IF(U1145="","-",CONCATENATE(U1145,"_",V1145))</f>
        <v>CENS_INTERIOR</v>
      </c>
      <c r="X1145" s="42">
        <v>0.13900000000000001</v>
      </c>
    </row>
    <row r="1146" spans="1:24" ht="15" thickBot="1">
      <c r="A1146" s="5" t="s">
        <v>2916</v>
      </c>
      <c r="B1146" s="5" t="s">
        <v>221</v>
      </c>
      <c r="C1146" s="5" t="s">
        <v>571</v>
      </c>
      <c r="D1146" s="5" t="s">
        <v>573</v>
      </c>
      <c r="E1146" s="5">
        <v>623858</v>
      </c>
      <c r="F1146" s="5">
        <v>0</v>
      </c>
      <c r="G1146" s="5" t="s">
        <v>586</v>
      </c>
      <c r="H1146" s="5" t="s">
        <v>20</v>
      </c>
      <c r="I1146" s="6" t="s">
        <v>142</v>
      </c>
      <c r="J1146" s="6" t="s">
        <v>21</v>
      </c>
      <c r="K1146" s="6"/>
      <c r="L1146" s="6" t="s">
        <v>587</v>
      </c>
      <c r="M1146" s="6" t="s">
        <v>22</v>
      </c>
      <c r="N1146" s="6" t="s">
        <v>23</v>
      </c>
      <c r="O1146" s="6" t="s">
        <v>27</v>
      </c>
      <c r="P1146" s="6" t="s">
        <v>144</v>
      </c>
      <c r="Q1146" s="22">
        <v>67</v>
      </c>
      <c r="R1146" s="23">
        <v>3</v>
      </c>
      <c r="S1146" s="39">
        <v>1</v>
      </c>
      <c r="T1146" s="7"/>
      <c r="U1146" s="7" t="s">
        <v>2913</v>
      </c>
      <c r="V1146" s="7" t="str">
        <f>+IF(U1146="","",IF(U1146="FINES",CONCATENATE("R",IF(OR(B1146="16",B1146="21",B1146="22",B1146="23"),"16212223",IF(OR(B1146="15",B1146="17",B1146="24",B1146="25"),"15172425",B1146))),IF(U1146="CEBAS","UNICO",IF(VALUE(B1146)&lt;=11,"AMBA","INTERIOR"))))</f>
        <v>INTERIOR</v>
      </c>
      <c r="W1146" s="38" t="str">
        <f>+IF(U1146="","-",CONCATENATE(U1146,"_",V1146))</f>
        <v>CENS_INTERIOR</v>
      </c>
      <c r="X1146" s="42">
        <v>0.14799999999999999</v>
      </c>
    </row>
    <row r="1147" spans="1:24" ht="15" thickBot="1">
      <c r="A1147" s="3" t="s">
        <v>2916</v>
      </c>
      <c r="B1147" s="3" t="s">
        <v>205</v>
      </c>
      <c r="C1147" s="3" t="s">
        <v>2002</v>
      </c>
      <c r="D1147" s="3" t="s">
        <v>2003</v>
      </c>
      <c r="E1147" s="3">
        <v>618403</v>
      </c>
      <c r="F1147" s="3">
        <v>0</v>
      </c>
      <c r="G1147" s="3" t="s">
        <v>2019</v>
      </c>
      <c r="H1147" s="3" t="s">
        <v>20</v>
      </c>
      <c r="I1147" s="4" t="s">
        <v>142</v>
      </c>
      <c r="J1147" s="4" t="s">
        <v>21</v>
      </c>
      <c r="K1147" s="4"/>
      <c r="L1147" s="4" t="s">
        <v>400</v>
      </c>
      <c r="M1147" s="4" t="s">
        <v>22</v>
      </c>
      <c r="N1147" s="4" t="s">
        <v>23</v>
      </c>
      <c r="O1147" s="4" t="s">
        <v>27</v>
      </c>
      <c r="P1147" s="4" t="s">
        <v>144</v>
      </c>
      <c r="Q1147" s="24">
        <v>163</v>
      </c>
      <c r="R1147" s="25">
        <v>8</v>
      </c>
      <c r="S1147" s="39">
        <v>1</v>
      </c>
      <c r="T1147" s="7"/>
      <c r="U1147" s="7" t="s">
        <v>2913</v>
      </c>
      <c r="V1147" s="7" t="str">
        <f>+IF(U1147="","",IF(U1147="FINES",CONCATENATE("R",IF(OR(B1147="16",B1147="21",B1147="22",B1147="23"),"16212223",IF(OR(B1147="15",B1147="17",B1147="24",B1147="25"),"15172425",B1147))),IF(U1147="CEBAS","UNICO",IF(VALUE(B1147)&lt;=11,"AMBA","INTERIOR"))))</f>
        <v>INTERIOR</v>
      </c>
      <c r="W1147" s="38" t="str">
        <f>+IF(U1147="","-",CONCATENATE(U1147,"_",V1147))</f>
        <v>CENS_INTERIOR</v>
      </c>
      <c r="X1147" s="42">
        <v>0.16600000000000001</v>
      </c>
    </row>
    <row r="1148" spans="1:24" ht="15" thickBot="1">
      <c r="A1148" s="3" t="s">
        <v>2916</v>
      </c>
      <c r="B1148" s="3" t="s">
        <v>516</v>
      </c>
      <c r="C1148" s="3" t="s">
        <v>890</v>
      </c>
      <c r="D1148" s="3" t="s">
        <v>891</v>
      </c>
      <c r="E1148" s="3">
        <v>616124</v>
      </c>
      <c r="F1148" s="3">
        <v>0</v>
      </c>
      <c r="G1148" s="3" t="s">
        <v>896</v>
      </c>
      <c r="H1148" s="3" t="s">
        <v>20</v>
      </c>
      <c r="I1148" s="4" t="s">
        <v>142</v>
      </c>
      <c r="J1148" s="4" t="s">
        <v>21</v>
      </c>
      <c r="K1148" s="4"/>
      <c r="L1148" s="4" t="s">
        <v>240</v>
      </c>
      <c r="M1148" s="4" t="s">
        <v>22</v>
      </c>
      <c r="N1148" s="4" t="s">
        <v>23</v>
      </c>
      <c r="O1148" s="4" t="s">
        <v>27</v>
      </c>
      <c r="P1148" s="4" t="s">
        <v>144</v>
      </c>
      <c r="Q1148" s="24">
        <v>322</v>
      </c>
      <c r="R1148" s="25">
        <v>19</v>
      </c>
      <c r="S1148" s="39">
        <v>1</v>
      </c>
      <c r="T1148" s="7"/>
      <c r="U1148" s="7" t="s">
        <v>2913</v>
      </c>
      <c r="V1148" s="7" t="str">
        <f>+IF(U1148="","",IF(U1148="FINES",CONCATENATE("R",IF(OR(B1148="16",B1148="21",B1148="22",B1148="23"),"16212223",IF(OR(B1148="15",B1148="17",B1148="24",B1148="25"),"15172425",B1148))),IF(U1148="CEBAS","UNICO",IF(VALUE(B1148)&lt;=11,"AMBA","INTERIOR"))))</f>
        <v>INTERIOR</v>
      </c>
      <c r="W1148" s="38" t="str">
        <f>+IF(U1148="","-",CONCATENATE(U1148,"_",V1148))</f>
        <v>CENS_INTERIOR</v>
      </c>
      <c r="X1148" s="42">
        <v>0.16800000000000001</v>
      </c>
    </row>
    <row r="1149" spans="1:24" ht="15" thickBot="1">
      <c r="A1149" s="5" t="s">
        <v>2916</v>
      </c>
      <c r="B1149" s="5" t="s">
        <v>135</v>
      </c>
      <c r="C1149" s="5" t="s">
        <v>1217</v>
      </c>
      <c r="D1149" s="5" t="s">
        <v>1218</v>
      </c>
      <c r="E1149" s="5">
        <v>607580</v>
      </c>
      <c r="F1149" s="5">
        <v>0</v>
      </c>
      <c r="G1149" s="5" t="s">
        <v>1236</v>
      </c>
      <c r="H1149" s="5" t="s">
        <v>20</v>
      </c>
      <c r="I1149" s="6" t="s">
        <v>142</v>
      </c>
      <c r="J1149" s="6" t="s">
        <v>21</v>
      </c>
      <c r="K1149" s="6"/>
      <c r="L1149" s="6" t="s">
        <v>1237</v>
      </c>
      <c r="M1149" s="6" t="s">
        <v>22</v>
      </c>
      <c r="N1149" s="6" t="s">
        <v>23</v>
      </c>
      <c r="O1149" s="6" t="s">
        <v>27</v>
      </c>
      <c r="P1149" s="6" t="s">
        <v>144</v>
      </c>
      <c r="Q1149" s="22">
        <v>458</v>
      </c>
      <c r="R1149" s="23">
        <v>30</v>
      </c>
      <c r="S1149" s="39">
        <v>1</v>
      </c>
      <c r="T1149" s="7"/>
      <c r="U1149" t="s">
        <v>2913</v>
      </c>
      <c r="V1149" s="7" t="str">
        <f>+IF(U1149="","",IF(U1149="FINES",CONCATENATE("R",IF(OR(B1149="16",B1149="21",B1149="22",B1149="23"),"16212223",IF(OR(B1149="15",B1149="17",B1149="24",B1149="25"),"15172425",B1149))),IF(U1149="CEBAS","UNICO",IF(VALUE(B1149)&lt;=11,"AMBA","INTERIOR"))))</f>
        <v>INTERIOR</v>
      </c>
      <c r="W1149" s="38" t="str">
        <f>+IF(U1149="","-",CONCATENATE(U1149,"_",V1149))</f>
        <v>CENS_INTERIOR</v>
      </c>
      <c r="X1149" s="42">
        <v>0.17</v>
      </c>
    </row>
    <row r="1150" spans="1:24" ht="15" thickBot="1">
      <c r="A1150" s="5" t="s">
        <v>2916</v>
      </c>
      <c r="B1150" s="5" t="s">
        <v>352</v>
      </c>
      <c r="C1150" s="5" t="s">
        <v>1924</v>
      </c>
      <c r="D1150" s="5" t="s">
        <v>1925</v>
      </c>
      <c r="E1150" s="5">
        <v>620528</v>
      </c>
      <c r="F1150" s="5">
        <v>0</v>
      </c>
      <c r="G1150" s="5" t="s">
        <v>1941</v>
      </c>
      <c r="H1150" s="5" t="s">
        <v>20</v>
      </c>
      <c r="I1150" s="6" t="s">
        <v>142</v>
      </c>
      <c r="J1150" s="6" t="s">
        <v>21</v>
      </c>
      <c r="K1150" s="6"/>
      <c r="L1150" s="6" t="s">
        <v>1942</v>
      </c>
      <c r="M1150" s="6" t="s">
        <v>22</v>
      </c>
      <c r="N1150" s="6" t="s">
        <v>23</v>
      </c>
      <c r="O1150" s="6" t="s">
        <v>27</v>
      </c>
      <c r="P1150" s="6" t="s">
        <v>144</v>
      </c>
      <c r="Q1150" s="22">
        <v>228</v>
      </c>
      <c r="R1150" s="23">
        <v>9</v>
      </c>
      <c r="S1150" s="39">
        <v>1</v>
      </c>
      <c r="T1150" s="7"/>
      <c r="U1150" s="7" t="s">
        <v>2913</v>
      </c>
      <c r="V1150" s="7" t="str">
        <f>+IF(U1150="","",IF(U1150="FINES",CONCATENATE("R",IF(OR(B1150="16",B1150="21",B1150="22",B1150="23"),"16212223",IF(OR(B1150="15",B1150="17",B1150="24",B1150="25"),"15172425",B1150))),IF(U1150="CEBAS","UNICO",IF(VALUE(B1150)&lt;=11,"AMBA","INTERIOR"))))</f>
        <v>INTERIOR</v>
      </c>
      <c r="W1150" s="38" t="str">
        <f>+IF(U1150="","-",CONCATENATE(U1150,"_",V1150))</f>
        <v>CENS_INTERIOR</v>
      </c>
      <c r="X1150" s="42">
        <v>0.17</v>
      </c>
    </row>
    <row r="1151" spans="1:24" ht="15" thickBot="1">
      <c r="A1151" s="3" t="s">
        <v>2916</v>
      </c>
      <c r="B1151" s="3" t="s">
        <v>410</v>
      </c>
      <c r="C1151" s="3" t="s">
        <v>1493</v>
      </c>
      <c r="D1151" s="3" t="s">
        <v>1494</v>
      </c>
      <c r="E1151" s="3">
        <v>623800</v>
      </c>
      <c r="F1151" s="3">
        <v>0</v>
      </c>
      <c r="G1151" s="3" t="s">
        <v>1498</v>
      </c>
      <c r="H1151" s="3" t="s">
        <v>20</v>
      </c>
      <c r="I1151" s="4" t="s">
        <v>142</v>
      </c>
      <c r="J1151" s="4" t="s">
        <v>21</v>
      </c>
      <c r="K1151" s="4"/>
      <c r="L1151" s="4" t="s">
        <v>251</v>
      </c>
      <c r="M1151" s="4" t="s">
        <v>22</v>
      </c>
      <c r="N1151" s="4" t="s">
        <v>23</v>
      </c>
      <c r="O1151" s="4" t="s">
        <v>27</v>
      </c>
      <c r="P1151" s="4" t="s">
        <v>144</v>
      </c>
      <c r="Q1151" s="24">
        <v>53</v>
      </c>
      <c r="R1151" s="25">
        <v>3</v>
      </c>
      <c r="S1151" s="39">
        <v>1</v>
      </c>
      <c r="T1151" s="7"/>
      <c r="U1151" s="7" t="s">
        <v>2913</v>
      </c>
      <c r="V1151" s="7" t="str">
        <f>+IF(U1151="","",IF(U1151="FINES",CONCATENATE("R",IF(OR(B1151="16",B1151="21",B1151="22",B1151="23"),"16212223",IF(OR(B1151="15",B1151="17",B1151="24",B1151="25"),"15172425",B1151))),IF(U1151="CEBAS","UNICO",IF(VALUE(B1151)&lt;=11,"AMBA","INTERIOR"))))</f>
        <v>INTERIOR</v>
      </c>
      <c r="W1151" s="38" t="str">
        <f>+IF(U1151="","-",CONCATENATE(U1151,"_",V1151))</f>
        <v>CENS_INTERIOR</v>
      </c>
      <c r="X1151" s="42">
        <v>0.17699999999999999</v>
      </c>
    </row>
    <row r="1152" spans="1:24" ht="15" thickBot="1">
      <c r="A1152" s="5" t="s">
        <v>2916</v>
      </c>
      <c r="B1152" s="5" t="s">
        <v>225</v>
      </c>
      <c r="C1152" s="5" t="s">
        <v>942</v>
      </c>
      <c r="D1152" s="5" t="s">
        <v>943</v>
      </c>
      <c r="E1152" s="5">
        <v>616447</v>
      </c>
      <c r="F1152" s="5">
        <v>0</v>
      </c>
      <c r="G1152" s="5" t="s">
        <v>1035</v>
      </c>
      <c r="H1152" s="5" t="s">
        <v>20</v>
      </c>
      <c r="I1152" s="6" t="s">
        <v>142</v>
      </c>
      <c r="J1152" s="6" t="s">
        <v>21</v>
      </c>
      <c r="K1152" s="6"/>
      <c r="L1152" s="6" t="s">
        <v>1036</v>
      </c>
      <c r="M1152" s="6" t="s">
        <v>22</v>
      </c>
      <c r="N1152" s="6" t="s">
        <v>23</v>
      </c>
      <c r="O1152" s="6" t="s">
        <v>27</v>
      </c>
      <c r="P1152" s="6" t="s">
        <v>144</v>
      </c>
      <c r="Q1152" s="22">
        <v>140</v>
      </c>
      <c r="R1152" s="23">
        <v>13</v>
      </c>
      <c r="S1152" s="39">
        <v>1</v>
      </c>
      <c r="T1152" s="7"/>
      <c r="U1152" s="7" t="s">
        <v>2913</v>
      </c>
      <c r="V1152" s="7" t="str">
        <f>+IF(U1152="","",IF(U1152="FINES",CONCATENATE("R",IF(OR(B1152="16",B1152="21",B1152="22",B1152="23"),"16212223",IF(OR(B1152="15",B1152="17",B1152="24",B1152="25"),"15172425",B1152))),IF(U1152="CEBAS","UNICO",IF(VALUE(B1152)&lt;=11,"AMBA","INTERIOR"))))</f>
        <v>INTERIOR</v>
      </c>
      <c r="W1152" s="38" t="str">
        <f>+IF(U1152="","-",CONCATENATE(U1152,"_",V1152))</f>
        <v>CENS_INTERIOR</v>
      </c>
      <c r="X1152" s="42">
        <v>0.18</v>
      </c>
    </row>
    <row r="1153" spans="1:24" ht="15" thickBot="1">
      <c r="A1153" s="5" t="s">
        <v>2916</v>
      </c>
      <c r="B1153" s="5" t="s">
        <v>220</v>
      </c>
      <c r="C1153" s="5" t="s">
        <v>431</v>
      </c>
      <c r="D1153" s="5" t="s">
        <v>1184</v>
      </c>
      <c r="E1153" s="5">
        <v>623792</v>
      </c>
      <c r="F1153" s="5">
        <v>0</v>
      </c>
      <c r="G1153" s="5" t="s">
        <v>1189</v>
      </c>
      <c r="H1153" s="5" t="s">
        <v>20</v>
      </c>
      <c r="I1153" s="6" t="s">
        <v>142</v>
      </c>
      <c r="J1153" s="6" t="s">
        <v>21</v>
      </c>
      <c r="K1153" s="6"/>
      <c r="L1153" s="6" t="s">
        <v>251</v>
      </c>
      <c r="M1153" s="6" t="s">
        <v>22</v>
      </c>
      <c r="N1153" s="6" t="s">
        <v>23</v>
      </c>
      <c r="O1153" s="6" t="s">
        <v>27</v>
      </c>
      <c r="P1153" s="6" t="s">
        <v>144</v>
      </c>
      <c r="Q1153" s="22">
        <v>168</v>
      </c>
      <c r="R1153" s="23">
        <v>6</v>
      </c>
      <c r="S1153" s="39">
        <v>1</v>
      </c>
      <c r="T1153" s="7"/>
      <c r="U1153" s="7" t="s">
        <v>2913</v>
      </c>
      <c r="V1153" s="7" t="str">
        <f>+IF(U1153="","",IF(U1153="FINES",CONCATENATE("R",IF(OR(B1153="16",B1153="21",B1153="22",B1153="23"),"16212223",IF(OR(B1153="15",B1153="17",B1153="24",B1153="25"),"15172425",B1153))),IF(U1153="CEBAS","UNICO",IF(VALUE(B1153)&lt;=11,"AMBA","INTERIOR"))))</f>
        <v>INTERIOR</v>
      </c>
      <c r="W1153" s="38" t="str">
        <f>+IF(U1153="","-",CONCATENATE(U1153,"_",V1153))</f>
        <v>CENS_INTERIOR</v>
      </c>
      <c r="X1153" s="42">
        <v>0.188</v>
      </c>
    </row>
    <row r="1154" spans="1:24" ht="15" thickBot="1">
      <c r="A1154" s="3" t="s">
        <v>2916</v>
      </c>
      <c r="B1154" s="3" t="s">
        <v>516</v>
      </c>
      <c r="C1154" s="3" t="s">
        <v>889</v>
      </c>
      <c r="D1154" s="3" t="s">
        <v>2458</v>
      </c>
      <c r="E1154" s="3">
        <v>623838</v>
      </c>
      <c r="F1154" s="3">
        <v>0</v>
      </c>
      <c r="G1154" s="3" t="s">
        <v>2468</v>
      </c>
      <c r="H1154" s="3" t="s">
        <v>20</v>
      </c>
      <c r="I1154" s="4" t="s">
        <v>142</v>
      </c>
      <c r="J1154" s="4" t="s">
        <v>21</v>
      </c>
      <c r="K1154" s="4"/>
      <c r="L1154" s="4" t="s">
        <v>251</v>
      </c>
      <c r="M1154" s="4" t="s">
        <v>22</v>
      </c>
      <c r="N1154" s="4" t="s">
        <v>23</v>
      </c>
      <c r="O1154" s="4" t="s">
        <v>27</v>
      </c>
      <c r="P1154" s="4" t="s">
        <v>144</v>
      </c>
      <c r="Q1154" s="24">
        <v>63</v>
      </c>
      <c r="R1154" s="25">
        <v>6</v>
      </c>
      <c r="S1154" s="39">
        <v>1</v>
      </c>
      <c r="T1154" s="7"/>
      <c r="U1154" s="7" t="s">
        <v>2913</v>
      </c>
      <c r="V1154" s="7" t="str">
        <f>+IF(U1154="","",IF(U1154="FINES",CONCATENATE("R",IF(OR(B1154="16",B1154="21",B1154="22",B1154="23"),"16212223",IF(OR(B1154="15",B1154="17",B1154="24",B1154="25"),"15172425",B1154))),IF(U1154="CEBAS","UNICO",IF(VALUE(B1154)&lt;=11,"AMBA","INTERIOR"))))</f>
        <v>INTERIOR</v>
      </c>
      <c r="W1154" s="38" t="str">
        <f>+IF(U1154="","-",CONCATENATE(U1154,"_",V1154))</f>
        <v>CENS_INTERIOR</v>
      </c>
      <c r="X1154" s="42">
        <v>0.188</v>
      </c>
    </row>
    <row r="1155" spans="1:24" ht="15" thickBot="1">
      <c r="A1155" s="5" t="s">
        <v>2916</v>
      </c>
      <c r="B1155" s="5" t="s">
        <v>203</v>
      </c>
      <c r="C1155" s="5" t="s">
        <v>450</v>
      </c>
      <c r="D1155" s="5" t="s">
        <v>452</v>
      </c>
      <c r="E1155" s="5">
        <v>604475</v>
      </c>
      <c r="F1155" s="5">
        <v>0</v>
      </c>
      <c r="G1155" s="5" t="s">
        <v>498</v>
      </c>
      <c r="H1155" s="5" t="s">
        <v>20</v>
      </c>
      <c r="I1155" s="6" t="s">
        <v>142</v>
      </c>
      <c r="J1155" s="6" t="s">
        <v>21</v>
      </c>
      <c r="K1155" s="6"/>
      <c r="L1155" s="6" t="s">
        <v>499</v>
      </c>
      <c r="M1155" s="6" t="s">
        <v>22</v>
      </c>
      <c r="N1155" s="6" t="s">
        <v>23</v>
      </c>
      <c r="O1155" s="6" t="s">
        <v>27</v>
      </c>
      <c r="P1155" s="6" t="s">
        <v>144</v>
      </c>
      <c r="Q1155" s="22">
        <v>146</v>
      </c>
      <c r="R1155" s="23">
        <v>12</v>
      </c>
      <c r="S1155" s="39">
        <v>1</v>
      </c>
      <c r="T1155" s="7"/>
      <c r="U1155" s="7" t="s">
        <v>2913</v>
      </c>
      <c r="V1155" s="7" t="str">
        <f>+IF(U1155="","",IF(U1155="FINES",CONCATENATE("R",IF(OR(B1155="16",B1155="21",B1155="22",B1155="23"),"16212223",IF(OR(B1155="15",B1155="17",B1155="24",B1155="25"),"15172425",B1155))),IF(U1155="CEBAS","UNICO",IF(VALUE(B1155)&lt;=11,"AMBA","INTERIOR"))))</f>
        <v>INTERIOR</v>
      </c>
      <c r="W1155" s="38" t="str">
        <f>+IF(U1155="","-",CONCATENATE(U1155,"_",V1155))</f>
        <v>CENS_INTERIOR</v>
      </c>
      <c r="X1155" s="42">
        <v>0.19</v>
      </c>
    </row>
    <row r="1156" spans="1:24" ht="15" thickBot="1">
      <c r="A1156" s="5" t="s">
        <v>2916</v>
      </c>
      <c r="B1156" s="5" t="s">
        <v>225</v>
      </c>
      <c r="C1156" s="5" t="s">
        <v>1521</v>
      </c>
      <c r="D1156" s="5" t="s">
        <v>1522</v>
      </c>
      <c r="E1156" s="5">
        <v>621158</v>
      </c>
      <c r="F1156" s="5">
        <v>0</v>
      </c>
      <c r="G1156" s="5" t="s">
        <v>1528</v>
      </c>
      <c r="H1156" s="5" t="s">
        <v>20</v>
      </c>
      <c r="I1156" s="6" t="s">
        <v>142</v>
      </c>
      <c r="J1156" s="6" t="s">
        <v>21</v>
      </c>
      <c r="K1156" s="6"/>
      <c r="L1156" s="6" t="s">
        <v>400</v>
      </c>
      <c r="M1156" s="6" t="s">
        <v>200</v>
      </c>
      <c r="N1156" s="6" t="s">
        <v>23</v>
      </c>
      <c r="O1156" s="6" t="s">
        <v>27</v>
      </c>
      <c r="P1156" s="6" t="s">
        <v>144</v>
      </c>
      <c r="Q1156" s="22">
        <v>87</v>
      </c>
      <c r="R1156" s="23">
        <v>9</v>
      </c>
      <c r="S1156" s="39">
        <v>1</v>
      </c>
      <c r="T1156" s="7"/>
      <c r="U1156" t="s">
        <v>2913</v>
      </c>
      <c r="V1156" s="7" t="str">
        <f>+IF(U1156="","",IF(U1156="FINES",CONCATENATE("R",IF(OR(B1156="16",B1156="21",B1156="22",B1156="23"),"16212223",IF(OR(B1156="15",B1156="17",B1156="24",B1156="25"),"15172425",B1156))),IF(U1156="CEBAS","UNICO",IF(VALUE(B1156)&lt;=11,"AMBA","INTERIOR"))))</f>
        <v>INTERIOR</v>
      </c>
      <c r="W1156" s="38" t="str">
        <f>+IF(U1156="","-",CONCATENATE(U1156,"_",V1156))</f>
        <v>CENS_INTERIOR</v>
      </c>
      <c r="X1156" s="42">
        <v>0.192</v>
      </c>
    </row>
    <row r="1157" spans="1:24" ht="15" thickBot="1">
      <c r="A1157" s="5" t="s">
        <v>2916</v>
      </c>
      <c r="B1157" s="5" t="s">
        <v>140</v>
      </c>
      <c r="C1157" s="5" t="s">
        <v>412</v>
      </c>
      <c r="D1157" s="5" t="s">
        <v>2714</v>
      </c>
      <c r="E1157" s="5">
        <v>624330</v>
      </c>
      <c r="F1157" s="5">
        <v>0</v>
      </c>
      <c r="G1157" s="5" t="s">
        <v>2716</v>
      </c>
      <c r="H1157" s="5" t="s">
        <v>20</v>
      </c>
      <c r="I1157" s="6" t="s">
        <v>142</v>
      </c>
      <c r="J1157" s="6" t="s">
        <v>21</v>
      </c>
      <c r="K1157" s="6"/>
      <c r="L1157" s="6" t="s">
        <v>251</v>
      </c>
      <c r="M1157" s="6" t="s">
        <v>22</v>
      </c>
      <c r="N1157" s="6" t="s">
        <v>23</v>
      </c>
      <c r="O1157" s="6" t="s">
        <v>27</v>
      </c>
      <c r="P1157" s="6" t="s">
        <v>144</v>
      </c>
      <c r="Q1157" s="22">
        <v>104</v>
      </c>
      <c r="R1157" s="23">
        <v>3</v>
      </c>
      <c r="S1157" s="39">
        <v>1</v>
      </c>
      <c r="T1157" s="7"/>
      <c r="U1157" t="s">
        <v>2913</v>
      </c>
      <c r="V1157" s="7" t="str">
        <f>+IF(U1157="","",IF(U1157="FINES",CONCATENATE("R",IF(OR(B1157="16",B1157="21",B1157="22",B1157="23"),"16212223",IF(OR(B1157="15",B1157="17",B1157="24",B1157="25"),"15172425",B1157))),IF(U1157="CEBAS","UNICO",IF(VALUE(B1157)&lt;=11,"AMBA","INTERIOR"))))</f>
        <v>INTERIOR</v>
      </c>
      <c r="W1157" s="38" t="str">
        <f>+IF(U1157="","-",CONCATENATE(U1157,"_",V1157))</f>
        <v>CENS_INTERIOR</v>
      </c>
      <c r="X1157" s="42">
        <v>0.19400000000000001</v>
      </c>
    </row>
    <row r="1158" spans="1:24" ht="15" thickBot="1">
      <c r="A1158" s="3" t="s">
        <v>2916</v>
      </c>
      <c r="B1158" s="3" t="s">
        <v>598</v>
      </c>
      <c r="C1158" s="3" t="s">
        <v>1204</v>
      </c>
      <c r="D1158" s="3" t="s">
        <v>1206</v>
      </c>
      <c r="E1158" s="3">
        <v>623822</v>
      </c>
      <c r="F1158" s="3">
        <v>0</v>
      </c>
      <c r="G1158" s="3" t="s">
        <v>1215</v>
      </c>
      <c r="H1158" s="3" t="s">
        <v>20</v>
      </c>
      <c r="I1158" s="4" t="s">
        <v>142</v>
      </c>
      <c r="J1158" s="4" t="s">
        <v>21</v>
      </c>
      <c r="K1158" s="4"/>
      <c r="L1158" s="4" t="s">
        <v>335</v>
      </c>
      <c r="M1158" s="4" t="s">
        <v>22</v>
      </c>
      <c r="N1158" s="4" t="s">
        <v>23</v>
      </c>
      <c r="O1158" s="4" t="s">
        <v>27</v>
      </c>
      <c r="P1158" s="4" t="s">
        <v>144</v>
      </c>
      <c r="Q1158" s="24">
        <v>111</v>
      </c>
      <c r="R1158" s="25">
        <v>10</v>
      </c>
      <c r="S1158" s="39">
        <v>1</v>
      </c>
      <c r="T1158" s="7"/>
      <c r="U1158" s="7" t="s">
        <v>2913</v>
      </c>
      <c r="V1158" s="7" t="str">
        <f>+IF(U1158="","",IF(U1158="FINES",CONCATENATE("R",IF(OR(B1158="16",B1158="21",B1158="22",B1158="23"),"16212223",IF(OR(B1158="15",B1158="17",B1158="24",B1158="25"),"15172425",B1158))),IF(U1158="CEBAS","UNICO",IF(VALUE(B1158)&lt;=11,"AMBA","INTERIOR"))))</f>
        <v>INTERIOR</v>
      </c>
      <c r="W1158" s="38" t="str">
        <f>+IF(U1158="","-",CONCATENATE(U1158,"_",V1158))</f>
        <v>CENS_INTERIOR</v>
      </c>
      <c r="X1158" s="42">
        <v>0.22</v>
      </c>
    </row>
    <row r="1159" spans="1:24" ht="15" thickBot="1">
      <c r="A1159" s="3" t="s">
        <v>2916</v>
      </c>
      <c r="B1159" s="3" t="s">
        <v>140</v>
      </c>
      <c r="C1159" s="3" t="s">
        <v>2277</v>
      </c>
      <c r="D1159" s="3" t="s">
        <v>2278</v>
      </c>
      <c r="E1159" s="3">
        <v>606987</v>
      </c>
      <c r="F1159" s="3">
        <v>0</v>
      </c>
      <c r="G1159" s="3" t="s">
        <v>2311</v>
      </c>
      <c r="H1159" s="3" t="s">
        <v>20</v>
      </c>
      <c r="I1159" s="4" t="s">
        <v>142</v>
      </c>
      <c r="J1159" s="4" t="s">
        <v>21</v>
      </c>
      <c r="K1159" s="4"/>
      <c r="L1159" s="4" t="s">
        <v>2312</v>
      </c>
      <c r="M1159" s="4" t="s">
        <v>22</v>
      </c>
      <c r="N1159" s="4" t="s">
        <v>23</v>
      </c>
      <c r="O1159" s="4" t="s">
        <v>27</v>
      </c>
      <c r="P1159" s="4" t="s">
        <v>144</v>
      </c>
      <c r="Q1159" s="24">
        <v>357</v>
      </c>
      <c r="R1159" s="25">
        <v>15</v>
      </c>
      <c r="S1159" s="39">
        <v>1</v>
      </c>
      <c r="T1159" s="7"/>
      <c r="U1159" s="7" t="s">
        <v>2913</v>
      </c>
      <c r="V1159" s="7" t="str">
        <f>+IF(U1159="","",IF(U1159="FINES",CONCATENATE("R",IF(OR(B1159="16",B1159="21",B1159="22",B1159="23"),"16212223",IF(OR(B1159="15",B1159="17",B1159="24",B1159="25"),"15172425",B1159))),IF(U1159="CEBAS","UNICO",IF(VALUE(B1159)&lt;=11,"AMBA","INTERIOR"))))</f>
        <v>INTERIOR</v>
      </c>
      <c r="W1159" s="38" t="str">
        <f>+IF(U1159="","-",CONCATENATE(U1159,"_",V1159))</f>
        <v>CENS_INTERIOR</v>
      </c>
      <c r="X1159" s="42">
        <v>0.223</v>
      </c>
    </row>
    <row r="1160" spans="1:24" ht="15" thickBot="1">
      <c r="A1160" s="3" t="s">
        <v>2916</v>
      </c>
      <c r="B1160" s="3" t="s">
        <v>225</v>
      </c>
      <c r="C1160" s="3" t="s">
        <v>942</v>
      </c>
      <c r="D1160" s="3" t="s">
        <v>943</v>
      </c>
      <c r="E1160" s="3">
        <v>603109</v>
      </c>
      <c r="F1160" s="3">
        <v>0</v>
      </c>
      <c r="G1160" s="3" t="s">
        <v>1029</v>
      </c>
      <c r="H1160" s="3" t="s">
        <v>20</v>
      </c>
      <c r="I1160" s="4" t="s">
        <v>142</v>
      </c>
      <c r="J1160" s="4" t="s">
        <v>21</v>
      </c>
      <c r="K1160" s="4"/>
      <c r="L1160" s="4" t="s">
        <v>1030</v>
      </c>
      <c r="M1160" s="4" t="s">
        <v>22</v>
      </c>
      <c r="N1160" s="4" t="s">
        <v>23</v>
      </c>
      <c r="O1160" s="4" t="s">
        <v>27</v>
      </c>
      <c r="P1160" s="4" t="s">
        <v>144</v>
      </c>
      <c r="Q1160" s="24">
        <v>238</v>
      </c>
      <c r="R1160" s="25">
        <v>11</v>
      </c>
      <c r="S1160" s="39">
        <v>1</v>
      </c>
      <c r="T1160" s="7"/>
      <c r="U1160" t="s">
        <v>2913</v>
      </c>
      <c r="V1160" s="7" t="str">
        <f>+IF(U1160="","",IF(U1160="FINES",CONCATENATE("R",IF(OR(B1160="16",B1160="21",B1160="22",B1160="23"),"16212223",IF(OR(B1160="15",B1160="17",B1160="24",B1160="25"),"15172425",B1160))),IF(U1160="CEBAS","UNICO",IF(VALUE(B1160)&lt;=11,"AMBA","INTERIOR"))))</f>
        <v>INTERIOR</v>
      </c>
      <c r="W1160" s="38" t="str">
        <f>+IF(U1160="","-",CONCATENATE(U1160,"_",V1160))</f>
        <v>CENS_INTERIOR</v>
      </c>
      <c r="X1160" s="42">
        <v>0.22600000000000001</v>
      </c>
    </row>
    <row r="1161" spans="1:24" ht="15" thickBot="1">
      <c r="A1161" s="3" t="s">
        <v>2916</v>
      </c>
      <c r="B1161" s="3" t="s">
        <v>140</v>
      </c>
      <c r="C1161" s="3" t="s">
        <v>539</v>
      </c>
      <c r="D1161" s="3" t="s">
        <v>541</v>
      </c>
      <c r="E1161" s="3">
        <v>623530</v>
      </c>
      <c r="F1161" s="3">
        <v>0</v>
      </c>
      <c r="G1161" s="3" t="s">
        <v>550</v>
      </c>
      <c r="H1161" s="3" t="s">
        <v>20</v>
      </c>
      <c r="I1161" s="4" t="s">
        <v>142</v>
      </c>
      <c r="J1161" s="4" t="s">
        <v>21</v>
      </c>
      <c r="K1161" s="4"/>
      <c r="L1161" s="4" t="s">
        <v>551</v>
      </c>
      <c r="M1161" s="4" t="s">
        <v>22</v>
      </c>
      <c r="N1161" s="4" t="s">
        <v>23</v>
      </c>
      <c r="O1161" s="4" t="s">
        <v>27</v>
      </c>
      <c r="P1161" s="4" t="s">
        <v>144</v>
      </c>
      <c r="Q1161" s="24">
        <v>144</v>
      </c>
      <c r="R1161" s="25">
        <v>6</v>
      </c>
      <c r="S1161" s="39">
        <v>1</v>
      </c>
      <c r="T1161" s="7"/>
      <c r="U1161" t="s">
        <v>2913</v>
      </c>
      <c r="V1161" s="7" t="str">
        <f>+IF(U1161="","",IF(U1161="FINES",CONCATENATE("R",IF(OR(B1161="16",B1161="21",B1161="22",B1161="23"),"16212223",IF(OR(B1161="15",B1161="17",B1161="24",B1161="25"),"15172425",B1161))),IF(U1161="CEBAS","UNICO",IF(VALUE(B1161)&lt;=11,"AMBA","INTERIOR"))))</f>
        <v>INTERIOR</v>
      </c>
      <c r="W1161" s="38" t="str">
        <f>+IF(U1161="","-",CONCATENATE(U1161,"_",V1161))</f>
        <v>CENS_INTERIOR</v>
      </c>
      <c r="X1161" s="42">
        <v>0.22800000000000001</v>
      </c>
    </row>
    <row r="1162" spans="1:24" ht="15" thickBot="1">
      <c r="A1162" s="3" t="s">
        <v>2916</v>
      </c>
      <c r="B1162" s="3" t="s">
        <v>220</v>
      </c>
      <c r="C1162" s="3" t="s">
        <v>726</v>
      </c>
      <c r="D1162" s="3" t="s">
        <v>2434</v>
      </c>
      <c r="E1162" s="3">
        <v>616054</v>
      </c>
      <c r="F1162" s="3">
        <v>0</v>
      </c>
      <c r="G1162" s="3" t="s">
        <v>2449</v>
      </c>
      <c r="H1162" s="3" t="s">
        <v>20</v>
      </c>
      <c r="I1162" s="4" t="s">
        <v>142</v>
      </c>
      <c r="J1162" s="4" t="s">
        <v>21</v>
      </c>
      <c r="K1162" s="4"/>
      <c r="L1162" s="4" t="s">
        <v>2450</v>
      </c>
      <c r="M1162" s="4" t="s">
        <v>199</v>
      </c>
      <c r="N1162" s="4" t="s">
        <v>23</v>
      </c>
      <c r="O1162" s="4" t="s">
        <v>27</v>
      </c>
      <c r="P1162" s="4" t="s">
        <v>144</v>
      </c>
      <c r="Q1162" s="24">
        <v>54</v>
      </c>
      <c r="R1162" s="25">
        <v>3</v>
      </c>
      <c r="S1162" s="39">
        <v>1</v>
      </c>
      <c r="T1162" s="7"/>
      <c r="U1162" s="7" t="s">
        <v>2913</v>
      </c>
      <c r="V1162" s="7" t="str">
        <f>+IF(U1162="","",IF(U1162="FINES",CONCATENATE("R",IF(OR(B1162="16",B1162="21",B1162="22",B1162="23"),"16212223",IF(OR(B1162="15",B1162="17",B1162="24",B1162="25"),"15172425",B1162))),IF(U1162="CEBAS","UNICO",IF(VALUE(B1162)&lt;=11,"AMBA","INTERIOR"))))</f>
        <v>INTERIOR</v>
      </c>
      <c r="W1162" s="38" t="str">
        <f>+IF(U1162="","-",CONCATENATE(U1162,"_",V1162))</f>
        <v>CENS_INTERIOR</v>
      </c>
      <c r="X1162" s="42">
        <v>0.24299999999999999</v>
      </c>
    </row>
    <row r="1163" spans="1:24" ht="15" thickBot="1">
      <c r="A1163" s="3" t="s">
        <v>2916</v>
      </c>
      <c r="B1163" s="3" t="s">
        <v>410</v>
      </c>
      <c r="C1163" s="3" t="s">
        <v>570</v>
      </c>
      <c r="D1163" s="3" t="s">
        <v>2717</v>
      </c>
      <c r="E1163" s="3">
        <v>623926</v>
      </c>
      <c r="F1163" s="3">
        <v>0</v>
      </c>
      <c r="G1163" s="3" t="s">
        <v>2731</v>
      </c>
      <c r="H1163" s="3" t="s">
        <v>20</v>
      </c>
      <c r="I1163" s="4" t="s">
        <v>142</v>
      </c>
      <c r="J1163" s="4" t="s">
        <v>21</v>
      </c>
      <c r="K1163" s="4"/>
      <c r="L1163" s="4" t="s">
        <v>448</v>
      </c>
      <c r="M1163" s="4" t="s">
        <v>22</v>
      </c>
      <c r="N1163" s="4" t="s">
        <v>23</v>
      </c>
      <c r="O1163" s="4" t="s">
        <v>27</v>
      </c>
      <c r="P1163" s="4" t="s">
        <v>144</v>
      </c>
      <c r="Q1163" s="24">
        <v>169</v>
      </c>
      <c r="R1163" s="25">
        <v>8</v>
      </c>
      <c r="S1163" s="39">
        <v>1</v>
      </c>
      <c r="T1163" s="7"/>
      <c r="U1163" s="7" t="s">
        <v>2913</v>
      </c>
      <c r="V1163" s="7" t="str">
        <f>+IF(U1163="","",IF(U1163="FINES",CONCATENATE("R",IF(OR(B1163="16",B1163="21",B1163="22",B1163="23"),"16212223",IF(OR(B1163="15",B1163="17",B1163="24",B1163="25"),"15172425",B1163))),IF(U1163="CEBAS","UNICO",IF(VALUE(B1163)&lt;=11,"AMBA","INTERIOR"))))</f>
        <v>INTERIOR</v>
      </c>
      <c r="W1163" s="38" t="str">
        <f>+IF(U1163="","-",CONCATENATE(U1163,"_",V1163))</f>
        <v>CENS_INTERIOR</v>
      </c>
      <c r="X1163" s="42">
        <v>0.247</v>
      </c>
    </row>
    <row r="1164" spans="1:24" ht="15" thickBot="1">
      <c r="A1164" s="5" t="s">
        <v>2916</v>
      </c>
      <c r="B1164" s="5" t="s">
        <v>225</v>
      </c>
      <c r="C1164" s="5" t="s">
        <v>942</v>
      </c>
      <c r="D1164" s="5" t="s">
        <v>943</v>
      </c>
      <c r="E1164" s="5">
        <v>609100</v>
      </c>
      <c r="F1164" s="5">
        <v>0</v>
      </c>
      <c r="G1164" s="5" t="s">
        <v>1052</v>
      </c>
      <c r="H1164" s="5" t="s">
        <v>20</v>
      </c>
      <c r="I1164" s="6" t="s">
        <v>142</v>
      </c>
      <c r="J1164" s="6" t="s">
        <v>21</v>
      </c>
      <c r="K1164" s="6"/>
      <c r="L1164" s="6" t="s">
        <v>1053</v>
      </c>
      <c r="M1164" s="6" t="s">
        <v>22</v>
      </c>
      <c r="N1164" s="6" t="s">
        <v>23</v>
      </c>
      <c r="O1164" s="6" t="s">
        <v>27</v>
      </c>
      <c r="P1164" s="6" t="s">
        <v>144</v>
      </c>
      <c r="Q1164" s="22">
        <v>221</v>
      </c>
      <c r="R1164" s="23">
        <v>13</v>
      </c>
      <c r="S1164" s="39">
        <v>1</v>
      </c>
      <c r="T1164" s="7"/>
      <c r="U1164" t="s">
        <v>2913</v>
      </c>
      <c r="V1164" s="7" t="str">
        <f>+IF(U1164="","",IF(U1164="FINES",CONCATENATE("R",IF(OR(B1164="16",B1164="21",B1164="22",B1164="23"),"16212223",IF(OR(B1164="15",B1164="17",B1164="24",B1164="25"),"15172425",B1164))),IF(U1164="CEBAS","UNICO",IF(VALUE(B1164)&lt;=11,"AMBA","INTERIOR"))))</f>
        <v>INTERIOR</v>
      </c>
      <c r="W1164" s="38" t="str">
        <f>+IF(U1164="","-",CONCATENATE(U1164,"_",V1164))</f>
        <v>CENS_INTERIOR</v>
      </c>
      <c r="X1164" s="42">
        <v>0.247</v>
      </c>
    </row>
    <row r="1165" spans="1:24" ht="15" thickBot="1">
      <c r="A1165" s="3" t="s">
        <v>2916</v>
      </c>
      <c r="B1165" s="3" t="s">
        <v>135</v>
      </c>
      <c r="C1165" s="3" t="s">
        <v>902</v>
      </c>
      <c r="D1165" s="3" t="s">
        <v>2754</v>
      </c>
      <c r="E1165" s="3">
        <v>624592</v>
      </c>
      <c r="F1165" s="3">
        <v>0</v>
      </c>
      <c r="G1165" s="3" t="s">
        <v>2758</v>
      </c>
      <c r="H1165" s="3" t="s">
        <v>20</v>
      </c>
      <c r="I1165" s="4" t="s">
        <v>142</v>
      </c>
      <c r="J1165" s="4" t="s">
        <v>21</v>
      </c>
      <c r="K1165" s="4"/>
      <c r="L1165" s="4" t="s">
        <v>240</v>
      </c>
      <c r="M1165" s="4" t="s">
        <v>22</v>
      </c>
      <c r="N1165" s="4" t="s">
        <v>23</v>
      </c>
      <c r="O1165" s="4" t="s">
        <v>27</v>
      </c>
      <c r="P1165" s="4" t="s">
        <v>144</v>
      </c>
      <c r="Q1165" s="24">
        <v>47</v>
      </c>
      <c r="R1165" s="25">
        <v>3</v>
      </c>
      <c r="S1165" s="39">
        <v>1</v>
      </c>
      <c r="T1165" s="7"/>
      <c r="U1165" t="s">
        <v>2913</v>
      </c>
      <c r="V1165" s="7" t="str">
        <f>+IF(U1165="","",IF(U1165="FINES",CONCATENATE("R",IF(OR(B1165="16",B1165="21",B1165="22",B1165="23"),"16212223",IF(OR(B1165="15",B1165="17",B1165="24",B1165="25"),"15172425",B1165))),IF(U1165="CEBAS","UNICO",IF(VALUE(B1165)&lt;=11,"AMBA","INTERIOR"))))</f>
        <v>INTERIOR</v>
      </c>
      <c r="W1165" s="38" t="str">
        <f>+IF(U1165="","-",CONCATENATE(U1165,"_",V1165))</f>
        <v>CENS_INTERIOR</v>
      </c>
      <c r="X1165" s="42">
        <v>0.249</v>
      </c>
    </row>
    <row r="1166" spans="1:24" ht="15" thickBot="1">
      <c r="A1166" s="5" t="s">
        <v>2916</v>
      </c>
      <c r="B1166" s="5" t="s">
        <v>352</v>
      </c>
      <c r="C1166" s="5" t="s">
        <v>1338</v>
      </c>
      <c r="D1166" s="5" t="s">
        <v>1339</v>
      </c>
      <c r="E1166" s="5">
        <v>623814</v>
      </c>
      <c r="F1166" s="5">
        <v>0</v>
      </c>
      <c r="G1166" s="5" t="s">
        <v>1347</v>
      </c>
      <c r="H1166" s="5" t="s">
        <v>20</v>
      </c>
      <c r="I1166" s="6" t="s">
        <v>142</v>
      </c>
      <c r="J1166" s="6" t="s">
        <v>21</v>
      </c>
      <c r="K1166" s="6"/>
      <c r="L1166" s="6" t="s">
        <v>251</v>
      </c>
      <c r="M1166" s="6" t="s">
        <v>22</v>
      </c>
      <c r="N1166" s="6" t="s">
        <v>23</v>
      </c>
      <c r="O1166" s="6" t="s">
        <v>27</v>
      </c>
      <c r="P1166" s="6" t="s">
        <v>144</v>
      </c>
      <c r="Q1166" s="22">
        <v>130</v>
      </c>
      <c r="R1166" s="23">
        <v>6</v>
      </c>
      <c r="S1166" s="39">
        <v>1</v>
      </c>
      <c r="T1166" s="7"/>
      <c r="U1166" t="s">
        <v>2913</v>
      </c>
      <c r="V1166" s="7" t="str">
        <f>+IF(U1166="","",IF(U1166="FINES",CONCATENATE("R",IF(OR(B1166="16",B1166="21",B1166="22",B1166="23"),"16212223",IF(OR(B1166="15",B1166="17",B1166="24",B1166="25"),"15172425",B1166))),IF(U1166="CEBAS","UNICO",IF(VALUE(B1166)&lt;=11,"AMBA","INTERIOR"))))</f>
        <v>INTERIOR</v>
      </c>
      <c r="W1166" s="38" t="str">
        <f>+IF(U1166="","-",CONCATENATE(U1166,"_",V1166))</f>
        <v>CENS_INTERIOR</v>
      </c>
      <c r="X1166" s="42">
        <v>0.252</v>
      </c>
    </row>
    <row r="1167" spans="1:24" ht="15" thickBot="1">
      <c r="A1167" s="5" t="s">
        <v>2916</v>
      </c>
      <c r="B1167" s="5" t="s">
        <v>217</v>
      </c>
      <c r="C1167" s="5" t="s">
        <v>2027</v>
      </c>
      <c r="D1167" s="5" t="s">
        <v>2028</v>
      </c>
      <c r="E1167" s="5">
        <v>624163</v>
      </c>
      <c r="F1167" s="5">
        <v>0</v>
      </c>
      <c r="G1167" s="5" t="s">
        <v>2042</v>
      </c>
      <c r="H1167" s="5" t="s">
        <v>20</v>
      </c>
      <c r="I1167" s="6" t="s">
        <v>142</v>
      </c>
      <c r="J1167" s="6" t="s">
        <v>21</v>
      </c>
      <c r="K1167" s="6"/>
      <c r="L1167" s="6" t="s">
        <v>636</v>
      </c>
      <c r="M1167" s="6" t="s">
        <v>22</v>
      </c>
      <c r="N1167" s="6" t="s">
        <v>23</v>
      </c>
      <c r="O1167" s="6" t="s">
        <v>27</v>
      </c>
      <c r="P1167" s="6" t="s">
        <v>144</v>
      </c>
      <c r="Q1167" s="22">
        <v>52</v>
      </c>
      <c r="R1167" s="23">
        <v>3</v>
      </c>
      <c r="S1167" s="39">
        <v>1</v>
      </c>
      <c r="T1167" s="7"/>
      <c r="U1167" t="s">
        <v>2913</v>
      </c>
      <c r="V1167" s="7" t="str">
        <f>+IF(U1167="","",IF(U1167="FINES",CONCATENATE("R",IF(OR(B1167="16",B1167="21",B1167="22",B1167="23"),"16212223",IF(OR(B1167="15",B1167="17",B1167="24",B1167="25"),"15172425",B1167))),IF(U1167="CEBAS","UNICO",IF(VALUE(B1167)&lt;=11,"AMBA","INTERIOR"))))</f>
        <v>INTERIOR</v>
      </c>
      <c r="W1167" s="38" t="str">
        <f>+IF(U1167="","-",CONCATENATE(U1167,"_",V1167))</f>
        <v>CENS_INTERIOR</v>
      </c>
      <c r="X1167" s="42">
        <v>0.254</v>
      </c>
    </row>
    <row r="1168" spans="1:24" ht="15" thickBot="1">
      <c r="A1168" s="5" t="s">
        <v>2916</v>
      </c>
      <c r="B1168" s="5" t="s">
        <v>203</v>
      </c>
      <c r="C1168" s="5" t="s">
        <v>1986</v>
      </c>
      <c r="D1168" s="5" t="s">
        <v>1987</v>
      </c>
      <c r="E1168" s="5">
        <v>617180</v>
      </c>
      <c r="F1168" s="5">
        <v>0</v>
      </c>
      <c r="G1168" s="5" t="s">
        <v>2000</v>
      </c>
      <c r="H1168" s="5" t="s">
        <v>20</v>
      </c>
      <c r="I1168" s="6" t="s">
        <v>142</v>
      </c>
      <c r="J1168" s="6" t="s">
        <v>21</v>
      </c>
      <c r="K1168" s="6"/>
      <c r="L1168" s="6" t="s">
        <v>400</v>
      </c>
      <c r="M1168" s="6" t="s">
        <v>22</v>
      </c>
      <c r="N1168" s="6" t="s">
        <v>23</v>
      </c>
      <c r="O1168" s="6" t="s">
        <v>27</v>
      </c>
      <c r="P1168" s="6" t="s">
        <v>144</v>
      </c>
      <c r="Q1168" s="22">
        <v>232</v>
      </c>
      <c r="R1168" s="23">
        <v>10</v>
      </c>
      <c r="S1168" s="39">
        <v>1</v>
      </c>
      <c r="T1168" s="7"/>
      <c r="U1168" t="s">
        <v>2913</v>
      </c>
      <c r="V1168" s="7" t="str">
        <f>+IF(U1168="","",IF(U1168="FINES",CONCATENATE("R",IF(OR(B1168="16",B1168="21",B1168="22",B1168="23"),"16212223",IF(OR(B1168="15",B1168="17",B1168="24",B1168="25"),"15172425",B1168))),IF(U1168="CEBAS","UNICO",IF(VALUE(B1168)&lt;=11,"AMBA","INTERIOR"))))</f>
        <v>INTERIOR</v>
      </c>
      <c r="W1168" s="38" t="str">
        <f>+IF(U1168="","-",CONCATENATE(U1168,"_",V1168))</f>
        <v>CENS_INTERIOR</v>
      </c>
      <c r="X1168" s="42">
        <v>0.25600000000000001</v>
      </c>
    </row>
    <row r="1169" spans="1:24" ht="15" thickBot="1">
      <c r="A1169" s="3" t="s">
        <v>2916</v>
      </c>
      <c r="B1169" s="3" t="s">
        <v>205</v>
      </c>
      <c r="C1169" s="3" t="s">
        <v>228</v>
      </c>
      <c r="D1169" s="3" t="s">
        <v>2658</v>
      </c>
      <c r="E1169" s="3">
        <v>624108</v>
      </c>
      <c r="F1169" s="3">
        <v>0</v>
      </c>
      <c r="G1169" s="3" t="s">
        <v>2660</v>
      </c>
      <c r="H1169" s="3" t="s">
        <v>20</v>
      </c>
      <c r="I1169" s="4" t="s">
        <v>142</v>
      </c>
      <c r="J1169" s="4" t="s">
        <v>21</v>
      </c>
      <c r="K1169" s="4"/>
      <c r="L1169" s="4" t="s">
        <v>706</v>
      </c>
      <c r="M1169" s="4" t="s">
        <v>22</v>
      </c>
      <c r="N1169" s="4" t="s">
        <v>23</v>
      </c>
      <c r="O1169" s="4" t="s">
        <v>27</v>
      </c>
      <c r="P1169" s="4" t="s">
        <v>144</v>
      </c>
      <c r="Q1169" s="24">
        <v>54</v>
      </c>
      <c r="R1169" s="25">
        <v>3</v>
      </c>
      <c r="S1169" s="39">
        <v>1</v>
      </c>
      <c r="T1169" s="7"/>
      <c r="U1169" t="s">
        <v>2913</v>
      </c>
      <c r="V1169" s="7" t="str">
        <f>+IF(U1169="","",IF(U1169="FINES",CONCATENATE("R",IF(OR(B1169="16",B1169="21",B1169="22",B1169="23"),"16212223",IF(OR(B1169="15",B1169="17",B1169="24",B1169="25"),"15172425",B1169))),IF(U1169="CEBAS","UNICO",IF(VALUE(B1169)&lt;=11,"AMBA","INTERIOR"))))</f>
        <v>INTERIOR</v>
      </c>
      <c r="W1169" s="38" t="str">
        <f>+IF(U1169="","-",CONCATENATE(U1169,"_",V1169))</f>
        <v>CENS_INTERIOR</v>
      </c>
      <c r="X1169" s="42">
        <v>0.25700000000000001</v>
      </c>
    </row>
    <row r="1170" spans="1:24" ht="15" thickBot="1">
      <c r="A1170" s="3" t="s">
        <v>2916</v>
      </c>
      <c r="B1170" s="3" t="s">
        <v>598</v>
      </c>
      <c r="C1170" s="3" t="s">
        <v>700</v>
      </c>
      <c r="D1170" s="3" t="s">
        <v>701</v>
      </c>
      <c r="E1170" s="3">
        <v>623922</v>
      </c>
      <c r="F1170" s="3">
        <v>0</v>
      </c>
      <c r="G1170" s="3" t="s">
        <v>705</v>
      </c>
      <c r="H1170" s="3" t="s">
        <v>20</v>
      </c>
      <c r="I1170" s="4" t="s">
        <v>142</v>
      </c>
      <c r="J1170" s="4" t="s">
        <v>21</v>
      </c>
      <c r="K1170" s="4"/>
      <c r="L1170" s="4" t="s">
        <v>706</v>
      </c>
      <c r="M1170" s="4" t="s">
        <v>22</v>
      </c>
      <c r="N1170" s="4" t="s">
        <v>23</v>
      </c>
      <c r="O1170" s="4" t="s">
        <v>27</v>
      </c>
      <c r="P1170" s="4" t="s">
        <v>144</v>
      </c>
      <c r="Q1170" s="24">
        <v>39</v>
      </c>
      <c r="R1170" s="25">
        <v>3</v>
      </c>
      <c r="S1170" s="39">
        <v>1</v>
      </c>
      <c r="T1170" s="7"/>
      <c r="U1170" t="s">
        <v>2913</v>
      </c>
      <c r="V1170" s="7" t="str">
        <f>+IF(U1170="","",IF(U1170="FINES",CONCATENATE("R",IF(OR(B1170="16",B1170="21",B1170="22",B1170="23"),"16212223",IF(OR(B1170="15",B1170="17",B1170="24",B1170="25"),"15172425",B1170))),IF(U1170="CEBAS","UNICO",IF(VALUE(B1170)&lt;=11,"AMBA","INTERIOR"))))</f>
        <v>INTERIOR</v>
      </c>
      <c r="W1170" s="38" t="str">
        <f>+IF(U1170="","-",CONCATENATE(U1170,"_",V1170))</f>
        <v>CENS_INTERIOR</v>
      </c>
      <c r="X1170" s="42">
        <v>0.26400000000000001</v>
      </c>
    </row>
    <row r="1171" spans="1:24" ht="15" thickBot="1">
      <c r="A1171" s="3" t="s">
        <v>2916</v>
      </c>
      <c r="B1171" s="3" t="s">
        <v>221</v>
      </c>
      <c r="C1171" s="3" t="s">
        <v>571</v>
      </c>
      <c r="D1171" s="3" t="s">
        <v>573</v>
      </c>
      <c r="E1171" s="3">
        <v>620526</v>
      </c>
      <c r="F1171" s="3">
        <v>0</v>
      </c>
      <c r="G1171" s="3" t="s">
        <v>585</v>
      </c>
      <c r="H1171" s="3" t="s">
        <v>20</v>
      </c>
      <c r="I1171" s="4" t="s">
        <v>142</v>
      </c>
      <c r="J1171" s="4" t="s">
        <v>21</v>
      </c>
      <c r="K1171" s="4"/>
      <c r="L1171" s="4" t="s">
        <v>143</v>
      </c>
      <c r="M1171" s="4" t="s">
        <v>22</v>
      </c>
      <c r="N1171" s="4" t="s">
        <v>23</v>
      </c>
      <c r="O1171" s="4" t="s">
        <v>27</v>
      </c>
      <c r="P1171" s="4" t="s">
        <v>144</v>
      </c>
      <c r="Q1171" s="24">
        <v>119</v>
      </c>
      <c r="R1171" s="25">
        <v>6</v>
      </c>
      <c r="S1171" s="39">
        <v>1</v>
      </c>
      <c r="T1171" s="7"/>
      <c r="U1171" t="s">
        <v>2913</v>
      </c>
      <c r="V1171" s="7" t="str">
        <f>+IF(U1171="","",IF(U1171="FINES",CONCATENATE("R",IF(OR(B1171="16",B1171="21",B1171="22",B1171="23"),"16212223",IF(OR(B1171="15",B1171="17",B1171="24",B1171="25"),"15172425",B1171))),IF(U1171="CEBAS","UNICO",IF(VALUE(B1171)&lt;=11,"AMBA","INTERIOR"))))</f>
        <v>INTERIOR</v>
      </c>
      <c r="W1171" s="38" t="str">
        <f>+IF(U1171="","-",CONCATENATE(U1171,"_",V1171))</f>
        <v>CENS_INTERIOR</v>
      </c>
      <c r="X1171" s="42">
        <v>0.26800000000000002</v>
      </c>
    </row>
    <row r="1172" spans="1:24" ht="15" thickBot="1">
      <c r="A1172" s="5" t="s">
        <v>2916</v>
      </c>
      <c r="B1172" s="5" t="s">
        <v>410</v>
      </c>
      <c r="C1172" s="5" t="s">
        <v>2426</v>
      </c>
      <c r="D1172" s="5" t="s">
        <v>2427</v>
      </c>
      <c r="E1172" s="5">
        <v>624457</v>
      </c>
      <c r="F1172" s="5">
        <v>0</v>
      </c>
      <c r="G1172" s="5" t="s">
        <v>2429</v>
      </c>
      <c r="H1172" s="5" t="s">
        <v>20</v>
      </c>
      <c r="I1172" s="6" t="s">
        <v>142</v>
      </c>
      <c r="J1172" s="6" t="s">
        <v>21</v>
      </c>
      <c r="K1172" s="6"/>
      <c r="L1172" s="6" t="s">
        <v>240</v>
      </c>
      <c r="M1172" s="6" t="s">
        <v>200</v>
      </c>
      <c r="N1172" s="6" t="s">
        <v>23</v>
      </c>
      <c r="O1172" s="6" t="s">
        <v>27</v>
      </c>
      <c r="P1172" s="6" t="s">
        <v>144</v>
      </c>
      <c r="Q1172" s="22">
        <v>21</v>
      </c>
      <c r="R1172" s="23">
        <v>3</v>
      </c>
      <c r="S1172" s="39">
        <v>1</v>
      </c>
      <c r="T1172" s="7"/>
      <c r="U1172" s="7" t="s">
        <v>2913</v>
      </c>
      <c r="V1172" s="7" t="str">
        <f>+IF(U1172="","",IF(U1172="FINES",CONCATENATE("R",IF(OR(B1172="16",B1172="21",B1172="22",B1172="23"),"16212223",IF(OR(B1172="15",B1172="17",B1172="24",B1172="25"),"15172425",B1172))),IF(U1172="CEBAS","UNICO",IF(VALUE(B1172)&lt;=11,"AMBA","INTERIOR"))))</f>
        <v>INTERIOR</v>
      </c>
      <c r="W1172" s="38" t="str">
        <f>+IF(U1172="","-",CONCATENATE(U1172,"_",V1172))</f>
        <v>CENS_INTERIOR</v>
      </c>
      <c r="X1172" s="42">
        <v>0.27900000000000003</v>
      </c>
    </row>
    <row r="1173" spans="1:24" ht="15" thickBot="1">
      <c r="A1173" s="3" t="s">
        <v>2916</v>
      </c>
      <c r="B1173" s="3" t="s">
        <v>220</v>
      </c>
      <c r="C1173" s="3" t="s">
        <v>726</v>
      </c>
      <c r="D1173" s="3" t="s">
        <v>2434</v>
      </c>
      <c r="E1173" s="3">
        <v>623790</v>
      </c>
      <c r="F1173" s="3">
        <v>0</v>
      </c>
      <c r="G1173" s="3" t="s">
        <v>2446</v>
      </c>
      <c r="H1173" s="3" t="s">
        <v>20</v>
      </c>
      <c r="I1173" s="4" t="s">
        <v>142</v>
      </c>
      <c r="J1173" s="4" t="s">
        <v>21</v>
      </c>
      <c r="K1173" s="4"/>
      <c r="L1173" s="4" t="s">
        <v>337</v>
      </c>
      <c r="M1173" s="4" t="s">
        <v>22</v>
      </c>
      <c r="N1173" s="4" t="s">
        <v>23</v>
      </c>
      <c r="O1173" s="4" t="s">
        <v>27</v>
      </c>
      <c r="P1173" s="4" t="s">
        <v>144</v>
      </c>
      <c r="Q1173" s="24">
        <v>78</v>
      </c>
      <c r="R1173" s="25">
        <v>7</v>
      </c>
      <c r="S1173" s="39">
        <v>1</v>
      </c>
      <c r="T1173" s="7"/>
      <c r="U1173" s="7" t="s">
        <v>2913</v>
      </c>
      <c r="V1173" s="7" t="str">
        <f>+IF(U1173="","",IF(U1173="FINES",CONCATENATE("R",IF(OR(B1173="16",B1173="21",B1173="22",B1173="23"),"16212223",IF(OR(B1173="15",B1173="17",B1173="24",B1173="25"),"15172425",B1173))),IF(U1173="CEBAS","UNICO",IF(VALUE(B1173)&lt;=11,"AMBA","INTERIOR"))))</f>
        <v>INTERIOR</v>
      </c>
      <c r="W1173" s="38" t="str">
        <f>+IF(U1173="","-",CONCATENATE(U1173,"_",V1173))</f>
        <v>CENS_INTERIOR</v>
      </c>
      <c r="X1173" s="42">
        <v>0.28999999999999998</v>
      </c>
    </row>
    <row r="1174" spans="1:24" ht="15" thickBot="1">
      <c r="A1174" s="5" t="s">
        <v>2916</v>
      </c>
      <c r="B1174" s="5" t="s">
        <v>203</v>
      </c>
      <c r="C1174" s="5" t="s">
        <v>450</v>
      </c>
      <c r="D1174" s="5" t="s">
        <v>452</v>
      </c>
      <c r="E1174" s="5">
        <v>607879</v>
      </c>
      <c r="F1174" s="5">
        <v>0</v>
      </c>
      <c r="G1174" s="5" t="s">
        <v>494</v>
      </c>
      <c r="H1174" s="5" t="s">
        <v>20</v>
      </c>
      <c r="I1174" s="6" t="s">
        <v>142</v>
      </c>
      <c r="J1174" s="6" t="s">
        <v>21</v>
      </c>
      <c r="K1174" s="6"/>
      <c r="L1174" s="6" t="s">
        <v>495</v>
      </c>
      <c r="M1174" s="6" t="s">
        <v>22</v>
      </c>
      <c r="N1174" s="6" t="s">
        <v>23</v>
      </c>
      <c r="O1174" s="6" t="s">
        <v>27</v>
      </c>
      <c r="P1174" s="6" t="s">
        <v>144</v>
      </c>
      <c r="Q1174" s="22">
        <v>97</v>
      </c>
      <c r="R1174" s="23">
        <v>7</v>
      </c>
      <c r="S1174" s="39">
        <v>1</v>
      </c>
      <c r="T1174" s="7"/>
      <c r="U1174" s="7" t="s">
        <v>2913</v>
      </c>
      <c r="V1174" s="7" t="str">
        <f>+IF(U1174="","",IF(U1174="FINES",CONCATENATE("R",IF(OR(B1174="16",B1174="21",B1174="22",B1174="23"),"16212223",IF(OR(B1174="15",B1174="17",B1174="24",B1174="25"),"15172425",B1174))),IF(U1174="CEBAS","UNICO",IF(VALUE(B1174)&lt;=11,"AMBA","INTERIOR"))))</f>
        <v>INTERIOR</v>
      </c>
      <c r="W1174" s="38" t="str">
        <f>+IF(U1174="","-",CONCATENATE(U1174,"_",V1174))</f>
        <v>CENS_INTERIOR</v>
      </c>
      <c r="X1174" s="42">
        <v>0.29299999999999998</v>
      </c>
    </row>
    <row r="1175" spans="1:24" ht="15" thickBot="1">
      <c r="A1175" s="5" t="s">
        <v>2916</v>
      </c>
      <c r="B1175" s="5" t="s">
        <v>223</v>
      </c>
      <c r="C1175" s="5" t="s">
        <v>229</v>
      </c>
      <c r="D1175" s="5" t="s">
        <v>231</v>
      </c>
      <c r="E1175" s="5">
        <v>611324</v>
      </c>
      <c r="F1175" s="5">
        <v>0</v>
      </c>
      <c r="G1175" s="5" t="s">
        <v>239</v>
      </c>
      <c r="H1175" s="5" t="s">
        <v>20</v>
      </c>
      <c r="I1175" s="6" t="s">
        <v>142</v>
      </c>
      <c r="J1175" s="6" t="s">
        <v>21</v>
      </c>
      <c r="K1175" s="6"/>
      <c r="L1175" s="6" t="s">
        <v>240</v>
      </c>
      <c r="M1175" s="6" t="s">
        <v>22</v>
      </c>
      <c r="N1175" s="6" t="s">
        <v>23</v>
      </c>
      <c r="O1175" s="6" t="s">
        <v>27</v>
      </c>
      <c r="P1175" s="6" t="s">
        <v>144</v>
      </c>
      <c r="Q1175" s="22">
        <v>62</v>
      </c>
      <c r="R1175" s="23">
        <v>6</v>
      </c>
      <c r="S1175" s="39">
        <v>1</v>
      </c>
      <c r="T1175" s="7"/>
      <c r="U1175" s="7" t="s">
        <v>2913</v>
      </c>
      <c r="V1175" s="7" t="str">
        <f>+IF(U1175="","",IF(U1175="FINES",CONCATENATE("R",IF(OR(B1175="16",B1175="21",B1175="22",B1175="23"),"16212223",IF(OR(B1175="15",B1175="17",B1175="24",B1175="25"),"15172425",B1175))),IF(U1175="CEBAS","UNICO",IF(VALUE(B1175)&lt;=11,"AMBA","INTERIOR"))))</f>
        <v>INTERIOR</v>
      </c>
      <c r="W1175" s="38" t="str">
        <f>+IF(U1175="","-",CONCATENATE(U1175,"_",V1175))</f>
        <v>CENS_INTERIOR</v>
      </c>
      <c r="X1175" s="42">
        <v>0.29599999999999999</v>
      </c>
    </row>
    <row r="1176" spans="1:24" ht="15" thickBot="1">
      <c r="A1176" s="5" t="s">
        <v>2916</v>
      </c>
      <c r="B1176" s="5" t="s">
        <v>140</v>
      </c>
      <c r="C1176" s="5" t="s">
        <v>2322</v>
      </c>
      <c r="D1176" s="5" t="s">
        <v>2323</v>
      </c>
      <c r="E1176" s="5">
        <v>605946</v>
      </c>
      <c r="F1176" s="5">
        <v>0</v>
      </c>
      <c r="G1176" s="5" t="s">
        <v>2336</v>
      </c>
      <c r="H1176" s="5" t="s">
        <v>20</v>
      </c>
      <c r="I1176" s="6" t="s">
        <v>142</v>
      </c>
      <c r="J1176" s="6" t="s">
        <v>21</v>
      </c>
      <c r="K1176" s="6"/>
      <c r="L1176" s="6" t="s">
        <v>335</v>
      </c>
      <c r="M1176" s="6" t="s">
        <v>22</v>
      </c>
      <c r="N1176" s="6" t="s">
        <v>23</v>
      </c>
      <c r="O1176" s="6" t="s">
        <v>27</v>
      </c>
      <c r="P1176" s="6" t="s">
        <v>144</v>
      </c>
      <c r="Q1176" s="22">
        <v>303</v>
      </c>
      <c r="R1176" s="23">
        <v>13</v>
      </c>
      <c r="S1176" s="39">
        <v>1</v>
      </c>
      <c r="T1176" s="7"/>
      <c r="U1176" s="7" t="s">
        <v>2913</v>
      </c>
      <c r="V1176" s="7" t="str">
        <f>+IF(U1176="","",IF(U1176="FINES",CONCATENATE("R",IF(OR(B1176="16",B1176="21",B1176="22",B1176="23"),"16212223",IF(OR(B1176="15",B1176="17",B1176="24",B1176="25"),"15172425",B1176))),IF(U1176="CEBAS","UNICO",IF(VALUE(B1176)&lt;=11,"AMBA","INTERIOR"))))</f>
        <v>INTERIOR</v>
      </c>
      <c r="W1176" s="38" t="str">
        <f>+IF(U1176="","-",CONCATENATE(U1176,"_",V1176))</f>
        <v>CENS_INTERIOR</v>
      </c>
      <c r="X1176" s="42">
        <v>0.29899999999999999</v>
      </c>
    </row>
    <row r="1177" spans="1:24" ht="15" thickBot="1">
      <c r="A1177" s="5" t="s">
        <v>2916</v>
      </c>
      <c r="B1177" s="5" t="s">
        <v>598</v>
      </c>
      <c r="C1177" s="5" t="s">
        <v>700</v>
      </c>
      <c r="D1177" s="5" t="s">
        <v>701</v>
      </c>
      <c r="E1177" s="5">
        <v>623922</v>
      </c>
      <c r="F1177" s="5">
        <v>1</v>
      </c>
      <c r="G1177" s="5" t="s">
        <v>707</v>
      </c>
      <c r="H1177" s="5" t="s">
        <v>20</v>
      </c>
      <c r="I1177" s="6" t="s">
        <v>142</v>
      </c>
      <c r="J1177" s="6" t="s">
        <v>51</v>
      </c>
      <c r="K1177" s="6" t="s">
        <v>705</v>
      </c>
      <c r="L1177" s="6" t="s">
        <v>708</v>
      </c>
      <c r="M1177" s="6" t="s">
        <v>200</v>
      </c>
      <c r="N1177" s="6" t="s">
        <v>23</v>
      </c>
      <c r="O1177" s="6" t="s">
        <v>27</v>
      </c>
      <c r="P1177" s="6" t="s">
        <v>144</v>
      </c>
      <c r="Q1177" s="22">
        <v>10</v>
      </c>
      <c r="R1177" s="23">
        <v>3</v>
      </c>
      <c r="S1177" s="39">
        <v>1</v>
      </c>
      <c r="T1177" s="7"/>
      <c r="U1177" s="7" t="s">
        <v>2913</v>
      </c>
      <c r="V1177" s="7" t="str">
        <f>+IF(U1177="","",IF(U1177="FINES",CONCATENATE("R",IF(OR(B1177="16",B1177="21",B1177="22",B1177="23"),"16212223",IF(OR(B1177="15",B1177="17",B1177="24",B1177="25"),"15172425",B1177))),IF(U1177="CEBAS","UNICO",IF(VALUE(B1177)&lt;=11,"AMBA","INTERIOR"))))</f>
        <v>INTERIOR</v>
      </c>
      <c r="W1177" s="38" t="str">
        <f>+IF(U1177="","-",CONCATENATE(U1177,"_",V1177))</f>
        <v>CENS_INTERIOR</v>
      </c>
      <c r="X1177" s="42">
        <v>0.3</v>
      </c>
    </row>
    <row r="1178" spans="1:24" ht="15" thickBot="1">
      <c r="A1178" s="3" t="s">
        <v>2916</v>
      </c>
      <c r="B1178" s="3" t="s">
        <v>217</v>
      </c>
      <c r="C1178" s="3" t="s">
        <v>1499</v>
      </c>
      <c r="D1178" s="3" t="s">
        <v>1500</v>
      </c>
      <c r="E1178" s="3">
        <v>623783</v>
      </c>
      <c r="F1178" s="3">
        <v>0</v>
      </c>
      <c r="G1178" s="3" t="s">
        <v>1506</v>
      </c>
      <c r="H1178" s="3" t="s">
        <v>20</v>
      </c>
      <c r="I1178" s="4" t="s">
        <v>142</v>
      </c>
      <c r="J1178" s="4" t="s">
        <v>21</v>
      </c>
      <c r="K1178" s="4"/>
      <c r="L1178" s="4" t="s">
        <v>251</v>
      </c>
      <c r="M1178" s="4" t="s">
        <v>22</v>
      </c>
      <c r="N1178" s="4" t="s">
        <v>23</v>
      </c>
      <c r="O1178" s="4" t="s">
        <v>27</v>
      </c>
      <c r="P1178" s="4" t="s">
        <v>144</v>
      </c>
      <c r="Q1178" s="24">
        <v>111</v>
      </c>
      <c r="R1178" s="25">
        <v>4</v>
      </c>
      <c r="S1178" s="39">
        <v>1</v>
      </c>
      <c r="T1178" s="7"/>
      <c r="U1178" s="7" t="s">
        <v>2913</v>
      </c>
      <c r="V1178" s="7" t="str">
        <f>+IF(U1178="","",IF(U1178="FINES",CONCATENATE("R",IF(OR(B1178="16",B1178="21",B1178="22",B1178="23"),"16212223",IF(OR(B1178="15",B1178="17",B1178="24",B1178="25"),"15172425",B1178))),IF(U1178="CEBAS","UNICO",IF(VALUE(B1178)&lt;=11,"AMBA","INTERIOR"))))</f>
        <v>INTERIOR</v>
      </c>
      <c r="W1178" s="38" t="str">
        <f>+IF(U1178="","-",CONCATENATE(U1178,"_",V1178))</f>
        <v>CENS_INTERIOR</v>
      </c>
      <c r="X1178" s="42">
        <v>0.30499999999999999</v>
      </c>
    </row>
    <row r="1179" spans="1:24" ht="15" thickBot="1">
      <c r="A1179" s="3" t="s">
        <v>2916</v>
      </c>
      <c r="B1179" s="3" t="s">
        <v>223</v>
      </c>
      <c r="C1179" s="3" t="s">
        <v>913</v>
      </c>
      <c r="D1179" s="3" t="s">
        <v>914</v>
      </c>
      <c r="E1179" s="3">
        <v>623961</v>
      </c>
      <c r="F1179" s="3">
        <v>0</v>
      </c>
      <c r="G1179" s="3" t="s">
        <v>917</v>
      </c>
      <c r="H1179" s="3" t="s">
        <v>20</v>
      </c>
      <c r="I1179" s="4" t="s">
        <v>142</v>
      </c>
      <c r="J1179" s="4" t="s">
        <v>21</v>
      </c>
      <c r="K1179" s="4"/>
      <c r="L1179" s="4" t="s">
        <v>240</v>
      </c>
      <c r="M1179" s="4" t="s">
        <v>22</v>
      </c>
      <c r="N1179" s="4" t="s">
        <v>23</v>
      </c>
      <c r="O1179" s="4" t="s">
        <v>27</v>
      </c>
      <c r="P1179" s="4" t="s">
        <v>144</v>
      </c>
      <c r="Q1179" s="24">
        <v>103</v>
      </c>
      <c r="R1179" s="25">
        <v>4</v>
      </c>
      <c r="S1179" s="39">
        <v>1</v>
      </c>
      <c r="T1179" s="7"/>
      <c r="U1179" t="s">
        <v>2913</v>
      </c>
      <c r="V1179" s="7" t="str">
        <f>+IF(U1179="","",IF(U1179="FINES",CONCATENATE("R",IF(OR(B1179="16",B1179="21",B1179="22",B1179="23"),"16212223",IF(OR(B1179="15",B1179="17",B1179="24",B1179="25"),"15172425",B1179))),IF(U1179="CEBAS","UNICO",IF(VALUE(B1179)&lt;=11,"AMBA","INTERIOR"))))</f>
        <v>INTERIOR</v>
      </c>
      <c r="W1179" s="38" t="str">
        <f>+IF(U1179="","-",CONCATENATE(U1179,"_",V1179))</f>
        <v>CENS_INTERIOR</v>
      </c>
      <c r="X1179" s="42">
        <v>0.307</v>
      </c>
    </row>
    <row r="1180" spans="1:24" ht="15" thickBot="1">
      <c r="A1180" s="3" t="s">
        <v>2916</v>
      </c>
      <c r="B1180" s="3" t="s">
        <v>206</v>
      </c>
      <c r="C1180" s="3" t="s">
        <v>1850</v>
      </c>
      <c r="D1180" s="3" t="s">
        <v>1851</v>
      </c>
      <c r="E1180" s="3">
        <v>624188</v>
      </c>
      <c r="F1180" s="3">
        <v>0</v>
      </c>
      <c r="G1180" s="3" t="s">
        <v>1856</v>
      </c>
      <c r="H1180" s="3" t="s">
        <v>20</v>
      </c>
      <c r="I1180" s="4" t="s">
        <v>142</v>
      </c>
      <c r="J1180" s="4" t="s">
        <v>21</v>
      </c>
      <c r="K1180" s="4"/>
      <c r="L1180" s="4" t="s">
        <v>1857</v>
      </c>
      <c r="M1180" s="4" t="s">
        <v>22</v>
      </c>
      <c r="N1180" s="4" t="s">
        <v>23</v>
      </c>
      <c r="O1180" s="4" t="s">
        <v>27</v>
      </c>
      <c r="P1180" s="4" t="s">
        <v>144</v>
      </c>
      <c r="Q1180" s="24">
        <v>171</v>
      </c>
      <c r="R1180" s="25">
        <v>7</v>
      </c>
      <c r="S1180" s="39">
        <v>1</v>
      </c>
      <c r="T1180" s="7"/>
      <c r="U1180" t="s">
        <v>2913</v>
      </c>
      <c r="V1180" s="7" t="str">
        <f>+IF(U1180="","",IF(U1180="FINES",CONCATENATE("R",IF(OR(B1180="16",B1180="21",B1180="22",B1180="23"),"16212223",IF(OR(B1180="15",B1180="17",B1180="24",B1180="25"),"15172425",B1180))),IF(U1180="CEBAS","UNICO",IF(VALUE(B1180)&lt;=11,"AMBA","INTERIOR"))))</f>
        <v>INTERIOR</v>
      </c>
      <c r="W1180" s="38" t="str">
        <f>+IF(U1180="","-",CONCATENATE(U1180,"_",V1180))</f>
        <v>CENS_INTERIOR</v>
      </c>
      <c r="X1180" s="42">
        <v>0.31900000000000001</v>
      </c>
    </row>
    <row r="1181" spans="1:24" ht="15" thickBot="1">
      <c r="A1181" s="5" t="s">
        <v>2916</v>
      </c>
      <c r="B1181" s="5" t="s">
        <v>140</v>
      </c>
      <c r="C1181" s="5" t="s">
        <v>2277</v>
      </c>
      <c r="D1181" s="5" t="s">
        <v>2278</v>
      </c>
      <c r="E1181" s="5">
        <v>623776</v>
      </c>
      <c r="F1181" s="5">
        <v>0</v>
      </c>
      <c r="G1181" s="5" t="s">
        <v>2316</v>
      </c>
      <c r="H1181" s="5" t="s">
        <v>20</v>
      </c>
      <c r="I1181" s="6" t="s">
        <v>142</v>
      </c>
      <c r="J1181" s="6" t="s">
        <v>21</v>
      </c>
      <c r="K1181" s="6"/>
      <c r="L1181" s="6" t="s">
        <v>2142</v>
      </c>
      <c r="M1181" s="6" t="s">
        <v>22</v>
      </c>
      <c r="N1181" s="6" t="s">
        <v>23</v>
      </c>
      <c r="O1181" s="6" t="s">
        <v>27</v>
      </c>
      <c r="P1181" s="6" t="s">
        <v>144</v>
      </c>
      <c r="Q1181" s="22">
        <v>65</v>
      </c>
      <c r="R1181" s="23">
        <v>3</v>
      </c>
      <c r="S1181" s="39">
        <v>1</v>
      </c>
      <c r="T1181" s="7"/>
      <c r="U1181" t="s">
        <v>2913</v>
      </c>
      <c r="V1181" s="7" t="str">
        <f>+IF(U1181="","",IF(U1181="FINES",CONCATENATE("R",IF(OR(B1181="16",B1181="21",B1181="22",B1181="23"),"16212223",IF(OR(B1181="15",B1181="17",B1181="24",B1181="25"),"15172425",B1181))),IF(U1181="CEBAS","UNICO",IF(VALUE(B1181)&lt;=11,"AMBA","INTERIOR"))))</f>
        <v>INTERIOR</v>
      </c>
      <c r="W1181" s="38" t="str">
        <f>+IF(U1181="","-",CONCATENATE(U1181,"_",V1181))</f>
        <v>CENS_INTERIOR</v>
      </c>
      <c r="X1181" s="42">
        <v>0.32400000000000001</v>
      </c>
    </row>
    <row r="1182" spans="1:24" ht="15" thickBot="1">
      <c r="A1182" s="3" t="s">
        <v>2916</v>
      </c>
      <c r="B1182" s="3" t="s">
        <v>203</v>
      </c>
      <c r="C1182" s="3" t="s">
        <v>450</v>
      </c>
      <c r="D1182" s="3" t="s">
        <v>452</v>
      </c>
      <c r="E1182" s="3">
        <v>604491</v>
      </c>
      <c r="F1182" s="3">
        <v>0</v>
      </c>
      <c r="G1182" s="3" t="s">
        <v>511</v>
      </c>
      <c r="H1182" s="3" t="s">
        <v>20</v>
      </c>
      <c r="I1182" s="4" t="s">
        <v>142</v>
      </c>
      <c r="J1182" s="4" t="s">
        <v>21</v>
      </c>
      <c r="K1182" s="4"/>
      <c r="L1182" s="4" t="s">
        <v>512</v>
      </c>
      <c r="M1182" s="4" t="s">
        <v>22</v>
      </c>
      <c r="N1182" s="4" t="s">
        <v>23</v>
      </c>
      <c r="O1182" s="4" t="s">
        <v>27</v>
      </c>
      <c r="P1182" s="4" t="s">
        <v>144</v>
      </c>
      <c r="Q1182" s="24">
        <v>216</v>
      </c>
      <c r="R1182" s="25">
        <v>12</v>
      </c>
      <c r="S1182" s="39">
        <v>1</v>
      </c>
      <c r="T1182" s="7"/>
      <c r="U1182" t="s">
        <v>2913</v>
      </c>
      <c r="V1182" s="7" t="str">
        <f>+IF(U1182="","",IF(U1182="FINES",CONCATENATE("R",IF(OR(B1182="16",B1182="21",B1182="22",B1182="23"),"16212223",IF(OR(B1182="15",B1182="17",B1182="24",B1182="25"),"15172425",B1182))),IF(U1182="CEBAS","UNICO",IF(VALUE(B1182)&lt;=11,"AMBA","INTERIOR"))))</f>
        <v>INTERIOR</v>
      </c>
      <c r="W1182" s="38" t="str">
        <f>+IF(U1182="","-",CONCATENATE(U1182,"_",V1182))</f>
        <v>CENS_INTERIOR</v>
      </c>
      <c r="X1182" s="42">
        <v>0.32600000000000001</v>
      </c>
    </row>
    <row r="1183" spans="1:24" ht="15" thickBot="1">
      <c r="A1183" s="5" t="s">
        <v>2916</v>
      </c>
      <c r="B1183" s="5" t="s">
        <v>135</v>
      </c>
      <c r="C1183" s="5" t="s">
        <v>1179</v>
      </c>
      <c r="D1183" s="5" t="s">
        <v>1180</v>
      </c>
      <c r="E1183" s="5">
        <v>622039</v>
      </c>
      <c r="F1183" s="5">
        <v>0</v>
      </c>
      <c r="G1183" s="5" t="s">
        <v>1182</v>
      </c>
      <c r="H1183" s="5" t="s">
        <v>20</v>
      </c>
      <c r="I1183" s="6" t="s">
        <v>142</v>
      </c>
      <c r="J1183" s="6" t="s">
        <v>21</v>
      </c>
      <c r="K1183" s="6"/>
      <c r="L1183" s="6" t="s">
        <v>1183</v>
      </c>
      <c r="M1183" s="6" t="s">
        <v>22</v>
      </c>
      <c r="N1183" s="6" t="s">
        <v>23</v>
      </c>
      <c r="O1183" s="6" t="s">
        <v>27</v>
      </c>
      <c r="P1183" s="6" t="s">
        <v>144</v>
      </c>
      <c r="Q1183" s="22">
        <v>61</v>
      </c>
      <c r="R1183" s="23">
        <v>3</v>
      </c>
      <c r="S1183" s="39">
        <v>1</v>
      </c>
      <c r="T1183" s="7"/>
      <c r="U1183" t="s">
        <v>2913</v>
      </c>
      <c r="V1183" s="7" t="str">
        <f>+IF(U1183="","",IF(U1183="FINES",CONCATENATE("R",IF(OR(B1183="16",B1183="21",B1183="22",B1183="23"),"16212223",IF(OR(B1183="15",B1183="17",B1183="24",B1183="25"),"15172425",B1183))),IF(U1183="CEBAS","UNICO",IF(VALUE(B1183)&lt;=11,"AMBA","INTERIOR"))))</f>
        <v>INTERIOR</v>
      </c>
      <c r="W1183" s="38" t="str">
        <f>+IF(U1183="","-",CONCATENATE(U1183,"_",V1183))</f>
        <v>CENS_INTERIOR</v>
      </c>
      <c r="X1183" s="42">
        <v>0.34699999999999998</v>
      </c>
    </row>
    <row r="1184" spans="1:24" ht="15" thickBot="1">
      <c r="A1184" s="5" t="s">
        <v>2916</v>
      </c>
      <c r="B1184" s="5" t="s">
        <v>352</v>
      </c>
      <c r="C1184" s="5" t="s">
        <v>1924</v>
      </c>
      <c r="D1184" s="5" t="s">
        <v>1925</v>
      </c>
      <c r="E1184" s="5">
        <v>606769</v>
      </c>
      <c r="F1184" s="5">
        <v>0</v>
      </c>
      <c r="G1184" s="5" t="s">
        <v>1943</v>
      </c>
      <c r="H1184" s="5" t="s">
        <v>20</v>
      </c>
      <c r="I1184" s="6" t="s">
        <v>142</v>
      </c>
      <c r="J1184" s="6" t="s">
        <v>21</v>
      </c>
      <c r="K1184" s="6"/>
      <c r="L1184" s="6" t="s">
        <v>335</v>
      </c>
      <c r="M1184" s="6" t="s">
        <v>22</v>
      </c>
      <c r="N1184" s="6" t="s">
        <v>23</v>
      </c>
      <c r="O1184" s="6" t="s">
        <v>27</v>
      </c>
      <c r="P1184" s="6" t="s">
        <v>144</v>
      </c>
      <c r="Q1184" s="22">
        <v>162</v>
      </c>
      <c r="R1184" s="23">
        <v>8</v>
      </c>
      <c r="S1184" s="39">
        <v>1</v>
      </c>
      <c r="T1184" s="7"/>
      <c r="U1184" t="s">
        <v>2913</v>
      </c>
      <c r="V1184" s="7" t="str">
        <f>+IF(U1184="","",IF(U1184="FINES",CONCATENATE("R",IF(OR(B1184="16",B1184="21",B1184="22",B1184="23"),"16212223",IF(OR(B1184="15",B1184="17",B1184="24",B1184="25"),"15172425",B1184))),IF(U1184="CEBAS","UNICO",IF(VALUE(B1184)&lt;=11,"AMBA","INTERIOR"))))</f>
        <v>INTERIOR</v>
      </c>
      <c r="W1184" s="38" t="str">
        <f>+IF(U1184="","-",CONCATENATE(U1184,"_",V1184))</f>
        <v>CENS_INTERIOR</v>
      </c>
      <c r="X1184" s="42">
        <v>0.35099999999999998</v>
      </c>
    </row>
    <row r="1185" spans="1:24" ht="15" thickBot="1">
      <c r="A1185" s="3" t="s">
        <v>2916</v>
      </c>
      <c r="B1185" s="3" t="s">
        <v>223</v>
      </c>
      <c r="C1185" s="3" t="s">
        <v>714</v>
      </c>
      <c r="D1185" s="3" t="s">
        <v>715</v>
      </c>
      <c r="E1185" s="3">
        <v>623833</v>
      </c>
      <c r="F1185" s="3">
        <v>0</v>
      </c>
      <c r="G1185" s="3" t="s">
        <v>724</v>
      </c>
      <c r="H1185" s="3" t="s">
        <v>20</v>
      </c>
      <c r="I1185" s="4" t="s">
        <v>142</v>
      </c>
      <c r="J1185" s="4" t="s">
        <v>21</v>
      </c>
      <c r="K1185" s="4"/>
      <c r="L1185" s="4" t="s">
        <v>335</v>
      </c>
      <c r="M1185" s="4" t="s">
        <v>22</v>
      </c>
      <c r="N1185" s="4" t="s">
        <v>23</v>
      </c>
      <c r="O1185" s="4" t="s">
        <v>27</v>
      </c>
      <c r="P1185" s="4" t="s">
        <v>144</v>
      </c>
      <c r="Q1185" s="24">
        <v>30</v>
      </c>
      <c r="R1185" s="25">
        <v>3</v>
      </c>
      <c r="S1185" s="39">
        <v>1</v>
      </c>
      <c r="T1185" s="7"/>
      <c r="U1185" t="s">
        <v>2913</v>
      </c>
      <c r="V1185" s="7" t="str">
        <f>+IF(U1185="","",IF(U1185="FINES",CONCATENATE("R",IF(OR(B1185="16",B1185="21",B1185="22",B1185="23"),"16212223",IF(OR(B1185="15",B1185="17",B1185="24",B1185="25"),"15172425",B1185))),IF(U1185="CEBAS","UNICO",IF(VALUE(B1185)&lt;=11,"AMBA","INTERIOR"))))</f>
        <v>INTERIOR</v>
      </c>
      <c r="W1185" s="38" t="str">
        <f>+IF(U1185="","-",CONCATENATE(U1185,"_",V1185))</f>
        <v>CENS_INTERIOR</v>
      </c>
      <c r="X1185" s="42">
        <v>0.35799999999999998</v>
      </c>
    </row>
    <row r="1186" spans="1:24" ht="15" thickBot="1">
      <c r="A1186" s="5" t="s">
        <v>2916</v>
      </c>
      <c r="B1186" s="5" t="s">
        <v>352</v>
      </c>
      <c r="C1186" s="5" t="s">
        <v>349</v>
      </c>
      <c r="D1186" s="5" t="s">
        <v>2397</v>
      </c>
      <c r="E1186" s="5">
        <v>623821</v>
      </c>
      <c r="F1186" s="5">
        <v>0</v>
      </c>
      <c r="G1186" s="5" t="s">
        <v>2418</v>
      </c>
      <c r="H1186" s="5" t="s">
        <v>20</v>
      </c>
      <c r="I1186" s="6" t="s">
        <v>142</v>
      </c>
      <c r="J1186" s="6" t="s">
        <v>21</v>
      </c>
      <c r="K1186" s="6"/>
      <c r="L1186" s="6" t="s">
        <v>341</v>
      </c>
      <c r="M1186" s="6" t="s">
        <v>22</v>
      </c>
      <c r="N1186" s="6" t="s">
        <v>23</v>
      </c>
      <c r="O1186" s="6" t="s">
        <v>27</v>
      </c>
      <c r="P1186" s="6" t="s">
        <v>144</v>
      </c>
      <c r="Q1186" s="22">
        <v>35</v>
      </c>
      <c r="R1186" s="23">
        <v>3</v>
      </c>
      <c r="S1186" s="39">
        <v>1</v>
      </c>
      <c r="T1186" s="7"/>
      <c r="U1186" t="s">
        <v>2913</v>
      </c>
      <c r="V1186" s="7" t="str">
        <f>+IF(U1186="","",IF(U1186="FINES",CONCATENATE("R",IF(OR(B1186="16",B1186="21",B1186="22",B1186="23"),"16212223",IF(OR(B1186="15",B1186="17",B1186="24",B1186="25"),"15172425",B1186))),IF(U1186="CEBAS","UNICO",IF(VALUE(B1186)&lt;=11,"AMBA","INTERIOR"))))</f>
        <v>INTERIOR</v>
      </c>
      <c r="W1186" s="38" t="str">
        <f>+IF(U1186="","-",CONCATENATE(U1186,"_",V1186))</f>
        <v>CENS_INTERIOR</v>
      </c>
      <c r="X1186" s="42">
        <v>0.36399999999999999</v>
      </c>
    </row>
    <row r="1187" spans="1:24" ht="15" thickBot="1">
      <c r="A1187" s="5" t="s">
        <v>2916</v>
      </c>
      <c r="B1187" s="5" t="s">
        <v>410</v>
      </c>
      <c r="C1187" s="5" t="s">
        <v>423</v>
      </c>
      <c r="D1187" s="5" t="s">
        <v>425</v>
      </c>
      <c r="E1187" s="5">
        <v>623996</v>
      </c>
      <c r="F1187" s="5">
        <v>0</v>
      </c>
      <c r="G1187" s="5" t="s">
        <v>430</v>
      </c>
      <c r="H1187" s="5" t="s">
        <v>20</v>
      </c>
      <c r="I1187" s="6" t="s">
        <v>142</v>
      </c>
      <c r="J1187" s="6" t="s">
        <v>21</v>
      </c>
      <c r="K1187" s="6"/>
      <c r="L1187" s="6" t="s">
        <v>240</v>
      </c>
      <c r="M1187" s="6" t="s">
        <v>22</v>
      </c>
      <c r="N1187" s="6" t="s">
        <v>23</v>
      </c>
      <c r="O1187" s="6" t="s">
        <v>27</v>
      </c>
      <c r="P1187" s="6" t="s">
        <v>144</v>
      </c>
      <c r="Q1187" s="22">
        <v>77</v>
      </c>
      <c r="R1187" s="23">
        <v>3</v>
      </c>
      <c r="S1187" s="39">
        <v>1</v>
      </c>
      <c r="T1187" s="7"/>
      <c r="U1187" t="s">
        <v>2913</v>
      </c>
      <c r="V1187" s="7" t="str">
        <f>+IF(U1187="","",IF(U1187="FINES",CONCATENATE("R",IF(OR(B1187="16",B1187="21",B1187="22",B1187="23"),"16212223",IF(OR(B1187="15",B1187="17",B1187="24",B1187="25"),"15172425",B1187))),IF(U1187="CEBAS","UNICO",IF(VALUE(B1187)&lt;=11,"AMBA","INTERIOR"))))</f>
        <v>INTERIOR</v>
      </c>
      <c r="W1187" s="38" t="str">
        <f>+IF(U1187="","-",CONCATENATE(U1187,"_",V1187))</f>
        <v>CENS_INTERIOR</v>
      </c>
      <c r="X1187" s="42">
        <v>0.374</v>
      </c>
    </row>
    <row r="1188" spans="1:24" ht="15" thickBot="1">
      <c r="A1188" s="3" t="s">
        <v>2916</v>
      </c>
      <c r="B1188" s="3" t="s">
        <v>223</v>
      </c>
      <c r="C1188" s="3" t="s">
        <v>1205</v>
      </c>
      <c r="D1188" s="3" t="s">
        <v>2075</v>
      </c>
      <c r="E1188" s="3">
        <v>601202</v>
      </c>
      <c r="F1188" s="3">
        <v>0</v>
      </c>
      <c r="G1188" s="3" t="s">
        <v>2078</v>
      </c>
      <c r="H1188" s="3" t="s">
        <v>20</v>
      </c>
      <c r="I1188" s="4" t="s">
        <v>142</v>
      </c>
      <c r="J1188" s="4" t="s">
        <v>21</v>
      </c>
      <c r="K1188" s="4"/>
      <c r="L1188" s="4" t="s">
        <v>240</v>
      </c>
      <c r="M1188" s="4" t="s">
        <v>200</v>
      </c>
      <c r="N1188" s="4" t="s">
        <v>23</v>
      </c>
      <c r="O1188" s="4" t="s">
        <v>27</v>
      </c>
      <c r="P1188" s="4" t="s">
        <v>144</v>
      </c>
      <c r="Q1188" s="24">
        <v>22</v>
      </c>
      <c r="R1188" s="25">
        <v>3</v>
      </c>
      <c r="S1188" s="39">
        <v>1</v>
      </c>
      <c r="T1188" s="7"/>
      <c r="U1188" t="s">
        <v>2913</v>
      </c>
      <c r="V1188" s="7" t="str">
        <f>+IF(U1188="","",IF(U1188="FINES",CONCATENATE("R",IF(OR(B1188="16",B1188="21",B1188="22",B1188="23"),"16212223",IF(OR(B1188="15",B1188="17",B1188="24",B1188="25"),"15172425",B1188))),IF(U1188="CEBAS","UNICO",IF(VALUE(B1188)&lt;=11,"AMBA","INTERIOR"))))</f>
        <v>INTERIOR</v>
      </c>
      <c r="W1188" s="38" t="str">
        <f>+IF(U1188="","-",CONCATENATE(U1188,"_",V1188))</f>
        <v>CENS_INTERIOR</v>
      </c>
      <c r="X1188" s="42">
        <v>0.38</v>
      </c>
    </row>
    <row r="1189" spans="1:24" ht="15" thickBot="1">
      <c r="A1189" s="5" t="s">
        <v>2916</v>
      </c>
      <c r="B1189" s="5" t="s">
        <v>203</v>
      </c>
      <c r="C1189" s="5" t="s">
        <v>450</v>
      </c>
      <c r="D1189" s="5" t="s">
        <v>452</v>
      </c>
      <c r="E1189" s="5">
        <v>623829</v>
      </c>
      <c r="F1189" s="5">
        <v>0</v>
      </c>
      <c r="G1189" s="5" t="s">
        <v>509</v>
      </c>
      <c r="H1189" s="5" t="s">
        <v>20</v>
      </c>
      <c r="I1189" s="6" t="s">
        <v>142</v>
      </c>
      <c r="J1189" s="6" t="s">
        <v>21</v>
      </c>
      <c r="K1189" s="6"/>
      <c r="L1189" s="6" t="s">
        <v>510</v>
      </c>
      <c r="M1189" s="6" t="s">
        <v>22</v>
      </c>
      <c r="N1189" s="6" t="s">
        <v>23</v>
      </c>
      <c r="O1189" s="6" t="s">
        <v>27</v>
      </c>
      <c r="P1189" s="6" t="s">
        <v>144</v>
      </c>
      <c r="Q1189" s="22">
        <v>69</v>
      </c>
      <c r="R1189" s="23">
        <v>3</v>
      </c>
      <c r="S1189" s="39">
        <v>1</v>
      </c>
      <c r="T1189" s="7"/>
      <c r="U1189" t="s">
        <v>2913</v>
      </c>
      <c r="V1189" s="7" t="str">
        <f>+IF(U1189="","",IF(U1189="FINES",CONCATENATE("R",IF(OR(B1189="16",B1189="21",B1189="22",B1189="23"),"16212223",IF(OR(B1189="15",B1189="17",B1189="24",B1189="25"),"15172425",B1189))),IF(U1189="CEBAS","UNICO",IF(VALUE(B1189)&lt;=11,"AMBA","INTERIOR"))))</f>
        <v>INTERIOR</v>
      </c>
      <c r="W1189" s="38" t="str">
        <f>+IF(U1189="","-",CONCATENATE(U1189,"_",V1189))</f>
        <v>CENS_INTERIOR</v>
      </c>
      <c r="X1189" s="42">
        <v>0.38500000000000001</v>
      </c>
    </row>
    <row r="1190" spans="1:24" ht="15" thickBot="1">
      <c r="A1190" s="5" t="s">
        <v>2916</v>
      </c>
      <c r="B1190" s="5" t="s">
        <v>203</v>
      </c>
      <c r="C1190" s="5" t="s">
        <v>520</v>
      </c>
      <c r="D1190" s="5" t="s">
        <v>2745</v>
      </c>
      <c r="E1190" s="5">
        <v>622043</v>
      </c>
      <c r="F1190" s="5">
        <v>0</v>
      </c>
      <c r="G1190" s="5" t="s">
        <v>2748</v>
      </c>
      <c r="H1190" s="5" t="s">
        <v>20</v>
      </c>
      <c r="I1190" s="6" t="s">
        <v>142</v>
      </c>
      <c r="J1190" s="6" t="s">
        <v>21</v>
      </c>
      <c r="K1190" s="6"/>
      <c r="L1190" s="6" t="s">
        <v>400</v>
      </c>
      <c r="M1190" s="6" t="s">
        <v>22</v>
      </c>
      <c r="N1190" s="6" t="s">
        <v>23</v>
      </c>
      <c r="O1190" s="6" t="s">
        <v>27</v>
      </c>
      <c r="P1190" s="6" t="s">
        <v>144</v>
      </c>
      <c r="Q1190" s="22">
        <v>48</v>
      </c>
      <c r="R1190" s="23">
        <v>3</v>
      </c>
      <c r="S1190" s="39">
        <v>1</v>
      </c>
      <c r="T1190" s="7"/>
      <c r="U1190" t="s">
        <v>2913</v>
      </c>
      <c r="V1190" s="7" t="str">
        <f>+IF(U1190="","",IF(U1190="FINES",CONCATENATE("R",IF(OR(B1190="16",B1190="21",B1190="22",B1190="23"),"16212223",IF(OR(B1190="15",B1190="17",B1190="24",B1190="25"),"15172425",B1190))),IF(U1190="CEBAS","UNICO",IF(VALUE(B1190)&lt;=11,"AMBA","INTERIOR"))))</f>
        <v>INTERIOR</v>
      </c>
      <c r="W1190" s="38" t="str">
        <f>+IF(U1190="","-",CONCATENATE(U1190,"_",V1190))</f>
        <v>CENS_INTERIOR</v>
      </c>
      <c r="X1190" s="42">
        <v>0.38600000000000001</v>
      </c>
    </row>
    <row r="1191" spans="1:24" ht="15" thickBot="1">
      <c r="A1191" s="5" t="s">
        <v>2916</v>
      </c>
      <c r="B1191" s="5" t="s">
        <v>217</v>
      </c>
      <c r="C1191" s="5" t="s">
        <v>2206</v>
      </c>
      <c r="D1191" s="5" t="s">
        <v>2207</v>
      </c>
      <c r="E1191" s="5">
        <v>623784</v>
      </c>
      <c r="F1191" s="5">
        <v>0</v>
      </c>
      <c r="G1191" s="5" t="s">
        <v>2210</v>
      </c>
      <c r="H1191" s="5" t="s">
        <v>20</v>
      </c>
      <c r="I1191" s="6" t="s">
        <v>142</v>
      </c>
      <c r="J1191" s="6" t="s">
        <v>21</v>
      </c>
      <c r="K1191" s="6"/>
      <c r="L1191" s="6" t="s">
        <v>251</v>
      </c>
      <c r="M1191" s="6" t="s">
        <v>22</v>
      </c>
      <c r="N1191" s="6" t="s">
        <v>23</v>
      </c>
      <c r="O1191" s="6" t="s">
        <v>27</v>
      </c>
      <c r="P1191" s="6" t="s">
        <v>144</v>
      </c>
      <c r="Q1191" s="22">
        <v>76</v>
      </c>
      <c r="R1191" s="23">
        <v>3</v>
      </c>
      <c r="S1191" s="39">
        <v>1</v>
      </c>
      <c r="T1191" s="7"/>
      <c r="U1191" s="7" t="s">
        <v>2913</v>
      </c>
      <c r="V1191" s="7" t="str">
        <f>+IF(U1191="","",IF(U1191="FINES",CONCATENATE("R",IF(OR(B1191="16",B1191="21",B1191="22",B1191="23"),"16212223",IF(OR(B1191="15",B1191="17",B1191="24",B1191="25"),"15172425",B1191))),IF(U1191="CEBAS","UNICO",IF(VALUE(B1191)&lt;=11,"AMBA","INTERIOR"))))</f>
        <v>INTERIOR</v>
      </c>
      <c r="W1191" s="38" t="str">
        <f>+IF(U1191="","-",CONCATENATE(U1191,"_",V1191))</f>
        <v>CENS_INTERIOR</v>
      </c>
      <c r="X1191" s="42">
        <v>0.40100000000000002</v>
      </c>
    </row>
    <row r="1192" spans="1:24" ht="15" thickBot="1">
      <c r="A1192" s="3" t="s">
        <v>2916</v>
      </c>
      <c r="B1192" s="3" t="s">
        <v>516</v>
      </c>
      <c r="C1192" s="3" t="s">
        <v>2179</v>
      </c>
      <c r="D1192" s="3" t="s">
        <v>2180</v>
      </c>
      <c r="E1192" s="3">
        <v>624357</v>
      </c>
      <c r="F1192" s="3">
        <v>0</v>
      </c>
      <c r="G1192" s="3" t="s">
        <v>2183</v>
      </c>
      <c r="H1192" s="3" t="s">
        <v>20</v>
      </c>
      <c r="I1192" s="4" t="s">
        <v>142</v>
      </c>
      <c r="J1192" s="4" t="s">
        <v>21</v>
      </c>
      <c r="K1192" s="4"/>
      <c r="L1192" s="4" t="s">
        <v>240</v>
      </c>
      <c r="M1192" s="4" t="s">
        <v>22</v>
      </c>
      <c r="N1192" s="4" t="s">
        <v>23</v>
      </c>
      <c r="O1192" s="4" t="s">
        <v>27</v>
      </c>
      <c r="P1192" s="4" t="s">
        <v>144</v>
      </c>
      <c r="Q1192" s="24">
        <v>59</v>
      </c>
      <c r="R1192" s="25">
        <v>3</v>
      </c>
      <c r="S1192" s="39">
        <v>1</v>
      </c>
      <c r="T1192" s="7"/>
      <c r="U1192" s="7" t="s">
        <v>2913</v>
      </c>
      <c r="V1192" s="7" t="str">
        <f>+IF(U1192="","",IF(U1192="FINES",CONCATENATE("R",IF(OR(B1192="16",B1192="21",B1192="22",B1192="23"),"16212223",IF(OR(B1192="15",B1192="17",B1192="24",B1192="25"),"15172425",B1192))),IF(U1192="CEBAS","UNICO",IF(VALUE(B1192)&lt;=11,"AMBA","INTERIOR"))))</f>
        <v>INTERIOR</v>
      </c>
      <c r="W1192" s="38" t="str">
        <f>+IF(U1192="","-",CONCATENATE(U1192,"_",V1192))</f>
        <v>CENS_INTERIOR</v>
      </c>
      <c r="X1192" s="42">
        <v>0.40600000000000003</v>
      </c>
    </row>
    <row r="1193" spans="1:24" ht="15" thickBot="1">
      <c r="A1193" s="5" t="s">
        <v>2916</v>
      </c>
      <c r="B1193" s="5" t="s">
        <v>221</v>
      </c>
      <c r="C1193" s="5" t="s">
        <v>558</v>
      </c>
      <c r="D1193" s="5" t="s">
        <v>1960</v>
      </c>
      <c r="E1193" s="5">
        <v>623835</v>
      </c>
      <c r="F1193" s="5">
        <v>0</v>
      </c>
      <c r="G1193" s="5" t="s">
        <v>1982</v>
      </c>
      <c r="H1193" s="5" t="s">
        <v>20</v>
      </c>
      <c r="I1193" s="6" t="s">
        <v>142</v>
      </c>
      <c r="J1193" s="6" t="s">
        <v>21</v>
      </c>
      <c r="K1193" s="6"/>
      <c r="L1193" s="6" t="s">
        <v>335</v>
      </c>
      <c r="M1193" s="6" t="s">
        <v>22</v>
      </c>
      <c r="N1193" s="6" t="s">
        <v>23</v>
      </c>
      <c r="O1193" s="6" t="s">
        <v>27</v>
      </c>
      <c r="P1193" s="6" t="s">
        <v>144</v>
      </c>
      <c r="Q1193" s="22">
        <v>90</v>
      </c>
      <c r="R1193" s="23">
        <v>3</v>
      </c>
      <c r="S1193" s="39">
        <v>1</v>
      </c>
      <c r="T1193" s="7"/>
      <c r="U1193" s="7" t="s">
        <v>2913</v>
      </c>
      <c r="V1193" s="7" t="str">
        <f>+IF(U1193="","",IF(U1193="FINES",CONCATENATE("R",IF(OR(B1193="16",B1193="21",B1193="22",B1193="23"),"16212223",IF(OR(B1193="15",B1193="17",B1193="24",B1193="25"),"15172425",B1193))),IF(U1193="CEBAS","UNICO",IF(VALUE(B1193)&lt;=11,"AMBA","INTERIOR"))))</f>
        <v>INTERIOR</v>
      </c>
      <c r="W1193" s="38" t="str">
        <f>+IF(U1193="","-",CONCATENATE(U1193,"_",V1193))</f>
        <v>CENS_INTERIOR</v>
      </c>
      <c r="X1193" s="42">
        <v>0.40699999999999997</v>
      </c>
    </row>
    <row r="1194" spans="1:24" ht="15" thickBot="1">
      <c r="A1194" s="5" t="s">
        <v>2916</v>
      </c>
      <c r="B1194" s="5" t="s">
        <v>225</v>
      </c>
      <c r="C1194" s="5" t="s">
        <v>942</v>
      </c>
      <c r="D1194" s="5" t="s">
        <v>943</v>
      </c>
      <c r="E1194" s="5">
        <v>604914</v>
      </c>
      <c r="F1194" s="5">
        <v>0</v>
      </c>
      <c r="G1194" s="5" t="s">
        <v>1031</v>
      </c>
      <c r="H1194" s="5" t="s">
        <v>20</v>
      </c>
      <c r="I1194" s="6" t="s">
        <v>142</v>
      </c>
      <c r="J1194" s="6" t="s">
        <v>21</v>
      </c>
      <c r="K1194" s="6"/>
      <c r="L1194" s="6" t="s">
        <v>1032</v>
      </c>
      <c r="M1194" s="6" t="s">
        <v>22</v>
      </c>
      <c r="N1194" s="6" t="s">
        <v>23</v>
      </c>
      <c r="O1194" s="6" t="s">
        <v>27</v>
      </c>
      <c r="P1194" s="6" t="s">
        <v>144</v>
      </c>
      <c r="Q1194" s="22">
        <v>417</v>
      </c>
      <c r="R1194" s="23">
        <v>9</v>
      </c>
      <c r="S1194" s="39">
        <v>1</v>
      </c>
      <c r="T1194" s="7"/>
      <c r="U1194" s="7" t="s">
        <v>2913</v>
      </c>
      <c r="V1194" s="7" t="str">
        <f>+IF(U1194="","",IF(U1194="FINES",CONCATENATE("R",IF(OR(B1194="16",B1194="21",B1194="22",B1194="23"),"16212223",IF(OR(B1194="15",B1194="17",B1194="24",B1194="25"),"15172425",B1194))),IF(U1194="CEBAS","UNICO",IF(VALUE(B1194)&lt;=11,"AMBA","INTERIOR"))))</f>
        <v>INTERIOR</v>
      </c>
      <c r="W1194" s="38" t="str">
        <f>+IF(U1194="","-",CONCATENATE(U1194,"_",V1194))</f>
        <v>CENS_INTERIOR</v>
      </c>
      <c r="X1194" s="42">
        <v>0.40799999999999997</v>
      </c>
    </row>
    <row r="1195" spans="1:24" ht="15" thickBot="1">
      <c r="A1195" s="3" t="s">
        <v>2916</v>
      </c>
      <c r="B1195" s="3" t="s">
        <v>225</v>
      </c>
      <c r="C1195" s="3" t="s">
        <v>942</v>
      </c>
      <c r="D1195" s="3" t="s">
        <v>943</v>
      </c>
      <c r="E1195" s="3">
        <v>623807</v>
      </c>
      <c r="F1195" s="3">
        <v>0</v>
      </c>
      <c r="G1195" s="3" t="s">
        <v>1046</v>
      </c>
      <c r="H1195" s="3" t="s">
        <v>20</v>
      </c>
      <c r="I1195" s="4" t="s">
        <v>142</v>
      </c>
      <c r="J1195" s="4" t="s">
        <v>21</v>
      </c>
      <c r="K1195" s="4"/>
      <c r="L1195" s="4" t="s">
        <v>1047</v>
      </c>
      <c r="M1195" s="4" t="s">
        <v>22</v>
      </c>
      <c r="N1195" s="4" t="s">
        <v>23</v>
      </c>
      <c r="O1195" s="4" t="s">
        <v>27</v>
      </c>
      <c r="P1195" s="4" t="s">
        <v>144</v>
      </c>
      <c r="Q1195" s="24">
        <v>100</v>
      </c>
      <c r="R1195" s="25">
        <v>6</v>
      </c>
      <c r="S1195" s="39">
        <v>1</v>
      </c>
      <c r="T1195" s="7"/>
      <c r="U1195" s="7" t="s">
        <v>2913</v>
      </c>
      <c r="V1195" s="7" t="str">
        <f>+IF(U1195="","",IF(U1195="FINES",CONCATENATE("R",IF(OR(B1195="16",B1195="21",B1195="22",B1195="23"),"16212223",IF(OR(B1195="15",B1195="17",B1195="24",B1195="25"),"15172425",B1195))),IF(U1195="CEBAS","UNICO",IF(VALUE(B1195)&lt;=11,"AMBA","INTERIOR"))))</f>
        <v>INTERIOR</v>
      </c>
      <c r="W1195" s="38" t="str">
        <f>+IF(U1195="","-",CONCATENATE(U1195,"_",V1195))</f>
        <v>CENS_INTERIOR</v>
      </c>
      <c r="X1195" s="42">
        <v>0.40799999999999997</v>
      </c>
    </row>
    <row r="1196" spans="1:24" ht="15" thickBot="1">
      <c r="A1196" s="3" t="s">
        <v>2916</v>
      </c>
      <c r="B1196" s="3" t="s">
        <v>135</v>
      </c>
      <c r="C1196" s="3" t="s">
        <v>1217</v>
      </c>
      <c r="D1196" s="3" t="s">
        <v>1218</v>
      </c>
      <c r="E1196" s="3">
        <v>605568</v>
      </c>
      <c r="F1196" s="3">
        <v>0</v>
      </c>
      <c r="G1196" s="3" t="s">
        <v>1238</v>
      </c>
      <c r="H1196" s="3" t="s">
        <v>20</v>
      </c>
      <c r="I1196" s="4" t="s">
        <v>142</v>
      </c>
      <c r="J1196" s="4" t="s">
        <v>21</v>
      </c>
      <c r="K1196" s="4"/>
      <c r="L1196" s="4" t="s">
        <v>448</v>
      </c>
      <c r="M1196" s="4" t="s">
        <v>22</v>
      </c>
      <c r="N1196" s="4" t="s">
        <v>23</v>
      </c>
      <c r="O1196" s="4" t="s">
        <v>27</v>
      </c>
      <c r="P1196" s="4" t="s">
        <v>144</v>
      </c>
      <c r="Q1196" s="24">
        <v>90</v>
      </c>
      <c r="R1196" s="25">
        <v>3</v>
      </c>
      <c r="S1196" s="39">
        <v>1</v>
      </c>
      <c r="T1196" s="7"/>
      <c r="U1196" s="7" t="s">
        <v>2913</v>
      </c>
      <c r="V1196" s="7" t="str">
        <f>+IF(U1196="","",IF(U1196="FINES",CONCATENATE("R",IF(OR(B1196="16",B1196="21",B1196="22",B1196="23"),"16212223",IF(OR(B1196="15",B1196="17",B1196="24",B1196="25"),"15172425",B1196))),IF(U1196="CEBAS","UNICO",IF(VALUE(B1196)&lt;=11,"AMBA","INTERIOR"))))</f>
        <v>INTERIOR</v>
      </c>
      <c r="W1196" s="38" t="str">
        <f>+IF(U1196="","-",CONCATENATE(U1196,"_",V1196))</f>
        <v>CENS_INTERIOR</v>
      </c>
      <c r="X1196" s="42">
        <v>0.41299999999999998</v>
      </c>
    </row>
    <row r="1197" spans="1:24" ht="15" thickBot="1">
      <c r="A1197" s="5" t="s">
        <v>2916</v>
      </c>
      <c r="B1197" s="5" t="s">
        <v>135</v>
      </c>
      <c r="C1197" s="5" t="s">
        <v>1217</v>
      </c>
      <c r="D1197" s="5" t="s">
        <v>1218</v>
      </c>
      <c r="E1197" s="5">
        <v>624029</v>
      </c>
      <c r="F1197" s="5">
        <v>0</v>
      </c>
      <c r="G1197" s="5" t="s">
        <v>1241</v>
      </c>
      <c r="H1197" s="5" t="s">
        <v>20</v>
      </c>
      <c r="I1197" s="6" t="s">
        <v>142</v>
      </c>
      <c r="J1197" s="6" t="s">
        <v>21</v>
      </c>
      <c r="K1197" s="6"/>
      <c r="L1197" s="6" t="s">
        <v>1242</v>
      </c>
      <c r="M1197" s="6" t="s">
        <v>22</v>
      </c>
      <c r="N1197" s="6" t="s">
        <v>23</v>
      </c>
      <c r="O1197" s="6" t="s">
        <v>27</v>
      </c>
      <c r="P1197" s="6" t="s">
        <v>144</v>
      </c>
      <c r="Q1197" s="22">
        <v>214</v>
      </c>
      <c r="R1197" s="23">
        <v>13</v>
      </c>
      <c r="S1197" s="39">
        <v>1</v>
      </c>
      <c r="T1197" s="7"/>
      <c r="U1197" s="7" t="s">
        <v>2913</v>
      </c>
      <c r="V1197" s="7" t="str">
        <f>+IF(U1197="","",IF(U1197="FINES",CONCATENATE("R",IF(OR(B1197="16",B1197="21",B1197="22",B1197="23"),"16212223",IF(OR(B1197="15",B1197="17",B1197="24",B1197="25"),"15172425",B1197))),IF(U1197="CEBAS","UNICO",IF(VALUE(B1197)&lt;=11,"AMBA","INTERIOR"))))</f>
        <v>INTERIOR</v>
      </c>
      <c r="W1197" s="38" t="str">
        <f>+IF(U1197="","-",CONCATENATE(U1197,"_",V1197))</f>
        <v>CENS_INTERIOR</v>
      </c>
      <c r="X1197" s="42">
        <v>0.41299999999999998</v>
      </c>
    </row>
    <row r="1198" spans="1:24" ht="15" thickBot="1">
      <c r="A1198" s="5" t="s">
        <v>2916</v>
      </c>
      <c r="B1198" s="5" t="s">
        <v>598</v>
      </c>
      <c r="C1198" s="5" t="s">
        <v>709</v>
      </c>
      <c r="D1198" s="5" t="s">
        <v>710</v>
      </c>
      <c r="E1198" s="5">
        <v>622381</v>
      </c>
      <c r="F1198" s="5">
        <v>0</v>
      </c>
      <c r="G1198" s="5" t="s">
        <v>713</v>
      </c>
      <c r="H1198" s="5" t="s">
        <v>20</v>
      </c>
      <c r="I1198" s="6" t="s">
        <v>142</v>
      </c>
      <c r="J1198" s="6" t="s">
        <v>21</v>
      </c>
      <c r="K1198" s="6"/>
      <c r="L1198" s="6" t="s">
        <v>400</v>
      </c>
      <c r="M1198" s="6" t="s">
        <v>22</v>
      </c>
      <c r="N1198" s="6" t="s">
        <v>23</v>
      </c>
      <c r="O1198" s="6" t="s">
        <v>27</v>
      </c>
      <c r="P1198" s="6" t="s">
        <v>144</v>
      </c>
      <c r="Q1198" s="22">
        <v>194</v>
      </c>
      <c r="R1198" s="23">
        <v>10</v>
      </c>
      <c r="S1198" s="39">
        <v>1</v>
      </c>
      <c r="T1198" s="7"/>
      <c r="U1198" s="7" t="s">
        <v>2913</v>
      </c>
      <c r="V1198" s="7" t="str">
        <f>+IF(U1198="","",IF(U1198="FINES",CONCATENATE("R",IF(OR(B1198="16",B1198="21",B1198="22",B1198="23"),"16212223",IF(OR(B1198="15",B1198="17",B1198="24",B1198="25"),"15172425",B1198))),IF(U1198="CEBAS","UNICO",IF(VALUE(B1198)&lt;=11,"AMBA","INTERIOR"))))</f>
        <v>INTERIOR</v>
      </c>
      <c r="W1198" s="38" t="str">
        <f>+IF(U1198="","-",CONCATENATE(U1198,"_",V1198))</f>
        <v>CENS_INTERIOR</v>
      </c>
      <c r="X1198" s="42">
        <v>0.41899999999999998</v>
      </c>
    </row>
    <row r="1199" spans="1:24" ht="15" thickBot="1">
      <c r="A1199" s="3" t="s">
        <v>2916</v>
      </c>
      <c r="B1199" s="3" t="s">
        <v>352</v>
      </c>
      <c r="C1199" s="3" t="s">
        <v>1924</v>
      </c>
      <c r="D1199" s="3" t="s">
        <v>1925</v>
      </c>
      <c r="E1199" s="3">
        <v>607557</v>
      </c>
      <c r="F1199" s="3">
        <v>0</v>
      </c>
      <c r="G1199" s="3" t="s">
        <v>1944</v>
      </c>
      <c r="H1199" s="3" t="s">
        <v>20</v>
      </c>
      <c r="I1199" s="4" t="s">
        <v>142</v>
      </c>
      <c r="J1199" s="4" t="s">
        <v>21</v>
      </c>
      <c r="K1199" s="4"/>
      <c r="L1199" s="4" t="s">
        <v>337</v>
      </c>
      <c r="M1199" s="4" t="s">
        <v>22</v>
      </c>
      <c r="N1199" s="4" t="s">
        <v>23</v>
      </c>
      <c r="O1199" s="4" t="s">
        <v>27</v>
      </c>
      <c r="P1199" s="4" t="s">
        <v>144</v>
      </c>
      <c r="Q1199" s="24">
        <v>50</v>
      </c>
      <c r="R1199" s="25">
        <v>3</v>
      </c>
      <c r="S1199" s="39">
        <v>1</v>
      </c>
      <c r="T1199" s="7"/>
      <c r="U1199" s="7" t="s">
        <v>2913</v>
      </c>
      <c r="V1199" s="7" t="str">
        <f>+IF(U1199="","",IF(U1199="FINES",CONCATENATE("R",IF(OR(B1199="16",B1199="21",B1199="22",B1199="23"),"16212223",IF(OR(B1199="15",B1199="17",B1199="24",B1199="25"),"15172425",B1199))),IF(U1199="CEBAS","UNICO",IF(VALUE(B1199)&lt;=11,"AMBA","INTERIOR"))))</f>
        <v>INTERIOR</v>
      </c>
      <c r="W1199" s="38" t="str">
        <f>+IF(U1199="","-",CONCATENATE(U1199,"_",V1199))</f>
        <v>CENS_INTERIOR</v>
      </c>
      <c r="X1199" s="42">
        <v>0.442</v>
      </c>
    </row>
    <row r="1200" spans="1:24" ht="15" thickBot="1">
      <c r="A1200" s="5" t="s">
        <v>2916</v>
      </c>
      <c r="B1200" s="5" t="s">
        <v>217</v>
      </c>
      <c r="C1200" s="5" t="s">
        <v>674</v>
      </c>
      <c r="D1200" s="5" t="s">
        <v>675</v>
      </c>
      <c r="E1200" s="5">
        <v>623778</v>
      </c>
      <c r="F1200" s="5">
        <v>0</v>
      </c>
      <c r="G1200" s="5" t="s">
        <v>682</v>
      </c>
      <c r="H1200" s="5" t="s">
        <v>20</v>
      </c>
      <c r="I1200" s="6" t="s">
        <v>142</v>
      </c>
      <c r="J1200" s="6" t="s">
        <v>21</v>
      </c>
      <c r="K1200" s="6"/>
      <c r="L1200" s="6" t="s">
        <v>251</v>
      </c>
      <c r="M1200" s="6" t="s">
        <v>22</v>
      </c>
      <c r="N1200" s="6" t="s">
        <v>23</v>
      </c>
      <c r="O1200" s="6" t="s">
        <v>27</v>
      </c>
      <c r="P1200" s="6" t="s">
        <v>144</v>
      </c>
      <c r="Q1200" s="22">
        <v>67</v>
      </c>
      <c r="R1200" s="23">
        <v>3</v>
      </c>
      <c r="S1200" s="39">
        <v>1</v>
      </c>
      <c r="T1200" s="7"/>
      <c r="U1200" s="7" t="s">
        <v>2913</v>
      </c>
      <c r="V1200" s="7" t="str">
        <f>+IF(U1200="","",IF(U1200="FINES",CONCATENATE("R",IF(OR(B1200="16",B1200="21",B1200="22",B1200="23"),"16212223",IF(OR(B1200="15",B1200="17",B1200="24",B1200="25"),"15172425",B1200))),IF(U1200="CEBAS","UNICO",IF(VALUE(B1200)&lt;=11,"AMBA","INTERIOR"))))</f>
        <v>INTERIOR</v>
      </c>
      <c r="W1200" s="38" t="str">
        <f>+IF(U1200="","-",CONCATENATE(U1200,"_",V1200))</f>
        <v>CENS_INTERIOR</v>
      </c>
      <c r="X1200" s="42">
        <v>0.45600000000000002</v>
      </c>
    </row>
    <row r="1201" spans="1:24" ht="15" thickBot="1">
      <c r="A1201" s="5" t="s">
        <v>2916</v>
      </c>
      <c r="B1201" s="5" t="s">
        <v>135</v>
      </c>
      <c r="C1201" s="5" t="s">
        <v>1217</v>
      </c>
      <c r="D1201" s="5" t="s">
        <v>1218</v>
      </c>
      <c r="E1201" s="5">
        <v>605568</v>
      </c>
      <c r="F1201" s="5">
        <v>2</v>
      </c>
      <c r="G1201" s="5" t="s">
        <v>1245</v>
      </c>
      <c r="H1201" s="5" t="s">
        <v>20</v>
      </c>
      <c r="I1201" s="6" t="s">
        <v>142</v>
      </c>
      <c r="J1201" s="6" t="s">
        <v>51</v>
      </c>
      <c r="K1201" s="6" t="s">
        <v>1238</v>
      </c>
      <c r="L1201" s="6" t="s">
        <v>1246</v>
      </c>
      <c r="M1201" s="6" t="s">
        <v>22</v>
      </c>
      <c r="N1201" s="6" t="s">
        <v>23</v>
      </c>
      <c r="O1201" s="6" t="s">
        <v>27</v>
      </c>
      <c r="P1201" s="6" t="s">
        <v>144</v>
      </c>
      <c r="Q1201" s="22">
        <v>46</v>
      </c>
      <c r="R1201" s="23">
        <v>3</v>
      </c>
      <c r="S1201" s="39">
        <v>1</v>
      </c>
      <c r="T1201" s="7"/>
      <c r="U1201" t="s">
        <v>2913</v>
      </c>
      <c r="V1201" s="7" t="str">
        <f>+IF(U1201="","",IF(U1201="FINES",CONCATENATE("R",IF(OR(B1201="16",B1201="21",B1201="22",B1201="23"),"16212223",IF(OR(B1201="15",B1201="17",B1201="24",B1201="25"),"15172425",B1201))),IF(U1201="CEBAS","UNICO",IF(VALUE(B1201)&lt;=11,"AMBA","INTERIOR"))))</f>
        <v>INTERIOR</v>
      </c>
      <c r="W1201" s="38" t="str">
        <f>+IF(U1201="","-",CONCATENATE(U1201,"_",V1201))</f>
        <v>CENS_INTERIOR</v>
      </c>
      <c r="X1201" s="42">
        <v>0.46100000000000002</v>
      </c>
    </row>
    <row r="1202" spans="1:24" ht="15" thickBot="1">
      <c r="A1202" s="5" t="s">
        <v>2916</v>
      </c>
      <c r="B1202" s="5" t="s">
        <v>205</v>
      </c>
      <c r="C1202" s="5" t="s">
        <v>654</v>
      </c>
      <c r="D1202" s="5" t="s">
        <v>655</v>
      </c>
      <c r="E1202" s="5">
        <v>623968</v>
      </c>
      <c r="F1202" s="5">
        <v>0</v>
      </c>
      <c r="G1202" s="5" t="s">
        <v>662</v>
      </c>
      <c r="H1202" s="5" t="s">
        <v>20</v>
      </c>
      <c r="I1202" s="6" t="s">
        <v>142</v>
      </c>
      <c r="J1202" s="6" t="s">
        <v>21</v>
      </c>
      <c r="K1202" s="6"/>
      <c r="L1202" s="6" t="s">
        <v>663</v>
      </c>
      <c r="M1202" s="6" t="s">
        <v>22</v>
      </c>
      <c r="N1202" s="6" t="s">
        <v>23</v>
      </c>
      <c r="O1202" s="6" t="s">
        <v>27</v>
      </c>
      <c r="P1202" s="6" t="s">
        <v>144</v>
      </c>
      <c r="Q1202" s="22">
        <v>137</v>
      </c>
      <c r="R1202" s="23">
        <v>4</v>
      </c>
      <c r="S1202" s="39">
        <v>1</v>
      </c>
      <c r="T1202" s="7"/>
      <c r="U1202" t="s">
        <v>2913</v>
      </c>
      <c r="V1202" s="7" t="str">
        <f>+IF(U1202="","",IF(U1202="FINES",CONCATENATE("R",IF(OR(B1202="16",B1202="21",B1202="22",B1202="23"),"16212223",IF(OR(B1202="15",B1202="17",B1202="24",B1202="25"),"15172425",B1202))),IF(U1202="CEBAS","UNICO",IF(VALUE(B1202)&lt;=11,"AMBA","INTERIOR"))))</f>
        <v>INTERIOR</v>
      </c>
      <c r="W1202" s="38" t="str">
        <f>+IF(U1202="","-",CONCATENATE(U1202,"_",V1202))</f>
        <v>CENS_INTERIOR</v>
      </c>
      <c r="X1202" s="42">
        <v>0.46600000000000003</v>
      </c>
    </row>
    <row r="1203" spans="1:24" ht="15" thickBot="1">
      <c r="A1203" s="3" t="s">
        <v>2916</v>
      </c>
      <c r="B1203" s="3" t="s">
        <v>225</v>
      </c>
      <c r="C1203" s="3" t="s">
        <v>942</v>
      </c>
      <c r="D1203" s="3" t="s">
        <v>943</v>
      </c>
      <c r="E1203" s="3">
        <v>605586</v>
      </c>
      <c r="F1203" s="3">
        <v>0</v>
      </c>
      <c r="G1203" s="3" t="s">
        <v>1043</v>
      </c>
      <c r="H1203" s="3" t="s">
        <v>20</v>
      </c>
      <c r="I1203" s="4" t="s">
        <v>142</v>
      </c>
      <c r="J1203" s="4" t="s">
        <v>21</v>
      </c>
      <c r="K1203" s="4"/>
      <c r="L1203" s="4" t="s">
        <v>510</v>
      </c>
      <c r="M1203" s="4" t="s">
        <v>22</v>
      </c>
      <c r="N1203" s="4" t="s">
        <v>23</v>
      </c>
      <c r="O1203" s="4" t="s">
        <v>27</v>
      </c>
      <c r="P1203" s="4" t="s">
        <v>144</v>
      </c>
      <c r="Q1203" s="24">
        <v>97</v>
      </c>
      <c r="R1203" s="25">
        <v>6</v>
      </c>
      <c r="S1203" s="39">
        <v>1</v>
      </c>
      <c r="T1203" s="7"/>
      <c r="U1203" t="s">
        <v>2913</v>
      </c>
      <c r="V1203" s="7" t="str">
        <f>+IF(U1203="","",IF(U1203="FINES",CONCATENATE("R",IF(OR(B1203="16",B1203="21",B1203="22",B1203="23"),"16212223",IF(OR(B1203="15",B1203="17",B1203="24",B1203="25"),"15172425",B1203))),IF(U1203="CEBAS","UNICO",IF(VALUE(B1203)&lt;=11,"AMBA","INTERIOR"))))</f>
        <v>INTERIOR</v>
      </c>
      <c r="W1203" s="38" t="str">
        <f>+IF(U1203="","-",CONCATENATE(U1203,"_",V1203))</f>
        <v>CENS_INTERIOR</v>
      </c>
      <c r="X1203" s="42">
        <v>0.47499999999999998</v>
      </c>
    </row>
    <row r="1204" spans="1:24" ht="15" thickBot="1">
      <c r="A1204" s="5" t="s">
        <v>2916</v>
      </c>
      <c r="B1204" s="5" t="s">
        <v>410</v>
      </c>
      <c r="C1204" s="5" t="s">
        <v>244</v>
      </c>
      <c r="D1204" s="5" t="s">
        <v>689</v>
      </c>
      <c r="E1204" s="5">
        <v>623797</v>
      </c>
      <c r="F1204" s="5">
        <v>0</v>
      </c>
      <c r="G1204" s="5" t="s">
        <v>692</v>
      </c>
      <c r="H1204" s="5" t="s">
        <v>20</v>
      </c>
      <c r="I1204" s="6" t="s">
        <v>142</v>
      </c>
      <c r="J1204" s="6" t="s">
        <v>21</v>
      </c>
      <c r="K1204" s="6"/>
      <c r="L1204" s="6" t="s">
        <v>251</v>
      </c>
      <c r="M1204" s="6" t="s">
        <v>22</v>
      </c>
      <c r="N1204" s="6" t="s">
        <v>23</v>
      </c>
      <c r="O1204" s="6" t="s">
        <v>27</v>
      </c>
      <c r="P1204" s="6" t="s">
        <v>144</v>
      </c>
      <c r="Q1204" s="22">
        <v>57</v>
      </c>
      <c r="R1204" s="23">
        <v>3</v>
      </c>
      <c r="S1204" s="39">
        <v>1</v>
      </c>
      <c r="T1204" s="7"/>
      <c r="U1204" t="s">
        <v>2913</v>
      </c>
      <c r="V1204" s="7" t="str">
        <f>+IF(U1204="","",IF(U1204="FINES",CONCATENATE("R",IF(OR(B1204="16",B1204="21",B1204="22",B1204="23"),"16212223",IF(OR(B1204="15",B1204="17",B1204="24",B1204="25"),"15172425",B1204))),IF(U1204="CEBAS","UNICO",IF(VALUE(B1204)&lt;=11,"AMBA","INTERIOR"))))</f>
        <v>INTERIOR</v>
      </c>
      <c r="W1204" s="38" t="str">
        <f>+IF(U1204="","-",CONCATENATE(U1204,"_",V1204))</f>
        <v>CENS_INTERIOR</v>
      </c>
      <c r="X1204" s="42">
        <v>0.48199999999999998</v>
      </c>
    </row>
    <row r="1205" spans="1:24" ht="15" thickBot="1">
      <c r="A1205" s="5" t="s">
        <v>2916</v>
      </c>
      <c r="B1205" s="5" t="s">
        <v>225</v>
      </c>
      <c r="C1205" s="5" t="s">
        <v>942</v>
      </c>
      <c r="D1205" s="5" t="s">
        <v>943</v>
      </c>
      <c r="E1205" s="5">
        <v>623806</v>
      </c>
      <c r="F1205" s="5">
        <v>0</v>
      </c>
      <c r="G1205" s="5" t="s">
        <v>1041</v>
      </c>
      <c r="H1205" s="5" t="s">
        <v>20</v>
      </c>
      <c r="I1205" s="6" t="s">
        <v>142</v>
      </c>
      <c r="J1205" s="6" t="s">
        <v>21</v>
      </c>
      <c r="K1205" s="6"/>
      <c r="L1205" s="6" t="s">
        <v>1042</v>
      </c>
      <c r="M1205" s="6" t="s">
        <v>22</v>
      </c>
      <c r="N1205" s="6" t="s">
        <v>23</v>
      </c>
      <c r="O1205" s="6" t="s">
        <v>27</v>
      </c>
      <c r="P1205" s="6" t="s">
        <v>144</v>
      </c>
      <c r="Q1205" s="22">
        <v>86</v>
      </c>
      <c r="R1205" s="23">
        <v>6</v>
      </c>
      <c r="S1205" s="39">
        <v>1</v>
      </c>
      <c r="T1205" s="7"/>
      <c r="U1205" t="s">
        <v>2913</v>
      </c>
      <c r="V1205" s="7" t="str">
        <f>+IF(U1205="","",IF(U1205="FINES",CONCATENATE("R",IF(OR(B1205="16",B1205="21",B1205="22",B1205="23"),"16212223",IF(OR(B1205="15",B1205="17",B1205="24",B1205="25"),"15172425",B1205))),IF(U1205="CEBAS","UNICO",IF(VALUE(B1205)&lt;=11,"AMBA","INTERIOR"))))</f>
        <v>INTERIOR</v>
      </c>
      <c r="W1205" s="38" t="str">
        <f>+IF(U1205="","-",CONCATENATE(U1205,"_",V1205))</f>
        <v>CENS_INTERIOR</v>
      </c>
      <c r="X1205" s="42">
        <v>0.48799999999999999</v>
      </c>
    </row>
    <row r="1206" spans="1:24" ht="15" thickBot="1">
      <c r="A1206" s="3" t="s">
        <v>2916</v>
      </c>
      <c r="B1206" s="3" t="s">
        <v>135</v>
      </c>
      <c r="C1206" s="3" t="s">
        <v>1217</v>
      </c>
      <c r="D1206" s="3" t="s">
        <v>1218</v>
      </c>
      <c r="E1206" s="3">
        <v>624026</v>
      </c>
      <c r="F1206" s="3">
        <v>0</v>
      </c>
      <c r="G1206" s="3" t="s">
        <v>1240</v>
      </c>
      <c r="H1206" s="3" t="s">
        <v>20</v>
      </c>
      <c r="I1206" s="4" t="s">
        <v>142</v>
      </c>
      <c r="J1206" s="4" t="s">
        <v>21</v>
      </c>
      <c r="K1206" s="4"/>
      <c r="L1206" s="4" t="s">
        <v>339</v>
      </c>
      <c r="M1206" s="4" t="s">
        <v>22</v>
      </c>
      <c r="N1206" s="4" t="s">
        <v>23</v>
      </c>
      <c r="O1206" s="4" t="s">
        <v>27</v>
      </c>
      <c r="P1206" s="4" t="s">
        <v>144</v>
      </c>
      <c r="Q1206" s="24">
        <v>75</v>
      </c>
      <c r="R1206" s="25">
        <v>9</v>
      </c>
      <c r="S1206" s="39">
        <v>1</v>
      </c>
      <c r="T1206" s="7"/>
      <c r="U1206" t="s">
        <v>2913</v>
      </c>
      <c r="V1206" s="7" t="str">
        <f>+IF(U1206="","",IF(U1206="FINES",CONCATENATE("R",IF(OR(B1206="16",B1206="21",B1206="22",B1206="23"),"16212223",IF(OR(B1206="15",B1206="17",B1206="24",B1206="25"),"15172425",B1206))),IF(U1206="CEBAS","UNICO",IF(VALUE(B1206)&lt;=11,"AMBA","INTERIOR"))))</f>
        <v>INTERIOR</v>
      </c>
      <c r="W1206" s="38" t="str">
        <f>+IF(U1206="","-",CONCATENATE(U1206,"_",V1206))</f>
        <v>CENS_INTERIOR</v>
      </c>
      <c r="X1206" s="42">
        <v>0.49299999999999999</v>
      </c>
    </row>
    <row r="1207" spans="1:24" ht="15" thickBot="1">
      <c r="A1207" s="3" t="s">
        <v>2916</v>
      </c>
      <c r="B1207" s="3" t="s">
        <v>203</v>
      </c>
      <c r="C1207" s="3" t="s">
        <v>450</v>
      </c>
      <c r="D1207" s="3" t="s">
        <v>452</v>
      </c>
      <c r="E1207" s="3">
        <v>621729</v>
      </c>
      <c r="F1207" s="3">
        <v>0</v>
      </c>
      <c r="G1207" s="3" t="s">
        <v>500</v>
      </c>
      <c r="H1207" s="3" t="s">
        <v>20</v>
      </c>
      <c r="I1207" s="4" t="s">
        <v>142</v>
      </c>
      <c r="J1207" s="4" t="s">
        <v>21</v>
      </c>
      <c r="K1207" s="4"/>
      <c r="L1207" s="4" t="s">
        <v>501</v>
      </c>
      <c r="M1207" s="4" t="s">
        <v>22</v>
      </c>
      <c r="N1207" s="4" t="s">
        <v>23</v>
      </c>
      <c r="O1207" s="4" t="s">
        <v>27</v>
      </c>
      <c r="P1207" s="4" t="s">
        <v>144</v>
      </c>
      <c r="Q1207" s="24">
        <v>120</v>
      </c>
      <c r="R1207" s="25">
        <v>8</v>
      </c>
      <c r="S1207" s="39">
        <v>1</v>
      </c>
      <c r="T1207" s="7"/>
      <c r="U1207" t="s">
        <v>2913</v>
      </c>
      <c r="V1207" s="7" t="str">
        <f>+IF(U1207="","",IF(U1207="FINES",CONCATENATE("R",IF(OR(B1207="16",B1207="21",B1207="22",B1207="23"),"16212223",IF(OR(B1207="15",B1207="17",B1207="24",B1207="25"),"15172425",B1207))),IF(U1207="CEBAS","UNICO",IF(VALUE(B1207)&lt;=11,"AMBA","INTERIOR"))))</f>
        <v>INTERIOR</v>
      </c>
      <c r="W1207" s="38" t="str">
        <f>+IF(U1207="","-",CONCATENATE(U1207,"_",V1207))</f>
        <v>CENS_INTERIOR</v>
      </c>
      <c r="X1207" s="42">
        <v>0.49399999999999999</v>
      </c>
    </row>
    <row r="1208" spans="1:24" ht="15" thickBot="1">
      <c r="A1208" s="5" t="s">
        <v>2916</v>
      </c>
      <c r="B1208" s="5" t="s">
        <v>352</v>
      </c>
      <c r="C1208" s="5" t="s">
        <v>1924</v>
      </c>
      <c r="D1208" s="5" t="s">
        <v>1925</v>
      </c>
      <c r="E1208" s="5">
        <v>623815</v>
      </c>
      <c r="F1208" s="5">
        <v>0</v>
      </c>
      <c r="G1208" s="5" t="s">
        <v>1945</v>
      </c>
      <c r="H1208" s="5" t="s">
        <v>20</v>
      </c>
      <c r="I1208" s="6" t="s">
        <v>142</v>
      </c>
      <c r="J1208" s="6" t="s">
        <v>21</v>
      </c>
      <c r="K1208" s="6"/>
      <c r="L1208" s="6" t="s">
        <v>636</v>
      </c>
      <c r="M1208" s="6" t="s">
        <v>22</v>
      </c>
      <c r="N1208" s="6" t="s">
        <v>23</v>
      </c>
      <c r="O1208" s="6" t="s">
        <v>27</v>
      </c>
      <c r="P1208" s="6" t="s">
        <v>144</v>
      </c>
      <c r="Q1208" s="22">
        <v>72</v>
      </c>
      <c r="R1208" s="23">
        <v>5</v>
      </c>
      <c r="S1208" s="39">
        <v>1</v>
      </c>
      <c r="T1208" s="7"/>
      <c r="U1208" t="s">
        <v>2913</v>
      </c>
      <c r="V1208" s="7" t="str">
        <f>+IF(U1208="","",IF(U1208="FINES",CONCATENATE("R",IF(OR(B1208="16",B1208="21",B1208="22",B1208="23"),"16212223",IF(OR(B1208="15",B1208="17",B1208="24",B1208="25"),"15172425",B1208))),IF(U1208="CEBAS","UNICO",IF(VALUE(B1208)&lt;=11,"AMBA","INTERIOR"))))</f>
        <v>INTERIOR</v>
      </c>
      <c r="W1208" s="38" t="str">
        <f>+IF(U1208="","-",CONCATENATE(U1208,"_",V1208))</f>
        <v>CENS_INTERIOR</v>
      </c>
      <c r="X1208" s="42">
        <v>0.499</v>
      </c>
    </row>
    <row r="1209" spans="1:24" ht="15" thickBot="1">
      <c r="A1209" s="5" t="s">
        <v>2916</v>
      </c>
      <c r="B1209" s="5" t="s">
        <v>135</v>
      </c>
      <c r="C1209" s="5" t="s">
        <v>727</v>
      </c>
      <c r="D1209" s="5" t="s">
        <v>728</v>
      </c>
      <c r="E1209" s="5">
        <v>623785</v>
      </c>
      <c r="F1209" s="5">
        <v>0</v>
      </c>
      <c r="G1209" s="5" t="s">
        <v>736</v>
      </c>
      <c r="H1209" s="5" t="s">
        <v>20</v>
      </c>
      <c r="I1209" s="6" t="s">
        <v>142</v>
      </c>
      <c r="J1209" s="6" t="s">
        <v>21</v>
      </c>
      <c r="K1209" s="6"/>
      <c r="L1209" s="6" t="s">
        <v>251</v>
      </c>
      <c r="M1209" s="6" t="s">
        <v>22</v>
      </c>
      <c r="N1209" s="6" t="s">
        <v>23</v>
      </c>
      <c r="O1209" s="6" t="s">
        <v>27</v>
      </c>
      <c r="P1209" s="6" t="s">
        <v>144</v>
      </c>
      <c r="Q1209" s="22">
        <v>130</v>
      </c>
      <c r="R1209" s="23">
        <v>6</v>
      </c>
      <c r="S1209" s="39">
        <v>1</v>
      </c>
      <c r="T1209" s="7"/>
      <c r="U1209" t="s">
        <v>2913</v>
      </c>
      <c r="V1209" s="7" t="str">
        <f>+IF(U1209="","",IF(U1209="FINES",CONCATENATE("R",IF(OR(B1209="16",B1209="21",B1209="22",B1209="23"),"16212223",IF(OR(B1209="15",B1209="17",B1209="24",B1209="25"),"15172425",B1209))),IF(U1209="CEBAS","UNICO",IF(VALUE(B1209)&lt;=11,"AMBA","INTERIOR"))))</f>
        <v>INTERIOR</v>
      </c>
      <c r="W1209" s="38" t="str">
        <f>+IF(U1209="","-",CONCATENATE(U1209,"_",V1209))</f>
        <v>CENS_INTERIOR</v>
      </c>
      <c r="X1209" s="42">
        <v>0.5</v>
      </c>
    </row>
    <row r="1210" spans="1:24" ht="15" thickBot="1">
      <c r="A1210" s="5" t="s">
        <v>2916</v>
      </c>
      <c r="B1210" s="5" t="s">
        <v>220</v>
      </c>
      <c r="C1210" s="5" t="s">
        <v>726</v>
      </c>
      <c r="D1210" s="5" t="s">
        <v>2434</v>
      </c>
      <c r="E1210" s="5">
        <v>610228</v>
      </c>
      <c r="F1210" s="5">
        <v>0</v>
      </c>
      <c r="G1210" s="5" t="s">
        <v>2445</v>
      </c>
      <c r="H1210" s="5" t="s">
        <v>20</v>
      </c>
      <c r="I1210" s="6" t="s">
        <v>142</v>
      </c>
      <c r="J1210" s="6" t="s">
        <v>21</v>
      </c>
      <c r="K1210" s="6"/>
      <c r="L1210" s="6" t="s">
        <v>335</v>
      </c>
      <c r="M1210" s="6" t="s">
        <v>22</v>
      </c>
      <c r="N1210" s="6" t="s">
        <v>23</v>
      </c>
      <c r="O1210" s="6" t="s">
        <v>27</v>
      </c>
      <c r="P1210" s="6" t="s">
        <v>144</v>
      </c>
      <c r="Q1210" s="22">
        <v>33</v>
      </c>
      <c r="R1210" s="23">
        <v>3</v>
      </c>
      <c r="S1210" s="39">
        <v>1</v>
      </c>
      <c r="T1210" s="7"/>
      <c r="U1210" t="s">
        <v>2913</v>
      </c>
      <c r="V1210" s="7" t="str">
        <f>+IF(U1210="","",IF(U1210="FINES",CONCATENATE("R",IF(OR(B1210="16",B1210="21",B1210="22",B1210="23"),"16212223",IF(OR(B1210="15",B1210="17",B1210="24",B1210="25"),"15172425",B1210))),IF(U1210="CEBAS","UNICO",IF(VALUE(B1210)&lt;=11,"AMBA","INTERIOR"))))</f>
        <v>INTERIOR</v>
      </c>
      <c r="W1210" s="38" t="str">
        <f>+IF(U1210="","-",CONCATENATE(U1210,"_",V1210))</f>
        <v>CENS_INTERIOR</v>
      </c>
      <c r="X1210" s="42">
        <v>0.501</v>
      </c>
    </row>
    <row r="1211" spans="1:24" ht="15" thickBot="1">
      <c r="A1211" s="5" t="s">
        <v>2916</v>
      </c>
      <c r="B1211" s="5" t="s">
        <v>352</v>
      </c>
      <c r="C1211" s="5" t="s">
        <v>521</v>
      </c>
      <c r="D1211" s="5" t="s">
        <v>523</v>
      </c>
      <c r="E1211" s="5">
        <v>623813</v>
      </c>
      <c r="F1211" s="5">
        <v>0</v>
      </c>
      <c r="G1211" s="5" t="s">
        <v>537</v>
      </c>
      <c r="H1211" s="5" t="s">
        <v>20</v>
      </c>
      <c r="I1211" s="6" t="s">
        <v>142</v>
      </c>
      <c r="J1211" s="6" t="s">
        <v>21</v>
      </c>
      <c r="K1211" s="6"/>
      <c r="L1211" s="6" t="s">
        <v>538</v>
      </c>
      <c r="M1211" s="6" t="s">
        <v>22</v>
      </c>
      <c r="N1211" s="6" t="s">
        <v>23</v>
      </c>
      <c r="O1211" s="6" t="s">
        <v>27</v>
      </c>
      <c r="P1211" s="6" t="s">
        <v>144</v>
      </c>
      <c r="Q1211" s="22">
        <v>183</v>
      </c>
      <c r="R1211" s="23">
        <v>10</v>
      </c>
      <c r="S1211" s="39">
        <v>1</v>
      </c>
      <c r="T1211" s="7"/>
      <c r="U1211" t="s">
        <v>2913</v>
      </c>
      <c r="V1211" s="7" t="str">
        <f>+IF(U1211="","",IF(U1211="FINES",CONCATENATE("R",IF(OR(B1211="16",B1211="21",B1211="22",B1211="23"),"16212223",IF(OR(B1211="15",B1211="17",B1211="24",B1211="25"),"15172425",B1211))),IF(U1211="CEBAS","UNICO",IF(VALUE(B1211)&lt;=11,"AMBA","INTERIOR"))))</f>
        <v>INTERIOR</v>
      </c>
      <c r="W1211" s="38" t="str">
        <f>+IF(U1211="","-",CONCATENATE(U1211,"_",V1211))</f>
        <v>CENS_INTERIOR</v>
      </c>
      <c r="X1211" s="42">
        <v>0.51600000000000001</v>
      </c>
    </row>
    <row r="1212" spans="1:24" ht="15" thickBot="1">
      <c r="A1212" s="5" t="s">
        <v>2916</v>
      </c>
      <c r="B1212" s="5" t="s">
        <v>352</v>
      </c>
      <c r="C1212" s="5" t="s">
        <v>349</v>
      </c>
      <c r="D1212" s="5" t="s">
        <v>2397</v>
      </c>
      <c r="E1212" s="5">
        <v>623819</v>
      </c>
      <c r="F1212" s="5">
        <v>0</v>
      </c>
      <c r="G1212" s="5" t="s">
        <v>2416</v>
      </c>
      <c r="H1212" s="5" t="s">
        <v>20</v>
      </c>
      <c r="I1212" s="6" t="s">
        <v>142</v>
      </c>
      <c r="J1212" s="6" t="s">
        <v>21</v>
      </c>
      <c r="K1212" s="6"/>
      <c r="L1212" s="6" t="s">
        <v>636</v>
      </c>
      <c r="M1212" s="6" t="s">
        <v>200</v>
      </c>
      <c r="N1212" s="6" t="s">
        <v>23</v>
      </c>
      <c r="O1212" s="6" t="s">
        <v>27</v>
      </c>
      <c r="P1212" s="6" t="s">
        <v>144</v>
      </c>
      <c r="Q1212" s="22">
        <v>21</v>
      </c>
      <c r="R1212" s="23">
        <v>3</v>
      </c>
      <c r="S1212" s="39">
        <v>1</v>
      </c>
      <c r="T1212" s="7"/>
      <c r="U1212" t="s">
        <v>2913</v>
      </c>
      <c r="V1212" s="7" t="str">
        <f>+IF(U1212="","",IF(U1212="FINES",CONCATENATE("R",IF(OR(B1212="16",B1212="21",B1212="22",B1212="23"),"16212223",IF(OR(B1212="15",B1212="17",B1212="24",B1212="25"),"15172425",B1212))),IF(U1212="CEBAS","UNICO",IF(VALUE(B1212)&lt;=11,"AMBA","INTERIOR"))))</f>
        <v>INTERIOR</v>
      </c>
      <c r="W1212" s="38" t="str">
        <f>+IF(U1212="","-",CONCATENATE(U1212,"_",V1212))</f>
        <v>CENS_INTERIOR</v>
      </c>
      <c r="X1212" s="42">
        <v>0.51600000000000001</v>
      </c>
    </row>
    <row r="1213" spans="1:24" ht="15" thickBot="1">
      <c r="A1213" s="3" t="s">
        <v>2916</v>
      </c>
      <c r="B1213" s="3" t="s">
        <v>140</v>
      </c>
      <c r="C1213" s="3" t="s">
        <v>2149</v>
      </c>
      <c r="D1213" s="3" t="s">
        <v>2150</v>
      </c>
      <c r="E1213" s="3">
        <v>623772</v>
      </c>
      <c r="F1213" s="3">
        <v>0</v>
      </c>
      <c r="G1213" s="3" t="s">
        <v>2157</v>
      </c>
      <c r="H1213" s="3" t="s">
        <v>20</v>
      </c>
      <c r="I1213" s="4" t="s">
        <v>142</v>
      </c>
      <c r="J1213" s="4" t="s">
        <v>21</v>
      </c>
      <c r="K1213" s="4"/>
      <c r="L1213" s="4" t="s">
        <v>2158</v>
      </c>
      <c r="M1213" s="4" t="s">
        <v>22</v>
      </c>
      <c r="N1213" s="4" t="s">
        <v>23</v>
      </c>
      <c r="O1213" s="4" t="s">
        <v>27</v>
      </c>
      <c r="P1213" s="4" t="s">
        <v>144</v>
      </c>
      <c r="Q1213" s="24">
        <v>191</v>
      </c>
      <c r="R1213" s="25">
        <v>8</v>
      </c>
      <c r="S1213" s="39">
        <v>1</v>
      </c>
      <c r="T1213" s="7"/>
      <c r="U1213" t="s">
        <v>2913</v>
      </c>
      <c r="V1213" s="7" t="str">
        <f>+IF(U1213="","",IF(U1213="FINES",CONCATENATE("R",IF(OR(B1213="16",B1213="21",B1213="22",B1213="23"),"16212223",IF(OR(B1213="15",B1213="17",B1213="24",B1213="25"),"15172425",B1213))),IF(U1213="CEBAS","UNICO",IF(VALUE(B1213)&lt;=11,"AMBA","INTERIOR"))))</f>
        <v>INTERIOR</v>
      </c>
      <c r="W1213" s="38" t="str">
        <f>+IF(U1213="","-",CONCATENATE(U1213,"_",V1213))</f>
        <v>CENS_INTERIOR</v>
      </c>
      <c r="X1213" s="42">
        <v>0.52</v>
      </c>
    </row>
    <row r="1214" spans="1:24" ht="15" thickBot="1">
      <c r="A1214" s="3" t="s">
        <v>2916</v>
      </c>
      <c r="B1214" s="3" t="s">
        <v>220</v>
      </c>
      <c r="C1214" s="3" t="s">
        <v>2165</v>
      </c>
      <c r="D1214" s="3" t="s">
        <v>2166</v>
      </c>
      <c r="E1214" s="3">
        <v>623793</v>
      </c>
      <c r="F1214" s="3">
        <v>0</v>
      </c>
      <c r="G1214" s="3" t="s">
        <v>2170</v>
      </c>
      <c r="H1214" s="3" t="s">
        <v>20</v>
      </c>
      <c r="I1214" s="4" t="s">
        <v>142</v>
      </c>
      <c r="J1214" s="4" t="s">
        <v>21</v>
      </c>
      <c r="K1214" s="4"/>
      <c r="L1214" s="4" t="s">
        <v>569</v>
      </c>
      <c r="M1214" s="4" t="s">
        <v>22</v>
      </c>
      <c r="N1214" s="4" t="s">
        <v>23</v>
      </c>
      <c r="O1214" s="4" t="s">
        <v>27</v>
      </c>
      <c r="P1214" s="4" t="s">
        <v>144</v>
      </c>
      <c r="Q1214" s="24">
        <v>83</v>
      </c>
      <c r="R1214" s="25">
        <v>3</v>
      </c>
      <c r="S1214" s="39">
        <v>1</v>
      </c>
      <c r="T1214" s="7"/>
      <c r="U1214" t="s">
        <v>2913</v>
      </c>
      <c r="V1214" s="7" t="str">
        <f>+IF(U1214="","",IF(U1214="FINES",CONCATENATE("R",IF(OR(B1214="16",B1214="21",B1214="22",B1214="23"),"16212223",IF(OR(B1214="15",B1214="17",B1214="24",B1214="25"),"15172425",B1214))),IF(U1214="CEBAS","UNICO",IF(VALUE(B1214)&lt;=11,"AMBA","INTERIOR"))))</f>
        <v>INTERIOR</v>
      </c>
      <c r="W1214" s="38" t="str">
        <f>+IF(U1214="","-",CONCATENATE(U1214,"_",V1214))</f>
        <v>CENS_INTERIOR</v>
      </c>
      <c r="X1214" s="42">
        <v>0.52600000000000002</v>
      </c>
    </row>
    <row r="1215" spans="1:24" ht="15" thickBot="1">
      <c r="A1215" s="5" t="s">
        <v>2916</v>
      </c>
      <c r="B1215" s="5" t="s">
        <v>221</v>
      </c>
      <c r="C1215" s="5" t="s">
        <v>230</v>
      </c>
      <c r="D1215" s="5" t="s">
        <v>432</v>
      </c>
      <c r="E1215" s="5">
        <v>606347</v>
      </c>
      <c r="F1215" s="5">
        <v>0</v>
      </c>
      <c r="G1215" s="5" t="s">
        <v>447</v>
      </c>
      <c r="H1215" s="5" t="s">
        <v>20</v>
      </c>
      <c r="I1215" s="6" t="s">
        <v>142</v>
      </c>
      <c r="J1215" s="6" t="s">
        <v>21</v>
      </c>
      <c r="K1215" s="6"/>
      <c r="L1215" s="6" t="s">
        <v>448</v>
      </c>
      <c r="M1215" s="6" t="s">
        <v>22</v>
      </c>
      <c r="N1215" s="6" t="s">
        <v>23</v>
      </c>
      <c r="O1215" s="6" t="s">
        <v>27</v>
      </c>
      <c r="P1215" s="6" t="s">
        <v>144</v>
      </c>
      <c r="Q1215" s="22">
        <v>161</v>
      </c>
      <c r="R1215" s="23">
        <v>8</v>
      </c>
      <c r="S1215" s="39">
        <v>1</v>
      </c>
      <c r="T1215" s="7"/>
      <c r="U1215" t="s">
        <v>2913</v>
      </c>
      <c r="V1215" s="7" t="str">
        <f>+IF(U1215="","",IF(U1215="FINES",CONCATENATE("R",IF(OR(B1215="16",B1215="21",B1215="22",B1215="23"),"16212223",IF(OR(B1215="15",B1215="17",B1215="24",B1215="25"),"15172425",B1215))),IF(U1215="CEBAS","UNICO",IF(VALUE(B1215)&lt;=11,"AMBA","INTERIOR"))))</f>
        <v>INTERIOR</v>
      </c>
      <c r="W1215" s="38" t="str">
        <f>+IF(U1215="","-",CONCATENATE(U1215,"_",V1215))</f>
        <v>CENS_INTERIOR</v>
      </c>
      <c r="X1215" s="42">
        <v>0.54100000000000004</v>
      </c>
    </row>
    <row r="1216" spans="1:24" ht="15" thickBot="1">
      <c r="A1216" s="5" t="s">
        <v>2916</v>
      </c>
      <c r="B1216" s="5" t="s">
        <v>516</v>
      </c>
      <c r="C1216" s="5" t="s">
        <v>2195</v>
      </c>
      <c r="D1216" s="5" t="s">
        <v>2196</v>
      </c>
      <c r="E1216" s="5">
        <v>609517</v>
      </c>
      <c r="F1216" s="5">
        <v>0</v>
      </c>
      <c r="G1216" s="5" t="s">
        <v>2198</v>
      </c>
      <c r="H1216" s="5" t="s">
        <v>20</v>
      </c>
      <c r="I1216" s="6" t="s">
        <v>142</v>
      </c>
      <c r="J1216" s="6" t="s">
        <v>21</v>
      </c>
      <c r="K1216" s="6"/>
      <c r="L1216" s="6" t="s">
        <v>400</v>
      </c>
      <c r="M1216" s="6" t="s">
        <v>22</v>
      </c>
      <c r="N1216" s="6" t="s">
        <v>23</v>
      </c>
      <c r="O1216" s="6" t="s">
        <v>27</v>
      </c>
      <c r="P1216" s="6" t="s">
        <v>144</v>
      </c>
      <c r="Q1216" s="22">
        <v>135</v>
      </c>
      <c r="R1216" s="23">
        <v>9</v>
      </c>
      <c r="S1216" s="39">
        <v>1</v>
      </c>
      <c r="T1216" s="7"/>
      <c r="U1216" t="s">
        <v>2913</v>
      </c>
      <c r="V1216" s="7" t="str">
        <f>+IF(U1216="","",IF(U1216="FINES",CONCATENATE("R",IF(OR(B1216="16",B1216="21",B1216="22",B1216="23"),"16212223",IF(OR(B1216="15",B1216="17",B1216="24",B1216="25"),"15172425",B1216))),IF(U1216="CEBAS","UNICO",IF(VALUE(B1216)&lt;=11,"AMBA","INTERIOR"))))</f>
        <v>INTERIOR</v>
      </c>
      <c r="W1216" s="38" t="str">
        <f>+IF(U1216="","-",CONCATENATE(U1216,"_",V1216))</f>
        <v>CENS_INTERIOR</v>
      </c>
      <c r="X1216" s="42">
        <v>0.54400000000000004</v>
      </c>
    </row>
    <row r="1217" spans="1:24" ht="15" thickBot="1">
      <c r="A1217" s="3" t="s">
        <v>2916</v>
      </c>
      <c r="B1217" s="3" t="s">
        <v>221</v>
      </c>
      <c r="C1217" s="3" t="s">
        <v>571</v>
      </c>
      <c r="D1217" s="3" t="s">
        <v>573</v>
      </c>
      <c r="E1217" s="3">
        <v>616817</v>
      </c>
      <c r="F1217" s="3">
        <v>0</v>
      </c>
      <c r="G1217" s="3" t="s">
        <v>583</v>
      </c>
      <c r="H1217" s="3" t="s">
        <v>20</v>
      </c>
      <c r="I1217" s="4" t="s">
        <v>142</v>
      </c>
      <c r="J1217" s="4" t="s">
        <v>21</v>
      </c>
      <c r="K1217" s="4"/>
      <c r="L1217" s="4" t="s">
        <v>584</v>
      </c>
      <c r="M1217" s="4" t="s">
        <v>22</v>
      </c>
      <c r="N1217" s="4" t="s">
        <v>23</v>
      </c>
      <c r="O1217" s="4" t="s">
        <v>27</v>
      </c>
      <c r="P1217" s="4" t="s">
        <v>144</v>
      </c>
      <c r="Q1217" s="24">
        <v>168</v>
      </c>
      <c r="R1217" s="25">
        <v>9</v>
      </c>
      <c r="S1217" s="39">
        <v>1</v>
      </c>
      <c r="T1217" s="7"/>
      <c r="U1217" t="s">
        <v>2913</v>
      </c>
      <c r="V1217" s="7" t="str">
        <f>+IF(U1217="","",IF(U1217="FINES",CONCATENATE("R",IF(OR(B1217="16",B1217="21",B1217="22",B1217="23"),"16212223",IF(OR(B1217="15",B1217="17",B1217="24",B1217="25"),"15172425",B1217))),IF(U1217="CEBAS","UNICO",IF(VALUE(B1217)&lt;=11,"AMBA","INTERIOR"))))</f>
        <v>INTERIOR</v>
      </c>
      <c r="W1217" s="38" t="str">
        <f>+IF(U1217="","-",CONCATENATE(U1217,"_",V1217))</f>
        <v>CENS_INTERIOR</v>
      </c>
      <c r="X1217" s="42">
        <v>0.55100000000000005</v>
      </c>
    </row>
    <row r="1218" spans="1:24" ht="15" thickBot="1">
      <c r="A1218" s="5" t="s">
        <v>2916</v>
      </c>
      <c r="B1218" s="5" t="s">
        <v>203</v>
      </c>
      <c r="C1218" s="5" t="s">
        <v>331</v>
      </c>
      <c r="D1218" s="5" t="s">
        <v>2491</v>
      </c>
      <c r="E1218" s="5">
        <v>623831</v>
      </c>
      <c r="F1218" s="5">
        <v>0</v>
      </c>
      <c r="G1218" s="5" t="s">
        <v>2499</v>
      </c>
      <c r="H1218" s="5" t="s">
        <v>20</v>
      </c>
      <c r="I1218" s="6" t="s">
        <v>142</v>
      </c>
      <c r="J1218" s="6" t="s">
        <v>21</v>
      </c>
      <c r="K1218" s="6"/>
      <c r="L1218" s="6" t="s">
        <v>251</v>
      </c>
      <c r="M1218" s="6" t="s">
        <v>22</v>
      </c>
      <c r="N1218" s="6" t="s">
        <v>23</v>
      </c>
      <c r="O1218" s="6" t="s">
        <v>27</v>
      </c>
      <c r="P1218" s="6" t="s">
        <v>144</v>
      </c>
      <c r="Q1218" s="22">
        <v>185</v>
      </c>
      <c r="R1218" s="23">
        <v>12</v>
      </c>
      <c r="S1218" s="39">
        <v>1</v>
      </c>
      <c r="T1218" s="7"/>
      <c r="U1218" s="7" t="s">
        <v>2913</v>
      </c>
      <c r="V1218" s="7" t="str">
        <f>+IF(U1218="","",IF(U1218="FINES",CONCATENATE("R",IF(OR(B1218="16",B1218="21",B1218="22",B1218="23"),"16212223",IF(OR(B1218="15",B1218="17",B1218="24",B1218="25"),"15172425",B1218))),IF(U1218="CEBAS","UNICO",IF(VALUE(B1218)&lt;=11,"AMBA","INTERIOR"))))</f>
        <v>INTERIOR</v>
      </c>
      <c r="W1218" s="38" t="str">
        <f>+IF(U1218="","-",CONCATENATE(U1218,"_",V1218))</f>
        <v>CENS_INTERIOR</v>
      </c>
      <c r="X1218" s="42">
        <v>0.55300000000000005</v>
      </c>
    </row>
    <row r="1219" spans="1:24" ht="15" thickBot="1">
      <c r="A1219" s="5" t="s">
        <v>2916</v>
      </c>
      <c r="B1219" s="5" t="s">
        <v>203</v>
      </c>
      <c r="C1219" s="5" t="s">
        <v>450</v>
      </c>
      <c r="D1219" s="5" t="s">
        <v>452</v>
      </c>
      <c r="E1219" s="5">
        <v>623828</v>
      </c>
      <c r="F1219" s="5">
        <v>0</v>
      </c>
      <c r="G1219" s="5" t="s">
        <v>507</v>
      </c>
      <c r="H1219" s="5" t="s">
        <v>20</v>
      </c>
      <c r="I1219" s="6" t="s">
        <v>142</v>
      </c>
      <c r="J1219" s="6" t="s">
        <v>21</v>
      </c>
      <c r="K1219" s="6"/>
      <c r="L1219" s="6" t="s">
        <v>508</v>
      </c>
      <c r="M1219" s="6" t="s">
        <v>22</v>
      </c>
      <c r="N1219" s="6" t="s">
        <v>23</v>
      </c>
      <c r="O1219" s="6" t="s">
        <v>27</v>
      </c>
      <c r="P1219" s="6" t="s">
        <v>144</v>
      </c>
      <c r="Q1219" s="22">
        <v>48</v>
      </c>
      <c r="R1219" s="23">
        <v>3</v>
      </c>
      <c r="S1219" s="39">
        <v>1</v>
      </c>
      <c r="T1219" s="7"/>
      <c r="U1219" s="7" t="s">
        <v>2913</v>
      </c>
      <c r="V1219" s="7" t="str">
        <f>+IF(U1219="","",IF(U1219="FINES",CONCATENATE("R",IF(OR(B1219="16",B1219="21",B1219="22",B1219="23"),"16212223",IF(OR(B1219="15",B1219="17",B1219="24",B1219="25"),"15172425",B1219))),IF(U1219="CEBAS","UNICO",IF(VALUE(B1219)&lt;=11,"AMBA","INTERIOR"))))</f>
        <v>INTERIOR</v>
      </c>
      <c r="W1219" s="38" t="str">
        <f>+IF(U1219="","-",CONCATENATE(U1219,"_",V1219))</f>
        <v>CENS_INTERIOR</v>
      </c>
      <c r="X1219" s="42">
        <v>0.55400000000000005</v>
      </c>
    </row>
    <row r="1220" spans="1:24" ht="15" thickBot="1">
      <c r="A1220" s="5" t="s">
        <v>2916</v>
      </c>
      <c r="B1220" s="5" t="s">
        <v>225</v>
      </c>
      <c r="C1220" s="5" t="s">
        <v>876</v>
      </c>
      <c r="D1220" s="5" t="s">
        <v>877</v>
      </c>
      <c r="E1220" s="5">
        <v>623804</v>
      </c>
      <c r="F1220" s="5">
        <v>0</v>
      </c>
      <c r="G1220" s="5" t="s">
        <v>888</v>
      </c>
      <c r="H1220" s="5" t="s">
        <v>20</v>
      </c>
      <c r="I1220" s="6" t="s">
        <v>142</v>
      </c>
      <c r="J1220" s="6" t="s">
        <v>21</v>
      </c>
      <c r="K1220" s="6"/>
      <c r="L1220" s="6" t="s">
        <v>335</v>
      </c>
      <c r="M1220" s="6" t="s">
        <v>22</v>
      </c>
      <c r="N1220" s="6" t="s">
        <v>23</v>
      </c>
      <c r="O1220" s="6" t="s">
        <v>27</v>
      </c>
      <c r="P1220" s="6" t="s">
        <v>144</v>
      </c>
      <c r="Q1220" s="22">
        <v>80</v>
      </c>
      <c r="R1220" s="23">
        <v>6</v>
      </c>
      <c r="S1220" s="39">
        <v>1</v>
      </c>
      <c r="T1220" s="7"/>
      <c r="U1220" s="7" t="s">
        <v>2913</v>
      </c>
      <c r="V1220" s="7" t="str">
        <f>+IF(U1220="","",IF(U1220="FINES",CONCATENATE("R",IF(OR(B1220="16",B1220="21",B1220="22",B1220="23"),"16212223",IF(OR(B1220="15",B1220="17",B1220="24",B1220="25"),"15172425",B1220))),IF(U1220="CEBAS","UNICO",IF(VALUE(B1220)&lt;=11,"AMBA","INTERIOR"))))</f>
        <v>INTERIOR</v>
      </c>
      <c r="W1220" s="38" t="str">
        <f>+IF(U1220="","-",CONCATENATE(U1220,"_",V1220))</f>
        <v>CENS_INTERIOR</v>
      </c>
      <c r="X1220" s="42">
        <v>0.56100000000000005</v>
      </c>
    </row>
    <row r="1221" spans="1:24" ht="15" thickBot="1">
      <c r="A1221" s="3" t="s">
        <v>2916</v>
      </c>
      <c r="B1221" s="3" t="s">
        <v>140</v>
      </c>
      <c r="C1221" s="3" t="s">
        <v>2277</v>
      </c>
      <c r="D1221" s="3" t="s">
        <v>2278</v>
      </c>
      <c r="E1221" s="3">
        <v>601232</v>
      </c>
      <c r="F1221" s="3">
        <v>0</v>
      </c>
      <c r="G1221" s="3" t="s">
        <v>2318</v>
      </c>
      <c r="H1221" s="3" t="s">
        <v>20</v>
      </c>
      <c r="I1221" s="4" t="s">
        <v>142</v>
      </c>
      <c r="J1221" s="4" t="s">
        <v>21</v>
      </c>
      <c r="K1221" s="4"/>
      <c r="L1221" s="4" t="s">
        <v>343</v>
      </c>
      <c r="M1221" s="4" t="s">
        <v>22</v>
      </c>
      <c r="N1221" s="4" t="s">
        <v>23</v>
      </c>
      <c r="O1221" s="4" t="s">
        <v>27</v>
      </c>
      <c r="P1221" s="4" t="s">
        <v>144</v>
      </c>
      <c r="Q1221" s="24">
        <v>195</v>
      </c>
      <c r="R1221" s="25">
        <v>8</v>
      </c>
      <c r="S1221" s="39">
        <v>1</v>
      </c>
      <c r="T1221" s="7"/>
      <c r="U1221" s="7" t="s">
        <v>2913</v>
      </c>
      <c r="V1221" s="7" t="str">
        <f>+IF(U1221="","",IF(U1221="FINES",CONCATENATE("R",IF(OR(B1221="16",B1221="21",B1221="22",B1221="23"),"16212223",IF(OR(B1221="15",B1221="17",B1221="24",B1221="25"),"15172425",B1221))),IF(U1221="CEBAS","UNICO",IF(VALUE(B1221)&lt;=11,"AMBA","INTERIOR"))))</f>
        <v>INTERIOR</v>
      </c>
      <c r="W1221" s="38" t="str">
        <f>+IF(U1221="","-",CONCATENATE(U1221,"_",V1221))</f>
        <v>CENS_INTERIOR</v>
      </c>
      <c r="X1221" s="42">
        <v>0.56200000000000006</v>
      </c>
    </row>
    <row r="1222" spans="1:24" ht="15" thickBot="1">
      <c r="A1222" s="3" t="s">
        <v>2916</v>
      </c>
      <c r="B1222" s="3" t="s">
        <v>352</v>
      </c>
      <c r="C1222" s="3" t="s">
        <v>349</v>
      </c>
      <c r="D1222" s="3" t="s">
        <v>2397</v>
      </c>
      <c r="E1222" s="3">
        <v>623818</v>
      </c>
      <c r="F1222" s="3">
        <v>0</v>
      </c>
      <c r="G1222" s="3" t="s">
        <v>2415</v>
      </c>
      <c r="H1222" s="3" t="s">
        <v>20</v>
      </c>
      <c r="I1222" s="4" t="s">
        <v>142</v>
      </c>
      <c r="J1222" s="4" t="s">
        <v>21</v>
      </c>
      <c r="K1222" s="4"/>
      <c r="L1222" s="4" t="s">
        <v>337</v>
      </c>
      <c r="M1222" s="4" t="s">
        <v>22</v>
      </c>
      <c r="N1222" s="4" t="s">
        <v>23</v>
      </c>
      <c r="O1222" s="4" t="s">
        <v>27</v>
      </c>
      <c r="P1222" s="4" t="s">
        <v>144</v>
      </c>
      <c r="Q1222" s="24">
        <v>65</v>
      </c>
      <c r="R1222" s="25">
        <v>12</v>
      </c>
      <c r="S1222" s="39">
        <v>1</v>
      </c>
      <c r="T1222" s="7"/>
      <c r="U1222" s="7" t="s">
        <v>2913</v>
      </c>
      <c r="V1222" s="7" t="str">
        <f>+IF(U1222="","",IF(U1222="FINES",CONCATENATE("R",IF(OR(B1222="16",B1222="21",B1222="22",B1222="23"),"16212223",IF(OR(B1222="15",B1222="17",B1222="24",B1222="25"),"15172425",B1222))),IF(U1222="CEBAS","UNICO",IF(VALUE(B1222)&lt;=11,"AMBA","INTERIOR"))))</f>
        <v>INTERIOR</v>
      </c>
      <c r="W1222" s="38" t="str">
        <f>+IF(U1222="","-",CONCATENATE(U1222,"_",V1222))</f>
        <v>CENS_INTERIOR</v>
      </c>
      <c r="X1222" s="42">
        <v>0.56499999999999995</v>
      </c>
    </row>
    <row r="1223" spans="1:24" ht="15" thickBot="1">
      <c r="A1223" s="3" t="s">
        <v>2916</v>
      </c>
      <c r="B1223" s="3" t="s">
        <v>410</v>
      </c>
      <c r="C1223" s="3" t="s">
        <v>417</v>
      </c>
      <c r="D1223" s="3" t="s">
        <v>2739</v>
      </c>
      <c r="E1223" s="3">
        <v>623802</v>
      </c>
      <c r="F1223" s="3">
        <v>0</v>
      </c>
      <c r="G1223" s="3" t="s">
        <v>2744</v>
      </c>
      <c r="H1223" s="3" t="s">
        <v>20</v>
      </c>
      <c r="I1223" s="4" t="s">
        <v>142</v>
      </c>
      <c r="J1223" s="4" t="s">
        <v>21</v>
      </c>
      <c r="K1223" s="4"/>
      <c r="L1223" s="4" t="s">
        <v>251</v>
      </c>
      <c r="M1223" s="4" t="s">
        <v>22</v>
      </c>
      <c r="N1223" s="4" t="s">
        <v>23</v>
      </c>
      <c r="O1223" s="4" t="s">
        <v>27</v>
      </c>
      <c r="P1223" s="4" t="s">
        <v>144</v>
      </c>
      <c r="Q1223" s="24">
        <v>83</v>
      </c>
      <c r="R1223" s="25">
        <v>3</v>
      </c>
      <c r="S1223" s="39">
        <v>1</v>
      </c>
      <c r="T1223" s="7"/>
      <c r="U1223" s="7" t="s">
        <v>2913</v>
      </c>
      <c r="V1223" s="7" t="str">
        <f>+IF(U1223="","",IF(U1223="FINES",CONCATENATE("R",IF(OR(B1223="16",B1223="21",B1223="22",B1223="23"),"16212223",IF(OR(B1223="15",B1223="17",B1223="24",B1223="25"),"15172425",B1223))),IF(U1223="CEBAS","UNICO",IF(VALUE(B1223)&lt;=11,"AMBA","INTERIOR"))))</f>
        <v>INTERIOR</v>
      </c>
      <c r="W1223" s="38" t="str">
        <f>+IF(U1223="","-",CONCATENATE(U1223,"_",V1223))</f>
        <v>CENS_INTERIOR</v>
      </c>
      <c r="X1223" s="42">
        <v>0.56899999999999995</v>
      </c>
    </row>
    <row r="1224" spans="1:24" ht="15" thickBot="1">
      <c r="A1224" s="5" t="s">
        <v>2916</v>
      </c>
      <c r="B1224" s="5" t="s">
        <v>135</v>
      </c>
      <c r="C1224" s="5" t="s">
        <v>354</v>
      </c>
      <c r="D1224" s="5" t="s">
        <v>897</v>
      </c>
      <c r="E1224" s="5">
        <v>624186</v>
      </c>
      <c r="F1224" s="5">
        <v>0</v>
      </c>
      <c r="G1224" s="5" t="s">
        <v>901</v>
      </c>
      <c r="H1224" s="5" t="s">
        <v>20</v>
      </c>
      <c r="I1224" s="6" t="s">
        <v>142</v>
      </c>
      <c r="J1224" s="6" t="s">
        <v>21</v>
      </c>
      <c r="K1224" s="6"/>
      <c r="L1224" s="6" t="s">
        <v>251</v>
      </c>
      <c r="M1224" s="6" t="s">
        <v>22</v>
      </c>
      <c r="N1224" s="6" t="s">
        <v>23</v>
      </c>
      <c r="O1224" s="6" t="s">
        <v>27</v>
      </c>
      <c r="P1224" s="6" t="s">
        <v>144</v>
      </c>
      <c r="Q1224" s="22">
        <v>27</v>
      </c>
      <c r="R1224" s="23">
        <v>3</v>
      </c>
      <c r="S1224" s="39">
        <v>1</v>
      </c>
      <c r="T1224" s="7"/>
      <c r="U1224" s="7" t="s">
        <v>2913</v>
      </c>
      <c r="V1224" s="7" t="str">
        <f>+IF(U1224="","",IF(U1224="FINES",CONCATENATE("R",IF(OR(B1224="16",B1224="21",B1224="22",B1224="23"),"16212223",IF(OR(B1224="15",B1224="17",B1224="24",B1224="25"),"15172425",B1224))),IF(U1224="CEBAS","UNICO",IF(VALUE(B1224)&lt;=11,"AMBA","INTERIOR"))))</f>
        <v>INTERIOR</v>
      </c>
      <c r="W1224" s="38" t="str">
        <f>+IF(U1224="","-",CONCATENATE(U1224,"_",V1224))</f>
        <v>CENS_INTERIOR</v>
      </c>
      <c r="X1224" s="42">
        <v>0.57199999999999995</v>
      </c>
    </row>
    <row r="1225" spans="1:24" ht="15" thickBot="1">
      <c r="A1225" s="3" t="s">
        <v>2916</v>
      </c>
      <c r="B1225" s="3" t="s">
        <v>223</v>
      </c>
      <c r="C1225" s="3" t="s">
        <v>714</v>
      </c>
      <c r="D1225" s="3" t="s">
        <v>715</v>
      </c>
      <c r="E1225" s="3">
        <v>623834</v>
      </c>
      <c r="F1225" s="3">
        <v>0</v>
      </c>
      <c r="G1225" s="3" t="s">
        <v>725</v>
      </c>
      <c r="H1225" s="3" t="s">
        <v>20</v>
      </c>
      <c r="I1225" s="4" t="s">
        <v>142</v>
      </c>
      <c r="J1225" s="4" t="s">
        <v>21</v>
      </c>
      <c r="K1225" s="4"/>
      <c r="L1225" s="4" t="s">
        <v>337</v>
      </c>
      <c r="M1225" s="4" t="s">
        <v>22</v>
      </c>
      <c r="N1225" s="4" t="s">
        <v>23</v>
      </c>
      <c r="O1225" s="4" t="s">
        <v>27</v>
      </c>
      <c r="P1225" s="4" t="s">
        <v>144</v>
      </c>
      <c r="Q1225" s="24">
        <v>84</v>
      </c>
      <c r="R1225" s="25">
        <v>6</v>
      </c>
      <c r="S1225" s="39">
        <v>1</v>
      </c>
      <c r="T1225" s="7"/>
      <c r="U1225" s="7" t="s">
        <v>2913</v>
      </c>
      <c r="V1225" s="7" t="str">
        <f>+IF(U1225="","",IF(U1225="FINES",CONCATENATE("R",IF(OR(B1225="16",B1225="21",B1225="22",B1225="23"),"16212223",IF(OR(B1225="15",B1225="17",B1225="24",B1225="25"),"15172425",B1225))),IF(U1225="CEBAS","UNICO",IF(VALUE(B1225)&lt;=11,"AMBA","INTERIOR"))))</f>
        <v>INTERIOR</v>
      </c>
      <c r="W1225" s="38" t="str">
        <f>+IF(U1225="","-",CONCATENATE(U1225,"_",V1225))</f>
        <v>CENS_INTERIOR</v>
      </c>
      <c r="X1225" s="42">
        <v>0.57399999999999995</v>
      </c>
    </row>
    <row r="1226" spans="1:24" ht="15" thickBot="1">
      <c r="A1226" s="3" t="s">
        <v>2916</v>
      </c>
      <c r="B1226" s="3" t="s">
        <v>225</v>
      </c>
      <c r="C1226" s="3" t="s">
        <v>942</v>
      </c>
      <c r="D1226" s="3" t="s">
        <v>943</v>
      </c>
      <c r="E1226" s="3">
        <v>623809</v>
      </c>
      <c r="F1226" s="3">
        <v>0</v>
      </c>
      <c r="G1226" s="3" t="s">
        <v>1050</v>
      </c>
      <c r="H1226" s="3" t="s">
        <v>20</v>
      </c>
      <c r="I1226" s="4" t="s">
        <v>142</v>
      </c>
      <c r="J1226" s="4" t="s">
        <v>21</v>
      </c>
      <c r="K1226" s="4"/>
      <c r="L1226" s="4" t="s">
        <v>1051</v>
      </c>
      <c r="M1226" s="4" t="s">
        <v>22</v>
      </c>
      <c r="N1226" s="4" t="s">
        <v>23</v>
      </c>
      <c r="O1226" s="4" t="s">
        <v>27</v>
      </c>
      <c r="P1226" s="4" t="s">
        <v>144</v>
      </c>
      <c r="Q1226" s="24">
        <v>142</v>
      </c>
      <c r="R1226" s="25">
        <v>8</v>
      </c>
      <c r="S1226" s="39">
        <v>1</v>
      </c>
      <c r="T1226" s="7"/>
      <c r="U1226" s="7" t="s">
        <v>2913</v>
      </c>
      <c r="V1226" s="7" t="str">
        <f>+IF(U1226="","",IF(U1226="FINES",CONCATENATE("R",IF(OR(B1226="16",B1226="21",B1226="22",B1226="23"),"16212223",IF(OR(B1226="15",B1226="17",B1226="24",B1226="25"),"15172425",B1226))),IF(U1226="CEBAS","UNICO",IF(VALUE(B1226)&lt;=11,"AMBA","INTERIOR"))))</f>
        <v>INTERIOR</v>
      </c>
      <c r="W1226" s="38" t="str">
        <f>+IF(U1226="","-",CONCATENATE(U1226,"_",V1226))</f>
        <v>CENS_INTERIOR</v>
      </c>
      <c r="X1226" s="42">
        <v>0.57499999999999996</v>
      </c>
    </row>
    <row r="1227" spans="1:24" ht="15" thickBot="1">
      <c r="A1227" s="5" t="s">
        <v>2916</v>
      </c>
      <c r="B1227" s="5" t="s">
        <v>410</v>
      </c>
      <c r="C1227" s="5" t="s">
        <v>1247</v>
      </c>
      <c r="D1227" s="5" t="s">
        <v>2733</v>
      </c>
      <c r="E1227" s="5">
        <v>624116</v>
      </c>
      <c r="F1227" s="5">
        <v>0</v>
      </c>
      <c r="G1227" s="5" t="s">
        <v>2737</v>
      </c>
      <c r="H1227" s="5" t="s">
        <v>20</v>
      </c>
      <c r="I1227" s="6" t="s">
        <v>142</v>
      </c>
      <c r="J1227" s="6" t="s">
        <v>21</v>
      </c>
      <c r="K1227" s="6"/>
      <c r="L1227" s="6" t="s">
        <v>2738</v>
      </c>
      <c r="M1227" s="6" t="s">
        <v>22</v>
      </c>
      <c r="N1227" s="6" t="s">
        <v>23</v>
      </c>
      <c r="O1227" s="6" t="s">
        <v>27</v>
      </c>
      <c r="P1227" s="6" t="s">
        <v>144</v>
      </c>
      <c r="Q1227" s="22">
        <v>57</v>
      </c>
      <c r="R1227" s="23">
        <v>3</v>
      </c>
      <c r="S1227" s="39">
        <v>1</v>
      </c>
      <c r="T1227" s="7"/>
      <c r="U1227" s="7" t="s">
        <v>2913</v>
      </c>
      <c r="V1227" s="7" t="str">
        <f>+IF(U1227="","",IF(U1227="FINES",CONCATENATE("R",IF(OR(B1227="16",B1227="21",B1227="22",B1227="23"),"16212223",IF(OR(B1227="15",B1227="17",B1227="24",B1227="25"),"15172425",B1227))),IF(U1227="CEBAS","UNICO",IF(VALUE(B1227)&lt;=11,"AMBA","INTERIOR"))))</f>
        <v>INTERIOR</v>
      </c>
      <c r="W1227" s="38" t="str">
        <f>+IF(U1227="","-",CONCATENATE(U1227,"_",V1227))</f>
        <v>CENS_INTERIOR</v>
      </c>
      <c r="X1227" s="42">
        <v>0.57699999999999996</v>
      </c>
    </row>
    <row r="1228" spans="1:24" ht="15" thickBot="1">
      <c r="A1228" s="5" t="s">
        <v>2916</v>
      </c>
      <c r="B1228" s="5" t="s">
        <v>223</v>
      </c>
      <c r="C1228" s="5" t="s">
        <v>229</v>
      </c>
      <c r="D1228" s="5" t="s">
        <v>231</v>
      </c>
      <c r="E1228" s="5">
        <v>611324</v>
      </c>
      <c r="F1228" s="5">
        <v>1</v>
      </c>
      <c r="G1228" s="5" t="s">
        <v>241</v>
      </c>
      <c r="H1228" s="5" t="s">
        <v>20</v>
      </c>
      <c r="I1228" s="6" t="s">
        <v>142</v>
      </c>
      <c r="J1228" s="6" t="s">
        <v>139</v>
      </c>
      <c r="K1228" s="6" t="s">
        <v>239</v>
      </c>
      <c r="L1228" s="6" t="s">
        <v>242</v>
      </c>
      <c r="M1228" s="6" t="s">
        <v>200</v>
      </c>
      <c r="N1228" s="6" t="s">
        <v>23</v>
      </c>
      <c r="O1228" s="6" t="s">
        <v>27</v>
      </c>
      <c r="P1228" s="6" t="s">
        <v>144</v>
      </c>
      <c r="Q1228" s="22">
        <v>13</v>
      </c>
      <c r="R1228" s="23">
        <v>1</v>
      </c>
      <c r="S1228" s="39">
        <v>1</v>
      </c>
      <c r="T1228" s="7"/>
      <c r="U1228" s="7" t="s">
        <v>2913</v>
      </c>
      <c r="V1228" s="7" t="str">
        <f>+IF(U1228="","",IF(U1228="FINES",CONCATENATE("R",IF(OR(B1228="16",B1228="21",B1228="22",B1228="23"),"16212223",IF(OR(B1228="15",B1228="17",B1228="24",B1228="25"),"15172425",B1228))),IF(U1228="CEBAS","UNICO",IF(VALUE(B1228)&lt;=11,"AMBA","INTERIOR"))))</f>
        <v>INTERIOR</v>
      </c>
      <c r="W1228" s="38" t="str">
        <f>+IF(U1228="","-",CONCATENATE(U1228,"_",V1228))</f>
        <v>CENS_INTERIOR</v>
      </c>
      <c r="X1228" s="42">
        <v>0.58299999999999996</v>
      </c>
    </row>
    <row r="1229" spans="1:24" ht="15" thickBot="1">
      <c r="A1229" s="5" t="s">
        <v>2916</v>
      </c>
      <c r="B1229" s="5" t="s">
        <v>221</v>
      </c>
      <c r="C1229" s="5" t="s">
        <v>230</v>
      </c>
      <c r="D1229" s="5" t="s">
        <v>432</v>
      </c>
      <c r="E1229" s="5">
        <v>620568</v>
      </c>
      <c r="F1229" s="5">
        <v>0</v>
      </c>
      <c r="G1229" s="5" t="s">
        <v>446</v>
      </c>
      <c r="H1229" s="5" t="s">
        <v>20</v>
      </c>
      <c r="I1229" s="6" t="s">
        <v>142</v>
      </c>
      <c r="J1229" s="6" t="s">
        <v>21</v>
      </c>
      <c r="K1229" s="6"/>
      <c r="L1229" s="6" t="s">
        <v>400</v>
      </c>
      <c r="M1229" s="6" t="s">
        <v>22</v>
      </c>
      <c r="N1229" s="6" t="s">
        <v>23</v>
      </c>
      <c r="O1229" s="6" t="s">
        <v>27</v>
      </c>
      <c r="P1229" s="6" t="s">
        <v>144</v>
      </c>
      <c r="Q1229" s="22">
        <v>382</v>
      </c>
      <c r="R1229" s="23">
        <v>19</v>
      </c>
      <c r="S1229" s="39">
        <v>1</v>
      </c>
      <c r="T1229" s="7"/>
      <c r="U1229" s="7" t="s">
        <v>2913</v>
      </c>
      <c r="V1229" s="7" t="str">
        <f>+IF(U1229="","",IF(U1229="FINES",CONCATENATE("R",IF(OR(B1229="16",B1229="21",B1229="22",B1229="23"),"16212223",IF(OR(B1229="15",B1229="17",B1229="24",B1229="25"),"15172425",B1229))),IF(U1229="CEBAS","UNICO",IF(VALUE(B1229)&lt;=11,"AMBA","INTERIOR"))))</f>
        <v>INTERIOR</v>
      </c>
      <c r="W1229" s="38" t="str">
        <f>+IF(U1229="","-",CONCATENATE(U1229,"_",V1229))</f>
        <v>CENS_INTERIOR</v>
      </c>
      <c r="X1229" s="42">
        <v>0.58499999999999996</v>
      </c>
    </row>
    <row r="1230" spans="1:24" ht="15" thickBot="1">
      <c r="A1230" s="5" t="s">
        <v>2916</v>
      </c>
      <c r="B1230" s="5" t="s">
        <v>598</v>
      </c>
      <c r="C1230" s="5" t="s">
        <v>1190</v>
      </c>
      <c r="D1230" s="5" t="s">
        <v>1191</v>
      </c>
      <c r="E1230" s="5">
        <v>610270</v>
      </c>
      <c r="F1230" s="5">
        <v>0</v>
      </c>
      <c r="G1230" s="5" t="s">
        <v>1194</v>
      </c>
      <c r="H1230" s="5" t="s">
        <v>20</v>
      </c>
      <c r="I1230" s="6" t="s">
        <v>142</v>
      </c>
      <c r="J1230" s="6" t="s">
        <v>21</v>
      </c>
      <c r="K1230" s="6"/>
      <c r="L1230" s="6" t="s">
        <v>251</v>
      </c>
      <c r="M1230" s="6" t="s">
        <v>22</v>
      </c>
      <c r="N1230" s="6" t="s">
        <v>23</v>
      </c>
      <c r="O1230" s="6" t="s">
        <v>27</v>
      </c>
      <c r="P1230" s="6" t="s">
        <v>144</v>
      </c>
      <c r="Q1230" s="22">
        <v>98</v>
      </c>
      <c r="R1230" s="23">
        <v>4</v>
      </c>
      <c r="S1230" s="39">
        <v>1</v>
      </c>
      <c r="T1230" s="7"/>
      <c r="U1230" s="7" t="s">
        <v>2913</v>
      </c>
      <c r="V1230" s="7" t="str">
        <f>+IF(U1230="","",IF(U1230="FINES",CONCATENATE("R",IF(OR(B1230="16",B1230="21",B1230="22",B1230="23"),"16212223",IF(OR(B1230="15",B1230="17",B1230="24",B1230="25"),"15172425",B1230))),IF(U1230="CEBAS","UNICO",IF(VALUE(B1230)&lt;=11,"AMBA","INTERIOR"))))</f>
        <v>INTERIOR</v>
      </c>
      <c r="W1230" s="38" t="str">
        <f>+IF(U1230="","-",CONCATENATE(U1230,"_",V1230))</f>
        <v>CENS_INTERIOR</v>
      </c>
      <c r="X1230" s="42">
        <v>0.58599999999999997</v>
      </c>
    </row>
    <row r="1231" spans="1:24" ht="15" thickBot="1">
      <c r="A1231" s="5" t="s">
        <v>2916</v>
      </c>
      <c r="B1231" s="5" t="s">
        <v>410</v>
      </c>
      <c r="C1231" s="5" t="s">
        <v>1247</v>
      </c>
      <c r="D1231" s="5" t="s">
        <v>2733</v>
      </c>
      <c r="E1231" s="5">
        <v>623921</v>
      </c>
      <c r="F1231" s="5">
        <v>0</v>
      </c>
      <c r="G1231" s="5" t="s">
        <v>2736</v>
      </c>
      <c r="H1231" s="5" t="s">
        <v>20</v>
      </c>
      <c r="I1231" s="6" t="s">
        <v>142</v>
      </c>
      <c r="J1231" s="6" t="s">
        <v>21</v>
      </c>
      <c r="K1231" s="6"/>
      <c r="L1231" s="6" t="s">
        <v>706</v>
      </c>
      <c r="M1231" s="6" t="s">
        <v>22</v>
      </c>
      <c r="N1231" s="6" t="s">
        <v>23</v>
      </c>
      <c r="O1231" s="6" t="s">
        <v>27</v>
      </c>
      <c r="P1231" s="6" t="s">
        <v>144</v>
      </c>
      <c r="Q1231" s="22">
        <v>129</v>
      </c>
      <c r="R1231" s="23">
        <v>4</v>
      </c>
      <c r="S1231" s="39">
        <v>1</v>
      </c>
      <c r="T1231" s="7"/>
      <c r="U1231" s="7" t="s">
        <v>2913</v>
      </c>
      <c r="V1231" s="7" t="str">
        <f>+IF(U1231="","",IF(U1231="FINES",CONCATENATE("R",IF(OR(B1231="16",B1231="21",B1231="22",B1231="23"),"16212223",IF(OR(B1231="15",B1231="17",B1231="24",B1231="25"),"15172425",B1231))),IF(U1231="CEBAS","UNICO",IF(VALUE(B1231)&lt;=11,"AMBA","INTERIOR"))))</f>
        <v>INTERIOR</v>
      </c>
      <c r="W1231" s="38" t="str">
        <f>+IF(U1231="","-",CONCATENATE(U1231,"_",V1231))</f>
        <v>CENS_INTERIOR</v>
      </c>
      <c r="X1231" s="42">
        <v>0.58899999999999997</v>
      </c>
    </row>
    <row r="1232" spans="1:24" ht="15" thickBot="1">
      <c r="A1232" s="5" t="s">
        <v>2916</v>
      </c>
      <c r="B1232" s="5" t="s">
        <v>410</v>
      </c>
      <c r="C1232" s="5" t="s">
        <v>918</v>
      </c>
      <c r="D1232" s="5" t="s">
        <v>919</v>
      </c>
      <c r="E1232" s="5">
        <v>623798</v>
      </c>
      <c r="F1232" s="5">
        <v>0</v>
      </c>
      <c r="G1232" s="5" t="s">
        <v>922</v>
      </c>
      <c r="H1232" s="5" t="s">
        <v>20</v>
      </c>
      <c r="I1232" s="6" t="s">
        <v>142</v>
      </c>
      <c r="J1232" s="6" t="s">
        <v>21</v>
      </c>
      <c r="K1232" s="6"/>
      <c r="L1232" s="6" t="s">
        <v>251</v>
      </c>
      <c r="M1232" s="6" t="s">
        <v>200</v>
      </c>
      <c r="N1232" s="6" t="s">
        <v>23</v>
      </c>
      <c r="O1232" s="6" t="s">
        <v>27</v>
      </c>
      <c r="P1232" s="6" t="s">
        <v>144</v>
      </c>
      <c r="Q1232" s="22">
        <v>34</v>
      </c>
      <c r="R1232" s="23">
        <v>3</v>
      </c>
      <c r="S1232" s="39">
        <v>1</v>
      </c>
      <c r="T1232" s="7"/>
      <c r="U1232" t="s">
        <v>2913</v>
      </c>
      <c r="V1232" s="7" t="str">
        <f>+IF(U1232="","",IF(U1232="FINES",CONCATENATE("R",IF(OR(B1232="16",B1232="21",B1232="22",B1232="23"),"16212223",IF(OR(B1232="15",B1232="17",B1232="24",B1232="25"),"15172425",B1232))),IF(U1232="CEBAS","UNICO",IF(VALUE(B1232)&lt;=11,"AMBA","INTERIOR"))))</f>
        <v>INTERIOR</v>
      </c>
      <c r="W1232" s="38" t="str">
        <f>+IF(U1232="","-",CONCATENATE(U1232,"_",V1232))</f>
        <v>CENS_INTERIOR</v>
      </c>
      <c r="X1232" s="42">
        <v>0.59</v>
      </c>
    </row>
    <row r="1233" spans="1:24" ht="15" thickBot="1">
      <c r="A1233" s="3" t="s">
        <v>2916</v>
      </c>
      <c r="B1233" s="3" t="s">
        <v>140</v>
      </c>
      <c r="C1233" s="3" t="s">
        <v>2277</v>
      </c>
      <c r="D1233" s="3" t="s">
        <v>2278</v>
      </c>
      <c r="E1233" s="3">
        <v>623774</v>
      </c>
      <c r="F1233" s="3">
        <v>0</v>
      </c>
      <c r="G1233" s="3" t="s">
        <v>2314</v>
      </c>
      <c r="H1233" s="3" t="s">
        <v>20</v>
      </c>
      <c r="I1233" s="4" t="s">
        <v>142</v>
      </c>
      <c r="J1233" s="4" t="s">
        <v>21</v>
      </c>
      <c r="K1233" s="4"/>
      <c r="L1233" s="4" t="s">
        <v>337</v>
      </c>
      <c r="M1233" s="4" t="s">
        <v>22</v>
      </c>
      <c r="N1233" s="4" t="s">
        <v>23</v>
      </c>
      <c r="O1233" s="4" t="s">
        <v>27</v>
      </c>
      <c r="P1233" s="4" t="s">
        <v>144</v>
      </c>
      <c r="Q1233" s="24">
        <v>76</v>
      </c>
      <c r="R1233" s="25">
        <v>5</v>
      </c>
      <c r="S1233" s="39">
        <v>1</v>
      </c>
      <c r="T1233" s="7"/>
      <c r="U1233" t="s">
        <v>2913</v>
      </c>
      <c r="V1233" s="7" t="str">
        <f>+IF(U1233="","",IF(U1233="FINES",CONCATENATE("R",IF(OR(B1233="16",B1233="21",B1233="22",B1233="23"),"16212223",IF(OR(B1233="15",B1233="17",B1233="24",B1233="25"),"15172425",B1233))),IF(U1233="CEBAS","UNICO",IF(VALUE(B1233)&lt;=11,"AMBA","INTERIOR"))))</f>
        <v>INTERIOR</v>
      </c>
      <c r="W1233" s="38" t="str">
        <f>+IF(U1233="","-",CONCATENATE(U1233,"_",V1233))</f>
        <v>CENS_INTERIOR</v>
      </c>
      <c r="X1233" s="42">
        <v>0.59399999999999997</v>
      </c>
    </row>
    <row r="1234" spans="1:24" ht="15" thickBot="1">
      <c r="A1234" s="5" t="s">
        <v>2916</v>
      </c>
      <c r="B1234" s="5" t="s">
        <v>220</v>
      </c>
      <c r="C1234" s="5" t="s">
        <v>664</v>
      </c>
      <c r="D1234" s="5" t="s">
        <v>2749</v>
      </c>
      <c r="E1234" s="5">
        <v>622770</v>
      </c>
      <c r="F1234" s="5">
        <v>0</v>
      </c>
      <c r="G1234" s="5" t="s">
        <v>2753</v>
      </c>
      <c r="H1234" s="5" t="s">
        <v>20</v>
      </c>
      <c r="I1234" s="6" t="s">
        <v>142</v>
      </c>
      <c r="J1234" s="6" t="s">
        <v>21</v>
      </c>
      <c r="K1234" s="6"/>
      <c r="L1234" s="6" t="s">
        <v>400</v>
      </c>
      <c r="M1234" s="6" t="s">
        <v>22</v>
      </c>
      <c r="N1234" s="6" t="s">
        <v>23</v>
      </c>
      <c r="O1234" s="6" t="s">
        <v>27</v>
      </c>
      <c r="P1234" s="6" t="s">
        <v>144</v>
      </c>
      <c r="Q1234" s="22">
        <v>127</v>
      </c>
      <c r="R1234" s="23">
        <v>31</v>
      </c>
      <c r="S1234" s="39">
        <v>1</v>
      </c>
      <c r="T1234" s="7"/>
      <c r="U1234" t="s">
        <v>2913</v>
      </c>
      <c r="V1234" s="7" t="str">
        <f>+IF(U1234="","",IF(U1234="FINES",CONCATENATE("R",IF(OR(B1234="16",B1234="21",B1234="22",B1234="23"),"16212223",IF(OR(B1234="15",B1234="17",B1234="24",B1234="25"),"15172425",B1234))),IF(U1234="CEBAS","UNICO",IF(VALUE(B1234)&lt;=11,"AMBA","INTERIOR"))))</f>
        <v>INTERIOR</v>
      </c>
      <c r="W1234" s="38" t="str">
        <f>+IF(U1234="","-",CONCATENATE(U1234,"_",V1234))</f>
        <v>CENS_INTERIOR</v>
      </c>
      <c r="X1234" s="42">
        <v>0.59599999999999997</v>
      </c>
    </row>
    <row r="1235" spans="1:24" ht="15" thickBot="1">
      <c r="A1235" s="3" t="s">
        <v>2916</v>
      </c>
      <c r="B1235" s="3" t="s">
        <v>203</v>
      </c>
      <c r="C1235" s="3" t="s">
        <v>590</v>
      </c>
      <c r="D1235" s="3" t="s">
        <v>2553</v>
      </c>
      <c r="E1235" s="3">
        <v>614352</v>
      </c>
      <c r="F1235" s="3">
        <v>0</v>
      </c>
      <c r="G1235" s="3" t="s">
        <v>2563</v>
      </c>
      <c r="H1235" s="3" t="s">
        <v>20</v>
      </c>
      <c r="I1235" s="4" t="s">
        <v>142</v>
      </c>
      <c r="J1235" s="4" t="s">
        <v>21</v>
      </c>
      <c r="K1235" s="4"/>
      <c r="L1235" s="4" t="s">
        <v>2564</v>
      </c>
      <c r="M1235" s="4" t="s">
        <v>22</v>
      </c>
      <c r="N1235" s="4" t="s">
        <v>23</v>
      </c>
      <c r="O1235" s="4" t="s">
        <v>27</v>
      </c>
      <c r="P1235" s="4" t="s">
        <v>144</v>
      </c>
      <c r="Q1235" s="24">
        <v>280</v>
      </c>
      <c r="R1235" s="25">
        <v>6</v>
      </c>
      <c r="S1235" s="39">
        <v>1</v>
      </c>
      <c r="T1235" s="7"/>
      <c r="U1235" t="s">
        <v>2913</v>
      </c>
      <c r="V1235" s="7" t="str">
        <f>+IF(U1235="","",IF(U1235="FINES",CONCATENATE("R",IF(OR(B1235="16",B1235="21",B1235="22",B1235="23"),"16212223",IF(OR(B1235="15",B1235="17",B1235="24",B1235="25"),"15172425",B1235))),IF(U1235="CEBAS","UNICO",IF(VALUE(B1235)&lt;=11,"AMBA","INTERIOR"))))</f>
        <v>INTERIOR</v>
      </c>
      <c r="W1235" s="38" t="str">
        <f>+IF(U1235="","-",CONCATENATE(U1235,"_",V1235))</f>
        <v>CENS_INTERIOR</v>
      </c>
      <c r="X1235" s="42">
        <v>0.60199999999999998</v>
      </c>
    </row>
    <row r="1236" spans="1:24" ht="15" thickBot="1">
      <c r="A1236" s="3" t="s">
        <v>2916</v>
      </c>
      <c r="B1236" s="3" t="s">
        <v>140</v>
      </c>
      <c r="C1236" s="3" t="s">
        <v>539</v>
      </c>
      <c r="D1236" s="3" t="s">
        <v>541</v>
      </c>
      <c r="E1236" s="3">
        <v>623914</v>
      </c>
      <c r="F1236" s="3">
        <v>0</v>
      </c>
      <c r="G1236" s="3" t="s">
        <v>554</v>
      </c>
      <c r="H1236" s="3" t="s">
        <v>20</v>
      </c>
      <c r="I1236" s="4" t="s">
        <v>142</v>
      </c>
      <c r="J1236" s="4" t="s">
        <v>21</v>
      </c>
      <c r="K1236" s="4"/>
      <c r="L1236" s="4" t="s">
        <v>339</v>
      </c>
      <c r="M1236" s="4" t="s">
        <v>22</v>
      </c>
      <c r="N1236" s="4" t="s">
        <v>23</v>
      </c>
      <c r="O1236" s="4" t="s">
        <v>27</v>
      </c>
      <c r="P1236" s="4" t="s">
        <v>144</v>
      </c>
      <c r="Q1236" s="24">
        <v>31</v>
      </c>
      <c r="R1236" s="25">
        <v>3</v>
      </c>
      <c r="S1236" s="39">
        <v>1</v>
      </c>
      <c r="T1236" s="7"/>
      <c r="U1236" t="s">
        <v>2913</v>
      </c>
      <c r="V1236" s="7" t="str">
        <f>+IF(U1236="","",IF(U1236="FINES",CONCATENATE("R",IF(OR(B1236="16",B1236="21",B1236="22",B1236="23"),"16212223",IF(OR(B1236="15",B1236="17",B1236="24",B1236="25"),"15172425",B1236))),IF(U1236="CEBAS","UNICO",IF(VALUE(B1236)&lt;=11,"AMBA","INTERIOR"))))</f>
        <v>INTERIOR</v>
      </c>
      <c r="W1236" s="38" t="str">
        <f>+IF(U1236="","-",CONCATENATE(U1236,"_",V1236))</f>
        <v>CENS_INTERIOR</v>
      </c>
      <c r="X1236" s="42">
        <v>0.61799999999999999</v>
      </c>
    </row>
    <row r="1237" spans="1:24" ht="15" thickBot="1">
      <c r="A1237" s="3" t="s">
        <v>2916</v>
      </c>
      <c r="B1237" s="3" t="s">
        <v>225</v>
      </c>
      <c r="C1237" s="3" t="s">
        <v>1521</v>
      </c>
      <c r="D1237" s="3" t="s">
        <v>1522</v>
      </c>
      <c r="E1237" s="3">
        <v>623925</v>
      </c>
      <c r="F1237" s="3">
        <v>0</v>
      </c>
      <c r="G1237" s="3" t="s">
        <v>1529</v>
      </c>
      <c r="H1237" s="3" t="s">
        <v>20</v>
      </c>
      <c r="I1237" s="4" t="s">
        <v>142</v>
      </c>
      <c r="J1237" s="4" t="s">
        <v>21</v>
      </c>
      <c r="K1237" s="4"/>
      <c r="L1237" s="4" t="s">
        <v>448</v>
      </c>
      <c r="M1237" s="4" t="s">
        <v>22</v>
      </c>
      <c r="N1237" s="4" t="s">
        <v>23</v>
      </c>
      <c r="O1237" s="4" t="s">
        <v>27</v>
      </c>
      <c r="P1237" s="4" t="s">
        <v>144</v>
      </c>
      <c r="Q1237" s="24">
        <v>66</v>
      </c>
      <c r="R1237" s="25">
        <v>6</v>
      </c>
      <c r="S1237" s="39">
        <v>1</v>
      </c>
      <c r="T1237" s="7"/>
      <c r="U1237" t="s">
        <v>2913</v>
      </c>
      <c r="V1237" s="7" t="str">
        <f>+IF(U1237="","",IF(U1237="FINES",CONCATENATE("R",IF(OR(B1237="16",B1237="21",B1237="22",B1237="23"),"16212223",IF(OR(B1237="15",B1237="17",B1237="24",B1237="25"),"15172425",B1237))),IF(U1237="CEBAS","UNICO",IF(VALUE(B1237)&lt;=11,"AMBA","INTERIOR"))))</f>
        <v>INTERIOR</v>
      </c>
      <c r="W1237" s="38" t="str">
        <f>+IF(U1237="","-",CONCATENATE(U1237,"_",V1237))</f>
        <v>CENS_INTERIOR</v>
      </c>
      <c r="X1237" s="42">
        <v>0.61899999999999999</v>
      </c>
    </row>
    <row r="1238" spans="1:24" ht="15" thickBot="1">
      <c r="A1238" s="3" t="s">
        <v>2916</v>
      </c>
      <c r="B1238" s="3" t="s">
        <v>225</v>
      </c>
      <c r="C1238" s="3" t="s">
        <v>942</v>
      </c>
      <c r="D1238" s="3" t="s">
        <v>943</v>
      </c>
      <c r="E1238" s="3">
        <v>612864</v>
      </c>
      <c r="F1238" s="3">
        <v>0</v>
      </c>
      <c r="G1238" s="3" t="s">
        <v>1033</v>
      </c>
      <c r="H1238" s="3" t="s">
        <v>20</v>
      </c>
      <c r="I1238" s="4" t="s">
        <v>142</v>
      </c>
      <c r="J1238" s="4" t="s">
        <v>21</v>
      </c>
      <c r="K1238" s="4"/>
      <c r="L1238" s="4" t="s">
        <v>1034</v>
      </c>
      <c r="M1238" s="4" t="s">
        <v>22</v>
      </c>
      <c r="N1238" s="4" t="s">
        <v>23</v>
      </c>
      <c r="O1238" s="4" t="s">
        <v>27</v>
      </c>
      <c r="P1238" s="4" t="s">
        <v>144</v>
      </c>
      <c r="Q1238" s="24">
        <v>17</v>
      </c>
      <c r="R1238" s="25">
        <v>3</v>
      </c>
      <c r="S1238" s="39">
        <v>1</v>
      </c>
      <c r="T1238" s="7"/>
      <c r="U1238" t="s">
        <v>2913</v>
      </c>
      <c r="V1238" s="7" t="str">
        <f>+IF(U1238="","",IF(U1238="FINES",CONCATENATE("R",IF(OR(B1238="16",B1238="21",B1238="22",B1238="23"),"16212223",IF(OR(B1238="15",B1238="17",B1238="24",B1238="25"),"15172425",B1238))),IF(U1238="CEBAS","UNICO",IF(VALUE(B1238)&lt;=11,"AMBA","INTERIOR"))))</f>
        <v>INTERIOR</v>
      </c>
      <c r="W1238" s="38" t="str">
        <f>+IF(U1238="","-",CONCATENATE(U1238,"_",V1238))</f>
        <v>CENS_INTERIOR</v>
      </c>
      <c r="X1238" s="42">
        <v>0.628</v>
      </c>
    </row>
    <row r="1239" spans="1:24" ht="15" thickBot="1">
      <c r="A1239" s="5" t="s">
        <v>2916</v>
      </c>
      <c r="B1239" s="5" t="s">
        <v>140</v>
      </c>
      <c r="C1239" s="5" t="s">
        <v>2277</v>
      </c>
      <c r="D1239" s="5" t="s">
        <v>2278</v>
      </c>
      <c r="E1239" s="5">
        <v>607178</v>
      </c>
      <c r="F1239" s="5">
        <v>0</v>
      </c>
      <c r="G1239" s="5" t="s">
        <v>2317</v>
      </c>
      <c r="H1239" s="5" t="s">
        <v>20</v>
      </c>
      <c r="I1239" s="6" t="s">
        <v>142</v>
      </c>
      <c r="J1239" s="6" t="s">
        <v>21</v>
      </c>
      <c r="K1239" s="6"/>
      <c r="L1239" s="6" t="s">
        <v>341</v>
      </c>
      <c r="M1239" s="6" t="s">
        <v>22</v>
      </c>
      <c r="N1239" s="6" t="s">
        <v>23</v>
      </c>
      <c r="O1239" s="6" t="s">
        <v>27</v>
      </c>
      <c r="P1239" s="6" t="s">
        <v>144</v>
      </c>
      <c r="Q1239" s="22">
        <v>179</v>
      </c>
      <c r="R1239" s="23">
        <v>14</v>
      </c>
      <c r="S1239" s="39">
        <v>1</v>
      </c>
      <c r="T1239" s="7"/>
      <c r="U1239" t="s">
        <v>2913</v>
      </c>
      <c r="V1239" s="7" t="str">
        <f>+IF(U1239="","",IF(U1239="FINES",CONCATENATE("R",IF(OR(B1239="16",B1239="21",B1239="22",B1239="23"),"16212223",IF(OR(B1239="15",B1239="17",B1239="24",B1239="25"),"15172425",B1239))),IF(U1239="CEBAS","UNICO",IF(VALUE(B1239)&lt;=11,"AMBA","INTERIOR"))))</f>
        <v>INTERIOR</v>
      </c>
      <c r="W1239" s="38" t="str">
        <f>+IF(U1239="","-",CONCATENATE(U1239,"_",V1239))</f>
        <v>CENS_INTERIOR</v>
      </c>
      <c r="X1239" s="42">
        <v>0.628</v>
      </c>
    </row>
    <row r="1240" spans="1:24" ht="15" thickBot="1">
      <c r="A1240" s="3" t="s">
        <v>2916</v>
      </c>
      <c r="B1240" s="3" t="s">
        <v>205</v>
      </c>
      <c r="C1240" s="3" t="s">
        <v>1946</v>
      </c>
      <c r="D1240" s="3" t="s">
        <v>1947</v>
      </c>
      <c r="E1240" s="3">
        <v>605144</v>
      </c>
      <c r="F1240" s="3">
        <v>0</v>
      </c>
      <c r="G1240" s="3" t="s">
        <v>1957</v>
      </c>
      <c r="H1240" s="3" t="s">
        <v>20</v>
      </c>
      <c r="I1240" s="4" t="s">
        <v>142</v>
      </c>
      <c r="J1240" s="4" t="s">
        <v>21</v>
      </c>
      <c r="K1240" s="4"/>
      <c r="L1240" s="4" t="s">
        <v>335</v>
      </c>
      <c r="M1240" s="4" t="s">
        <v>200</v>
      </c>
      <c r="N1240" s="4" t="s">
        <v>23</v>
      </c>
      <c r="O1240" s="4" t="s">
        <v>27</v>
      </c>
      <c r="P1240" s="4" t="s">
        <v>144</v>
      </c>
      <c r="Q1240" s="24">
        <v>44</v>
      </c>
      <c r="R1240" s="25">
        <v>3</v>
      </c>
      <c r="S1240" s="39">
        <v>1</v>
      </c>
      <c r="T1240" s="7"/>
      <c r="U1240" s="7" t="s">
        <v>2913</v>
      </c>
      <c r="V1240" s="7" t="str">
        <f>+IF(U1240="","",IF(U1240="FINES",CONCATENATE("R",IF(OR(B1240="16",B1240="21",B1240="22",B1240="23"),"16212223",IF(OR(B1240="15",B1240="17",B1240="24",B1240="25"),"15172425",B1240))),IF(U1240="CEBAS","UNICO",IF(VALUE(B1240)&lt;=11,"AMBA","INTERIOR"))))</f>
        <v>INTERIOR</v>
      </c>
      <c r="W1240" s="38" t="str">
        <f>+IF(U1240="","-",CONCATENATE(U1240,"_",V1240))</f>
        <v>CENS_INTERIOR</v>
      </c>
      <c r="X1240" s="42">
        <v>0.63</v>
      </c>
    </row>
    <row r="1241" spans="1:24" ht="15" thickBot="1">
      <c r="A1241" s="5" t="s">
        <v>2916</v>
      </c>
      <c r="B1241" s="5" t="s">
        <v>221</v>
      </c>
      <c r="C1241" s="5" t="s">
        <v>737</v>
      </c>
      <c r="D1241" s="5" t="s">
        <v>2422</v>
      </c>
      <c r="E1241" s="5">
        <v>623994</v>
      </c>
      <c r="F1241" s="5">
        <v>0</v>
      </c>
      <c r="G1241" s="5" t="s">
        <v>2425</v>
      </c>
      <c r="H1241" s="5" t="s">
        <v>20</v>
      </c>
      <c r="I1241" s="6" t="s">
        <v>142</v>
      </c>
      <c r="J1241" s="6" t="s">
        <v>21</v>
      </c>
      <c r="K1241" s="6"/>
      <c r="L1241" s="6" t="s">
        <v>240</v>
      </c>
      <c r="M1241" s="6" t="s">
        <v>22</v>
      </c>
      <c r="N1241" s="6" t="s">
        <v>23</v>
      </c>
      <c r="O1241" s="6" t="s">
        <v>27</v>
      </c>
      <c r="P1241" s="6" t="s">
        <v>144</v>
      </c>
      <c r="Q1241" s="22">
        <v>56</v>
      </c>
      <c r="R1241" s="23">
        <v>3</v>
      </c>
      <c r="S1241" s="39">
        <v>1</v>
      </c>
      <c r="T1241" s="7"/>
      <c r="U1241" s="7" t="s">
        <v>2913</v>
      </c>
      <c r="V1241" s="7" t="str">
        <f>+IF(U1241="","",IF(U1241="FINES",CONCATENATE("R",IF(OR(B1241="16",B1241="21",B1241="22",B1241="23"),"16212223",IF(OR(B1241="15",B1241="17",B1241="24",B1241="25"),"15172425",B1241))),IF(U1241="CEBAS","UNICO",IF(VALUE(B1241)&lt;=11,"AMBA","INTERIOR"))))</f>
        <v>INTERIOR</v>
      </c>
      <c r="W1241" s="38" t="str">
        <f>+IF(U1241="","-",CONCATENATE(U1241,"_",V1241))</f>
        <v>CENS_INTERIOR</v>
      </c>
      <c r="X1241" s="42">
        <v>0.65200000000000002</v>
      </c>
    </row>
    <row r="1242" spans="1:24" ht="15" thickBot="1">
      <c r="A1242" s="5" t="s">
        <v>2916</v>
      </c>
      <c r="B1242" s="5" t="s">
        <v>225</v>
      </c>
      <c r="C1242" s="5" t="s">
        <v>942</v>
      </c>
      <c r="D1242" s="5" t="s">
        <v>943</v>
      </c>
      <c r="E1242" s="5">
        <v>603166</v>
      </c>
      <c r="F1242" s="5">
        <v>0</v>
      </c>
      <c r="G1242" s="5" t="s">
        <v>1044</v>
      </c>
      <c r="H1242" s="5" t="s">
        <v>20</v>
      </c>
      <c r="I1242" s="6" t="s">
        <v>142</v>
      </c>
      <c r="J1242" s="6" t="s">
        <v>21</v>
      </c>
      <c r="K1242" s="6"/>
      <c r="L1242" s="6" t="s">
        <v>1045</v>
      </c>
      <c r="M1242" s="6" t="s">
        <v>22</v>
      </c>
      <c r="N1242" s="6" t="s">
        <v>23</v>
      </c>
      <c r="O1242" s="6" t="s">
        <v>27</v>
      </c>
      <c r="P1242" s="6" t="s">
        <v>144</v>
      </c>
      <c r="Q1242" s="22">
        <v>97</v>
      </c>
      <c r="R1242" s="23">
        <v>9</v>
      </c>
      <c r="S1242" s="39">
        <v>1</v>
      </c>
      <c r="T1242" s="7"/>
      <c r="U1242" s="7" t="s">
        <v>2913</v>
      </c>
      <c r="V1242" s="7" t="str">
        <f>+IF(U1242="","",IF(U1242="FINES",CONCATENATE("R",IF(OR(B1242="16",B1242="21",B1242="22",B1242="23"),"16212223",IF(OR(B1242="15",B1242="17",B1242="24",B1242="25"),"15172425",B1242))),IF(U1242="CEBAS","UNICO",IF(VALUE(B1242)&lt;=11,"AMBA","INTERIOR"))))</f>
        <v>INTERIOR</v>
      </c>
      <c r="W1242" s="38" t="str">
        <f>+IF(U1242="","-",CONCATENATE(U1242,"_",V1242))</f>
        <v>CENS_INTERIOR</v>
      </c>
      <c r="X1242" s="42">
        <v>0.65300000000000002</v>
      </c>
    </row>
    <row r="1243" spans="1:24" ht="15" thickBot="1">
      <c r="A1243" s="3" t="s">
        <v>2916</v>
      </c>
      <c r="B1243" s="3" t="s">
        <v>205</v>
      </c>
      <c r="C1243" s="3" t="s">
        <v>589</v>
      </c>
      <c r="D1243" s="3" t="s">
        <v>591</v>
      </c>
      <c r="E1243" s="3">
        <v>620917</v>
      </c>
      <c r="F1243" s="3">
        <v>0</v>
      </c>
      <c r="G1243" s="3" t="s">
        <v>595</v>
      </c>
      <c r="H1243" s="3" t="s">
        <v>20</v>
      </c>
      <c r="I1243" s="4" t="s">
        <v>142</v>
      </c>
      <c r="J1243" s="4" t="s">
        <v>21</v>
      </c>
      <c r="K1243" s="4"/>
      <c r="L1243" s="4" t="s">
        <v>596</v>
      </c>
      <c r="M1243" s="4" t="s">
        <v>22</v>
      </c>
      <c r="N1243" s="4" t="s">
        <v>23</v>
      </c>
      <c r="O1243" s="4" t="s">
        <v>27</v>
      </c>
      <c r="P1243" s="4" t="s">
        <v>144</v>
      </c>
      <c r="Q1243" s="24">
        <v>210</v>
      </c>
      <c r="R1243" s="25">
        <v>9</v>
      </c>
      <c r="S1243" s="39">
        <v>1</v>
      </c>
      <c r="T1243" s="7"/>
      <c r="U1243" t="s">
        <v>2913</v>
      </c>
      <c r="V1243" s="7" t="str">
        <f>+IF(U1243="","",IF(U1243="FINES",CONCATENATE("R",IF(OR(B1243="16",B1243="21",B1243="22",B1243="23"),"16212223",IF(OR(B1243="15",B1243="17",B1243="24",B1243="25"),"15172425",B1243))),IF(U1243="CEBAS","UNICO",IF(VALUE(B1243)&lt;=11,"AMBA","INTERIOR"))))</f>
        <v>INTERIOR</v>
      </c>
      <c r="W1243" s="38" t="str">
        <f>+IF(U1243="","-",CONCATENATE(U1243,"_",V1243))</f>
        <v>CENS_INTERIOR</v>
      </c>
      <c r="X1243" s="42">
        <v>0.66</v>
      </c>
    </row>
    <row r="1244" spans="1:24" ht="15" thickBot="1">
      <c r="A1244" s="5" t="s">
        <v>2916</v>
      </c>
      <c r="B1244" s="5" t="s">
        <v>352</v>
      </c>
      <c r="C1244" s="5" t="s">
        <v>349</v>
      </c>
      <c r="D1244" s="5" t="s">
        <v>2397</v>
      </c>
      <c r="E1244" s="5">
        <v>623816</v>
      </c>
      <c r="F1244" s="5">
        <v>0</v>
      </c>
      <c r="G1244" s="5" t="s">
        <v>2414</v>
      </c>
      <c r="H1244" s="5" t="s">
        <v>20</v>
      </c>
      <c r="I1244" s="6" t="s">
        <v>142</v>
      </c>
      <c r="J1244" s="6" t="s">
        <v>21</v>
      </c>
      <c r="K1244" s="6"/>
      <c r="L1244" s="6" t="s">
        <v>335</v>
      </c>
      <c r="M1244" s="6" t="s">
        <v>22</v>
      </c>
      <c r="N1244" s="6" t="s">
        <v>23</v>
      </c>
      <c r="O1244" s="6" t="s">
        <v>27</v>
      </c>
      <c r="P1244" s="6" t="s">
        <v>144</v>
      </c>
      <c r="Q1244" s="22">
        <v>37</v>
      </c>
      <c r="R1244" s="23">
        <v>6</v>
      </c>
      <c r="S1244" s="39">
        <v>1</v>
      </c>
      <c r="T1244" s="7"/>
      <c r="U1244" t="s">
        <v>2913</v>
      </c>
      <c r="V1244" s="7" t="str">
        <f>+IF(U1244="","",IF(U1244="FINES",CONCATENATE("R",IF(OR(B1244="16",B1244="21",B1244="22",B1244="23"),"16212223",IF(OR(B1244="15",B1244="17",B1244="24",B1244="25"),"15172425",B1244))),IF(U1244="CEBAS","UNICO",IF(VALUE(B1244)&lt;=11,"AMBA","INTERIOR"))))</f>
        <v>INTERIOR</v>
      </c>
      <c r="W1244" s="38" t="str">
        <f>+IF(U1244="","-",CONCATENATE(U1244,"_",V1244))</f>
        <v>CENS_INTERIOR</v>
      </c>
      <c r="X1244" s="42">
        <v>0.66100000000000003</v>
      </c>
    </row>
    <row r="1245" spans="1:24" ht="15" thickBot="1">
      <c r="A1245" s="3" t="s">
        <v>2916</v>
      </c>
      <c r="B1245" s="3" t="s">
        <v>203</v>
      </c>
      <c r="C1245" s="3" t="s">
        <v>450</v>
      </c>
      <c r="D1245" s="3" t="s">
        <v>452</v>
      </c>
      <c r="E1245" s="3">
        <v>603043</v>
      </c>
      <c r="F1245" s="3">
        <v>0</v>
      </c>
      <c r="G1245" s="3" t="s">
        <v>496</v>
      </c>
      <c r="H1245" s="3" t="s">
        <v>20</v>
      </c>
      <c r="I1245" s="4" t="s">
        <v>142</v>
      </c>
      <c r="J1245" s="4" t="s">
        <v>21</v>
      </c>
      <c r="K1245" s="4"/>
      <c r="L1245" s="4" t="s">
        <v>497</v>
      </c>
      <c r="M1245" s="4" t="s">
        <v>22</v>
      </c>
      <c r="N1245" s="4" t="s">
        <v>23</v>
      </c>
      <c r="O1245" s="4" t="s">
        <v>27</v>
      </c>
      <c r="P1245" s="4" t="s">
        <v>144</v>
      </c>
      <c r="Q1245" s="24">
        <v>186</v>
      </c>
      <c r="R1245" s="25">
        <v>10</v>
      </c>
      <c r="S1245" s="39">
        <v>1</v>
      </c>
      <c r="T1245" s="7"/>
      <c r="U1245" t="s">
        <v>2913</v>
      </c>
      <c r="V1245" s="7" t="str">
        <f>+IF(U1245="","",IF(U1245="FINES",CONCATENATE("R",IF(OR(B1245="16",B1245="21",B1245="22",B1245="23"),"16212223",IF(OR(B1245="15",B1245="17",B1245="24",B1245="25"),"15172425",B1245))),IF(U1245="CEBAS","UNICO",IF(VALUE(B1245)&lt;=11,"AMBA","INTERIOR"))))</f>
        <v>INTERIOR</v>
      </c>
      <c r="W1245" s="38" t="str">
        <f>+IF(U1245="","-",CONCATENATE(U1245,"_",V1245))</f>
        <v>CENS_INTERIOR</v>
      </c>
      <c r="X1245" s="42">
        <v>0.66200000000000003</v>
      </c>
    </row>
    <row r="1246" spans="1:24" ht="15" thickBot="1">
      <c r="A1246" s="5" t="s">
        <v>2916</v>
      </c>
      <c r="B1246" s="5" t="s">
        <v>206</v>
      </c>
      <c r="C1246" s="5" t="s">
        <v>749</v>
      </c>
      <c r="D1246" s="5" t="s">
        <v>2905</v>
      </c>
      <c r="E1246" s="5">
        <v>623796</v>
      </c>
      <c r="F1246" s="5">
        <v>0</v>
      </c>
      <c r="G1246" s="5" t="s">
        <v>2907</v>
      </c>
      <c r="H1246" s="5" t="s">
        <v>20</v>
      </c>
      <c r="I1246" s="6" t="s">
        <v>142</v>
      </c>
      <c r="J1246" s="6" t="s">
        <v>21</v>
      </c>
      <c r="K1246" s="6"/>
      <c r="L1246" s="6" t="s">
        <v>251</v>
      </c>
      <c r="M1246" s="6" t="s">
        <v>22</v>
      </c>
      <c r="N1246" s="6" t="s">
        <v>23</v>
      </c>
      <c r="O1246" s="6" t="s">
        <v>27</v>
      </c>
      <c r="P1246" s="6" t="s">
        <v>144</v>
      </c>
      <c r="Q1246" s="22">
        <v>69</v>
      </c>
      <c r="R1246" s="23">
        <v>4</v>
      </c>
      <c r="S1246" s="39">
        <v>1</v>
      </c>
      <c r="T1246" s="7"/>
      <c r="U1246" s="7" t="s">
        <v>2913</v>
      </c>
      <c r="V1246" s="7" t="str">
        <f>+IF(U1246="","",IF(U1246="FINES",CONCATENATE("R",IF(OR(B1246="16",B1246="21",B1246="22",B1246="23"),"16212223",IF(OR(B1246="15",B1246="17",B1246="24",B1246="25"),"15172425",B1246))),IF(U1246="CEBAS","UNICO",IF(VALUE(B1246)&lt;=11,"AMBA","INTERIOR"))))</f>
        <v>INTERIOR</v>
      </c>
      <c r="W1246" s="38" t="str">
        <f>+IF(U1246="","-",CONCATENATE(U1246,"_",V1246))</f>
        <v>CENS_INTERIOR</v>
      </c>
      <c r="X1246" s="42">
        <v>0.67</v>
      </c>
    </row>
    <row r="1247" spans="1:24" ht="15" thickBot="1">
      <c r="A1247" s="5" t="s">
        <v>2916</v>
      </c>
      <c r="B1247" s="5" t="s">
        <v>140</v>
      </c>
      <c r="C1247" s="5" t="s">
        <v>2277</v>
      </c>
      <c r="D1247" s="5" t="s">
        <v>2278</v>
      </c>
      <c r="E1247" s="5">
        <v>623773</v>
      </c>
      <c r="F1247" s="5">
        <v>0</v>
      </c>
      <c r="G1247" s="5" t="s">
        <v>2315</v>
      </c>
      <c r="H1247" s="5" t="s">
        <v>20</v>
      </c>
      <c r="I1247" s="6" t="s">
        <v>142</v>
      </c>
      <c r="J1247" s="6" t="s">
        <v>21</v>
      </c>
      <c r="K1247" s="6"/>
      <c r="L1247" s="6" t="s">
        <v>636</v>
      </c>
      <c r="M1247" s="6" t="s">
        <v>22</v>
      </c>
      <c r="N1247" s="6" t="s">
        <v>23</v>
      </c>
      <c r="O1247" s="6" t="s">
        <v>27</v>
      </c>
      <c r="P1247" s="6" t="s">
        <v>144</v>
      </c>
      <c r="Q1247" s="22">
        <v>97</v>
      </c>
      <c r="R1247" s="23">
        <v>5</v>
      </c>
      <c r="S1247" s="39">
        <v>1</v>
      </c>
      <c r="T1247" s="7"/>
      <c r="U1247" s="7" t="s">
        <v>2913</v>
      </c>
      <c r="V1247" s="7" t="str">
        <f>+IF(U1247="","",IF(U1247="FINES",CONCATENATE("R",IF(OR(B1247="16",B1247="21",B1247="22",B1247="23"),"16212223",IF(OR(B1247="15",B1247="17",B1247="24",B1247="25"),"15172425",B1247))),IF(U1247="CEBAS","UNICO",IF(VALUE(B1247)&lt;=11,"AMBA","INTERIOR"))))</f>
        <v>INTERIOR</v>
      </c>
      <c r="W1247" s="38" t="str">
        <f>+IF(U1247="","-",CONCATENATE(U1247,"_",V1247))</f>
        <v>CENS_INTERIOR</v>
      </c>
      <c r="X1247" s="42">
        <v>0.68300000000000005</v>
      </c>
    </row>
    <row r="1248" spans="1:24" ht="15" thickBot="1">
      <c r="A1248" s="3" t="s">
        <v>2916</v>
      </c>
      <c r="B1248" s="3" t="s">
        <v>217</v>
      </c>
      <c r="C1248" s="3" t="s">
        <v>2027</v>
      </c>
      <c r="D1248" s="3" t="s">
        <v>2028</v>
      </c>
      <c r="E1248" s="3">
        <v>623781</v>
      </c>
      <c r="F1248" s="3">
        <v>0</v>
      </c>
      <c r="G1248" s="3" t="s">
        <v>2041</v>
      </c>
      <c r="H1248" s="3" t="s">
        <v>20</v>
      </c>
      <c r="I1248" s="4" t="s">
        <v>142</v>
      </c>
      <c r="J1248" s="4" t="s">
        <v>21</v>
      </c>
      <c r="K1248" s="4"/>
      <c r="L1248" s="4" t="s">
        <v>337</v>
      </c>
      <c r="M1248" s="4" t="s">
        <v>22</v>
      </c>
      <c r="N1248" s="4" t="s">
        <v>23</v>
      </c>
      <c r="O1248" s="4" t="s">
        <v>27</v>
      </c>
      <c r="P1248" s="4" t="s">
        <v>144</v>
      </c>
      <c r="Q1248" s="24">
        <v>192</v>
      </c>
      <c r="R1248" s="25">
        <v>9</v>
      </c>
      <c r="S1248" s="39">
        <v>1</v>
      </c>
      <c r="T1248" s="7"/>
      <c r="U1248" s="7" t="s">
        <v>2913</v>
      </c>
      <c r="V1248" s="7" t="str">
        <f>+IF(U1248="","",IF(U1248="FINES",CONCATENATE("R",IF(OR(B1248="16",B1248="21",B1248="22",B1248="23"),"16212223",IF(OR(B1248="15",B1248="17",B1248="24",B1248="25"),"15172425",B1248))),IF(U1248="CEBAS","UNICO",IF(VALUE(B1248)&lt;=11,"AMBA","INTERIOR"))))</f>
        <v>INTERIOR</v>
      </c>
      <c r="W1248" s="38" t="str">
        <f>+IF(U1248="","-",CONCATENATE(U1248,"_",V1248))</f>
        <v>CENS_INTERIOR</v>
      </c>
      <c r="X1248" s="42">
        <v>0.69</v>
      </c>
    </row>
    <row r="1249" spans="1:24" ht="15" thickBot="1">
      <c r="A1249" s="3" t="s">
        <v>2916</v>
      </c>
      <c r="B1249" s="3" t="s">
        <v>221</v>
      </c>
      <c r="C1249" s="3" t="s">
        <v>558</v>
      </c>
      <c r="D1249" s="3" t="s">
        <v>1960</v>
      </c>
      <c r="E1249" s="3">
        <v>609479</v>
      </c>
      <c r="F1249" s="3">
        <v>0</v>
      </c>
      <c r="G1249" s="3" t="s">
        <v>1980</v>
      </c>
      <c r="H1249" s="3" t="s">
        <v>20</v>
      </c>
      <c r="I1249" s="4" t="s">
        <v>142</v>
      </c>
      <c r="J1249" s="4" t="s">
        <v>21</v>
      </c>
      <c r="K1249" s="4"/>
      <c r="L1249" s="4" t="s">
        <v>1981</v>
      </c>
      <c r="M1249" s="4" t="s">
        <v>22</v>
      </c>
      <c r="N1249" s="4" t="s">
        <v>23</v>
      </c>
      <c r="O1249" s="4" t="s">
        <v>27</v>
      </c>
      <c r="P1249" s="4" t="s">
        <v>144</v>
      </c>
      <c r="Q1249" s="24">
        <v>789</v>
      </c>
      <c r="R1249" s="25">
        <v>21</v>
      </c>
      <c r="S1249" s="39">
        <v>1</v>
      </c>
      <c r="T1249" s="7"/>
      <c r="U1249" s="7" t="s">
        <v>2913</v>
      </c>
      <c r="V1249" s="7" t="str">
        <f>+IF(U1249="","",IF(U1249="FINES",CONCATENATE("R",IF(OR(B1249="16",B1249="21",B1249="22",B1249="23"),"16212223",IF(OR(B1249="15",B1249="17",B1249="24",B1249="25"),"15172425",B1249))),IF(U1249="CEBAS","UNICO",IF(VALUE(B1249)&lt;=11,"AMBA","INTERIOR"))))</f>
        <v>INTERIOR</v>
      </c>
      <c r="W1249" s="38" t="str">
        <f>+IF(U1249="","-",CONCATENATE(U1249,"_",V1249))</f>
        <v>CENS_INTERIOR</v>
      </c>
      <c r="X1249" s="42">
        <v>0.69099999999999995</v>
      </c>
    </row>
    <row r="1250" spans="1:24" ht="15" thickBot="1">
      <c r="A1250" s="3" t="s">
        <v>2916</v>
      </c>
      <c r="B1250" s="3" t="s">
        <v>221</v>
      </c>
      <c r="C1250" s="3" t="s">
        <v>558</v>
      </c>
      <c r="D1250" s="3" t="s">
        <v>1960</v>
      </c>
      <c r="E1250" s="3">
        <v>609998</v>
      </c>
      <c r="F1250" s="3">
        <v>0</v>
      </c>
      <c r="G1250" s="3" t="s">
        <v>1985</v>
      </c>
      <c r="H1250" s="3" t="s">
        <v>20</v>
      </c>
      <c r="I1250" s="4" t="s">
        <v>142</v>
      </c>
      <c r="J1250" s="4" t="s">
        <v>21</v>
      </c>
      <c r="K1250" s="4"/>
      <c r="L1250" s="4" t="s">
        <v>638</v>
      </c>
      <c r="M1250" s="4" t="s">
        <v>22</v>
      </c>
      <c r="N1250" s="4" t="s">
        <v>23</v>
      </c>
      <c r="O1250" s="4" t="s">
        <v>27</v>
      </c>
      <c r="P1250" s="4" t="s">
        <v>144</v>
      </c>
      <c r="Q1250" s="24">
        <v>587</v>
      </c>
      <c r="R1250" s="25">
        <v>31</v>
      </c>
      <c r="S1250" s="39">
        <v>1</v>
      </c>
      <c r="T1250" s="7"/>
      <c r="U1250" t="s">
        <v>2913</v>
      </c>
      <c r="V1250" s="7" t="str">
        <f>+IF(U1250="","",IF(U1250="FINES",CONCATENATE("R",IF(OR(B1250="16",B1250="21",B1250="22",B1250="23"),"16212223",IF(OR(B1250="15",B1250="17",B1250="24",B1250="25"),"15172425",B1250))),IF(U1250="CEBAS","UNICO",IF(VALUE(B1250)&lt;=11,"AMBA","INTERIOR"))))</f>
        <v>INTERIOR</v>
      </c>
      <c r="W1250" s="38" t="str">
        <f>+IF(U1250="","-",CONCATENATE(U1250,"_",V1250))</f>
        <v>CENS_INTERIOR</v>
      </c>
      <c r="X1250" s="42">
        <v>0.69899999999999995</v>
      </c>
    </row>
    <row r="1251" spans="1:24" ht="15" thickBot="1">
      <c r="A1251" s="5" t="s">
        <v>2916</v>
      </c>
      <c r="B1251" s="5" t="s">
        <v>140</v>
      </c>
      <c r="C1251" s="5" t="s">
        <v>539</v>
      </c>
      <c r="D1251" s="5" t="s">
        <v>541</v>
      </c>
      <c r="E1251" s="5">
        <v>623769</v>
      </c>
      <c r="F1251" s="5">
        <v>0</v>
      </c>
      <c r="G1251" s="5" t="s">
        <v>553</v>
      </c>
      <c r="H1251" s="5" t="s">
        <v>20</v>
      </c>
      <c r="I1251" s="6" t="s">
        <v>142</v>
      </c>
      <c r="J1251" s="6" t="s">
        <v>21</v>
      </c>
      <c r="K1251" s="6"/>
      <c r="L1251" s="6" t="s">
        <v>337</v>
      </c>
      <c r="M1251" s="6" t="s">
        <v>200</v>
      </c>
      <c r="N1251" s="6" t="s">
        <v>23</v>
      </c>
      <c r="O1251" s="6" t="s">
        <v>27</v>
      </c>
      <c r="P1251" s="6" t="s">
        <v>144</v>
      </c>
      <c r="Q1251" s="22">
        <v>31</v>
      </c>
      <c r="R1251" s="23">
        <v>3</v>
      </c>
      <c r="S1251" s="39">
        <v>1</v>
      </c>
      <c r="T1251" s="7"/>
      <c r="U1251" t="s">
        <v>2913</v>
      </c>
      <c r="V1251" s="7" t="str">
        <f>+IF(U1251="","",IF(U1251="FINES",CONCATENATE("R",IF(OR(B1251="16",B1251="21",B1251="22",B1251="23"),"16212223",IF(OR(B1251="15",B1251="17",B1251="24",B1251="25"),"15172425",B1251))),IF(U1251="CEBAS","UNICO",IF(VALUE(B1251)&lt;=11,"AMBA","INTERIOR"))))</f>
        <v>INTERIOR</v>
      </c>
      <c r="W1251" s="38" t="str">
        <f>+IF(U1251="","-",CONCATENATE(U1251,"_",V1251))</f>
        <v>CENS_INTERIOR</v>
      </c>
      <c r="X1251" s="42">
        <v>0.71399999999999997</v>
      </c>
    </row>
    <row r="1252" spans="1:24" ht="15" thickBot="1">
      <c r="A1252" s="5" t="s">
        <v>2916</v>
      </c>
      <c r="B1252" s="5" t="s">
        <v>140</v>
      </c>
      <c r="C1252" s="5" t="s">
        <v>2277</v>
      </c>
      <c r="D1252" s="5" t="s">
        <v>2278</v>
      </c>
      <c r="E1252" s="5">
        <v>623776</v>
      </c>
      <c r="F1252" s="5">
        <v>1</v>
      </c>
      <c r="G1252" s="5" t="s">
        <v>2319</v>
      </c>
      <c r="H1252" s="5" t="s">
        <v>20</v>
      </c>
      <c r="I1252" s="6" t="s">
        <v>142</v>
      </c>
      <c r="J1252" s="6" t="s">
        <v>51</v>
      </c>
      <c r="K1252" s="6" t="s">
        <v>2316</v>
      </c>
      <c r="L1252" s="6" t="s">
        <v>2320</v>
      </c>
      <c r="M1252" s="6" t="s">
        <v>22</v>
      </c>
      <c r="N1252" s="6" t="s">
        <v>23</v>
      </c>
      <c r="O1252" s="6" t="s">
        <v>27</v>
      </c>
      <c r="P1252" s="6" t="s">
        <v>144</v>
      </c>
      <c r="Q1252" s="22">
        <v>104</v>
      </c>
      <c r="R1252" s="23">
        <v>5</v>
      </c>
      <c r="S1252" s="39">
        <v>1</v>
      </c>
      <c r="T1252" s="7"/>
      <c r="U1252" t="s">
        <v>2913</v>
      </c>
      <c r="V1252" s="7" t="str">
        <f>+IF(U1252="","",IF(U1252="FINES",CONCATENATE("R",IF(OR(B1252="16",B1252="21",B1252="22",B1252="23"),"16212223",IF(OR(B1252="15",B1252="17",B1252="24",B1252="25"),"15172425",B1252))),IF(U1252="CEBAS","UNICO",IF(VALUE(B1252)&lt;=11,"AMBA","INTERIOR"))))</f>
        <v>INTERIOR</v>
      </c>
      <c r="W1252" s="38" t="str">
        <f>+IF(U1252="","-",CONCATENATE(U1252,"_",V1252))</f>
        <v>CENS_INTERIOR</v>
      </c>
      <c r="X1252" s="42">
        <v>0.72499999999999998</v>
      </c>
    </row>
    <row r="1253" spans="1:24" ht="15" thickBot="1">
      <c r="A1253" s="3" t="s">
        <v>2916</v>
      </c>
      <c r="B1253" s="3" t="s">
        <v>205</v>
      </c>
      <c r="C1253" s="3" t="s">
        <v>255</v>
      </c>
      <c r="D1253" s="3" t="s">
        <v>750</v>
      </c>
      <c r="E1253" s="3">
        <v>616120</v>
      </c>
      <c r="F1253" s="3">
        <v>0</v>
      </c>
      <c r="G1253" s="3" t="s">
        <v>758</v>
      </c>
      <c r="H1253" s="3" t="s">
        <v>20</v>
      </c>
      <c r="I1253" s="4" t="s">
        <v>142</v>
      </c>
      <c r="J1253" s="4" t="s">
        <v>21</v>
      </c>
      <c r="K1253" s="4"/>
      <c r="L1253" s="4" t="s">
        <v>400</v>
      </c>
      <c r="M1253" s="4" t="s">
        <v>22</v>
      </c>
      <c r="N1253" s="4" t="s">
        <v>23</v>
      </c>
      <c r="O1253" s="4" t="s">
        <v>27</v>
      </c>
      <c r="P1253" s="4" t="s">
        <v>144</v>
      </c>
      <c r="Q1253" s="24">
        <v>134</v>
      </c>
      <c r="R1253" s="25">
        <v>7</v>
      </c>
      <c r="S1253" s="39">
        <v>1</v>
      </c>
      <c r="T1253" s="7"/>
      <c r="U1253" t="s">
        <v>2913</v>
      </c>
      <c r="V1253" s="7" t="str">
        <f>+IF(U1253="","",IF(U1253="FINES",CONCATENATE("R",IF(OR(B1253="16",B1253="21",B1253="22",B1253="23"),"16212223",IF(OR(B1253="15",B1253="17",B1253="24",B1253="25"),"15172425",B1253))),IF(U1253="CEBAS","UNICO",IF(VALUE(B1253)&lt;=11,"AMBA","INTERIOR"))))</f>
        <v>INTERIOR</v>
      </c>
      <c r="W1253" s="38" t="str">
        <f>+IF(U1253="","-",CONCATENATE(U1253,"_",V1253))</f>
        <v>CENS_INTERIOR</v>
      </c>
      <c r="X1253" s="42">
        <v>0.73299999999999998</v>
      </c>
    </row>
    <row r="1254" spans="1:24" ht="15" thickBot="1">
      <c r="A1254" s="3" t="s">
        <v>2916</v>
      </c>
      <c r="B1254" s="3" t="s">
        <v>352</v>
      </c>
      <c r="C1254" s="3" t="s">
        <v>349</v>
      </c>
      <c r="D1254" s="3" t="s">
        <v>2397</v>
      </c>
      <c r="E1254" s="3">
        <v>624184</v>
      </c>
      <c r="F1254" s="3">
        <v>0</v>
      </c>
      <c r="G1254" s="3" t="s">
        <v>2419</v>
      </c>
      <c r="H1254" s="3" t="s">
        <v>20</v>
      </c>
      <c r="I1254" s="4" t="s">
        <v>142</v>
      </c>
      <c r="J1254" s="4" t="s">
        <v>21</v>
      </c>
      <c r="K1254" s="4"/>
      <c r="L1254" s="4" t="s">
        <v>152</v>
      </c>
      <c r="M1254" s="4" t="s">
        <v>22</v>
      </c>
      <c r="N1254" s="4" t="s">
        <v>23</v>
      </c>
      <c r="O1254" s="4" t="s">
        <v>27</v>
      </c>
      <c r="P1254" s="4" t="s">
        <v>144</v>
      </c>
      <c r="Q1254" s="24">
        <v>19</v>
      </c>
      <c r="R1254" s="25">
        <v>3</v>
      </c>
      <c r="S1254" s="39">
        <v>1</v>
      </c>
      <c r="T1254" s="7"/>
      <c r="U1254" t="s">
        <v>2913</v>
      </c>
      <c r="V1254" s="7" t="str">
        <f>+IF(U1254="","",IF(U1254="FINES",CONCATENATE("R",IF(OR(B1254="16",B1254="21",B1254="22",B1254="23"),"16212223",IF(OR(B1254="15",B1254="17",B1254="24",B1254="25"),"15172425",B1254))),IF(U1254="CEBAS","UNICO",IF(VALUE(B1254)&lt;=11,"AMBA","INTERIOR"))))</f>
        <v>INTERIOR</v>
      </c>
      <c r="W1254" s="38" t="str">
        <f>+IF(U1254="","-",CONCATENATE(U1254,"_",V1254))</f>
        <v>CENS_INTERIOR</v>
      </c>
      <c r="X1254" s="42">
        <v>0.73799999999999999</v>
      </c>
    </row>
    <row r="1255" spans="1:24" ht="15" thickBot="1">
      <c r="A1255" s="3" t="s">
        <v>2916</v>
      </c>
      <c r="B1255" s="3" t="s">
        <v>598</v>
      </c>
      <c r="C1255" s="3" t="s">
        <v>1249</v>
      </c>
      <c r="D1255" s="3" t="s">
        <v>1250</v>
      </c>
      <c r="E1255" s="3">
        <v>623910</v>
      </c>
      <c r="F1255" s="3">
        <v>0</v>
      </c>
      <c r="G1255" s="3" t="s">
        <v>1254</v>
      </c>
      <c r="H1255" s="3" t="s">
        <v>20</v>
      </c>
      <c r="I1255" s="4" t="s">
        <v>142</v>
      </c>
      <c r="J1255" s="4" t="s">
        <v>21</v>
      </c>
      <c r="K1255" s="4"/>
      <c r="L1255" s="4" t="s">
        <v>706</v>
      </c>
      <c r="M1255" s="4" t="s">
        <v>22</v>
      </c>
      <c r="N1255" s="4" t="s">
        <v>23</v>
      </c>
      <c r="O1255" s="4" t="s">
        <v>27</v>
      </c>
      <c r="P1255" s="4" t="s">
        <v>144</v>
      </c>
      <c r="Q1255" s="24">
        <v>43</v>
      </c>
      <c r="R1255" s="25">
        <v>3</v>
      </c>
      <c r="S1255" s="39">
        <v>1</v>
      </c>
      <c r="T1255" s="7"/>
      <c r="U1255" t="s">
        <v>2913</v>
      </c>
      <c r="V1255" s="7" t="str">
        <f>+IF(U1255="","",IF(U1255="FINES",CONCATENATE("R",IF(OR(B1255="16",B1255="21",B1255="22",B1255="23"),"16212223",IF(OR(B1255="15",B1255="17",B1255="24",B1255="25"),"15172425",B1255))),IF(U1255="CEBAS","UNICO",IF(VALUE(B1255)&lt;=11,"AMBA","INTERIOR"))))</f>
        <v>INTERIOR</v>
      </c>
      <c r="W1255" s="38" t="str">
        <f>+IF(U1255="","-",CONCATENATE(U1255,"_",V1255))</f>
        <v>CENS_INTERIOR</v>
      </c>
      <c r="X1255" s="42">
        <v>0.73799999999999999</v>
      </c>
    </row>
    <row r="1256" spans="1:24" ht="15" thickBot="1">
      <c r="A1256" s="5" t="s">
        <v>2916</v>
      </c>
      <c r="B1256" s="5" t="s">
        <v>410</v>
      </c>
      <c r="C1256" s="5" t="s">
        <v>924</v>
      </c>
      <c r="D1256" s="5" t="s">
        <v>925</v>
      </c>
      <c r="E1256" s="5">
        <v>623799</v>
      </c>
      <c r="F1256" s="5">
        <v>0</v>
      </c>
      <c r="G1256" s="5" t="s">
        <v>929</v>
      </c>
      <c r="H1256" s="5" t="s">
        <v>20</v>
      </c>
      <c r="I1256" s="6" t="s">
        <v>142</v>
      </c>
      <c r="J1256" s="6" t="s">
        <v>21</v>
      </c>
      <c r="K1256" s="6"/>
      <c r="L1256" s="6" t="s">
        <v>251</v>
      </c>
      <c r="M1256" s="6" t="s">
        <v>22</v>
      </c>
      <c r="N1256" s="6" t="s">
        <v>23</v>
      </c>
      <c r="O1256" s="6" t="s">
        <v>27</v>
      </c>
      <c r="P1256" s="6" t="s">
        <v>144</v>
      </c>
      <c r="Q1256" s="22">
        <v>93</v>
      </c>
      <c r="R1256" s="23">
        <v>4</v>
      </c>
      <c r="S1256" s="39">
        <v>1</v>
      </c>
      <c r="T1256" s="7"/>
      <c r="U1256" t="s">
        <v>2913</v>
      </c>
      <c r="V1256" s="7" t="str">
        <f>+IF(U1256="","",IF(U1256="FINES",CONCATENATE("R",IF(OR(B1256="16",B1256="21",B1256="22",B1256="23"),"16212223",IF(OR(B1256="15",B1256="17",B1256="24",B1256="25"),"15172425",B1256))),IF(U1256="CEBAS","UNICO",IF(VALUE(B1256)&lt;=11,"AMBA","INTERIOR"))))</f>
        <v>INTERIOR</v>
      </c>
      <c r="W1256" s="38" t="str">
        <f>+IF(U1256="","-",CONCATENATE(U1256,"_",V1256))</f>
        <v>CENS_INTERIOR</v>
      </c>
      <c r="X1256" s="42">
        <v>0.748</v>
      </c>
    </row>
    <row r="1257" spans="1:24" ht="15" thickBot="1">
      <c r="A1257" s="3" t="s">
        <v>2916</v>
      </c>
      <c r="B1257" s="3" t="s">
        <v>135</v>
      </c>
      <c r="C1257" s="3" t="s">
        <v>1330</v>
      </c>
      <c r="D1257" s="3" t="s">
        <v>1331</v>
      </c>
      <c r="E1257" s="3">
        <v>623957</v>
      </c>
      <c r="F1257" s="3">
        <v>0</v>
      </c>
      <c r="G1257" s="3" t="s">
        <v>1337</v>
      </c>
      <c r="H1257" s="3" t="s">
        <v>20</v>
      </c>
      <c r="I1257" s="4" t="s">
        <v>142</v>
      </c>
      <c r="J1257" s="4" t="s">
        <v>21</v>
      </c>
      <c r="K1257" s="4"/>
      <c r="L1257" s="4" t="s">
        <v>240</v>
      </c>
      <c r="M1257" s="4" t="s">
        <v>22</v>
      </c>
      <c r="N1257" s="4" t="s">
        <v>23</v>
      </c>
      <c r="O1257" s="4" t="s">
        <v>27</v>
      </c>
      <c r="P1257" s="4" t="s">
        <v>144</v>
      </c>
      <c r="Q1257" s="24">
        <v>134</v>
      </c>
      <c r="R1257" s="25">
        <v>9</v>
      </c>
      <c r="S1257" s="39">
        <v>1</v>
      </c>
      <c r="T1257" s="7"/>
      <c r="U1257" t="s">
        <v>2913</v>
      </c>
      <c r="V1257" s="7" t="str">
        <f>+IF(U1257="","",IF(U1257="FINES",CONCATENATE("R",IF(OR(B1257="16",B1257="21",B1257="22",B1257="23"),"16212223",IF(OR(B1257="15",B1257="17",B1257="24",B1257="25"),"15172425",B1257))),IF(U1257="CEBAS","UNICO",IF(VALUE(B1257)&lt;=11,"AMBA","INTERIOR"))))</f>
        <v>INTERIOR</v>
      </c>
      <c r="W1257" s="38" t="str">
        <f>+IF(U1257="","-",CONCATENATE(U1257,"_",V1257))</f>
        <v>CENS_INTERIOR</v>
      </c>
      <c r="X1257" s="42">
        <v>0.754</v>
      </c>
    </row>
    <row r="1258" spans="1:24" ht="15" thickBot="1">
      <c r="A1258" s="3" t="s">
        <v>2916</v>
      </c>
      <c r="B1258" s="3" t="s">
        <v>516</v>
      </c>
      <c r="C1258" s="3" t="s">
        <v>451</v>
      </c>
      <c r="D1258" s="3" t="s">
        <v>1315</v>
      </c>
      <c r="E1258" s="3">
        <v>623836</v>
      </c>
      <c r="F1258" s="3">
        <v>0</v>
      </c>
      <c r="G1258" s="3" t="s">
        <v>1320</v>
      </c>
      <c r="H1258" s="3" t="s">
        <v>20</v>
      </c>
      <c r="I1258" s="4" t="s">
        <v>142</v>
      </c>
      <c r="J1258" s="4" t="s">
        <v>21</v>
      </c>
      <c r="K1258" s="4"/>
      <c r="L1258" s="4" t="s">
        <v>251</v>
      </c>
      <c r="M1258" s="4" t="s">
        <v>22</v>
      </c>
      <c r="N1258" s="4" t="s">
        <v>23</v>
      </c>
      <c r="O1258" s="4" t="s">
        <v>27</v>
      </c>
      <c r="P1258" s="4" t="s">
        <v>144</v>
      </c>
      <c r="Q1258" s="24">
        <v>183</v>
      </c>
      <c r="R1258" s="25">
        <v>7</v>
      </c>
      <c r="S1258" s="39">
        <v>1</v>
      </c>
      <c r="T1258" s="7"/>
      <c r="U1258" t="s">
        <v>2913</v>
      </c>
      <c r="V1258" s="7" t="str">
        <f>+IF(U1258="","",IF(U1258="FINES",CONCATENATE("R",IF(OR(B1258="16",B1258="21",B1258="22",B1258="23"),"16212223",IF(OR(B1258="15",B1258="17",B1258="24",B1258="25"),"15172425",B1258))),IF(U1258="CEBAS","UNICO",IF(VALUE(B1258)&lt;=11,"AMBA","INTERIOR"))))</f>
        <v>INTERIOR</v>
      </c>
      <c r="W1258" s="38" t="str">
        <f>+IF(U1258="","-",CONCATENATE(U1258,"_",V1258))</f>
        <v>CENS_INTERIOR</v>
      </c>
      <c r="X1258" s="42">
        <v>0.76400000000000001</v>
      </c>
    </row>
    <row r="1259" spans="1:24" ht="15" thickBot="1">
      <c r="A1259" s="3" t="s">
        <v>2916</v>
      </c>
      <c r="B1259" s="3" t="s">
        <v>598</v>
      </c>
      <c r="C1259" s="3" t="s">
        <v>1204</v>
      </c>
      <c r="D1259" s="3" t="s">
        <v>1206</v>
      </c>
      <c r="E1259" s="3">
        <v>620517</v>
      </c>
      <c r="F1259" s="3">
        <v>0</v>
      </c>
      <c r="G1259" s="3" t="s">
        <v>1213</v>
      </c>
      <c r="H1259" s="3" t="s">
        <v>20</v>
      </c>
      <c r="I1259" s="4" t="s">
        <v>142</v>
      </c>
      <c r="J1259" s="4" t="s">
        <v>21</v>
      </c>
      <c r="K1259" s="4"/>
      <c r="L1259" s="4" t="s">
        <v>1214</v>
      </c>
      <c r="M1259" s="4" t="s">
        <v>22</v>
      </c>
      <c r="N1259" s="4" t="s">
        <v>23</v>
      </c>
      <c r="O1259" s="4" t="s">
        <v>27</v>
      </c>
      <c r="P1259" s="4" t="s">
        <v>144</v>
      </c>
      <c r="Q1259" s="24">
        <v>131</v>
      </c>
      <c r="R1259" s="25">
        <v>6</v>
      </c>
      <c r="S1259" s="39">
        <v>1</v>
      </c>
      <c r="T1259" s="7"/>
      <c r="U1259" t="s">
        <v>2913</v>
      </c>
      <c r="V1259" s="7" t="str">
        <f>+IF(U1259="","",IF(U1259="FINES",CONCATENATE("R",IF(OR(B1259="16",B1259="21",B1259="22",B1259="23"),"16212223",IF(OR(B1259="15",B1259="17",B1259="24",B1259="25"),"15172425",B1259))),IF(U1259="CEBAS","UNICO",IF(VALUE(B1259)&lt;=11,"AMBA","INTERIOR"))))</f>
        <v>INTERIOR</v>
      </c>
      <c r="W1259" s="38" t="str">
        <f>+IF(U1259="","-",CONCATENATE(U1259,"_",V1259))</f>
        <v>CENS_INTERIOR</v>
      </c>
      <c r="X1259" s="42">
        <v>0.78</v>
      </c>
    </row>
    <row r="1260" spans="1:24" ht="15" thickBot="1">
      <c r="A1260" s="5" t="s">
        <v>2916</v>
      </c>
      <c r="B1260" s="5" t="s">
        <v>203</v>
      </c>
      <c r="C1260" s="5" t="s">
        <v>450</v>
      </c>
      <c r="D1260" s="5" t="s">
        <v>452</v>
      </c>
      <c r="E1260" s="5">
        <v>624185</v>
      </c>
      <c r="F1260" s="5">
        <v>0</v>
      </c>
      <c r="G1260" s="5" t="s">
        <v>513</v>
      </c>
      <c r="H1260" s="5" t="s">
        <v>20</v>
      </c>
      <c r="I1260" s="6" t="s">
        <v>142</v>
      </c>
      <c r="J1260" s="6" t="s">
        <v>21</v>
      </c>
      <c r="K1260" s="6"/>
      <c r="L1260" s="6" t="s">
        <v>166</v>
      </c>
      <c r="M1260" s="6" t="s">
        <v>22</v>
      </c>
      <c r="N1260" s="6" t="s">
        <v>23</v>
      </c>
      <c r="O1260" s="6" t="s">
        <v>27</v>
      </c>
      <c r="P1260" s="6" t="s">
        <v>144</v>
      </c>
      <c r="Q1260" s="22">
        <v>37</v>
      </c>
      <c r="R1260" s="23">
        <v>3</v>
      </c>
      <c r="S1260" s="39">
        <v>1</v>
      </c>
      <c r="T1260" s="7"/>
      <c r="U1260" s="7" t="s">
        <v>2913</v>
      </c>
      <c r="V1260" s="7" t="str">
        <f>+IF(U1260="","",IF(U1260="FINES",CONCATENATE("R",IF(OR(B1260="16",B1260="21",B1260="22",B1260="23"),"16212223",IF(OR(B1260="15",B1260="17",B1260="24",B1260="25"),"15172425",B1260))),IF(U1260="CEBAS","UNICO",IF(VALUE(B1260)&lt;=11,"AMBA","INTERIOR"))))</f>
        <v>INTERIOR</v>
      </c>
      <c r="W1260" s="38" t="str">
        <f>+IF(U1260="","-",CONCATENATE(U1260,"_",V1260))</f>
        <v>CENS_INTERIOR</v>
      </c>
      <c r="X1260" s="42">
        <v>0.78100000000000003</v>
      </c>
    </row>
    <row r="1261" spans="1:24" ht="15" thickBot="1">
      <c r="A1261" s="5" t="s">
        <v>2916</v>
      </c>
      <c r="B1261" s="5" t="s">
        <v>217</v>
      </c>
      <c r="C1261" s="5" t="s">
        <v>2027</v>
      </c>
      <c r="D1261" s="5" t="s">
        <v>2028</v>
      </c>
      <c r="E1261" s="5">
        <v>623490</v>
      </c>
      <c r="F1261" s="5">
        <v>0</v>
      </c>
      <c r="G1261" s="5" t="s">
        <v>2039</v>
      </c>
      <c r="H1261" s="5" t="s">
        <v>20</v>
      </c>
      <c r="I1261" s="6" t="s">
        <v>142</v>
      </c>
      <c r="J1261" s="6" t="s">
        <v>21</v>
      </c>
      <c r="K1261" s="6"/>
      <c r="L1261" s="6" t="s">
        <v>770</v>
      </c>
      <c r="M1261" s="6" t="s">
        <v>22</v>
      </c>
      <c r="N1261" s="6" t="s">
        <v>23</v>
      </c>
      <c r="O1261" s="6" t="s">
        <v>27</v>
      </c>
      <c r="P1261" s="6" t="s">
        <v>144</v>
      </c>
      <c r="Q1261" s="22">
        <v>129</v>
      </c>
      <c r="R1261" s="23">
        <v>5</v>
      </c>
      <c r="S1261" s="39">
        <v>1</v>
      </c>
      <c r="T1261" s="7"/>
      <c r="U1261" s="7" t="s">
        <v>2913</v>
      </c>
      <c r="V1261" s="7" t="str">
        <f>+IF(U1261="","",IF(U1261="FINES",CONCATENATE("R",IF(OR(B1261="16",B1261="21",B1261="22",B1261="23"),"16212223",IF(OR(B1261="15",B1261="17",B1261="24",B1261="25"),"15172425",B1261))),IF(U1261="CEBAS","UNICO",IF(VALUE(B1261)&lt;=11,"AMBA","INTERIOR"))))</f>
        <v>INTERIOR</v>
      </c>
      <c r="W1261" s="38" t="str">
        <f>+IF(U1261="","-",CONCATENATE(U1261,"_",V1261))</f>
        <v>CENS_INTERIOR</v>
      </c>
      <c r="X1261" s="42">
        <v>0.78400000000000003</v>
      </c>
    </row>
    <row r="1262" spans="1:24" ht="15" thickBot="1">
      <c r="A1262" s="5" t="s">
        <v>2916</v>
      </c>
      <c r="B1262" s="5" t="s">
        <v>135</v>
      </c>
      <c r="C1262" s="5" t="s">
        <v>424</v>
      </c>
      <c r="D1262" s="5" t="s">
        <v>937</v>
      </c>
      <c r="E1262" s="5">
        <v>624187</v>
      </c>
      <c r="F1262" s="5">
        <v>0</v>
      </c>
      <c r="G1262" s="5" t="s">
        <v>941</v>
      </c>
      <c r="H1262" s="5" t="s">
        <v>20</v>
      </c>
      <c r="I1262" s="6" t="s">
        <v>142</v>
      </c>
      <c r="J1262" s="6" t="s">
        <v>21</v>
      </c>
      <c r="K1262" s="6"/>
      <c r="L1262" s="6" t="s">
        <v>251</v>
      </c>
      <c r="M1262" s="6" t="s">
        <v>22</v>
      </c>
      <c r="N1262" s="6" t="s">
        <v>23</v>
      </c>
      <c r="O1262" s="6" t="s">
        <v>27</v>
      </c>
      <c r="P1262" s="6" t="s">
        <v>144</v>
      </c>
      <c r="Q1262" s="22">
        <v>54</v>
      </c>
      <c r="R1262" s="23">
        <v>3</v>
      </c>
      <c r="S1262" s="39">
        <v>1</v>
      </c>
      <c r="T1262" s="7"/>
      <c r="U1262" s="7" t="s">
        <v>2913</v>
      </c>
      <c r="V1262" s="7" t="str">
        <f>+IF(U1262="","",IF(U1262="FINES",CONCATENATE("R",IF(OR(B1262="16",B1262="21",B1262="22",B1262="23"),"16212223",IF(OR(B1262="15",B1262="17",B1262="24",B1262="25"),"15172425",B1262))),IF(U1262="CEBAS","UNICO",IF(VALUE(B1262)&lt;=11,"AMBA","INTERIOR"))))</f>
        <v>INTERIOR</v>
      </c>
      <c r="W1262" s="38" t="str">
        <f>+IF(U1262="","-",CONCATENATE(U1262,"_",V1262))</f>
        <v>CENS_INTERIOR</v>
      </c>
      <c r="X1262" s="42">
        <v>0.78500000000000003</v>
      </c>
    </row>
    <row r="1263" spans="1:24" ht="15" thickBot="1">
      <c r="A1263" s="3" t="s">
        <v>2916</v>
      </c>
      <c r="B1263" s="3" t="s">
        <v>135</v>
      </c>
      <c r="C1263" s="3" t="s">
        <v>1217</v>
      </c>
      <c r="D1263" s="3" t="s">
        <v>1218</v>
      </c>
      <c r="E1263" s="3">
        <v>605568</v>
      </c>
      <c r="F1263" s="3">
        <v>1</v>
      </c>
      <c r="G1263" s="3" t="s">
        <v>1243</v>
      </c>
      <c r="H1263" s="3" t="s">
        <v>20</v>
      </c>
      <c r="I1263" s="4" t="s">
        <v>142</v>
      </c>
      <c r="J1263" s="4" t="s">
        <v>51</v>
      </c>
      <c r="K1263" s="4" t="s">
        <v>1238</v>
      </c>
      <c r="L1263" s="4" t="s">
        <v>1244</v>
      </c>
      <c r="M1263" s="4" t="s">
        <v>22</v>
      </c>
      <c r="N1263" s="4" t="s">
        <v>23</v>
      </c>
      <c r="O1263" s="4" t="s">
        <v>27</v>
      </c>
      <c r="P1263" s="4" t="s">
        <v>144</v>
      </c>
      <c r="Q1263" s="24">
        <v>58</v>
      </c>
      <c r="R1263" s="25">
        <v>3</v>
      </c>
      <c r="S1263" s="39">
        <v>1</v>
      </c>
      <c r="T1263" s="7"/>
      <c r="U1263" s="7" t="s">
        <v>2913</v>
      </c>
      <c r="V1263" s="7" t="str">
        <f>+IF(U1263="","",IF(U1263="FINES",CONCATENATE("R",IF(OR(B1263="16",B1263="21",B1263="22",B1263="23"),"16212223",IF(OR(B1263="15",B1263="17",B1263="24",B1263="25"),"15172425",B1263))),IF(U1263="CEBAS","UNICO",IF(VALUE(B1263)&lt;=11,"AMBA","INTERIOR"))))</f>
        <v>INTERIOR</v>
      </c>
      <c r="W1263" s="38" t="str">
        <f>+IF(U1263="","-",CONCATENATE(U1263,"_",V1263))</f>
        <v>CENS_INTERIOR</v>
      </c>
      <c r="X1263" s="42">
        <v>0.78500000000000003</v>
      </c>
    </row>
    <row r="1264" spans="1:24" ht="15" thickBot="1">
      <c r="A1264" s="3" t="s">
        <v>2916</v>
      </c>
      <c r="B1264" s="3" t="s">
        <v>225</v>
      </c>
      <c r="C1264" s="3" t="s">
        <v>942</v>
      </c>
      <c r="D1264" s="3" t="s">
        <v>943</v>
      </c>
      <c r="E1264" s="3">
        <v>603091</v>
      </c>
      <c r="F1264" s="3">
        <v>0</v>
      </c>
      <c r="G1264" s="3" t="s">
        <v>1058</v>
      </c>
      <c r="H1264" s="3" t="s">
        <v>20</v>
      </c>
      <c r="I1264" s="4" t="s">
        <v>142</v>
      </c>
      <c r="J1264" s="4" t="s">
        <v>21</v>
      </c>
      <c r="K1264" s="4"/>
      <c r="L1264" s="4" t="s">
        <v>178</v>
      </c>
      <c r="M1264" s="4" t="s">
        <v>22</v>
      </c>
      <c r="N1264" s="4" t="s">
        <v>23</v>
      </c>
      <c r="O1264" s="4" t="s">
        <v>27</v>
      </c>
      <c r="P1264" s="4" t="s">
        <v>144</v>
      </c>
      <c r="Q1264" s="24">
        <v>614</v>
      </c>
      <c r="R1264" s="25">
        <v>19</v>
      </c>
      <c r="S1264" s="39">
        <v>1</v>
      </c>
      <c r="T1264" s="7"/>
      <c r="U1264" s="7" t="s">
        <v>2913</v>
      </c>
      <c r="V1264" s="7" t="str">
        <f>+IF(U1264="","",IF(U1264="FINES",CONCATENATE("R",IF(OR(B1264="16",B1264="21",B1264="22",B1264="23"),"16212223",IF(OR(B1264="15",B1264="17",B1264="24",B1264="25"),"15172425",B1264))),IF(U1264="CEBAS","UNICO",IF(VALUE(B1264)&lt;=11,"AMBA","INTERIOR"))))</f>
        <v>INTERIOR</v>
      </c>
      <c r="W1264" s="38" t="str">
        <f>+IF(U1264="","-",CONCATENATE(U1264,"_",V1264))</f>
        <v>CENS_INTERIOR</v>
      </c>
      <c r="X1264" s="42">
        <v>0.79800000000000004</v>
      </c>
    </row>
    <row r="1265" spans="1:24" ht="15" thickBot="1">
      <c r="A1265" s="5" t="s">
        <v>2916</v>
      </c>
      <c r="B1265" s="5" t="s">
        <v>220</v>
      </c>
      <c r="C1265" s="5" t="s">
        <v>726</v>
      </c>
      <c r="D1265" s="5" t="s">
        <v>2434</v>
      </c>
      <c r="E1265" s="5">
        <v>620117</v>
      </c>
      <c r="F1265" s="5">
        <v>0</v>
      </c>
      <c r="G1265" s="5" t="s">
        <v>2447</v>
      </c>
      <c r="H1265" s="5" t="s">
        <v>20</v>
      </c>
      <c r="I1265" s="6" t="s">
        <v>142</v>
      </c>
      <c r="J1265" s="6" t="s">
        <v>21</v>
      </c>
      <c r="K1265" s="6"/>
      <c r="L1265" s="6" t="s">
        <v>2448</v>
      </c>
      <c r="M1265" s="6" t="s">
        <v>22</v>
      </c>
      <c r="N1265" s="6" t="s">
        <v>23</v>
      </c>
      <c r="O1265" s="6" t="s">
        <v>27</v>
      </c>
      <c r="P1265" s="6" t="s">
        <v>144</v>
      </c>
      <c r="Q1265" s="22">
        <v>123</v>
      </c>
      <c r="R1265" s="23">
        <v>3</v>
      </c>
      <c r="S1265" s="39">
        <v>1</v>
      </c>
      <c r="T1265" s="7"/>
      <c r="U1265" s="7" t="s">
        <v>2913</v>
      </c>
      <c r="V1265" s="7" t="str">
        <f>+IF(U1265="","",IF(U1265="FINES",CONCATENATE("R",IF(OR(B1265="16",B1265="21",B1265="22",B1265="23"),"16212223",IF(OR(B1265="15",B1265="17",B1265="24",B1265="25"),"15172425",B1265))),IF(U1265="CEBAS","UNICO",IF(VALUE(B1265)&lt;=11,"AMBA","INTERIOR"))))</f>
        <v>INTERIOR</v>
      </c>
      <c r="W1265" s="38" t="str">
        <f>+IF(U1265="","-",CONCATENATE(U1265,"_",V1265))</f>
        <v>CENS_INTERIOR</v>
      </c>
      <c r="X1265" s="42">
        <v>0.79900000000000004</v>
      </c>
    </row>
    <row r="1266" spans="1:24" ht="15" thickBot="1">
      <c r="A1266" s="5" t="s">
        <v>2916</v>
      </c>
      <c r="B1266" s="5" t="s">
        <v>206</v>
      </c>
      <c r="C1266" s="5" t="s">
        <v>2160</v>
      </c>
      <c r="D1266" s="5" t="s">
        <v>2161</v>
      </c>
      <c r="E1266" s="5">
        <v>602597</v>
      </c>
      <c r="F1266" s="5">
        <v>0</v>
      </c>
      <c r="G1266" s="5" t="s">
        <v>2164</v>
      </c>
      <c r="H1266" s="5" t="s">
        <v>20</v>
      </c>
      <c r="I1266" s="6" t="s">
        <v>142</v>
      </c>
      <c r="J1266" s="6" t="s">
        <v>21</v>
      </c>
      <c r="K1266" s="6"/>
      <c r="L1266" s="6" t="s">
        <v>251</v>
      </c>
      <c r="M1266" s="6" t="s">
        <v>22</v>
      </c>
      <c r="N1266" s="6" t="s">
        <v>23</v>
      </c>
      <c r="O1266" s="6" t="s">
        <v>27</v>
      </c>
      <c r="P1266" s="6" t="s">
        <v>144</v>
      </c>
      <c r="Q1266" s="22">
        <v>126</v>
      </c>
      <c r="R1266" s="23">
        <v>7</v>
      </c>
      <c r="S1266" s="39">
        <v>1</v>
      </c>
      <c r="T1266" s="7"/>
      <c r="U1266" s="7" t="s">
        <v>2913</v>
      </c>
      <c r="V1266" s="7" t="str">
        <f>+IF(U1266="","",IF(U1266="FINES",CONCATENATE("R",IF(OR(B1266="16",B1266="21",B1266="22",B1266="23"),"16212223",IF(OR(B1266="15",B1266="17",B1266="24",B1266="25"),"15172425",B1266))),IF(U1266="CEBAS","UNICO",IF(VALUE(B1266)&lt;=11,"AMBA","INTERIOR"))))</f>
        <v>INTERIOR</v>
      </c>
      <c r="W1266" s="38" t="str">
        <f>+IF(U1266="","-",CONCATENATE(U1266,"_",V1266))</f>
        <v>CENS_INTERIOR</v>
      </c>
      <c r="X1266" s="42">
        <v>0.80300000000000005</v>
      </c>
    </row>
    <row r="1267" spans="1:24" ht="15" thickBot="1">
      <c r="A1267" s="3" t="s">
        <v>2916</v>
      </c>
      <c r="B1267" s="3" t="s">
        <v>135</v>
      </c>
      <c r="C1267" s="3" t="s">
        <v>1325</v>
      </c>
      <c r="D1267" s="3" t="s">
        <v>1326</v>
      </c>
      <c r="E1267" s="3">
        <v>624007</v>
      </c>
      <c r="F1267" s="3">
        <v>0</v>
      </c>
      <c r="G1267" s="3" t="s">
        <v>1329</v>
      </c>
      <c r="H1267" s="3" t="s">
        <v>20</v>
      </c>
      <c r="I1267" s="4" t="s">
        <v>142</v>
      </c>
      <c r="J1267" s="4" t="s">
        <v>21</v>
      </c>
      <c r="K1267" s="4"/>
      <c r="L1267" s="4" t="s">
        <v>240</v>
      </c>
      <c r="M1267" s="4" t="s">
        <v>22</v>
      </c>
      <c r="N1267" s="4" t="s">
        <v>23</v>
      </c>
      <c r="O1267" s="4" t="s">
        <v>27</v>
      </c>
      <c r="P1267" s="4" t="s">
        <v>144</v>
      </c>
      <c r="Q1267" s="24">
        <v>69</v>
      </c>
      <c r="R1267" s="25">
        <v>3</v>
      </c>
      <c r="S1267" s="39">
        <v>1</v>
      </c>
      <c r="T1267" s="7"/>
      <c r="U1267" s="7" t="s">
        <v>2913</v>
      </c>
      <c r="V1267" s="7" t="str">
        <f>+IF(U1267="","",IF(U1267="FINES",CONCATENATE("R",IF(OR(B1267="16",B1267="21",B1267="22",B1267="23"),"16212223",IF(OR(B1267="15",B1267="17",B1267="24",B1267="25"),"15172425",B1267))),IF(U1267="CEBAS","UNICO",IF(VALUE(B1267)&lt;=11,"AMBA","INTERIOR"))))</f>
        <v>INTERIOR</v>
      </c>
      <c r="W1267" s="38" t="str">
        <f>+IF(U1267="","-",CONCATENATE(U1267,"_",V1267))</f>
        <v>CENS_INTERIOR</v>
      </c>
      <c r="X1267" s="42">
        <v>0.81599999999999995</v>
      </c>
    </row>
    <row r="1268" spans="1:24" ht="15" thickBot="1">
      <c r="A1268" s="3" t="s">
        <v>2916</v>
      </c>
      <c r="B1268" s="3" t="s">
        <v>225</v>
      </c>
      <c r="C1268" s="3" t="s">
        <v>942</v>
      </c>
      <c r="D1268" s="3" t="s">
        <v>943</v>
      </c>
      <c r="E1268" s="3">
        <v>623810</v>
      </c>
      <c r="F1268" s="3">
        <v>0</v>
      </c>
      <c r="G1268" s="3" t="s">
        <v>1054</v>
      </c>
      <c r="H1268" s="3" t="s">
        <v>20</v>
      </c>
      <c r="I1268" s="4" t="s">
        <v>142</v>
      </c>
      <c r="J1268" s="4" t="s">
        <v>21</v>
      </c>
      <c r="K1268" s="4"/>
      <c r="L1268" s="4" t="s">
        <v>1055</v>
      </c>
      <c r="M1268" s="4" t="s">
        <v>22</v>
      </c>
      <c r="N1268" s="4" t="s">
        <v>23</v>
      </c>
      <c r="O1268" s="4" t="s">
        <v>27</v>
      </c>
      <c r="P1268" s="4" t="s">
        <v>144</v>
      </c>
      <c r="Q1268" s="24">
        <v>74</v>
      </c>
      <c r="R1268" s="25">
        <v>6</v>
      </c>
      <c r="S1268" s="39">
        <v>1</v>
      </c>
      <c r="T1268" s="7"/>
      <c r="U1268" s="7" t="s">
        <v>2913</v>
      </c>
      <c r="V1268" s="7" t="str">
        <f>+IF(U1268="","",IF(U1268="FINES",CONCATENATE("R",IF(OR(B1268="16",B1268="21",B1268="22",B1268="23"),"16212223",IF(OR(B1268="15",B1268="17",B1268="24",B1268="25"),"15172425",B1268))),IF(U1268="CEBAS","UNICO",IF(VALUE(B1268)&lt;=11,"AMBA","INTERIOR"))))</f>
        <v>INTERIOR</v>
      </c>
      <c r="W1268" s="38" t="str">
        <f>+IF(U1268="","-",CONCATENATE(U1268,"_",V1268))</f>
        <v>CENS_INTERIOR</v>
      </c>
      <c r="X1268" s="42">
        <v>0.82199999999999995</v>
      </c>
    </row>
    <row r="1269" spans="1:24" ht="15" thickBot="1">
      <c r="A1269" s="3" t="s">
        <v>2916</v>
      </c>
      <c r="B1269" s="3" t="s">
        <v>352</v>
      </c>
      <c r="C1269" s="3" t="s">
        <v>349</v>
      </c>
      <c r="D1269" s="3" t="s">
        <v>2397</v>
      </c>
      <c r="E1269" s="3">
        <v>623820</v>
      </c>
      <c r="F1269" s="3">
        <v>0</v>
      </c>
      <c r="G1269" s="3" t="s">
        <v>2417</v>
      </c>
      <c r="H1269" s="3" t="s">
        <v>20</v>
      </c>
      <c r="I1269" s="4" t="s">
        <v>142</v>
      </c>
      <c r="J1269" s="4" t="s">
        <v>21</v>
      </c>
      <c r="K1269" s="4"/>
      <c r="L1269" s="4" t="s">
        <v>2142</v>
      </c>
      <c r="M1269" s="4" t="s">
        <v>22</v>
      </c>
      <c r="N1269" s="4" t="s">
        <v>23</v>
      </c>
      <c r="O1269" s="4" t="s">
        <v>27</v>
      </c>
      <c r="P1269" s="4" t="s">
        <v>144</v>
      </c>
      <c r="Q1269" s="24">
        <v>31</v>
      </c>
      <c r="R1269" s="25">
        <v>3</v>
      </c>
      <c r="S1269" s="39">
        <v>1</v>
      </c>
      <c r="T1269" s="7"/>
      <c r="U1269" s="7" t="s">
        <v>2913</v>
      </c>
      <c r="V1269" s="7" t="str">
        <f>+IF(U1269="","",IF(U1269="FINES",CONCATENATE("R",IF(OR(B1269="16",B1269="21",B1269="22",B1269="23"),"16212223",IF(OR(B1269="15",B1269="17",B1269="24",B1269="25"),"15172425",B1269))),IF(U1269="CEBAS","UNICO",IF(VALUE(B1269)&lt;=11,"AMBA","INTERIOR"))))</f>
        <v>INTERIOR</v>
      </c>
      <c r="W1269" s="38" t="str">
        <f>+IF(U1269="","-",CONCATENATE(U1269,"_",V1269))</f>
        <v>CENS_INTERIOR</v>
      </c>
      <c r="X1269" s="42">
        <v>0.83099999999999996</v>
      </c>
    </row>
    <row r="1270" spans="1:24" ht="15" thickBot="1">
      <c r="A1270" s="5" t="s">
        <v>2916</v>
      </c>
      <c r="B1270" s="5" t="s">
        <v>221</v>
      </c>
      <c r="C1270" s="5" t="s">
        <v>558</v>
      </c>
      <c r="D1270" s="5" t="s">
        <v>1960</v>
      </c>
      <c r="E1270" s="5">
        <v>623860</v>
      </c>
      <c r="F1270" s="5">
        <v>0</v>
      </c>
      <c r="G1270" s="5" t="s">
        <v>1984</v>
      </c>
      <c r="H1270" s="5" t="s">
        <v>20</v>
      </c>
      <c r="I1270" s="6" t="s">
        <v>142</v>
      </c>
      <c r="J1270" s="6" t="s">
        <v>21</v>
      </c>
      <c r="K1270" s="6"/>
      <c r="L1270" s="6" t="s">
        <v>339</v>
      </c>
      <c r="M1270" s="6" t="s">
        <v>22</v>
      </c>
      <c r="N1270" s="6" t="s">
        <v>23</v>
      </c>
      <c r="O1270" s="6" t="s">
        <v>27</v>
      </c>
      <c r="P1270" s="6" t="s">
        <v>144</v>
      </c>
      <c r="Q1270" s="22">
        <v>52</v>
      </c>
      <c r="R1270" s="23">
        <v>3</v>
      </c>
      <c r="S1270" s="39">
        <v>1</v>
      </c>
      <c r="T1270" s="7"/>
      <c r="U1270" s="7" t="s">
        <v>2913</v>
      </c>
      <c r="V1270" s="7" t="str">
        <f>+IF(U1270="","",IF(U1270="FINES",CONCATENATE("R",IF(OR(B1270="16",B1270="21",B1270="22",B1270="23"),"16212223",IF(OR(B1270="15",B1270="17",B1270="24",B1270="25"),"15172425",B1270))),IF(U1270="CEBAS","UNICO",IF(VALUE(B1270)&lt;=11,"AMBA","INTERIOR"))))</f>
        <v>INTERIOR</v>
      </c>
      <c r="W1270" s="38" t="str">
        <f>+IF(U1270="","-",CONCATENATE(U1270,"_",V1270))</f>
        <v>CENS_INTERIOR</v>
      </c>
      <c r="X1270" s="42">
        <v>0.83299999999999996</v>
      </c>
    </row>
    <row r="1271" spans="1:24" ht="15" thickBot="1">
      <c r="A1271" s="5" t="s">
        <v>2916</v>
      </c>
      <c r="B1271" s="5" t="s">
        <v>203</v>
      </c>
      <c r="C1271" s="5" t="s">
        <v>450</v>
      </c>
      <c r="D1271" s="5" t="s">
        <v>452</v>
      </c>
      <c r="E1271" s="5">
        <v>623826</v>
      </c>
      <c r="F1271" s="5">
        <v>0</v>
      </c>
      <c r="G1271" s="5" t="s">
        <v>505</v>
      </c>
      <c r="H1271" s="5" t="s">
        <v>20</v>
      </c>
      <c r="I1271" s="6" t="s">
        <v>142</v>
      </c>
      <c r="J1271" s="6" t="s">
        <v>21</v>
      </c>
      <c r="K1271" s="6"/>
      <c r="L1271" s="6" t="s">
        <v>156</v>
      </c>
      <c r="M1271" s="6" t="s">
        <v>22</v>
      </c>
      <c r="N1271" s="6" t="s">
        <v>23</v>
      </c>
      <c r="O1271" s="6" t="s">
        <v>27</v>
      </c>
      <c r="P1271" s="6" t="s">
        <v>144</v>
      </c>
      <c r="Q1271" s="22">
        <v>116</v>
      </c>
      <c r="R1271" s="23">
        <v>7</v>
      </c>
      <c r="S1271" s="39">
        <v>1</v>
      </c>
      <c r="T1271" s="7"/>
      <c r="U1271" s="7" t="s">
        <v>2913</v>
      </c>
      <c r="V1271" s="7" t="str">
        <f>+IF(U1271="","",IF(U1271="FINES",CONCATENATE("R",IF(OR(B1271="16",B1271="21",B1271="22",B1271="23"),"16212223",IF(OR(B1271="15",B1271="17",B1271="24",B1271="25"),"15172425",B1271))),IF(U1271="CEBAS","UNICO",IF(VALUE(B1271)&lt;=11,"AMBA","INTERIOR"))))</f>
        <v>INTERIOR</v>
      </c>
      <c r="W1271" s="38" t="str">
        <f>+IF(U1271="","-",CONCATENATE(U1271,"_",V1271))</f>
        <v>CENS_INTERIOR</v>
      </c>
      <c r="X1271" s="42">
        <v>0.84599999999999997</v>
      </c>
    </row>
    <row r="1272" spans="1:24" ht="15" thickBot="1">
      <c r="A1272" s="3" t="s">
        <v>2916</v>
      </c>
      <c r="B1272" s="3" t="s">
        <v>225</v>
      </c>
      <c r="C1272" s="3" t="s">
        <v>942</v>
      </c>
      <c r="D1272" s="3" t="s">
        <v>943</v>
      </c>
      <c r="E1272" s="3">
        <v>609143</v>
      </c>
      <c r="F1272" s="3">
        <v>0</v>
      </c>
      <c r="G1272" s="3" t="s">
        <v>1027</v>
      </c>
      <c r="H1272" s="3" t="s">
        <v>20</v>
      </c>
      <c r="I1272" s="4" t="s">
        <v>142</v>
      </c>
      <c r="J1272" s="4" t="s">
        <v>21</v>
      </c>
      <c r="K1272" s="4"/>
      <c r="L1272" s="4" t="s">
        <v>1028</v>
      </c>
      <c r="M1272" s="4" t="s">
        <v>22</v>
      </c>
      <c r="N1272" s="4" t="s">
        <v>23</v>
      </c>
      <c r="O1272" s="4" t="s">
        <v>27</v>
      </c>
      <c r="P1272" s="4" t="s">
        <v>144</v>
      </c>
      <c r="Q1272" s="24">
        <v>270</v>
      </c>
      <c r="R1272" s="25">
        <v>15</v>
      </c>
      <c r="S1272" s="39">
        <v>1</v>
      </c>
      <c r="T1272" s="7"/>
      <c r="U1272" s="7" t="s">
        <v>2913</v>
      </c>
      <c r="V1272" s="7" t="str">
        <f>+IF(U1272="","",IF(U1272="FINES",CONCATENATE("R",IF(OR(B1272="16",B1272="21",B1272="22",B1272="23"),"16212223",IF(OR(B1272="15",B1272="17",B1272="24",B1272="25"),"15172425",B1272))),IF(U1272="CEBAS","UNICO",IF(VALUE(B1272)&lt;=11,"AMBA","INTERIOR"))))</f>
        <v>INTERIOR</v>
      </c>
      <c r="W1272" s="38" t="str">
        <f>+IF(U1272="","-",CONCATENATE(U1272,"_",V1272))</f>
        <v>CENS_INTERIOR</v>
      </c>
      <c r="X1272" s="42">
        <v>0.85599999999999998</v>
      </c>
    </row>
    <row r="1273" spans="1:24" ht="15" thickBot="1">
      <c r="A1273" s="5" t="s">
        <v>2916</v>
      </c>
      <c r="B1273" s="5" t="s">
        <v>410</v>
      </c>
      <c r="C1273" s="5" t="s">
        <v>570</v>
      </c>
      <c r="D1273" s="5" t="s">
        <v>2717</v>
      </c>
      <c r="E1273" s="5">
        <v>607747</v>
      </c>
      <c r="F1273" s="5">
        <v>0</v>
      </c>
      <c r="G1273" s="5" t="s">
        <v>2730</v>
      </c>
      <c r="H1273" s="5" t="s">
        <v>20</v>
      </c>
      <c r="I1273" s="6" t="s">
        <v>142</v>
      </c>
      <c r="J1273" s="6" t="s">
        <v>21</v>
      </c>
      <c r="K1273" s="6"/>
      <c r="L1273" s="6" t="s">
        <v>251</v>
      </c>
      <c r="M1273" s="6" t="s">
        <v>22</v>
      </c>
      <c r="N1273" s="6" t="s">
        <v>23</v>
      </c>
      <c r="O1273" s="6" t="s">
        <v>27</v>
      </c>
      <c r="P1273" s="6" t="s">
        <v>144</v>
      </c>
      <c r="Q1273" s="22">
        <v>57</v>
      </c>
      <c r="R1273" s="23">
        <v>9</v>
      </c>
      <c r="S1273" s="39">
        <v>1</v>
      </c>
      <c r="T1273" s="7"/>
      <c r="U1273" s="7" t="s">
        <v>2913</v>
      </c>
      <c r="V1273" s="7" t="str">
        <f>+IF(U1273="","",IF(U1273="FINES",CONCATENATE("R",IF(OR(B1273="16",B1273="21",B1273="22",B1273="23"),"16212223",IF(OR(B1273="15",B1273="17",B1273="24",B1273="25"),"15172425",B1273))),IF(U1273="CEBAS","UNICO",IF(VALUE(B1273)&lt;=11,"AMBA","INTERIOR"))))</f>
        <v>INTERIOR</v>
      </c>
      <c r="W1273" s="38" t="str">
        <f>+IF(U1273="","-",CONCATENATE(U1273,"_",V1273))</f>
        <v>CENS_INTERIOR</v>
      </c>
      <c r="X1273" s="42">
        <v>0.86199999999999999</v>
      </c>
    </row>
    <row r="1274" spans="1:24" ht="15" thickBot="1">
      <c r="A1274" s="5" t="s">
        <v>2916</v>
      </c>
      <c r="B1274" s="5" t="s">
        <v>203</v>
      </c>
      <c r="C1274" s="5" t="s">
        <v>450</v>
      </c>
      <c r="D1274" s="5" t="s">
        <v>452</v>
      </c>
      <c r="E1274" s="5">
        <v>623823</v>
      </c>
      <c r="F1274" s="5">
        <v>0</v>
      </c>
      <c r="G1274" s="5" t="s">
        <v>502</v>
      </c>
      <c r="H1274" s="5" t="s">
        <v>20</v>
      </c>
      <c r="I1274" s="6" t="s">
        <v>142</v>
      </c>
      <c r="J1274" s="6" t="s">
        <v>21</v>
      </c>
      <c r="K1274" s="6"/>
      <c r="L1274" s="6" t="s">
        <v>341</v>
      </c>
      <c r="M1274" s="6" t="s">
        <v>22</v>
      </c>
      <c r="N1274" s="6" t="s">
        <v>23</v>
      </c>
      <c r="O1274" s="6" t="s">
        <v>27</v>
      </c>
      <c r="P1274" s="6" t="s">
        <v>144</v>
      </c>
      <c r="Q1274" s="22">
        <v>115</v>
      </c>
      <c r="R1274" s="23">
        <v>7</v>
      </c>
      <c r="S1274" s="39">
        <v>1</v>
      </c>
      <c r="T1274" s="7"/>
      <c r="U1274" s="7" t="s">
        <v>2913</v>
      </c>
      <c r="V1274" s="7" t="str">
        <f>+IF(U1274="","",IF(U1274="FINES",CONCATENATE("R",IF(OR(B1274="16",B1274="21",B1274="22",B1274="23"),"16212223",IF(OR(B1274="15",B1274="17",B1274="24",B1274="25"),"15172425",B1274))),IF(U1274="CEBAS","UNICO",IF(VALUE(B1274)&lt;=11,"AMBA","INTERIOR"))))</f>
        <v>INTERIOR</v>
      </c>
      <c r="W1274" s="38" t="str">
        <f>+IF(U1274="","-",CONCATENATE(U1274,"_",V1274))</f>
        <v>CENS_INTERIOR</v>
      </c>
      <c r="X1274" s="42">
        <v>0.86299999999999999</v>
      </c>
    </row>
    <row r="1275" spans="1:24" ht="15" thickBot="1">
      <c r="A1275" s="5" t="s">
        <v>2916</v>
      </c>
      <c r="B1275" s="5" t="s">
        <v>205</v>
      </c>
      <c r="C1275" s="5" t="s">
        <v>1946</v>
      </c>
      <c r="D1275" s="5" t="s">
        <v>1947</v>
      </c>
      <c r="E1275" s="5">
        <v>606541</v>
      </c>
      <c r="F1275" s="5">
        <v>0</v>
      </c>
      <c r="G1275" s="5" t="s">
        <v>1955</v>
      </c>
      <c r="H1275" s="5" t="s">
        <v>20</v>
      </c>
      <c r="I1275" s="6" t="s">
        <v>142</v>
      </c>
      <c r="J1275" s="6" t="s">
        <v>21</v>
      </c>
      <c r="K1275" s="6"/>
      <c r="L1275" s="6" t="s">
        <v>1956</v>
      </c>
      <c r="M1275" s="6" t="s">
        <v>22</v>
      </c>
      <c r="N1275" s="6" t="s">
        <v>23</v>
      </c>
      <c r="O1275" s="6" t="s">
        <v>27</v>
      </c>
      <c r="P1275" s="6" t="s">
        <v>144</v>
      </c>
      <c r="Q1275" s="22">
        <v>239</v>
      </c>
      <c r="R1275" s="23">
        <v>9</v>
      </c>
      <c r="S1275" s="39">
        <v>1</v>
      </c>
      <c r="T1275" s="7"/>
      <c r="U1275" s="7" t="s">
        <v>2913</v>
      </c>
      <c r="V1275" s="7" t="str">
        <f>+IF(U1275="","",IF(U1275="FINES",CONCATENATE("R",IF(OR(B1275="16",B1275="21",B1275="22",B1275="23"),"16212223",IF(OR(B1275="15",B1275="17",B1275="24",B1275="25"),"15172425",B1275))),IF(U1275="CEBAS","UNICO",IF(VALUE(B1275)&lt;=11,"AMBA","INTERIOR"))))</f>
        <v>INTERIOR</v>
      </c>
      <c r="W1275" s="38" t="str">
        <f>+IF(U1275="","-",CONCATENATE(U1275,"_",V1275))</f>
        <v>CENS_INTERIOR</v>
      </c>
      <c r="X1275" s="42">
        <v>0.89100000000000001</v>
      </c>
    </row>
    <row r="1276" spans="1:24" ht="15" thickBot="1">
      <c r="A1276" s="3" t="s">
        <v>2916</v>
      </c>
      <c r="B1276" s="3" t="s">
        <v>225</v>
      </c>
      <c r="C1276" s="3" t="s">
        <v>942</v>
      </c>
      <c r="D1276" s="3" t="s">
        <v>943</v>
      </c>
      <c r="E1276" s="3">
        <v>623555</v>
      </c>
      <c r="F1276" s="3">
        <v>0</v>
      </c>
      <c r="G1276" s="3" t="s">
        <v>1037</v>
      </c>
      <c r="H1276" s="3" t="s">
        <v>20</v>
      </c>
      <c r="I1276" s="4" t="s">
        <v>142</v>
      </c>
      <c r="J1276" s="4" t="s">
        <v>21</v>
      </c>
      <c r="K1276" s="4"/>
      <c r="L1276" s="4" t="s">
        <v>1038</v>
      </c>
      <c r="M1276" s="4" t="s">
        <v>22</v>
      </c>
      <c r="N1276" s="4" t="s">
        <v>134</v>
      </c>
      <c r="O1276" s="4" t="s">
        <v>27</v>
      </c>
      <c r="P1276" s="4" t="s">
        <v>144</v>
      </c>
      <c r="Q1276" s="24">
        <v>97</v>
      </c>
      <c r="R1276" s="25">
        <v>7</v>
      </c>
      <c r="S1276" s="39">
        <v>1</v>
      </c>
      <c r="T1276" s="7"/>
      <c r="U1276" s="7" t="s">
        <v>2913</v>
      </c>
      <c r="V1276" s="7" t="str">
        <f>+IF(U1276="","",IF(U1276="FINES",CONCATENATE("R",IF(OR(B1276="16",B1276="21",B1276="22",B1276="23"),"16212223",IF(OR(B1276="15",B1276="17",B1276="24",B1276="25"),"15172425",B1276))),IF(U1276="CEBAS","UNICO",IF(VALUE(B1276)&lt;=11,"AMBA","INTERIOR"))))</f>
        <v>INTERIOR</v>
      </c>
      <c r="W1276" s="38" t="str">
        <f>+IF(U1276="","-",CONCATENATE(U1276,"_",V1276))</f>
        <v>CENS_INTERIOR</v>
      </c>
      <c r="X1276" s="42">
        <v>0.89400000000000002</v>
      </c>
    </row>
    <row r="1277" spans="1:24" ht="15" thickBot="1">
      <c r="A1277" s="3" t="s">
        <v>2916</v>
      </c>
      <c r="B1277" s="3" t="s">
        <v>352</v>
      </c>
      <c r="C1277" s="3" t="s">
        <v>349</v>
      </c>
      <c r="D1277" s="3" t="s">
        <v>2397</v>
      </c>
      <c r="E1277" s="3">
        <v>610059</v>
      </c>
      <c r="F1277" s="3">
        <v>0</v>
      </c>
      <c r="G1277" s="3" t="s">
        <v>2413</v>
      </c>
      <c r="H1277" s="3" t="s">
        <v>20</v>
      </c>
      <c r="I1277" s="4" t="s">
        <v>142</v>
      </c>
      <c r="J1277" s="4" t="s">
        <v>21</v>
      </c>
      <c r="K1277" s="4"/>
      <c r="L1277" s="4" t="s">
        <v>400</v>
      </c>
      <c r="M1277" s="4" t="s">
        <v>22</v>
      </c>
      <c r="N1277" s="4" t="s">
        <v>23</v>
      </c>
      <c r="O1277" s="4" t="s">
        <v>27</v>
      </c>
      <c r="P1277" s="4" t="s">
        <v>144</v>
      </c>
      <c r="Q1277" s="24">
        <v>94</v>
      </c>
      <c r="R1277" s="25">
        <v>17</v>
      </c>
      <c r="S1277" s="39">
        <v>1</v>
      </c>
      <c r="T1277" s="7"/>
      <c r="U1277" s="7" t="s">
        <v>2913</v>
      </c>
      <c r="V1277" s="7" t="str">
        <f>+IF(U1277="","",IF(U1277="FINES",CONCATENATE("R",IF(OR(B1277="16",B1277="21",B1277="22",B1277="23"),"16212223",IF(OR(B1277="15",B1277="17",B1277="24",B1277="25"),"15172425",B1277))),IF(U1277="CEBAS","UNICO",IF(VALUE(B1277)&lt;=11,"AMBA","INTERIOR"))))</f>
        <v>INTERIOR</v>
      </c>
      <c r="W1277" s="38" t="str">
        <f>+IF(U1277="","-",CONCATENATE(U1277,"_",V1277))</f>
        <v>CENS_INTERIOR</v>
      </c>
      <c r="X1277" s="42">
        <v>0.89500000000000002</v>
      </c>
    </row>
    <row r="1278" spans="1:24" ht="15" thickBot="1">
      <c r="A1278" s="5" t="s">
        <v>2916</v>
      </c>
      <c r="B1278" s="5" t="s">
        <v>203</v>
      </c>
      <c r="C1278" s="5" t="s">
        <v>590</v>
      </c>
      <c r="D1278" s="5" t="s">
        <v>2553</v>
      </c>
      <c r="E1278" s="5">
        <v>612833</v>
      </c>
      <c r="F1278" s="5">
        <v>0</v>
      </c>
      <c r="G1278" s="5" t="s">
        <v>2561</v>
      </c>
      <c r="H1278" s="5" t="s">
        <v>20</v>
      </c>
      <c r="I1278" s="6" t="s">
        <v>142</v>
      </c>
      <c r="J1278" s="6" t="s">
        <v>21</v>
      </c>
      <c r="K1278" s="6"/>
      <c r="L1278" s="6" t="s">
        <v>400</v>
      </c>
      <c r="M1278" s="6" t="s">
        <v>22</v>
      </c>
      <c r="N1278" s="6" t="s">
        <v>23</v>
      </c>
      <c r="O1278" s="6" t="s">
        <v>27</v>
      </c>
      <c r="P1278" s="6" t="s">
        <v>144</v>
      </c>
      <c r="Q1278" s="22">
        <v>130</v>
      </c>
      <c r="R1278" s="23">
        <v>10</v>
      </c>
      <c r="S1278" s="39">
        <v>1</v>
      </c>
      <c r="T1278" s="7"/>
      <c r="U1278" s="7" t="s">
        <v>2913</v>
      </c>
      <c r="V1278" s="7" t="str">
        <f>+IF(U1278="","",IF(U1278="FINES",CONCATENATE("R",IF(OR(B1278="16",B1278="21",B1278="22",B1278="23"),"16212223",IF(OR(B1278="15",B1278="17",B1278="24",B1278="25"),"15172425",B1278))),IF(U1278="CEBAS","UNICO",IF(VALUE(B1278)&lt;=11,"AMBA","INTERIOR"))))</f>
        <v>INTERIOR</v>
      </c>
      <c r="W1278" s="38" t="str">
        <f>+IF(U1278="","-",CONCATENATE(U1278,"_",V1278))</f>
        <v>CENS_INTERIOR</v>
      </c>
      <c r="X1278" s="42">
        <v>0.89600000000000002</v>
      </c>
    </row>
    <row r="1279" spans="1:24" ht="15" thickBot="1">
      <c r="A1279" s="5" t="s">
        <v>2916</v>
      </c>
      <c r="B1279" s="5" t="s">
        <v>140</v>
      </c>
      <c r="C1279" s="5" t="s">
        <v>2277</v>
      </c>
      <c r="D1279" s="5" t="s">
        <v>2278</v>
      </c>
      <c r="E1279" s="5">
        <v>623775</v>
      </c>
      <c r="F1279" s="5">
        <v>0</v>
      </c>
      <c r="G1279" s="5" t="s">
        <v>2313</v>
      </c>
      <c r="H1279" s="5" t="s">
        <v>20</v>
      </c>
      <c r="I1279" s="6" t="s">
        <v>142</v>
      </c>
      <c r="J1279" s="6" t="s">
        <v>21</v>
      </c>
      <c r="K1279" s="6"/>
      <c r="L1279" s="6" t="s">
        <v>335</v>
      </c>
      <c r="M1279" s="6" t="s">
        <v>22</v>
      </c>
      <c r="N1279" s="6" t="s">
        <v>23</v>
      </c>
      <c r="O1279" s="6" t="s">
        <v>27</v>
      </c>
      <c r="P1279" s="6" t="s">
        <v>144</v>
      </c>
      <c r="Q1279" s="22">
        <v>80</v>
      </c>
      <c r="R1279" s="23">
        <v>5</v>
      </c>
      <c r="S1279" s="39">
        <v>1</v>
      </c>
      <c r="T1279" s="7"/>
      <c r="U1279" s="7" t="s">
        <v>2913</v>
      </c>
      <c r="V1279" s="7" t="str">
        <f>+IF(U1279="","",IF(U1279="FINES",CONCATENATE("R",IF(OR(B1279="16",B1279="21",B1279="22",B1279="23"),"16212223",IF(OR(B1279="15",B1279="17",B1279="24",B1279="25"),"15172425",B1279))),IF(U1279="CEBAS","UNICO",IF(VALUE(B1279)&lt;=11,"AMBA","INTERIOR"))))</f>
        <v>INTERIOR</v>
      </c>
      <c r="W1279" s="38" t="str">
        <f>+IF(U1279="","-",CONCATENATE(U1279,"_",V1279))</f>
        <v>CENS_INTERIOR</v>
      </c>
      <c r="X1279" s="42">
        <v>0.89800000000000002</v>
      </c>
    </row>
    <row r="1280" spans="1:24" ht="15" thickBot="1">
      <c r="A1280" s="5" t="s">
        <v>2916</v>
      </c>
      <c r="B1280" s="5" t="s">
        <v>225</v>
      </c>
      <c r="C1280" s="5" t="s">
        <v>942</v>
      </c>
      <c r="D1280" s="5" t="s">
        <v>943</v>
      </c>
      <c r="E1280" s="5">
        <v>623808</v>
      </c>
      <c r="F1280" s="5">
        <v>0</v>
      </c>
      <c r="G1280" s="5" t="s">
        <v>1048</v>
      </c>
      <c r="H1280" s="5" t="s">
        <v>20</v>
      </c>
      <c r="I1280" s="6" t="s">
        <v>142</v>
      </c>
      <c r="J1280" s="6" t="s">
        <v>21</v>
      </c>
      <c r="K1280" s="6"/>
      <c r="L1280" s="6" t="s">
        <v>1049</v>
      </c>
      <c r="M1280" s="6" t="s">
        <v>22</v>
      </c>
      <c r="N1280" s="6" t="s">
        <v>23</v>
      </c>
      <c r="O1280" s="6" t="s">
        <v>27</v>
      </c>
      <c r="P1280" s="6" t="s">
        <v>144</v>
      </c>
      <c r="Q1280" s="22">
        <v>115</v>
      </c>
      <c r="R1280" s="23">
        <v>7</v>
      </c>
      <c r="S1280" s="39">
        <v>1</v>
      </c>
      <c r="T1280" s="7"/>
      <c r="U1280" t="s">
        <v>2913</v>
      </c>
      <c r="V1280" s="7" t="str">
        <f>+IF(U1280="","",IF(U1280="FINES",CONCATENATE("R",IF(OR(B1280="16",B1280="21",B1280="22",B1280="23"),"16212223",IF(OR(B1280="15",B1280="17",B1280="24",B1280="25"),"15172425",B1280))),IF(U1280="CEBAS","UNICO",IF(VALUE(B1280)&lt;=11,"AMBA","INTERIOR"))))</f>
        <v>INTERIOR</v>
      </c>
      <c r="W1280" s="38" t="str">
        <f>+IF(U1280="","-",CONCATENATE(U1280,"_",V1280))</f>
        <v>CENS_INTERIOR</v>
      </c>
      <c r="X1280" s="42">
        <v>0.89800000000000002</v>
      </c>
    </row>
    <row r="1281" spans="1:24" ht="15" thickBot="1">
      <c r="A1281" s="3" t="s">
        <v>2916</v>
      </c>
      <c r="B1281" s="3" t="s">
        <v>223</v>
      </c>
      <c r="C1281" s="3" t="s">
        <v>1195</v>
      </c>
      <c r="D1281" s="3" t="s">
        <v>1196</v>
      </c>
      <c r="E1281" s="3">
        <v>611284</v>
      </c>
      <c r="F1281" s="3">
        <v>0</v>
      </c>
      <c r="G1281" s="3" t="s">
        <v>1203</v>
      </c>
      <c r="H1281" s="3" t="s">
        <v>20</v>
      </c>
      <c r="I1281" s="4" t="s">
        <v>142</v>
      </c>
      <c r="J1281" s="4" t="s">
        <v>21</v>
      </c>
      <c r="K1281" s="4"/>
      <c r="L1281" s="4" t="s">
        <v>251</v>
      </c>
      <c r="M1281" s="4" t="s">
        <v>22</v>
      </c>
      <c r="N1281" s="4" t="s">
        <v>23</v>
      </c>
      <c r="O1281" s="4" t="s">
        <v>27</v>
      </c>
      <c r="P1281" s="4" t="s">
        <v>144</v>
      </c>
      <c r="Q1281" s="24">
        <v>26</v>
      </c>
      <c r="R1281" s="25">
        <v>3</v>
      </c>
      <c r="S1281" s="39">
        <v>1</v>
      </c>
      <c r="T1281" s="7"/>
      <c r="U1281" t="s">
        <v>2913</v>
      </c>
      <c r="V1281" s="7" t="str">
        <f>+IF(U1281="","",IF(U1281="FINES",CONCATENATE("R",IF(OR(B1281="16",B1281="21",B1281="22",B1281="23"),"16212223",IF(OR(B1281="15",B1281="17",B1281="24",B1281="25"),"15172425",B1281))),IF(U1281="CEBAS","UNICO",IF(VALUE(B1281)&lt;=11,"AMBA","INTERIOR"))))</f>
        <v>INTERIOR</v>
      </c>
      <c r="W1281" s="38" t="str">
        <f>+IF(U1281="","-",CONCATENATE(U1281,"_",V1281))</f>
        <v>CENS_INTERIOR</v>
      </c>
      <c r="X1281" s="42">
        <v>0.92300000000000004</v>
      </c>
    </row>
    <row r="1282" spans="1:24" ht="15" thickBot="1">
      <c r="A1282" s="3" t="s">
        <v>2916</v>
      </c>
      <c r="B1282" s="3" t="s">
        <v>221</v>
      </c>
      <c r="C1282" s="3" t="s">
        <v>558</v>
      </c>
      <c r="D1282" s="3" t="s">
        <v>1960</v>
      </c>
      <c r="E1282" s="3">
        <v>623859</v>
      </c>
      <c r="F1282" s="3">
        <v>0</v>
      </c>
      <c r="G1282" s="3" t="s">
        <v>1983</v>
      </c>
      <c r="H1282" s="3" t="s">
        <v>20</v>
      </c>
      <c r="I1282" s="4" t="s">
        <v>142</v>
      </c>
      <c r="J1282" s="4" t="s">
        <v>21</v>
      </c>
      <c r="K1282" s="4"/>
      <c r="L1282" s="4" t="s">
        <v>587</v>
      </c>
      <c r="M1282" s="4" t="s">
        <v>22</v>
      </c>
      <c r="N1282" s="4" t="s">
        <v>23</v>
      </c>
      <c r="O1282" s="4" t="s">
        <v>27</v>
      </c>
      <c r="P1282" s="4" t="s">
        <v>144</v>
      </c>
      <c r="Q1282" s="24">
        <v>72</v>
      </c>
      <c r="R1282" s="25">
        <v>3</v>
      </c>
      <c r="S1282" s="39">
        <v>1</v>
      </c>
      <c r="T1282" s="7"/>
      <c r="U1282" t="s">
        <v>2913</v>
      </c>
      <c r="V1282" s="7" t="str">
        <f>+IF(U1282="","",IF(U1282="FINES",CONCATENATE("R",IF(OR(B1282="16",B1282="21",B1282="22",B1282="23"),"16212223",IF(OR(B1282="15",B1282="17",B1282="24",B1282="25"),"15172425",B1282))),IF(U1282="CEBAS","UNICO",IF(VALUE(B1282)&lt;=11,"AMBA","INTERIOR"))))</f>
        <v>INTERIOR</v>
      </c>
      <c r="W1282" s="38" t="str">
        <f>+IF(U1282="","-",CONCATENATE(U1282,"_",V1282))</f>
        <v>CENS_INTERIOR</v>
      </c>
      <c r="X1282" s="42">
        <v>0.92700000000000005</v>
      </c>
    </row>
    <row r="1283" spans="1:24" ht="15" thickBot="1">
      <c r="A1283" s="3" t="s">
        <v>2916</v>
      </c>
      <c r="B1283" s="3" t="s">
        <v>223</v>
      </c>
      <c r="C1283" s="3" t="s">
        <v>2184</v>
      </c>
      <c r="D1283" s="3" t="s">
        <v>2185</v>
      </c>
      <c r="E1283" s="3">
        <v>620506</v>
      </c>
      <c r="F1283" s="3">
        <v>0</v>
      </c>
      <c r="G1283" s="3" t="s">
        <v>2192</v>
      </c>
      <c r="H1283" s="3" t="s">
        <v>20</v>
      </c>
      <c r="I1283" s="4" t="s">
        <v>142</v>
      </c>
      <c r="J1283" s="4" t="s">
        <v>21</v>
      </c>
      <c r="K1283" s="4"/>
      <c r="L1283" s="4" t="s">
        <v>2193</v>
      </c>
      <c r="M1283" s="4" t="s">
        <v>22</v>
      </c>
      <c r="N1283" s="4" t="s">
        <v>23</v>
      </c>
      <c r="O1283" s="4" t="s">
        <v>27</v>
      </c>
      <c r="P1283" s="4" t="s">
        <v>144</v>
      </c>
      <c r="Q1283" s="24">
        <v>121</v>
      </c>
      <c r="R1283" s="25">
        <v>4</v>
      </c>
      <c r="S1283" s="39">
        <v>1</v>
      </c>
      <c r="T1283" s="7"/>
      <c r="U1283" t="s">
        <v>2913</v>
      </c>
      <c r="V1283" s="7" t="str">
        <f>+IF(U1283="","",IF(U1283="FINES",CONCATENATE("R",IF(OR(B1283="16",B1283="21",B1283="22",B1283="23"),"16212223",IF(OR(B1283="15",B1283="17",B1283="24",B1283="25"),"15172425",B1283))),IF(U1283="CEBAS","UNICO",IF(VALUE(B1283)&lt;=11,"AMBA","INTERIOR"))))</f>
        <v>INTERIOR</v>
      </c>
      <c r="W1283" s="38" t="str">
        <f>+IF(U1283="","-",CONCATENATE(U1283,"_",V1283))</f>
        <v>CENS_INTERIOR</v>
      </c>
      <c r="X1283" s="42">
        <v>0.93600000000000005</v>
      </c>
    </row>
    <row r="1284" spans="1:24" ht="15" thickBot="1">
      <c r="A1284" s="5" t="s">
        <v>2916</v>
      </c>
      <c r="B1284" s="5" t="s">
        <v>225</v>
      </c>
      <c r="C1284" s="5" t="s">
        <v>942</v>
      </c>
      <c r="D1284" s="5" t="s">
        <v>943</v>
      </c>
      <c r="E1284" s="5">
        <v>623805</v>
      </c>
      <c r="F1284" s="5">
        <v>0</v>
      </c>
      <c r="G1284" s="5" t="s">
        <v>1039</v>
      </c>
      <c r="H1284" s="5" t="s">
        <v>20</v>
      </c>
      <c r="I1284" s="6" t="s">
        <v>142</v>
      </c>
      <c r="J1284" s="6" t="s">
        <v>21</v>
      </c>
      <c r="K1284" s="6"/>
      <c r="L1284" s="6" t="s">
        <v>156</v>
      </c>
      <c r="M1284" s="6" t="s">
        <v>22</v>
      </c>
      <c r="N1284" s="6" t="s">
        <v>23</v>
      </c>
      <c r="O1284" s="6" t="s">
        <v>27</v>
      </c>
      <c r="P1284" s="6" t="s">
        <v>144</v>
      </c>
      <c r="Q1284" s="22">
        <v>62</v>
      </c>
      <c r="R1284" s="23">
        <v>6</v>
      </c>
      <c r="S1284" s="39">
        <v>1</v>
      </c>
      <c r="T1284" s="7"/>
      <c r="U1284" s="7" t="s">
        <v>2913</v>
      </c>
      <c r="V1284" s="7" t="str">
        <f>+IF(U1284="","",IF(U1284="FINES",CONCATENATE("R",IF(OR(B1284="16",B1284="21",B1284="22",B1284="23"),"16212223",IF(OR(B1284="15",B1284="17",B1284="24",B1284="25"),"15172425",B1284))),IF(U1284="CEBAS","UNICO",IF(VALUE(B1284)&lt;=11,"AMBA","INTERIOR"))))</f>
        <v>INTERIOR</v>
      </c>
      <c r="W1284" s="38" t="str">
        <f>+IF(U1284="","-",CONCATENATE(U1284,"_",V1284))</f>
        <v>CENS_INTERIOR</v>
      </c>
      <c r="X1284" s="42">
        <v>0.93799999999999994</v>
      </c>
    </row>
    <row r="1285" spans="1:24" ht="15" thickBot="1">
      <c r="A1285" s="5" t="s">
        <v>2916</v>
      </c>
      <c r="B1285" s="5" t="s">
        <v>223</v>
      </c>
      <c r="C1285" s="5" t="s">
        <v>572</v>
      </c>
      <c r="D1285" s="5" t="s">
        <v>2430</v>
      </c>
      <c r="E1285" s="5">
        <v>622065</v>
      </c>
      <c r="F1285" s="5">
        <v>0</v>
      </c>
      <c r="G1285" s="5" t="s">
        <v>2433</v>
      </c>
      <c r="H1285" s="5" t="s">
        <v>20</v>
      </c>
      <c r="I1285" s="6" t="s">
        <v>142</v>
      </c>
      <c r="J1285" s="6" t="s">
        <v>21</v>
      </c>
      <c r="K1285" s="6"/>
      <c r="L1285" s="6" t="s">
        <v>400</v>
      </c>
      <c r="M1285" s="6" t="s">
        <v>200</v>
      </c>
      <c r="N1285" s="6" t="s">
        <v>23</v>
      </c>
      <c r="O1285" s="6" t="s">
        <v>27</v>
      </c>
      <c r="P1285" s="6" t="s">
        <v>144</v>
      </c>
      <c r="Q1285" s="22">
        <v>56</v>
      </c>
      <c r="R1285" s="23">
        <v>4</v>
      </c>
      <c r="S1285" s="39">
        <v>1</v>
      </c>
      <c r="T1285" s="7"/>
      <c r="U1285" t="s">
        <v>2913</v>
      </c>
      <c r="V1285" s="7" t="str">
        <f>+IF(U1285="","",IF(U1285="FINES",CONCATENATE("R",IF(OR(B1285="16",B1285="21",B1285="22",B1285="23"),"16212223",IF(OR(B1285="15",B1285="17",B1285="24",B1285="25"),"15172425",B1285))),IF(U1285="CEBAS","UNICO",IF(VALUE(B1285)&lt;=11,"AMBA","INTERIOR"))))</f>
        <v>INTERIOR</v>
      </c>
      <c r="W1285" s="38" t="str">
        <f>+IF(U1285="","-",CONCATENATE(U1285,"_",V1285))</f>
        <v>CENS_INTERIOR</v>
      </c>
      <c r="X1285" s="42">
        <v>0.95299999999999996</v>
      </c>
    </row>
    <row r="1286" spans="1:24" ht="15" thickBot="1">
      <c r="A1286" s="5" t="s">
        <v>2916</v>
      </c>
      <c r="B1286" s="5" t="s">
        <v>203</v>
      </c>
      <c r="C1286" s="5" t="s">
        <v>450</v>
      </c>
      <c r="D1286" s="5" t="s">
        <v>452</v>
      </c>
      <c r="E1286" s="5">
        <v>623824</v>
      </c>
      <c r="F1286" s="5">
        <v>0</v>
      </c>
      <c r="G1286" s="5" t="s">
        <v>503</v>
      </c>
      <c r="H1286" s="5" t="s">
        <v>20</v>
      </c>
      <c r="I1286" s="6" t="s">
        <v>142</v>
      </c>
      <c r="J1286" s="6" t="s">
        <v>21</v>
      </c>
      <c r="K1286" s="6"/>
      <c r="L1286" s="6" t="s">
        <v>152</v>
      </c>
      <c r="M1286" s="6" t="s">
        <v>22</v>
      </c>
      <c r="N1286" s="6" t="s">
        <v>23</v>
      </c>
      <c r="O1286" s="6" t="s">
        <v>27</v>
      </c>
      <c r="P1286" s="6" t="s">
        <v>144</v>
      </c>
      <c r="Q1286" s="22">
        <v>144</v>
      </c>
      <c r="R1286" s="23">
        <v>6</v>
      </c>
      <c r="S1286" s="39">
        <v>1</v>
      </c>
      <c r="T1286" s="7"/>
      <c r="U1286" t="s">
        <v>2913</v>
      </c>
      <c r="V1286" s="7" t="str">
        <f>+IF(U1286="","",IF(U1286="FINES",CONCATENATE("R",IF(OR(B1286="16",B1286="21",B1286="22",B1286="23"),"16212223",IF(OR(B1286="15",B1286="17",B1286="24",B1286="25"),"15172425",B1286))),IF(U1286="CEBAS","UNICO",IF(VALUE(B1286)&lt;=11,"AMBA","INTERIOR"))))</f>
        <v>INTERIOR</v>
      </c>
      <c r="W1286" s="38" t="str">
        <f>+IF(U1286="","-",CONCATENATE(U1286,"_",V1286))</f>
        <v>CENS_INTERIOR</v>
      </c>
      <c r="X1286" s="42">
        <v>0.95899999999999996</v>
      </c>
    </row>
    <row r="1287" spans="1:24" ht="15" thickBot="1">
      <c r="A1287" s="5" t="s">
        <v>2916</v>
      </c>
      <c r="B1287" s="5" t="s">
        <v>223</v>
      </c>
      <c r="C1287" s="5" t="s">
        <v>1205</v>
      </c>
      <c r="D1287" s="5" t="s">
        <v>2075</v>
      </c>
      <c r="E1287" s="5">
        <v>623984</v>
      </c>
      <c r="F1287" s="5">
        <v>0</v>
      </c>
      <c r="G1287" s="5" t="s">
        <v>2079</v>
      </c>
      <c r="H1287" s="5" t="s">
        <v>20</v>
      </c>
      <c r="I1287" s="6" t="s">
        <v>142</v>
      </c>
      <c r="J1287" s="6" t="s">
        <v>21</v>
      </c>
      <c r="K1287" s="6"/>
      <c r="L1287" s="6" t="s">
        <v>448</v>
      </c>
      <c r="M1287" s="6" t="s">
        <v>22</v>
      </c>
      <c r="N1287" s="6" t="s">
        <v>23</v>
      </c>
      <c r="O1287" s="6" t="s">
        <v>27</v>
      </c>
      <c r="P1287" s="6" t="s">
        <v>144</v>
      </c>
      <c r="Q1287" s="22">
        <v>24</v>
      </c>
      <c r="R1287" s="23">
        <v>3</v>
      </c>
      <c r="S1287" s="39">
        <v>1</v>
      </c>
      <c r="T1287" s="7"/>
      <c r="U1287" t="s">
        <v>2913</v>
      </c>
      <c r="V1287" s="7" t="str">
        <f>+IF(U1287="","",IF(U1287="FINES",CONCATENATE("R",IF(OR(B1287="16",B1287="21",B1287="22",B1287="23"),"16212223",IF(OR(B1287="15",B1287="17",B1287="24",B1287="25"),"15172425",B1287))),IF(U1287="CEBAS","UNICO",IF(VALUE(B1287)&lt;=11,"AMBA","INTERIOR"))))</f>
        <v>INTERIOR</v>
      </c>
      <c r="W1287" s="38" t="str">
        <f>+IF(U1287="","-",CONCATENATE(U1287,"_",V1287))</f>
        <v>CENS_INTERIOR</v>
      </c>
      <c r="X1287" s="42">
        <v>0.95899999999999996</v>
      </c>
    </row>
    <row r="1288" spans="1:24" ht="15" thickBot="1">
      <c r="A1288" s="5" t="s">
        <v>2916</v>
      </c>
      <c r="B1288" s="5" t="s">
        <v>203</v>
      </c>
      <c r="C1288" s="5" t="s">
        <v>1986</v>
      </c>
      <c r="D1288" s="5" t="s">
        <v>1987</v>
      </c>
      <c r="E1288" s="5">
        <v>623832</v>
      </c>
      <c r="F1288" s="5">
        <v>0</v>
      </c>
      <c r="G1288" s="5" t="s">
        <v>2001</v>
      </c>
      <c r="H1288" s="5" t="s">
        <v>20</v>
      </c>
      <c r="I1288" s="6" t="s">
        <v>142</v>
      </c>
      <c r="J1288" s="6" t="s">
        <v>21</v>
      </c>
      <c r="K1288" s="6"/>
      <c r="L1288" s="6" t="s">
        <v>335</v>
      </c>
      <c r="M1288" s="6" t="s">
        <v>22</v>
      </c>
      <c r="N1288" s="6" t="s">
        <v>23</v>
      </c>
      <c r="O1288" s="6" t="s">
        <v>27</v>
      </c>
      <c r="P1288" s="6" t="s">
        <v>144</v>
      </c>
      <c r="Q1288" s="22">
        <v>236</v>
      </c>
      <c r="R1288" s="23">
        <v>12</v>
      </c>
      <c r="S1288" s="39">
        <v>1</v>
      </c>
      <c r="T1288" s="7"/>
      <c r="U1288" t="s">
        <v>2913</v>
      </c>
      <c r="V1288" s="7" t="str">
        <f>+IF(U1288="","",IF(U1288="FINES",CONCATENATE("R",IF(OR(B1288="16",B1288="21",B1288="22",B1288="23"),"16212223",IF(OR(B1288="15",B1288="17",B1288="24",B1288="25"),"15172425",B1288))),IF(U1288="CEBAS","UNICO",IF(VALUE(B1288)&lt;=11,"AMBA","INTERIOR"))))</f>
        <v>INTERIOR</v>
      </c>
      <c r="W1288" s="38" t="str">
        <f>+IF(U1288="","-",CONCATENATE(U1288,"_",V1288))</f>
        <v>CENS_INTERIOR</v>
      </c>
      <c r="X1288" s="42">
        <v>0.96</v>
      </c>
    </row>
    <row r="1289" spans="1:24" ht="15" thickBot="1">
      <c r="A1289" s="3" t="s">
        <v>2916</v>
      </c>
      <c r="B1289" s="3" t="s">
        <v>140</v>
      </c>
      <c r="C1289" s="3" t="s">
        <v>2149</v>
      </c>
      <c r="D1289" s="3" t="s">
        <v>2150</v>
      </c>
      <c r="E1289" s="3">
        <v>623771</v>
      </c>
      <c r="F1289" s="3">
        <v>0</v>
      </c>
      <c r="G1289" s="3" t="s">
        <v>2159</v>
      </c>
      <c r="H1289" s="3" t="s">
        <v>20</v>
      </c>
      <c r="I1289" s="4" t="s">
        <v>142</v>
      </c>
      <c r="J1289" s="4" t="s">
        <v>21</v>
      </c>
      <c r="K1289" s="4"/>
      <c r="L1289" s="4" t="s">
        <v>335</v>
      </c>
      <c r="M1289" s="4" t="s">
        <v>22</v>
      </c>
      <c r="N1289" s="4" t="s">
        <v>23</v>
      </c>
      <c r="O1289" s="4" t="s">
        <v>27</v>
      </c>
      <c r="P1289" s="4" t="s">
        <v>144</v>
      </c>
      <c r="Q1289" s="24">
        <v>196</v>
      </c>
      <c r="R1289" s="25">
        <v>7</v>
      </c>
      <c r="S1289" s="39">
        <v>1</v>
      </c>
      <c r="T1289" s="7"/>
      <c r="U1289" t="s">
        <v>2913</v>
      </c>
      <c r="V1289" s="7" t="str">
        <f>+IF(U1289="","",IF(U1289="FINES",CONCATENATE("R",IF(OR(B1289="16",B1289="21",B1289="22",B1289="23"),"16212223",IF(OR(B1289="15",B1289="17",B1289="24",B1289="25"),"15172425",B1289))),IF(U1289="CEBAS","UNICO",IF(VALUE(B1289)&lt;=11,"AMBA","INTERIOR"))))</f>
        <v>INTERIOR</v>
      </c>
      <c r="W1289" s="38" t="str">
        <f>+IF(U1289="","-",CONCATENATE(U1289,"_",V1289))</f>
        <v>CENS_INTERIOR</v>
      </c>
      <c r="X1289" s="42">
        <v>0.96399999999999997</v>
      </c>
    </row>
    <row r="1290" spans="1:24" ht="15" thickBot="1">
      <c r="A1290" s="5" t="s">
        <v>2916</v>
      </c>
      <c r="B1290" s="5" t="s">
        <v>225</v>
      </c>
      <c r="C1290" s="5" t="s">
        <v>942</v>
      </c>
      <c r="D1290" s="5" t="s">
        <v>943</v>
      </c>
      <c r="E1290" s="5">
        <v>624106</v>
      </c>
      <c r="F1290" s="5">
        <v>0</v>
      </c>
      <c r="G1290" s="5" t="s">
        <v>1059</v>
      </c>
      <c r="H1290" s="5" t="s">
        <v>20</v>
      </c>
      <c r="I1290" s="6" t="s">
        <v>142</v>
      </c>
      <c r="J1290" s="6" t="s">
        <v>21</v>
      </c>
      <c r="K1290" s="6"/>
      <c r="L1290" s="6" t="s">
        <v>180</v>
      </c>
      <c r="M1290" s="6" t="s">
        <v>22</v>
      </c>
      <c r="N1290" s="6" t="s">
        <v>23</v>
      </c>
      <c r="O1290" s="6" t="s">
        <v>27</v>
      </c>
      <c r="P1290" s="6" t="s">
        <v>144</v>
      </c>
      <c r="Q1290" s="22">
        <v>90</v>
      </c>
      <c r="R1290" s="23">
        <v>5</v>
      </c>
      <c r="S1290" s="39">
        <v>1</v>
      </c>
      <c r="T1290" s="7"/>
      <c r="U1290" t="s">
        <v>2913</v>
      </c>
      <c r="V1290" s="7" t="str">
        <f>+IF(U1290="","",IF(U1290="FINES",CONCATENATE("R",IF(OR(B1290="16",B1290="21",B1290="22",B1290="23"),"16212223",IF(OR(B1290="15",B1290="17",B1290="24",B1290="25"),"15172425",B1290))),IF(U1290="CEBAS","UNICO",IF(VALUE(B1290)&lt;=11,"AMBA","INTERIOR"))))</f>
        <v>INTERIOR</v>
      </c>
      <c r="W1290" s="38" t="str">
        <f>+IF(U1290="","-",CONCATENATE(U1290,"_",V1290))</f>
        <v>CENS_INTERIOR</v>
      </c>
      <c r="X1290" s="42">
        <v>0.96499999999999997</v>
      </c>
    </row>
    <row r="1291" spans="1:24" ht="15" thickBot="1">
      <c r="A1291" s="3" t="s">
        <v>2916</v>
      </c>
      <c r="B1291" s="3" t="s">
        <v>206</v>
      </c>
      <c r="C1291" s="3" t="s">
        <v>903</v>
      </c>
      <c r="D1291" s="3" t="s">
        <v>904</v>
      </c>
      <c r="E1291" s="3">
        <v>623423</v>
      </c>
      <c r="F1291" s="3">
        <v>0</v>
      </c>
      <c r="G1291" s="3" t="s">
        <v>907</v>
      </c>
      <c r="H1291" s="3" t="s">
        <v>20</v>
      </c>
      <c r="I1291" s="4" t="s">
        <v>142</v>
      </c>
      <c r="J1291" s="4" t="s">
        <v>21</v>
      </c>
      <c r="K1291" s="4"/>
      <c r="L1291" s="4" t="s">
        <v>400</v>
      </c>
      <c r="M1291" s="4" t="s">
        <v>22</v>
      </c>
      <c r="N1291" s="4" t="s">
        <v>23</v>
      </c>
      <c r="O1291" s="4" t="s">
        <v>27</v>
      </c>
      <c r="P1291" s="4" t="s">
        <v>144</v>
      </c>
      <c r="Q1291" s="24">
        <v>118</v>
      </c>
      <c r="R1291" s="25">
        <v>8</v>
      </c>
      <c r="S1291" s="39">
        <v>1</v>
      </c>
      <c r="T1291" s="7"/>
      <c r="U1291" t="s">
        <v>2913</v>
      </c>
      <c r="V1291" s="7" t="str">
        <f>+IF(U1291="","",IF(U1291="FINES",CONCATENATE("R",IF(OR(B1291="16",B1291="21",B1291="22",B1291="23"),"16212223",IF(OR(B1291="15",B1291="17",B1291="24",B1291="25"),"15172425",B1291))),IF(U1291="CEBAS","UNICO",IF(VALUE(B1291)&lt;=11,"AMBA","INTERIOR"))))</f>
        <v>INTERIOR</v>
      </c>
      <c r="W1291" s="38" t="str">
        <f>+IF(U1291="","-",CONCATENATE(U1291,"_",V1291))</f>
        <v>CENS_INTERIOR</v>
      </c>
      <c r="X1291" s="42">
        <v>0.96599999999999997</v>
      </c>
    </row>
    <row r="1292" spans="1:24" ht="15" thickBot="1">
      <c r="A1292" s="3" t="s">
        <v>2916</v>
      </c>
      <c r="B1292" s="3" t="s">
        <v>203</v>
      </c>
      <c r="C1292" s="3" t="s">
        <v>450</v>
      </c>
      <c r="D1292" s="3" t="s">
        <v>452</v>
      </c>
      <c r="E1292" s="3">
        <v>623825</v>
      </c>
      <c r="F1292" s="3">
        <v>0</v>
      </c>
      <c r="G1292" s="3" t="s">
        <v>504</v>
      </c>
      <c r="H1292" s="3" t="s">
        <v>20</v>
      </c>
      <c r="I1292" s="4" t="s">
        <v>142</v>
      </c>
      <c r="J1292" s="4" t="s">
        <v>21</v>
      </c>
      <c r="K1292" s="4"/>
      <c r="L1292" s="4" t="s">
        <v>154</v>
      </c>
      <c r="M1292" s="4" t="s">
        <v>22</v>
      </c>
      <c r="N1292" s="4" t="s">
        <v>23</v>
      </c>
      <c r="O1292" s="4" t="s">
        <v>27</v>
      </c>
      <c r="P1292" s="4" t="s">
        <v>144</v>
      </c>
      <c r="Q1292" s="24">
        <v>33</v>
      </c>
      <c r="R1292" s="25">
        <v>3</v>
      </c>
      <c r="S1292" s="39">
        <v>1</v>
      </c>
      <c r="T1292" s="7"/>
      <c r="U1292" t="s">
        <v>2913</v>
      </c>
      <c r="V1292" s="7" t="str">
        <f>+IF(U1292="","",IF(U1292="FINES",CONCATENATE("R",IF(OR(B1292="16",B1292="21",B1292="22",B1292="23"),"16212223",IF(OR(B1292="15",B1292="17",B1292="24",B1292="25"),"15172425",B1292))),IF(U1292="CEBAS","UNICO",IF(VALUE(B1292)&lt;=11,"AMBA","INTERIOR"))))</f>
        <v>INTERIOR</v>
      </c>
      <c r="W1292" s="38" t="str">
        <f>+IF(U1292="","-",CONCATENATE(U1292,"_",V1292))</f>
        <v>CENS_INTERIOR</v>
      </c>
      <c r="X1292" s="42">
        <v>0.96599999999999997</v>
      </c>
    </row>
    <row r="1293" spans="1:24" ht="15" thickBot="1">
      <c r="A1293" s="5" t="s">
        <v>2916</v>
      </c>
      <c r="B1293" s="5" t="s">
        <v>140</v>
      </c>
      <c r="C1293" s="5" t="s">
        <v>539</v>
      </c>
      <c r="D1293" s="5" t="s">
        <v>541</v>
      </c>
      <c r="E1293" s="5">
        <v>611844</v>
      </c>
      <c r="F1293" s="5">
        <v>0</v>
      </c>
      <c r="G1293" s="5" t="s">
        <v>552</v>
      </c>
      <c r="H1293" s="5" t="s">
        <v>20</v>
      </c>
      <c r="I1293" s="6" t="s">
        <v>142</v>
      </c>
      <c r="J1293" s="6" t="s">
        <v>21</v>
      </c>
      <c r="K1293" s="6"/>
      <c r="L1293" s="6" t="s">
        <v>448</v>
      </c>
      <c r="M1293" s="6" t="s">
        <v>22</v>
      </c>
      <c r="N1293" s="6" t="s">
        <v>23</v>
      </c>
      <c r="O1293" s="6" t="s">
        <v>27</v>
      </c>
      <c r="P1293" s="6" t="s">
        <v>144</v>
      </c>
      <c r="Q1293" s="22">
        <v>184</v>
      </c>
      <c r="R1293" s="23">
        <v>9</v>
      </c>
      <c r="S1293" s="39">
        <v>1</v>
      </c>
      <c r="T1293" s="7"/>
      <c r="U1293" s="7" t="s">
        <v>2913</v>
      </c>
      <c r="V1293" s="7" t="str">
        <f>+IF(U1293="","",IF(U1293="FINES",CONCATENATE("R",IF(OR(B1293="16",B1293="21",B1293="22",B1293="23"),"16212223",IF(OR(B1293="15",B1293="17",B1293="24",B1293="25"),"15172425",B1293))),IF(U1293="CEBAS","UNICO",IF(VALUE(B1293)&lt;=11,"AMBA","INTERIOR"))))</f>
        <v>INTERIOR</v>
      </c>
      <c r="W1293" s="38" t="str">
        <f>+IF(U1293="","-",CONCATENATE(U1293,"_",V1293))</f>
        <v>CENS_INTERIOR</v>
      </c>
      <c r="X1293" s="42">
        <v>0.96699999999999997</v>
      </c>
    </row>
    <row r="1294" spans="1:24" ht="15" thickBot="1">
      <c r="A1294" s="3" t="s">
        <v>2916</v>
      </c>
      <c r="B1294" s="3" t="s">
        <v>205</v>
      </c>
      <c r="C1294" s="3" t="s">
        <v>589</v>
      </c>
      <c r="D1294" s="3" t="s">
        <v>591</v>
      </c>
      <c r="E1294" s="3">
        <v>623787</v>
      </c>
      <c r="F1294" s="3">
        <v>0</v>
      </c>
      <c r="G1294" s="3" t="s">
        <v>597</v>
      </c>
      <c r="H1294" s="3" t="s">
        <v>20</v>
      </c>
      <c r="I1294" s="4" t="s">
        <v>142</v>
      </c>
      <c r="J1294" s="4" t="s">
        <v>21</v>
      </c>
      <c r="K1294" s="4"/>
      <c r="L1294" s="4" t="s">
        <v>337</v>
      </c>
      <c r="M1294" s="4" t="s">
        <v>22</v>
      </c>
      <c r="N1294" s="4" t="s">
        <v>23</v>
      </c>
      <c r="O1294" s="4" t="s">
        <v>27</v>
      </c>
      <c r="P1294" s="4" t="s">
        <v>144</v>
      </c>
      <c r="Q1294" s="24">
        <v>128</v>
      </c>
      <c r="R1294" s="25">
        <v>6</v>
      </c>
      <c r="S1294" s="39">
        <v>1</v>
      </c>
      <c r="T1294" s="7"/>
      <c r="U1294" s="7" t="s">
        <v>2913</v>
      </c>
      <c r="V1294" s="7" t="str">
        <f>+IF(U1294="","",IF(U1294="FINES",CONCATENATE("R",IF(OR(B1294="16",B1294="21",B1294="22",B1294="23"),"16212223",IF(OR(B1294="15",B1294="17",B1294="24",B1294="25"),"15172425",B1294))),IF(U1294="CEBAS","UNICO",IF(VALUE(B1294)&lt;=11,"AMBA","INTERIOR"))))</f>
        <v>INTERIOR</v>
      </c>
      <c r="W1294" s="38" t="str">
        <f>+IF(U1294="","-",CONCATENATE(U1294,"_",V1294))</f>
        <v>CENS_INTERIOR</v>
      </c>
      <c r="X1294" s="42">
        <v>0.96899999999999997</v>
      </c>
    </row>
    <row r="1295" spans="1:24" ht="15" thickBot="1">
      <c r="A1295" s="5" t="s">
        <v>2916</v>
      </c>
      <c r="B1295" s="5" t="s">
        <v>205</v>
      </c>
      <c r="C1295" s="5" t="s">
        <v>255</v>
      </c>
      <c r="D1295" s="5" t="s">
        <v>750</v>
      </c>
      <c r="E1295" s="5">
        <v>623788</v>
      </c>
      <c r="F1295" s="5">
        <v>0</v>
      </c>
      <c r="G1295" s="5" t="s">
        <v>759</v>
      </c>
      <c r="H1295" s="5" t="s">
        <v>20</v>
      </c>
      <c r="I1295" s="6" t="s">
        <v>142</v>
      </c>
      <c r="J1295" s="6" t="s">
        <v>21</v>
      </c>
      <c r="K1295" s="6"/>
      <c r="L1295" s="6" t="s">
        <v>335</v>
      </c>
      <c r="M1295" s="6" t="s">
        <v>22</v>
      </c>
      <c r="N1295" s="6" t="s">
        <v>23</v>
      </c>
      <c r="O1295" s="6" t="s">
        <v>27</v>
      </c>
      <c r="P1295" s="6" t="s">
        <v>144</v>
      </c>
      <c r="Q1295" s="22">
        <v>310</v>
      </c>
      <c r="R1295" s="23">
        <v>12</v>
      </c>
      <c r="S1295" s="39">
        <v>1</v>
      </c>
      <c r="T1295" s="7"/>
      <c r="U1295" s="7" t="s">
        <v>2913</v>
      </c>
      <c r="V1295" s="7" t="str">
        <f>+IF(U1295="","",IF(U1295="FINES",CONCATENATE("R",IF(OR(B1295="16",B1295="21",B1295="22",B1295="23"),"16212223",IF(OR(B1295="15",B1295="17",B1295="24",B1295="25"),"15172425",B1295))),IF(U1295="CEBAS","UNICO",IF(VALUE(B1295)&lt;=11,"AMBA","INTERIOR"))))</f>
        <v>INTERIOR</v>
      </c>
      <c r="W1295" s="38" t="str">
        <f>+IF(U1295="","-",CONCATENATE(U1295,"_",V1295))</f>
        <v>CENS_INTERIOR</v>
      </c>
      <c r="X1295" s="42">
        <v>0.97699999999999998</v>
      </c>
    </row>
    <row r="1296" spans="1:24" ht="15" thickBot="1">
      <c r="A1296" s="3" t="s">
        <v>2916</v>
      </c>
      <c r="B1296" s="3" t="s">
        <v>220</v>
      </c>
      <c r="C1296" s="3" t="s">
        <v>218</v>
      </c>
      <c r="D1296" s="3" t="s">
        <v>2711</v>
      </c>
      <c r="E1296" s="3">
        <v>623913</v>
      </c>
      <c r="F1296" s="3">
        <v>0</v>
      </c>
      <c r="G1296" s="3" t="s">
        <v>2713</v>
      </c>
      <c r="H1296" s="3" t="s">
        <v>20</v>
      </c>
      <c r="I1296" s="4" t="s">
        <v>142</v>
      </c>
      <c r="J1296" s="4" t="s">
        <v>21</v>
      </c>
      <c r="K1296" s="4"/>
      <c r="L1296" s="4" t="s">
        <v>912</v>
      </c>
      <c r="M1296" s="4" t="s">
        <v>22</v>
      </c>
      <c r="N1296" s="4" t="s">
        <v>23</v>
      </c>
      <c r="O1296" s="4" t="s">
        <v>27</v>
      </c>
      <c r="P1296" s="4" t="s">
        <v>144</v>
      </c>
      <c r="Q1296" s="24">
        <v>46</v>
      </c>
      <c r="R1296" s="25">
        <v>3</v>
      </c>
      <c r="S1296" s="39">
        <v>1</v>
      </c>
      <c r="T1296" s="7"/>
      <c r="U1296" s="7" t="s">
        <v>2913</v>
      </c>
      <c r="V1296" s="7" t="str">
        <f>+IF(U1296="","",IF(U1296="FINES",CONCATENATE("R",IF(OR(B1296="16",B1296="21",B1296="22",B1296="23"),"16212223",IF(OR(B1296="15",B1296="17",B1296="24",B1296="25"),"15172425",B1296))),IF(U1296="CEBAS","UNICO",IF(VALUE(B1296)&lt;=11,"AMBA","INTERIOR"))))</f>
        <v>INTERIOR</v>
      </c>
      <c r="W1296" s="38" t="str">
        <f>+IF(U1296="","-",CONCATENATE(U1296,"_",V1296))</f>
        <v>CENS_INTERIOR</v>
      </c>
      <c r="X1296" s="42">
        <v>0.97899999999999998</v>
      </c>
    </row>
    <row r="1297" spans="1:24" ht="15" thickBot="1">
      <c r="A1297" s="3" t="s">
        <v>2916</v>
      </c>
      <c r="B1297" s="3" t="s">
        <v>220</v>
      </c>
      <c r="C1297" s="3" t="s">
        <v>2021</v>
      </c>
      <c r="D1297" s="3" t="s">
        <v>2022</v>
      </c>
      <c r="E1297" s="3">
        <v>624110</v>
      </c>
      <c r="F1297" s="3">
        <v>0</v>
      </c>
      <c r="G1297" s="3" t="s">
        <v>2025</v>
      </c>
      <c r="H1297" s="3" t="s">
        <v>20</v>
      </c>
      <c r="I1297" s="4" t="s">
        <v>142</v>
      </c>
      <c r="J1297" s="4" t="s">
        <v>21</v>
      </c>
      <c r="K1297" s="4"/>
      <c r="L1297" s="4" t="s">
        <v>2026</v>
      </c>
      <c r="M1297" s="4" t="s">
        <v>22</v>
      </c>
      <c r="N1297" s="4" t="s">
        <v>23</v>
      </c>
      <c r="O1297" s="4" t="s">
        <v>27</v>
      </c>
      <c r="P1297" s="4" t="s">
        <v>144</v>
      </c>
      <c r="Q1297" s="24">
        <v>41</v>
      </c>
      <c r="R1297" s="25">
        <v>3</v>
      </c>
      <c r="S1297" s="39">
        <v>1</v>
      </c>
      <c r="T1297" s="7"/>
      <c r="U1297" s="7" t="s">
        <v>2913</v>
      </c>
      <c r="V1297" s="7" t="str">
        <f>+IF(U1297="","",IF(U1297="FINES",CONCATENATE("R",IF(OR(B1297="16",B1297="21",B1297="22",B1297="23"),"16212223",IF(OR(B1297="15",B1297="17",B1297="24",B1297="25"),"15172425",B1297))),IF(U1297="CEBAS","UNICO",IF(VALUE(B1297)&lt;=11,"AMBA","INTERIOR"))))</f>
        <v>INTERIOR</v>
      </c>
      <c r="W1297" s="38" t="str">
        <f>+IF(U1297="","-",CONCATENATE(U1297,"_",V1297))</f>
        <v>CENS_INTERIOR</v>
      </c>
      <c r="X1297" s="42">
        <v>0.99099999999999999</v>
      </c>
    </row>
    <row r="1298" spans="1:24" ht="15" thickBot="1">
      <c r="A1298" s="5" t="s">
        <v>2916</v>
      </c>
      <c r="B1298" s="5" t="s">
        <v>140</v>
      </c>
      <c r="C1298" s="5" t="s">
        <v>136</v>
      </c>
      <c r="D1298" s="5" t="s">
        <v>559</v>
      </c>
      <c r="E1298" s="5">
        <v>623768</v>
      </c>
      <c r="F1298" s="5">
        <v>0</v>
      </c>
      <c r="G1298" s="5" t="s">
        <v>568</v>
      </c>
      <c r="H1298" s="5" t="s">
        <v>20</v>
      </c>
      <c r="I1298" s="6" t="s">
        <v>142</v>
      </c>
      <c r="J1298" s="6" t="s">
        <v>21</v>
      </c>
      <c r="K1298" s="6"/>
      <c r="L1298" s="6" t="s">
        <v>569</v>
      </c>
      <c r="M1298" s="6" t="s">
        <v>22</v>
      </c>
      <c r="N1298" s="6" t="s">
        <v>23</v>
      </c>
      <c r="O1298" s="6" t="s">
        <v>27</v>
      </c>
      <c r="P1298" s="6" t="s">
        <v>144</v>
      </c>
      <c r="Q1298" s="22">
        <v>130</v>
      </c>
      <c r="R1298" s="23">
        <v>6</v>
      </c>
      <c r="S1298" s="39">
        <v>1</v>
      </c>
      <c r="T1298" s="7"/>
      <c r="U1298" s="7" t="s">
        <v>2913</v>
      </c>
      <c r="V1298" s="7" t="str">
        <f>+IF(U1298="","",IF(U1298="FINES",CONCATENATE("R",IF(OR(B1298="16",B1298="21",B1298="22",B1298="23"),"16212223",IF(OR(B1298="15",B1298="17",B1298="24",B1298="25"),"15172425",B1298))),IF(U1298="CEBAS","UNICO",IF(VALUE(B1298)&lt;=11,"AMBA","INTERIOR"))))</f>
        <v>INTERIOR</v>
      </c>
      <c r="W1298" s="38" t="str">
        <f>+IF(U1298="","-",CONCATENATE(U1298,"_",V1298))</f>
        <v>CENS_INTERIOR</v>
      </c>
      <c r="X1298" s="42">
        <v>0.995</v>
      </c>
    </row>
    <row r="1299" spans="1:24" ht="15" thickBot="1">
      <c r="A1299" s="3" t="s">
        <v>2916</v>
      </c>
      <c r="B1299" s="3" t="s">
        <v>225</v>
      </c>
      <c r="C1299" s="3" t="s">
        <v>876</v>
      </c>
      <c r="D1299" s="3" t="s">
        <v>877</v>
      </c>
      <c r="E1299" s="3">
        <v>623803</v>
      </c>
      <c r="F1299" s="3">
        <v>0</v>
      </c>
      <c r="G1299" s="3" t="s">
        <v>887</v>
      </c>
      <c r="H1299" s="3" t="s">
        <v>20</v>
      </c>
      <c r="I1299" s="4" t="s">
        <v>142</v>
      </c>
      <c r="J1299" s="4" t="s">
        <v>21</v>
      </c>
      <c r="K1299" s="4"/>
      <c r="L1299" s="4" t="s">
        <v>251</v>
      </c>
      <c r="M1299" s="4" t="s">
        <v>22</v>
      </c>
      <c r="N1299" s="4" t="s">
        <v>23</v>
      </c>
      <c r="O1299" s="4" t="s">
        <v>27</v>
      </c>
      <c r="P1299" s="4" t="s">
        <v>144</v>
      </c>
      <c r="Q1299" s="24">
        <v>100</v>
      </c>
      <c r="R1299" s="25">
        <v>8</v>
      </c>
      <c r="S1299" s="39">
        <v>1</v>
      </c>
      <c r="T1299" s="7"/>
      <c r="U1299" s="7" t="s">
        <v>2913</v>
      </c>
      <c r="V1299" s="7" t="str">
        <f>+IF(U1299="","",IF(U1299="FINES",CONCATENATE("R",IF(OR(B1299="16",B1299="21",B1299="22",B1299="23"),"16212223",IF(OR(B1299="15",B1299="17",B1299="24",B1299="25"),"15172425",B1299))),IF(U1299="CEBAS","UNICO",IF(VALUE(B1299)&lt;=11,"AMBA","INTERIOR"))))</f>
        <v>INTERIOR</v>
      </c>
      <c r="W1299" s="38" t="str">
        <f>+IF(U1299="","-",CONCATENATE(U1299,"_",V1299))</f>
        <v>CENS_INTERIOR</v>
      </c>
      <c r="X1299" s="42">
        <v>0.997</v>
      </c>
    </row>
    <row r="1300" spans="1:24" ht="15" thickBot="1">
      <c r="A1300" s="3" t="s">
        <v>2916</v>
      </c>
      <c r="B1300" s="3" t="s">
        <v>1257</v>
      </c>
      <c r="C1300" s="3" t="s">
        <v>519</v>
      </c>
      <c r="D1300" s="3" t="s">
        <v>2470</v>
      </c>
      <c r="E1300" s="3">
        <v>612050</v>
      </c>
      <c r="F1300" s="3">
        <v>0</v>
      </c>
      <c r="G1300" s="3" t="s">
        <v>2477</v>
      </c>
      <c r="H1300" s="3" t="s">
        <v>20</v>
      </c>
      <c r="I1300" s="4" t="s">
        <v>110</v>
      </c>
      <c r="J1300" s="4" t="s">
        <v>21</v>
      </c>
      <c r="K1300" s="4"/>
      <c r="L1300" s="4" t="s">
        <v>2482</v>
      </c>
      <c r="M1300" s="4" t="s">
        <v>22</v>
      </c>
      <c r="N1300" s="4" t="s">
        <v>23</v>
      </c>
      <c r="O1300" s="4" t="s">
        <v>27</v>
      </c>
      <c r="P1300" s="4" t="s">
        <v>28</v>
      </c>
      <c r="Q1300" s="24">
        <v>119</v>
      </c>
      <c r="R1300" s="25">
        <v>9</v>
      </c>
      <c r="S1300" s="39">
        <v>1</v>
      </c>
      <c r="T1300" s="7"/>
      <c r="U1300" s="7" t="s">
        <v>2912</v>
      </c>
      <c r="V1300" s="7" t="str">
        <f>+IF(U1300="","",IF(U1300="FINES",CONCATENATE("R",IF(OR(B1300="16",B1300="21",B1300="22",B1300="23"),"16212223",IF(OR(B1300="15",B1300="17",B1300="24",B1300="25"),"15172425",B1300))),IF(U1300="CEBAS","UNICO",IF(VALUE(B1300)&lt;=11,"AMBA","INTERIOR"))))</f>
        <v>AMBA</v>
      </c>
      <c r="W1300" s="38" t="str">
        <f>+IF(U1300="","-",CONCATENATE(U1300,"_",V1300))</f>
        <v>EPA_AMBA</v>
      </c>
      <c r="X1300" s="42">
        <v>7.0000000000000001E-3</v>
      </c>
    </row>
    <row r="1301" spans="1:24" ht="15" thickBot="1">
      <c r="A1301" s="3" t="s">
        <v>2916</v>
      </c>
      <c r="B1301" s="3" t="s">
        <v>1532</v>
      </c>
      <c r="C1301" s="3" t="s">
        <v>1530</v>
      </c>
      <c r="D1301" s="3" t="s">
        <v>1531</v>
      </c>
      <c r="E1301" s="3">
        <v>602634</v>
      </c>
      <c r="F1301" s="3">
        <v>0</v>
      </c>
      <c r="G1301" s="3" t="s">
        <v>1657</v>
      </c>
      <c r="H1301" s="3" t="s">
        <v>20</v>
      </c>
      <c r="I1301" s="4" t="s">
        <v>110</v>
      </c>
      <c r="J1301" s="4" t="s">
        <v>21</v>
      </c>
      <c r="K1301" s="4"/>
      <c r="L1301" s="4" t="s">
        <v>1658</v>
      </c>
      <c r="M1301" s="4" t="s">
        <v>22</v>
      </c>
      <c r="N1301" s="4" t="s">
        <v>23</v>
      </c>
      <c r="O1301" s="4" t="s">
        <v>27</v>
      </c>
      <c r="P1301" s="4" t="s">
        <v>28</v>
      </c>
      <c r="Q1301" s="24">
        <v>226</v>
      </c>
      <c r="R1301" s="25">
        <v>14</v>
      </c>
      <c r="S1301" s="39">
        <v>1</v>
      </c>
      <c r="T1301" s="7"/>
      <c r="U1301" s="7" t="s">
        <v>2912</v>
      </c>
      <c r="V1301" s="7" t="str">
        <f>+IF(U1301="","",IF(U1301="FINES",CONCATENATE("R",IF(OR(B1301="16",B1301="21",B1301="22",B1301="23"),"16212223",IF(OR(B1301="15",B1301="17",B1301="24",B1301="25"),"15172425",B1301))),IF(U1301="CEBAS","UNICO",IF(VALUE(B1301)&lt;=11,"AMBA","INTERIOR"))))</f>
        <v>AMBA</v>
      </c>
      <c r="W1301" s="38" t="str">
        <f>+IF(U1301="","-",CONCATENATE(U1301,"_",V1301))</f>
        <v>EPA_AMBA</v>
      </c>
      <c r="X1301" s="42">
        <v>8.9999999999999993E-3</v>
      </c>
    </row>
    <row r="1302" spans="1:24" ht="15" thickBot="1">
      <c r="A1302" s="5" t="s">
        <v>2916</v>
      </c>
      <c r="B1302" s="5" t="s">
        <v>1532</v>
      </c>
      <c r="C1302" s="5" t="s">
        <v>1530</v>
      </c>
      <c r="D1302" s="5" t="s">
        <v>1531</v>
      </c>
      <c r="E1302" s="5">
        <v>608942</v>
      </c>
      <c r="F1302" s="5">
        <v>0</v>
      </c>
      <c r="G1302" s="5" t="s">
        <v>1587</v>
      </c>
      <c r="H1302" s="5" t="s">
        <v>20</v>
      </c>
      <c r="I1302" s="6" t="s">
        <v>110</v>
      </c>
      <c r="J1302" s="6" t="s">
        <v>21</v>
      </c>
      <c r="K1302" s="6"/>
      <c r="L1302" s="6" t="s">
        <v>1665</v>
      </c>
      <c r="M1302" s="6" t="s">
        <v>22</v>
      </c>
      <c r="N1302" s="6" t="s">
        <v>23</v>
      </c>
      <c r="O1302" s="6" t="s">
        <v>27</v>
      </c>
      <c r="P1302" s="6" t="s">
        <v>28</v>
      </c>
      <c r="Q1302" s="22">
        <v>64</v>
      </c>
      <c r="R1302" s="23">
        <v>7</v>
      </c>
      <c r="S1302" s="39">
        <v>1</v>
      </c>
      <c r="T1302" s="7"/>
      <c r="U1302" s="7" t="s">
        <v>2912</v>
      </c>
      <c r="V1302" s="7" t="str">
        <f>+IF(U1302="","",IF(U1302="FINES",CONCATENATE("R",IF(OR(B1302="16",B1302="21",B1302="22",B1302="23"),"16212223",IF(OR(B1302="15",B1302="17",B1302="24",B1302="25"),"15172425",B1302))),IF(U1302="CEBAS","UNICO",IF(VALUE(B1302)&lt;=11,"AMBA","INTERIOR"))))</f>
        <v>AMBA</v>
      </c>
      <c r="W1302" s="38" t="str">
        <f>+IF(U1302="","-",CONCATENATE(U1302,"_",V1302))</f>
        <v>EPA_AMBA</v>
      </c>
      <c r="X1302" s="42">
        <v>8.9999999999999993E-3</v>
      </c>
    </row>
    <row r="1303" spans="1:24" ht="15" thickBot="1">
      <c r="A1303" s="5" t="s">
        <v>2916</v>
      </c>
      <c r="B1303" s="5" t="s">
        <v>1257</v>
      </c>
      <c r="C1303" s="5" t="s">
        <v>2213</v>
      </c>
      <c r="D1303" s="5" t="s">
        <v>2214</v>
      </c>
      <c r="E1303" s="5">
        <v>600843</v>
      </c>
      <c r="F1303" s="5">
        <v>0</v>
      </c>
      <c r="G1303" s="5" t="s">
        <v>2218</v>
      </c>
      <c r="H1303" s="5" t="s">
        <v>20</v>
      </c>
      <c r="I1303" s="6" t="s">
        <v>110</v>
      </c>
      <c r="J1303" s="6" t="s">
        <v>21</v>
      </c>
      <c r="K1303" s="6"/>
      <c r="L1303" s="6" t="s">
        <v>757</v>
      </c>
      <c r="M1303" s="6" t="s">
        <v>22</v>
      </c>
      <c r="N1303" s="6" t="s">
        <v>23</v>
      </c>
      <c r="O1303" s="6" t="s">
        <v>27</v>
      </c>
      <c r="P1303" s="6" t="s">
        <v>28</v>
      </c>
      <c r="Q1303" s="22">
        <v>90</v>
      </c>
      <c r="R1303" s="23">
        <v>8</v>
      </c>
      <c r="S1303" s="39">
        <v>1</v>
      </c>
      <c r="T1303" s="7"/>
      <c r="U1303" s="7" t="s">
        <v>2912</v>
      </c>
      <c r="V1303" s="7" t="str">
        <f>+IF(U1303="","",IF(U1303="FINES",CONCATENATE("R",IF(OR(B1303="16",B1303="21",B1303="22",B1303="23"),"16212223",IF(OR(B1303="15",B1303="17",B1303="24",B1303="25"),"15172425",B1303))),IF(U1303="CEBAS","UNICO",IF(VALUE(B1303)&lt;=11,"AMBA","INTERIOR"))))</f>
        <v>AMBA</v>
      </c>
      <c r="W1303" s="38" t="str">
        <f>+IF(U1303="","-",CONCATENATE(U1303,"_",V1303))</f>
        <v>EPA_AMBA</v>
      </c>
      <c r="X1303" s="42">
        <v>1.0999999999999999E-2</v>
      </c>
    </row>
    <row r="1304" spans="1:24" ht="15" thickBot="1">
      <c r="A1304" s="5" t="s">
        <v>2916</v>
      </c>
      <c r="B1304" s="5" t="s">
        <v>204</v>
      </c>
      <c r="C1304" s="5" t="s">
        <v>1084</v>
      </c>
      <c r="D1304" s="5" t="s">
        <v>1085</v>
      </c>
      <c r="E1304" s="5">
        <v>609980</v>
      </c>
      <c r="F1304" s="5">
        <v>0</v>
      </c>
      <c r="G1304" s="5" t="s">
        <v>1095</v>
      </c>
      <c r="H1304" s="5" t="s">
        <v>20</v>
      </c>
      <c r="I1304" s="6" t="s">
        <v>110</v>
      </c>
      <c r="J1304" s="6" t="s">
        <v>21</v>
      </c>
      <c r="K1304" s="6"/>
      <c r="L1304" s="6" t="s">
        <v>391</v>
      </c>
      <c r="M1304" s="6" t="s">
        <v>22</v>
      </c>
      <c r="N1304" s="6" t="s">
        <v>23</v>
      </c>
      <c r="O1304" s="6" t="s">
        <v>27</v>
      </c>
      <c r="P1304" s="6" t="s">
        <v>28</v>
      </c>
      <c r="Q1304" s="22">
        <v>169</v>
      </c>
      <c r="R1304" s="23">
        <v>12</v>
      </c>
      <c r="S1304" s="39">
        <v>1</v>
      </c>
      <c r="T1304" s="7"/>
      <c r="U1304" s="7" t="s">
        <v>2912</v>
      </c>
      <c r="V1304" s="7" t="str">
        <f>+IF(U1304="","",IF(U1304="FINES",CONCATENATE("R",IF(OR(B1304="16",B1304="21",B1304="22",B1304="23"),"16212223",IF(OR(B1304="15",B1304="17",B1304="24",B1304="25"),"15172425",B1304))),IF(U1304="CEBAS","UNICO",IF(VALUE(B1304)&lt;=11,"AMBA","INTERIOR"))))</f>
        <v>AMBA</v>
      </c>
      <c r="W1304" s="38" t="str">
        <f>+IF(U1304="","-",CONCATENATE(U1304,"_",V1304))</f>
        <v>EPA_AMBA</v>
      </c>
      <c r="X1304" s="42">
        <v>1.2999999999999999E-2</v>
      </c>
    </row>
    <row r="1305" spans="1:24" ht="15" thickBot="1">
      <c r="A1305" s="3" t="s">
        <v>2916</v>
      </c>
      <c r="B1305" s="3" t="s">
        <v>222</v>
      </c>
      <c r="C1305" s="3" t="s">
        <v>2047</v>
      </c>
      <c r="D1305" s="3" t="s">
        <v>2048</v>
      </c>
      <c r="E1305" s="3">
        <v>611772</v>
      </c>
      <c r="F1305" s="3">
        <v>0</v>
      </c>
      <c r="G1305" s="3" t="s">
        <v>2056</v>
      </c>
      <c r="H1305" s="3" t="s">
        <v>20</v>
      </c>
      <c r="I1305" s="4" t="s">
        <v>110</v>
      </c>
      <c r="J1305" s="4" t="s">
        <v>21</v>
      </c>
      <c r="K1305" s="4"/>
      <c r="L1305" s="4" t="s">
        <v>796</v>
      </c>
      <c r="M1305" s="4" t="s">
        <v>22</v>
      </c>
      <c r="N1305" s="4" t="s">
        <v>23</v>
      </c>
      <c r="O1305" s="4" t="s">
        <v>27</v>
      </c>
      <c r="P1305" s="4" t="s">
        <v>28</v>
      </c>
      <c r="Q1305" s="24">
        <v>286</v>
      </c>
      <c r="R1305" s="25">
        <v>19</v>
      </c>
      <c r="S1305" s="39">
        <v>1</v>
      </c>
      <c r="T1305" s="7"/>
      <c r="U1305" s="7" t="s">
        <v>2912</v>
      </c>
      <c r="V1305" s="7" t="str">
        <f>+IF(U1305="","",IF(U1305="FINES",CONCATENATE("R",IF(OR(B1305="16",B1305="21",B1305="22",B1305="23"),"16212223",IF(OR(B1305="15",B1305="17",B1305="24",B1305="25"),"15172425",B1305))),IF(U1305="CEBAS","UNICO",IF(VALUE(B1305)&lt;=11,"AMBA","INTERIOR"))))</f>
        <v>AMBA</v>
      </c>
      <c r="W1305" s="38" t="str">
        <f>+IF(U1305="","-",CONCATENATE(U1305,"_",V1305))</f>
        <v>EPA_AMBA</v>
      </c>
      <c r="X1305" s="42">
        <v>1.6E-2</v>
      </c>
    </row>
    <row r="1306" spans="1:24" ht="15" thickBot="1">
      <c r="A1306" s="5" t="s">
        <v>2916</v>
      </c>
      <c r="B1306" s="5" t="s">
        <v>257</v>
      </c>
      <c r="C1306" s="5" t="s">
        <v>254</v>
      </c>
      <c r="D1306" s="5" t="s">
        <v>256</v>
      </c>
      <c r="E1306" s="5">
        <v>613279</v>
      </c>
      <c r="F1306" s="5">
        <v>0</v>
      </c>
      <c r="G1306" s="5" t="s">
        <v>264</v>
      </c>
      <c r="H1306" s="5" t="s">
        <v>20</v>
      </c>
      <c r="I1306" s="6" t="s">
        <v>110</v>
      </c>
      <c r="J1306" s="6" t="s">
        <v>21</v>
      </c>
      <c r="K1306" s="6"/>
      <c r="L1306" s="6" t="s">
        <v>320</v>
      </c>
      <c r="M1306" s="6" t="s">
        <v>22</v>
      </c>
      <c r="N1306" s="6" t="s">
        <v>23</v>
      </c>
      <c r="O1306" s="6" t="s">
        <v>27</v>
      </c>
      <c r="P1306" s="6" t="s">
        <v>28</v>
      </c>
      <c r="Q1306" s="22">
        <v>88</v>
      </c>
      <c r="R1306" s="23">
        <v>8</v>
      </c>
      <c r="S1306" s="39">
        <v>1</v>
      </c>
      <c r="T1306" s="7"/>
      <c r="U1306" t="s">
        <v>2912</v>
      </c>
      <c r="V1306" s="7" t="str">
        <f>+IF(U1306="","",IF(U1306="FINES",CONCATENATE("R",IF(OR(B1306="16",B1306="21",B1306="22",B1306="23"),"16212223",IF(OR(B1306="15",B1306="17",B1306="24",B1306="25"),"15172425",B1306))),IF(U1306="CEBAS","UNICO",IF(VALUE(B1306)&lt;=11,"AMBA","INTERIOR"))))</f>
        <v>AMBA</v>
      </c>
      <c r="W1306" s="38" t="str">
        <f>+IF(U1306="","-",CONCATENATE(U1306,"_",V1306))</f>
        <v>EPA_AMBA</v>
      </c>
      <c r="X1306" s="42">
        <v>2.4E-2</v>
      </c>
    </row>
    <row r="1307" spans="1:24" ht="15" thickBot="1">
      <c r="A1307" s="3" t="s">
        <v>2916</v>
      </c>
      <c r="B1307" s="3" t="s">
        <v>204</v>
      </c>
      <c r="C1307" s="3" t="s">
        <v>137</v>
      </c>
      <c r="D1307" s="3" t="s">
        <v>2629</v>
      </c>
      <c r="E1307" s="3">
        <v>602948</v>
      </c>
      <c r="F1307" s="3">
        <v>0</v>
      </c>
      <c r="G1307" s="3" t="s">
        <v>2631</v>
      </c>
      <c r="H1307" s="3" t="s">
        <v>20</v>
      </c>
      <c r="I1307" s="4" t="s">
        <v>110</v>
      </c>
      <c r="J1307" s="4" t="s">
        <v>21</v>
      </c>
      <c r="K1307" s="4"/>
      <c r="L1307" s="4" t="s">
        <v>321</v>
      </c>
      <c r="M1307" s="4" t="s">
        <v>22</v>
      </c>
      <c r="N1307" s="4" t="s">
        <v>134</v>
      </c>
      <c r="O1307" s="4" t="s">
        <v>27</v>
      </c>
      <c r="P1307" s="4" t="s">
        <v>28</v>
      </c>
      <c r="Q1307" s="24">
        <v>47</v>
      </c>
      <c r="R1307" s="25">
        <v>4</v>
      </c>
      <c r="S1307" s="39">
        <v>1</v>
      </c>
      <c r="T1307" s="7"/>
      <c r="U1307" s="7" t="s">
        <v>2912</v>
      </c>
      <c r="V1307" s="7" t="str">
        <f>+IF(U1307="","",IF(U1307="FINES",CONCATENATE("R",IF(OR(B1307="16",B1307="21",B1307="22",B1307="23"),"16212223",IF(OR(B1307="15",B1307="17",B1307="24",B1307="25"),"15172425",B1307))),IF(U1307="CEBAS","UNICO",IF(VALUE(B1307)&lt;=11,"AMBA","INTERIOR"))))</f>
        <v>AMBA</v>
      </c>
      <c r="W1307" s="38" t="str">
        <f>+IF(U1307="","-",CONCATENATE(U1307,"_",V1307))</f>
        <v>EPA_AMBA</v>
      </c>
      <c r="X1307" s="42">
        <v>3.2000000000000001E-2</v>
      </c>
    </row>
    <row r="1308" spans="1:24" ht="15" thickBot="1">
      <c r="A1308" s="3" t="s">
        <v>2916</v>
      </c>
      <c r="B1308" s="3" t="s">
        <v>222</v>
      </c>
      <c r="C1308" s="3" t="s">
        <v>610</v>
      </c>
      <c r="D1308" s="3" t="s">
        <v>611</v>
      </c>
      <c r="E1308" s="3">
        <v>605903</v>
      </c>
      <c r="F1308" s="3">
        <v>0</v>
      </c>
      <c r="G1308" s="3" t="s">
        <v>616</v>
      </c>
      <c r="H1308" s="3" t="s">
        <v>20</v>
      </c>
      <c r="I1308" s="4" t="s">
        <v>110</v>
      </c>
      <c r="J1308" s="4" t="s">
        <v>21</v>
      </c>
      <c r="K1308" s="4"/>
      <c r="L1308" s="4" t="s">
        <v>627</v>
      </c>
      <c r="M1308" s="4" t="s">
        <v>22</v>
      </c>
      <c r="N1308" s="4" t="s">
        <v>23</v>
      </c>
      <c r="O1308" s="4" t="s">
        <v>27</v>
      </c>
      <c r="P1308" s="4" t="s">
        <v>28</v>
      </c>
      <c r="Q1308" s="24">
        <v>93</v>
      </c>
      <c r="R1308" s="25">
        <v>8</v>
      </c>
      <c r="S1308" s="39">
        <v>1</v>
      </c>
      <c r="T1308" s="7"/>
      <c r="U1308" t="s">
        <v>2912</v>
      </c>
      <c r="V1308" s="7" t="str">
        <f>+IF(U1308="","",IF(U1308="FINES",CONCATENATE("R",IF(OR(B1308="16",B1308="21",B1308="22",B1308="23"),"16212223",IF(OR(B1308="15",B1308="17",B1308="24",B1308="25"),"15172425",B1308))),IF(U1308="CEBAS","UNICO",IF(VALUE(B1308)&lt;=11,"AMBA","INTERIOR"))))</f>
        <v>AMBA</v>
      </c>
      <c r="W1308" s="38" t="str">
        <f>+IF(U1308="","-",CONCATENATE(U1308,"_",V1308))</f>
        <v>EPA_AMBA</v>
      </c>
      <c r="X1308" s="42">
        <v>3.5999999999999997E-2</v>
      </c>
    </row>
    <row r="1309" spans="1:24" ht="15" thickBot="1">
      <c r="A1309" s="5" t="s">
        <v>2916</v>
      </c>
      <c r="B1309" s="5" t="s">
        <v>138</v>
      </c>
      <c r="C1309" s="5" t="s">
        <v>522</v>
      </c>
      <c r="D1309" s="5" t="s">
        <v>1468</v>
      </c>
      <c r="E1309" s="5">
        <v>603616</v>
      </c>
      <c r="F1309" s="5">
        <v>0</v>
      </c>
      <c r="G1309" s="5" t="s">
        <v>1475</v>
      </c>
      <c r="H1309" s="5" t="s">
        <v>20</v>
      </c>
      <c r="I1309" s="6" t="s">
        <v>110</v>
      </c>
      <c r="J1309" s="6" t="s">
        <v>21</v>
      </c>
      <c r="K1309" s="6"/>
      <c r="L1309" s="6" t="s">
        <v>1476</v>
      </c>
      <c r="M1309" s="6" t="s">
        <v>22</v>
      </c>
      <c r="N1309" s="6" t="s">
        <v>23</v>
      </c>
      <c r="O1309" s="6" t="s">
        <v>27</v>
      </c>
      <c r="P1309" s="6" t="s">
        <v>28</v>
      </c>
      <c r="Q1309" s="22">
        <v>90</v>
      </c>
      <c r="R1309" s="23">
        <v>6</v>
      </c>
      <c r="S1309" s="39">
        <v>1</v>
      </c>
      <c r="T1309" s="7"/>
      <c r="U1309" s="7" t="s">
        <v>2912</v>
      </c>
      <c r="V1309" s="7" t="str">
        <f>+IF(U1309="","",IF(U1309="FINES",CONCATENATE("R",IF(OR(B1309="16",B1309="21",B1309="22",B1309="23"),"16212223",IF(OR(B1309="15",B1309="17",B1309="24",B1309="25"),"15172425",B1309))),IF(U1309="CEBAS","UNICO",IF(VALUE(B1309)&lt;=11,"AMBA","INTERIOR"))))</f>
        <v>AMBA</v>
      </c>
      <c r="W1309" s="38" t="str">
        <f>+IF(U1309="","-",CONCATENATE(U1309,"_",V1309))</f>
        <v>EPA_AMBA</v>
      </c>
      <c r="X1309" s="42">
        <v>0.04</v>
      </c>
    </row>
    <row r="1310" spans="1:24" ht="15" thickBot="1">
      <c r="A1310" s="5" t="s">
        <v>2916</v>
      </c>
      <c r="B1310" s="5" t="s">
        <v>204</v>
      </c>
      <c r="C1310" s="5" t="s">
        <v>1084</v>
      </c>
      <c r="D1310" s="5" t="s">
        <v>1085</v>
      </c>
      <c r="E1310" s="5">
        <v>609964</v>
      </c>
      <c r="F1310" s="5">
        <v>0</v>
      </c>
      <c r="G1310" s="5" t="s">
        <v>1110</v>
      </c>
      <c r="H1310" s="5" t="s">
        <v>20</v>
      </c>
      <c r="I1310" s="6" t="s">
        <v>110</v>
      </c>
      <c r="J1310" s="6" t="s">
        <v>21</v>
      </c>
      <c r="K1310" s="6"/>
      <c r="L1310" s="6" t="s">
        <v>396</v>
      </c>
      <c r="M1310" s="6" t="s">
        <v>22</v>
      </c>
      <c r="N1310" s="6" t="s">
        <v>23</v>
      </c>
      <c r="O1310" s="6" t="s">
        <v>27</v>
      </c>
      <c r="P1310" s="6" t="s">
        <v>28</v>
      </c>
      <c r="Q1310" s="22">
        <v>188</v>
      </c>
      <c r="R1310" s="23">
        <v>9</v>
      </c>
      <c r="S1310" s="39">
        <v>1</v>
      </c>
      <c r="T1310" s="7"/>
      <c r="U1310" t="s">
        <v>2912</v>
      </c>
      <c r="V1310" s="7" t="str">
        <f>+IF(U1310="","",IF(U1310="FINES",CONCATENATE("R",IF(OR(B1310="16",B1310="21",B1310="22",B1310="23"),"16212223",IF(OR(B1310="15",B1310="17",B1310="24",B1310="25"),"15172425",B1310))),IF(U1310="CEBAS","UNICO",IF(VALUE(B1310)&lt;=11,"AMBA","INTERIOR"))))</f>
        <v>AMBA</v>
      </c>
      <c r="W1310" s="38" t="str">
        <f>+IF(U1310="","-",CONCATENATE(U1310,"_",V1310))</f>
        <v>EPA_AMBA</v>
      </c>
      <c r="X1310" s="42">
        <v>0.04</v>
      </c>
    </row>
    <row r="1311" spans="1:24" ht="15" thickBot="1">
      <c r="A1311" s="3" t="s">
        <v>2916</v>
      </c>
      <c r="B1311" s="3" t="s">
        <v>1860</v>
      </c>
      <c r="C1311" s="3" t="s">
        <v>224</v>
      </c>
      <c r="D1311" s="3" t="s">
        <v>2837</v>
      </c>
      <c r="E1311" s="3">
        <v>613692</v>
      </c>
      <c r="F1311" s="3">
        <v>0</v>
      </c>
      <c r="G1311" s="3" t="s">
        <v>2839</v>
      </c>
      <c r="H1311" s="3" t="s">
        <v>20</v>
      </c>
      <c r="I1311" s="4" t="s">
        <v>110</v>
      </c>
      <c r="J1311" s="4" t="s">
        <v>21</v>
      </c>
      <c r="K1311" s="4"/>
      <c r="L1311" s="4" t="s">
        <v>2853</v>
      </c>
      <c r="M1311" s="4" t="s">
        <v>22</v>
      </c>
      <c r="N1311" s="4" t="s">
        <v>23</v>
      </c>
      <c r="O1311" s="4" t="s">
        <v>27</v>
      </c>
      <c r="P1311" s="4" t="s">
        <v>28</v>
      </c>
      <c r="Q1311" s="24">
        <v>58</v>
      </c>
      <c r="R1311" s="25">
        <v>8</v>
      </c>
      <c r="S1311" s="39">
        <v>1</v>
      </c>
      <c r="T1311" s="7"/>
      <c r="U1311" t="s">
        <v>2912</v>
      </c>
      <c r="V1311" s="7" t="str">
        <f>+IF(U1311="","",IF(U1311="FINES",CONCATENATE("R",IF(OR(B1311="16",B1311="21",B1311="22",B1311="23"),"16212223",IF(OR(B1311="15",B1311="17",B1311="24",B1311="25"),"15172425",B1311))),IF(U1311="CEBAS","UNICO",IF(VALUE(B1311)&lt;=11,"AMBA","INTERIOR"))))</f>
        <v>AMBA</v>
      </c>
      <c r="W1311" s="38" t="str">
        <f>+IF(U1311="","-",CONCATENATE(U1311,"_",V1311))</f>
        <v>EPA_AMBA</v>
      </c>
      <c r="X1311" s="42">
        <v>4.2000000000000003E-2</v>
      </c>
    </row>
    <row r="1312" spans="1:24" ht="15" thickBot="1">
      <c r="A1312" s="5" t="s">
        <v>2916</v>
      </c>
      <c r="B1312" s="5" t="s">
        <v>204</v>
      </c>
      <c r="C1312" s="5" t="s">
        <v>219</v>
      </c>
      <c r="D1312" s="5" t="s">
        <v>2865</v>
      </c>
      <c r="E1312" s="5">
        <v>617125</v>
      </c>
      <c r="F1312" s="5">
        <v>0</v>
      </c>
      <c r="G1312" s="5" t="s">
        <v>2878</v>
      </c>
      <c r="H1312" s="5" t="s">
        <v>20</v>
      </c>
      <c r="I1312" s="6" t="s">
        <v>110</v>
      </c>
      <c r="J1312" s="6" t="s">
        <v>21</v>
      </c>
      <c r="K1312" s="6"/>
      <c r="L1312" s="6" t="s">
        <v>1662</v>
      </c>
      <c r="M1312" s="6" t="s">
        <v>22</v>
      </c>
      <c r="N1312" s="6" t="s">
        <v>23</v>
      </c>
      <c r="O1312" s="6" t="s">
        <v>27</v>
      </c>
      <c r="P1312" s="6" t="s">
        <v>28</v>
      </c>
      <c r="Q1312" s="22">
        <v>30</v>
      </c>
      <c r="R1312" s="23">
        <v>2</v>
      </c>
      <c r="S1312" s="39">
        <v>1</v>
      </c>
      <c r="T1312" s="7"/>
      <c r="U1312" t="s">
        <v>2912</v>
      </c>
      <c r="V1312" s="7" t="str">
        <f>+IF(U1312="","",IF(U1312="FINES",CONCATENATE("R",IF(OR(B1312="16",B1312="21",B1312="22",B1312="23"),"16212223",IF(OR(B1312="15",B1312="17",B1312="24",B1312="25"),"15172425",B1312))),IF(U1312="CEBAS","UNICO",IF(VALUE(B1312)&lt;=11,"AMBA","INTERIOR"))))</f>
        <v>AMBA</v>
      </c>
      <c r="W1312" s="38" t="str">
        <f>+IF(U1312="","-",CONCATENATE(U1312,"_",V1312))</f>
        <v>EPA_AMBA</v>
      </c>
      <c r="X1312" s="42">
        <v>4.5999999999999999E-2</v>
      </c>
    </row>
    <row r="1313" spans="1:24" ht="15" thickBot="1">
      <c r="A1313" s="5" t="s">
        <v>2916</v>
      </c>
      <c r="B1313" s="5" t="s">
        <v>19</v>
      </c>
      <c r="C1313" s="5" t="s">
        <v>17</v>
      </c>
      <c r="D1313" s="5" t="s">
        <v>18</v>
      </c>
      <c r="E1313" s="5">
        <v>602914</v>
      </c>
      <c r="F1313" s="5">
        <v>0</v>
      </c>
      <c r="G1313" s="5" t="s">
        <v>55</v>
      </c>
      <c r="H1313" s="5" t="s">
        <v>20</v>
      </c>
      <c r="I1313" s="6" t="s">
        <v>110</v>
      </c>
      <c r="J1313" s="6" t="s">
        <v>21</v>
      </c>
      <c r="K1313" s="6"/>
      <c r="L1313" s="6" t="s">
        <v>118</v>
      </c>
      <c r="M1313" s="6" t="s">
        <v>22</v>
      </c>
      <c r="N1313" s="6" t="s">
        <v>23</v>
      </c>
      <c r="O1313" s="6" t="s">
        <v>27</v>
      </c>
      <c r="P1313" s="6" t="s">
        <v>28</v>
      </c>
      <c r="Q1313" s="22">
        <v>68</v>
      </c>
      <c r="R1313" s="23">
        <v>8</v>
      </c>
      <c r="S1313" s="39">
        <v>1</v>
      </c>
      <c r="T1313" s="7"/>
      <c r="U1313" t="s">
        <v>2912</v>
      </c>
      <c r="V1313" s="7" t="str">
        <f>+IF(U1313="","",IF(U1313="FINES",CONCATENATE("R",IF(OR(B1313="16",B1313="21",B1313="22",B1313="23"),"16212223",IF(OR(B1313="15",B1313="17",B1313="24",B1313="25"),"15172425",B1313))),IF(U1313="CEBAS","UNICO",IF(VALUE(B1313)&lt;=11,"AMBA","INTERIOR"))))</f>
        <v>AMBA</v>
      </c>
      <c r="W1313" s="38" t="str">
        <f>+IF(U1313="","-",CONCATENATE(U1313,"_",V1313))</f>
        <v>EPA_AMBA</v>
      </c>
      <c r="X1313" s="42">
        <v>5.0999999999999997E-2</v>
      </c>
    </row>
    <row r="1314" spans="1:24" ht="15" thickBot="1">
      <c r="A1314" s="5" t="s">
        <v>2916</v>
      </c>
      <c r="B1314" s="5" t="s">
        <v>1860</v>
      </c>
      <c r="C1314" s="5" t="s">
        <v>224</v>
      </c>
      <c r="D1314" s="5" t="s">
        <v>2837</v>
      </c>
      <c r="E1314" s="5">
        <v>613704</v>
      </c>
      <c r="F1314" s="5">
        <v>0</v>
      </c>
      <c r="G1314" s="5" t="s">
        <v>2849</v>
      </c>
      <c r="H1314" s="5" t="s">
        <v>20</v>
      </c>
      <c r="I1314" s="6" t="s">
        <v>110</v>
      </c>
      <c r="J1314" s="6" t="s">
        <v>21</v>
      </c>
      <c r="K1314" s="6"/>
      <c r="L1314" s="6" t="s">
        <v>2854</v>
      </c>
      <c r="M1314" s="6" t="s">
        <v>22</v>
      </c>
      <c r="N1314" s="6" t="s">
        <v>23</v>
      </c>
      <c r="O1314" s="6" t="s">
        <v>27</v>
      </c>
      <c r="P1314" s="6" t="s">
        <v>28</v>
      </c>
      <c r="Q1314" s="22">
        <v>75</v>
      </c>
      <c r="R1314" s="23">
        <v>10</v>
      </c>
      <c r="S1314" s="39">
        <v>1</v>
      </c>
      <c r="T1314" s="7"/>
      <c r="U1314" t="s">
        <v>2912</v>
      </c>
      <c r="V1314" s="7" t="str">
        <f>+IF(U1314="","",IF(U1314="FINES",CONCATENATE("R",IF(OR(B1314="16",B1314="21",B1314="22",B1314="23"),"16212223",IF(OR(B1314="15",B1314="17",B1314="24",B1314="25"),"15172425",B1314))),IF(U1314="CEBAS","UNICO",IF(VALUE(B1314)&lt;=11,"AMBA","INTERIOR"))))</f>
        <v>AMBA</v>
      </c>
      <c r="W1314" s="38" t="str">
        <f>+IF(U1314="","-",CONCATENATE(U1314,"_",V1314))</f>
        <v>EPA_AMBA</v>
      </c>
      <c r="X1314" s="42">
        <v>5.7000000000000002E-2</v>
      </c>
    </row>
    <row r="1315" spans="1:24" ht="15" thickBot="1">
      <c r="A1315" s="5" t="s">
        <v>2916</v>
      </c>
      <c r="B1315" s="5" t="s">
        <v>1780</v>
      </c>
      <c r="C1315" s="5" t="s">
        <v>1778</v>
      </c>
      <c r="D1315" s="5" t="s">
        <v>1779</v>
      </c>
      <c r="E1315" s="5">
        <v>610077</v>
      </c>
      <c r="F1315" s="5">
        <v>0</v>
      </c>
      <c r="G1315" s="5" t="s">
        <v>1802</v>
      </c>
      <c r="H1315" s="5" t="s">
        <v>20</v>
      </c>
      <c r="I1315" s="6" t="s">
        <v>110</v>
      </c>
      <c r="J1315" s="6" t="s">
        <v>21</v>
      </c>
      <c r="K1315" s="6"/>
      <c r="L1315" s="6" t="s">
        <v>1814</v>
      </c>
      <c r="M1315" s="6" t="s">
        <v>22</v>
      </c>
      <c r="N1315" s="6" t="s">
        <v>23</v>
      </c>
      <c r="O1315" s="6" t="s">
        <v>27</v>
      </c>
      <c r="P1315" s="6" t="s">
        <v>28</v>
      </c>
      <c r="Q1315" s="22">
        <v>73</v>
      </c>
      <c r="R1315" s="23">
        <v>8</v>
      </c>
      <c r="S1315" s="39">
        <v>1</v>
      </c>
      <c r="T1315" s="7"/>
      <c r="U1315" t="s">
        <v>2912</v>
      </c>
      <c r="V1315" s="7" t="str">
        <f>+IF(U1315="","",IF(U1315="FINES",CONCATENATE("R",IF(OR(B1315="16",B1315="21",B1315="22",B1315="23"),"16212223",IF(OR(B1315="15",B1315="17",B1315="24",B1315="25"),"15172425",B1315))),IF(U1315="CEBAS","UNICO",IF(VALUE(B1315)&lt;=11,"AMBA","INTERIOR"))))</f>
        <v>AMBA</v>
      </c>
      <c r="W1315" s="38" t="str">
        <f>+IF(U1315="","-",CONCATENATE(U1315,"_",V1315))</f>
        <v>EPA_AMBA</v>
      </c>
      <c r="X1315" s="42">
        <v>5.7000000000000002E-2</v>
      </c>
    </row>
    <row r="1316" spans="1:24" ht="15" thickBot="1">
      <c r="A1316" s="5" t="s">
        <v>2916</v>
      </c>
      <c r="B1316" s="5" t="s">
        <v>19</v>
      </c>
      <c r="C1316" s="5" t="s">
        <v>644</v>
      </c>
      <c r="D1316" s="5" t="s">
        <v>2862</v>
      </c>
      <c r="E1316" s="5">
        <v>606381</v>
      </c>
      <c r="F1316" s="5">
        <v>0</v>
      </c>
      <c r="G1316" s="5" t="s">
        <v>2863</v>
      </c>
      <c r="H1316" s="5" t="s">
        <v>20</v>
      </c>
      <c r="I1316" s="6" t="s">
        <v>110</v>
      </c>
      <c r="J1316" s="6" t="s">
        <v>21</v>
      </c>
      <c r="K1316" s="6"/>
      <c r="L1316" s="6" t="s">
        <v>111</v>
      </c>
      <c r="M1316" s="6" t="s">
        <v>22</v>
      </c>
      <c r="N1316" s="6" t="s">
        <v>23</v>
      </c>
      <c r="O1316" s="6" t="s">
        <v>27</v>
      </c>
      <c r="P1316" s="6" t="s">
        <v>28</v>
      </c>
      <c r="Q1316" s="22">
        <v>88</v>
      </c>
      <c r="R1316" s="23">
        <v>6</v>
      </c>
      <c r="S1316" s="39">
        <v>1</v>
      </c>
      <c r="T1316" s="7"/>
      <c r="U1316" s="7" t="s">
        <v>2912</v>
      </c>
      <c r="V1316" s="7" t="str">
        <f>+IF(U1316="","",IF(U1316="FINES",CONCATENATE("R",IF(OR(B1316="16",B1316="21",B1316="22",B1316="23"),"16212223",IF(OR(B1316="15",B1316="17",B1316="24",B1316="25"),"15172425",B1316))),IF(U1316="CEBAS","UNICO",IF(VALUE(B1316)&lt;=11,"AMBA","INTERIOR"))))</f>
        <v>AMBA</v>
      </c>
      <c r="W1316" s="38" t="str">
        <f>+IF(U1316="","-",CONCATENATE(U1316,"_",V1316))</f>
        <v>EPA_AMBA</v>
      </c>
      <c r="X1316" s="42">
        <v>5.8999999999999997E-2</v>
      </c>
    </row>
    <row r="1317" spans="1:24" ht="15" thickBot="1">
      <c r="A1317" s="5" t="s">
        <v>2916</v>
      </c>
      <c r="B1317" s="5" t="s">
        <v>356</v>
      </c>
      <c r="C1317" s="5" t="s">
        <v>1359</v>
      </c>
      <c r="D1317" s="5" t="s">
        <v>1360</v>
      </c>
      <c r="E1317" s="5">
        <v>601945</v>
      </c>
      <c r="F1317" s="5">
        <v>0</v>
      </c>
      <c r="G1317" s="5" t="s">
        <v>1388</v>
      </c>
      <c r="H1317" s="5" t="s">
        <v>20</v>
      </c>
      <c r="I1317" s="6" t="s">
        <v>110</v>
      </c>
      <c r="J1317" s="6" t="s">
        <v>21</v>
      </c>
      <c r="K1317" s="6"/>
      <c r="L1317" s="6" t="s">
        <v>1408</v>
      </c>
      <c r="M1317" s="6" t="s">
        <v>22</v>
      </c>
      <c r="N1317" s="6" t="s">
        <v>23</v>
      </c>
      <c r="O1317" s="6" t="s">
        <v>27</v>
      </c>
      <c r="P1317" s="6" t="s">
        <v>28</v>
      </c>
      <c r="Q1317" s="22">
        <v>202</v>
      </c>
      <c r="R1317" s="23">
        <v>11</v>
      </c>
      <c r="S1317" s="39">
        <v>1</v>
      </c>
      <c r="T1317" s="7"/>
      <c r="U1317" s="7" t="s">
        <v>2912</v>
      </c>
      <c r="V1317" s="7" t="str">
        <f>+IF(U1317="","",IF(U1317="FINES",CONCATENATE("R",IF(OR(B1317="16",B1317="21",B1317="22",B1317="23"),"16212223",IF(OR(B1317="15",B1317="17",B1317="24",B1317="25"),"15172425",B1317))),IF(U1317="CEBAS","UNICO",IF(VALUE(B1317)&lt;=11,"AMBA","INTERIOR"))))</f>
        <v>AMBA</v>
      </c>
      <c r="W1317" s="38" t="str">
        <f>+IF(U1317="","-",CONCATENATE(U1317,"_",V1317))</f>
        <v>EPA_AMBA</v>
      </c>
      <c r="X1317" s="42">
        <v>7.0999999999999994E-2</v>
      </c>
    </row>
    <row r="1318" spans="1:24" ht="15" thickBot="1">
      <c r="A1318" s="5" t="s">
        <v>2916</v>
      </c>
      <c r="B1318" s="5" t="s">
        <v>1532</v>
      </c>
      <c r="C1318" s="5" t="s">
        <v>1530</v>
      </c>
      <c r="D1318" s="5" t="s">
        <v>1531</v>
      </c>
      <c r="E1318" s="5">
        <v>624646</v>
      </c>
      <c r="F1318" s="5">
        <v>0</v>
      </c>
      <c r="G1318" s="5" t="s">
        <v>1673</v>
      </c>
      <c r="H1318" s="5" t="s">
        <v>20</v>
      </c>
      <c r="I1318" s="6" t="s">
        <v>110</v>
      </c>
      <c r="J1318" s="6" t="s">
        <v>21</v>
      </c>
      <c r="K1318" s="6"/>
      <c r="L1318" s="6" t="s">
        <v>1674</v>
      </c>
      <c r="M1318" s="6" t="s">
        <v>22</v>
      </c>
      <c r="N1318" s="6" t="s">
        <v>23</v>
      </c>
      <c r="O1318" s="6" t="s">
        <v>27</v>
      </c>
      <c r="P1318" s="6" t="s">
        <v>28</v>
      </c>
      <c r="Q1318" s="22">
        <v>364</v>
      </c>
      <c r="R1318" s="23">
        <v>14</v>
      </c>
      <c r="S1318" s="39">
        <v>1</v>
      </c>
      <c r="T1318" s="7"/>
      <c r="U1318" s="7" t="s">
        <v>2912</v>
      </c>
      <c r="V1318" s="7" t="str">
        <f>+IF(U1318="","",IF(U1318="FINES",CONCATENATE("R",IF(OR(B1318="16",B1318="21",B1318="22",B1318="23"),"16212223",IF(OR(B1318="15",B1318="17",B1318="24",B1318="25"),"15172425",B1318))),IF(U1318="CEBAS","UNICO",IF(VALUE(B1318)&lt;=11,"AMBA","INTERIOR"))))</f>
        <v>AMBA</v>
      </c>
      <c r="W1318" s="38" t="str">
        <f>+IF(U1318="","-",CONCATENATE(U1318,"_",V1318))</f>
        <v>EPA_AMBA</v>
      </c>
      <c r="X1318" s="42">
        <v>7.3999999999999996E-2</v>
      </c>
    </row>
    <row r="1319" spans="1:24" ht="15" thickBot="1">
      <c r="A1319" s="3" t="s">
        <v>2916</v>
      </c>
      <c r="B1319" s="3" t="s">
        <v>1532</v>
      </c>
      <c r="C1319" s="3" t="s">
        <v>1530</v>
      </c>
      <c r="D1319" s="3" t="s">
        <v>1531</v>
      </c>
      <c r="E1319" s="3">
        <v>612437</v>
      </c>
      <c r="F1319" s="3">
        <v>0</v>
      </c>
      <c r="G1319" s="3" t="s">
        <v>1609</v>
      </c>
      <c r="H1319" s="3" t="s">
        <v>20</v>
      </c>
      <c r="I1319" s="4" t="s">
        <v>110</v>
      </c>
      <c r="J1319" s="4" t="s">
        <v>21</v>
      </c>
      <c r="K1319" s="4"/>
      <c r="L1319" s="4" t="s">
        <v>125</v>
      </c>
      <c r="M1319" s="4" t="s">
        <v>22</v>
      </c>
      <c r="N1319" s="4" t="s">
        <v>134</v>
      </c>
      <c r="O1319" s="4" t="s">
        <v>27</v>
      </c>
      <c r="P1319" s="4" t="s">
        <v>28</v>
      </c>
      <c r="Q1319" s="24">
        <v>122</v>
      </c>
      <c r="R1319" s="25">
        <v>11</v>
      </c>
      <c r="S1319" s="39">
        <v>1</v>
      </c>
      <c r="T1319" s="7"/>
      <c r="U1319" s="7" t="s">
        <v>2912</v>
      </c>
      <c r="V1319" s="7" t="str">
        <f>+IF(U1319="","",IF(U1319="FINES",CONCATENATE("R",IF(OR(B1319="16",B1319="21",B1319="22",B1319="23"),"16212223",IF(OR(B1319="15",B1319="17",B1319="24",B1319="25"),"15172425",B1319))),IF(U1319="CEBAS","UNICO",IF(VALUE(B1319)&lt;=11,"AMBA","INTERIOR"))))</f>
        <v>AMBA</v>
      </c>
      <c r="W1319" s="38" t="str">
        <f>+IF(U1319="","-",CONCATENATE(U1319,"_",V1319))</f>
        <v>EPA_AMBA</v>
      </c>
      <c r="X1319" s="42">
        <v>7.4999999999999997E-2</v>
      </c>
    </row>
    <row r="1320" spans="1:24" ht="15" thickBot="1">
      <c r="A1320" s="5" t="s">
        <v>2916</v>
      </c>
      <c r="B1320" s="5" t="s">
        <v>257</v>
      </c>
      <c r="C1320" s="5" t="s">
        <v>415</v>
      </c>
      <c r="D1320" s="5" t="s">
        <v>2770</v>
      </c>
      <c r="E1320" s="5">
        <v>613688</v>
      </c>
      <c r="F1320" s="5">
        <v>0</v>
      </c>
      <c r="G1320" s="5" t="s">
        <v>2772</v>
      </c>
      <c r="H1320" s="5" t="s">
        <v>20</v>
      </c>
      <c r="I1320" s="6" t="s">
        <v>110</v>
      </c>
      <c r="J1320" s="6" t="s">
        <v>21</v>
      </c>
      <c r="K1320" s="6"/>
      <c r="L1320" s="6" t="s">
        <v>111</v>
      </c>
      <c r="M1320" s="6" t="s">
        <v>22</v>
      </c>
      <c r="N1320" s="6" t="s">
        <v>23</v>
      </c>
      <c r="O1320" s="6" t="s">
        <v>27</v>
      </c>
      <c r="P1320" s="6" t="s">
        <v>28</v>
      </c>
      <c r="Q1320" s="22">
        <v>122</v>
      </c>
      <c r="R1320" s="23">
        <v>11</v>
      </c>
      <c r="S1320" s="39">
        <v>1</v>
      </c>
      <c r="T1320" s="7"/>
      <c r="U1320" s="7" t="s">
        <v>2912</v>
      </c>
      <c r="V1320" s="7" t="str">
        <f>+IF(U1320="","",IF(U1320="FINES",CONCATENATE("R",IF(OR(B1320="16",B1320="21",B1320="22",B1320="23"),"16212223",IF(OR(B1320="15",B1320="17",B1320="24",B1320="25"),"15172425",B1320))),IF(U1320="CEBAS","UNICO",IF(VALUE(B1320)&lt;=11,"AMBA","INTERIOR"))))</f>
        <v>AMBA</v>
      </c>
      <c r="W1320" s="38" t="str">
        <f>+IF(U1320="","-",CONCATENATE(U1320,"_",V1320))</f>
        <v>EPA_AMBA</v>
      </c>
      <c r="X1320" s="42">
        <v>7.9000000000000001E-2</v>
      </c>
    </row>
    <row r="1321" spans="1:24" ht="15" thickBot="1">
      <c r="A1321" s="5" t="s">
        <v>2916</v>
      </c>
      <c r="B1321" s="5" t="s">
        <v>222</v>
      </c>
      <c r="C1321" s="5" t="s">
        <v>610</v>
      </c>
      <c r="D1321" s="5" t="s">
        <v>611</v>
      </c>
      <c r="E1321" s="5">
        <v>605809</v>
      </c>
      <c r="F1321" s="5">
        <v>0</v>
      </c>
      <c r="G1321" s="5" t="s">
        <v>613</v>
      </c>
      <c r="H1321" s="5" t="s">
        <v>20</v>
      </c>
      <c r="I1321" s="6" t="s">
        <v>110</v>
      </c>
      <c r="J1321" s="6" t="s">
        <v>21</v>
      </c>
      <c r="K1321" s="6"/>
      <c r="L1321" s="6" t="s">
        <v>626</v>
      </c>
      <c r="M1321" s="6" t="s">
        <v>199</v>
      </c>
      <c r="N1321" s="6" t="s">
        <v>23</v>
      </c>
      <c r="O1321" s="6" t="s">
        <v>27</v>
      </c>
      <c r="P1321" s="6" t="s">
        <v>28</v>
      </c>
      <c r="Q1321" s="22">
        <v>196</v>
      </c>
      <c r="R1321" s="23">
        <v>10</v>
      </c>
      <c r="S1321" s="39">
        <v>1</v>
      </c>
      <c r="T1321" s="7"/>
      <c r="U1321" s="7" t="s">
        <v>2912</v>
      </c>
      <c r="V1321" s="7" t="str">
        <f>+IF(U1321="","",IF(U1321="FINES",CONCATENATE("R",IF(OR(B1321="16",B1321="21",B1321="22",B1321="23"),"16212223",IF(OR(B1321="15",B1321="17",B1321="24",B1321="25"),"15172425",B1321))),IF(U1321="CEBAS","UNICO",IF(VALUE(B1321)&lt;=11,"AMBA","INTERIOR"))))</f>
        <v>AMBA</v>
      </c>
      <c r="W1321" s="38" t="str">
        <f>+IF(U1321="","-",CONCATENATE(U1321,"_",V1321))</f>
        <v>EPA_AMBA</v>
      </c>
      <c r="X1321" s="42">
        <v>8.1000000000000003E-2</v>
      </c>
    </row>
    <row r="1322" spans="1:24" ht="15" thickBot="1">
      <c r="A1322" s="3" t="s">
        <v>2916</v>
      </c>
      <c r="B1322" s="3" t="s">
        <v>356</v>
      </c>
      <c r="C1322" s="3" t="s">
        <v>1359</v>
      </c>
      <c r="D1322" s="3" t="s">
        <v>1360</v>
      </c>
      <c r="E1322" s="3">
        <v>622287</v>
      </c>
      <c r="F1322" s="3">
        <v>0</v>
      </c>
      <c r="G1322" s="3" t="s">
        <v>1416</v>
      </c>
      <c r="H1322" s="3" t="s">
        <v>20</v>
      </c>
      <c r="I1322" s="4" t="s">
        <v>110</v>
      </c>
      <c r="J1322" s="4" t="s">
        <v>21</v>
      </c>
      <c r="K1322" s="4"/>
      <c r="L1322" s="4" t="s">
        <v>1417</v>
      </c>
      <c r="M1322" s="4" t="s">
        <v>22</v>
      </c>
      <c r="N1322" s="4" t="s">
        <v>23</v>
      </c>
      <c r="O1322" s="4" t="s">
        <v>27</v>
      </c>
      <c r="P1322" s="4" t="s">
        <v>28</v>
      </c>
      <c r="Q1322" s="24">
        <v>108</v>
      </c>
      <c r="R1322" s="25">
        <v>6</v>
      </c>
      <c r="S1322" s="39">
        <v>1</v>
      </c>
      <c r="T1322" s="7"/>
      <c r="U1322" t="s">
        <v>2912</v>
      </c>
      <c r="V1322" s="7" t="str">
        <f>+IF(U1322="","",IF(U1322="FINES",CONCATENATE("R",IF(OR(B1322="16",B1322="21",B1322="22",B1322="23"),"16212223",IF(OR(B1322="15",B1322="17",B1322="24",B1322="25"),"15172425",B1322))),IF(U1322="CEBAS","UNICO",IF(VALUE(B1322)&lt;=11,"AMBA","INTERIOR"))))</f>
        <v>AMBA</v>
      </c>
      <c r="W1322" s="38" t="str">
        <f>+IF(U1322="","-",CONCATENATE(U1322,"_",V1322))</f>
        <v>EPA_AMBA</v>
      </c>
      <c r="X1322" s="42">
        <v>8.7999999999999995E-2</v>
      </c>
    </row>
    <row r="1323" spans="1:24" ht="15" thickBot="1">
      <c r="A1323" s="5" t="s">
        <v>2916</v>
      </c>
      <c r="B1323" s="5" t="s">
        <v>1532</v>
      </c>
      <c r="C1323" s="5" t="s">
        <v>1530</v>
      </c>
      <c r="D1323" s="5" t="s">
        <v>1531</v>
      </c>
      <c r="E1323" s="5">
        <v>602154</v>
      </c>
      <c r="F1323" s="5">
        <v>0</v>
      </c>
      <c r="G1323" s="5" t="s">
        <v>1572</v>
      </c>
      <c r="H1323" s="5" t="s">
        <v>20</v>
      </c>
      <c r="I1323" s="6" t="s">
        <v>110</v>
      </c>
      <c r="J1323" s="6" t="s">
        <v>21</v>
      </c>
      <c r="K1323" s="6"/>
      <c r="L1323" s="6" t="s">
        <v>1663</v>
      </c>
      <c r="M1323" s="6" t="s">
        <v>22</v>
      </c>
      <c r="N1323" s="6" t="s">
        <v>23</v>
      </c>
      <c r="O1323" s="6" t="s">
        <v>27</v>
      </c>
      <c r="P1323" s="6" t="s">
        <v>28</v>
      </c>
      <c r="Q1323" s="22">
        <v>129</v>
      </c>
      <c r="R1323" s="23">
        <v>9</v>
      </c>
      <c r="S1323" s="39">
        <v>1</v>
      </c>
      <c r="T1323" s="7"/>
      <c r="U1323" t="s">
        <v>2912</v>
      </c>
      <c r="V1323" s="7" t="str">
        <f>+IF(U1323="","",IF(U1323="FINES",CONCATENATE("R",IF(OR(B1323="16",B1323="21",B1323="22",B1323="23"),"16212223",IF(OR(B1323="15",B1323="17",B1323="24",B1323="25"),"15172425",B1323))),IF(U1323="CEBAS","UNICO",IF(VALUE(B1323)&lt;=11,"AMBA","INTERIOR"))))</f>
        <v>AMBA</v>
      </c>
      <c r="W1323" s="38" t="str">
        <f>+IF(U1323="","-",CONCATENATE(U1323,"_",V1323))</f>
        <v>EPA_AMBA</v>
      </c>
      <c r="X1323" s="42">
        <v>9.0999999999999998E-2</v>
      </c>
    </row>
    <row r="1324" spans="1:24" ht="15" thickBot="1">
      <c r="A1324" s="5" t="s">
        <v>2916</v>
      </c>
      <c r="B1324" s="5" t="s">
        <v>1257</v>
      </c>
      <c r="C1324" s="5" t="s">
        <v>519</v>
      </c>
      <c r="D1324" s="5" t="s">
        <v>2470</v>
      </c>
      <c r="E1324" s="5">
        <v>602305</v>
      </c>
      <c r="F1324" s="5">
        <v>0</v>
      </c>
      <c r="G1324" s="5" t="s">
        <v>2474</v>
      </c>
      <c r="H1324" s="5" t="s">
        <v>20</v>
      </c>
      <c r="I1324" s="6" t="s">
        <v>110</v>
      </c>
      <c r="J1324" s="6" t="s">
        <v>21</v>
      </c>
      <c r="K1324" s="6"/>
      <c r="L1324" s="6" t="s">
        <v>2481</v>
      </c>
      <c r="M1324" s="6" t="s">
        <v>22</v>
      </c>
      <c r="N1324" s="6" t="s">
        <v>23</v>
      </c>
      <c r="O1324" s="6" t="s">
        <v>27</v>
      </c>
      <c r="P1324" s="6" t="s">
        <v>28</v>
      </c>
      <c r="Q1324" s="22">
        <v>59</v>
      </c>
      <c r="R1324" s="23">
        <v>5</v>
      </c>
      <c r="S1324" s="39">
        <v>1</v>
      </c>
      <c r="T1324" s="7"/>
      <c r="U1324" t="s">
        <v>2912</v>
      </c>
      <c r="V1324" s="7" t="str">
        <f>+IF(U1324="","",IF(U1324="FINES",CONCATENATE("R",IF(OR(B1324="16",B1324="21",B1324="22",B1324="23"),"16212223",IF(OR(B1324="15",B1324="17",B1324="24",B1324="25"),"15172425",B1324))),IF(U1324="CEBAS","UNICO",IF(VALUE(B1324)&lt;=11,"AMBA","INTERIOR"))))</f>
        <v>AMBA</v>
      </c>
      <c r="W1324" s="38" t="str">
        <f>+IF(U1324="","-",CONCATENATE(U1324,"_",V1324))</f>
        <v>EPA_AMBA</v>
      </c>
      <c r="X1324" s="42">
        <v>9.4E-2</v>
      </c>
    </row>
    <row r="1325" spans="1:24" ht="15" thickBot="1">
      <c r="A1325" s="3" t="s">
        <v>2916</v>
      </c>
      <c r="B1325" s="3" t="s">
        <v>222</v>
      </c>
      <c r="C1325" s="3" t="s">
        <v>1154</v>
      </c>
      <c r="D1325" s="3" t="s">
        <v>1155</v>
      </c>
      <c r="E1325" s="3">
        <v>600164</v>
      </c>
      <c r="F1325" s="3">
        <v>0</v>
      </c>
      <c r="G1325" s="3" t="s">
        <v>1157</v>
      </c>
      <c r="H1325" s="3" t="s">
        <v>20</v>
      </c>
      <c r="I1325" s="4" t="s">
        <v>110</v>
      </c>
      <c r="J1325" s="4" t="s">
        <v>21</v>
      </c>
      <c r="K1325" s="4"/>
      <c r="L1325" s="4" t="s">
        <v>1169</v>
      </c>
      <c r="M1325" s="4" t="s">
        <v>22</v>
      </c>
      <c r="N1325" s="4" t="s">
        <v>23</v>
      </c>
      <c r="O1325" s="4" t="s">
        <v>27</v>
      </c>
      <c r="P1325" s="4" t="s">
        <v>28</v>
      </c>
      <c r="Q1325" s="24">
        <v>94</v>
      </c>
      <c r="R1325" s="25">
        <v>7</v>
      </c>
      <c r="S1325" s="39">
        <v>1</v>
      </c>
      <c r="T1325" s="7"/>
      <c r="U1325" s="7" t="s">
        <v>2912</v>
      </c>
      <c r="V1325" s="7" t="str">
        <f>+IF(U1325="","",IF(U1325="FINES",CONCATENATE("R",IF(OR(B1325="16",B1325="21",B1325="22",B1325="23"),"16212223",IF(OR(B1325="15",B1325="17",B1325="24",B1325="25"),"15172425",B1325))),IF(U1325="CEBAS","UNICO",IF(VALUE(B1325)&lt;=11,"AMBA","INTERIOR"))))</f>
        <v>AMBA</v>
      </c>
      <c r="W1325" s="38" t="str">
        <f>+IF(U1325="","-",CONCATENATE(U1325,"_",V1325))</f>
        <v>EPA_AMBA</v>
      </c>
      <c r="X1325" s="42">
        <v>9.6000000000000002E-2</v>
      </c>
    </row>
    <row r="1326" spans="1:24" ht="15" thickBot="1">
      <c r="A1326" s="3" t="s">
        <v>2916</v>
      </c>
      <c r="B1326" s="3" t="s">
        <v>1257</v>
      </c>
      <c r="C1326" s="3" t="s">
        <v>2237</v>
      </c>
      <c r="D1326" s="3" t="s">
        <v>2238</v>
      </c>
      <c r="E1326" s="3">
        <v>612111</v>
      </c>
      <c r="F1326" s="3">
        <v>0</v>
      </c>
      <c r="G1326" s="3" t="s">
        <v>2250</v>
      </c>
      <c r="H1326" s="3" t="s">
        <v>20</v>
      </c>
      <c r="I1326" s="4" t="s">
        <v>110</v>
      </c>
      <c r="J1326" s="4" t="s">
        <v>21</v>
      </c>
      <c r="K1326" s="4"/>
      <c r="L1326" s="4" t="s">
        <v>2260</v>
      </c>
      <c r="M1326" s="4" t="s">
        <v>22</v>
      </c>
      <c r="N1326" s="4" t="s">
        <v>23</v>
      </c>
      <c r="O1326" s="4" t="s">
        <v>27</v>
      </c>
      <c r="P1326" s="4" t="s">
        <v>28</v>
      </c>
      <c r="Q1326" s="24">
        <v>66</v>
      </c>
      <c r="R1326" s="25">
        <v>5</v>
      </c>
      <c r="S1326" s="39">
        <v>1</v>
      </c>
      <c r="T1326" s="7"/>
      <c r="U1326" s="7" t="s">
        <v>2912</v>
      </c>
      <c r="V1326" s="7" t="str">
        <f>+IF(U1326="","",IF(U1326="FINES",CONCATENATE("R",IF(OR(B1326="16",B1326="21",B1326="22",B1326="23"),"16212223",IF(OR(B1326="15",B1326="17",B1326="24",B1326="25"),"15172425",B1326))),IF(U1326="CEBAS","UNICO",IF(VALUE(B1326)&lt;=11,"AMBA","INTERIOR"))))</f>
        <v>AMBA</v>
      </c>
      <c r="W1326" s="38" t="str">
        <f>+IF(U1326="","-",CONCATENATE(U1326,"_",V1326))</f>
        <v>EPA_AMBA</v>
      </c>
      <c r="X1326" s="42">
        <v>9.9000000000000005E-2</v>
      </c>
    </row>
    <row r="1327" spans="1:24" ht="15" thickBot="1">
      <c r="A1327" s="5" t="s">
        <v>2916</v>
      </c>
      <c r="B1327" s="5" t="s">
        <v>356</v>
      </c>
      <c r="C1327" s="5" t="s">
        <v>1359</v>
      </c>
      <c r="D1327" s="5" t="s">
        <v>1360</v>
      </c>
      <c r="E1327" s="5">
        <v>602444</v>
      </c>
      <c r="F1327" s="5">
        <v>0</v>
      </c>
      <c r="G1327" s="5" t="s">
        <v>1373</v>
      </c>
      <c r="H1327" s="5" t="s">
        <v>20</v>
      </c>
      <c r="I1327" s="6" t="s">
        <v>110</v>
      </c>
      <c r="J1327" s="6" t="s">
        <v>21</v>
      </c>
      <c r="K1327" s="6"/>
      <c r="L1327" s="6" t="s">
        <v>1402</v>
      </c>
      <c r="M1327" s="6" t="s">
        <v>22</v>
      </c>
      <c r="N1327" s="6" t="s">
        <v>23</v>
      </c>
      <c r="O1327" s="6" t="s">
        <v>27</v>
      </c>
      <c r="P1327" s="6" t="s">
        <v>28</v>
      </c>
      <c r="Q1327" s="22">
        <v>183</v>
      </c>
      <c r="R1327" s="23">
        <v>12</v>
      </c>
      <c r="S1327" s="39">
        <v>1</v>
      </c>
      <c r="T1327" s="7"/>
      <c r="U1327" t="s">
        <v>2912</v>
      </c>
      <c r="V1327" s="7" t="str">
        <f>+IF(U1327="","",IF(U1327="FINES",CONCATENATE("R",IF(OR(B1327="16",B1327="21",B1327="22",B1327="23"),"16212223",IF(OR(B1327="15",B1327="17",B1327="24",B1327="25"),"15172425",B1327))),IF(U1327="CEBAS","UNICO",IF(VALUE(B1327)&lt;=11,"AMBA","INTERIOR"))))</f>
        <v>AMBA</v>
      </c>
      <c r="W1327" s="38" t="str">
        <f>+IF(U1327="","-",CONCATENATE(U1327,"_",V1327))</f>
        <v>EPA_AMBA</v>
      </c>
      <c r="X1327" s="42">
        <v>0.106</v>
      </c>
    </row>
    <row r="1328" spans="1:24" ht="15" thickBot="1">
      <c r="A1328" s="3" t="s">
        <v>2916</v>
      </c>
      <c r="B1328" s="3" t="s">
        <v>1780</v>
      </c>
      <c r="C1328" s="3" t="s">
        <v>1248</v>
      </c>
      <c r="D1328" s="3" t="s">
        <v>2348</v>
      </c>
      <c r="E1328" s="3">
        <v>602665</v>
      </c>
      <c r="F1328" s="3">
        <v>0</v>
      </c>
      <c r="G1328" s="3" t="s">
        <v>2369</v>
      </c>
      <c r="H1328" s="3" t="s">
        <v>20</v>
      </c>
      <c r="I1328" s="4" t="s">
        <v>110</v>
      </c>
      <c r="J1328" s="4" t="s">
        <v>21</v>
      </c>
      <c r="K1328" s="4"/>
      <c r="L1328" s="4" t="s">
        <v>1117</v>
      </c>
      <c r="M1328" s="4" t="s">
        <v>22</v>
      </c>
      <c r="N1328" s="4" t="s">
        <v>23</v>
      </c>
      <c r="O1328" s="4" t="s">
        <v>27</v>
      </c>
      <c r="P1328" s="4" t="s">
        <v>28</v>
      </c>
      <c r="Q1328" s="24">
        <v>99</v>
      </c>
      <c r="R1328" s="25">
        <v>8</v>
      </c>
      <c r="S1328" s="39">
        <v>1</v>
      </c>
      <c r="T1328" s="7"/>
      <c r="U1328" t="s">
        <v>2912</v>
      </c>
      <c r="V1328" s="7" t="str">
        <f>+IF(U1328="","",IF(U1328="FINES",CONCATENATE("R",IF(OR(B1328="16",B1328="21",B1328="22",B1328="23"),"16212223",IF(OR(B1328="15",B1328="17",B1328="24",B1328="25"),"15172425",B1328))),IF(U1328="CEBAS","UNICO",IF(VALUE(B1328)&lt;=11,"AMBA","INTERIOR"))))</f>
        <v>AMBA</v>
      </c>
      <c r="W1328" s="38" t="str">
        <f>+IF(U1328="","-",CONCATENATE(U1328,"_",V1328))</f>
        <v>EPA_AMBA</v>
      </c>
      <c r="X1328" s="42">
        <v>0.112</v>
      </c>
    </row>
    <row r="1329" spans="1:24" ht="15" thickBot="1">
      <c r="A1329" s="5" t="s">
        <v>2916</v>
      </c>
      <c r="B1329" s="5" t="s">
        <v>356</v>
      </c>
      <c r="C1329" s="5" t="s">
        <v>353</v>
      </c>
      <c r="D1329" s="5" t="s">
        <v>355</v>
      </c>
      <c r="E1329" s="5">
        <v>613504</v>
      </c>
      <c r="F1329" s="5">
        <v>0</v>
      </c>
      <c r="G1329" s="5" t="s">
        <v>395</v>
      </c>
      <c r="H1329" s="5" t="s">
        <v>20</v>
      </c>
      <c r="I1329" s="6" t="s">
        <v>110</v>
      </c>
      <c r="J1329" s="6" t="s">
        <v>21</v>
      </c>
      <c r="K1329" s="6"/>
      <c r="L1329" s="6" t="s">
        <v>396</v>
      </c>
      <c r="M1329" s="6" t="s">
        <v>22</v>
      </c>
      <c r="N1329" s="6" t="s">
        <v>23</v>
      </c>
      <c r="O1329" s="6" t="s">
        <v>27</v>
      </c>
      <c r="P1329" s="6" t="s">
        <v>28</v>
      </c>
      <c r="Q1329" s="22">
        <v>106</v>
      </c>
      <c r="R1329" s="23">
        <v>8</v>
      </c>
      <c r="S1329" s="39">
        <v>1</v>
      </c>
      <c r="T1329" s="7"/>
      <c r="U1329" t="s">
        <v>2912</v>
      </c>
      <c r="V1329" s="7" t="str">
        <f>+IF(U1329="","",IF(U1329="FINES",CONCATENATE("R",IF(OR(B1329="16",B1329="21",B1329="22",B1329="23"),"16212223",IF(OR(B1329="15",B1329="17",B1329="24",B1329="25"),"15172425",B1329))),IF(U1329="CEBAS","UNICO",IF(VALUE(B1329)&lt;=11,"AMBA","INTERIOR"))))</f>
        <v>AMBA</v>
      </c>
      <c r="W1329" s="38" t="str">
        <f>+IF(U1329="","-",CONCATENATE(U1329,"_",V1329))</f>
        <v>EPA_AMBA</v>
      </c>
      <c r="X1329" s="42">
        <v>0.114</v>
      </c>
    </row>
    <row r="1330" spans="1:24" ht="15" thickBot="1">
      <c r="A1330" s="5" t="s">
        <v>2916</v>
      </c>
      <c r="B1330" s="5" t="s">
        <v>1780</v>
      </c>
      <c r="C1330" s="5" t="s">
        <v>1248</v>
      </c>
      <c r="D1330" s="5" t="s">
        <v>2348</v>
      </c>
      <c r="E1330" s="5">
        <v>610729</v>
      </c>
      <c r="F1330" s="5">
        <v>0</v>
      </c>
      <c r="G1330" s="5" t="s">
        <v>2357</v>
      </c>
      <c r="H1330" s="5" t="s">
        <v>20</v>
      </c>
      <c r="I1330" s="6" t="s">
        <v>110</v>
      </c>
      <c r="J1330" s="6" t="s">
        <v>21</v>
      </c>
      <c r="K1330" s="6"/>
      <c r="L1330" s="6" t="s">
        <v>2368</v>
      </c>
      <c r="M1330" s="6" t="s">
        <v>22</v>
      </c>
      <c r="N1330" s="6" t="s">
        <v>23</v>
      </c>
      <c r="O1330" s="6" t="s">
        <v>27</v>
      </c>
      <c r="P1330" s="6" t="s">
        <v>28</v>
      </c>
      <c r="Q1330" s="22">
        <v>54</v>
      </c>
      <c r="R1330" s="23">
        <v>4</v>
      </c>
      <c r="S1330" s="39">
        <v>1</v>
      </c>
      <c r="T1330" s="7"/>
      <c r="U1330" t="s">
        <v>2912</v>
      </c>
      <c r="V1330" s="7" t="str">
        <f>+IF(U1330="","",IF(U1330="FINES",CONCATENATE("R",IF(OR(B1330="16",B1330="21",B1330="22",B1330="23"),"16212223",IF(OR(B1330="15",B1330="17",B1330="24",B1330="25"),"15172425",B1330))),IF(U1330="CEBAS","UNICO",IF(VALUE(B1330)&lt;=11,"AMBA","INTERIOR"))))</f>
        <v>AMBA</v>
      </c>
      <c r="W1330" s="38" t="str">
        <f>+IF(U1330="","-",CONCATENATE(U1330,"_",V1330))</f>
        <v>EPA_AMBA</v>
      </c>
      <c r="X1330" s="42">
        <v>0.114</v>
      </c>
    </row>
    <row r="1331" spans="1:24" ht="15" thickBot="1">
      <c r="A1331" s="5" t="s">
        <v>2916</v>
      </c>
      <c r="B1331" s="5" t="s">
        <v>257</v>
      </c>
      <c r="C1331" s="5" t="s">
        <v>254</v>
      </c>
      <c r="D1331" s="5" t="s">
        <v>256</v>
      </c>
      <c r="E1331" s="5">
        <v>601702</v>
      </c>
      <c r="F1331" s="5">
        <v>0</v>
      </c>
      <c r="G1331" s="5" t="s">
        <v>279</v>
      </c>
      <c r="H1331" s="5" t="s">
        <v>20</v>
      </c>
      <c r="I1331" s="6" t="s">
        <v>110</v>
      </c>
      <c r="J1331" s="6" t="s">
        <v>21</v>
      </c>
      <c r="K1331" s="6"/>
      <c r="L1331" s="6" t="s">
        <v>324</v>
      </c>
      <c r="M1331" s="6" t="s">
        <v>22</v>
      </c>
      <c r="N1331" s="6" t="s">
        <v>23</v>
      </c>
      <c r="O1331" s="6" t="s">
        <v>27</v>
      </c>
      <c r="P1331" s="6" t="s">
        <v>28</v>
      </c>
      <c r="Q1331" s="22">
        <v>149</v>
      </c>
      <c r="R1331" s="23">
        <v>8</v>
      </c>
      <c r="S1331" s="39">
        <v>1</v>
      </c>
      <c r="T1331" s="7"/>
      <c r="U1331" t="s">
        <v>2912</v>
      </c>
      <c r="V1331" s="7" t="str">
        <f>+IF(U1331="","",IF(U1331="FINES",CONCATENATE("R",IF(OR(B1331="16",B1331="21",B1331="22",B1331="23"),"16212223",IF(OR(B1331="15",B1331="17",B1331="24",B1331="25"),"15172425",B1331))),IF(U1331="CEBAS","UNICO",IF(VALUE(B1331)&lt;=11,"AMBA","INTERIOR"))))</f>
        <v>AMBA</v>
      </c>
      <c r="W1331" s="38" t="str">
        <f>+IF(U1331="","-",CONCATENATE(U1331,"_",V1331))</f>
        <v>EPA_AMBA</v>
      </c>
      <c r="X1331" s="42">
        <v>0.12</v>
      </c>
    </row>
    <row r="1332" spans="1:24" ht="15" thickBot="1">
      <c r="A1332" s="5" t="s">
        <v>2916</v>
      </c>
      <c r="B1332" s="5" t="s">
        <v>138</v>
      </c>
      <c r="C1332" s="5" t="s">
        <v>436</v>
      </c>
      <c r="D1332" s="5" t="s">
        <v>1067</v>
      </c>
      <c r="E1332" s="5">
        <v>609057</v>
      </c>
      <c r="F1332" s="5">
        <v>0</v>
      </c>
      <c r="G1332" s="5" t="s">
        <v>1069</v>
      </c>
      <c r="H1332" s="5" t="s">
        <v>20</v>
      </c>
      <c r="I1332" s="6" t="s">
        <v>110</v>
      </c>
      <c r="J1332" s="6" t="s">
        <v>21</v>
      </c>
      <c r="K1332" s="6"/>
      <c r="L1332" s="6" t="s">
        <v>111</v>
      </c>
      <c r="M1332" s="6" t="s">
        <v>22</v>
      </c>
      <c r="N1332" s="6" t="s">
        <v>23</v>
      </c>
      <c r="O1332" s="6" t="s">
        <v>27</v>
      </c>
      <c r="P1332" s="6" t="s">
        <v>28</v>
      </c>
      <c r="Q1332" s="22">
        <v>98</v>
      </c>
      <c r="R1332" s="23">
        <v>15</v>
      </c>
      <c r="S1332" s="39">
        <v>1</v>
      </c>
      <c r="T1332" s="7"/>
      <c r="U1332" s="7" t="s">
        <v>2912</v>
      </c>
      <c r="V1332" s="7" t="str">
        <f>+IF(U1332="","",IF(U1332="FINES",CONCATENATE("R",IF(OR(B1332="16",B1332="21",B1332="22",B1332="23"),"16212223",IF(OR(B1332="15",B1332="17",B1332="24",B1332="25"),"15172425",B1332))),IF(U1332="CEBAS","UNICO",IF(VALUE(B1332)&lt;=11,"AMBA","INTERIOR"))))</f>
        <v>AMBA</v>
      </c>
      <c r="W1332" s="38" t="str">
        <f>+IF(U1332="","-",CONCATENATE(U1332,"_",V1332))</f>
        <v>EPA_AMBA</v>
      </c>
      <c r="X1332" s="42">
        <v>0.12</v>
      </c>
    </row>
    <row r="1333" spans="1:24" ht="15" thickBot="1">
      <c r="A1333" s="5" t="s">
        <v>2916</v>
      </c>
      <c r="B1333" s="5" t="s">
        <v>257</v>
      </c>
      <c r="C1333" s="5" t="s">
        <v>415</v>
      </c>
      <c r="D1333" s="5" t="s">
        <v>2770</v>
      </c>
      <c r="E1333" s="5">
        <v>608431</v>
      </c>
      <c r="F1333" s="5">
        <v>0</v>
      </c>
      <c r="G1333" s="5" t="s">
        <v>2777</v>
      </c>
      <c r="H1333" s="5" t="s">
        <v>20</v>
      </c>
      <c r="I1333" s="6" t="s">
        <v>110</v>
      </c>
      <c r="J1333" s="6" t="s">
        <v>21</v>
      </c>
      <c r="K1333" s="6"/>
      <c r="L1333" s="6" t="s">
        <v>796</v>
      </c>
      <c r="M1333" s="6" t="s">
        <v>22</v>
      </c>
      <c r="N1333" s="6" t="s">
        <v>23</v>
      </c>
      <c r="O1333" s="6" t="s">
        <v>27</v>
      </c>
      <c r="P1333" s="6" t="s">
        <v>28</v>
      </c>
      <c r="Q1333" s="22">
        <v>108</v>
      </c>
      <c r="R1333" s="23">
        <v>8</v>
      </c>
      <c r="S1333" s="39">
        <v>1</v>
      </c>
      <c r="T1333" s="7"/>
      <c r="U1333" s="7" t="s">
        <v>2912</v>
      </c>
      <c r="V1333" s="7" t="str">
        <f>+IF(U1333="","",IF(U1333="FINES",CONCATENATE("R",IF(OR(B1333="16",B1333="21",B1333="22",B1333="23"),"16212223",IF(OR(B1333="15",B1333="17",B1333="24",B1333="25"),"15172425",B1333))),IF(U1333="CEBAS","UNICO",IF(VALUE(B1333)&lt;=11,"AMBA","INTERIOR"))))</f>
        <v>AMBA</v>
      </c>
      <c r="W1333" s="38" t="str">
        <f>+IF(U1333="","-",CONCATENATE(U1333,"_",V1333))</f>
        <v>EPA_AMBA</v>
      </c>
      <c r="X1333" s="42">
        <v>0.12</v>
      </c>
    </row>
    <row r="1334" spans="1:24" ht="15" thickBot="1">
      <c r="A1334" s="3" t="s">
        <v>2916</v>
      </c>
      <c r="B1334" s="3" t="s">
        <v>204</v>
      </c>
      <c r="C1334" s="3" t="s">
        <v>1084</v>
      </c>
      <c r="D1334" s="3" t="s">
        <v>1085</v>
      </c>
      <c r="E1334" s="3">
        <v>622206</v>
      </c>
      <c r="F1334" s="3">
        <v>0</v>
      </c>
      <c r="G1334" s="3" t="s">
        <v>1118</v>
      </c>
      <c r="H1334" s="3" t="s">
        <v>20</v>
      </c>
      <c r="I1334" s="4" t="s">
        <v>110</v>
      </c>
      <c r="J1334" s="4" t="s">
        <v>21</v>
      </c>
      <c r="K1334" s="4"/>
      <c r="L1334" s="4" t="s">
        <v>125</v>
      </c>
      <c r="M1334" s="4" t="s">
        <v>22</v>
      </c>
      <c r="N1334" s="4" t="s">
        <v>23</v>
      </c>
      <c r="O1334" s="4" t="s">
        <v>27</v>
      </c>
      <c r="P1334" s="4" t="s">
        <v>28</v>
      </c>
      <c r="Q1334" s="24">
        <v>272</v>
      </c>
      <c r="R1334" s="25">
        <v>19</v>
      </c>
      <c r="S1334" s="39">
        <v>1</v>
      </c>
      <c r="T1334" s="7"/>
      <c r="U1334" t="s">
        <v>2912</v>
      </c>
      <c r="V1334" s="7" t="str">
        <f>+IF(U1334="","",IF(U1334="FINES",CONCATENATE("R",IF(OR(B1334="16",B1334="21",B1334="22",B1334="23"),"16212223",IF(OR(B1334="15",B1334="17",B1334="24",B1334="25"),"15172425",B1334))),IF(U1334="CEBAS","UNICO",IF(VALUE(B1334)&lt;=11,"AMBA","INTERIOR"))))</f>
        <v>AMBA</v>
      </c>
      <c r="W1334" s="38" t="str">
        <f>+IF(U1334="","-",CONCATENATE(U1334,"_",V1334))</f>
        <v>EPA_AMBA</v>
      </c>
      <c r="X1334" s="42">
        <v>0.123</v>
      </c>
    </row>
    <row r="1335" spans="1:24" ht="15" thickBot="1">
      <c r="A1335" s="5" t="s">
        <v>2916</v>
      </c>
      <c r="B1335" s="5" t="s">
        <v>1257</v>
      </c>
      <c r="C1335" s="5" t="s">
        <v>1255</v>
      </c>
      <c r="D1335" s="5" t="s">
        <v>1256</v>
      </c>
      <c r="E1335" s="5">
        <v>613142</v>
      </c>
      <c r="F1335" s="5">
        <v>0</v>
      </c>
      <c r="G1335" s="5" t="s">
        <v>1275</v>
      </c>
      <c r="H1335" s="5" t="s">
        <v>20</v>
      </c>
      <c r="I1335" s="6" t="s">
        <v>110</v>
      </c>
      <c r="J1335" s="6" t="s">
        <v>21</v>
      </c>
      <c r="K1335" s="6"/>
      <c r="L1335" s="6" t="s">
        <v>1287</v>
      </c>
      <c r="M1335" s="6" t="s">
        <v>22</v>
      </c>
      <c r="N1335" s="6" t="s">
        <v>23</v>
      </c>
      <c r="O1335" s="6" t="s">
        <v>27</v>
      </c>
      <c r="P1335" s="6" t="s">
        <v>28</v>
      </c>
      <c r="Q1335" s="22">
        <v>121</v>
      </c>
      <c r="R1335" s="23">
        <v>8</v>
      </c>
      <c r="S1335" s="39">
        <v>1</v>
      </c>
      <c r="T1335" s="7"/>
      <c r="U1335" t="s">
        <v>2912</v>
      </c>
      <c r="V1335" s="7" t="str">
        <f>+IF(U1335="","",IF(U1335="FINES",CONCATENATE("R",IF(OR(B1335="16",B1335="21",B1335="22",B1335="23"),"16212223",IF(OR(B1335="15",B1335="17",B1335="24",B1335="25"),"15172425",B1335))),IF(U1335="CEBAS","UNICO",IF(VALUE(B1335)&lt;=11,"AMBA","INTERIOR"))))</f>
        <v>AMBA</v>
      </c>
      <c r="W1335" s="38" t="str">
        <f>+IF(U1335="","-",CONCATENATE(U1335,"_",V1335))</f>
        <v>EPA_AMBA</v>
      </c>
      <c r="X1335" s="42">
        <v>0.124</v>
      </c>
    </row>
    <row r="1336" spans="1:24" ht="15" thickBot="1">
      <c r="A1336" s="5" t="s">
        <v>2916</v>
      </c>
      <c r="B1336" s="5" t="s">
        <v>817</v>
      </c>
      <c r="C1336" s="5" t="s">
        <v>2080</v>
      </c>
      <c r="D1336" s="5" t="s">
        <v>2081</v>
      </c>
      <c r="E1336" s="5">
        <v>610950</v>
      </c>
      <c r="F1336" s="5">
        <v>0</v>
      </c>
      <c r="G1336" s="5" t="s">
        <v>2111</v>
      </c>
      <c r="H1336" s="5" t="s">
        <v>20</v>
      </c>
      <c r="I1336" s="6" t="s">
        <v>110</v>
      </c>
      <c r="J1336" s="6" t="s">
        <v>21</v>
      </c>
      <c r="K1336" s="6"/>
      <c r="L1336" s="6" t="s">
        <v>2134</v>
      </c>
      <c r="M1336" s="6" t="s">
        <v>22</v>
      </c>
      <c r="N1336" s="6" t="s">
        <v>23</v>
      </c>
      <c r="O1336" s="6" t="s">
        <v>27</v>
      </c>
      <c r="P1336" s="6" t="s">
        <v>28</v>
      </c>
      <c r="Q1336" s="22">
        <v>68</v>
      </c>
      <c r="R1336" s="23">
        <v>10</v>
      </c>
      <c r="S1336" s="39">
        <v>1</v>
      </c>
      <c r="T1336" s="7"/>
      <c r="U1336" t="s">
        <v>2912</v>
      </c>
      <c r="V1336" s="7" t="str">
        <f>+IF(U1336="","",IF(U1336="FINES",CONCATENATE("R",IF(OR(B1336="16",B1336="21",B1336="22",B1336="23"),"16212223",IF(OR(B1336="15",B1336="17",B1336="24",B1336="25"),"15172425",B1336))),IF(U1336="CEBAS","UNICO",IF(VALUE(B1336)&lt;=11,"AMBA","INTERIOR"))))</f>
        <v>AMBA</v>
      </c>
      <c r="W1336" s="38" t="str">
        <f>+IF(U1336="","-",CONCATENATE(U1336,"_",V1336))</f>
        <v>EPA_AMBA</v>
      </c>
      <c r="X1336" s="42">
        <v>0.125</v>
      </c>
    </row>
    <row r="1337" spans="1:24" ht="15" thickBot="1">
      <c r="A1337" s="3" t="s">
        <v>2916</v>
      </c>
      <c r="B1337" s="3" t="s">
        <v>1532</v>
      </c>
      <c r="C1337" s="3" t="s">
        <v>1530</v>
      </c>
      <c r="D1337" s="3" t="s">
        <v>1531</v>
      </c>
      <c r="E1337" s="3">
        <v>608014</v>
      </c>
      <c r="F1337" s="3">
        <v>0</v>
      </c>
      <c r="G1337" s="3" t="s">
        <v>1575</v>
      </c>
      <c r="H1337" s="3" t="s">
        <v>20</v>
      </c>
      <c r="I1337" s="4" t="s">
        <v>110</v>
      </c>
      <c r="J1337" s="4" t="s">
        <v>21</v>
      </c>
      <c r="K1337" s="4"/>
      <c r="L1337" s="4" t="s">
        <v>1666</v>
      </c>
      <c r="M1337" s="4" t="s">
        <v>22</v>
      </c>
      <c r="N1337" s="4" t="s">
        <v>23</v>
      </c>
      <c r="O1337" s="4" t="s">
        <v>27</v>
      </c>
      <c r="P1337" s="4" t="s">
        <v>28</v>
      </c>
      <c r="Q1337" s="24">
        <v>267</v>
      </c>
      <c r="R1337" s="25">
        <v>12</v>
      </c>
      <c r="S1337" s="39">
        <v>1</v>
      </c>
      <c r="T1337" s="7"/>
      <c r="U1337" t="s">
        <v>2912</v>
      </c>
      <c r="V1337" s="7" t="str">
        <f>+IF(U1337="","",IF(U1337="FINES",CONCATENATE("R",IF(OR(B1337="16",B1337="21",B1337="22",B1337="23"),"16212223",IF(OR(B1337="15",B1337="17",B1337="24",B1337="25"),"15172425",B1337))),IF(U1337="CEBAS","UNICO",IF(VALUE(B1337)&lt;=11,"AMBA","INTERIOR"))))</f>
        <v>AMBA</v>
      </c>
      <c r="W1337" s="38" t="str">
        <f>+IF(U1337="","-",CONCATENATE(U1337,"_",V1337))</f>
        <v>EPA_AMBA</v>
      </c>
      <c r="X1337" s="42">
        <v>0.129</v>
      </c>
    </row>
    <row r="1338" spans="1:24" ht="15" thickBot="1">
      <c r="A1338" s="5" t="s">
        <v>2916</v>
      </c>
      <c r="B1338" s="5" t="s">
        <v>356</v>
      </c>
      <c r="C1338" s="5" t="s">
        <v>353</v>
      </c>
      <c r="D1338" s="5" t="s">
        <v>355</v>
      </c>
      <c r="E1338" s="5">
        <v>611026</v>
      </c>
      <c r="F1338" s="5">
        <v>0</v>
      </c>
      <c r="G1338" s="5" t="s">
        <v>368</v>
      </c>
      <c r="H1338" s="5" t="s">
        <v>20</v>
      </c>
      <c r="I1338" s="6" t="s">
        <v>110</v>
      </c>
      <c r="J1338" s="6" t="s">
        <v>21</v>
      </c>
      <c r="K1338" s="6"/>
      <c r="L1338" s="6" t="s">
        <v>111</v>
      </c>
      <c r="M1338" s="6" t="s">
        <v>22</v>
      </c>
      <c r="N1338" s="6" t="s">
        <v>23</v>
      </c>
      <c r="O1338" s="6" t="s">
        <v>27</v>
      </c>
      <c r="P1338" s="6" t="s">
        <v>28</v>
      </c>
      <c r="Q1338" s="22">
        <v>68</v>
      </c>
      <c r="R1338" s="23">
        <v>7</v>
      </c>
      <c r="S1338" s="39">
        <v>1</v>
      </c>
      <c r="T1338" s="7"/>
      <c r="U1338" t="s">
        <v>2912</v>
      </c>
      <c r="V1338" s="7" t="str">
        <f>+IF(U1338="","",IF(U1338="FINES",CONCATENATE("R",IF(OR(B1338="16",B1338="21",B1338="22",B1338="23"),"16212223",IF(OR(B1338="15",B1338="17",B1338="24",B1338="25"),"15172425",B1338))),IF(U1338="CEBAS","UNICO",IF(VALUE(B1338)&lt;=11,"AMBA","INTERIOR"))))</f>
        <v>AMBA</v>
      </c>
      <c r="W1338" s="38" t="str">
        <f>+IF(U1338="","-",CONCATENATE(U1338,"_",V1338))</f>
        <v>EPA_AMBA</v>
      </c>
      <c r="X1338" s="42">
        <v>0.129</v>
      </c>
    </row>
    <row r="1339" spans="1:24" ht="15" thickBot="1">
      <c r="A1339" s="5" t="s">
        <v>2916</v>
      </c>
      <c r="B1339" s="5" t="s">
        <v>138</v>
      </c>
      <c r="C1339" s="5" t="s">
        <v>540</v>
      </c>
      <c r="D1339" s="5" t="s">
        <v>1766</v>
      </c>
      <c r="E1339" s="5">
        <v>600791</v>
      </c>
      <c r="F1339" s="5">
        <v>0</v>
      </c>
      <c r="G1339" s="5" t="s">
        <v>1771</v>
      </c>
      <c r="H1339" s="5" t="s">
        <v>20</v>
      </c>
      <c r="I1339" s="6" t="s">
        <v>110</v>
      </c>
      <c r="J1339" s="6" t="s">
        <v>21</v>
      </c>
      <c r="K1339" s="6"/>
      <c r="L1339" s="6" t="s">
        <v>1772</v>
      </c>
      <c r="M1339" s="6" t="s">
        <v>22</v>
      </c>
      <c r="N1339" s="6" t="s">
        <v>23</v>
      </c>
      <c r="O1339" s="6" t="s">
        <v>27</v>
      </c>
      <c r="P1339" s="6" t="s">
        <v>28</v>
      </c>
      <c r="Q1339" s="22">
        <v>208</v>
      </c>
      <c r="R1339" s="23">
        <v>14</v>
      </c>
      <c r="S1339" s="39">
        <v>1</v>
      </c>
      <c r="T1339" s="7"/>
      <c r="U1339" t="s">
        <v>2912</v>
      </c>
      <c r="V1339" s="7" t="str">
        <f>+IF(U1339="","",IF(U1339="FINES",CONCATENATE("R",IF(OR(B1339="16",B1339="21",B1339="22",B1339="23"),"16212223",IF(OR(B1339="15",B1339="17",B1339="24",B1339="25"),"15172425",B1339))),IF(U1339="CEBAS","UNICO",IF(VALUE(B1339)&lt;=11,"AMBA","INTERIOR"))))</f>
        <v>AMBA</v>
      </c>
      <c r="W1339" s="38" t="str">
        <f>+IF(U1339="","-",CONCATENATE(U1339,"_",V1339))</f>
        <v>EPA_AMBA</v>
      </c>
      <c r="X1339" s="42">
        <v>0.13</v>
      </c>
    </row>
    <row r="1340" spans="1:24" ht="15" thickBot="1">
      <c r="A1340" s="5" t="s">
        <v>2916</v>
      </c>
      <c r="B1340" s="5" t="s">
        <v>817</v>
      </c>
      <c r="C1340" s="5" t="s">
        <v>815</v>
      </c>
      <c r="D1340" s="5" t="s">
        <v>816</v>
      </c>
      <c r="E1340" s="5">
        <v>613275</v>
      </c>
      <c r="F1340" s="5">
        <v>0</v>
      </c>
      <c r="G1340" s="5" t="s">
        <v>853</v>
      </c>
      <c r="H1340" s="5" t="s">
        <v>20</v>
      </c>
      <c r="I1340" s="6" t="s">
        <v>110</v>
      </c>
      <c r="J1340" s="6" t="s">
        <v>21</v>
      </c>
      <c r="K1340" s="6"/>
      <c r="L1340" s="6" t="s">
        <v>854</v>
      </c>
      <c r="M1340" s="6" t="s">
        <v>199</v>
      </c>
      <c r="N1340" s="6" t="s">
        <v>23</v>
      </c>
      <c r="O1340" s="6" t="s">
        <v>27</v>
      </c>
      <c r="P1340" s="6" t="s">
        <v>28</v>
      </c>
      <c r="Q1340" s="22">
        <v>452</v>
      </c>
      <c r="R1340" s="23">
        <v>18</v>
      </c>
      <c r="S1340" s="39">
        <v>1</v>
      </c>
      <c r="T1340" s="7"/>
      <c r="U1340" t="s">
        <v>2912</v>
      </c>
      <c r="V1340" s="7" t="str">
        <f>+IF(U1340="","",IF(U1340="FINES",CONCATENATE("R",IF(OR(B1340="16",B1340="21",B1340="22",B1340="23"),"16212223",IF(OR(B1340="15",B1340="17",B1340="24",B1340="25"),"15172425",B1340))),IF(U1340="CEBAS","UNICO",IF(VALUE(B1340)&lt;=11,"AMBA","INTERIOR"))))</f>
        <v>AMBA</v>
      </c>
      <c r="W1340" s="38" t="str">
        <f>+IF(U1340="","-",CONCATENATE(U1340,"_",V1340))</f>
        <v>EPA_AMBA</v>
      </c>
      <c r="X1340" s="42">
        <v>0.14499999999999999</v>
      </c>
    </row>
    <row r="1341" spans="1:24" ht="15" thickBot="1">
      <c r="A1341" s="5" t="s">
        <v>2916</v>
      </c>
      <c r="B1341" s="5" t="s">
        <v>138</v>
      </c>
      <c r="C1341" s="5" t="s">
        <v>1507</v>
      </c>
      <c r="D1341" s="5" t="s">
        <v>1508</v>
      </c>
      <c r="E1341" s="5">
        <v>610592</v>
      </c>
      <c r="F1341" s="5">
        <v>0</v>
      </c>
      <c r="G1341" s="5" t="s">
        <v>1510</v>
      </c>
      <c r="H1341" s="5" t="s">
        <v>20</v>
      </c>
      <c r="I1341" s="6" t="s">
        <v>110</v>
      </c>
      <c r="J1341" s="6" t="s">
        <v>21</v>
      </c>
      <c r="K1341" s="6"/>
      <c r="L1341" s="6" t="s">
        <v>1513</v>
      </c>
      <c r="M1341" s="6" t="s">
        <v>22</v>
      </c>
      <c r="N1341" s="6" t="s">
        <v>23</v>
      </c>
      <c r="O1341" s="6" t="s">
        <v>27</v>
      </c>
      <c r="P1341" s="6" t="s">
        <v>28</v>
      </c>
      <c r="Q1341" s="22">
        <v>131</v>
      </c>
      <c r="R1341" s="23">
        <v>13</v>
      </c>
      <c r="S1341" s="39">
        <v>1</v>
      </c>
      <c r="T1341" s="7"/>
      <c r="U1341" s="7" t="s">
        <v>2912</v>
      </c>
      <c r="V1341" s="7" t="str">
        <f>+IF(U1341="","",IF(U1341="FINES",CONCATENATE("R",IF(OR(B1341="16",B1341="21",B1341="22",B1341="23"),"16212223",IF(OR(B1341="15",B1341="17",B1341="24",B1341="25"),"15172425",B1341))),IF(U1341="CEBAS","UNICO",IF(VALUE(B1341)&lt;=11,"AMBA","INTERIOR"))))</f>
        <v>AMBA</v>
      </c>
      <c r="W1341" s="38" t="str">
        <f>+IF(U1341="","-",CONCATENATE(U1341,"_",V1341))</f>
        <v>EPA_AMBA</v>
      </c>
      <c r="X1341" s="42">
        <v>0.14699999999999999</v>
      </c>
    </row>
    <row r="1342" spans="1:24" ht="15" thickBot="1">
      <c r="A1342" s="5" t="s">
        <v>2916</v>
      </c>
      <c r="B1342" s="5" t="s">
        <v>1780</v>
      </c>
      <c r="C1342" s="5" t="s">
        <v>1778</v>
      </c>
      <c r="D1342" s="5" t="s">
        <v>1779</v>
      </c>
      <c r="E1342" s="5">
        <v>603965</v>
      </c>
      <c r="F1342" s="5">
        <v>0</v>
      </c>
      <c r="G1342" s="5" t="s">
        <v>1822</v>
      </c>
      <c r="H1342" s="5" t="s">
        <v>20</v>
      </c>
      <c r="I1342" s="6" t="s">
        <v>110</v>
      </c>
      <c r="J1342" s="6" t="s">
        <v>21</v>
      </c>
      <c r="K1342" s="6"/>
      <c r="L1342" s="6" t="s">
        <v>1823</v>
      </c>
      <c r="M1342" s="6" t="s">
        <v>22</v>
      </c>
      <c r="N1342" s="6" t="s">
        <v>23</v>
      </c>
      <c r="O1342" s="6" t="s">
        <v>27</v>
      </c>
      <c r="P1342" s="6" t="s">
        <v>28</v>
      </c>
      <c r="Q1342" s="22">
        <v>146</v>
      </c>
      <c r="R1342" s="23">
        <v>13</v>
      </c>
      <c r="S1342" s="39">
        <v>1</v>
      </c>
      <c r="T1342" s="7"/>
      <c r="U1342" s="7" t="s">
        <v>2912</v>
      </c>
      <c r="V1342" s="7" t="str">
        <f>+IF(U1342="","",IF(U1342="FINES",CONCATENATE("R",IF(OR(B1342="16",B1342="21",B1342="22",B1342="23"),"16212223",IF(OR(B1342="15",B1342="17",B1342="24",B1342="25"),"15172425",B1342))),IF(U1342="CEBAS","UNICO",IF(VALUE(B1342)&lt;=11,"AMBA","INTERIOR"))))</f>
        <v>AMBA</v>
      </c>
      <c r="W1342" s="38" t="str">
        <f>+IF(U1342="","-",CONCATENATE(U1342,"_",V1342))</f>
        <v>EPA_AMBA</v>
      </c>
      <c r="X1342" s="42">
        <v>0.14899999999999999</v>
      </c>
    </row>
    <row r="1343" spans="1:24" ht="15" thickBot="1">
      <c r="A1343" s="3" t="s">
        <v>2916</v>
      </c>
      <c r="B1343" s="3" t="s">
        <v>204</v>
      </c>
      <c r="C1343" s="3" t="s">
        <v>1084</v>
      </c>
      <c r="D1343" s="3" t="s">
        <v>1085</v>
      </c>
      <c r="E1343" s="3">
        <v>613580</v>
      </c>
      <c r="F1343" s="3">
        <v>0</v>
      </c>
      <c r="G1343" s="3" t="s">
        <v>1103</v>
      </c>
      <c r="H1343" s="3" t="s">
        <v>20</v>
      </c>
      <c r="I1343" s="4" t="s">
        <v>110</v>
      </c>
      <c r="J1343" s="4" t="s">
        <v>21</v>
      </c>
      <c r="K1343" s="4"/>
      <c r="L1343" s="4" t="s">
        <v>1117</v>
      </c>
      <c r="M1343" s="4" t="s">
        <v>22</v>
      </c>
      <c r="N1343" s="4" t="s">
        <v>23</v>
      </c>
      <c r="O1343" s="4" t="s">
        <v>27</v>
      </c>
      <c r="P1343" s="4" t="s">
        <v>28</v>
      </c>
      <c r="Q1343" s="24">
        <v>48</v>
      </c>
      <c r="R1343" s="25">
        <v>3</v>
      </c>
      <c r="S1343" s="39">
        <v>1</v>
      </c>
      <c r="T1343" s="7"/>
      <c r="U1343" s="7" t="s">
        <v>2912</v>
      </c>
      <c r="V1343" s="7" t="str">
        <f>+IF(U1343="","",IF(U1343="FINES",CONCATENATE("R",IF(OR(B1343="16",B1343="21",B1343="22",B1343="23"),"16212223",IF(OR(B1343="15",B1343="17",B1343="24",B1343="25"),"15172425",B1343))),IF(U1343="CEBAS","UNICO",IF(VALUE(B1343)&lt;=11,"AMBA","INTERIOR"))))</f>
        <v>AMBA</v>
      </c>
      <c r="W1343" s="38" t="str">
        <f>+IF(U1343="","-",CONCATENATE(U1343,"_",V1343))</f>
        <v>EPA_AMBA</v>
      </c>
      <c r="X1343" s="42">
        <v>0.15</v>
      </c>
    </row>
    <row r="1344" spans="1:24" ht="15" thickBot="1">
      <c r="A1344" s="5" t="s">
        <v>2916</v>
      </c>
      <c r="B1344" s="5" t="s">
        <v>1532</v>
      </c>
      <c r="C1344" s="5" t="s">
        <v>1530</v>
      </c>
      <c r="D1344" s="5" t="s">
        <v>1531</v>
      </c>
      <c r="E1344" s="5">
        <v>610535</v>
      </c>
      <c r="F1344" s="5">
        <v>0</v>
      </c>
      <c r="G1344" s="5" t="s">
        <v>1561</v>
      </c>
      <c r="H1344" s="5" t="s">
        <v>20</v>
      </c>
      <c r="I1344" s="6" t="s">
        <v>110</v>
      </c>
      <c r="J1344" s="6" t="s">
        <v>21</v>
      </c>
      <c r="K1344" s="6"/>
      <c r="L1344" s="6" t="s">
        <v>127</v>
      </c>
      <c r="M1344" s="6" t="s">
        <v>22</v>
      </c>
      <c r="N1344" s="6" t="s">
        <v>23</v>
      </c>
      <c r="O1344" s="6" t="s">
        <v>27</v>
      </c>
      <c r="P1344" s="6" t="s">
        <v>28</v>
      </c>
      <c r="Q1344" s="22">
        <v>171</v>
      </c>
      <c r="R1344" s="23">
        <v>10</v>
      </c>
      <c r="S1344" s="39">
        <v>1</v>
      </c>
      <c r="T1344" s="7"/>
      <c r="U1344" s="7" t="s">
        <v>2912</v>
      </c>
      <c r="V1344" s="7" t="str">
        <f>+IF(U1344="","",IF(U1344="FINES",CONCATENATE("R",IF(OR(B1344="16",B1344="21",B1344="22",B1344="23"),"16212223",IF(OR(B1344="15",B1344="17",B1344="24",B1344="25"),"15172425",B1344))),IF(U1344="CEBAS","UNICO",IF(VALUE(B1344)&lt;=11,"AMBA","INTERIOR"))))</f>
        <v>AMBA</v>
      </c>
      <c r="W1344" s="38" t="str">
        <f>+IF(U1344="","-",CONCATENATE(U1344,"_",V1344))</f>
        <v>EPA_AMBA</v>
      </c>
      <c r="X1344" s="42">
        <v>0.152</v>
      </c>
    </row>
    <row r="1345" spans="1:24" ht="15" thickBot="1">
      <c r="A1345" s="3" t="s">
        <v>2916</v>
      </c>
      <c r="B1345" s="3" t="s">
        <v>204</v>
      </c>
      <c r="C1345" s="3" t="s">
        <v>137</v>
      </c>
      <c r="D1345" s="3" t="s">
        <v>2629</v>
      </c>
      <c r="E1345" s="3">
        <v>606722</v>
      </c>
      <c r="F1345" s="3">
        <v>0</v>
      </c>
      <c r="G1345" s="3" t="s">
        <v>2642</v>
      </c>
      <c r="H1345" s="3" t="s">
        <v>20</v>
      </c>
      <c r="I1345" s="4" t="s">
        <v>110</v>
      </c>
      <c r="J1345" s="4" t="s">
        <v>21</v>
      </c>
      <c r="K1345" s="4"/>
      <c r="L1345" s="4" t="s">
        <v>391</v>
      </c>
      <c r="M1345" s="4" t="s">
        <v>22</v>
      </c>
      <c r="N1345" s="4" t="s">
        <v>23</v>
      </c>
      <c r="O1345" s="4" t="s">
        <v>27</v>
      </c>
      <c r="P1345" s="4" t="s">
        <v>28</v>
      </c>
      <c r="Q1345" s="24">
        <v>44</v>
      </c>
      <c r="R1345" s="25">
        <v>6</v>
      </c>
      <c r="S1345" s="39">
        <v>1</v>
      </c>
      <c r="T1345" s="7"/>
      <c r="U1345" s="7" t="s">
        <v>2912</v>
      </c>
      <c r="V1345" s="7" t="str">
        <f>+IF(U1345="","",IF(U1345="FINES",CONCATENATE("R",IF(OR(B1345="16",B1345="21",B1345="22",B1345="23"),"16212223",IF(OR(B1345="15",B1345="17",B1345="24",B1345="25"),"15172425",B1345))),IF(U1345="CEBAS","UNICO",IF(VALUE(B1345)&lt;=11,"AMBA","INTERIOR"))))</f>
        <v>AMBA</v>
      </c>
      <c r="W1345" s="38" t="str">
        <f>+IF(U1345="","-",CONCATENATE(U1345,"_",V1345))</f>
        <v>EPA_AMBA</v>
      </c>
      <c r="X1345" s="42">
        <v>0.154</v>
      </c>
    </row>
    <row r="1346" spans="1:24" ht="15" thickBot="1">
      <c r="A1346" s="5" t="s">
        <v>2916</v>
      </c>
      <c r="B1346" s="5" t="s">
        <v>222</v>
      </c>
      <c r="C1346" s="5" t="s">
        <v>610</v>
      </c>
      <c r="D1346" s="5" t="s">
        <v>611</v>
      </c>
      <c r="E1346" s="5">
        <v>623887</v>
      </c>
      <c r="F1346" s="5">
        <v>0</v>
      </c>
      <c r="G1346" s="5" t="s">
        <v>628</v>
      </c>
      <c r="H1346" s="5" t="s">
        <v>20</v>
      </c>
      <c r="I1346" s="6" t="s">
        <v>110</v>
      </c>
      <c r="J1346" s="6" t="s">
        <v>21</v>
      </c>
      <c r="K1346" s="6"/>
      <c r="L1346" s="6" t="s">
        <v>629</v>
      </c>
      <c r="M1346" s="6" t="s">
        <v>199</v>
      </c>
      <c r="N1346" s="6" t="s">
        <v>23</v>
      </c>
      <c r="O1346" s="6" t="s">
        <v>27</v>
      </c>
      <c r="P1346" s="6" t="s">
        <v>28</v>
      </c>
      <c r="Q1346" s="22">
        <v>73</v>
      </c>
      <c r="R1346" s="23">
        <v>6</v>
      </c>
      <c r="S1346" s="39">
        <v>1</v>
      </c>
      <c r="T1346" s="7"/>
      <c r="U1346" t="s">
        <v>2912</v>
      </c>
      <c r="V1346" s="7" t="str">
        <f>+IF(U1346="","",IF(U1346="FINES",CONCATENATE("R",IF(OR(B1346="16",B1346="21",B1346="22",B1346="23"),"16212223",IF(OR(B1346="15",B1346="17",B1346="24",B1346="25"),"15172425",B1346))),IF(U1346="CEBAS","UNICO",IF(VALUE(B1346)&lt;=11,"AMBA","INTERIOR"))))</f>
        <v>AMBA</v>
      </c>
      <c r="W1346" s="38" t="str">
        <f>+IF(U1346="","-",CONCATENATE(U1346,"_",V1346))</f>
        <v>EPA_AMBA</v>
      </c>
      <c r="X1346" s="42">
        <v>0.155</v>
      </c>
    </row>
    <row r="1347" spans="1:24" ht="15" thickBot="1">
      <c r="A1347" s="3" t="s">
        <v>2916</v>
      </c>
      <c r="B1347" s="3" t="s">
        <v>19</v>
      </c>
      <c r="C1347" s="3" t="s">
        <v>1480</v>
      </c>
      <c r="D1347" s="3" t="s">
        <v>1481</v>
      </c>
      <c r="E1347" s="3">
        <v>601069</v>
      </c>
      <c r="F1347" s="3">
        <v>0</v>
      </c>
      <c r="G1347" s="3" t="s">
        <v>1483</v>
      </c>
      <c r="H1347" s="3" t="s">
        <v>20</v>
      </c>
      <c r="I1347" s="4" t="s">
        <v>110</v>
      </c>
      <c r="J1347" s="4" t="s">
        <v>21</v>
      </c>
      <c r="K1347" s="4"/>
      <c r="L1347" s="4" t="s">
        <v>111</v>
      </c>
      <c r="M1347" s="4" t="s">
        <v>22</v>
      </c>
      <c r="N1347" s="4" t="s">
        <v>23</v>
      </c>
      <c r="O1347" s="4" t="s">
        <v>27</v>
      </c>
      <c r="P1347" s="4" t="s">
        <v>28</v>
      </c>
      <c r="Q1347" s="24">
        <v>69</v>
      </c>
      <c r="R1347" s="25">
        <v>4</v>
      </c>
      <c r="S1347" s="39">
        <v>1</v>
      </c>
      <c r="T1347" s="7"/>
      <c r="U1347" t="s">
        <v>2912</v>
      </c>
      <c r="V1347" s="7" t="str">
        <f>+IF(U1347="","",IF(U1347="FINES",CONCATENATE("R",IF(OR(B1347="16",B1347="21",B1347="22",B1347="23"),"16212223",IF(OR(B1347="15",B1347="17",B1347="24",B1347="25"),"15172425",B1347))),IF(U1347="CEBAS","UNICO",IF(VALUE(B1347)&lt;=11,"AMBA","INTERIOR"))))</f>
        <v>AMBA</v>
      </c>
      <c r="W1347" s="38" t="str">
        <f>+IF(U1347="","-",CONCATENATE(U1347,"_",V1347))</f>
        <v>EPA_AMBA</v>
      </c>
      <c r="X1347" s="42">
        <v>0.155</v>
      </c>
    </row>
    <row r="1348" spans="1:24" ht="15" thickBot="1">
      <c r="A1348" s="5" t="s">
        <v>2916</v>
      </c>
      <c r="B1348" s="5" t="s">
        <v>1860</v>
      </c>
      <c r="C1348" s="5" t="s">
        <v>411</v>
      </c>
      <c r="D1348" s="5" t="s">
        <v>2791</v>
      </c>
      <c r="E1348" s="5">
        <v>600587</v>
      </c>
      <c r="F1348" s="5">
        <v>0</v>
      </c>
      <c r="G1348" s="5" t="s">
        <v>2797</v>
      </c>
      <c r="H1348" s="5" t="s">
        <v>20</v>
      </c>
      <c r="I1348" s="6" t="s">
        <v>110</v>
      </c>
      <c r="J1348" s="6" t="s">
        <v>21</v>
      </c>
      <c r="K1348" s="6"/>
      <c r="L1348" s="6" t="s">
        <v>2805</v>
      </c>
      <c r="M1348" s="6" t="s">
        <v>22</v>
      </c>
      <c r="N1348" s="6" t="s">
        <v>23</v>
      </c>
      <c r="O1348" s="6" t="s">
        <v>27</v>
      </c>
      <c r="P1348" s="6" t="s">
        <v>28</v>
      </c>
      <c r="Q1348" s="22">
        <v>71</v>
      </c>
      <c r="R1348" s="23">
        <v>12</v>
      </c>
      <c r="S1348" s="39">
        <v>1</v>
      </c>
      <c r="T1348" s="7"/>
      <c r="U1348" t="s">
        <v>2912</v>
      </c>
      <c r="V1348" s="7" t="str">
        <f>+IF(U1348="","",IF(U1348="FINES",CONCATENATE("R",IF(OR(B1348="16",B1348="21",B1348="22",B1348="23"),"16212223",IF(OR(B1348="15",B1348="17",B1348="24",B1348="25"),"15172425",B1348))),IF(U1348="CEBAS","UNICO",IF(VALUE(B1348)&lt;=11,"AMBA","INTERIOR"))))</f>
        <v>AMBA</v>
      </c>
      <c r="W1348" s="38" t="str">
        <f>+IF(U1348="","-",CONCATENATE(U1348,"_",V1348))</f>
        <v>EPA_AMBA</v>
      </c>
      <c r="X1348" s="42">
        <v>0.156</v>
      </c>
    </row>
    <row r="1349" spans="1:24" ht="15" thickBot="1">
      <c r="A1349" s="3" t="s">
        <v>2916</v>
      </c>
      <c r="B1349" s="3" t="s">
        <v>138</v>
      </c>
      <c r="C1349" s="3" t="s">
        <v>1507</v>
      </c>
      <c r="D1349" s="3" t="s">
        <v>1508</v>
      </c>
      <c r="E1349" s="3">
        <v>616136</v>
      </c>
      <c r="F1349" s="3">
        <v>0</v>
      </c>
      <c r="G1349" s="3" t="s">
        <v>1514</v>
      </c>
      <c r="H1349" s="3" t="s">
        <v>20</v>
      </c>
      <c r="I1349" s="4" t="s">
        <v>110</v>
      </c>
      <c r="J1349" s="4" t="s">
        <v>21</v>
      </c>
      <c r="K1349" s="4"/>
      <c r="L1349" s="4" t="s">
        <v>1515</v>
      </c>
      <c r="M1349" s="4" t="s">
        <v>199</v>
      </c>
      <c r="N1349" s="4" t="s">
        <v>23</v>
      </c>
      <c r="O1349" s="4" t="s">
        <v>27</v>
      </c>
      <c r="P1349" s="4" t="s">
        <v>28</v>
      </c>
      <c r="Q1349" s="24">
        <v>302</v>
      </c>
      <c r="R1349" s="25">
        <v>19</v>
      </c>
      <c r="S1349" s="39">
        <v>1</v>
      </c>
      <c r="T1349" s="7"/>
      <c r="U1349" t="s">
        <v>2912</v>
      </c>
      <c r="V1349" s="7" t="str">
        <f>+IF(U1349="","",IF(U1349="FINES",CONCATENATE("R",IF(OR(B1349="16",B1349="21",B1349="22",B1349="23"),"16212223",IF(OR(B1349="15",B1349="17",B1349="24",B1349="25"),"15172425",B1349))),IF(U1349="CEBAS","UNICO",IF(VALUE(B1349)&lt;=11,"AMBA","INTERIOR"))))</f>
        <v>AMBA</v>
      </c>
      <c r="W1349" s="38" t="str">
        <f>+IF(U1349="","-",CONCATENATE(U1349,"_",V1349))</f>
        <v>EPA_AMBA</v>
      </c>
      <c r="X1349" s="42">
        <v>0.16</v>
      </c>
    </row>
    <row r="1350" spans="1:24" ht="15" thickBot="1">
      <c r="A1350" s="5" t="s">
        <v>2916</v>
      </c>
      <c r="B1350" s="5" t="s">
        <v>257</v>
      </c>
      <c r="C1350" s="5" t="s">
        <v>254</v>
      </c>
      <c r="D1350" s="5" t="s">
        <v>256</v>
      </c>
      <c r="E1350" s="5">
        <v>613498</v>
      </c>
      <c r="F1350" s="5">
        <v>0</v>
      </c>
      <c r="G1350" s="5" t="s">
        <v>287</v>
      </c>
      <c r="H1350" s="5" t="s">
        <v>20</v>
      </c>
      <c r="I1350" s="6" t="s">
        <v>110</v>
      </c>
      <c r="J1350" s="6" t="s">
        <v>21</v>
      </c>
      <c r="K1350" s="6"/>
      <c r="L1350" s="6" t="s">
        <v>326</v>
      </c>
      <c r="M1350" s="6" t="s">
        <v>22</v>
      </c>
      <c r="N1350" s="6" t="s">
        <v>23</v>
      </c>
      <c r="O1350" s="6" t="s">
        <v>27</v>
      </c>
      <c r="P1350" s="6" t="s">
        <v>28</v>
      </c>
      <c r="Q1350" s="22">
        <v>213</v>
      </c>
      <c r="R1350" s="23">
        <v>12</v>
      </c>
      <c r="S1350" s="39">
        <v>1</v>
      </c>
      <c r="T1350" s="7"/>
      <c r="U1350" s="7" t="s">
        <v>2912</v>
      </c>
      <c r="V1350" s="7" t="str">
        <f>+IF(U1350="","",IF(U1350="FINES",CONCATENATE("R",IF(OR(B1350="16",B1350="21",B1350="22",B1350="23"),"16212223",IF(OR(B1350="15",B1350="17",B1350="24",B1350="25"),"15172425",B1350))),IF(U1350="CEBAS","UNICO",IF(VALUE(B1350)&lt;=11,"AMBA","INTERIOR"))))</f>
        <v>AMBA</v>
      </c>
      <c r="W1350" s="38" t="str">
        <f>+IF(U1350="","-",CONCATENATE(U1350,"_",V1350))</f>
        <v>EPA_AMBA</v>
      </c>
      <c r="X1350" s="42">
        <v>0.16400000000000001</v>
      </c>
    </row>
    <row r="1351" spans="1:24" ht="15" thickBot="1">
      <c r="A1351" s="5" t="s">
        <v>2916</v>
      </c>
      <c r="B1351" s="5" t="s">
        <v>1257</v>
      </c>
      <c r="C1351" s="5" t="s">
        <v>2237</v>
      </c>
      <c r="D1351" s="5" t="s">
        <v>2238</v>
      </c>
      <c r="E1351" s="5">
        <v>612075</v>
      </c>
      <c r="F1351" s="5">
        <v>0</v>
      </c>
      <c r="G1351" s="5" t="s">
        <v>2248</v>
      </c>
      <c r="H1351" s="5" t="s">
        <v>20</v>
      </c>
      <c r="I1351" s="6" t="s">
        <v>110</v>
      </c>
      <c r="J1351" s="6" t="s">
        <v>21</v>
      </c>
      <c r="K1351" s="6"/>
      <c r="L1351" s="6" t="s">
        <v>2231</v>
      </c>
      <c r="M1351" s="6" t="s">
        <v>22</v>
      </c>
      <c r="N1351" s="6" t="s">
        <v>23</v>
      </c>
      <c r="O1351" s="6" t="s">
        <v>27</v>
      </c>
      <c r="P1351" s="6" t="s">
        <v>28</v>
      </c>
      <c r="Q1351" s="22">
        <v>51</v>
      </c>
      <c r="R1351" s="23">
        <v>4</v>
      </c>
      <c r="S1351" s="39">
        <v>1</v>
      </c>
      <c r="T1351" s="7"/>
      <c r="U1351" s="7" t="s">
        <v>2912</v>
      </c>
      <c r="V1351" s="7" t="str">
        <f>+IF(U1351="","",IF(U1351="FINES",CONCATENATE("R",IF(OR(B1351="16",B1351="21",B1351="22",B1351="23"),"16212223",IF(OR(B1351="15",B1351="17",B1351="24",B1351="25"),"15172425",B1351))),IF(U1351="CEBAS","UNICO",IF(VALUE(B1351)&lt;=11,"AMBA","INTERIOR"))))</f>
        <v>AMBA</v>
      </c>
      <c r="W1351" s="38" t="str">
        <f>+IF(U1351="","-",CONCATENATE(U1351,"_",V1351))</f>
        <v>EPA_AMBA</v>
      </c>
      <c r="X1351" s="42">
        <v>0.16500000000000001</v>
      </c>
    </row>
    <row r="1352" spans="1:24" ht="15" thickBot="1">
      <c r="A1352" s="5" t="s">
        <v>2916</v>
      </c>
      <c r="B1352" s="5" t="s">
        <v>257</v>
      </c>
      <c r="C1352" s="5" t="s">
        <v>254</v>
      </c>
      <c r="D1352" s="5" t="s">
        <v>256</v>
      </c>
      <c r="E1352" s="5">
        <v>613280</v>
      </c>
      <c r="F1352" s="5">
        <v>0</v>
      </c>
      <c r="G1352" s="5" t="s">
        <v>302</v>
      </c>
      <c r="H1352" s="5" t="s">
        <v>20</v>
      </c>
      <c r="I1352" s="6" t="s">
        <v>110</v>
      </c>
      <c r="J1352" s="6" t="s">
        <v>21</v>
      </c>
      <c r="K1352" s="6"/>
      <c r="L1352" s="6" t="s">
        <v>322</v>
      </c>
      <c r="M1352" s="6" t="s">
        <v>22</v>
      </c>
      <c r="N1352" s="6" t="s">
        <v>23</v>
      </c>
      <c r="O1352" s="6" t="s">
        <v>27</v>
      </c>
      <c r="P1352" s="6" t="s">
        <v>28</v>
      </c>
      <c r="Q1352" s="22">
        <v>234</v>
      </c>
      <c r="R1352" s="23">
        <v>13</v>
      </c>
      <c r="S1352" s="39">
        <v>1</v>
      </c>
      <c r="T1352" s="7"/>
      <c r="U1352" s="7" t="s">
        <v>2912</v>
      </c>
      <c r="V1352" s="7" t="str">
        <f>+IF(U1352="","",IF(U1352="FINES",CONCATENATE("R",IF(OR(B1352="16",B1352="21",B1352="22",B1352="23"),"16212223",IF(OR(B1352="15",B1352="17",B1352="24",B1352="25"),"15172425",B1352))),IF(U1352="CEBAS","UNICO",IF(VALUE(B1352)&lt;=11,"AMBA","INTERIOR"))))</f>
        <v>AMBA</v>
      </c>
      <c r="W1352" s="38" t="str">
        <f>+IF(U1352="","-",CONCATENATE(U1352,"_",V1352))</f>
        <v>EPA_AMBA</v>
      </c>
      <c r="X1352" s="42">
        <v>0.16900000000000001</v>
      </c>
    </row>
    <row r="1353" spans="1:24" ht="15" thickBot="1">
      <c r="A1353" s="5" t="s">
        <v>2916</v>
      </c>
      <c r="B1353" s="5" t="s">
        <v>817</v>
      </c>
      <c r="C1353" s="5" t="s">
        <v>600</v>
      </c>
      <c r="D1353" s="5" t="s">
        <v>2661</v>
      </c>
      <c r="E1353" s="5">
        <v>610597</v>
      </c>
      <c r="F1353" s="5">
        <v>0</v>
      </c>
      <c r="G1353" s="5" t="s">
        <v>2663</v>
      </c>
      <c r="H1353" s="5" t="s">
        <v>20</v>
      </c>
      <c r="I1353" s="6" t="s">
        <v>110</v>
      </c>
      <c r="J1353" s="6" t="s">
        <v>21</v>
      </c>
      <c r="K1353" s="6"/>
      <c r="L1353" s="6" t="s">
        <v>2692</v>
      </c>
      <c r="M1353" s="6" t="s">
        <v>22</v>
      </c>
      <c r="N1353" s="6" t="s">
        <v>23</v>
      </c>
      <c r="O1353" s="6" t="s">
        <v>27</v>
      </c>
      <c r="P1353" s="6" t="s">
        <v>28</v>
      </c>
      <c r="Q1353" s="22">
        <v>107</v>
      </c>
      <c r="R1353" s="23">
        <v>10</v>
      </c>
      <c r="S1353" s="39">
        <v>1</v>
      </c>
      <c r="T1353" s="7"/>
      <c r="U1353" t="s">
        <v>2912</v>
      </c>
      <c r="V1353" s="7" t="str">
        <f>+IF(U1353="","",IF(U1353="FINES",CONCATENATE("R",IF(OR(B1353="16",B1353="21",B1353="22",B1353="23"),"16212223",IF(OR(B1353="15",B1353="17",B1353="24",B1353="25"),"15172425",B1353))),IF(U1353="CEBAS","UNICO",IF(VALUE(B1353)&lt;=11,"AMBA","INTERIOR"))))</f>
        <v>AMBA</v>
      </c>
      <c r="W1353" s="38" t="str">
        <f>+IF(U1353="","-",CONCATENATE(U1353,"_",V1353))</f>
        <v>EPA_AMBA</v>
      </c>
      <c r="X1353" s="42">
        <v>0.17199999999999999</v>
      </c>
    </row>
    <row r="1354" spans="1:24" ht="15" thickBot="1">
      <c r="A1354" s="5" t="s">
        <v>2916</v>
      </c>
      <c r="B1354" s="5" t="s">
        <v>222</v>
      </c>
      <c r="C1354" s="5" t="s">
        <v>2047</v>
      </c>
      <c r="D1354" s="5" t="s">
        <v>2048</v>
      </c>
      <c r="E1354" s="5">
        <v>611913</v>
      </c>
      <c r="F1354" s="5">
        <v>0</v>
      </c>
      <c r="G1354" s="5" t="s">
        <v>2057</v>
      </c>
      <c r="H1354" s="5" t="s">
        <v>20</v>
      </c>
      <c r="I1354" s="6" t="s">
        <v>110</v>
      </c>
      <c r="J1354" s="6" t="s">
        <v>21</v>
      </c>
      <c r="K1354" s="6"/>
      <c r="L1354" s="6" t="s">
        <v>1081</v>
      </c>
      <c r="M1354" s="6" t="s">
        <v>22</v>
      </c>
      <c r="N1354" s="6" t="s">
        <v>23</v>
      </c>
      <c r="O1354" s="6" t="s">
        <v>27</v>
      </c>
      <c r="P1354" s="6" t="s">
        <v>28</v>
      </c>
      <c r="Q1354" s="22">
        <v>235</v>
      </c>
      <c r="R1354" s="23">
        <v>17</v>
      </c>
      <c r="S1354" s="39">
        <v>1</v>
      </c>
      <c r="T1354" s="7"/>
      <c r="U1354" t="s">
        <v>2912</v>
      </c>
      <c r="V1354" s="7" t="str">
        <f>+IF(U1354="","",IF(U1354="FINES",CONCATENATE("R",IF(OR(B1354="16",B1354="21",B1354="22",B1354="23"),"16212223",IF(OR(B1354="15",B1354="17",B1354="24",B1354="25"),"15172425",B1354))),IF(U1354="CEBAS","UNICO",IF(VALUE(B1354)&lt;=11,"AMBA","INTERIOR"))))</f>
        <v>AMBA</v>
      </c>
      <c r="W1354" s="38" t="str">
        <f>+IF(U1354="","-",CONCATENATE(U1354,"_",V1354))</f>
        <v>EPA_AMBA</v>
      </c>
      <c r="X1354" s="42">
        <v>0.18</v>
      </c>
    </row>
    <row r="1355" spans="1:24" ht="15" thickBot="1">
      <c r="A1355" s="5" t="s">
        <v>2916</v>
      </c>
      <c r="B1355" s="5" t="s">
        <v>817</v>
      </c>
      <c r="C1355" s="5" t="s">
        <v>815</v>
      </c>
      <c r="D1355" s="5" t="s">
        <v>816</v>
      </c>
      <c r="E1355" s="5">
        <v>608848</v>
      </c>
      <c r="F1355" s="5">
        <v>0</v>
      </c>
      <c r="G1355" s="5" t="s">
        <v>822</v>
      </c>
      <c r="H1355" s="5" t="s">
        <v>20</v>
      </c>
      <c r="I1355" s="6" t="s">
        <v>110</v>
      </c>
      <c r="J1355" s="6" t="s">
        <v>21</v>
      </c>
      <c r="K1355" s="6"/>
      <c r="L1355" s="6" t="s">
        <v>844</v>
      </c>
      <c r="M1355" s="6" t="s">
        <v>22</v>
      </c>
      <c r="N1355" s="6" t="s">
        <v>23</v>
      </c>
      <c r="O1355" s="6" t="s">
        <v>27</v>
      </c>
      <c r="P1355" s="6" t="s">
        <v>28</v>
      </c>
      <c r="Q1355" s="22">
        <v>107</v>
      </c>
      <c r="R1355" s="23">
        <v>9</v>
      </c>
      <c r="S1355" s="39">
        <v>1</v>
      </c>
      <c r="T1355" s="7"/>
      <c r="U1355" t="s">
        <v>2912</v>
      </c>
      <c r="V1355" s="7" t="str">
        <f>+IF(U1355="","",IF(U1355="FINES",CONCATENATE("R",IF(OR(B1355="16",B1355="21",B1355="22",B1355="23"),"16212223",IF(OR(B1355="15",B1355="17",B1355="24",B1355="25"),"15172425",B1355))),IF(U1355="CEBAS","UNICO",IF(VALUE(B1355)&lt;=11,"AMBA","INTERIOR"))))</f>
        <v>AMBA</v>
      </c>
      <c r="W1355" s="38" t="str">
        <f>+IF(U1355="","-",CONCATENATE(U1355,"_",V1355))</f>
        <v>EPA_AMBA</v>
      </c>
      <c r="X1355" s="42">
        <v>0.18099999999999999</v>
      </c>
    </row>
    <row r="1356" spans="1:24" ht="15" thickBot="1">
      <c r="A1356" s="5" t="s">
        <v>2916</v>
      </c>
      <c r="B1356" s="5" t="s">
        <v>19</v>
      </c>
      <c r="C1356" s="5" t="s">
        <v>17</v>
      </c>
      <c r="D1356" s="5" t="s">
        <v>18</v>
      </c>
      <c r="E1356" s="5">
        <v>600735</v>
      </c>
      <c r="F1356" s="5">
        <v>0</v>
      </c>
      <c r="G1356" s="5" t="s">
        <v>79</v>
      </c>
      <c r="H1356" s="5" t="s">
        <v>20</v>
      </c>
      <c r="I1356" s="6" t="s">
        <v>110</v>
      </c>
      <c r="J1356" s="6" t="s">
        <v>21</v>
      </c>
      <c r="K1356" s="6"/>
      <c r="L1356" s="6" t="s">
        <v>123</v>
      </c>
      <c r="M1356" s="6" t="s">
        <v>22</v>
      </c>
      <c r="N1356" s="6" t="s">
        <v>23</v>
      </c>
      <c r="O1356" s="6" t="s">
        <v>27</v>
      </c>
      <c r="P1356" s="6" t="s">
        <v>28</v>
      </c>
      <c r="Q1356" s="22">
        <v>101</v>
      </c>
      <c r="R1356" s="23">
        <v>10</v>
      </c>
      <c r="S1356" s="39">
        <v>1</v>
      </c>
      <c r="T1356" s="7"/>
      <c r="U1356" t="s">
        <v>2912</v>
      </c>
      <c r="V1356" s="7" t="str">
        <f>+IF(U1356="","",IF(U1356="FINES",CONCATENATE("R",IF(OR(B1356="16",B1356="21",B1356="22",B1356="23"),"16212223",IF(OR(B1356="15",B1356="17",B1356="24",B1356="25"),"15172425",B1356))),IF(U1356="CEBAS","UNICO",IF(VALUE(B1356)&lt;=11,"AMBA","INTERIOR"))))</f>
        <v>AMBA</v>
      </c>
      <c r="W1356" s="38" t="str">
        <f>+IF(U1356="","-",CONCATENATE(U1356,"_",V1356))</f>
        <v>EPA_AMBA</v>
      </c>
      <c r="X1356" s="42">
        <v>0.187</v>
      </c>
    </row>
    <row r="1357" spans="1:24" ht="15" thickBot="1">
      <c r="A1357" s="3" t="s">
        <v>2916</v>
      </c>
      <c r="B1357" s="3" t="s">
        <v>1780</v>
      </c>
      <c r="C1357" s="3" t="s">
        <v>238</v>
      </c>
      <c r="D1357" s="3" t="s">
        <v>2887</v>
      </c>
      <c r="E1357" s="3">
        <v>620556</v>
      </c>
      <c r="F1357" s="3">
        <v>0</v>
      </c>
      <c r="G1357" s="3" t="s">
        <v>2896</v>
      </c>
      <c r="H1357" s="3" t="s">
        <v>20</v>
      </c>
      <c r="I1357" s="4" t="s">
        <v>110</v>
      </c>
      <c r="J1357" s="4" t="s">
        <v>21</v>
      </c>
      <c r="K1357" s="4"/>
      <c r="L1357" s="4" t="s">
        <v>323</v>
      </c>
      <c r="M1357" s="4" t="s">
        <v>22</v>
      </c>
      <c r="N1357" s="4" t="s">
        <v>23</v>
      </c>
      <c r="O1357" s="4" t="s">
        <v>27</v>
      </c>
      <c r="P1357" s="4" t="s">
        <v>28</v>
      </c>
      <c r="Q1357" s="24">
        <v>139</v>
      </c>
      <c r="R1357" s="25">
        <v>6</v>
      </c>
      <c r="S1357" s="39">
        <v>1</v>
      </c>
      <c r="T1357" s="7"/>
      <c r="U1357" t="s">
        <v>2912</v>
      </c>
      <c r="V1357" s="7" t="str">
        <f>+IF(U1357="","",IF(U1357="FINES",CONCATENATE("R",IF(OR(B1357="16",B1357="21",B1357="22",B1357="23"),"16212223",IF(OR(B1357="15",B1357="17",B1357="24",B1357="25"),"15172425",B1357))),IF(U1357="CEBAS","UNICO",IF(VALUE(B1357)&lt;=11,"AMBA","INTERIOR"))))</f>
        <v>AMBA</v>
      </c>
      <c r="W1357" s="38" t="str">
        <f>+IF(U1357="","-",CONCATENATE(U1357,"_",V1357))</f>
        <v>EPA_AMBA</v>
      </c>
      <c r="X1357" s="42">
        <v>0.19500000000000001</v>
      </c>
    </row>
    <row r="1358" spans="1:24" ht="15" thickBot="1">
      <c r="A1358" s="3" t="s">
        <v>2916</v>
      </c>
      <c r="B1358" s="3" t="s">
        <v>138</v>
      </c>
      <c r="C1358" s="3" t="s">
        <v>1507</v>
      </c>
      <c r="D1358" s="3" t="s">
        <v>1508</v>
      </c>
      <c r="E1358" s="3">
        <v>623918</v>
      </c>
      <c r="F1358" s="3">
        <v>0</v>
      </c>
      <c r="G1358" s="3" t="s">
        <v>1517</v>
      </c>
      <c r="H1358" s="3" t="s">
        <v>20</v>
      </c>
      <c r="I1358" s="4" t="s">
        <v>110</v>
      </c>
      <c r="J1358" s="4" t="s">
        <v>21</v>
      </c>
      <c r="K1358" s="4"/>
      <c r="L1358" s="4" t="s">
        <v>1518</v>
      </c>
      <c r="M1358" s="4" t="s">
        <v>199</v>
      </c>
      <c r="N1358" s="4" t="s">
        <v>23</v>
      </c>
      <c r="O1358" s="4" t="s">
        <v>27</v>
      </c>
      <c r="P1358" s="4" t="s">
        <v>28</v>
      </c>
      <c r="Q1358" s="24">
        <v>418</v>
      </c>
      <c r="R1358" s="25">
        <v>19</v>
      </c>
      <c r="S1358" s="39">
        <v>1</v>
      </c>
      <c r="T1358" s="7"/>
      <c r="U1358" t="s">
        <v>2912</v>
      </c>
      <c r="V1358" s="7" t="str">
        <f>+IF(U1358="","",IF(U1358="FINES",CONCATENATE("R",IF(OR(B1358="16",B1358="21",B1358="22",B1358="23"),"16212223",IF(OR(B1358="15",B1358="17",B1358="24",B1358="25"),"15172425",B1358))),IF(U1358="CEBAS","UNICO",IF(VALUE(B1358)&lt;=11,"AMBA","INTERIOR"))))</f>
        <v>AMBA</v>
      </c>
      <c r="W1358" s="38" t="str">
        <f>+IF(U1358="","-",CONCATENATE(U1358,"_",V1358))</f>
        <v>EPA_AMBA</v>
      </c>
      <c r="X1358" s="42">
        <v>0.20599999999999999</v>
      </c>
    </row>
    <row r="1359" spans="1:24" ht="15" thickBot="1">
      <c r="A1359" s="3" t="s">
        <v>2916</v>
      </c>
      <c r="B1359" s="3" t="s">
        <v>138</v>
      </c>
      <c r="C1359" s="3" t="s">
        <v>522</v>
      </c>
      <c r="D1359" s="3" t="s">
        <v>1468</v>
      </c>
      <c r="E1359" s="3">
        <v>613586</v>
      </c>
      <c r="F1359" s="3">
        <v>0</v>
      </c>
      <c r="G1359" s="3" t="s">
        <v>1470</v>
      </c>
      <c r="H1359" s="3" t="s">
        <v>20</v>
      </c>
      <c r="I1359" s="4" t="s">
        <v>110</v>
      </c>
      <c r="J1359" s="4" t="s">
        <v>21</v>
      </c>
      <c r="K1359" s="4"/>
      <c r="L1359" s="4" t="s">
        <v>843</v>
      </c>
      <c r="M1359" s="4" t="s">
        <v>22</v>
      </c>
      <c r="N1359" s="4" t="s">
        <v>23</v>
      </c>
      <c r="O1359" s="4" t="s">
        <v>27</v>
      </c>
      <c r="P1359" s="4" t="s">
        <v>28</v>
      </c>
      <c r="Q1359" s="24">
        <v>90</v>
      </c>
      <c r="R1359" s="25">
        <v>10</v>
      </c>
      <c r="S1359" s="39">
        <v>1</v>
      </c>
      <c r="T1359" s="7"/>
      <c r="U1359" t="s">
        <v>2912</v>
      </c>
      <c r="V1359" s="7" t="str">
        <f>+IF(U1359="","",IF(U1359="FINES",CONCATENATE("R",IF(OR(B1359="16",B1359="21",B1359="22",B1359="23"),"16212223",IF(OR(B1359="15",B1359="17",B1359="24",B1359="25"),"15172425",B1359))),IF(U1359="CEBAS","UNICO",IF(VALUE(B1359)&lt;=11,"AMBA","INTERIOR"))))</f>
        <v>AMBA</v>
      </c>
      <c r="W1359" s="38" t="str">
        <f>+IF(U1359="","-",CONCATENATE(U1359,"_",V1359))</f>
        <v>EPA_AMBA</v>
      </c>
      <c r="X1359" s="42">
        <v>0.21099999999999999</v>
      </c>
    </row>
    <row r="1360" spans="1:24" ht="15" thickBot="1">
      <c r="A1360" s="5" t="s">
        <v>2916</v>
      </c>
      <c r="B1360" s="5" t="s">
        <v>1780</v>
      </c>
      <c r="C1360" s="5" t="s">
        <v>1778</v>
      </c>
      <c r="D1360" s="5" t="s">
        <v>1779</v>
      </c>
      <c r="E1360" s="5">
        <v>610432</v>
      </c>
      <c r="F1360" s="5">
        <v>0</v>
      </c>
      <c r="G1360" s="5" t="s">
        <v>1799</v>
      </c>
      <c r="H1360" s="5" t="s">
        <v>20</v>
      </c>
      <c r="I1360" s="6" t="s">
        <v>110</v>
      </c>
      <c r="J1360" s="6" t="s">
        <v>21</v>
      </c>
      <c r="K1360" s="6"/>
      <c r="L1360" s="6" t="s">
        <v>1818</v>
      </c>
      <c r="M1360" s="6" t="s">
        <v>22</v>
      </c>
      <c r="N1360" s="6" t="s">
        <v>23</v>
      </c>
      <c r="O1360" s="6" t="s">
        <v>27</v>
      </c>
      <c r="P1360" s="6" t="s">
        <v>28</v>
      </c>
      <c r="Q1360" s="22">
        <v>125</v>
      </c>
      <c r="R1360" s="23">
        <v>11</v>
      </c>
      <c r="S1360" s="39">
        <v>1</v>
      </c>
      <c r="T1360" s="7"/>
      <c r="U1360" t="s">
        <v>2912</v>
      </c>
      <c r="V1360" s="7" t="str">
        <f>+IF(U1360="","",IF(U1360="FINES",CONCATENATE("R",IF(OR(B1360="16",B1360="21",B1360="22",B1360="23"),"16212223",IF(OR(B1360="15",B1360="17",B1360="24",B1360="25"),"15172425",B1360))),IF(U1360="CEBAS","UNICO",IF(VALUE(B1360)&lt;=11,"AMBA","INTERIOR"))))</f>
        <v>AMBA</v>
      </c>
      <c r="W1360" s="38" t="str">
        <f>+IF(U1360="","-",CONCATENATE(U1360,"_",V1360))</f>
        <v>EPA_AMBA</v>
      </c>
      <c r="X1360" s="42">
        <v>0.21299999999999999</v>
      </c>
    </row>
    <row r="1361" spans="1:24" ht="15" thickBot="1">
      <c r="A1361" s="3" t="s">
        <v>2916</v>
      </c>
      <c r="B1361" s="3" t="s">
        <v>138</v>
      </c>
      <c r="C1361" s="3" t="s">
        <v>540</v>
      </c>
      <c r="D1361" s="3" t="s">
        <v>1766</v>
      </c>
      <c r="E1361" s="3">
        <v>609593</v>
      </c>
      <c r="F1361" s="3">
        <v>0</v>
      </c>
      <c r="G1361" s="3" t="s">
        <v>1768</v>
      </c>
      <c r="H1361" s="3" t="s">
        <v>20</v>
      </c>
      <c r="I1361" s="4" t="s">
        <v>110</v>
      </c>
      <c r="J1361" s="4" t="s">
        <v>21</v>
      </c>
      <c r="K1361" s="4"/>
      <c r="L1361" s="4" t="s">
        <v>1773</v>
      </c>
      <c r="M1361" s="4" t="s">
        <v>22</v>
      </c>
      <c r="N1361" s="4" t="s">
        <v>23</v>
      </c>
      <c r="O1361" s="4" t="s">
        <v>27</v>
      </c>
      <c r="P1361" s="4" t="s">
        <v>28</v>
      </c>
      <c r="Q1361" s="24">
        <v>144</v>
      </c>
      <c r="R1361" s="25">
        <v>8</v>
      </c>
      <c r="S1361" s="39">
        <v>1</v>
      </c>
      <c r="T1361" s="7"/>
      <c r="U1361" t="s">
        <v>2912</v>
      </c>
      <c r="V1361" s="7" t="str">
        <f>+IF(U1361="","",IF(U1361="FINES",CONCATENATE("R",IF(OR(B1361="16",B1361="21",B1361="22",B1361="23"),"16212223",IF(OR(B1361="15",B1361="17",B1361="24",B1361="25"),"15172425",B1361))),IF(U1361="CEBAS","UNICO",IF(VALUE(B1361)&lt;=11,"AMBA","INTERIOR"))))</f>
        <v>AMBA</v>
      </c>
      <c r="W1361" s="38" t="str">
        <f>+IF(U1361="","-",CONCATENATE(U1361,"_",V1361))</f>
        <v>EPA_AMBA</v>
      </c>
      <c r="X1361" s="42">
        <v>0.219</v>
      </c>
    </row>
    <row r="1362" spans="1:24" ht="15" thickBot="1">
      <c r="A1362" s="3" t="s">
        <v>2916</v>
      </c>
      <c r="B1362" s="3" t="s">
        <v>257</v>
      </c>
      <c r="C1362" s="3" t="s">
        <v>254</v>
      </c>
      <c r="D1362" s="3" t="s">
        <v>256</v>
      </c>
      <c r="E1362" s="3">
        <v>613897</v>
      </c>
      <c r="F1362" s="3">
        <v>0</v>
      </c>
      <c r="G1362" s="3" t="s">
        <v>290</v>
      </c>
      <c r="H1362" s="3" t="s">
        <v>20</v>
      </c>
      <c r="I1362" s="4" t="s">
        <v>110</v>
      </c>
      <c r="J1362" s="4" t="s">
        <v>21</v>
      </c>
      <c r="K1362" s="4"/>
      <c r="L1362" s="4" t="s">
        <v>327</v>
      </c>
      <c r="M1362" s="4" t="s">
        <v>22</v>
      </c>
      <c r="N1362" s="4" t="s">
        <v>23</v>
      </c>
      <c r="O1362" s="4" t="s">
        <v>27</v>
      </c>
      <c r="P1362" s="4" t="s">
        <v>28</v>
      </c>
      <c r="Q1362" s="24">
        <v>86</v>
      </c>
      <c r="R1362" s="25">
        <v>4</v>
      </c>
      <c r="S1362" s="39">
        <v>1</v>
      </c>
      <c r="T1362" s="7"/>
      <c r="U1362" t="s">
        <v>2912</v>
      </c>
      <c r="V1362" s="7" t="str">
        <f>+IF(U1362="","",IF(U1362="FINES",CONCATENATE("R",IF(OR(B1362="16",B1362="21",B1362="22",B1362="23"),"16212223",IF(OR(B1362="15",B1362="17",B1362="24",B1362="25"),"15172425",B1362))),IF(U1362="CEBAS","UNICO",IF(VALUE(B1362)&lt;=11,"AMBA","INTERIOR"))))</f>
        <v>AMBA</v>
      </c>
      <c r="W1362" s="38" t="str">
        <f>+IF(U1362="","-",CONCATENATE(U1362,"_",V1362))</f>
        <v>EPA_AMBA</v>
      </c>
      <c r="X1362" s="42">
        <v>0.22</v>
      </c>
    </row>
    <row r="1363" spans="1:24" ht="15" thickBot="1">
      <c r="A1363" s="5" t="s">
        <v>2916</v>
      </c>
      <c r="B1363" s="5" t="s">
        <v>356</v>
      </c>
      <c r="C1363" s="5" t="s">
        <v>353</v>
      </c>
      <c r="D1363" s="5" t="s">
        <v>355</v>
      </c>
      <c r="E1363" s="5">
        <v>602025</v>
      </c>
      <c r="F1363" s="5">
        <v>0</v>
      </c>
      <c r="G1363" s="5" t="s">
        <v>371</v>
      </c>
      <c r="H1363" s="5" t="s">
        <v>20</v>
      </c>
      <c r="I1363" s="6" t="s">
        <v>110</v>
      </c>
      <c r="J1363" s="6" t="s">
        <v>21</v>
      </c>
      <c r="K1363" s="6"/>
      <c r="L1363" s="6" t="s">
        <v>392</v>
      </c>
      <c r="M1363" s="6" t="s">
        <v>22</v>
      </c>
      <c r="N1363" s="6" t="s">
        <v>23</v>
      </c>
      <c r="O1363" s="6" t="s">
        <v>27</v>
      </c>
      <c r="P1363" s="6" t="s">
        <v>28</v>
      </c>
      <c r="Q1363" s="22">
        <v>96</v>
      </c>
      <c r="R1363" s="23">
        <v>9</v>
      </c>
      <c r="S1363" s="39">
        <v>1</v>
      </c>
      <c r="T1363" s="7"/>
      <c r="U1363" t="s">
        <v>2912</v>
      </c>
      <c r="V1363" s="7" t="str">
        <f>+IF(U1363="","",IF(U1363="FINES",CONCATENATE("R",IF(OR(B1363="16",B1363="21",B1363="22",B1363="23"),"16212223",IF(OR(B1363="15",B1363="17",B1363="24",B1363="25"),"15172425",B1363))),IF(U1363="CEBAS","UNICO",IF(VALUE(B1363)&lt;=11,"AMBA","INTERIOR"))))</f>
        <v>AMBA</v>
      </c>
      <c r="W1363" s="38" t="str">
        <f>+IF(U1363="","-",CONCATENATE(U1363,"_",V1363))</f>
        <v>EPA_AMBA</v>
      </c>
      <c r="X1363" s="42">
        <v>0.223</v>
      </c>
    </row>
    <row r="1364" spans="1:24" ht="15" thickBot="1">
      <c r="A1364" s="3" t="s">
        <v>2916</v>
      </c>
      <c r="B1364" s="3" t="s">
        <v>1257</v>
      </c>
      <c r="C1364" s="3" t="s">
        <v>2237</v>
      </c>
      <c r="D1364" s="3" t="s">
        <v>2238</v>
      </c>
      <c r="E1364" s="3">
        <v>612307</v>
      </c>
      <c r="F1364" s="3">
        <v>0</v>
      </c>
      <c r="G1364" s="3" t="s">
        <v>2253</v>
      </c>
      <c r="H1364" s="3" t="s">
        <v>20</v>
      </c>
      <c r="I1364" s="4" t="s">
        <v>110</v>
      </c>
      <c r="J1364" s="4" t="s">
        <v>21</v>
      </c>
      <c r="K1364" s="4"/>
      <c r="L1364" s="4" t="s">
        <v>2259</v>
      </c>
      <c r="M1364" s="4" t="s">
        <v>22</v>
      </c>
      <c r="N1364" s="4" t="s">
        <v>23</v>
      </c>
      <c r="O1364" s="4" t="s">
        <v>27</v>
      </c>
      <c r="P1364" s="4" t="s">
        <v>28</v>
      </c>
      <c r="Q1364" s="24">
        <v>41</v>
      </c>
      <c r="R1364" s="25">
        <v>4</v>
      </c>
      <c r="S1364" s="39">
        <v>1</v>
      </c>
      <c r="T1364" s="7"/>
      <c r="U1364" t="s">
        <v>2912</v>
      </c>
      <c r="V1364" s="7" t="str">
        <f>+IF(U1364="","",IF(U1364="FINES",CONCATENATE("R",IF(OR(B1364="16",B1364="21",B1364="22",B1364="23"),"16212223",IF(OR(B1364="15",B1364="17",B1364="24",B1364="25"),"15172425",B1364))),IF(U1364="CEBAS","UNICO",IF(VALUE(B1364)&lt;=11,"AMBA","INTERIOR"))))</f>
        <v>AMBA</v>
      </c>
      <c r="W1364" s="38" t="str">
        <f>+IF(U1364="","-",CONCATENATE(U1364,"_",V1364))</f>
        <v>EPA_AMBA</v>
      </c>
      <c r="X1364" s="42">
        <v>0.22500000000000001</v>
      </c>
    </row>
    <row r="1365" spans="1:24" ht="15" thickBot="1">
      <c r="A1365" s="5" t="s">
        <v>2916</v>
      </c>
      <c r="B1365" s="5" t="s">
        <v>817</v>
      </c>
      <c r="C1365" s="5" t="s">
        <v>2080</v>
      </c>
      <c r="D1365" s="5" t="s">
        <v>2081</v>
      </c>
      <c r="E1365" s="5">
        <v>602059</v>
      </c>
      <c r="F1365" s="5">
        <v>0</v>
      </c>
      <c r="G1365" s="5" t="s">
        <v>2085</v>
      </c>
      <c r="H1365" s="5" t="s">
        <v>20</v>
      </c>
      <c r="I1365" s="6" t="s">
        <v>110</v>
      </c>
      <c r="J1365" s="6" t="s">
        <v>21</v>
      </c>
      <c r="K1365" s="6"/>
      <c r="L1365" s="6" t="s">
        <v>2136</v>
      </c>
      <c r="M1365" s="6" t="s">
        <v>22</v>
      </c>
      <c r="N1365" s="6" t="s">
        <v>23</v>
      </c>
      <c r="O1365" s="6" t="s">
        <v>27</v>
      </c>
      <c r="P1365" s="6" t="s">
        <v>28</v>
      </c>
      <c r="Q1365" s="22">
        <v>70</v>
      </c>
      <c r="R1365" s="23">
        <v>7</v>
      </c>
      <c r="S1365" s="39">
        <v>1</v>
      </c>
      <c r="T1365" s="7"/>
      <c r="U1365" t="s">
        <v>2912</v>
      </c>
      <c r="V1365" s="7" t="str">
        <f>+IF(U1365="","",IF(U1365="FINES",CONCATENATE("R",IF(OR(B1365="16",B1365="21",B1365="22",B1365="23"),"16212223",IF(OR(B1365="15",B1365="17",B1365="24",B1365="25"),"15172425",B1365))),IF(U1365="CEBAS","UNICO",IF(VALUE(B1365)&lt;=11,"AMBA","INTERIOR"))))</f>
        <v>AMBA</v>
      </c>
      <c r="W1365" s="38" t="str">
        <f>+IF(U1365="","-",CONCATENATE(U1365,"_",V1365))</f>
        <v>EPA_AMBA</v>
      </c>
      <c r="X1365" s="42">
        <v>0.22600000000000001</v>
      </c>
    </row>
    <row r="1366" spans="1:24" ht="15" thickBot="1">
      <c r="A1366" s="3" t="s">
        <v>2916</v>
      </c>
      <c r="B1366" s="3" t="s">
        <v>356</v>
      </c>
      <c r="C1366" s="3" t="s">
        <v>805</v>
      </c>
      <c r="D1366" s="3" t="s">
        <v>2500</v>
      </c>
      <c r="E1366" s="3">
        <v>607663</v>
      </c>
      <c r="F1366" s="3">
        <v>0</v>
      </c>
      <c r="G1366" s="3" t="s">
        <v>2515</v>
      </c>
      <c r="H1366" s="3" t="s">
        <v>20</v>
      </c>
      <c r="I1366" s="4" t="s">
        <v>110</v>
      </c>
      <c r="J1366" s="4" t="s">
        <v>21</v>
      </c>
      <c r="K1366" s="4"/>
      <c r="L1366" s="4" t="s">
        <v>1117</v>
      </c>
      <c r="M1366" s="4" t="s">
        <v>22</v>
      </c>
      <c r="N1366" s="4" t="s">
        <v>23</v>
      </c>
      <c r="O1366" s="4" t="s">
        <v>27</v>
      </c>
      <c r="P1366" s="4" t="s">
        <v>28</v>
      </c>
      <c r="Q1366" s="24">
        <v>82</v>
      </c>
      <c r="R1366" s="25">
        <v>7</v>
      </c>
      <c r="S1366" s="39">
        <v>1</v>
      </c>
      <c r="T1366" s="7"/>
      <c r="U1366" t="s">
        <v>2912</v>
      </c>
      <c r="V1366" s="7" t="str">
        <f>+IF(U1366="","",IF(U1366="FINES",CONCATENATE("R",IF(OR(B1366="16",B1366="21",B1366="22",B1366="23"),"16212223",IF(OR(B1366="15",B1366="17",B1366="24",B1366="25"),"15172425",B1366))),IF(U1366="CEBAS","UNICO",IF(VALUE(B1366)&lt;=11,"AMBA","INTERIOR"))))</f>
        <v>AMBA</v>
      </c>
      <c r="W1366" s="38" t="str">
        <f>+IF(U1366="","-",CONCATENATE(U1366,"_",V1366))</f>
        <v>EPA_AMBA</v>
      </c>
      <c r="X1366" s="42">
        <v>0.22800000000000001</v>
      </c>
    </row>
    <row r="1367" spans="1:24" ht="15" thickBot="1">
      <c r="A1367" s="3" t="s">
        <v>2916</v>
      </c>
      <c r="B1367" s="3" t="s">
        <v>1532</v>
      </c>
      <c r="C1367" s="3" t="s">
        <v>1530</v>
      </c>
      <c r="D1367" s="3" t="s">
        <v>1531</v>
      </c>
      <c r="E1367" s="3">
        <v>612436</v>
      </c>
      <c r="F1367" s="3">
        <v>0</v>
      </c>
      <c r="G1367" s="3" t="s">
        <v>1566</v>
      </c>
      <c r="H1367" s="3" t="s">
        <v>20</v>
      </c>
      <c r="I1367" s="4" t="s">
        <v>110</v>
      </c>
      <c r="J1367" s="4" t="s">
        <v>21</v>
      </c>
      <c r="K1367" s="4"/>
      <c r="L1367" s="4" t="s">
        <v>1668</v>
      </c>
      <c r="M1367" s="4" t="s">
        <v>22</v>
      </c>
      <c r="N1367" s="4" t="s">
        <v>23</v>
      </c>
      <c r="O1367" s="4" t="s">
        <v>27</v>
      </c>
      <c r="P1367" s="4" t="s">
        <v>28</v>
      </c>
      <c r="Q1367" s="24">
        <v>200</v>
      </c>
      <c r="R1367" s="25">
        <v>11</v>
      </c>
      <c r="S1367" s="39">
        <v>1</v>
      </c>
      <c r="T1367" s="7"/>
      <c r="U1367" t="s">
        <v>2912</v>
      </c>
      <c r="V1367" s="7" t="str">
        <f>+IF(U1367="","",IF(U1367="FINES",CONCATENATE("R",IF(OR(B1367="16",B1367="21",B1367="22",B1367="23"),"16212223",IF(OR(B1367="15",B1367="17",B1367="24",B1367="25"),"15172425",B1367))),IF(U1367="CEBAS","UNICO",IF(VALUE(B1367)&lt;=11,"AMBA","INTERIOR"))))</f>
        <v>AMBA</v>
      </c>
      <c r="W1367" s="38" t="str">
        <f>+IF(U1367="","-",CONCATENATE(U1367,"_",V1367))</f>
        <v>EPA_AMBA</v>
      </c>
      <c r="X1367" s="42">
        <v>0.245</v>
      </c>
    </row>
    <row r="1368" spans="1:24" ht="15" thickBot="1">
      <c r="A1368" s="5" t="s">
        <v>2916</v>
      </c>
      <c r="B1368" s="5" t="s">
        <v>1257</v>
      </c>
      <c r="C1368" s="5" t="s">
        <v>2237</v>
      </c>
      <c r="D1368" s="5" t="s">
        <v>2238</v>
      </c>
      <c r="E1368" s="5">
        <v>613668</v>
      </c>
      <c r="F1368" s="5">
        <v>0</v>
      </c>
      <c r="G1368" s="5" t="s">
        <v>2261</v>
      </c>
      <c r="H1368" s="5" t="s">
        <v>20</v>
      </c>
      <c r="I1368" s="6" t="s">
        <v>110</v>
      </c>
      <c r="J1368" s="6" t="s">
        <v>21</v>
      </c>
      <c r="K1368" s="6"/>
      <c r="L1368" s="6" t="s">
        <v>2262</v>
      </c>
      <c r="M1368" s="6" t="s">
        <v>22</v>
      </c>
      <c r="N1368" s="6" t="s">
        <v>23</v>
      </c>
      <c r="O1368" s="6" t="s">
        <v>27</v>
      </c>
      <c r="P1368" s="6" t="s">
        <v>28</v>
      </c>
      <c r="Q1368" s="22">
        <v>48</v>
      </c>
      <c r="R1368" s="23">
        <v>4</v>
      </c>
      <c r="S1368" s="39">
        <v>1</v>
      </c>
      <c r="T1368" s="7"/>
      <c r="U1368" t="s">
        <v>2912</v>
      </c>
      <c r="V1368" s="7" t="str">
        <f>+IF(U1368="","",IF(U1368="FINES",CONCATENATE("R",IF(OR(B1368="16",B1368="21",B1368="22",B1368="23"),"16212223",IF(OR(B1368="15",B1368="17",B1368="24",B1368="25"),"15172425",B1368))),IF(U1368="CEBAS","UNICO",IF(VALUE(B1368)&lt;=11,"AMBA","INTERIOR"))))</f>
        <v>AMBA</v>
      </c>
      <c r="W1368" s="38" t="str">
        <f>+IF(U1368="","-",CONCATENATE(U1368,"_",V1368))</f>
        <v>EPA_AMBA</v>
      </c>
      <c r="X1368" s="42">
        <v>0.245</v>
      </c>
    </row>
    <row r="1369" spans="1:24" ht="15" thickBot="1">
      <c r="A1369" s="5" t="s">
        <v>2916</v>
      </c>
      <c r="B1369" s="5" t="s">
        <v>817</v>
      </c>
      <c r="C1369" s="5" t="s">
        <v>815</v>
      </c>
      <c r="D1369" s="5" t="s">
        <v>816</v>
      </c>
      <c r="E1369" s="5">
        <v>611427</v>
      </c>
      <c r="F1369" s="5">
        <v>0</v>
      </c>
      <c r="G1369" s="5" t="s">
        <v>848</v>
      </c>
      <c r="H1369" s="5" t="s">
        <v>20</v>
      </c>
      <c r="I1369" s="6" t="s">
        <v>110</v>
      </c>
      <c r="J1369" s="6" t="s">
        <v>21</v>
      </c>
      <c r="K1369" s="6"/>
      <c r="L1369" s="6" t="s">
        <v>849</v>
      </c>
      <c r="M1369" s="6" t="s">
        <v>22</v>
      </c>
      <c r="N1369" s="6" t="s">
        <v>23</v>
      </c>
      <c r="O1369" s="6" t="s">
        <v>27</v>
      </c>
      <c r="P1369" s="6" t="s">
        <v>28</v>
      </c>
      <c r="Q1369" s="22">
        <v>223</v>
      </c>
      <c r="R1369" s="23">
        <v>18</v>
      </c>
      <c r="S1369" s="39">
        <v>1</v>
      </c>
      <c r="T1369" s="7"/>
      <c r="U1369" t="s">
        <v>2912</v>
      </c>
      <c r="V1369" s="7" t="str">
        <f>+IF(U1369="","",IF(U1369="FINES",CONCATENATE("R",IF(OR(B1369="16",B1369="21",B1369="22",B1369="23"),"16212223",IF(OR(B1369="15",B1369="17",B1369="24",B1369="25"),"15172425",B1369))),IF(U1369="CEBAS","UNICO",IF(VALUE(B1369)&lt;=11,"AMBA","INTERIOR"))))</f>
        <v>AMBA</v>
      </c>
      <c r="W1369" s="38" t="str">
        <f>+IF(U1369="","-",CONCATENATE(U1369,"_",V1369))</f>
        <v>EPA_AMBA</v>
      </c>
      <c r="X1369" s="42">
        <v>0.255</v>
      </c>
    </row>
    <row r="1370" spans="1:24" ht="15" thickBot="1">
      <c r="A1370" s="5" t="s">
        <v>2916</v>
      </c>
      <c r="B1370" s="5" t="s">
        <v>257</v>
      </c>
      <c r="C1370" s="5" t="s">
        <v>254</v>
      </c>
      <c r="D1370" s="5" t="s">
        <v>256</v>
      </c>
      <c r="E1370" s="5">
        <v>613277</v>
      </c>
      <c r="F1370" s="5">
        <v>0</v>
      </c>
      <c r="G1370" s="5" t="s">
        <v>295</v>
      </c>
      <c r="H1370" s="5" t="s">
        <v>20</v>
      </c>
      <c r="I1370" s="6" t="s">
        <v>110</v>
      </c>
      <c r="J1370" s="6" t="s">
        <v>21</v>
      </c>
      <c r="K1370" s="6"/>
      <c r="L1370" s="6" t="s">
        <v>318</v>
      </c>
      <c r="M1370" s="6" t="s">
        <v>22</v>
      </c>
      <c r="N1370" s="6" t="s">
        <v>23</v>
      </c>
      <c r="O1370" s="6" t="s">
        <v>27</v>
      </c>
      <c r="P1370" s="6" t="s">
        <v>28</v>
      </c>
      <c r="Q1370" s="22">
        <v>93</v>
      </c>
      <c r="R1370" s="23">
        <v>6</v>
      </c>
      <c r="S1370" s="39">
        <v>1</v>
      </c>
      <c r="T1370" s="7"/>
      <c r="U1370" t="s">
        <v>2912</v>
      </c>
      <c r="V1370" s="7" t="str">
        <f>+IF(U1370="","",IF(U1370="FINES",CONCATENATE("R",IF(OR(B1370="16",B1370="21",B1370="22",B1370="23"),"16212223",IF(OR(B1370="15",B1370="17",B1370="24",B1370="25"),"15172425",B1370))),IF(U1370="CEBAS","UNICO",IF(VALUE(B1370)&lt;=11,"AMBA","INTERIOR"))))</f>
        <v>AMBA</v>
      </c>
      <c r="W1370" s="38" t="str">
        <f>+IF(U1370="","-",CONCATENATE(U1370,"_",V1370))</f>
        <v>EPA_AMBA</v>
      </c>
      <c r="X1370" s="42">
        <v>0.25600000000000001</v>
      </c>
    </row>
    <row r="1371" spans="1:24" ht="15" thickBot="1">
      <c r="A1371" s="3" t="s">
        <v>2916</v>
      </c>
      <c r="B1371" s="3" t="s">
        <v>817</v>
      </c>
      <c r="C1371" s="3" t="s">
        <v>600</v>
      </c>
      <c r="D1371" s="3" t="s">
        <v>2661</v>
      </c>
      <c r="E1371" s="3">
        <v>624589</v>
      </c>
      <c r="F1371" s="3">
        <v>0</v>
      </c>
      <c r="G1371" s="3" t="s">
        <v>2697</v>
      </c>
      <c r="H1371" s="3" t="s">
        <v>20</v>
      </c>
      <c r="I1371" s="4" t="s">
        <v>110</v>
      </c>
      <c r="J1371" s="4" t="s">
        <v>21</v>
      </c>
      <c r="K1371" s="4"/>
      <c r="L1371" s="4" t="s">
        <v>2698</v>
      </c>
      <c r="M1371" s="4" t="s">
        <v>22</v>
      </c>
      <c r="N1371" s="4" t="s">
        <v>23</v>
      </c>
      <c r="O1371" s="4" t="s">
        <v>27</v>
      </c>
      <c r="P1371" s="4" t="s">
        <v>28</v>
      </c>
      <c r="Q1371" s="24">
        <v>72</v>
      </c>
      <c r="R1371" s="25">
        <v>6</v>
      </c>
      <c r="S1371" s="39">
        <v>1</v>
      </c>
      <c r="T1371" s="7"/>
      <c r="U1371" t="s">
        <v>2912</v>
      </c>
      <c r="V1371" s="7" t="str">
        <f>+IF(U1371="","",IF(U1371="FINES",CONCATENATE("R",IF(OR(B1371="16",B1371="21",B1371="22",B1371="23"),"16212223",IF(OR(B1371="15",B1371="17",B1371="24",B1371="25"),"15172425",B1371))),IF(U1371="CEBAS","UNICO",IF(VALUE(B1371)&lt;=11,"AMBA","INTERIOR"))))</f>
        <v>AMBA</v>
      </c>
      <c r="W1371" s="38" t="str">
        <f>+IF(U1371="","-",CONCATENATE(U1371,"_",V1371))</f>
        <v>EPA_AMBA</v>
      </c>
      <c r="X1371" s="42">
        <v>0.27200000000000002</v>
      </c>
    </row>
    <row r="1372" spans="1:24" ht="15" thickBot="1">
      <c r="A1372" s="3" t="s">
        <v>2916</v>
      </c>
      <c r="B1372" s="3" t="s">
        <v>1860</v>
      </c>
      <c r="C1372" s="3" t="s">
        <v>1858</v>
      </c>
      <c r="D1372" s="3" t="s">
        <v>1859</v>
      </c>
      <c r="E1372" s="3">
        <v>603278</v>
      </c>
      <c r="F1372" s="3">
        <v>0</v>
      </c>
      <c r="G1372" s="3" t="s">
        <v>1878</v>
      </c>
      <c r="H1372" s="3" t="s">
        <v>20</v>
      </c>
      <c r="I1372" s="4" t="s">
        <v>110</v>
      </c>
      <c r="J1372" s="4" t="s">
        <v>21</v>
      </c>
      <c r="K1372" s="4"/>
      <c r="L1372" s="4" t="s">
        <v>796</v>
      </c>
      <c r="M1372" s="4" t="s">
        <v>22</v>
      </c>
      <c r="N1372" s="4" t="s">
        <v>23</v>
      </c>
      <c r="O1372" s="4" t="s">
        <v>27</v>
      </c>
      <c r="P1372" s="4" t="s">
        <v>28</v>
      </c>
      <c r="Q1372" s="24">
        <v>324</v>
      </c>
      <c r="R1372" s="25">
        <v>15</v>
      </c>
      <c r="S1372" s="39">
        <v>1</v>
      </c>
      <c r="T1372" s="7"/>
      <c r="U1372" s="7" t="s">
        <v>2912</v>
      </c>
      <c r="V1372" s="7" t="str">
        <f>+IF(U1372="","",IF(U1372="FINES",CONCATENATE("R",IF(OR(B1372="16",B1372="21",B1372="22",B1372="23"),"16212223",IF(OR(B1372="15",B1372="17",B1372="24",B1372="25"),"15172425",B1372))),IF(U1372="CEBAS","UNICO",IF(VALUE(B1372)&lt;=11,"AMBA","INTERIOR"))))</f>
        <v>AMBA</v>
      </c>
      <c r="W1372" s="38" t="str">
        <f>+IF(U1372="","-",CONCATENATE(U1372,"_",V1372))</f>
        <v>EPA_AMBA</v>
      </c>
      <c r="X1372" s="42">
        <v>0.28000000000000003</v>
      </c>
    </row>
    <row r="1373" spans="1:24" ht="15" thickBot="1">
      <c r="A1373" s="5" t="s">
        <v>2916</v>
      </c>
      <c r="B1373" s="5" t="s">
        <v>1860</v>
      </c>
      <c r="C1373" s="5" t="s">
        <v>875</v>
      </c>
      <c r="D1373" s="5" t="s">
        <v>2816</v>
      </c>
      <c r="E1373" s="5">
        <v>611665</v>
      </c>
      <c r="F1373" s="5">
        <v>0</v>
      </c>
      <c r="G1373" s="5" t="s">
        <v>2821</v>
      </c>
      <c r="H1373" s="5" t="s">
        <v>20</v>
      </c>
      <c r="I1373" s="6" t="s">
        <v>110</v>
      </c>
      <c r="J1373" s="6" t="s">
        <v>21</v>
      </c>
      <c r="K1373" s="6"/>
      <c r="L1373" s="6" t="s">
        <v>2822</v>
      </c>
      <c r="M1373" s="6" t="s">
        <v>22</v>
      </c>
      <c r="N1373" s="6" t="s">
        <v>23</v>
      </c>
      <c r="O1373" s="6" t="s">
        <v>27</v>
      </c>
      <c r="P1373" s="6" t="s">
        <v>28</v>
      </c>
      <c r="Q1373" s="22">
        <v>207</v>
      </c>
      <c r="R1373" s="23">
        <v>16</v>
      </c>
      <c r="S1373" s="39">
        <v>1</v>
      </c>
      <c r="T1373" s="7"/>
      <c r="U1373" s="7" t="s">
        <v>2912</v>
      </c>
      <c r="V1373" s="7" t="str">
        <f>+IF(U1373="","",IF(U1373="FINES",CONCATENATE("R",IF(OR(B1373="16",B1373="21",B1373="22",B1373="23"),"16212223",IF(OR(B1373="15",B1373="17",B1373="24",B1373="25"),"15172425",B1373))),IF(U1373="CEBAS","UNICO",IF(VALUE(B1373)&lt;=11,"AMBA","INTERIOR"))))</f>
        <v>AMBA</v>
      </c>
      <c r="W1373" s="38" t="str">
        <f>+IF(U1373="","-",CONCATENATE(U1373,"_",V1373))</f>
        <v>EPA_AMBA</v>
      </c>
      <c r="X1373" s="42">
        <v>0.28199999999999997</v>
      </c>
    </row>
    <row r="1374" spans="1:24" ht="15" thickBot="1">
      <c r="A1374" s="3" t="s">
        <v>2916</v>
      </c>
      <c r="B1374" s="3" t="s">
        <v>257</v>
      </c>
      <c r="C1374" s="3" t="s">
        <v>254</v>
      </c>
      <c r="D1374" s="3" t="s">
        <v>256</v>
      </c>
      <c r="E1374" s="3">
        <v>601816</v>
      </c>
      <c r="F1374" s="3">
        <v>0</v>
      </c>
      <c r="G1374" s="3" t="s">
        <v>259</v>
      </c>
      <c r="H1374" s="3" t="s">
        <v>20</v>
      </c>
      <c r="I1374" s="4" t="s">
        <v>110</v>
      </c>
      <c r="J1374" s="4" t="s">
        <v>21</v>
      </c>
      <c r="K1374" s="4"/>
      <c r="L1374" s="4" t="s">
        <v>319</v>
      </c>
      <c r="M1374" s="4" t="s">
        <v>22</v>
      </c>
      <c r="N1374" s="4" t="s">
        <v>23</v>
      </c>
      <c r="O1374" s="4" t="s">
        <v>27</v>
      </c>
      <c r="P1374" s="4" t="s">
        <v>28</v>
      </c>
      <c r="Q1374" s="24">
        <v>53</v>
      </c>
      <c r="R1374" s="25">
        <v>3</v>
      </c>
      <c r="S1374" s="39">
        <v>1</v>
      </c>
      <c r="T1374" s="7"/>
      <c r="U1374" s="7" t="s">
        <v>2912</v>
      </c>
      <c r="V1374" s="7" t="str">
        <f>+IF(U1374="","",IF(U1374="FINES",CONCATENATE("R",IF(OR(B1374="16",B1374="21",B1374="22",B1374="23"),"16212223",IF(OR(B1374="15",B1374="17",B1374="24",B1374="25"),"15172425",B1374))),IF(U1374="CEBAS","UNICO",IF(VALUE(B1374)&lt;=11,"AMBA","INTERIOR"))))</f>
        <v>AMBA</v>
      </c>
      <c r="W1374" s="38" t="str">
        <f>+IF(U1374="","-",CONCATENATE(U1374,"_",V1374))</f>
        <v>EPA_AMBA</v>
      </c>
      <c r="X1374" s="42">
        <v>0.28299999999999997</v>
      </c>
    </row>
    <row r="1375" spans="1:24" ht="15" thickBot="1">
      <c r="A1375" s="5" t="s">
        <v>2916</v>
      </c>
      <c r="B1375" s="5" t="s">
        <v>257</v>
      </c>
      <c r="C1375" s="5" t="s">
        <v>772</v>
      </c>
      <c r="D1375" s="5" t="s">
        <v>773</v>
      </c>
      <c r="E1375" s="5">
        <v>602617</v>
      </c>
      <c r="F1375" s="5">
        <v>0</v>
      </c>
      <c r="G1375" s="5" t="s">
        <v>780</v>
      </c>
      <c r="H1375" s="5" t="s">
        <v>20</v>
      </c>
      <c r="I1375" s="6" t="s">
        <v>110</v>
      </c>
      <c r="J1375" s="6" t="s">
        <v>21</v>
      </c>
      <c r="K1375" s="6"/>
      <c r="L1375" s="6" t="s">
        <v>391</v>
      </c>
      <c r="M1375" s="6" t="s">
        <v>22</v>
      </c>
      <c r="N1375" s="6" t="s">
        <v>23</v>
      </c>
      <c r="O1375" s="6" t="s">
        <v>27</v>
      </c>
      <c r="P1375" s="6" t="s">
        <v>28</v>
      </c>
      <c r="Q1375" s="22">
        <v>60</v>
      </c>
      <c r="R1375" s="23">
        <v>8</v>
      </c>
      <c r="S1375" s="39">
        <v>1</v>
      </c>
      <c r="T1375" s="7"/>
      <c r="U1375" s="7" t="s">
        <v>2912</v>
      </c>
      <c r="V1375" s="7" t="str">
        <f>+IF(U1375="","",IF(U1375="FINES",CONCATENATE("R",IF(OR(B1375="16",B1375="21",B1375="22",B1375="23"),"16212223",IF(OR(B1375="15",B1375="17",B1375="24",B1375="25"),"15172425",B1375))),IF(U1375="CEBAS","UNICO",IF(VALUE(B1375)&lt;=11,"AMBA","INTERIOR"))))</f>
        <v>AMBA</v>
      </c>
      <c r="W1375" s="38" t="str">
        <f>+IF(U1375="","-",CONCATENATE(U1375,"_",V1375))</f>
        <v>EPA_AMBA</v>
      </c>
      <c r="X1375" s="42">
        <v>0.28799999999999998</v>
      </c>
    </row>
    <row r="1376" spans="1:24" ht="15" thickBot="1">
      <c r="A1376" s="3" t="s">
        <v>2916</v>
      </c>
      <c r="B1376" s="3" t="s">
        <v>257</v>
      </c>
      <c r="C1376" s="3" t="s">
        <v>253</v>
      </c>
      <c r="D1376" s="3" t="s">
        <v>2759</v>
      </c>
      <c r="E1376" s="3">
        <v>609576</v>
      </c>
      <c r="F1376" s="3">
        <v>0</v>
      </c>
      <c r="G1376" s="3" t="s">
        <v>2761</v>
      </c>
      <c r="H1376" s="3" t="s">
        <v>20</v>
      </c>
      <c r="I1376" s="4" t="s">
        <v>110</v>
      </c>
      <c r="J1376" s="4" t="s">
        <v>21</v>
      </c>
      <c r="K1376" s="4"/>
      <c r="L1376" s="4" t="s">
        <v>111</v>
      </c>
      <c r="M1376" s="4" t="s">
        <v>22</v>
      </c>
      <c r="N1376" s="4" t="s">
        <v>23</v>
      </c>
      <c r="O1376" s="4" t="s">
        <v>27</v>
      </c>
      <c r="P1376" s="4" t="s">
        <v>28</v>
      </c>
      <c r="Q1376" s="24">
        <v>100</v>
      </c>
      <c r="R1376" s="25">
        <v>6</v>
      </c>
      <c r="S1376" s="39">
        <v>1</v>
      </c>
      <c r="T1376" s="7"/>
      <c r="U1376" s="7" t="s">
        <v>2912</v>
      </c>
      <c r="V1376" s="7" t="str">
        <f>+IF(U1376="","",IF(U1376="FINES",CONCATENATE("R",IF(OR(B1376="16",B1376="21",B1376="22",B1376="23"),"16212223",IF(OR(B1376="15",B1376="17",B1376="24",B1376="25"),"15172425",B1376))),IF(U1376="CEBAS","UNICO",IF(VALUE(B1376)&lt;=11,"AMBA","INTERIOR"))))</f>
        <v>AMBA</v>
      </c>
      <c r="W1376" s="38" t="str">
        <f>+IF(U1376="","-",CONCATENATE(U1376,"_",V1376))</f>
        <v>EPA_AMBA</v>
      </c>
      <c r="X1376" s="42">
        <v>0.29599999999999999</v>
      </c>
    </row>
    <row r="1377" spans="1:24" ht="15" thickBot="1">
      <c r="A1377" s="3" t="s">
        <v>2916</v>
      </c>
      <c r="B1377" s="3" t="s">
        <v>19</v>
      </c>
      <c r="C1377" s="3" t="s">
        <v>17</v>
      </c>
      <c r="D1377" s="3" t="s">
        <v>18</v>
      </c>
      <c r="E1377" s="3">
        <v>602888</v>
      </c>
      <c r="F1377" s="3">
        <v>0</v>
      </c>
      <c r="G1377" s="3" t="s">
        <v>112</v>
      </c>
      <c r="H1377" s="3" t="s">
        <v>20</v>
      </c>
      <c r="I1377" s="4" t="s">
        <v>110</v>
      </c>
      <c r="J1377" s="4" t="s">
        <v>21</v>
      </c>
      <c r="K1377" s="4"/>
      <c r="L1377" s="4" t="s">
        <v>113</v>
      </c>
      <c r="M1377" s="4" t="s">
        <v>22</v>
      </c>
      <c r="N1377" s="4" t="s">
        <v>23</v>
      </c>
      <c r="O1377" s="4" t="s">
        <v>27</v>
      </c>
      <c r="P1377" s="4" t="s">
        <v>28</v>
      </c>
      <c r="Q1377" s="24">
        <v>173</v>
      </c>
      <c r="R1377" s="25">
        <v>12</v>
      </c>
      <c r="S1377" s="39">
        <v>1</v>
      </c>
      <c r="T1377" s="7"/>
      <c r="U1377" s="7" t="s">
        <v>2912</v>
      </c>
      <c r="V1377" s="7" t="str">
        <f>+IF(U1377="","",IF(U1377="FINES",CONCATENATE("R",IF(OR(B1377="16",B1377="21",B1377="22",B1377="23"),"16212223",IF(OR(B1377="15",B1377="17",B1377="24",B1377="25"),"15172425",B1377))),IF(U1377="CEBAS","UNICO",IF(VALUE(B1377)&lt;=11,"AMBA","INTERIOR"))))</f>
        <v>AMBA</v>
      </c>
      <c r="W1377" s="38" t="str">
        <f>+IF(U1377="","-",CONCATENATE(U1377,"_",V1377))</f>
        <v>EPA_AMBA</v>
      </c>
      <c r="X1377" s="42">
        <v>0.29899999999999999</v>
      </c>
    </row>
    <row r="1378" spans="1:24" ht="15" thickBot="1">
      <c r="A1378" s="3" t="s">
        <v>2916</v>
      </c>
      <c r="B1378" s="3" t="s">
        <v>356</v>
      </c>
      <c r="C1378" s="3" t="s">
        <v>805</v>
      </c>
      <c r="D1378" s="3" t="s">
        <v>2500</v>
      </c>
      <c r="E1378" s="3">
        <v>611346</v>
      </c>
      <c r="F1378" s="3">
        <v>0</v>
      </c>
      <c r="G1378" s="3" t="s">
        <v>2506</v>
      </c>
      <c r="H1378" s="3" t="s">
        <v>20</v>
      </c>
      <c r="I1378" s="4" t="s">
        <v>110</v>
      </c>
      <c r="J1378" s="4" t="s">
        <v>21</v>
      </c>
      <c r="K1378" s="4"/>
      <c r="L1378" s="4" t="s">
        <v>396</v>
      </c>
      <c r="M1378" s="4" t="s">
        <v>22</v>
      </c>
      <c r="N1378" s="4" t="s">
        <v>23</v>
      </c>
      <c r="O1378" s="4" t="s">
        <v>27</v>
      </c>
      <c r="P1378" s="4" t="s">
        <v>28</v>
      </c>
      <c r="Q1378" s="24">
        <v>104</v>
      </c>
      <c r="R1378" s="25">
        <v>6</v>
      </c>
      <c r="S1378" s="39">
        <v>1</v>
      </c>
      <c r="T1378" s="7"/>
      <c r="U1378" s="7" t="s">
        <v>2912</v>
      </c>
      <c r="V1378" s="7" t="str">
        <f>+IF(U1378="","",IF(U1378="FINES",CONCATENATE("R",IF(OR(B1378="16",B1378="21",B1378="22",B1378="23"),"16212223",IF(OR(B1378="15",B1378="17",B1378="24",B1378="25"),"15172425",B1378))),IF(U1378="CEBAS","UNICO",IF(VALUE(B1378)&lt;=11,"AMBA","INTERIOR"))))</f>
        <v>AMBA</v>
      </c>
      <c r="W1378" s="38" t="str">
        <f>+IF(U1378="","-",CONCATENATE(U1378,"_",V1378))</f>
        <v>EPA_AMBA</v>
      </c>
      <c r="X1378" s="42">
        <v>0.30299999999999999</v>
      </c>
    </row>
    <row r="1379" spans="1:24" ht="15" thickBot="1">
      <c r="A1379" s="5" t="s">
        <v>2916</v>
      </c>
      <c r="B1379" s="5" t="s">
        <v>19</v>
      </c>
      <c r="C1379" s="5" t="s">
        <v>17</v>
      </c>
      <c r="D1379" s="5" t="s">
        <v>18</v>
      </c>
      <c r="E1379" s="5">
        <v>611389</v>
      </c>
      <c r="F1379" s="5">
        <v>0</v>
      </c>
      <c r="G1379" s="5" t="s">
        <v>62</v>
      </c>
      <c r="H1379" s="5" t="s">
        <v>20</v>
      </c>
      <c r="I1379" s="6" t="s">
        <v>110</v>
      </c>
      <c r="J1379" s="6" t="s">
        <v>21</v>
      </c>
      <c r="K1379" s="6"/>
      <c r="L1379" s="6" t="s">
        <v>114</v>
      </c>
      <c r="M1379" s="6" t="s">
        <v>22</v>
      </c>
      <c r="N1379" s="6" t="s">
        <v>23</v>
      </c>
      <c r="O1379" s="6" t="s">
        <v>27</v>
      </c>
      <c r="P1379" s="6" t="s">
        <v>28</v>
      </c>
      <c r="Q1379" s="22">
        <v>87</v>
      </c>
      <c r="R1379" s="23">
        <v>8</v>
      </c>
      <c r="S1379" s="39">
        <v>1</v>
      </c>
      <c r="T1379" s="7"/>
      <c r="U1379" s="7" t="s">
        <v>2912</v>
      </c>
      <c r="V1379" s="7" t="str">
        <f>+IF(U1379="","",IF(U1379="FINES",CONCATENATE("R",IF(OR(B1379="16",B1379="21",B1379="22",B1379="23"),"16212223",IF(OR(B1379="15",B1379="17",B1379="24",B1379="25"),"15172425",B1379))),IF(U1379="CEBAS","UNICO",IF(VALUE(B1379)&lt;=11,"AMBA","INTERIOR"))))</f>
        <v>AMBA</v>
      </c>
      <c r="W1379" s="38" t="str">
        <f>+IF(U1379="","-",CONCATENATE(U1379,"_",V1379))</f>
        <v>EPA_AMBA</v>
      </c>
      <c r="X1379" s="42">
        <v>0.32100000000000001</v>
      </c>
    </row>
    <row r="1380" spans="1:24" ht="15" thickBot="1">
      <c r="A1380" s="5" t="s">
        <v>2916</v>
      </c>
      <c r="B1380" s="5" t="s">
        <v>1532</v>
      </c>
      <c r="C1380" s="5" t="s">
        <v>1530</v>
      </c>
      <c r="D1380" s="5" t="s">
        <v>1531</v>
      </c>
      <c r="E1380" s="5">
        <v>608696</v>
      </c>
      <c r="F1380" s="5">
        <v>0</v>
      </c>
      <c r="G1380" s="5" t="s">
        <v>1615</v>
      </c>
      <c r="H1380" s="5" t="s">
        <v>20</v>
      </c>
      <c r="I1380" s="6" t="s">
        <v>110</v>
      </c>
      <c r="J1380" s="6" t="s">
        <v>21</v>
      </c>
      <c r="K1380" s="6"/>
      <c r="L1380" s="6" t="s">
        <v>1661</v>
      </c>
      <c r="M1380" s="6" t="s">
        <v>22</v>
      </c>
      <c r="N1380" s="6" t="s">
        <v>23</v>
      </c>
      <c r="O1380" s="6" t="s">
        <v>27</v>
      </c>
      <c r="P1380" s="6" t="s">
        <v>28</v>
      </c>
      <c r="Q1380" s="22">
        <v>80</v>
      </c>
      <c r="R1380" s="23">
        <v>6</v>
      </c>
      <c r="S1380" s="39">
        <v>1</v>
      </c>
      <c r="T1380" s="7"/>
      <c r="U1380" s="7" t="s">
        <v>2912</v>
      </c>
      <c r="V1380" s="7" t="str">
        <f>+IF(U1380="","",IF(U1380="FINES",CONCATENATE("R",IF(OR(B1380="16",B1380="21",B1380="22",B1380="23"),"16212223",IF(OR(B1380="15",B1380="17",B1380="24",B1380="25"),"15172425",B1380))),IF(U1380="CEBAS","UNICO",IF(VALUE(B1380)&lt;=11,"AMBA","INTERIOR"))))</f>
        <v>AMBA</v>
      </c>
      <c r="W1380" s="38" t="str">
        <f>+IF(U1380="","-",CONCATENATE(U1380,"_",V1380))</f>
        <v>EPA_AMBA</v>
      </c>
      <c r="X1380" s="42">
        <v>0.32100000000000001</v>
      </c>
    </row>
    <row r="1381" spans="1:24" ht="15" thickBot="1">
      <c r="A1381" s="3" t="s">
        <v>2916</v>
      </c>
      <c r="B1381" s="3" t="s">
        <v>1257</v>
      </c>
      <c r="C1381" s="3" t="s">
        <v>1255</v>
      </c>
      <c r="D1381" s="3" t="s">
        <v>1256</v>
      </c>
      <c r="E1381" s="3">
        <v>610595</v>
      </c>
      <c r="F1381" s="3">
        <v>0</v>
      </c>
      <c r="G1381" s="3" t="s">
        <v>1284</v>
      </c>
      <c r="H1381" s="3" t="s">
        <v>20</v>
      </c>
      <c r="I1381" s="4" t="s">
        <v>110</v>
      </c>
      <c r="J1381" s="4" t="s">
        <v>21</v>
      </c>
      <c r="K1381" s="4"/>
      <c r="L1381" s="4" t="s">
        <v>1285</v>
      </c>
      <c r="M1381" s="4" t="s">
        <v>22</v>
      </c>
      <c r="N1381" s="4" t="s">
        <v>23</v>
      </c>
      <c r="O1381" s="4" t="s">
        <v>27</v>
      </c>
      <c r="P1381" s="4" t="s">
        <v>28</v>
      </c>
      <c r="Q1381" s="24">
        <v>108</v>
      </c>
      <c r="R1381" s="25">
        <v>9</v>
      </c>
      <c r="S1381" s="39">
        <v>1</v>
      </c>
      <c r="T1381" s="7"/>
      <c r="U1381" s="7" t="s">
        <v>2912</v>
      </c>
      <c r="V1381" s="7" t="str">
        <f>+IF(U1381="","",IF(U1381="FINES",CONCATENATE("R",IF(OR(B1381="16",B1381="21",B1381="22",B1381="23"),"16212223",IF(OR(B1381="15",B1381="17",B1381="24",B1381="25"),"15172425",B1381))),IF(U1381="CEBAS","UNICO",IF(VALUE(B1381)&lt;=11,"AMBA","INTERIOR"))))</f>
        <v>AMBA</v>
      </c>
      <c r="W1381" s="38" t="str">
        <f>+IF(U1381="","-",CONCATENATE(U1381,"_",V1381))</f>
        <v>EPA_AMBA</v>
      </c>
      <c r="X1381" s="42">
        <v>0.32300000000000001</v>
      </c>
    </row>
    <row r="1382" spans="1:24" ht="15" thickBot="1">
      <c r="A1382" s="5" t="s">
        <v>2916</v>
      </c>
      <c r="B1382" s="5" t="s">
        <v>817</v>
      </c>
      <c r="C1382" s="5" t="s">
        <v>2080</v>
      </c>
      <c r="D1382" s="5" t="s">
        <v>2081</v>
      </c>
      <c r="E1382" s="5">
        <v>613058</v>
      </c>
      <c r="F1382" s="5">
        <v>0</v>
      </c>
      <c r="G1382" s="5" t="s">
        <v>2109</v>
      </c>
      <c r="H1382" s="5" t="s">
        <v>20</v>
      </c>
      <c r="I1382" s="6" t="s">
        <v>110</v>
      </c>
      <c r="J1382" s="6" t="s">
        <v>21</v>
      </c>
      <c r="K1382" s="6"/>
      <c r="L1382" s="6" t="s">
        <v>2132</v>
      </c>
      <c r="M1382" s="6" t="s">
        <v>22</v>
      </c>
      <c r="N1382" s="6" t="s">
        <v>23</v>
      </c>
      <c r="O1382" s="6" t="s">
        <v>27</v>
      </c>
      <c r="P1382" s="6" t="s">
        <v>28</v>
      </c>
      <c r="Q1382" s="22">
        <v>190</v>
      </c>
      <c r="R1382" s="23">
        <v>12</v>
      </c>
      <c r="S1382" s="39">
        <v>1</v>
      </c>
      <c r="T1382" s="7"/>
      <c r="U1382" s="7" t="s">
        <v>2912</v>
      </c>
      <c r="V1382" s="7" t="str">
        <f>+IF(U1382="","",IF(U1382="FINES",CONCATENATE("R",IF(OR(B1382="16",B1382="21",B1382="22",B1382="23"),"16212223",IF(OR(B1382="15",B1382="17",B1382="24",B1382="25"),"15172425",B1382))),IF(U1382="CEBAS","UNICO",IF(VALUE(B1382)&lt;=11,"AMBA","INTERIOR"))))</f>
        <v>AMBA</v>
      </c>
      <c r="W1382" s="38" t="str">
        <f>+IF(U1382="","-",CONCATENATE(U1382,"_",V1382))</f>
        <v>EPA_AMBA</v>
      </c>
      <c r="X1382" s="42">
        <v>0.33900000000000002</v>
      </c>
    </row>
    <row r="1383" spans="1:24" ht="15" thickBot="1">
      <c r="A1383" s="5" t="s">
        <v>2916</v>
      </c>
      <c r="B1383" s="5" t="s">
        <v>19</v>
      </c>
      <c r="C1383" s="5" t="s">
        <v>252</v>
      </c>
      <c r="D1383" s="5" t="s">
        <v>2566</v>
      </c>
      <c r="E1383" s="5">
        <v>613712</v>
      </c>
      <c r="F1383" s="5">
        <v>0</v>
      </c>
      <c r="G1383" s="5" t="s">
        <v>2569</v>
      </c>
      <c r="H1383" s="5" t="s">
        <v>20</v>
      </c>
      <c r="I1383" s="6" t="s">
        <v>110</v>
      </c>
      <c r="J1383" s="6" t="s">
        <v>21</v>
      </c>
      <c r="K1383" s="6"/>
      <c r="L1383" s="6" t="s">
        <v>2582</v>
      </c>
      <c r="M1383" s="6" t="s">
        <v>22</v>
      </c>
      <c r="N1383" s="6" t="s">
        <v>23</v>
      </c>
      <c r="O1383" s="6" t="s">
        <v>27</v>
      </c>
      <c r="P1383" s="6" t="s">
        <v>28</v>
      </c>
      <c r="Q1383" s="22">
        <v>87</v>
      </c>
      <c r="R1383" s="23">
        <v>7</v>
      </c>
      <c r="S1383" s="39">
        <v>1</v>
      </c>
      <c r="T1383" s="7"/>
      <c r="U1383" s="7" t="s">
        <v>2912</v>
      </c>
      <c r="V1383" s="7" t="str">
        <f>+IF(U1383="","",IF(U1383="FINES",CONCATENATE("R",IF(OR(B1383="16",B1383="21",B1383="22",B1383="23"),"16212223",IF(OR(B1383="15",B1383="17",B1383="24",B1383="25"),"15172425",B1383))),IF(U1383="CEBAS","UNICO",IF(VALUE(B1383)&lt;=11,"AMBA","INTERIOR"))))</f>
        <v>AMBA</v>
      </c>
      <c r="W1383" s="38" t="str">
        <f>+IF(U1383="","-",CONCATENATE(U1383,"_",V1383))</f>
        <v>EPA_AMBA</v>
      </c>
      <c r="X1383" s="42">
        <v>0.34599999999999997</v>
      </c>
    </row>
    <row r="1384" spans="1:24" ht="15" thickBot="1">
      <c r="A1384" s="5" t="s">
        <v>2916</v>
      </c>
      <c r="B1384" s="5" t="s">
        <v>356</v>
      </c>
      <c r="C1384" s="5" t="s">
        <v>805</v>
      </c>
      <c r="D1384" s="5" t="s">
        <v>2500</v>
      </c>
      <c r="E1384" s="5">
        <v>608243</v>
      </c>
      <c r="F1384" s="5">
        <v>0</v>
      </c>
      <c r="G1384" s="5" t="s">
        <v>2510</v>
      </c>
      <c r="H1384" s="5" t="s">
        <v>20</v>
      </c>
      <c r="I1384" s="6" t="s">
        <v>110</v>
      </c>
      <c r="J1384" s="6" t="s">
        <v>21</v>
      </c>
      <c r="K1384" s="6"/>
      <c r="L1384" s="6" t="s">
        <v>1818</v>
      </c>
      <c r="M1384" s="6" t="s">
        <v>22</v>
      </c>
      <c r="N1384" s="6" t="s">
        <v>23</v>
      </c>
      <c r="O1384" s="6" t="s">
        <v>27</v>
      </c>
      <c r="P1384" s="6" t="s">
        <v>28</v>
      </c>
      <c r="Q1384" s="22">
        <v>75</v>
      </c>
      <c r="R1384" s="23">
        <v>5</v>
      </c>
      <c r="S1384" s="39">
        <v>1</v>
      </c>
      <c r="T1384" s="7"/>
      <c r="U1384" s="7" t="s">
        <v>2912</v>
      </c>
      <c r="V1384" s="7" t="str">
        <f>+IF(U1384="","",IF(U1384="FINES",CONCATENATE("R",IF(OR(B1384="16",B1384="21",B1384="22",B1384="23"),"16212223",IF(OR(B1384="15",B1384="17",B1384="24",B1384="25"),"15172425",B1384))),IF(U1384="CEBAS","UNICO",IF(VALUE(B1384)&lt;=11,"AMBA","INTERIOR"))))</f>
        <v>AMBA</v>
      </c>
      <c r="W1384" s="38" t="str">
        <f>+IF(U1384="","-",CONCATENATE(U1384,"_",V1384))</f>
        <v>EPA_AMBA</v>
      </c>
      <c r="X1384" s="42">
        <v>0.35</v>
      </c>
    </row>
    <row r="1385" spans="1:24" ht="15" thickBot="1">
      <c r="A1385" s="3" t="s">
        <v>2916</v>
      </c>
      <c r="B1385" s="3" t="s">
        <v>356</v>
      </c>
      <c r="C1385" s="3" t="s">
        <v>1359</v>
      </c>
      <c r="D1385" s="3" t="s">
        <v>1360</v>
      </c>
      <c r="E1385" s="3">
        <v>602704</v>
      </c>
      <c r="F1385" s="3">
        <v>0</v>
      </c>
      <c r="G1385" s="3" t="s">
        <v>1383</v>
      </c>
      <c r="H1385" s="3" t="s">
        <v>20</v>
      </c>
      <c r="I1385" s="4" t="s">
        <v>110</v>
      </c>
      <c r="J1385" s="4" t="s">
        <v>21</v>
      </c>
      <c r="K1385" s="4"/>
      <c r="L1385" s="4" t="s">
        <v>1401</v>
      </c>
      <c r="M1385" s="4" t="s">
        <v>22</v>
      </c>
      <c r="N1385" s="4" t="s">
        <v>23</v>
      </c>
      <c r="O1385" s="4" t="s">
        <v>27</v>
      </c>
      <c r="P1385" s="4" t="s">
        <v>28</v>
      </c>
      <c r="Q1385" s="24">
        <v>134</v>
      </c>
      <c r="R1385" s="25">
        <v>9</v>
      </c>
      <c r="S1385" s="39">
        <v>1</v>
      </c>
      <c r="T1385" s="7"/>
      <c r="U1385" s="7" t="s">
        <v>2912</v>
      </c>
      <c r="V1385" s="7" t="str">
        <f>+IF(U1385="","",IF(U1385="FINES",CONCATENATE("R",IF(OR(B1385="16",B1385="21",B1385="22",B1385="23"),"16212223",IF(OR(B1385="15",B1385="17",B1385="24",B1385="25"),"15172425",B1385))),IF(U1385="CEBAS","UNICO",IF(VALUE(B1385)&lt;=11,"AMBA","INTERIOR"))))</f>
        <v>AMBA</v>
      </c>
      <c r="W1385" s="38" t="str">
        <f>+IF(U1385="","-",CONCATENATE(U1385,"_",V1385))</f>
        <v>EPA_AMBA</v>
      </c>
      <c r="X1385" s="42">
        <v>0.36</v>
      </c>
    </row>
    <row r="1386" spans="1:24" ht="15" thickBot="1">
      <c r="A1386" s="5" t="s">
        <v>2916</v>
      </c>
      <c r="B1386" s="5" t="s">
        <v>204</v>
      </c>
      <c r="C1386" s="5" t="s">
        <v>137</v>
      </c>
      <c r="D1386" s="5" t="s">
        <v>2629</v>
      </c>
      <c r="E1386" s="5">
        <v>613718</v>
      </c>
      <c r="F1386" s="5">
        <v>0</v>
      </c>
      <c r="G1386" s="5" t="s">
        <v>2634</v>
      </c>
      <c r="H1386" s="5" t="s">
        <v>20</v>
      </c>
      <c r="I1386" s="6" t="s">
        <v>110</v>
      </c>
      <c r="J1386" s="6" t="s">
        <v>21</v>
      </c>
      <c r="K1386" s="6"/>
      <c r="L1386" s="6" t="s">
        <v>2643</v>
      </c>
      <c r="M1386" s="6" t="s">
        <v>22</v>
      </c>
      <c r="N1386" s="6" t="s">
        <v>23</v>
      </c>
      <c r="O1386" s="6" t="s">
        <v>27</v>
      </c>
      <c r="P1386" s="6" t="s">
        <v>28</v>
      </c>
      <c r="Q1386" s="22">
        <v>89</v>
      </c>
      <c r="R1386" s="23">
        <v>7</v>
      </c>
      <c r="S1386" s="39">
        <v>1</v>
      </c>
      <c r="T1386" s="7"/>
      <c r="U1386" s="7" t="s">
        <v>2912</v>
      </c>
      <c r="V1386" s="7" t="str">
        <f>+IF(U1386="","",IF(U1386="FINES",CONCATENATE("R",IF(OR(B1386="16",B1386="21",B1386="22",B1386="23"),"16212223",IF(OR(B1386="15",B1386="17",B1386="24",B1386="25"),"15172425",B1386))),IF(U1386="CEBAS","UNICO",IF(VALUE(B1386)&lt;=11,"AMBA","INTERIOR"))))</f>
        <v>AMBA</v>
      </c>
      <c r="W1386" s="38" t="str">
        <f>+IF(U1386="","-",CONCATENATE(U1386,"_",V1386))</f>
        <v>EPA_AMBA</v>
      </c>
      <c r="X1386" s="42">
        <v>0.36199999999999999</v>
      </c>
    </row>
    <row r="1387" spans="1:24" ht="15" thickBot="1">
      <c r="A1387" s="3" t="s">
        <v>2916</v>
      </c>
      <c r="B1387" s="3" t="s">
        <v>817</v>
      </c>
      <c r="C1387" s="3" t="s">
        <v>815</v>
      </c>
      <c r="D1387" s="3" t="s">
        <v>816</v>
      </c>
      <c r="E1387" s="3">
        <v>607404</v>
      </c>
      <c r="F1387" s="3">
        <v>0</v>
      </c>
      <c r="G1387" s="3" t="s">
        <v>837</v>
      </c>
      <c r="H1387" s="3" t="s">
        <v>20</v>
      </c>
      <c r="I1387" s="4" t="s">
        <v>110</v>
      </c>
      <c r="J1387" s="4" t="s">
        <v>21</v>
      </c>
      <c r="K1387" s="4"/>
      <c r="L1387" s="4" t="s">
        <v>843</v>
      </c>
      <c r="M1387" s="4" t="s">
        <v>22</v>
      </c>
      <c r="N1387" s="4" t="s">
        <v>23</v>
      </c>
      <c r="O1387" s="4" t="s">
        <v>27</v>
      </c>
      <c r="P1387" s="4" t="s">
        <v>28</v>
      </c>
      <c r="Q1387" s="24">
        <v>177</v>
      </c>
      <c r="R1387" s="25">
        <v>17</v>
      </c>
      <c r="S1387" s="39">
        <v>1</v>
      </c>
      <c r="T1387" s="7"/>
      <c r="U1387" s="7" t="s">
        <v>2912</v>
      </c>
      <c r="V1387" s="7" t="str">
        <f>+IF(U1387="","",IF(U1387="FINES",CONCATENATE("R",IF(OR(B1387="16",B1387="21",B1387="22",B1387="23"),"16212223",IF(OR(B1387="15",B1387="17",B1387="24",B1387="25"),"15172425",B1387))),IF(U1387="CEBAS","UNICO",IF(VALUE(B1387)&lt;=11,"AMBA","INTERIOR"))))</f>
        <v>AMBA</v>
      </c>
      <c r="W1387" s="38" t="str">
        <f>+IF(U1387="","-",CONCATENATE(U1387,"_",V1387))</f>
        <v>EPA_AMBA</v>
      </c>
      <c r="X1387" s="42">
        <v>0.36799999999999999</v>
      </c>
    </row>
    <row r="1388" spans="1:24" ht="15" thickBot="1">
      <c r="A1388" s="5" t="s">
        <v>2916</v>
      </c>
      <c r="B1388" s="5" t="s">
        <v>19</v>
      </c>
      <c r="C1388" s="5" t="s">
        <v>17</v>
      </c>
      <c r="D1388" s="5" t="s">
        <v>18</v>
      </c>
      <c r="E1388" s="5">
        <v>600724</v>
      </c>
      <c r="F1388" s="5">
        <v>0</v>
      </c>
      <c r="G1388" s="5" t="s">
        <v>109</v>
      </c>
      <c r="H1388" s="5" t="s">
        <v>20</v>
      </c>
      <c r="I1388" s="6" t="s">
        <v>110</v>
      </c>
      <c r="J1388" s="6" t="s">
        <v>21</v>
      </c>
      <c r="K1388" s="6"/>
      <c r="L1388" s="6" t="s">
        <v>111</v>
      </c>
      <c r="M1388" s="6" t="s">
        <v>22</v>
      </c>
      <c r="N1388" s="6" t="s">
        <v>23</v>
      </c>
      <c r="O1388" s="6" t="s">
        <v>27</v>
      </c>
      <c r="P1388" s="6" t="s">
        <v>28</v>
      </c>
      <c r="Q1388" s="22">
        <v>216</v>
      </c>
      <c r="R1388" s="23">
        <v>14</v>
      </c>
      <c r="S1388" s="39">
        <v>1</v>
      </c>
      <c r="T1388" s="7"/>
      <c r="U1388" s="7" t="s">
        <v>2912</v>
      </c>
      <c r="V1388" s="7" t="str">
        <f>+IF(U1388="","",IF(U1388="FINES",CONCATENATE("R",IF(OR(B1388="16",B1388="21",B1388="22",B1388="23"),"16212223",IF(OR(B1388="15",B1388="17",B1388="24",B1388="25"),"15172425",B1388))),IF(U1388="CEBAS","UNICO",IF(VALUE(B1388)&lt;=11,"AMBA","INTERIOR"))))</f>
        <v>AMBA</v>
      </c>
      <c r="W1388" s="38" t="str">
        <f>+IF(U1388="","-",CONCATENATE(U1388,"_",V1388))</f>
        <v>EPA_AMBA</v>
      </c>
      <c r="X1388" s="42">
        <v>0.377</v>
      </c>
    </row>
    <row r="1389" spans="1:24" ht="15" thickBot="1">
      <c r="A1389" s="3" t="s">
        <v>2916</v>
      </c>
      <c r="B1389" s="3" t="s">
        <v>356</v>
      </c>
      <c r="C1389" s="3" t="s">
        <v>1359</v>
      </c>
      <c r="D1389" s="3" t="s">
        <v>1360</v>
      </c>
      <c r="E1389" s="3">
        <v>602442</v>
      </c>
      <c r="F1389" s="3">
        <v>0</v>
      </c>
      <c r="G1389" s="3" t="s">
        <v>1398</v>
      </c>
      <c r="H1389" s="3" t="s">
        <v>20</v>
      </c>
      <c r="I1389" s="4" t="s">
        <v>110</v>
      </c>
      <c r="J1389" s="4" t="s">
        <v>21</v>
      </c>
      <c r="K1389" s="4"/>
      <c r="L1389" s="4" t="s">
        <v>1413</v>
      </c>
      <c r="M1389" s="4" t="s">
        <v>22</v>
      </c>
      <c r="N1389" s="4" t="s">
        <v>23</v>
      </c>
      <c r="O1389" s="4" t="s">
        <v>27</v>
      </c>
      <c r="P1389" s="4" t="s">
        <v>28</v>
      </c>
      <c r="Q1389" s="24">
        <v>235</v>
      </c>
      <c r="R1389" s="25">
        <v>15</v>
      </c>
      <c r="S1389" s="39">
        <v>1</v>
      </c>
      <c r="T1389" s="7"/>
      <c r="U1389" s="7" t="s">
        <v>2912</v>
      </c>
      <c r="V1389" s="7" t="str">
        <f>+IF(U1389="","",IF(U1389="FINES",CONCATENATE("R",IF(OR(B1389="16",B1389="21",B1389="22",B1389="23"),"16212223",IF(OR(B1389="15",B1389="17",B1389="24",B1389="25"),"15172425",B1389))),IF(U1389="CEBAS","UNICO",IF(VALUE(B1389)&lt;=11,"AMBA","INTERIOR"))))</f>
        <v>AMBA</v>
      </c>
      <c r="W1389" s="38" t="str">
        <f>+IF(U1389="","-",CONCATENATE(U1389,"_",V1389))</f>
        <v>EPA_AMBA</v>
      </c>
      <c r="X1389" s="42">
        <v>0.38100000000000001</v>
      </c>
    </row>
    <row r="1390" spans="1:24" ht="15" thickBot="1">
      <c r="A1390" s="3" t="s">
        <v>2916</v>
      </c>
      <c r="B1390" s="3" t="s">
        <v>1780</v>
      </c>
      <c r="C1390" s="3" t="s">
        <v>1778</v>
      </c>
      <c r="D1390" s="3" t="s">
        <v>1779</v>
      </c>
      <c r="E1390" s="3">
        <v>624723</v>
      </c>
      <c r="F1390" s="3">
        <v>0</v>
      </c>
      <c r="G1390" s="3" t="s">
        <v>1824</v>
      </c>
      <c r="H1390" s="3" t="s">
        <v>20</v>
      </c>
      <c r="I1390" s="4" t="s">
        <v>110</v>
      </c>
      <c r="J1390" s="4" t="s">
        <v>21</v>
      </c>
      <c r="K1390" s="4"/>
      <c r="L1390" s="4" t="s">
        <v>1825</v>
      </c>
      <c r="M1390" s="4" t="s">
        <v>22</v>
      </c>
      <c r="N1390" s="4" t="s">
        <v>23</v>
      </c>
      <c r="O1390" s="4" t="s">
        <v>27</v>
      </c>
      <c r="P1390" s="4" t="s">
        <v>28</v>
      </c>
      <c r="Q1390" s="24">
        <v>200</v>
      </c>
      <c r="R1390" s="25">
        <v>10</v>
      </c>
      <c r="S1390" s="39">
        <v>1</v>
      </c>
      <c r="T1390" s="7"/>
      <c r="U1390" s="7" t="s">
        <v>2912</v>
      </c>
      <c r="V1390" s="7" t="str">
        <f>+IF(U1390="","",IF(U1390="FINES",CONCATENATE("R",IF(OR(B1390="16",B1390="21",B1390="22",B1390="23"),"16212223",IF(OR(B1390="15",B1390="17",B1390="24",B1390="25"),"15172425",B1390))),IF(U1390="CEBAS","UNICO",IF(VALUE(B1390)&lt;=11,"AMBA","INTERIOR"))))</f>
        <v>AMBA</v>
      </c>
      <c r="W1390" s="38" t="str">
        <f>+IF(U1390="","-",CONCATENATE(U1390,"_",V1390))</f>
        <v>EPA_AMBA</v>
      </c>
      <c r="X1390" s="42">
        <v>0.38200000000000001</v>
      </c>
    </row>
    <row r="1391" spans="1:24" ht="15" thickBot="1">
      <c r="A1391" s="3" t="s">
        <v>2916</v>
      </c>
      <c r="B1391" s="3" t="s">
        <v>1860</v>
      </c>
      <c r="C1391" s="3" t="s">
        <v>1858</v>
      </c>
      <c r="D1391" s="3" t="s">
        <v>1859</v>
      </c>
      <c r="E1391" s="3">
        <v>609621</v>
      </c>
      <c r="F1391" s="3">
        <v>0</v>
      </c>
      <c r="G1391" s="3" t="s">
        <v>1870</v>
      </c>
      <c r="H1391" s="3" t="s">
        <v>20</v>
      </c>
      <c r="I1391" s="4" t="s">
        <v>110</v>
      </c>
      <c r="J1391" s="4" t="s">
        <v>21</v>
      </c>
      <c r="K1391" s="4"/>
      <c r="L1391" s="4" t="s">
        <v>1894</v>
      </c>
      <c r="M1391" s="4" t="s">
        <v>22</v>
      </c>
      <c r="N1391" s="4" t="s">
        <v>23</v>
      </c>
      <c r="O1391" s="4" t="s">
        <v>27</v>
      </c>
      <c r="P1391" s="4" t="s">
        <v>28</v>
      </c>
      <c r="Q1391" s="24">
        <v>192</v>
      </c>
      <c r="R1391" s="25">
        <v>11</v>
      </c>
      <c r="S1391" s="39">
        <v>1</v>
      </c>
      <c r="T1391" s="7"/>
      <c r="U1391" t="s">
        <v>2912</v>
      </c>
      <c r="V1391" s="7" t="str">
        <f>+IF(U1391="","",IF(U1391="FINES",CONCATENATE("R",IF(OR(B1391="16",B1391="21",B1391="22",B1391="23"),"16212223",IF(OR(B1391="15",B1391="17",B1391="24",B1391="25"),"15172425",B1391))),IF(U1391="CEBAS","UNICO",IF(VALUE(B1391)&lt;=11,"AMBA","INTERIOR"))))</f>
        <v>AMBA</v>
      </c>
      <c r="W1391" s="38" t="str">
        <f>+IF(U1391="","-",CONCATENATE(U1391,"_",V1391))</f>
        <v>EPA_AMBA</v>
      </c>
      <c r="X1391" s="42">
        <v>0.38900000000000001</v>
      </c>
    </row>
    <row r="1392" spans="1:24" ht="15" thickBot="1">
      <c r="A1392" s="5" t="s">
        <v>2916</v>
      </c>
      <c r="B1392" s="5" t="s">
        <v>1860</v>
      </c>
      <c r="C1392" s="5" t="s">
        <v>1858</v>
      </c>
      <c r="D1392" s="5" t="s">
        <v>1859</v>
      </c>
      <c r="E1392" s="5">
        <v>606296</v>
      </c>
      <c r="F1392" s="5">
        <v>0</v>
      </c>
      <c r="G1392" s="5" t="s">
        <v>1874</v>
      </c>
      <c r="H1392" s="5" t="s">
        <v>20</v>
      </c>
      <c r="I1392" s="6" t="s">
        <v>110</v>
      </c>
      <c r="J1392" s="6" t="s">
        <v>21</v>
      </c>
      <c r="K1392" s="6"/>
      <c r="L1392" s="6" t="s">
        <v>1895</v>
      </c>
      <c r="M1392" s="6" t="s">
        <v>22</v>
      </c>
      <c r="N1392" s="6" t="s">
        <v>23</v>
      </c>
      <c r="O1392" s="6" t="s">
        <v>27</v>
      </c>
      <c r="P1392" s="6" t="s">
        <v>28</v>
      </c>
      <c r="Q1392" s="22">
        <v>112</v>
      </c>
      <c r="R1392" s="23">
        <v>8</v>
      </c>
      <c r="S1392" s="39">
        <v>1</v>
      </c>
      <c r="T1392" s="7"/>
      <c r="U1392" t="s">
        <v>2912</v>
      </c>
      <c r="V1392" s="7" t="str">
        <f>+IF(U1392="","",IF(U1392="FINES",CONCATENATE("R",IF(OR(B1392="16",B1392="21",B1392="22",B1392="23"),"16212223",IF(OR(B1392="15",B1392="17",B1392="24",B1392="25"),"15172425",B1392))),IF(U1392="CEBAS","UNICO",IF(VALUE(B1392)&lt;=11,"AMBA","INTERIOR"))))</f>
        <v>AMBA</v>
      </c>
      <c r="W1392" s="38" t="str">
        <f>+IF(U1392="","-",CONCATENATE(U1392,"_",V1392))</f>
        <v>EPA_AMBA</v>
      </c>
      <c r="X1392" s="42">
        <v>0.39200000000000002</v>
      </c>
    </row>
    <row r="1393" spans="1:24" ht="15" thickBot="1">
      <c r="A1393" s="3" t="s">
        <v>2916</v>
      </c>
      <c r="B1393" s="3" t="s">
        <v>19</v>
      </c>
      <c r="C1393" s="3" t="s">
        <v>17</v>
      </c>
      <c r="D1393" s="3" t="s">
        <v>18</v>
      </c>
      <c r="E1393" s="3">
        <v>603172</v>
      </c>
      <c r="F1393" s="3">
        <v>0</v>
      </c>
      <c r="G1393" s="3" t="s">
        <v>82</v>
      </c>
      <c r="H1393" s="3" t="s">
        <v>20</v>
      </c>
      <c r="I1393" s="4" t="s">
        <v>110</v>
      </c>
      <c r="J1393" s="4" t="s">
        <v>21</v>
      </c>
      <c r="K1393" s="4"/>
      <c r="L1393" s="4" t="s">
        <v>115</v>
      </c>
      <c r="M1393" s="4" t="s">
        <v>22</v>
      </c>
      <c r="N1393" s="4" t="s">
        <v>23</v>
      </c>
      <c r="O1393" s="4" t="s">
        <v>27</v>
      </c>
      <c r="P1393" s="4" t="s">
        <v>28</v>
      </c>
      <c r="Q1393" s="24">
        <v>80</v>
      </c>
      <c r="R1393" s="25">
        <v>8</v>
      </c>
      <c r="S1393" s="39">
        <v>1</v>
      </c>
      <c r="T1393" s="7"/>
      <c r="U1393" t="s">
        <v>2912</v>
      </c>
      <c r="V1393" s="7" t="str">
        <f>+IF(U1393="","",IF(U1393="FINES",CONCATENATE("R",IF(OR(B1393="16",B1393="21",B1393="22",B1393="23"),"16212223",IF(OR(B1393="15",B1393="17",B1393="24",B1393="25"),"15172425",B1393))),IF(U1393="CEBAS","UNICO",IF(VALUE(B1393)&lt;=11,"AMBA","INTERIOR"))))</f>
        <v>AMBA</v>
      </c>
      <c r="W1393" s="38" t="str">
        <f>+IF(U1393="","-",CONCATENATE(U1393,"_",V1393))</f>
        <v>EPA_AMBA</v>
      </c>
      <c r="X1393" s="42">
        <v>0.39800000000000002</v>
      </c>
    </row>
    <row r="1394" spans="1:24" ht="15" thickBot="1">
      <c r="A1394" s="5" t="s">
        <v>2916</v>
      </c>
      <c r="B1394" s="5" t="s">
        <v>356</v>
      </c>
      <c r="C1394" s="5" t="s">
        <v>353</v>
      </c>
      <c r="D1394" s="5" t="s">
        <v>355</v>
      </c>
      <c r="E1394" s="5">
        <v>604305</v>
      </c>
      <c r="F1394" s="5">
        <v>0</v>
      </c>
      <c r="G1394" s="5" t="s">
        <v>358</v>
      </c>
      <c r="H1394" s="5" t="s">
        <v>20</v>
      </c>
      <c r="I1394" s="6" t="s">
        <v>110</v>
      </c>
      <c r="J1394" s="6" t="s">
        <v>21</v>
      </c>
      <c r="K1394" s="6"/>
      <c r="L1394" s="6" t="s">
        <v>393</v>
      </c>
      <c r="M1394" s="6" t="s">
        <v>22</v>
      </c>
      <c r="N1394" s="6" t="s">
        <v>23</v>
      </c>
      <c r="O1394" s="6" t="s">
        <v>27</v>
      </c>
      <c r="P1394" s="6" t="s">
        <v>28</v>
      </c>
      <c r="Q1394" s="22">
        <v>45</v>
      </c>
      <c r="R1394" s="23">
        <v>5</v>
      </c>
      <c r="S1394" s="39">
        <v>1</v>
      </c>
      <c r="T1394" s="7"/>
      <c r="U1394" t="s">
        <v>2912</v>
      </c>
      <c r="V1394" s="7" t="str">
        <f>+IF(U1394="","",IF(U1394="FINES",CONCATENATE("R",IF(OR(B1394="16",B1394="21",B1394="22",B1394="23"),"16212223",IF(OR(B1394="15",B1394="17",B1394="24",B1394="25"),"15172425",B1394))),IF(U1394="CEBAS","UNICO",IF(VALUE(B1394)&lt;=11,"AMBA","INTERIOR"))))</f>
        <v>AMBA</v>
      </c>
      <c r="W1394" s="38" t="str">
        <f>+IF(U1394="","-",CONCATENATE(U1394,"_",V1394))</f>
        <v>EPA_AMBA</v>
      </c>
      <c r="X1394" s="42">
        <v>0.4</v>
      </c>
    </row>
    <row r="1395" spans="1:24" ht="15" thickBot="1">
      <c r="A1395" s="3" t="s">
        <v>2916</v>
      </c>
      <c r="B1395" s="3" t="s">
        <v>356</v>
      </c>
      <c r="C1395" s="3" t="s">
        <v>1359</v>
      </c>
      <c r="D1395" s="3" t="s">
        <v>1360</v>
      </c>
      <c r="E1395" s="3">
        <v>610675</v>
      </c>
      <c r="F1395" s="3">
        <v>0</v>
      </c>
      <c r="G1395" s="3" t="s">
        <v>1406</v>
      </c>
      <c r="H1395" s="3" t="s">
        <v>20</v>
      </c>
      <c r="I1395" s="4" t="s">
        <v>110</v>
      </c>
      <c r="J1395" s="4" t="s">
        <v>21</v>
      </c>
      <c r="K1395" s="4"/>
      <c r="L1395" s="4" t="s">
        <v>1407</v>
      </c>
      <c r="M1395" s="4" t="s">
        <v>22</v>
      </c>
      <c r="N1395" s="4" t="s">
        <v>23</v>
      </c>
      <c r="O1395" s="4" t="s">
        <v>27</v>
      </c>
      <c r="P1395" s="4" t="s">
        <v>28</v>
      </c>
      <c r="Q1395" s="24">
        <v>203</v>
      </c>
      <c r="R1395" s="25">
        <v>14</v>
      </c>
      <c r="S1395" s="39">
        <v>1</v>
      </c>
      <c r="T1395" s="7"/>
      <c r="U1395" s="7" t="s">
        <v>2912</v>
      </c>
      <c r="V1395" s="7" t="str">
        <f>+IF(U1395="","",IF(U1395="FINES",CONCATENATE("R",IF(OR(B1395="16",B1395="21",B1395="22",B1395="23"),"16212223",IF(OR(B1395="15",B1395="17",B1395="24",B1395="25"),"15172425",B1395))),IF(U1395="CEBAS","UNICO",IF(VALUE(B1395)&lt;=11,"AMBA","INTERIOR"))))</f>
        <v>AMBA</v>
      </c>
      <c r="W1395" s="38" t="str">
        <f>+IF(U1395="","-",CONCATENATE(U1395,"_",V1395))</f>
        <v>EPA_AMBA</v>
      </c>
      <c r="X1395" s="42">
        <v>0.40200000000000002</v>
      </c>
    </row>
    <row r="1396" spans="1:24" ht="15" thickBot="1">
      <c r="A1396" s="3" t="s">
        <v>2916</v>
      </c>
      <c r="B1396" s="3" t="s">
        <v>1860</v>
      </c>
      <c r="C1396" s="3" t="s">
        <v>224</v>
      </c>
      <c r="D1396" s="3" t="s">
        <v>2837</v>
      </c>
      <c r="E1396" s="3">
        <v>613698</v>
      </c>
      <c r="F1396" s="3">
        <v>0</v>
      </c>
      <c r="G1396" s="3" t="s">
        <v>2846</v>
      </c>
      <c r="H1396" s="3" t="s">
        <v>20</v>
      </c>
      <c r="I1396" s="4" t="s">
        <v>110</v>
      </c>
      <c r="J1396" s="4" t="s">
        <v>21</v>
      </c>
      <c r="K1396" s="4"/>
      <c r="L1396" s="4" t="s">
        <v>796</v>
      </c>
      <c r="M1396" s="4" t="s">
        <v>22</v>
      </c>
      <c r="N1396" s="4" t="s">
        <v>23</v>
      </c>
      <c r="O1396" s="4" t="s">
        <v>27</v>
      </c>
      <c r="P1396" s="4" t="s">
        <v>28</v>
      </c>
      <c r="Q1396" s="24">
        <v>80</v>
      </c>
      <c r="R1396" s="25">
        <v>9</v>
      </c>
      <c r="S1396" s="39">
        <v>1</v>
      </c>
      <c r="T1396" s="7"/>
      <c r="U1396" s="7" t="s">
        <v>2912</v>
      </c>
      <c r="V1396" s="7" t="str">
        <f>+IF(U1396="","",IF(U1396="FINES",CONCATENATE("R",IF(OR(B1396="16",B1396="21",B1396="22",B1396="23"),"16212223",IF(OR(B1396="15",B1396="17",B1396="24",B1396="25"),"15172425",B1396))),IF(U1396="CEBAS","UNICO",IF(VALUE(B1396)&lt;=11,"AMBA","INTERIOR"))))</f>
        <v>AMBA</v>
      </c>
      <c r="W1396" s="38" t="str">
        <f>+IF(U1396="","-",CONCATENATE(U1396,"_",V1396))</f>
        <v>EPA_AMBA</v>
      </c>
      <c r="X1396" s="42">
        <v>0.41699999999999998</v>
      </c>
    </row>
    <row r="1397" spans="1:24" ht="15" thickBot="1">
      <c r="A1397" s="3" t="s">
        <v>2916</v>
      </c>
      <c r="B1397" s="3" t="s">
        <v>817</v>
      </c>
      <c r="C1397" s="3" t="s">
        <v>815</v>
      </c>
      <c r="D1397" s="3" t="s">
        <v>816</v>
      </c>
      <c r="E1397" s="3">
        <v>608393</v>
      </c>
      <c r="F1397" s="3">
        <v>0</v>
      </c>
      <c r="G1397" s="3" t="s">
        <v>824</v>
      </c>
      <c r="H1397" s="3" t="s">
        <v>20</v>
      </c>
      <c r="I1397" s="4" t="s">
        <v>110</v>
      </c>
      <c r="J1397" s="4" t="s">
        <v>21</v>
      </c>
      <c r="K1397" s="4"/>
      <c r="L1397" s="4" t="s">
        <v>845</v>
      </c>
      <c r="M1397" s="4" t="s">
        <v>22</v>
      </c>
      <c r="N1397" s="4" t="s">
        <v>23</v>
      </c>
      <c r="O1397" s="4" t="s">
        <v>27</v>
      </c>
      <c r="P1397" s="4" t="s">
        <v>28</v>
      </c>
      <c r="Q1397" s="24">
        <v>110</v>
      </c>
      <c r="R1397" s="25">
        <v>10</v>
      </c>
      <c r="S1397" s="39">
        <v>1</v>
      </c>
      <c r="T1397" s="7"/>
      <c r="U1397" s="7" t="s">
        <v>2912</v>
      </c>
      <c r="V1397" s="7" t="str">
        <f>+IF(U1397="","",IF(U1397="FINES",CONCATENATE("R",IF(OR(B1397="16",B1397="21",B1397="22",B1397="23"),"16212223",IF(OR(B1397="15",B1397="17",B1397="24",B1397="25"),"15172425",B1397))),IF(U1397="CEBAS","UNICO",IF(VALUE(B1397)&lt;=11,"AMBA","INTERIOR"))))</f>
        <v>AMBA</v>
      </c>
      <c r="W1397" s="38" t="str">
        <f>+IF(U1397="","-",CONCATENATE(U1397,"_",V1397))</f>
        <v>EPA_AMBA</v>
      </c>
      <c r="X1397" s="42">
        <v>0.42</v>
      </c>
    </row>
    <row r="1398" spans="1:24" ht="15" thickBot="1">
      <c r="A1398" s="3" t="s">
        <v>2916</v>
      </c>
      <c r="B1398" s="3" t="s">
        <v>138</v>
      </c>
      <c r="C1398" s="3" t="s">
        <v>436</v>
      </c>
      <c r="D1398" s="3" t="s">
        <v>1067</v>
      </c>
      <c r="E1398" s="3">
        <v>623978</v>
      </c>
      <c r="F1398" s="3">
        <v>0</v>
      </c>
      <c r="G1398" s="3" t="s">
        <v>1073</v>
      </c>
      <c r="H1398" s="3" t="s">
        <v>20</v>
      </c>
      <c r="I1398" s="4" t="s">
        <v>110</v>
      </c>
      <c r="J1398" s="4" t="s">
        <v>21</v>
      </c>
      <c r="K1398" s="4"/>
      <c r="L1398" s="4" t="s">
        <v>1081</v>
      </c>
      <c r="M1398" s="4" t="s">
        <v>22</v>
      </c>
      <c r="N1398" s="4" t="s">
        <v>23</v>
      </c>
      <c r="O1398" s="4" t="s">
        <v>27</v>
      </c>
      <c r="P1398" s="4" t="s">
        <v>28</v>
      </c>
      <c r="Q1398" s="24">
        <v>102</v>
      </c>
      <c r="R1398" s="25">
        <v>9</v>
      </c>
      <c r="S1398" s="39">
        <v>1</v>
      </c>
      <c r="T1398" s="7"/>
      <c r="U1398" s="7" t="s">
        <v>2912</v>
      </c>
      <c r="V1398" s="7" t="str">
        <f>+IF(U1398="","",IF(U1398="FINES",CONCATENATE("R",IF(OR(B1398="16",B1398="21",B1398="22",B1398="23"),"16212223",IF(OR(B1398="15",B1398="17",B1398="24",B1398="25"),"15172425",B1398))),IF(U1398="CEBAS","UNICO",IF(VALUE(B1398)&lt;=11,"AMBA","INTERIOR"))))</f>
        <v>AMBA</v>
      </c>
      <c r="W1398" s="38" t="str">
        <f>+IF(U1398="","-",CONCATENATE(U1398,"_",V1398))</f>
        <v>EPA_AMBA</v>
      </c>
      <c r="X1398" s="42">
        <v>0.42499999999999999</v>
      </c>
    </row>
    <row r="1399" spans="1:24" ht="15" thickBot="1">
      <c r="A1399" s="3" t="s">
        <v>2916</v>
      </c>
      <c r="B1399" s="3" t="s">
        <v>257</v>
      </c>
      <c r="C1399" s="3" t="s">
        <v>2337</v>
      </c>
      <c r="D1399" s="3" t="s">
        <v>2338</v>
      </c>
      <c r="E1399" s="3">
        <v>604995</v>
      </c>
      <c r="F1399" s="3">
        <v>0</v>
      </c>
      <c r="G1399" s="3" t="s">
        <v>2340</v>
      </c>
      <c r="H1399" s="3" t="s">
        <v>20</v>
      </c>
      <c r="I1399" s="4" t="s">
        <v>110</v>
      </c>
      <c r="J1399" s="4" t="s">
        <v>21</v>
      </c>
      <c r="K1399" s="4"/>
      <c r="L1399" s="4" t="s">
        <v>2343</v>
      </c>
      <c r="M1399" s="4" t="s">
        <v>22</v>
      </c>
      <c r="N1399" s="4" t="s">
        <v>23</v>
      </c>
      <c r="O1399" s="4" t="s">
        <v>27</v>
      </c>
      <c r="P1399" s="4" t="s">
        <v>28</v>
      </c>
      <c r="Q1399" s="24">
        <v>72</v>
      </c>
      <c r="R1399" s="25">
        <v>7</v>
      </c>
      <c r="S1399" s="39">
        <v>1</v>
      </c>
      <c r="T1399" s="7"/>
      <c r="U1399" s="7" t="s">
        <v>2912</v>
      </c>
      <c r="V1399" s="7" t="str">
        <f>+IF(U1399="","",IF(U1399="FINES",CONCATENATE("R",IF(OR(B1399="16",B1399="21",B1399="22",B1399="23"),"16212223",IF(OR(B1399="15",B1399="17",B1399="24",B1399="25"),"15172425",B1399))),IF(U1399="CEBAS","UNICO",IF(VALUE(B1399)&lt;=11,"AMBA","INTERIOR"))))</f>
        <v>AMBA</v>
      </c>
      <c r="W1399" s="38" t="str">
        <f>+IF(U1399="","-",CONCATENATE(U1399,"_",V1399))</f>
        <v>EPA_AMBA</v>
      </c>
      <c r="X1399" s="42">
        <v>0.43</v>
      </c>
    </row>
    <row r="1400" spans="1:24" ht="15" thickBot="1">
      <c r="A1400" s="5" t="s">
        <v>2916</v>
      </c>
      <c r="B1400" s="5" t="s">
        <v>204</v>
      </c>
      <c r="C1400" s="5" t="s">
        <v>1084</v>
      </c>
      <c r="D1400" s="5" t="s">
        <v>1085</v>
      </c>
      <c r="E1400" s="5">
        <v>611472</v>
      </c>
      <c r="F1400" s="5">
        <v>0</v>
      </c>
      <c r="G1400" s="5" t="s">
        <v>1092</v>
      </c>
      <c r="H1400" s="5" t="s">
        <v>20</v>
      </c>
      <c r="I1400" s="6" t="s">
        <v>110</v>
      </c>
      <c r="J1400" s="6" t="s">
        <v>21</v>
      </c>
      <c r="K1400" s="6"/>
      <c r="L1400" s="6" t="s">
        <v>1116</v>
      </c>
      <c r="M1400" s="6" t="s">
        <v>22</v>
      </c>
      <c r="N1400" s="6" t="s">
        <v>23</v>
      </c>
      <c r="O1400" s="6" t="s">
        <v>27</v>
      </c>
      <c r="P1400" s="6" t="s">
        <v>28</v>
      </c>
      <c r="Q1400" s="22">
        <v>75</v>
      </c>
      <c r="R1400" s="23">
        <v>4</v>
      </c>
      <c r="S1400" s="39">
        <v>1</v>
      </c>
      <c r="T1400" s="7"/>
      <c r="U1400" t="s">
        <v>2912</v>
      </c>
      <c r="V1400" s="7" t="str">
        <f>+IF(U1400="","",IF(U1400="FINES",CONCATENATE("R",IF(OR(B1400="16",B1400="21",B1400="22",B1400="23"),"16212223",IF(OR(B1400="15",B1400="17",B1400="24",B1400="25"),"15172425",B1400))),IF(U1400="CEBAS","UNICO",IF(VALUE(B1400)&lt;=11,"AMBA","INTERIOR"))))</f>
        <v>AMBA</v>
      </c>
      <c r="W1400" s="38" t="str">
        <f>+IF(U1400="","-",CONCATENATE(U1400,"_",V1400))</f>
        <v>EPA_AMBA</v>
      </c>
      <c r="X1400" s="42">
        <v>0.44500000000000001</v>
      </c>
    </row>
    <row r="1401" spans="1:24" ht="15" thickBot="1">
      <c r="A1401" s="5" t="s">
        <v>2916</v>
      </c>
      <c r="B1401" s="5" t="s">
        <v>817</v>
      </c>
      <c r="C1401" s="5" t="s">
        <v>815</v>
      </c>
      <c r="D1401" s="5" t="s">
        <v>816</v>
      </c>
      <c r="E1401" s="5">
        <v>608473</v>
      </c>
      <c r="F1401" s="5">
        <v>0</v>
      </c>
      <c r="G1401" s="5" t="s">
        <v>832</v>
      </c>
      <c r="H1401" s="5" t="s">
        <v>20</v>
      </c>
      <c r="I1401" s="6" t="s">
        <v>110</v>
      </c>
      <c r="J1401" s="6" t="s">
        <v>21</v>
      </c>
      <c r="K1401" s="6"/>
      <c r="L1401" s="6" t="s">
        <v>852</v>
      </c>
      <c r="M1401" s="6" t="s">
        <v>22</v>
      </c>
      <c r="N1401" s="6" t="s">
        <v>23</v>
      </c>
      <c r="O1401" s="6" t="s">
        <v>27</v>
      </c>
      <c r="P1401" s="6" t="s">
        <v>28</v>
      </c>
      <c r="Q1401" s="22">
        <v>222</v>
      </c>
      <c r="R1401" s="23">
        <v>17</v>
      </c>
      <c r="S1401" s="39">
        <v>1</v>
      </c>
      <c r="T1401" s="7"/>
      <c r="U1401" t="s">
        <v>2912</v>
      </c>
      <c r="V1401" s="7" t="str">
        <f>+IF(U1401="","",IF(U1401="FINES",CONCATENATE("R",IF(OR(B1401="16",B1401="21",B1401="22",B1401="23"),"16212223",IF(OR(B1401="15",B1401="17",B1401="24",B1401="25"),"15172425",B1401))),IF(U1401="CEBAS","UNICO",IF(VALUE(B1401)&lt;=11,"AMBA","INTERIOR"))))</f>
        <v>AMBA</v>
      </c>
      <c r="W1401" s="38" t="str">
        <f>+IF(U1401="","-",CONCATENATE(U1401,"_",V1401))</f>
        <v>EPA_AMBA</v>
      </c>
      <c r="X1401" s="42">
        <v>0.44900000000000001</v>
      </c>
    </row>
    <row r="1402" spans="1:24" ht="15" thickBot="1">
      <c r="A1402" s="3" t="s">
        <v>2916</v>
      </c>
      <c r="B1402" s="3" t="s">
        <v>204</v>
      </c>
      <c r="C1402" s="3" t="s">
        <v>219</v>
      </c>
      <c r="D1402" s="3" t="s">
        <v>2865</v>
      </c>
      <c r="E1402" s="3">
        <v>600119</v>
      </c>
      <c r="F1402" s="3">
        <v>0</v>
      </c>
      <c r="G1402" s="3" t="s">
        <v>2869</v>
      </c>
      <c r="H1402" s="3" t="s">
        <v>20</v>
      </c>
      <c r="I1402" s="4" t="s">
        <v>110</v>
      </c>
      <c r="J1402" s="4" t="s">
        <v>21</v>
      </c>
      <c r="K1402" s="4"/>
      <c r="L1402" s="4" t="s">
        <v>2877</v>
      </c>
      <c r="M1402" s="4" t="s">
        <v>22</v>
      </c>
      <c r="N1402" s="4" t="s">
        <v>23</v>
      </c>
      <c r="O1402" s="4" t="s">
        <v>27</v>
      </c>
      <c r="P1402" s="4" t="s">
        <v>28</v>
      </c>
      <c r="Q1402" s="24">
        <v>110</v>
      </c>
      <c r="R1402" s="25">
        <v>6</v>
      </c>
      <c r="S1402" s="39">
        <v>1</v>
      </c>
      <c r="T1402" s="7"/>
      <c r="U1402" t="s">
        <v>2912</v>
      </c>
      <c r="V1402" s="7" t="str">
        <f>+IF(U1402="","",IF(U1402="FINES",CONCATENATE("R",IF(OR(B1402="16",B1402="21",B1402="22",B1402="23"),"16212223",IF(OR(B1402="15",B1402="17",B1402="24",B1402="25"),"15172425",B1402))),IF(U1402="CEBAS","UNICO",IF(VALUE(B1402)&lt;=11,"AMBA","INTERIOR"))))</f>
        <v>AMBA</v>
      </c>
      <c r="W1402" s="38" t="str">
        <f>+IF(U1402="","-",CONCATENATE(U1402,"_",V1402))</f>
        <v>EPA_AMBA</v>
      </c>
      <c r="X1402" s="42">
        <v>0.45</v>
      </c>
    </row>
    <row r="1403" spans="1:24" ht="15" thickBot="1">
      <c r="A1403" s="5" t="s">
        <v>2916</v>
      </c>
      <c r="B1403" s="5" t="s">
        <v>1257</v>
      </c>
      <c r="C1403" s="5" t="s">
        <v>1255</v>
      </c>
      <c r="D1403" s="5" t="s">
        <v>1256</v>
      </c>
      <c r="E1403" s="5">
        <v>602531</v>
      </c>
      <c r="F1403" s="5">
        <v>0</v>
      </c>
      <c r="G1403" s="5" t="s">
        <v>1264</v>
      </c>
      <c r="H1403" s="5" t="s">
        <v>20</v>
      </c>
      <c r="I1403" s="6" t="s">
        <v>110</v>
      </c>
      <c r="J1403" s="6" t="s">
        <v>21</v>
      </c>
      <c r="K1403" s="6"/>
      <c r="L1403" s="6" t="s">
        <v>1283</v>
      </c>
      <c r="M1403" s="6" t="s">
        <v>22</v>
      </c>
      <c r="N1403" s="6" t="s">
        <v>23</v>
      </c>
      <c r="O1403" s="6" t="s">
        <v>27</v>
      </c>
      <c r="P1403" s="6" t="s">
        <v>28</v>
      </c>
      <c r="Q1403" s="22">
        <v>71</v>
      </c>
      <c r="R1403" s="23">
        <v>7</v>
      </c>
      <c r="S1403" s="39">
        <v>1</v>
      </c>
      <c r="T1403" s="7"/>
      <c r="U1403" t="s">
        <v>2912</v>
      </c>
      <c r="V1403" s="7" t="str">
        <f>+IF(U1403="","",IF(U1403="FINES",CONCATENATE("R",IF(OR(B1403="16",B1403="21",B1403="22",B1403="23"),"16212223",IF(OR(B1403="15",B1403="17",B1403="24",B1403="25"),"15172425",B1403))),IF(U1403="CEBAS","UNICO",IF(VALUE(B1403)&lt;=11,"AMBA","INTERIOR"))))</f>
        <v>AMBA</v>
      </c>
      <c r="W1403" s="38" t="str">
        <f>+IF(U1403="","-",CONCATENATE(U1403,"_",V1403))</f>
        <v>EPA_AMBA</v>
      </c>
      <c r="X1403" s="42">
        <v>0.45200000000000001</v>
      </c>
    </row>
    <row r="1404" spans="1:24" ht="15" thickBot="1">
      <c r="A1404" s="3" t="s">
        <v>2916</v>
      </c>
      <c r="B1404" s="3" t="s">
        <v>257</v>
      </c>
      <c r="C1404" s="3" t="s">
        <v>254</v>
      </c>
      <c r="D1404" s="3" t="s">
        <v>256</v>
      </c>
      <c r="E1404" s="3">
        <v>603913</v>
      </c>
      <c r="F1404" s="3">
        <v>0</v>
      </c>
      <c r="G1404" s="3" t="s">
        <v>284</v>
      </c>
      <c r="H1404" s="3" t="s">
        <v>20</v>
      </c>
      <c r="I1404" s="4" t="s">
        <v>110</v>
      </c>
      <c r="J1404" s="4" t="s">
        <v>21</v>
      </c>
      <c r="K1404" s="4"/>
      <c r="L1404" s="4" t="s">
        <v>325</v>
      </c>
      <c r="M1404" s="4" t="s">
        <v>22</v>
      </c>
      <c r="N1404" s="4" t="s">
        <v>23</v>
      </c>
      <c r="O1404" s="4" t="s">
        <v>27</v>
      </c>
      <c r="P1404" s="4" t="s">
        <v>28</v>
      </c>
      <c r="Q1404" s="24">
        <v>92</v>
      </c>
      <c r="R1404" s="25">
        <v>6</v>
      </c>
      <c r="S1404" s="39">
        <v>1</v>
      </c>
      <c r="T1404" s="7"/>
      <c r="U1404" t="s">
        <v>2912</v>
      </c>
      <c r="V1404" s="7" t="str">
        <f>+IF(U1404="","",IF(U1404="FINES",CONCATENATE("R",IF(OR(B1404="16",B1404="21",B1404="22",B1404="23"),"16212223",IF(OR(B1404="15",B1404="17",B1404="24",B1404="25"),"15172425",B1404))),IF(U1404="CEBAS","UNICO",IF(VALUE(B1404)&lt;=11,"AMBA","INTERIOR"))))</f>
        <v>AMBA</v>
      </c>
      <c r="W1404" s="38" t="str">
        <f>+IF(U1404="","-",CONCATENATE(U1404,"_",V1404))</f>
        <v>EPA_AMBA</v>
      </c>
      <c r="X1404" s="42">
        <v>0.45200000000000001</v>
      </c>
    </row>
    <row r="1405" spans="1:24" ht="15" thickBot="1">
      <c r="A1405" s="5" t="s">
        <v>2916</v>
      </c>
      <c r="B1405" s="5" t="s">
        <v>1532</v>
      </c>
      <c r="C1405" s="5" t="s">
        <v>1530</v>
      </c>
      <c r="D1405" s="5" t="s">
        <v>1531</v>
      </c>
      <c r="E1405" s="5">
        <v>608176</v>
      </c>
      <c r="F1405" s="5">
        <v>0</v>
      </c>
      <c r="G1405" s="5" t="s">
        <v>1606</v>
      </c>
      <c r="H1405" s="5" t="s">
        <v>20</v>
      </c>
      <c r="I1405" s="6" t="s">
        <v>110</v>
      </c>
      <c r="J1405" s="6" t="s">
        <v>21</v>
      </c>
      <c r="K1405" s="6"/>
      <c r="L1405" s="6" t="s">
        <v>1659</v>
      </c>
      <c r="M1405" s="6" t="s">
        <v>22</v>
      </c>
      <c r="N1405" s="6" t="s">
        <v>23</v>
      </c>
      <c r="O1405" s="6" t="s">
        <v>27</v>
      </c>
      <c r="P1405" s="6" t="s">
        <v>28</v>
      </c>
      <c r="Q1405" s="22">
        <v>147</v>
      </c>
      <c r="R1405" s="23">
        <v>10</v>
      </c>
      <c r="S1405" s="39">
        <v>1</v>
      </c>
      <c r="T1405" s="7"/>
      <c r="U1405" t="s">
        <v>2912</v>
      </c>
      <c r="V1405" s="7" t="str">
        <f>+IF(U1405="","",IF(U1405="FINES",CONCATENATE("R",IF(OR(B1405="16",B1405="21",B1405="22",B1405="23"),"16212223",IF(OR(B1405="15",B1405="17",B1405="24",B1405="25"),"15172425",B1405))),IF(U1405="CEBAS","UNICO",IF(VALUE(B1405)&lt;=11,"AMBA","INTERIOR"))))</f>
        <v>AMBA</v>
      </c>
      <c r="W1405" s="38" t="str">
        <f>+IF(U1405="","-",CONCATENATE(U1405,"_",V1405))</f>
        <v>EPA_AMBA</v>
      </c>
      <c r="X1405" s="42">
        <v>0.45200000000000001</v>
      </c>
    </row>
    <row r="1406" spans="1:24" ht="15" thickBot="1">
      <c r="A1406" s="3" t="s">
        <v>2916</v>
      </c>
      <c r="B1406" s="3" t="s">
        <v>1780</v>
      </c>
      <c r="C1406" s="3" t="s">
        <v>1778</v>
      </c>
      <c r="D1406" s="3" t="s">
        <v>1779</v>
      </c>
      <c r="E1406" s="3">
        <v>613143</v>
      </c>
      <c r="F1406" s="3">
        <v>0</v>
      </c>
      <c r="G1406" s="3" t="s">
        <v>1809</v>
      </c>
      <c r="H1406" s="3" t="s">
        <v>20</v>
      </c>
      <c r="I1406" s="4" t="s">
        <v>110</v>
      </c>
      <c r="J1406" s="4" t="s">
        <v>21</v>
      </c>
      <c r="K1406" s="4"/>
      <c r="L1406" s="4" t="s">
        <v>1821</v>
      </c>
      <c r="M1406" s="4" t="s">
        <v>22</v>
      </c>
      <c r="N1406" s="4" t="s">
        <v>23</v>
      </c>
      <c r="O1406" s="4" t="s">
        <v>27</v>
      </c>
      <c r="P1406" s="4" t="s">
        <v>28</v>
      </c>
      <c r="Q1406" s="24">
        <v>64</v>
      </c>
      <c r="R1406" s="25">
        <v>8</v>
      </c>
      <c r="S1406" s="39">
        <v>1</v>
      </c>
      <c r="T1406" s="7"/>
      <c r="U1406" t="s">
        <v>2912</v>
      </c>
      <c r="V1406" s="7" t="str">
        <f>+IF(U1406="","",IF(U1406="FINES",CONCATENATE("R",IF(OR(B1406="16",B1406="21",B1406="22",B1406="23"),"16212223",IF(OR(B1406="15",B1406="17",B1406="24",B1406="25"),"15172425",B1406))),IF(U1406="CEBAS","UNICO",IF(VALUE(B1406)&lt;=11,"AMBA","INTERIOR"))))</f>
        <v>AMBA</v>
      </c>
      <c r="W1406" s="38" t="str">
        <f>+IF(U1406="","-",CONCATENATE(U1406,"_",V1406))</f>
        <v>EPA_AMBA</v>
      </c>
      <c r="X1406" s="42">
        <v>0.46400000000000002</v>
      </c>
    </row>
    <row r="1407" spans="1:24" ht="15" thickBot="1">
      <c r="A1407" s="3" t="s">
        <v>2916</v>
      </c>
      <c r="B1407" s="3" t="s">
        <v>257</v>
      </c>
      <c r="C1407" s="3" t="s">
        <v>415</v>
      </c>
      <c r="D1407" s="3" t="s">
        <v>2770</v>
      </c>
      <c r="E1407" s="3">
        <v>606740</v>
      </c>
      <c r="F1407" s="3">
        <v>0</v>
      </c>
      <c r="G1407" s="3" t="s">
        <v>2775</v>
      </c>
      <c r="H1407" s="3" t="s">
        <v>20</v>
      </c>
      <c r="I1407" s="4" t="s">
        <v>110</v>
      </c>
      <c r="J1407" s="4" t="s">
        <v>21</v>
      </c>
      <c r="K1407" s="4"/>
      <c r="L1407" s="4" t="s">
        <v>391</v>
      </c>
      <c r="M1407" s="4" t="s">
        <v>22</v>
      </c>
      <c r="N1407" s="4" t="s">
        <v>23</v>
      </c>
      <c r="O1407" s="4" t="s">
        <v>27</v>
      </c>
      <c r="P1407" s="4" t="s">
        <v>28</v>
      </c>
      <c r="Q1407" s="24">
        <v>141</v>
      </c>
      <c r="R1407" s="25">
        <v>10</v>
      </c>
      <c r="S1407" s="39">
        <v>1</v>
      </c>
      <c r="T1407" s="7"/>
      <c r="U1407" s="7" t="s">
        <v>2912</v>
      </c>
      <c r="V1407" s="7" t="str">
        <f>+IF(U1407="","",IF(U1407="FINES",CONCATENATE("R",IF(OR(B1407="16",B1407="21",B1407="22",B1407="23"),"16212223",IF(OR(B1407="15",B1407="17",B1407="24",B1407="25"),"15172425",B1407))),IF(U1407="CEBAS","UNICO",IF(VALUE(B1407)&lt;=11,"AMBA","INTERIOR"))))</f>
        <v>AMBA</v>
      </c>
      <c r="W1407" s="38" t="str">
        <f>+IF(U1407="","-",CONCATENATE(U1407,"_",V1407))</f>
        <v>EPA_AMBA</v>
      </c>
      <c r="X1407" s="42">
        <v>0.46400000000000002</v>
      </c>
    </row>
    <row r="1408" spans="1:24" ht="15" thickBot="1">
      <c r="A1408" s="5" t="s">
        <v>2916</v>
      </c>
      <c r="B1408" s="5" t="s">
        <v>222</v>
      </c>
      <c r="C1408" s="5" t="s">
        <v>227</v>
      </c>
      <c r="D1408" s="5" t="s">
        <v>2603</v>
      </c>
      <c r="E1408" s="5">
        <v>613714</v>
      </c>
      <c r="F1408" s="5">
        <v>0</v>
      </c>
      <c r="G1408" s="5" t="s">
        <v>2608</v>
      </c>
      <c r="H1408" s="5" t="s">
        <v>20</v>
      </c>
      <c r="I1408" s="6" t="s">
        <v>110</v>
      </c>
      <c r="J1408" s="6" t="s">
        <v>21</v>
      </c>
      <c r="K1408" s="6"/>
      <c r="L1408" s="6" t="s">
        <v>1117</v>
      </c>
      <c r="M1408" s="6" t="s">
        <v>22</v>
      </c>
      <c r="N1408" s="6" t="s">
        <v>23</v>
      </c>
      <c r="O1408" s="6" t="s">
        <v>27</v>
      </c>
      <c r="P1408" s="6" t="s">
        <v>28</v>
      </c>
      <c r="Q1408" s="22">
        <v>123</v>
      </c>
      <c r="R1408" s="23">
        <v>8</v>
      </c>
      <c r="S1408" s="39">
        <v>1</v>
      </c>
      <c r="T1408" s="7"/>
      <c r="U1408" s="7" t="s">
        <v>2912</v>
      </c>
      <c r="V1408" s="7" t="str">
        <f>+IF(U1408="","",IF(U1408="FINES",CONCATENATE("R",IF(OR(B1408="16",B1408="21",B1408="22",B1408="23"),"16212223",IF(OR(B1408="15",B1408="17",B1408="24",B1408="25"),"15172425",B1408))),IF(U1408="CEBAS","UNICO",IF(VALUE(B1408)&lt;=11,"AMBA","INTERIOR"))))</f>
        <v>AMBA</v>
      </c>
      <c r="W1408" s="38" t="str">
        <f>+IF(U1408="","-",CONCATENATE(U1408,"_",V1408))</f>
        <v>EPA_AMBA</v>
      </c>
      <c r="X1408" s="42">
        <v>0.46800000000000003</v>
      </c>
    </row>
    <row r="1409" spans="1:24" ht="15" thickBot="1">
      <c r="A1409" s="3" t="s">
        <v>2916</v>
      </c>
      <c r="B1409" s="3" t="s">
        <v>817</v>
      </c>
      <c r="C1409" s="3" t="s">
        <v>600</v>
      </c>
      <c r="D1409" s="3" t="s">
        <v>2661</v>
      </c>
      <c r="E1409" s="3">
        <v>611672</v>
      </c>
      <c r="F1409" s="3">
        <v>0</v>
      </c>
      <c r="G1409" s="3" t="s">
        <v>2674</v>
      </c>
      <c r="H1409" s="3" t="s">
        <v>20</v>
      </c>
      <c r="I1409" s="4" t="s">
        <v>110</v>
      </c>
      <c r="J1409" s="4" t="s">
        <v>21</v>
      </c>
      <c r="K1409" s="4"/>
      <c r="L1409" s="4" t="s">
        <v>2693</v>
      </c>
      <c r="M1409" s="4" t="s">
        <v>22</v>
      </c>
      <c r="N1409" s="4" t="s">
        <v>23</v>
      </c>
      <c r="O1409" s="4" t="s">
        <v>27</v>
      </c>
      <c r="P1409" s="4" t="s">
        <v>28</v>
      </c>
      <c r="Q1409" s="24">
        <v>148</v>
      </c>
      <c r="R1409" s="25">
        <v>11</v>
      </c>
      <c r="S1409" s="39">
        <v>1</v>
      </c>
      <c r="T1409" s="7"/>
      <c r="U1409" s="7" t="s">
        <v>2912</v>
      </c>
      <c r="V1409" s="7" t="str">
        <f>+IF(U1409="","",IF(U1409="FINES",CONCATENATE("R",IF(OR(B1409="16",B1409="21",B1409="22",B1409="23"),"16212223",IF(OR(B1409="15",B1409="17",B1409="24",B1409="25"),"15172425",B1409))),IF(U1409="CEBAS","UNICO",IF(VALUE(B1409)&lt;=11,"AMBA","INTERIOR"))))</f>
        <v>AMBA</v>
      </c>
      <c r="W1409" s="38" t="str">
        <f>+IF(U1409="","-",CONCATENATE(U1409,"_",V1409))</f>
        <v>EPA_AMBA</v>
      </c>
      <c r="X1409" s="42">
        <v>0.46899999999999997</v>
      </c>
    </row>
    <row r="1410" spans="1:24" ht="15" thickBot="1">
      <c r="A1410" s="3" t="s">
        <v>2916</v>
      </c>
      <c r="B1410" s="3" t="s">
        <v>1860</v>
      </c>
      <c r="C1410" s="3" t="s">
        <v>411</v>
      </c>
      <c r="D1410" s="3" t="s">
        <v>2791</v>
      </c>
      <c r="E1410" s="3">
        <v>614092</v>
      </c>
      <c r="F1410" s="3">
        <v>0</v>
      </c>
      <c r="G1410" s="3" t="s">
        <v>2800</v>
      </c>
      <c r="H1410" s="3" t="s">
        <v>20</v>
      </c>
      <c r="I1410" s="4" t="s">
        <v>110</v>
      </c>
      <c r="J1410" s="4" t="s">
        <v>21</v>
      </c>
      <c r="K1410" s="4"/>
      <c r="L1410" s="4" t="s">
        <v>2806</v>
      </c>
      <c r="M1410" s="4" t="s">
        <v>22</v>
      </c>
      <c r="N1410" s="4" t="s">
        <v>23</v>
      </c>
      <c r="O1410" s="4" t="s">
        <v>27</v>
      </c>
      <c r="P1410" s="4" t="s">
        <v>28</v>
      </c>
      <c r="Q1410" s="24">
        <v>138</v>
      </c>
      <c r="R1410" s="25">
        <v>7</v>
      </c>
      <c r="S1410" s="39">
        <v>1</v>
      </c>
      <c r="T1410" s="7"/>
      <c r="U1410" s="7" t="s">
        <v>2912</v>
      </c>
      <c r="V1410" s="7" t="str">
        <f>+IF(U1410="","",IF(U1410="FINES",CONCATENATE("R",IF(OR(B1410="16",B1410="21",B1410="22",B1410="23"),"16212223",IF(OR(B1410="15",B1410="17",B1410="24",B1410="25"),"15172425",B1410))),IF(U1410="CEBAS","UNICO",IF(VALUE(B1410)&lt;=11,"AMBA","INTERIOR"))))</f>
        <v>AMBA</v>
      </c>
      <c r="W1410" s="38" t="str">
        <f>+IF(U1410="","-",CONCATENATE(U1410,"_",V1410))</f>
        <v>EPA_AMBA</v>
      </c>
      <c r="X1410" s="42">
        <v>0.47099999999999997</v>
      </c>
    </row>
    <row r="1411" spans="1:24" ht="15" thickBot="1">
      <c r="A1411" s="5" t="s">
        <v>2916</v>
      </c>
      <c r="B1411" s="5" t="s">
        <v>1532</v>
      </c>
      <c r="C1411" s="5" t="s">
        <v>1530</v>
      </c>
      <c r="D1411" s="5" t="s">
        <v>1531</v>
      </c>
      <c r="E1411" s="5">
        <v>612828</v>
      </c>
      <c r="F1411" s="5">
        <v>0</v>
      </c>
      <c r="G1411" s="5" t="s">
        <v>1622</v>
      </c>
      <c r="H1411" s="5" t="s">
        <v>20</v>
      </c>
      <c r="I1411" s="6" t="s">
        <v>110</v>
      </c>
      <c r="J1411" s="6" t="s">
        <v>21</v>
      </c>
      <c r="K1411" s="6"/>
      <c r="L1411" s="6" t="s">
        <v>325</v>
      </c>
      <c r="M1411" s="6" t="s">
        <v>22</v>
      </c>
      <c r="N1411" s="6" t="s">
        <v>23</v>
      </c>
      <c r="O1411" s="6" t="s">
        <v>27</v>
      </c>
      <c r="P1411" s="6" t="s">
        <v>28</v>
      </c>
      <c r="Q1411" s="22">
        <v>201</v>
      </c>
      <c r="R1411" s="23">
        <v>12</v>
      </c>
      <c r="S1411" s="39">
        <v>1</v>
      </c>
      <c r="T1411" s="7"/>
      <c r="U1411" s="7" t="s">
        <v>2912</v>
      </c>
      <c r="V1411" s="7" t="str">
        <f>+IF(U1411="","",IF(U1411="FINES",CONCATENATE("R",IF(OR(B1411="16",B1411="21",B1411="22",B1411="23"),"16212223",IF(OR(B1411="15",B1411="17",B1411="24",B1411="25"),"15172425",B1411))),IF(U1411="CEBAS","UNICO",IF(VALUE(B1411)&lt;=11,"AMBA","INTERIOR"))))</f>
        <v>AMBA</v>
      </c>
      <c r="W1411" s="38" t="str">
        <f>+IF(U1411="","-",CONCATENATE(U1411,"_",V1411))</f>
        <v>EPA_AMBA</v>
      </c>
      <c r="X1411" s="42">
        <v>0.47599999999999998</v>
      </c>
    </row>
    <row r="1412" spans="1:24" ht="15" thickBot="1">
      <c r="A1412" s="3" t="s">
        <v>2916</v>
      </c>
      <c r="B1412" s="3" t="s">
        <v>19</v>
      </c>
      <c r="C1412" s="3" t="s">
        <v>17</v>
      </c>
      <c r="D1412" s="3" t="s">
        <v>18</v>
      </c>
      <c r="E1412" s="3">
        <v>615638</v>
      </c>
      <c r="F1412" s="3">
        <v>0</v>
      </c>
      <c r="G1412" s="3" t="s">
        <v>87</v>
      </c>
      <c r="H1412" s="3" t="s">
        <v>20</v>
      </c>
      <c r="I1412" s="4" t="s">
        <v>110</v>
      </c>
      <c r="J1412" s="4" t="s">
        <v>21</v>
      </c>
      <c r="K1412" s="4"/>
      <c r="L1412" s="4" t="s">
        <v>117</v>
      </c>
      <c r="M1412" s="4" t="s">
        <v>22</v>
      </c>
      <c r="N1412" s="4" t="s">
        <v>23</v>
      </c>
      <c r="O1412" s="4" t="s">
        <v>27</v>
      </c>
      <c r="P1412" s="4" t="s">
        <v>28</v>
      </c>
      <c r="Q1412" s="24">
        <v>160</v>
      </c>
      <c r="R1412" s="25">
        <v>16</v>
      </c>
      <c r="S1412" s="39">
        <v>1</v>
      </c>
      <c r="T1412" s="7"/>
      <c r="U1412" s="7" t="s">
        <v>2912</v>
      </c>
      <c r="V1412" s="7" t="str">
        <f>+IF(U1412="","",IF(U1412="FINES",CONCATENATE("R",IF(OR(B1412="16",B1412="21",B1412="22",B1412="23"),"16212223",IF(OR(B1412="15",B1412="17",B1412="24",B1412="25"),"15172425",B1412))),IF(U1412="CEBAS","UNICO",IF(VALUE(B1412)&lt;=11,"AMBA","INTERIOR"))))</f>
        <v>AMBA</v>
      </c>
      <c r="W1412" s="38" t="str">
        <f>+IF(U1412="","-",CONCATENATE(U1412,"_",V1412))</f>
        <v>EPA_AMBA</v>
      </c>
      <c r="X1412" s="42">
        <v>0.48499999999999999</v>
      </c>
    </row>
    <row r="1413" spans="1:24" ht="15" thickBot="1">
      <c r="A1413" s="5" t="s">
        <v>2916</v>
      </c>
      <c r="B1413" s="5" t="s">
        <v>1532</v>
      </c>
      <c r="C1413" s="5" t="s">
        <v>1530</v>
      </c>
      <c r="D1413" s="5" t="s">
        <v>1531</v>
      </c>
      <c r="E1413" s="5">
        <v>608514</v>
      </c>
      <c r="F1413" s="5">
        <v>0</v>
      </c>
      <c r="G1413" s="5" t="s">
        <v>1563</v>
      </c>
      <c r="H1413" s="5" t="s">
        <v>20</v>
      </c>
      <c r="I1413" s="6" t="s">
        <v>110</v>
      </c>
      <c r="J1413" s="6" t="s">
        <v>21</v>
      </c>
      <c r="K1413" s="6"/>
      <c r="L1413" s="6" t="s">
        <v>1662</v>
      </c>
      <c r="M1413" s="6" t="s">
        <v>22</v>
      </c>
      <c r="N1413" s="6" t="s">
        <v>23</v>
      </c>
      <c r="O1413" s="6" t="s">
        <v>27</v>
      </c>
      <c r="P1413" s="6" t="s">
        <v>28</v>
      </c>
      <c r="Q1413" s="22">
        <v>136</v>
      </c>
      <c r="R1413" s="23">
        <v>11</v>
      </c>
      <c r="S1413" s="39">
        <v>1</v>
      </c>
      <c r="T1413" s="7"/>
      <c r="U1413" t="s">
        <v>2912</v>
      </c>
      <c r="V1413" s="7" t="str">
        <f>+IF(U1413="","",IF(U1413="FINES",CONCATENATE("R",IF(OR(B1413="16",B1413="21",B1413="22",B1413="23"),"16212223",IF(OR(B1413="15",B1413="17",B1413="24",B1413="25"),"15172425",B1413))),IF(U1413="CEBAS","UNICO",IF(VALUE(B1413)&lt;=11,"AMBA","INTERIOR"))))</f>
        <v>AMBA</v>
      </c>
      <c r="W1413" s="38" t="str">
        <f>+IF(U1413="","-",CONCATENATE(U1413,"_",V1413))</f>
        <v>EPA_AMBA</v>
      </c>
      <c r="X1413" s="42">
        <v>0.49399999999999999</v>
      </c>
    </row>
    <row r="1414" spans="1:24" ht="15" thickBot="1">
      <c r="A1414" s="5" t="s">
        <v>2916</v>
      </c>
      <c r="B1414" s="5" t="s">
        <v>817</v>
      </c>
      <c r="C1414" s="5" t="s">
        <v>2080</v>
      </c>
      <c r="D1414" s="5" t="s">
        <v>2081</v>
      </c>
      <c r="E1414" s="5">
        <v>602079</v>
      </c>
      <c r="F1414" s="5">
        <v>0</v>
      </c>
      <c r="G1414" s="5" t="s">
        <v>2093</v>
      </c>
      <c r="H1414" s="5" t="s">
        <v>20</v>
      </c>
      <c r="I1414" s="6" t="s">
        <v>110</v>
      </c>
      <c r="J1414" s="6" t="s">
        <v>21</v>
      </c>
      <c r="K1414" s="6"/>
      <c r="L1414" s="6" t="s">
        <v>2130</v>
      </c>
      <c r="M1414" s="6" t="s">
        <v>22</v>
      </c>
      <c r="N1414" s="6" t="s">
        <v>23</v>
      </c>
      <c r="O1414" s="6" t="s">
        <v>27</v>
      </c>
      <c r="P1414" s="6" t="s">
        <v>28</v>
      </c>
      <c r="Q1414" s="22">
        <v>131</v>
      </c>
      <c r="R1414" s="23">
        <v>7</v>
      </c>
      <c r="S1414" s="39">
        <v>1</v>
      </c>
      <c r="T1414" s="7"/>
      <c r="U1414" t="s">
        <v>2912</v>
      </c>
      <c r="V1414" s="7" t="str">
        <f>+IF(U1414="","",IF(U1414="FINES",CONCATENATE("R",IF(OR(B1414="16",B1414="21",B1414="22",B1414="23"),"16212223",IF(OR(B1414="15",B1414="17",B1414="24",B1414="25"),"15172425",B1414))),IF(U1414="CEBAS","UNICO",IF(VALUE(B1414)&lt;=11,"AMBA","INTERIOR"))))</f>
        <v>AMBA</v>
      </c>
      <c r="W1414" s="38" t="str">
        <f>+IF(U1414="","-",CONCATENATE(U1414,"_",V1414))</f>
        <v>EPA_AMBA</v>
      </c>
      <c r="X1414" s="42">
        <v>0.496</v>
      </c>
    </row>
    <row r="1415" spans="1:24" ht="15" thickBot="1">
      <c r="A1415" s="3" t="s">
        <v>2916</v>
      </c>
      <c r="B1415" s="3" t="s">
        <v>19</v>
      </c>
      <c r="C1415" s="3" t="s">
        <v>17</v>
      </c>
      <c r="D1415" s="3" t="s">
        <v>18</v>
      </c>
      <c r="E1415" s="3">
        <v>608979</v>
      </c>
      <c r="F1415" s="3">
        <v>0</v>
      </c>
      <c r="G1415" s="3" t="s">
        <v>52</v>
      </c>
      <c r="H1415" s="3" t="s">
        <v>20</v>
      </c>
      <c r="I1415" s="4" t="s">
        <v>110</v>
      </c>
      <c r="J1415" s="4" t="s">
        <v>21</v>
      </c>
      <c r="K1415" s="4"/>
      <c r="L1415" s="4" t="s">
        <v>119</v>
      </c>
      <c r="M1415" s="4" t="s">
        <v>22</v>
      </c>
      <c r="N1415" s="4" t="s">
        <v>23</v>
      </c>
      <c r="O1415" s="4" t="s">
        <v>27</v>
      </c>
      <c r="P1415" s="4" t="s">
        <v>28</v>
      </c>
      <c r="Q1415" s="24">
        <v>66</v>
      </c>
      <c r="R1415" s="25">
        <v>5</v>
      </c>
      <c r="S1415" s="39">
        <v>1</v>
      </c>
      <c r="T1415" s="7"/>
      <c r="U1415" t="s">
        <v>2912</v>
      </c>
      <c r="V1415" s="7" t="str">
        <f>+IF(U1415="","",IF(U1415="FINES",CONCATENATE("R",IF(OR(B1415="16",B1415="21",B1415="22",B1415="23"),"16212223",IF(OR(B1415="15",B1415="17",B1415="24",B1415="25"),"15172425",B1415))),IF(U1415="CEBAS","UNICO",IF(VALUE(B1415)&lt;=11,"AMBA","INTERIOR"))))</f>
        <v>AMBA</v>
      </c>
      <c r="W1415" s="38" t="str">
        <f>+IF(U1415="","-",CONCATENATE(U1415,"_",V1415))</f>
        <v>EPA_AMBA</v>
      </c>
      <c r="X1415" s="42">
        <v>0.503</v>
      </c>
    </row>
    <row r="1416" spans="1:24" ht="15" thickBot="1">
      <c r="A1416" s="3" t="s">
        <v>2916</v>
      </c>
      <c r="B1416" s="3" t="s">
        <v>222</v>
      </c>
      <c r="C1416" s="3" t="s">
        <v>227</v>
      </c>
      <c r="D1416" s="3" t="s">
        <v>2603</v>
      </c>
      <c r="E1416" s="3">
        <v>613902</v>
      </c>
      <c r="F1416" s="3">
        <v>0</v>
      </c>
      <c r="G1416" s="3" t="s">
        <v>2605</v>
      </c>
      <c r="H1416" s="3" t="s">
        <v>20</v>
      </c>
      <c r="I1416" s="4" t="s">
        <v>110</v>
      </c>
      <c r="J1416" s="4" t="s">
        <v>21</v>
      </c>
      <c r="K1416" s="4"/>
      <c r="L1416" s="4" t="s">
        <v>396</v>
      </c>
      <c r="M1416" s="4" t="s">
        <v>22</v>
      </c>
      <c r="N1416" s="4" t="s">
        <v>23</v>
      </c>
      <c r="O1416" s="4" t="s">
        <v>27</v>
      </c>
      <c r="P1416" s="4" t="s">
        <v>28</v>
      </c>
      <c r="Q1416" s="24">
        <v>95</v>
      </c>
      <c r="R1416" s="25">
        <v>6</v>
      </c>
      <c r="S1416" s="39">
        <v>1</v>
      </c>
      <c r="T1416" s="7"/>
      <c r="U1416" t="s">
        <v>2912</v>
      </c>
      <c r="V1416" s="7" t="str">
        <f>+IF(U1416="","",IF(U1416="FINES",CONCATENATE("R",IF(OR(B1416="16",B1416="21",B1416="22",B1416="23"),"16212223",IF(OR(B1416="15",B1416="17",B1416="24",B1416="25"),"15172425",B1416))),IF(U1416="CEBAS","UNICO",IF(VALUE(B1416)&lt;=11,"AMBA","INTERIOR"))))</f>
        <v>AMBA</v>
      </c>
      <c r="W1416" s="38" t="str">
        <f>+IF(U1416="","-",CONCATENATE(U1416,"_",V1416))</f>
        <v>EPA_AMBA</v>
      </c>
      <c r="X1416" s="42">
        <v>0.51800000000000002</v>
      </c>
    </row>
    <row r="1417" spans="1:24" ht="15" thickBot="1">
      <c r="A1417" s="3" t="s">
        <v>2916</v>
      </c>
      <c r="B1417" s="3" t="s">
        <v>257</v>
      </c>
      <c r="C1417" s="3" t="s">
        <v>254</v>
      </c>
      <c r="D1417" s="3" t="s">
        <v>256</v>
      </c>
      <c r="E1417" s="3">
        <v>613492</v>
      </c>
      <c r="F1417" s="3">
        <v>0</v>
      </c>
      <c r="G1417" s="3" t="s">
        <v>274</v>
      </c>
      <c r="H1417" s="3" t="s">
        <v>20</v>
      </c>
      <c r="I1417" s="4" t="s">
        <v>110</v>
      </c>
      <c r="J1417" s="4" t="s">
        <v>21</v>
      </c>
      <c r="K1417" s="4"/>
      <c r="L1417" s="4" t="s">
        <v>323</v>
      </c>
      <c r="M1417" s="4" t="s">
        <v>22</v>
      </c>
      <c r="N1417" s="4" t="s">
        <v>23</v>
      </c>
      <c r="O1417" s="4" t="s">
        <v>27</v>
      </c>
      <c r="P1417" s="4" t="s">
        <v>28</v>
      </c>
      <c r="Q1417" s="24">
        <v>63</v>
      </c>
      <c r="R1417" s="25">
        <v>4</v>
      </c>
      <c r="S1417" s="39">
        <v>1</v>
      </c>
      <c r="T1417" s="7"/>
      <c r="U1417" s="7" t="s">
        <v>2912</v>
      </c>
      <c r="V1417" s="7" t="str">
        <f>+IF(U1417="","",IF(U1417="FINES",CONCATENATE("R",IF(OR(B1417="16",B1417="21",B1417="22",B1417="23"),"16212223",IF(OR(B1417="15",B1417="17",B1417="24",B1417="25"),"15172425",B1417))),IF(U1417="CEBAS","UNICO",IF(VALUE(B1417)&lt;=11,"AMBA","INTERIOR"))))</f>
        <v>AMBA</v>
      </c>
      <c r="W1417" s="38" t="str">
        <f>+IF(U1417="","-",CONCATENATE(U1417,"_",V1417))</f>
        <v>EPA_AMBA</v>
      </c>
      <c r="X1417" s="42">
        <v>0.51900000000000002</v>
      </c>
    </row>
    <row r="1418" spans="1:24" ht="15" thickBot="1">
      <c r="A1418" s="5" t="s">
        <v>2916</v>
      </c>
      <c r="B1418" s="5" t="s">
        <v>138</v>
      </c>
      <c r="C1418" s="5" t="s">
        <v>1507</v>
      </c>
      <c r="D1418" s="5" t="s">
        <v>1508</v>
      </c>
      <c r="E1418" s="5">
        <v>616173</v>
      </c>
      <c r="F1418" s="5">
        <v>0</v>
      </c>
      <c r="G1418" s="5" t="s">
        <v>1516</v>
      </c>
      <c r="H1418" s="5" t="s">
        <v>20</v>
      </c>
      <c r="I1418" s="6" t="s">
        <v>110</v>
      </c>
      <c r="J1418" s="6" t="s">
        <v>21</v>
      </c>
      <c r="K1418" s="6"/>
      <c r="L1418" s="6" t="s">
        <v>1117</v>
      </c>
      <c r="M1418" s="6" t="s">
        <v>199</v>
      </c>
      <c r="N1418" s="6" t="s">
        <v>23</v>
      </c>
      <c r="O1418" s="6" t="s">
        <v>27</v>
      </c>
      <c r="P1418" s="6" t="s">
        <v>28</v>
      </c>
      <c r="Q1418" s="22">
        <v>191</v>
      </c>
      <c r="R1418" s="23">
        <v>13</v>
      </c>
      <c r="S1418" s="39">
        <v>1</v>
      </c>
      <c r="T1418" s="7"/>
      <c r="U1418" s="7" t="s">
        <v>2912</v>
      </c>
      <c r="V1418" s="7" t="str">
        <f>+IF(U1418="","",IF(U1418="FINES",CONCATENATE("R",IF(OR(B1418="16",B1418="21",B1418="22",B1418="23"),"16212223",IF(OR(B1418="15",B1418="17",B1418="24",B1418="25"),"15172425",B1418))),IF(U1418="CEBAS","UNICO",IF(VALUE(B1418)&lt;=11,"AMBA","INTERIOR"))))</f>
        <v>AMBA</v>
      </c>
      <c r="W1418" s="38" t="str">
        <f>+IF(U1418="","-",CONCATENATE(U1418,"_",V1418))</f>
        <v>EPA_AMBA</v>
      </c>
      <c r="X1418" s="42">
        <v>0.52200000000000002</v>
      </c>
    </row>
    <row r="1419" spans="1:24" ht="15" thickBot="1">
      <c r="A1419" s="3" t="s">
        <v>2916</v>
      </c>
      <c r="B1419" s="3" t="s">
        <v>19</v>
      </c>
      <c r="C1419" s="3" t="s">
        <v>17</v>
      </c>
      <c r="D1419" s="3" t="s">
        <v>18</v>
      </c>
      <c r="E1419" s="3">
        <v>603179</v>
      </c>
      <c r="F1419" s="3">
        <v>0</v>
      </c>
      <c r="G1419" s="3" t="s">
        <v>128</v>
      </c>
      <c r="H1419" s="3" t="s">
        <v>20</v>
      </c>
      <c r="I1419" s="4" t="s">
        <v>110</v>
      </c>
      <c r="J1419" s="4" t="s">
        <v>21</v>
      </c>
      <c r="K1419" s="4"/>
      <c r="L1419" s="4" t="s">
        <v>129</v>
      </c>
      <c r="M1419" s="4" t="s">
        <v>22</v>
      </c>
      <c r="N1419" s="4" t="s">
        <v>23</v>
      </c>
      <c r="O1419" s="4" t="s">
        <v>27</v>
      </c>
      <c r="P1419" s="4" t="s">
        <v>28</v>
      </c>
      <c r="Q1419" s="24">
        <v>301</v>
      </c>
      <c r="R1419" s="25">
        <v>17</v>
      </c>
      <c r="S1419" s="39">
        <v>1</v>
      </c>
      <c r="T1419" s="7"/>
      <c r="U1419" s="7" t="s">
        <v>2912</v>
      </c>
      <c r="V1419" s="7" t="str">
        <f>+IF(U1419="","",IF(U1419="FINES",CONCATENATE("R",IF(OR(B1419="16",B1419="21",B1419="22",B1419="23"),"16212223",IF(OR(B1419="15",B1419="17",B1419="24",B1419="25"),"15172425",B1419))),IF(U1419="CEBAS","UNICO",IF(VALUE(B1419)&lt;=11,"AMBA","INTERIOR"))))</f>
        <v>AMBA</v>
      </c>
      <c r="W1419" s="38" t="str">
        <f>+IF(U1419="","-",CONCATENATE(U1419,"_",V1419))</f>
        <v>EPA_AMBA</v>
      </c>
      <c r="X1419" s="42">
        <v>0.52700000000000002</v>
      </c>
    </row>
    <row r="1420" spans="1:24" ht="15" thickBot="1">
      <c r="A1420" s="3" t="s">
        <v>2916</v>
      </c>
      <c r="B1420" s="3" t="s">
        <v>1532</v>
      </c>
      <c r="C1420" s="3" t="s">
        <v>1530</v>
      </c>
      <c r="D1420" s="3" t="s">
        <v>1531</v>
      </c>
      <c r="E1420" s="3">
        <v>611493</v>
      </c>
      <c r="F1420" s="3">
        <v>0</v>
      </c>
      <c r="G1420" s="3" t="s">
        <v>1578</v>
      </c>
      <c r="H1420" s="3" t="s">
        <v>20</v>
      </c>
      <c r="I1420" s="4" t="s">
        <v>110</v>
      </c>
      <c r="J1420" s="4" t="s">
        <v>21</v>
      </c>
      <c r="K1420" s="4"/>
      <c r="L1420" s="4" t="s">
        <v>1660</v>
      </c>
      <c r="M1420" s="4" t="s">
        <v>22</v>
      </c>
      <c r="N1420" s="4" t="s">
        <v>134</v>
      </c>
      <c r="O1420" s="4" t="s">
        <v>27</v>
      </c>
      <c r="P1420" s="4" t="s">
        <v>28</v>
      </c>
      <c r="Q1420" s="24">
        <v>197</v>
      </c>
      <c r="R1420" s="25">
        <v>19</v>
      </c>
      <c r="S1420" s="39">
        <v>1</v>
      </c>
      <c r="T1420" s="7"/>
      <c r="U1420" s="7" t="s">
        <v>2912</v>
      </c>
      <c r="V1420" s="7" t="str">
        <f>+IF(U1420="","",IF(U1420="FINES",CONCATENATE("R",IF(OR(B1420="16",B1420="21",B1420="22",B1420="23"),"16212223",IF(OR(B1420="15",B1420="17",B1420="24",B1420="25"),"15172425",B1420))),IF(U1420="CEBAS","UNICO",IF(VALUE(B1420)&lt;=11,"AMBA","INTERIOR"))))</f>
        <v>AMBA</v>
      </c>
      <c r="W1420" s="38" t="str">
        <f>+IF(U1420="","-",CONCATENATE(U1420,"_",V1420))</f>
        <v>EPA_AMBA</v>
      </c>
      <c r="X1420" s="42">
        <v>0.53</v>
      </c>
    </row>
    <row r="1421" spans="1:24" ht="15" thickBot="1">
      <c r="A1421" s="5" t="s">
        <v>2916</v>
      </c>
      <c r="B1421" s="5" t="s">
        <v>356</v>
      </c>
      <c r="C1421" s="5" t="s">
        <v>1359</v>
      </c>
      <c r="D1421" s="5" t="s">
        <v>1360</v>
      </c>
      <c r="E1421" s="5">
        <v>624284</v>
      </c>
      <c r="F1421" s="5">
        <v>0</v>
      </c>
      <c r="G1421" s="5" t="s">
        <v>1422</v>
      </c>
      <c r="H1421" s="5" t="s">
        <v>20</v>
      </c>
      <c r="I1421" s="6" t="s">
        <v>110</v>
      </c>
      <c r="J1421" s="6" t="s">
        <v>21</v>
      </c>
      <c r="K1421" s="6"/>
      <c r="L1421" s="6" t="s">
        <v>1423</v>
      </c>
      <c r="M1421" s="6" t="s">
        <v>22</v>
      </c>
      <c r="N1421" s="6" t="s">
        <v>23</v>
      </c>
      <c r="O1421" s="6" t="s">
        <v>27</v>
      </c>
      <c r="P1421" s="6" t="s">
        <v>28</v>
      </c>
      <c r="Q1421" s="22">
        <v>155</v>
      </c>
      <c r="R1421" s="23">
        <v>10</v>
      </c>
      <c r="S1421" s="39">
        <v>1</v>
      </c>
      <c r="T1421" s="7"/>
      <c r="U1421" s="7" t="s">
        <v>2912</v>
      </c>
      <c r="V1421" s="7" t="str">
        <f>+IF(U1421="","",IF(U1421="FINES",CONCATENATE("R",IF(OR(B1421="16",B1421="21",B1421="22",B1421="23"),"16212223",IF(OR(B1421="15",B1421="17",B1421="24",B1421="25"),"15172425",B1421))),IF(U1421="CEBAS","UNICO",IF(VALUE(B1421)&lt;=11,"AMBA","INTERIOR"))))</f>
        <v>AMBA</v>
      </c>
      <c r="W1421" s="38" t="str">
        <f>+IF(U1421="","-",CONCATENATE(U1421,"_",V1421))</f>
        <v>EPA_AMBA</v>
      </c>
      <c r="X1421" s="42">
        <v>0.53</v>
      </c>
    </row>
    <row r="1422" spans="1:24" ht="15" thickBot="1">
      <c r="A1422" s="5" t="s">
        <v>2916</v>
      </c>
      <c r="B1422" s="5" t="s">
        <v>257</v>
      </c>
      <c r="C1422" s="5" t="s">
        <v>415</v>
      </c>
      <c r="D1422" s="5" t="s">
        <v>2770</v>
      </c>
      <c r="E1422" s="5">
        <v>623940</v>
      </c>
      <c r="F1422" s="5">
        <v>0</v>
      </c>
      <c r="G1422" s="5" t="s">
        <v>2779</v>
      </c>
      <c r="H1422" s="5" t="s">
        <v>20</v>
      </c>
      <c r="I1422" s="6" t="s">
        <v>110</v>
      </c>
      <c r="J1422" s="6" t="s">
        <v>21</v>
      </c>
      <c r="K1422" s="6"/>
      <c r="L1422" s="6" t="s">
        <v>2780</v>
      </c>
      <c r="M1422" s="6" t="s">
        <v>22</v>
      </c>
      <c r="N1422" s="6" t="s">
        <v>23</v>
      </c>
      <c r="O1422" s="6" t="s">
        <v>27</v>
      </c>
      <c r="P1422" s="6" t="s">
        <v>28</v>
      </c>
      <c r="Q1422" s="22">
        <v>195</v>
      </c>
      <c r="R1422" s="23">
        <v>11</v>
      </c>
      <c r="S1422" s="39">
        <v>1</v>
      </c>
      <c r="T1422" s="7"/>
      <c r="U1422" t="s">
        <v>2912</v>
      </c>
      <c r="V1422" s="7" t="str">
        <f>+IF(U1422="","",IF(U1422="FINES",CONCATENATE("R",IF(OR(B1422="16",B1422="21",B1422="22",B1422="23"),"16212223",IF(OR(B1422="15",B1422="17",B1422="24",B1422="25"),"15172425",B1422))),IF(U1422="CEBAS","UNICO",IF(VALUE(B1422)&lt;=11,"AMBA","INTERIOR"))))</f>
        <v>AMBA</v>
      </c>
      <c r="W1422" s="38" t="str">
        <f>+IF(U1422="","-",CONCATENATE(U1422,"_",V1422))</f>
        <v>EPA_AMBA</v>
      </c>
      <c r="X1422" s="42">
        <v>0.53200000000000003</v>
      </c>
    </row>
    <row r="1423" spans="1:24" ht="15" thickBot="1">
      <c r="A1423" s="3" t="s">
        <v>2916</v>
      </c>
      <c r="B1423" s="3" t="s">
        <v>817</v>
      </c>
      <c r="C1423" s="3" t="s">
        <v>2080</v>
      </c>
      <c r="D1423" s="3" t="s">
        <v>2081</v>
      </c>
      <c r="E1423" s="3">
        <v>612025</v>
      </c>
      <c r="F1423" s="3">
        <v>0</v>
      </c>
      <c r="G1423" s="3" t="s">
        <v>2099</v>
      </c>
      <c r="H1423" s="3" t="s">
        <v>20</v>
      </c>
      <c r="I1423" s="4" t="s">
        <v>110</v>
      </c>
      <c r="J1423" s="4" t="s">
        <v>21</v>
      </c>
      <c r="K1423" s="4"/>
      <c r="L1423" s="4" t="s">
        <v>2129</v>
      </c>
      <c r="M1423" s="4" t="s">
        <v>22</v>
      </c>
      <c r="N1423" s="4" t="s">
        <v>23</v>
      </c>
      <c r="O1423" s="4" t="s">
        <v>27</v>
      </c>
      <c r="P1423" s="4" t="s">
        <v>28</v>
      </c>
      <c r="Q1423" s="24">
        <v>231</v>
      </c>
      <c r="R1423" s="25">
        <v>18</v>
      </c>
      <c r="S1423" s="39">
        <v>1</v>
      </c>
      <c r="T1423" s="7"/>
      <c r="U1423" t="s">
        <v>2912</v>
      </c>
      <c r="V1423" s="7" t="str">
        <f>+IF(U1423="","",IF(U1423="FINES",CONCATENATE("R",IF(OR(B1423="16",B1423="21",B1423="22",B1423="23"),"16212223",IF(OR(B1423="15",B1423="17",B1423="24",B1423="25"),"15172425",B1423))),IF(U1423="CEBAS","UNICO",IF(VALUE(B1423)&lt;=11,"AMBA","INTERIOR"))))</f>
        <v>AMBA</v>
      </c>
      <c r="W1423" s="38" t="str">
        <f>+IF(U1423="","-",CONCATENATE(U1423,"_",V1423))</f>
        <v>EPA_AMBA</v>
      </c>
      <c r="X1423" s="42">
        <v>0.53400000000000003</v>
      </c>
    </row>
    <row r="1424" spans="1:24" ht="15" thickBot="1">
      <c r="A1424" s="5" t="s">
        <v>2916</v>
      </c>
      <c r="B1424" s="5" t="s">
        <v>1780</v>
      </c>
      <c r="C1424" s="5" t="s">
        <v>1778</v>
      </c>
      <c r="D1424" s="5" t="s">
        <v>1779</v>
      </c>
      <c r="E1424" s="5">
        <v>624724</v>
      </c>
      <c r="F1424" s="5">
        <v>0</v>
      </c>
      <c r="G1424" s="5" t="s">
        <v>1826</v>
      </c>
      <c r="H1424" s="5" t="s">
        <v>20</v>
      </c>
      <c r="I1424" s="6" t="s">
        <v>110</v>
      </c>
      <c r="J1424" s="6" t="s">
        <v>21</v>
      </c>
      <c r="K1424" s="6"/>
      <c r="L1424" s="6" t="s">
        <v>1827</v>
      </c>
      <c r="M1424" s="6" t="s">
        <v>22</v>
      </c>
      <c r="N1424" s="6" t="s">
        <v>23</v>
      </c>
      <c r="O1424" s="6" t="s">
        <v>27</v>
      </c>
      <c r="P1424" s="6" t="s">
        <v>28</v>
      </c>
      <c r="Q1424" s="22">
        <v>203</v>
      </c>
      <c r="R1424" s="23">
        <v>10</v>
      </c>
      <c r="S1424" s="39">
        <v>1</v>
      </c>
      <c r="T1424" s="7"/>
      <c r="U1424" t="s">
        <v>2912</v>
      </c>
      <c r="V1424" s="7" t="str">
        <f>+IF(U1424="","",IF(U1424="FINES",CONCATENATE("R",IF(OR(B1424="16",B1424="21",B1424="22",B1424="23"),"16212223",IF(OR(B1424="15",B1424="17",B1424="24",B1424="25"),"15172425",B1424))),IF(U1424="CEBAS","UNICO",IF(VALUE(B1424)&lt;=11,"AMBA","INTERIOR"))))</f>
        <v>AMBA</v>
      </c>
      <c r="W1424" s="38" t="str">
        <f>+IF(U1424="","-",CONCATENATE(U1424,"_",V1424))</f>
        <v>EPA_AMBA</v>
      </c>
      <c r="X1424" s="42">
        <v>0.53800000000000003</v>
      </c>
    </row>
    <row r="1425" spans="1:24" ht="15" thickBot="1">
      <c r="A1425" s="3" t="s">
        <v>2916</v>
      </c>
      <c r="B1425" s="3" t="s">
        <v>204</v>
      </c>
      <c r="C1425" s="3" t="s">
        <v>219</v>
      </c>
      <c r="D1425" s="3" t="s">
        <v>2865</v>
      </c>
      <c r="E1425" s="3">
        <v>600021</v>
      </c>
      <c r="F1425" s="3">
        <v>0</v>
      </c>
      <c r="G1425" s="3" t="s">
        <v>2867</v>
      </c>
      <c r="H1425" s="3" t="s">
        <v>20</v>
      </c>
      <c r="I1425" s="4" t="s">
        <v>110</v>
      </c>
      <c r="J1425" s="4" t="s">
        <v>21</v>
      </c>
      <c r="K1425" s="4"/>
      <c r="L1425" s="4" t="s">
        <v>2481</v>
      </c>
      <c r="M1425" s="4" t="s">
        <v>22</v>
      </c>
      <c r="N1425" s="4" t="s">
        <v>23</v>
      </c>
      <c r="O1425" s="4" t="s">
        <v>27</v>
      </c>
      <c r="P1425" s="4" t="s">
        <v>28</v>
      </c>
      <c r="Q1425" s="24">
        <v>60</v>
      </c>
      <c r="R1425" s="25">
        <v>4</v>
      </c>
      <c r="S1425" s="39">
        <v>1</v>
      </c>
      <c r="T1425" s="7"/>
      <c r="U1425" t="s">
        <v>2912</v>
      </c>
      <c r="V1425" s="7" t="str">
        <f>+IF(U1425="","",IF(U1425="FINES",CONCATENATE("R",IF(OR(B1425="16",B1425="21",B1425="22",B1425="23"),"16212223",IF(OR(B1425="15",B1425="17",B1425="24",B1425="25"),"15172425",B1425))),IF(U1425="CEBAS","UNICO",IF(VALUE(B1425)&lt;=11,"AMBA","INTERIOR"))))</f>
        <v>AMBA</v>
      </c>
      <c r="W1425" s="38" t="str">
        <f>+IF(U1425="","-",CONCATENATE(U1425,"_",V1425))</f>
        <v>EPA_AMBA</v>
      </c>
      <c r="X1425" s="42">
        <v>0.53800000000000003</v>
      </c>
    </row>
    <row r="1426" spans="1:24" ht="15" thickBot="1">
      <c r="A1426" s="3" t="s">
        <v>2916</v>
      </c>
      <c r="B1426" s="3" t="s">
        <v>1860</v>
      </c>
      <c r="C1426" s="3" t="s">
        <v>1858</v>
      </c>
      <c r="D1426" s="3" t="s">
        <v>1859</v>
      </c>
      <c r="E1426" s="3">
        <v>616644</v>
      </c>
      <c r="F1426" s="3">
        <v>0</v>
      </c>
      <c r="G1426" s="3" t="s">
        <v>1896</v>
      </c>
      <c r="H1426" s="3" t="s">
        <v>20</v>
      </c>
      <c r="I1426" s="4" t="s">
        <v>110</v>
      </c>
      <c r="J1426" s="4" t="s">
        <v>21</v>
      </c>
      <c r="K1426" s="4"/>
      <c r="L1426" s="4" t="s">
        <v>1897</v>
      </c>
      <c r="M1426" s="4" t="s">
        <v>22</v>
      </c>
      <c r="N1426" s="4" t="s">
        <v>23</v>
      </c>
      <c r="O1426" s="4" t="s">
        <v>27</v>
      </c>
      <c r="P1426" s="4" t="s">
        <v>28</v>
      </c>
      <c r="Q1426" s="24">
        <v>404</v>
      </c>
      <c r="R1426" s="25">
        <v>18</v>
      </c>
      <c r="S1426" s="39">
        <v>1</v>
      </c>
      <c r="T1426" s="7"/>
      <c r="U1426" t="s">
        <v>2912</v>
      </c>
      <c r="V1426" s="7" t="str">
        <f>+IF(U1426="","",IF(U1426="FINES",CONCATENATE("R",IF(OR(B1426="16",B1426="21",B1426="22",B1426="23"),"16212223",IF(OR(B1426="15",B1426="17",B1426="24",B1426="25"),"15172425",B1426))),IF(U1426="CEBAS","UNICO",IF(VALUE(B1426)&lt;=11,"AMBA","INTERIOR"))))</f>
        <v>AMBA</v>
      </c>
      <c r="W1426" s="38" t="str">
        <f>+IF(U1426="","-",CONCATENATE(U1426,"_",V1426))</f>
        <v>EPA_AMBA</v>
      </c>
      <c r="X1426" s="42">
        <v>0.54</v>
      </c>
    </row>
    <row r="1427" spans="1:24" ht="15" thickBot="1">
      <c r="A1427" s="3" t="s">
        <v>2916</v>
      </c>
      <c r="B1427" s="3" t="s">
        <v>222</v>
      </c>
      <c r="C1427" s="3" t="s">
        <v>1154</v>
      </c>
      <c r="D1427" s="3" t="s">
        <v>1155</v>
      </c>
      <c r="E1427" s="3">
        <v>605912</v>
      </c>
      <c r="F1427" s="3">
        <v>0</v>
      </c>
      <c r="G1427" s="3" t="s">
        <v>1159</v>
      </c>
      <c r="H1427" s="3" t="s">
        <v>20</v>
      </c>
      <c r="I1427" s="4" t="s">
        <v>110</v>
      </c>
      <c r="J1427" s="4" t="s">
        <v>21</v>
      </c>
      <c r="K1427" s="4"/>
      <c r="L1427" s="4" t="s">
        <v>847</v>
      </c>
      <c r="M1427" s="4" t="s">
        <v>22</v>
      </c>
      <c r="N1427" s="4" t="s">
        <v>23</v>
      </c>
      <c r="O1427" s="4" t="s">
        <v>27</v>
      </c>
      <c r="P1427" s="4" t="s">
        <v>28</v>
      </c>
      <c r="Q1427" s="24">
        <v>21</v>
      </c>
      <c r="R1427" s="25">
        <v>2</v>
      </c>
      <c r="S1427" s="39">
        <v>1</v>
      </c>
      <c r="T1427" s="7"/>
      <c r="U1427" t="s">
        <v>2912</v>
      </c>
      <c r="V1427" s="7" t="str">
        <f>+IF(U1427="","",IF(U1427="FINES",CONCATENATE("R",IF(OR(B1427="16",B1427="21",B1427="22",B1427="23"),"16212223",IF(OR(B1427="15",B1427="17",B1427="24",B1427="25"),"15172425",B1427))),IF(U1427="CEBAS","UNICO",IF(VALUE(B1427)&lt;=11,"AMBA","INTERIOR"))))</f>
        <v>AMBA</v>
      </c>
      <c r="W1427" s="38" t="str">
        <f>+IF(U1427="","-",CONCATENATE(U1427,"_",V1427))</f>
        <v>EPA_AMBA</v>
      </c>
      <c r="X1427" s="42">
        <v>0.54600000000000004</v>
      </c>
    </row>
    <row r="1428" spans="1:24" ht="15" thickBot="1">
      <c r="A1428" s="5" t="s">
        <v>2916</v>
      </c>
      <c r="B1428" s="5" t="s">
        <v>1257</v>
      </c>
      <c r="C1428" s="5" t="s">
        <v>2213</v>
      </c>
      <c r="D1428" s="5" t="s">
        <v>2214</v>
      </c>
      <c r="E1428" s="5">
        <v>607654</v>
      </c>
      <c r="F1428" s="5">
        <v>0</v>
      </c>
      <c r="G1428" s="5" t="s">
        <v>2224</v>
      </c>
      <c r="H1428" s="5" t="s">
        <v>20</v>
      </c>
      <c r="I1428" s="6" t="s">
        <v>110</v>
      </c>
      <c r="J1428" s="6" t="s">
        <v>21</v>
      </c>
      <c r="K1428" s="6"/>
      <c r="L1428" s="6" t="s">
        <v>2232</v>
      </c>
      <c r="M1428" s="6" t="s">
        <v>22</v>
      </c>
      <c r="N1428" s="6" t="s">
        <v>23</v>
      </c>
      <c r="O1428" s="6" t="s">
        <v>27</v>
      </c>
      <c r="P1428" s="6" t="s">
        <v>28</v>
      </c>
      <c r="Q1428" s="22">
        <v>86</v>
      </c>
      <c r="R1428" s="23">
        <v>7</v>
      </c>
      <c r="S1428" s="39">
        <v>1</v>
      </c>
      <c r="T1428" s="7"/>
      <c r="U1428" t="s">
        <v>2912</v>
      </c>
      <c r="V1428" s="7" t="str">
        <f>+IF(U1428="","",IF(U1428="FINES",CONCATENATE("R",IF(OR(B1428="16",B1428="21",B1428="22",B1428="23"),"16212223",IF(OR(B1428="15",B1428="17",B1428="24",B1428="25"),"15172425",B1428))),IF(U1428="CEBAS","UNICO",IF(VALUE(B1428)&lt;=11,"AMBA","INTERIOR"))))</f>
        <v>AMBA</v>
      </c>
      <c r="W1428" s="38" t="str">
        <f>+IF(U1428="","-",CONCATENATE(U1428,"_",V1428))</f>
        <v>EPA_AMBA</v>
      </c>
      <c r="X1428" s="42">
        <v>0.55400000000000005</v>
      </c>
    </row>
    <row r="1429" spans="1:24" ht="15" thickBot="1">
      <c r="A1429" s="3" t="s">
        <v>2916</v>
      </c>
      <c r="B1429" s="3" t="s">
        <v>1532</v>
      </c>
      <c r="C1429" s="3" t="s">
        <v>1530</v>
      </c>
      <c r="D1429" s="3" t="s">
        <v>1531</v>
      </c>
      <c r="E1429" s="3">
        <v>611864</v>
      </c>
      <c r="F1429" s="3">
        <v>0</v>
      </c>
      <c r="G1429" s="3" t="s">
        <v>1603</v>
      </c>
      <c r="H1429" s="3" t="s">
        <v>20</v>
      </c>
      <c r="I1429" s="4" t="s">
        <v>110</v>
      </c>
      <c r="J1429" s="4" t="s">
        <v>21</v>
      </c>
      <c r="K1429" s="4"/>
      <c r="L1429" s="4" t="s">
        <v>1018</v>
      </c>
      <c r="M1429" s="4" t="s">
        <v>22</v>
      </c>
      <c r="N1429" s="4" t="s">
        <v>23</v>
      </c>
      <c r="O1429" s="4" t="s">
        <v>27</v>
      </c>
      <c r="P1429" s="4" t="s">
        <v>28</v>
      </c>
      <c r="Q1429" s="24">
        <v>99</v>
      </c>
      <c r="R1429" s="25">
        <v>7</v>
      </c>
      <c r="S1429" s="39">
        <v>1</v>
      </c>
      <c r="T1429" s="7"/>
      <c r="U1429" t="s">
        <v>2912</v>
      </c>
      <c r="V1429" s="7" t="str">
        <f>+IF(U1429="","",IF(U1429="FINES",CONCATENATE("R",IF(OR(B1429="16",B1429="21",B1429="22",B1429="23"),"16212223",IF(OR(B1429="15",B1429="17",B1429="24",B1429="25"),"15172425",B1429))),IF(U1429="CEBAS","UNICO",IF(VALUE(B1429)&lt;=11,"AMBA","INTERIOR"))))</f>
        <v>AMBA</v>
      </c>
      <c r="W1429" s="38" t="str">
        <f>+IF(U1429="","-",CONCATENATE(U1429,"_",V1429))</f>
        <v>EPA_AMBA</v>
      </c>
      <c r="X1429" s="42">
        <v>0.55800000000000005</v>
      </c>
    </row>
    <row r="1430" spans="1:24" ht="15" thickBot="1">
      <c r="A1430" s="3" t="s">
        <v>2916</v>
      </c>
      <c r="B1430" s="3" t="s">
        <v>1780</v>
      </c>
      <c r="C1430" s="3" t="s">
        <v>1778</v>
      </c>
      <c r="D1430" s="3" t="s">
        <v>1779</v>
      </c>
      <c r="E1430" s="3">
        <v>602795</v>
      </c>
      <c r="F1430" s="3">
        <v>0</v>
      </c>
      <c r="G1430" s="3" t="s">
        <v>1819</v>
      </c>
      <c r="H1430" s="3" t="s">
        <v>20</v>
      </c>
      <c r="I1430" s="4" t="s">
        <v>110</v>
      </c>
      <c r="J1430" s="4" t="s">
        <v>21</v>
      </c>
      <c r="K1430" s="4"/>
      <c r="L1430" s="4" t="s">
        <v>1663</v>
      </c>
      <c r="M1430" s="4" t="s">
        <v>22</v>
      </c>
      <c r="N1430" s="4" t="s">
        <v>23</v>
      </c>
      <c r="O1430" s="4" t="s">
        <v>27</v>
      </c>
      <c r="P1430" s="4" t="s">
        <v>28</v>
      </c>
      <c r="Q1430" s="24">
        <v>169</v>
      </c>
      <c r="R1430" s="25">
        <v>15</v>
      </c>
      <c r="S1430" s="39">
        <v>1</v>
      </c>
      <c r="T1430" s="7"/>
      <c r="U1430" s="7" t="s">
        <v>2912</v>
      </c>
      <c r="V1430" s="7" t="str">
        <f>+IF(U1430="","",IF(U1430="FINES",CONCATENATE("R",IF(OR(B1430="16",B1430="21",B1430="22",B1430="23"),"16212223",IF(OR(B1430="15",B1430="17",B1430="24",B1430="25"),"15172425",B1430))),IF(U1430="CEBAS","UNICO",IF(VALUE(B1430)&lt;=11,"AMBA","INTERIOR"))))</f>
        <v>AMBA</v>
      </c>
      <c r="W1430" s="38" t="str">
        <f>+IF(U1430="","-",CONCATENATE(U1430,"_",V1430))</f>
        <v>EPA_AMBA</v>
      </c>
      <c r="X1430" s="42">
        <v>0.55900000000000005</v>
      </c>
    </row>
    <row r="1431" spans="1:24" ht="15" thickBot="1">
      <c r="A1431" s="5" t="s">
        <v>2916</v>
      </c>
      <c r="B1431" s="5" t="s">
        <v>1780</v>
      </c>
      <c r="C1431" s="5" t="s">
        <v>238</v>
      </c>
      <c r="D1431" s="5" t="s">
        <v>2887</v>
      </c>
      <c r="E1431" s="5">
        <v>600226</v>
      </c>
      <c r="F1431" s="5">
        <v>0</v>
      </c>
      <c r="G1431" s="5" t="s">
        <v>2894</v>
      </c>
      <c r="H1431" s="5" t="s">
        <v>20</v>
      </c>
      <c r="I1431" s="6" t="s">
        <v>110</v>
      </c>
      <c r="J1431" s="6" t="s">
        <v>21</v>
      </c>
      <c r="K1431" s="6"/>
      <c r="L1431" s="6" t="s">
        <v>2895</v>
      </c>
      <c r="M1431" s="6" t="s">
        <v>22</v>
      </c>
      <c r="N1431" s="6" t="s">
        <v>23</v>
      </c>
      <c r="O1431" s="6" t="s">
        <v>27</v>
      </c>
      <c r="P1431" s="6" t="s">
        <v>28</v>
      </c>
      <c r="Q1431" s="22">
        <v>103</v>
      </c>
      <c r="R1431" s="23">
        <v>8</v>
      </c>
      <c r="S1431" s="39">
        <v>1</v>
      </c>
      <c r="T1431" s="7"/>
      <c r="U1431" s="7" t="s">
        <v>2912</v>
      </c>
      <c r="V1431" s="7" t="str">
        <f>+IF(U1431="","",IF(U1431="FINES",CONCATENATE("R",IF(OR(B1431="16",B1431="21",B1431="22",B1431="23"),"16212223",IF(OR(B1431="15",B1431="17",B1431="24",B1431="25"),"15172425",B1431))),IF(U1431="CEBAS","UNICO",IF(VALUE(B1431)&lt;=11,"AMBA","INTERIOR"))))</f>
        <v>AMBA</v>
      </c>
      <c r="W1431" s="38" t="str">
        <f>+IF(U1431="","-",CONCATENATE(U1431,"_",V1431))</f>
        <v>EPA_AMBA</v>
      </c>
      <c r="X1431" s="42">
        <v>0.56200000000000006</v>
      </c>
    </row>
    <row r="1432" spans="1:24" ht="15" thickBot="1">
      <c r="A1432" s="3" t="s">
        <v>2916</v>
      </c>
      <c r="B1432" s="3" t="s">
        <v>204</v>
      </c>
      <c r="C1432" s="3" t="s">
        <v>1084</v>
      </c>
      <c r="D1432" s="3" t="s">
        <v>1085</v>
      </c>
      <c r="E1432" s="3">
        <v>612517</v>
      </c>
      <c r="F1432" s="3">
        <v>0</v>
      </c>
      <c r="G1432" s="3" t="s">
        <v>1099</v>
      </c>
      <c r="H1432" s="3" t="s">
        <v>20</v>
      </c>
      <c r="I1432" s="4" t="s">
        <v>110</v>
      </c>
      <c r="J1432" s="4" t="s">
        <v>21</v>
      </c>
      <c r="K1432" s="4"/>
      <c r="L1432" s="4" t="s">
        <v>1115</v>
      </c>
      <c r="M1432" s="4" t="s">
        <v>22</v>
      </c>
      <c r="N1432" s="4" t="s">
        <v>23</v>
      </c>
      <c r="O1432" s="4" t="s">
        <v>27</v>
      </c>
      <c r="P1432" s="4" t="s">
        <v>28</v>
      </c>
      <c r="Q1432" s="24">
        <v>49</v>
      </c>
      <c r="R1432" s="25">
        <v>3</v>
      </c>
      <c r="S1432" s="39">
        <v>1</v>
      </c>
      <c r="T1432" s="7"/>
      <c r="U1432" s="7" t="s">
        <v>2912</v>
      </c>
      <c r="V1432" s="7" t="str">
        <f>+IF(U1432="","",IF(U1432="FINES",CONCATENATE("R",IF(OR(B1432="16",B1432="21",B1432="22",B1432="23"),"16212223",IF(OR(B1432="15",B1432="17",B1432="24",B1432="25"),"15172425",B1432))),IF(U1432="CEBAS","UNICO",IF(VALUE(B1432)&lt;=11,"AMBA","INTERIOR"))))</f>
        <v>AMBA</v>
      </c>
      <c r="W1432" s="38" t="str">
        <f>+IF(U1432="","-",CONCATENATE(U1432,"_",V1432))</f>
        <v>EPA_AMBA</v>
      </c>
      <c r="X1432" s="42">
        <v>0.56399999999999995</v>
      </c>
    </row>
    <row r="1433" spans="1:24" ht="15" thickBot="1">
      <c r="A1433" s="3" t="s">
        <v>2916</v>
      </c>
      <c r="B1433" s="3" t="s">
        <v>1780</v>
      </c>
      <c r="C1433" s="3" t="s">
        <v>1248</v>
      </c>
      <c r="D1433" s="3" t="s">
        <v>2348</v>
      </c>
      <c r="E1433" s="3">
        <v>613021</v>
      </c>
      <c r="F1433" s="3">
        <v>0</v>
      </c>
      <c r="G1433" s="3" t="s">
        <v>2350</v>
      </c>
      <c r="H1433" s="3" t="s">
        <v>20</v>
      </c>
      <c r="I1433" s="4" t="s">
        <v>110</v>
      </c>
      <c r="J1433" s="4" t="s">
        <v>21</v>
      </c>
      <c r="K1433" s="4"/>
      <c r="L1433" s="4" t="s">
        <v>2367</v>
      </c>
      <c r="M1433" s="4" t="s">
        <v>22</v>
      </c>
      <c r="N1433" s="4" t="s">
        <v>23</v>
      </c>
      <c r="O1433" s="4" t="s">
        <v>27</v>
      </c>
      <c r="P1433" s="4" t="s">
        <v>28</v>
      </c>
      <c r="Q1433" s="24">
        <v>56</v>
      </c>
      <c r="R1433" s="25">
        <v>4</v>
      </c>
      <c r="S1433" s="39">
        <v>1</v>
      </c>
      <c r="T1433" s="7"/>
      <c r="U1433" s="7" t="s">
        <v>2912</v>
      </c>
      <c r="V1433" s="7" t="str">
        <f>+IF(U1433="","",IF(U1433="FINES",CONCATENATE("R",IF(OR(B1433="16",B1433="21",B1433="22",B1433="23"),"16212223",IF(OR(B1433="15",B1433="17",B1433="24",B1433="25"),"15172425",B1433))),IF(U1433="CEBAS","UNICO",IF(VALUE(B1433)&lt;=11,"AMBA","INTERIOR"))))</f>
        <v>AMBA</v>
      </c>
      <c r="W1433" s="38" t="str">
        <f>+IF(U1433="","-",CONCATENATE(U1433,"_",V1433))</f>
        <v>EPA_AMBA</v>
      </c>
      <c r="X1433" s="42">
        <v>0.56399999999999995</v>
      </c>
    </row>
    <row r="1434" spans="1:24" ht="15" thickBot="1">
      <c r="A1434" s="3" t="s">
        <v>2916</v>
      </c>
      <c r="B1434" s="3" t="s">
        <v>1532</v>
      </c>
      <c r="C1434" s="3" t="s">
        <v>1530</v>
      </c>
      <c r="D1434" s="3" t="s">
        <v>1531</v>
      </c>
      <c r="E1434" s="3">
        <v>602213</v>
      </c>
      <c r="F1434" s="3">
        <v>0</v>
      </c>
      <c r="G1434" s="3" t="s">
        <v>1643</v>
      </c>
      <c r="H1434" s="3" t="s">
        <v>20</v>
      </c>
      <c r="I1434" s="4" t="s">
        <v>110</v>
      </c>
      <c r="J1434" s="4" t="s">
        <v>21</v>
      </c>
      <c r="K1434" s="4"/>
      <c r="L1434" s="4" t="s">
        <v>328</v>
      </c>
      <c r="M1434" s="4" t="s">
        <v>22</v>
      </c>
      <c r="N1434" s="4" t="s">
        <v>23</v>
      </c>
      <c r="O1434" s="4" t="s">
        <v>27</v>
      </c>
      <c r="P1434" s="4" t="s">
        <v>28</v>
      </c>
      <c r="Q1434" s="24">
        <v>200</v>
      </c>
      <c r="R1434" s="25">
        <v>14</v>
      </c>
      <c r="S1434" s="39">
        <v>1</v>
      </c>
      <c r="T1434" s="7"/>
      <c r="U1434" s="7" t="s">
        <v>2912</v>
      </c>
      <c r="V1434" s="7" t="str">
        <f>+IF(U1434="","",IF(U1434="FINES",CONCATENATE("R",IF(OR(B1434="16",B1434="21",B1434="22",B1434="23"),"16212223",IF(OR(B1434="15",B1434="17",B1434="24",B1434="25"),"15172425",B1434))),IF(U1434="CEBAS","UNICO",IF(VALUE(B1434)&lt;=11,"AMBA","INTERIOR"))))</f>
        <v>AMBA</v>
      </c>
      <c r="W1434" s="38" t="str">
        <f>+IF(U1434="","-",CONCATENATE(U1434,"_",V1434))</f>
        <v>EPA_AMBA</v>
      </c>
      <c r="X1434" s="42">
        <v>0.56399999999999995</v>
      </c>
    </row>
    <row r="1435" spans="1:24" ht="15" thickBot="1">
      <c r="A1435" s="3" t="s">
        <v>2916</v>
      </c>
      <c r="B1435" s="3" t="s">
        <v>1257</v>
      </c>
      <c r="C1435" s="3" t="s">
        <v>2213</v>
      </c>
      <c r="D1435" s="3" t="s">
        <v>2214</v>
      </c>
      <c r="E1435" s="3">
        <v>601935</v>
      </c>
      <c r="F1435" s="3">
        <v>0</v>
      </c>
      <c r="G1435" s="3" t="s">
        <v>2229</v>
      </c>
      <c r="H1435" s="3" t="s">
        <v>20</v>
      </c>
      <c r="I1435" s="4" t="s">
        <v>110</v>
      </c>
      <c r="J1435" s="4" t="s">
        <v>21</v>
      </c>
      <c r="K1435" s="4"/>
      <c r="L1435" s="4" t="s">
        <v>2233</v>
      </c>
      <c r="M1435" s="4" t="s">
        <v>22</v>
      </c>
      <c r="N1435" s="4" t="s">
        <v>23</v>
      </c>
      <c r="O1435" s="4" t="s">
        <v>27</v>
      </c>
      <c r="P1435" s="4" t="s">
        <v>28</v>
      </c>
      <c r="Q1435" s="24">
        <v>117</v>
      </c>
      <c r="R1435" s="25">
        <v>11</v>
      </c>
      <c r="S1435" s="39">
        <v>1</v>
      </c>
      <c r="T1435" s="7"/>
      <c r="U1435" s="7" t="s">
        <v>2912</v>
      </c>
      <c r="V1435" s="7" t="str">
        <f>+IF(U1435="","",IF(U1435="FINES",CONCATENATE("R",IF(OR(B1435="16",B1435="21",B1435="22",B1435="23"),"16212223",IF(OR(B1435="15",B1435="17",B1435="24",B1435="25"),"15172425",B1435))),IF(U1435="CEBAS","UNICO",IF(VALUE(B1435)&lt;=11,"AMBA","INTERIOR"))))</f>
        <v>AMBA</v>
      </c>
      <c r="W1435" s="38" t="str">
        <f>+IF(U1435="","-",CONCATENATE(U1435,"_",V1435))</f>
        <v>EPA_AMBA</v>
      </c>
      <c r="X1435" s="42">
        <v>0.56599999999999995</v>
      </c>
    </row>
    <row r="1436" spans="1:24" ht="15" thickBot="1">
      <c r="A1436" s="5" t="s">
        <v>2916</v>
      </c>
      <c r="B1436" s="5" t="s">
        <v>222</v>
      </c>
      <c r="C1436" s="5" t="s">
        <v>227</v>
      </c>
      <c r="D1436" s="5" t="s">
        <v>2603</v>
      </c>
      <c r="E1436" s="5">
        <v>610656</v>
      </c>
      <c r="F1436" s="5">
        <v>0</v>
      </c>
      <c r="G1436" s="5" t="s">
        <v>2610</v>
      </c>
      <c r="H1436" s="5" t="s">
        <v>20</v>
      </c>
      <c r="I1436" s="6" t="s">
        <v>110</v>
      </c>
      <c r="J1436" s="6" t="s">
        <v>21</v>
      </c>
      <c r="K1436" s="6"/>
      <c r="L1436" s="6" t="s">
        <v>843</v>
      </c>
      <c r="M1436" s="6" t="s">
        <v>22</v>
      </c>
      <c r="N1436" s="6" t="s">
        <v>23</v>
      </c>
      <c r="O1436" s="6" t="s">
        <v>27</v>
      </c>
      <c r="P1436" s="6" t="s">
        <v>28</v>
      </c>
      <c r="Q1436" s="22">
        <v>124</v>
      </c>
      <c r="R1436" s="23">
        <v>11</v>
      </c>
      <c r="S1436" s="39">
        <v>1</v>
      </c>
      <c r="T1436" s="7"/>
      <c r="U1436" s="7" t="s">
        <v>2912</v>
      </c>
      <c r="V1436" s="7" t="str">
        <f>+IF(U1436="","",IF(U1436="FINES",CONCATENATE("R",IF(OR(B1436="16",B1436="21",B1436="22",B1436="23"),"16212223",IF(OR(B1436="15",B1436="17",B1436="24",B1436="25"),"15172425",B1436))),IF(U1436="CEBAS","UNICO",IF(VALUE(B1436)&lt;=11,"AMBA","INTERIOR"))))</f>
        <v>AMBA</v>
      </c>
      <c r="W1436" s="38" t="str">
        <f>+IF(U1436="","-",CONCATENATE(U1436,"_",V1436))</f>
        <v>EPA_AMBA</v>
      </c>
      <c r="X1436" s="42">
        <v>0.57299999999999995</v>
      </c>
    </row>
    <row r="1437" spans="1:24" ht="15" thickBot="1">
      <c r="A1437" s="3" t="s">
        <v>2916</v>
      </c>
      <c r="B1437" s="3" t="s">
        <v>19</v>
      </c>
      <c r="C1437" s="3" t="s">
        <v>252</v>
      </c>
      <c r="D1437" s="3" t="s">
        <v>2566</v>
      </c>
      <c r="E1437" s="3">
        <v>602838</v>
      </c>
      <c r="F1437" s="3">
        <v>0</v>
      </c>
      <c r="G1437" s="3" t="s">
        <v>2573</v>
      </c>
      <c r="H1437" s="3" t="s">
        <v>20</v>
      </c>
      <c r="I1437" s="4" t="s">
        <v>110</v>
      </c>
      <c r="J1437" s="4" t="s">
        <v>21</v>
      </c>
      <c r="K1437" s="4"/>
      <c r="L1437" s="4" t="s">
        <v>2583</v>
      </c>
      <c r="M1437" s="4" t="s">
        <v>22</v>
      </c>
      <c r="N1437" s="4" t="s">
        <v>23</v>
      </c>
      <c r="O1437" s="4" t="s">
        <v>27</v>
      </c>
      <c r="P1437" s="4" t="s">
        <v>28</v>
      </c>
      <c r="Q1437" s="24">
        <v>72</v>
      </c>
      <c r="R1437" s="25">
        <v>6</v>
      </c>
      <c r="S1437" s="39">
        <v>1</v>
      </c>
      <c r="T1437" s="7"/>
      <c r="U1437" s="7" t="s">
        <v>2912</v>
      </c>
      <c r="V1437" s="7" t="str">
        <f>+IF(U1437="","",IF(U1437="FINES",CONCATENATE("R",IF(OR(B1437="16",B1437="21",B1437="22",B1437="23"),"16212223",IF(OR(B1437="15",B1437="17",B1437="24",B1437="25"),"15172425",B1437))),IF(U1437="CEBAS","UNICO",IF(VALUE(B1437)&lt;=11,"AMBA","INTERIOR"))))</f>
        <v>AMBA</v>
      </c>
      <c r="W1437" s="38" t="str">
        <f>+IF(U1437="","-",CONCATENATE(U1437,"_",V1437))</f>
        <v>EPA_AMBA</v>
      </c>
      <c r="X1437" s="42">
        <v>0.58299999999999996</v>
      </c>
    </row>
    <row r="1438" spans="1:24" ht="15" thickBot="1">
      <c r="A1438" s="3" t="s">
        <v>2916</v>
      </c>
      <c r="B1438" s="3" t="s">
        <v>222</v>
      </c>
      <c r="C1438" s="3" t="s">
        <v>227</v>
      </c>
      <c r="D1438" s="3" t="s">
        <v>2603</v>
      </c>
      <c r="E1438" s="3">
        <v>601502</v>
      </c>
      <c r="F1438" s="3">
        <v>0</v>
      </c>
      <c r="G1438" s="3" t="s">
        <v>2620</v>
      </c>
      <c r="H1438" s="3" t="s">
        <v>20</v>
      </c>
      <c r="I1438" s="4" t="s">
        <v>110</v>
      </c>
      <c r="J1438" s="4" t="s">
        <v>21</v>
      </c>
      <c r="K1438" s="4"/>
      <c r="L1438" s="4" t="s">
        <v>2621</v>
      </c>
      <c r="M1438" s="4" t="s">
        <v>22</v>
      </c>
      <c r="N1438" s="4" t="s">
        <v>23</v>
      </c>
      <c r="O1438" s="4" t="s">
        <v>27</v>
      </c>
      <c r="P1438" s="4" t="s">
        <v>28</v>
      </c>
      <c r="Q1438" s="24">
        <v>159</v>
      </c>
      <c r="R1438" s="25">
        <v>10</v>
      </c>
      <c r="S1438" s="39">
        <v>1</v>
      </c>
      <c r="T1438" s="7"/>
      <c r="U1438" s="7" t="s">
        <v>2912</v>
      </c>
      <c r="V1438" s="7" t="str">
        <f>+IF(U1438="","",IF(U1438="FINES",CONCATENATE("R",IF(OR(B1438="16",B1438="21",B1438="22",B1438="23"),"16212223",IF(OR(B1438="15",B1438="17",B1438="24",B1438="25"),"15172425",B1438))),IF(U1438="CEBAS","UNICO",IF(VALUE(B1438)&lt;=11,"AMBA","INTERIOR"))))</f>
        <v>AMBA</v>
      </c>
      <c r="W1438" s="38" t="str">
        <f>+IF(U1438="","-",CONCATENATE(U1438,"_",V1438))</f>
        <v>EPA_AMBA</v>
      </c>
      <c r="X1438" s="42">
        <v>0.58499999999999996</v>
      </c>
    </row>
    <row r="1439" spans="1:24" ht="15" thickBot="1">
      <c r="A1439" s="3" t="s">
        <v>2916</v>
      </c>
      <c r="B1439" s="3" t="s">
        <v>1780</v>
      </c>
      <c r="C1439" s="3" t="s">
        <v>1778</v>
      </c>
      <c r="D1439" s="3" t="s">
        <v>1779</v>
      </c>
      <c r="E1439" s="3">
        <v>612009</v>
      </c>
      <c r="F1439" s="3">
        <v>0</v>
      </c>
      <c r="G1439" s="3" t="s">
        <v>1794</v>
      </c>
      <c r="H1439" s="3" t="s">
        <v>20</v>
      </c>
      <c r="I1439" s="4" t="s">
        <v>110</v>
      </c>
      <c r="J1439" s="4" t="s">
        <v>21</v>
      </c>
      <c r="K1439" s="4"/>
      <c r="L1439" s="4" t="s">
        <v>1813</v>
      </c>
      <c r="M1439" s="4" t="s">
        <v>22</v>
      </c>
      <c r="N1439" s="4" t="s">
        <v>23</v>
      </c>
      <c r="O1439" s="4" t="s">
        <v>27</v>
      </c>
      <c r="P1439" s="4" t="s">
        <v>28</v>
      </c>
      <c r="Q1439" s="24">
        <v>81</v>
      </c>
      <c r="R1439" s="25">
        <v>13</v>
      </c>
      <c r="S1439" s="39">
        <v>1</v>
      </c>
      <c r="T1439" s="7"/>
      <c r="U1439" s="7" t="s">
        <v>2912</v>
      </c>
      <c r="V1439" s="7" t="str">
        <f>+IF(U1439="","",IF(U1439="FINES",CONCATENATE("R",IF(OR(B1439="16",B1439="21",B1439="22",B1439="23"),"16212223",IF(OR(B1439="15",B1439="17",B1439="24",B1439="25"),"15172425",B1439))),IF(U1439="CEBAS","UNICO",IF(VALUE(B1439)&lt;=11,"AMBA","INTERIOR"))))</f>
        <v>AMBA</v>
      </c>
      <c r="W1439" s="38" t="str">
        <f>+IF(U1439="","-",CONCATENATE(U1439,"_",V1439))</f>
        <v>EPA_AMBA</v>
      </c>
      <c r="X1439" s="42">
        <v>0.59</v>
      </c>
    </row>
    <row r="1440" spans="1:24" ht="15" thickBot="1">
      <c r="A1440" s="5" t="s">
        <v>2916</v>
      </c>
      <c r="B1440" s="5" t="s">
        <v>1860</v>
      </c>
      <c r="C1440" s="5" t="s">
        <v>411</v>
      </c>
      <c r="D1440" s="5" t="s">
        <v>2791</v>
      </c>
      <c r="E1440" s="5">
        <v>610120</v>
      </c>
      <c r="F1440" s="5">
        <v>0</v>
      </c>
      <c r="G1440" s="5" t="s">
        <v>2802</v>
      </c>
      <c r="H1440" s="5" t="s">
        <v>20</v>
      </c>
      <c r="I1440" s="6" t="s">
        <v>110</v>
      </c>
      <c r="J1440" s="6" t="s">
        <v>21</v>
      </c>
      <c r="K1440" s="6"/>
      <c r="L1440" s="6" t="s">
        <v>2803</v>
      </c>
      <c r="M1440" s="6" t="s">
        <v>22</v>
      </c>
      <c r="N1440" s="6" t="s">
        <v>23</v>
      </c>
      <c r="O1440" s="6" t="s">
        <v>27</v>
      </c>
      <c r="P1440" s="6" t="s">
        <v>28</v>
      </c>
      <c r="Q1440" s="22">
        <v>201</v>
      </c>
      <c r="R1440" s="23">
        <v>16</v>
      </c>
      <c r="S1440" s="39">
        <v>1</v>
      </c>
      <c r="T1440" s="7"/>
      <c r="U1440" s="7" t="s">
        <v>2912</v>
      </c>
      <c r="V1440" s="7" t="str">
        <f>+IF(U1440="","",IF(U1440="FINES",CONCATENATE("R",IF(OR(B1440="16",B1440="21",B1440="22",B1440="23"),"16212223",IF(OR(B1440="15",B1440="17",B1440="24",B1440="25"),"15172425",B1440))),IF(U1440="CEBAS","UNICO",IF(VALUE(B1440)&lt;=11,"AMBA","INTERIOR"))))</f>
        <v>AMBA</v>
      </c>
      <c r="W1440" s="38" t="str">
        <f>+IF(U1440="","-",CONCATENATE(U1440,"_",V1440))</f>
        <v>EPA_AMBA</v>
      </c>
      <c r="X1440" s="42">
        <v>0.59</v>
      </c>
    </row>
    <row r="1441" spans="1:24" ht="15" thickBot="1">
      <c r="A1441" s="5" t="s">
        <v>2916</v>
      </c>
      <c r="B1441" s="5" t="s">
        <v>19</v>
      </c>
      <c r="C1441" s="5" t="s">
        <v>17</v>
      </c>
      <c r="D1441" s="5" t="s">
        <v>18</v>
      </c>
      <c r="E1441" s="5">
        <v>600729</v>
      </c>
      <c r="F1441" s="5">
        <v>0</v>
      </c>
      <c r="G1441" s="5" t="s">
        <v>130</v>
      </c>
      <c r="H1441" s="5" t="s">
        <v>20</v>
      </c>
      <c r="I1441" s="6" t="s">
        <v>110</v>
      </c>
      <c r="J1441" s="6" t="s">
        <v>21</v>
      </c>
      <c r="K1441" s="6"/>
      <c r="L1441" s="6" t="s">
        <v>131</v>
      </c>
      <c r="M1441" s="6" t="s">
        <v>22</v>
      </c>
      <c r="N1441" s="6" t="s">
        <v>23</v>
      </c>
      <c r="O1441" s="6" t="s">
        <v>27</v>
      </c>
      <c r="P1441" s="6" t="s">
        <v>28</v>
      </c>
      <c r="Q1441" s="22">
        <v>93</v>
      </c>
      <c r="R1441" s="23">
        <v>13</v>
      </c>
      <c r="S1441" s="39">
        <v>1</v>
      </c>
      <c r="T1441" s="7"/>
      <c r="U1441" s="7" t="s">
        <v>2912</v>
      </c>
      <c r="V1441" s="7" t="str">
        <f>+IF(U1441="","",IF(U1441="FINES",CONCATENATE("R",IF(OR(B1441="16",B1441="21",B1441="22",B1441="23"),"16212223",IF(OR(B1441="15",B1441="17",B1441="24",B1441="25"),"15172425",B1441))),IF(U1441="CEBAS","UNICO",IF(VALUE(B1441)&lt;=11,"AMBA","INTERIOR"))))</f>
        <v>AMBA</v>
      </c>
      <c r="W1441" s="38" t="str">
        <f>+IF(U1441="","-",CONCATENATE(U1441,"_",V1441))</f>
        <v>EPA_AMBA</v>
      </c>
      <c r="X1441" s="42">
        <v>0.59199999999999997</v>
      </c>
    </row>
    <row r="1442" spans="1:24" ht="15" thickBot="1">
      <c r="A1442" s="5" t="s">
        <v>2916</v>
      </c>
      <c r="B1442" s="5" t="s">
        <v>817</v>
      </c>
      <c r="C1442" s="5" t="s">
        <v>600</v>
      </c>
      <c r="D1442" s="5" t="s">
        <v>2661</v>
      </c>
      <c r="E1442" s="5">
        <v>606804</v>
      </c>
      <c r="F1442" s="5">
        <v>0</v>
      </c>
      <c r="G1442" s="5" t="s">
        <v>2671</v>
      </c>
      <c r="H1442" s="5" t="s">
        <v>20</v>
      </c>
      <c r="I1442" s="6" t="s">
        <v>110</v>
      </c>
      <c r="J1442" s="6" t="s">
        <v>21</v>
      </c>
      <c r="K1442" s="6"/>
      <c r="L1442" s="6" t="s">
        <v>2696</v>
      </c>
      <c r="M1442" s="6" t="s">
        <v>22</v>
      </c>
      <c r="N1442" s="6" t="s">
        <v>23</v>
      </c>
      <c r="O1442" s="6" t="s">
        <v>27</v>
      </c>
      <c r="P1442" s="6" t="s">
        <v>28</v>
      </c>
      <c r="Q1442" s="22">
        <v>83</v>
      </c>
      <c r="R1442" s="23">
        <v>6</v>
      </c>
      <c r="S1442" s="39">
        <v>1</v>
      </c>
      <c r="T1442" s="7"/>
      <c r="U1442" t="s">
        <v>2912</v>
      </c>
      <c r="V1442" s="7" t="str">
        <f>+IF(U1442="","",IF(U1442="FINES",CONCATENATE("R",IF(OR(B1442="16",B1442="21",B1442="22",B1442="23"),"16212223",IF(OR(B1442="15",B1442="17",B1442="24",B1442="25"),"15172425",B1442))),IF(U1442="CEBAS","UNICO",IF(VALUE(B1442)&lt;=11,"AMBA","INTERIOR"))))</f>
        <v>AMBA</v>
      </c>
      <c r="W1442" s="38" t="str">
        <f>+IF(U1442="","-",CONCATENATE(U1442,"_",V1442))</f>
        <v>EPA_AMBA</v>
      </c>
      <c r="X1442" s="42">
        <v>0.60099999999999998</v>
      </c>
    </row>
    <row r="1443" spans="1:24" ht="15" thickBot="1">
      <c r="A1443" s="5" t="s">
        <v>2916</v>
      </c>
      <c r="B1443" s="5" t="s">
        <v>356</v>
      </c>
      <c r="C1443" s="5" t="s">
        <v>1359</v>
      </c>
      <c r="D1443" s="5" t="s">
        <v>1360</v>
      </c>
      <c r="E1443" s="5">
        <v>610423</v>
      </c>
      <c r="F1443" s="5">
        <v>0</v>
      </c>
      <c r="G1443" s="5" t="s">
        <v>1362</v>
      </c>
      <c r="H1443" s="5" t="s">
        <v>20</v>
      </c>
      <c r="I1443" s="6" t="s">
        <v>110</v>
      </c>
      <c r="J1443" s="6" t="s">
        <v>21</v>
      </c>
      <c r="K1443" s="6"/>
      <c r="L1443" s="6" t="s">
        <v>1400</v>
      </c>
      <c r="M1443" s="6" t="s">
        <v>22</v>
      </c>
      <c r="N1443" s="6" t="s">
        <v>23</v>
      </c>
      <c r="O1443" s="6" t="s">
        <v>27</v>
      </c>
      <c r="P1443" s="6" t="s">
        <v>28</v>
      </c>
      <c r="Q1443" s="22">
        <v>189</v>
      </c>
      <c r="R1443" s="23">
        <v>12</v>
      </c>
      <c r="S1443" s="39">
        <v>1</v>
      </c>
      <c r="T1443" s="7"/>
      <c r="U1443" t="s">
        <v>2912</v>
      </c>
      <c r="V1443" s="7" t="str">
        <f>+IF(U1443="","",IF(U1443="FINES",CONCATENATE("R",IF(OR(B1443="16",B1443="21",B1443="22",B1443="23"),"16212223",IF(OR(B1443="15",B1443="17",B1443="24",B1443="25"),"15172425",B1443))),IF(U1443="CEBAS","UNICO",IF(VALUE(B1443)&lt;=11,"AMBA","INTERIOR"))))</f>
        <v>AMBA</v>
      </c>
      <c r="W1443" s="38" t="str">
        <f>+IF(U1443="","-",CONCATENATE(U1443,"_",V1443))</f>
        <v>EPA_AMBA</v>
      </c>
      <c r="X1443" s="42">
        <v>0.60099999999999998</v>
      </c>
    </row>
    <row r="1444" spans="1:24" ht="15" thickBot="1">
      <c r="A1444" s="3" t="s">
        <v>2916</v>
      </c>
      <c r="B1444" s="3" t="s">
        <v>817</v>
      </c>
      <c r="C1444" s="3" t="s">
        <v>600</v>
      </c>
      <c r="D1444" s="3" t="s">
        <v>2661</v>
      </c>
      <c r="E1444" s="3">
        <v>610151</v>
      </c>
      <c r="F1444" s="3">
        <v>0</v>
      </c>
      <c r="G1444" s="3" t="s">
        <v>2683</v>
      </c>
      <c r="H1444" s="3" t="s">
        <v>20</v>
      </c>
      <c r="I1444" s="4" t="s">
        <v>110</v>
      </c>
      <c r="J1444" s="4" t="s">
        <v>21</v>
      </c>
      <c r="K1444" s="4"/>
      <c r="L1444" s="4" t="s">
        <v>2695</v>
      </c>
      <c r="M1444" s="4" t="s">
        <v>22</v>
      </c>
      <c r="N1444" s="4" t="s">
        <v>23</v>
      </c>
      <c r="O1444" s="4" t="s">
        <v>27</v>
      </c>
      <c r="P1444" s="4" t="s">
        <v>28</v>
      </c>
      <c r="Q1444" s="24">
        <v>64</v>
      </c>
      <c r="R1444" s="25">
        <v>7</v>
      </c>
      <c r="S1444" s="39">
        <v>1</v>
      </c>
      <c r="T1444" s="7"/>
      <c r="U1444" t="s">
        <v>2912</v>
      </c>
      <c r="V1444" s="7" t="str">
        <f>+IF(U1444="","",IF(U1444="FINES",CONCATENATE("R",IF(OR(B1444="16",B1444="21",B1444="22",B1444="23"),"16212223",IF(OR(B1444="15",B1444="17",B1444="24",B1444="25"),"15172425",B1444))),IF(U1444="CEBAS","UNICO",IF(VALUE(B1444)&lt;=11,"AMBA","INTERIOR"))))</f>
        <v>AMBA</v>
      </c>
      <c r="W1444" s="38" t="str">
        <f>+IF(U1444="","-",CONCATENATE(U1444,"_",V1444))</f>
        <v>EPA_AMBA</v>
      </c>
      <c r="X1444" s="42">
        <v>0.60099999999999998</v>
      </c>
    </row>
    <row r="1445" spans="1:24" ht="15" thickBot="1">
      <c r="A1445" s="5" t="s">
        <v>2916</v>
      </c>
      <c r="B1445" s="5" t="s">
        <v>204</v>
      </c>
      <c r="C1445" s="5" t="s">
        <v>137</v>
      </c>
      <c r="D1445" s="5" t="s">
        <v>2629</v>
      </c>
      <c r="E1445" s="5">
        <v>601030</v>
      </c>
      <c r="F1445" s="5">
        <v>0</v>
      </c>
      <c r="G1445" s="5" t="s">
        <v>2645</v>
      </c>
      <c r="H1445" s="5" t="s">
        <v>20</v>
      </c>
      <c r="I1445" s="6" t="s">
        <v>110</v>
      </c>
      <c r="J1445" s="6" t="s">
        <v>21</v>
      </c>
      <c r="K1445" s="6"/>
      <c r="L1445" s="6" t="s">
        <v>1662</v>
      </c>
      <c r="M1445" s="6" t="s">
        <v>22</v>
      </c>
      <c r="N1445" s="6" t="s">
        <v>23</v>
      </c>
      <c r="O1445" s="6" t="s">
        <v>27</v>
      </c>
      <c r="P1445" s="6" t="s">
        <v>28</v>
      </c>
      <c r="Q1445" s="22">
        <v>129</v>
      </c>
      <c r="R1445" s="23">
        <v>6</v>
      </c>
      <c r="S1445" s="39">
        <v>1</v>
      </c>
      <c r="T1445" s="7"/>
      <c r="U1445" t="s">
        <v>2912</v>
      </c>
      <c r="V1445" s="7" t="str">
        <f>+IF(U1445="","",IF(U1445="FINES",CONCATENATE("R",IF(OR(B1445="16",B1445="21",B1445="22",B1445="23"),"16212223",IF(OR(B1445="15",B1445="17",B1445="24",B1445="25"),"15172425",B1445))),IF(U1445="CEBAS","UNICO",IF(VALUE(B1445)&lt;=11,"AMBA","INTERIOR"))))</f>
        <v>AMBA</v>
      </c>
      <c r="W1445" s="38" t="str">
        <f>+IF(U1445="","-",CONCATENATE(U1445,"_",V1445))</f>
        <v>EPA_AMBA</v>
      </c>
      <c r="X1445" s="42">
        <v>0.60499999999999998</v>
      </c>
    </row>
    <row r="1446" spans="1:24" ht="15" thickBot="1">
      <c r="A1446" s="5" t="s">
        <v>2916</v>
      </c>
      <c r="B1446" s="5" t="s">
        <v>138</v>
      </c>
      <c r="C1446" s="5" t="s">
        <v>643</v>
      </c>
      <c r="D1446" s="5" t="s">
        <v>645</v>
      </c>
      <c r="E1446" s="5">
        <v>601293</v>
      </c>
      <c r="F1446" s="5">
        <v>0</v>
      </c>
      <c r="G1446" s="5" t="s">
        <v>648</v>
      </c>
      <c r="H1446" s="5" t="s">
        <v>20</v>
      </c>
      <c r="I1446" s="6" t="s">
        <v>110</v>
      </c>
      <c r="J1446" s="6" t="s">
        <v>21</v>
      </c>
      <c r="K1446" s="6"/>
      <c r="L1446" s="6" t="s">
        <v>651</v>
      </c>
      <c r="M1446" s="6" t="s">
        <v>22</v>
      </c>
      <c r="N1446" s="6" t="s">
        <v>23</v>
      </c>
      <c r="O1446" s="6" t="s">
        <v>27</v>
      </c>
      <c r="P1446" s="6" t="s">
        <v>28</v>
      </c>
      <c r="Q1446" s="22">
        <v>105</v>
      </c>
      <c r="R1446" s="23">
        <v>8</v>
      </c>
      <c r="S1446" s="39">
        <v>1</v>
      </c>
      <c r="T1446" s="7"/>
      <c r="U1446" t="s">
        <v>2912</v>
      </c>
      <c r="V1446" s="7" t="str">
        <f>+IF(U1446="","",IF(U1446="FINES",CONCATENATE("R",IF(OR(B1446="16",B1446="21",B1446="22",B1446="23"),"16212223",IF(OR(B1446="15",B1446="17",B1446="24",B1446="25"),"15172425",B1446))),IF(U1446="CEBAS","UNICO",IF(VALUE(B1446)&lt;=11,"AMBA","INTERIOR"))))</f>
        <v>AMBA</v>
      </c>
      <c r="W1446" s="38" t="str">
        <f>+IF(U1446="","-",CONCATENATE(U1446,"_",V1446))</f>
        <v>EPA_AMBA</v>
      </c>
      <c r="X1446" s="42">
        <v>0.60599999999999998</v>
      </c>
    </row>
    <row r="1447" spans="1:24" ht="15" thickBot="1">
      <c r="A1447" s="3" t="s">
        <v>2916</v>
      </c>
      <c r="B1447" s="3" t="s">
        <v>817</v>
      </c>
      <c r="C1447" s="3" t="s">
        <v>2080</v>
      </c>
      <c r="D1447" s="3" t="s">
        <v>2081</v>
      </c>
      <c r="E1447" s="3">
        <v>607786</v>
      </c>
      <c r="F1447" s="3">
        <v>0</v>
      </c>
      <c r="G1447" s="3" t="s">
        <v>2095</v>
      </c>
      <c r="H1447" s="3" t="s">
        <v>20</v>
      </c>
      <c r="I1447" s="4" t="s">
        <v>110</v>
      </c>
      <c r="J1447" s="4" t="s">
        <v>21</v>
      </c>
      <c r="K1447" s="4"/>
      <c r="L1447" s="4" t="s">
        <v>2131</v>
      </c>
      <c r="M1447" s="4" t="s">
        <v>22</v>
      </c>
      <c r="N1447" s="4" t="s">
        <v>23</v>
      </c>
      <c r="O1447" s="4" t="s">
        <v>27</v>
      </c>
      <c r="P1447" s="4" t="s">
        <v>28</v>
      </c>
      <c r="Q1447" s="24">
        <v>104</v>
      </c>
      <c r="R1447" s="25">
        <v>8</v>
      </c>
      <c r="S1447" s="39">
        <v>1</v>
      </c>
      <c r="T1447" s="7"/>
      <c r="U1447" t="s">
        <v>2912</v>
      </c>
      <c r="V1447" s="7" t="str">
        <f>+IF(U1447="","",IF(U1447="FINES",CONCATENATE("R",IF(OR(B1447="16",B1447="21",B1447="22",B1447="23"),"16212223",IF(OR(B1447="15",B1447="17",B1447="24",B1447="25"),"15172425",B1447))),IF(U1447="CEBAS","UNICO",IF(VALUE(B1447)&lt;=11,"AMBA","INTERIOR"))))</f>
        <v>AMBA</v>
      </c>
      <c r="W1447" s="38" t="str">
        <f>+IF(U1447="","-",CONCATENATE(U1447,"_",V1447))</f>
        <v>EPA_AMBA</v>
      </c>
      <c r="X1447" s="42">
        <v>0.61</v>
      </c>
    </row>
    <row r="1448" spans="1:24" ht="15" thickBot="1">
      <c r="A1448" s="3" t="s">
        <v>2916</v>
      </c>
      <c r="B1448" s="3" t="s">
        <v>19</v>
      </c>
      <c r="C1448" s="3" t="s">
        <v>17</v>
      </c>
      <c r="D1448" s="3" t="s">
        <v>18</v>
      </c>
      <c r="E1448" s="3">
        <v>602882</v>
      </c>
      <c r="F1448" s="3">
        <v>0</v>
      </c>
      <c r="G1448" s="3" t="s">
        <v>124</v>
      </c>
      <c r="H1448" s="3" t="s">
        <v>20</v>
      </c>
      <c r="I1448" s="4" t="s">
        <v>110</v>
      </c>
      <c r="J1448" s="4" t="s">
        <v>21</v>
      </c>
      <c r="K1448" s="4"/>
      <c r="L1448" s="4" t="s">
        <v>125</v>
      </c>
      <c r="M1448" s="4" t="s">
        <v>22</v>
      </c>
      <c r="N1448" s="4" t="s">
        <v>23</v>
      </c>
      <c r="O1448" s="4" t="s">
        <v>27</v>
      </c>
      <c r="P1448" s="4" t="s">
        <v>28</v>
      </c>
      <c r="Q1448" s="24">
        <v>202</v>
      </c>
      <c r="R1448" s="25">
        <v>14</v>
      </c>
      <c r="S1448" s="39">
        <v>1</v>
      </c>
      <c r="T1448" s="7"/>
      <c r="U1448" t="s">
        <v>2912</v>
      </c>
      <c r="V1448" s="7" t="str">
        <f>+IF(U1448="","",IF(U1448="FINES",CONCATENATE("R",IF(OR(B1448="16",B1448="21",B1448="22",B1448="23"),"16212223",IF(OR(B1448="15",B1448="17",B1448="24",B1448="25"),"15172425",B1448))),IF(U1448="CEBAS","UNICO",IF(VALUE(B1448)&lt;=11,"AMBA","INTERIOR"))))</f>
        <v>AMBA</v>
      </c>
      <c r="W1448" s="38" t="str">
        <f>+IF(U1448="","-",CONCATENATE(U1448,"_",V1448))</f>
        <v>EPA_AMBA</v>
      </c>
      <c r="X1448" s="42">
        <v>0.61</v>
      </c>
    </row>
    <row r="1449" spans="1:24" ht="15" thickBot="1">
      <c r="A1449" s="5" t="s">
        <v>2916</v>
      </c>
      <c r="B1449" s="5" t="s">
        <v>1860</v>
      </c>
      <c r="C1449" s="5" t="s">
        <v>875</v>
      </c>
      <c r="D1449" s="5" t="s">
        <v>2816</v>
      </c>
      <c r="E1449" s="5">
        <v>604773</v>
      </c>
      <c r="F1449" s="5">
        <v>0</v>
      </c>
      <c r="G1449" s="5" t="s">
        <v>2823</v>
      </c>
      <c r="H1449" s="5" t="s">
        <v>20</v>
      </c>
      <c r="I1449" s="6" t="s">
        <v>110</v>
      </c>
      <c r="J1449" s="6" t="s">
        <v>21</v>
      </c>
      <c r="K1449" s="6"/>
      <c r="L1449" s="6" t="s">
        <v>796</v>
      </c>
      <c r="M1449" s="6" t="s">
        <v>22</v>
      </c>
      <c r="N1449" s="6" t="s">
        <v>23</v>
      </c>
      <c r="O1449" s="6" t="s">
        <v>27</v>
      </c>
      <c r="P1449" s="6" t="s">
        <v>28</v>
      </c>
      <c r="Q1449" s="22">
        <v>207</v>
      </c>
      <c r="R1449" s="23">
        <v>14</v>
      </c>
      <c r="S1449" s="39">
        <v>1</v>
      </c>
      <c r="T1449" s="7"/>
      <c r="U1449" s="7" t="s">
        <v>2912</v>
      </c>
      <c r="V1449" s="7" t="str">
        <f>+IF(U1449="","",IF(U1449="FINES",CONCATENATE("R",IF(OR(B1449="16",B1449="21",B1449="22",B1449="23"),"16212223",IF(OR(B1449="15",B1449="17",B1449="24",B1449="25"),"15172425",B1449))),IF(U1449="CEBAS","UNICO",IF(VALUE(B1449)&lt;=11,"AMBA","INTERIOR"))))</f>
        <v>AMBA</v>
      </c>
      <c r="W1449" s="38" t="str">
        <f>+IF(U1449="","-",CONCATENATE(U1449,"_",V1449))</f>
        <v>EPA_AMBA</v>
      </c>
      <c r="X1449" s="42">
        <v>0.62</v>
      </c>
    </row>
    <row r="1450" spans="1:24" ht="15" thickBot="1">
      <c r="A1450" s="5" t="s">
        <v>2916</v>
      </c>
      <c r="B1450" s="5" t="s">
        <v>222</v>
      </c>
      <c r="C1450" s="5" t="s">
        <v>1154</v>
      </c>
      <c r="D1450" s="5" t="s">
        <v>1155</v>
      </c>
      <c r="E1450" s="5">
        <v>605769</v>
      </c>
      <c r="F1450" s="5">
        <v>0</v>
      </c>
      <c r="G1450" s="5" t="s">
        <v>1163</v>
      </c>
      <c r="H1450" s="5" t="s">
        <v>20</v>
      </c>
      <c r="I1450" s="6" t="s">
        <v>110</v>
      </c>
      <c r="J1450" s="6" t="s">
        <v>21</v>
      </c>
      <c r="K1450" s="6"/>
      <c r="L1450" s="6" t="s">
        <v>1170</v>
      </c>
      <c r="M1450" s="6" t="s">
        <v>22</v>
      </c>
      <c r="N1450" s="6" t="s">
        <v>23</v>
      </c>
      <c r="O1450" s="6" t="s">
        <v>27</v>
      </c>
      <c r="P1450" s="6" t="s">
        <v>28</v>
      </c>
      <c r="Q1450" s="22">
        <v>97</v>
      </c>
      <c r="R1450" s="23">
        <v>8</v>
      </c>
      <c r="S1450" s="39">
        <v>1</v>
      </c>
      <c r="T1450" s="7"/>
      <c r="U1450" s="7" t="s">
        <v>2912</v>
      </c>
      <c r="V1450" s="7" t="str">
        <f>+IF(U1450="","",IF(U1450="FINES",CONCATENATE("R",IF(OR(B1450="16",B1450="21",B1450="22",B1450="23"),"16212223",IF(OR(B1450="15",B1450="17",B1450="24",B1450="25"),"15172425",B1450))),IF(U1450="CEBAS","UNICO",IF(VALUE(B1450)&lt;=11,"AMBA","INTERIOR"))))</f>
        <v>AMBA</v>
      </c>
      <c r="W1450" s="38" t="str">
        <f>+IF(U1450="","-",CONCATENATE(U1450,"_",V1450))</f>
        <v>EPA_AMBA</v>
      </c>
      <c r="X1450" s="42">
        <v>0.624</v>
      </c>
    </row>
    <row r="1451" spans="1:24" ht="15" thickBot="1">
      <c r="A1451" s="3" t="s">
        <v>2916</v>
      </c>
      <c r="B1451" s="3" t="s">
        <v>1860</v>
      </c>
      <c r="C1451" s="3" t="s">
        <v>411</v>
      </c>
      <c r="D1451" s="3" t="s">
        <v>2791</v>
      </c>
      <c r="E1451" s="3">
        <v>611054</v>
      </c>
      <c r="F1451" s="3">
        <v>0</v>
      </c>
      <c r="G1451" s="3" t="s">
        <v>2793</v>
      </c>
      <c r="H1451" s="3" t="s">
        <v>20</v>
      </c>
      <c r="I1451" s="4" t="s">
        <v>110</v>
      </c>
      <c r="J1451" s="4" t="s">
        <v>21</v>
      </c>
      <c r="K1451" s="4"/>
      <c r="L1451" s="4" t="s">
        <v>2804</v>
      </c>
      <c r="M1451" s="4" t="s">
        <v>22</v>
      </c>
      <c r="N1451" s="4" t="s">
        <v>23</v>
      </c>
      <c r="O1451" s="4" t="s">
        <v>27</v>
      </c>
      <c r="P1451" s="4" t="s">
        <v>28</v>
      </c>
      <c r="Q1451" s="24">
        <v>71</v>
      </c>
      <c r="R1451" s="25">
        <v>7</v>
      </c>
      <c r="S1451" s="39">
        <v>1</v>
      </c>
      <c r="T1451" s="7"/>
      <c r="U1451" s="7" t="s">
        <v>2912</v>
      </c>
      <c r="V1451" s="7" t="str">
        <f>+IF(U1451="","",IF(U1451="FINES",CONCATENATE("R",IF(OR(B1451="16",B1451="21",B1451="22",B1451="23"),"16212223",IF(OR(B1451="15",B1451="17",B1451="24",B1451="25"),"15172425",B1451))),IF(U1451="CEBAS","UNICO",IF(VALUE(B1451)&lt;=11,"AMBA","INTERIOR"))))</f>
        <v>AMBA</v>
      </c>
      <c r="W1451" s="38" t="str">
        <f>+IF(U1451="","-",CONCATENATE(U1451,"_",V1451))</f>
        <v>EPA_AMBA</v>
      </c>
      <c r="X1451" s="42">
        <v>0.627</v>
      </c>
    </row>
    <row r="1452" spans="1:24" ht="15" thickBot="1">
      <c r="A1452" s="3" t="s">
        <v>2916</v>
      </c>
      <c r="B1452" s="3" t="s">
        <v>19</v>
      </c>
      <c r="C1452" s="3" t="s">
        <v>1480</v>
      </c>
      <c r="D1452" s="3" t="s">
        <v>1481</v>
      </c>
      <c r="E1452" s="3">
        <v>624020</v>
      </c>
      <c r="F1452" s="3">
        <v>0</v>
      </c>
      <c r="G1452" s="3" t="s">
        <v>1487</v>
      </c>
      <c r="H1452" s="3" t="s">
        <v>20</v>
      </c>
      <c r="I1452" s="4" t="s">
        <v>110</v>
      </c>
      <c r="J1452" s="4" t="s">
        <v>21</v>
      </c>
      <c r="K1452" s="4"/>
      <c r="L1452" s="4" t="s">
        <v>1488</v>
      </c>
      <c r="M1452" s="4" t="s">
        <v>199</v>
      </c>
      <c r="N1452" s="4" t="s">
        <v>23</v>
      </c>
      <c r="O1452" s="4" t="s">
        <v>27</v>
      </c>
      <c r="P1452" s="4" t="s">
        <v>28</v>
      </c>
      <c r="Q1452" s="24">
        <v>374</v>
      </c>
      <c r="R1452" s="25">
        <v>23</v>
      </c>
      <c r="S1452" s="39">
        <v>1</v>
      </c>
      <c r="T1452" s="7"/>
      <c r="U1452" s="7" t="s">
        <v>2912</v>
      </c>
      <c r="V1452" s="7" t="str">
        <f>+IF(U1452="","",IF(U1452="FINES",CONCATENATE("R",IF(OR(B1452="16",B1452="21",B1452="22",B1452="23"),"16212223",IF(OR(B1452="15",B1452="17",B1452="24",B1452="25"),"15172425",B1452))),IF(U1452="CEBAS","UNICO",IF(VALUE(B1452)&lt;=11,"AMBA","INTERIOR"))))</f>
        <v>AMBA</v>
      </c>
      <c r="W1452" s="38" t="str">
        <f>+IF(U1452="","-",CONCATENATE(U1452,"_",V1452))</f>
        <v>EPA_AMBA</v>
      </c>
      <c r="X1452" s="42">
        <v>0.63100000000000001</v>
      </c>
    </row>
    <row r="1453" spans="1:24" ht="15" thickBot="1">
      <c r="A1453" s="3" t="s">
        <v>2916</v>
      </c>
      <c r="B1453" s="3" t="s">
        <v>1860</v>
      </c>
      <c r="C1453" s="3" t="s">
        <v>875</v>
      </c>
      <c r="D1453" s="3" t="s">
        <v>2816</v>
      </c>
      <c r="E1453" s="3">
        <v>602107</v>
      </c>
      <c r="F1453" s="3">
        <v>0</v>
      </c>
      <c r="G1453" s="3" t="s">
        <v>2818</v>
      </c>
      <c r="H1453" s="3" t="s">
        <v>20</v>
      </c>
      <c r="I1453" s="4" t="s">
        <v>110</v>
      </c>
      <c r="J1453" s="4" t="s">
        <v>21</v>
      </c>
      <c r="K1453" s="4"/>
      <c r="L1453" s="4" t="s">
        <v>391</v>
      </c>
      <c r="M1453" s="4" t="s">
        <v>22</v>
      </c>
      <c r="N1453" s="4" t="s">
        <v>23</v>
      </c>
      <c r="O1453" s="4" t="s">
        <v>27</v>
      </c>
      <c r="P1453" s="4" t="s">
        <v>28</v>
      </c>
      <c r="Q1453" s="24">
        <v>138</v>
      </c>
      <c r="R1453" s="25">
        <v>9</v>
      </c>
      <c r="S1453" s="39">
        <v>1</v>
      </c>
      <c r="T1453" s="7"/>
      <c r="U1453" s="7" t="s">
        <v>2912</v>
      </c>
      <c r="V1453" s="7" t="str">
        <f>+IF(U1453="","",IF(U1453="FINES",CONCATENATE("R",IF(OR(B1453="16",B1453="21",B1453="22",B1453="23"),"16212223",IF(OR(B1453="15",B1453="17",B1453="24",B1453="25"),"15172425",B1453))),IF(U1453="CEBAS","UNICO",IF(VALUE(B1453)&lt;=11,"AMBA","INTERIOR"))))</f>
        <v>AMBA</v>
      </c>
      <c r="W1453" s="38" t="str">
        <f>+IF(U1453="","-",CONCATENATE(U1453,"_",V1453))</f>
        <v>EPA_AMBA</v>
      </c>
      <c r="X1453" s="42">
        <v>0.63300000000000001</v>
      </c>
    </row>
    <row r="1454" spans="1:24" ht="15" thickBot="1">
      <c r="A1454" s="3" t="s">
        <v>2916</v>
      </c>
      <c r="B1454" s="3" t="s">
        <v>1780</v>
      </c>
      <c r="C1454" s="3" t="s">
        <v>1778</v>
      </c>
      <c r="D1454" s="3" t="s">
        <v>1779</v>
      </c>
      <c r="E1454" s="3">
        <v>609955</v>
      </c>
      <c r="F1454" s="3">
        <v>0</v>
      </c>
      <c r="G1454" s="3" t="s">
        <v>1804</v>
      </c>
      <c r="H1454" s="3" t="s">
        <v>20</v>
      </c>
      <c r="I1454" s="4" t="s">
        <v>110</v>
      </c>
      <c r="J1454" s="4" t="s">
        <v>21</v>
      </c>
      <c r="K1454" s="4"/>
      <c r="L1454" s="4" t="s">
        <v>796</v>
      </c>
      <c r="M1454" s="4" t="s">
        <v>22</v>
      </c>
      <c r="N1454" s="4" t="s">
        <v>23</v>
      </c>
      <c r="O1454" s="4" t="s">
        <v>27</v>
      </c>
      <c r="P1454" s="4" t="s">
        <v>28</v>
      </c>
      <c r="Q1454" s="24">
        <v>100</v>
      </c>
      <c r="R1454" s="25">
        <v>13</v>
      </c>
      <c r="S1454" s="39">
        <v>1</v>
      </c>
      <c r="T1454" s="7"/>
      <c r="U1454" s="7" t="s">
        <v>2912</v>
      </c>
      <c r="V1454" s="7" t="str">
        <f>+IF(U1454="","",IF(U1454="FINES",CONCATENATE("R",IF(OR(B1454="16",B1454="21",B1454="22",B1454="23"),"16212223",IF(OR(B1454="15",B1454="17",B1454="24",B1454="25"),"15172425",B1454))),IF(U1454="CEBAS","UNICO",IF(VALUE(B1454)&lt;=11,"AMBA","INTERIOR"))))</f>
        <v>AMBA</v>
      </c>
      <c r="W1454" s="38" t="str">
        <f>+IF(U1454="","-",CONCATENATE(U1454,"_",V1454))</f>
        <v>EPA_AMBA</v>
      </c>
      <c r="X1454" s="42">
        <v>0.63800000000000001</v>
      </c>
    </row>
    <row r="1455" spans="1:24" ht="15" thickBot="1">
      <c r="A1455" s="3" t="s">
        <v>2916</v>
      </c>
      <c r="B1455" s="3" t="s">
        <v>356</v>
      </c>
      <c r="C1455" s="3" t="s">
        <v>1359</v>
      </c>
      <c r="D1455" s="3" t="s">
        <v>1360</v>
      </c>
      <c r="E1455" s="3">
        <v>608161</v>
      </c>
      <c r="F1455" s="3">
        <v>0</v>
      </c>
      <c r="G1455" s="3" t="s">
        <v>1365</v>
      </c>
      <c r="H1455" s="3" t="s">
        <v>20</v>
      </c>
      <c r="I1455" s="4" t="s">
        <v>110</v>
      </c>
      <c r="J1455" s="4" t="s">
        <v>21</v>
      </c>
      <c r="K1455" s="4"/>
      <c r="L1455" s="4" t="s">
        <v>321</v>
      </c>
      <c r="M1455" s="4" t="s">
        <v>22</v>
      </c>
      <c r="N1455" s="4" t="s">
        <v>23</v>
      </c>
      <c r="O1455" s="4" t="s">
        <v>27</v>
      </c>
      <c r="P1455" s="4" t="s">
        <v>28</v>
      </c>
      <c r="Q1455" s="24">
        <v>121</v>
      </c>
      <c r="R1455" s="25">
        <v>9</v>
      </c>
      <c r="S1455" s="39">
        <v>1</v>
      </c>
      <c r="T1455" s="7"/>
      <c r="U1455" s="7" t="s">
        <v>2912</v>
      </c>
      <c r="V1455" s="7" t="str">
        <f>+IF(U1455="","",IF(U1455="FINES",CONCATENATE("R",IF(OR(B1455="16",B1455="21",B1455="22",B1455="23"),"16212223",IF(OR(B1455="15",B1455="17",B1455="24",B1455="25"),"15172425",B1455))),IF(U1455="CEBAS","UNICO",IF(VALUE(B1455)&lt;=11,"AMBA","INTERIOR"))))</f>
        <v>AMBA</v>
      </c>
      <c r="W1455" s="38" t="str">
        <f>+IF(U1455="","-",CONCATENATE(U1455,"_",V1455))</f>
        <v>EPA_AMBA</v>
      </c>
      <c r="X1455" s="42">
        <v>0.65</v>
      </c>
    </row>
    <row r="1456" spans="1:24" ht="15" thickBot="1">
      <c r="A1456" s="5" t="s">
        <v>2916</v>
      </c>
      <c r="B1456" s="5" t="s">
        <v>1780</v>
      </c>
      <c r="C1456" s="5" t="s">
        <v>1778</v>
      </c>
      <c r="D1456" s="5" t="s">
        <v>1779</v>
      </c>
      <c r="E1456" s="5">
        <v>606481</v>
      </c>
      <c r="F1456" s="5">
        <v>0</v>
      </c>
      <c r="G1456" s="5" t="s">
        <v>1820</v>
      </c>
      <c r="H1456" s="5" t="s">
        <v>20</v>
      </c>
      <c r="I1456" s="6" t="s">
        <v>110</v>
      </c>
      <c r="J1456" s="6" t="s">
        <v>21</v>
      </c>
      <c r="K1456" s="6"/>
      <c r="L1456" s="6" t="s">
        <v>1664</v>
      </c>
      <c r="M1456" s="6" t="s">
        <v>22</v>
      </c>
      <c r="N1456" s="6" t="s">
        <v>23</v>
      </c>
      <c r="O1456" s="6" t="s">
        <v>27</v>
      </c>
      <c r="P1456" s="6" t="s">
        <v>28</v>
      </c>
      <c r="Q1456" s="22">
        <v>194</v>
      </c>
      <c r="R1456" s="23">
        <v>16</v>
      </c>
      <c r="S1456" s="39">
        <v>1</v>
      </c>
      <c r="T1456" s="7"/>
      <c r="U1456" s="7" t="s">
        <v>2912</v>
      </c>
      <c r="V1456" s="7" t="str">
        <f>+IF(U1456="","",IF(U1456="FINES",CONCATENATE("R",IF(OR(B1456="16",B1456="21",B1456="22",B1456="23"),"16212223",IF(OR(B1456="15",B1456="17",B1456="24",B1456="25"),"15172425",B1456))),IF(U1456="CEBAS","UNICO",IF(VALUE(B1456)&lt;=11,"AMBA","INTERIOR"))))</f>
        <v>AMBA</v>
      </c>
      <c r="W1456" s="38" t="str">
        <f>+IF(U1456="","-",CONCATENATE(U1456,"_",V1456))</f>
        <v>EPA_AMBA</v>
      </c>
      <c r="X1456" s="42">
        <v>0.65100000000000002</v>
      </c>
    </row>
    <row r="1457" spans="1:24" ht="15" thickBot="1">
      <c r="A1457" s="3" t="s">
        <v>2916</v>
      </c>
      <c r="B1457" s="3" t="s">
        <v>817</v>
      </c>
      <c r="C1457" s="3" t="s">
        <v>815</v>
      </c>
      <c r="D1457" s="3" t="s">
        <v>816</v>
      </c>
      <c r="E1457" s="3">
        <v>604949</v>
      </c>
      <c r="F1457" s="3">
        <v>0</v>
      </c>
      <c r="G1457" s="3" t="s">
        <v>846</v>
      </c>
      <c r="H1457" s="3" t="s">
        <v>20</v>
      </c>
      <c r="I1457" s="4" t="s">
        <v>110</v>
      </c>
      <c r="J1457" s="4" t="s">
        <v>21</v>
      </c>
      <c r="K1457" s="4"/>
      <c r="L1457" s="4" t="s">
        <v>847</v>
      </c>
      <c r="M1457" s="4" t="s">
        <v>22</v>
      </c>
      <c r="N1457" s="4" t="s">
        <v>23</v>
      </c>
      <c r="O1457" s="4" t="s">
        <v>27</v>
      </c>
      <c r="P1457" s="4" t="s">
        <v>28</v>
      </c>
      <c r="Q1457" s="24">
        <v>238</v>
      </c>
      <c r="R1457" s="25">
        <v>19</v>
      </c>
      <c r="S1457" s="39">
        <v>1</v>
      </c>
      <c r="T1457" s="7"/>
      <c r="U1457" s="7" t="s">
        <v>2912</v>
      </c>
      <c r="V1457" s="7" t="str">
        <f>+IF(U1457="","",IF(U1457="FINES",CONCATENATE("R",IF(OR(B1457="16",B1457="21",B1457="22",B1457="23"),"16212223",IF(OR(B1457="15",B1457="17",B1457="24",B1457="25"),"15172425",B1457))),IF(U1457="CEBAS","UNICO",IF(VALUE(B1457)&lt;=11,"AMBA","INTERIOR"))))</f>
        <v>AMBA</v>
      </c>
      <c r="W1457" s="38" t="str">
        <f>+IF(U1457="","-",CONCATENATE(U1457,"_",V1457))</f>
        <v>EPA_AMBA</v>
      </c>
      <c r="X1457" s="42">
        <v>0.66200000000000003</v>
      </c>
    </row>
    <row r="1458" spans="1:24" ht="15" thickBot="1">
      <c r="A1458" s="5" t="s">
        <v>2916</v>
      </c>
      <c r="B1458" s="5" t="s">
        <v>356</v>
      </c>
      <c r="C1458" s="5" t="s">
        <v>805</v>
      </c>
      <c r="D1458" s="5" t="s">
        <v>2500</v>
      </c>
      <c r="E1458" s="5">
        <v>613706</v>
      </c>
      <c r="F1458" s="5">
        <v>0</v>
      </c>
      <c r="G1458" s="5" t="s">
        <v>2522</v>
      </c>
      <c r="H1458" s="5" t="s">
        <v>20</v>
      </c>
      <c r="I1458" s="6" t="s">
        <v>110</v>
      </c>
      <c r="J1458" s="6" t="s">
        <v>21</v>
      </c>
      <c r="K1458" s="6"/>
      <c r="L1458" s="6" t="s">
        <v>321</v>
      </c>
      <c r="M1458" s="6" t="s">
        <v>22</v>
      </c>
      <c r="N1458" s="6" t="s">
        <v>23</v>
      </c>
      <c r="O1458" s="6" t="s">
        <v>27</v>
      </c>
      <c r="P1458" s="6" t="s">
        <v>28</v>
      </c>
      <c r="Q1458" s="22">
        <v>76</v>
      </c>
      <c r="R1458" s="23">
        <v>7</v>
      </c>
      <c r="S1458" s="39">
        <v>1</v>
      </c>
      <c r="T1458" s="7"/>
      <c r="U1458" s="7" t="s">
        <v>2912</v>
      </c>
      <c r="V1458" s="7" t="str">
        <f>+IF(U1458="","",IF(U1458="FINES",CONCATENATE("R",IF(OR(B1458="16",B1458="21",B1458="22",B1458="23"),"16212223",IF(OR(B1458="15",B1458="17",B1458="24",B1458="25"),"15172425",B1458))),IF(U1458="CEBAS","UNICO",IF(VALUE(B1458)&lt;=11,"AMBA","INTERIOR"))))</f>
        <v>AMBA</v>
      </c>
      <c r="W1458" s="38" t="str">
        <f>+IF(U1458="","-",CONCATENATE(U1458,"_",V1458))</f>
        <v>EPA_AMBA</v>
      </c>
      <c r="X1458" s="42">
        <v>0.66500000000000004</v>
      </c>
    </row>
    <row r="1459" spans="1:24" ht="15" thickBot="1">
      <c r="A1459" s="3" t="s">
        <v>2916</v>
      </c>
      <c r="B1459" s="3" t="s">
        <v>257</v>
      </c>
      <c r="C1459" s="3" t="s">
        <v>772</v>
      </c>
      <c r="D1459" s="3" t="s">
        <v>773</v>
      </c>
      <c r="E1459" s="3">
        <v>609164</v>
      </c>
      <c r="F1459" s="3">
        <v>0</v>
      </c>
      <c r="G1459" s="3" t="s">
        <v>775</v>
      </c>
      <c r="H1459" s="3" t="s">
        <v>20</v>
      </c>
      <c r="I1459" s="4" t="s">
        <v>110</v>
      </c>
      <c r="J1459" s="4" t="s">
        <v>21</v>
      </c>
      <c r="K1459" s="4"/>
      <c r="L1459" s="4" t="s">
        <v>795</v>
      </c>
      <c r="M1459" s="4" t="s">
        <v>22</v>
      </c>
      <c r="N1459" s="4" t="s">
        <v>23</v>
      </c>
      <c r="O1459" s="4" t="s">
        <v>27</v>
      </c>
      <c r="P1459" s="4" t="s">
        <v>28</v>
      </c>
      <c r="Q1459" s="24">
        <v>96</v>
      </c>
      <c r="R1459" s="25">
        <v>8</v>
      </c>
      <c r="S1459" s="39">
        <v>1</v>
      </c>
      <c r="T1459" s="7"/>
      <c r="U1459" s="7" t="s">
        <v>2912</v>
      </c>
      <c r="V1459" s="7" t="str">
        <f>+IF(U1459="","",IF(U1459="FINES",CONCATENATE("R",IF(OR(B1459="16",B1459="21",B1459="22",B1459="23"),"16212223",IF(OR(B1459="15",B1459="17",B1459="24",B1459="25"),"15172425",B1459))),IF(U1459="CEBAS","UNICO",IF(VALUE(B1459)&lt;=11,"AMBA","INTERIOR"))))</f>
        <v>AMBA</v>
      </c>
      <c r="W1459" s="38" t="str">
        <f>+IF(U1459="","-",CONCATENATE(U1459,"_",V1459))</f>
        <v>EPA_AMBA</v>
      </c>
      <c r="X1459" s="42">
        <v>0.66800000000000004</v>
      </c>
    </row>
    <row r="1460" spans="1:24" ht="15" thickBot="1">
      <c r="A1460" s="3" t="s">
        <v>2916</v>
      </c>
      <c r="B1460" s="3" t="s">
        <v>356</v>
      </c>
      <c r="C1460" s="3" t="s">
        <v>353</v>
      </c>
      <c r="D1460" s="3" t="s">
        <v>355</v>
      </c>
      <c r="E1460" s="3">
        <v>612518</v>
      </c>
      <c r="F1460" s="3">
        <v>0</v>
      </c>
      <c r="G1460" s="3" t="s">
        <v>374</v>
      </c>
      <c r="H1460" s="3" t="s">
        <v>20</v>
      </c>
      <c r="I1460" s="4" t="s">
        <v>110</v>
      </c>
      <c r="J1460" s="4" t="s">
        <v>21</v>
      </c>
      <c r="K1460" s="4"/>
      <c r="L1460" s="4" t="s">
        <v>321</v>
      </c>
      <c r="M1460" s="4" t="s">
        <v>22</v>
      </c>
      <c r="N1460" s="4" t="s">
        <v>23</v>
      </c>
      <c r="O1460" s="4" t="s">
        <v>27</v>
      </c>
      <c r="P1460" s="4" t="s">
        <v>28</v>
      </c>
      <c r="Q1460" s="24">
        <v>118</v>
      </c>
      <c r="R1460" s="25">
        <v>11</v>
      </c>
      <c r="S1460" s="39">
        <v>1</v>
      </c>
      <c r="T1460" s="7"/>
      <c r="U1460" s="7" t="s">
        <v>2912</v>
      </c>
      <c r="V1460" s="7" t="str">
        <f>+IF(U1460="","",IF(U1460="FINES",CONCATENATE("R",IF(OR(B1460="16",B1460="21",B1460="22",B1460="23"),"16212223",IF(OR(B1460="15",B1460="17",B1460="24",B1460="25"),"15172425",B1460))),IF(U1460="CEBAS","UNICO",IF(VALUE(B1460)&lt;=11,"AMBA","INTERIOR"))))</f>
        <v>AMBA</v>
      </c>
      <c r="W1460" s="38" t="str">
        <f>+IF(U1460="","-",CONCATENATE(U1460,"_",V1460))</f>
        <v>EPA_AMBA</v>
      </c>
      <c r="X1460" s="42">
        <v>0.67300000000000004</v>
      </c>
    </row>
    <row r="1461" spans="1:24" ht="15" thickBot="1">
      <c r="A1461" s="3" t="s">
        <v>2916</v>
      </c>
      <c r="B1461" s="3" t="s">
        <v>1532</v>
      </c>
      <c r="C1461" s="3" t="s">
        <v>1530</v>
      </c>
      <c r="D1461" s="3" t="s">
        <v>1531</v>
      </c>
      <c r="E1461" s="3">
        <v>601496</v>
      </c>
      <c r="F1461" s="3">
        <v>0</v>
      </c>
      <c r="G1461" s="3" t="s">
        <v>1569</v>
      </c>
      <c r="H1461" s="3" t="s">
        <v>20</v>
      </c>
      <c r="I1461" s="4" t="s">
        <v>110</v>
      </c>
      <c r="J1461" s="4" t="s">
        <v>21</v>
      </c>
      <c r="K1461" s="4"/>
      <c r="L1461" s="4" t="s">
        <v>323</v>
      </c>
      <c r="M1461" s="4" t="s">
        <v>22</v>
      </c>
      <c r="N1461" s="4" t="s">
        <v>23</v>
      </c>
      <c r="O1461" s="4" t="s">
        <v>27</v>
      </c>
      <c r="P1461" s="4" t="s">
        <v>28</v>
      </c>
      <c r="Q1461" s="24">
        <v>93</v>
      </c>
      <c r="R1461" s="25">
        <v>9</v>
      </c>
      <c r="S1461" s="39">
        <v>1</v>
      </c>
      <c r="T1461" s="7"/>
      <c r="U1461" s="7" t="s">
        <v>2912</v>
      </c>
      <c r="V1461" s="7" t="str">
        <f>+IF(U1461="","",IF(U1461="FINES",CONCATENATE("R",IF(OR(B1461="16",B1461="21",B1461="22",B1461="23"),"16212223",IF(OR(B1461="15",B1461="17",B1461="24",B1461="25"),"15172425",B1461))),IF(U1461="CEBAS","UNICO",IF(VALUE(B1461)&lt;=11,"AMBA","INTERIOR"))))</f>
        <v>AMBA</v>
      </c>
      <c r="W1461" s="38" t="str">
        <f>+IF(U1461="","-",CONCATENATE(U1461,"_",V1461))</f>
        <v>EPA_AMBA</v>
      </c>
      <c r="X1461" s="42">
        <v>0.67900000000000005</v>
      </c>
    </row>
    <row r="1462" spans="1:24" ht="15" thickBot="1">
      <c r="A1462" s="5" t="s">
        <v>2916</v>
      </c>
      <c r="B1462" s="5" t="s">
        <v>1780</v>
      </c>
      <c r="C1462" s="5" t="s">
        <v>1248</v>
      </c>
      <c r="D1462" s="5" t="s">
        <v>2348</v>
      </c>
      <c r="E1462" s="5">
        <v>613680</v>
      </c>
      <c r="F1462" s="5">
        <v>0</v>
      </c>
      <c r="G1462" s="5" t="s">
        <v>2354</v>
      </c>
      <c r="H1462" s="5" t="s">
        <v>20</v>
      </c>
      <c r="I1462" s="6" t="s">
        <v>110</v>
      </c>
      <c r="J1462" s="6" t="s">
        <v>21</v>
      </c>
      <c r="K1462" s="6"/>
      <c r="L1462" s="6" t="s">
        <v>391</v>
      </c>
      <c r="M1462" s="6" t="s">
        <v>22</v>
      </c>
      <c r="N1462" s="6" t="s">
        <v>23</v>
      </c>
      <c r="O1462" s="6" t="s">
        <v>27</v>
      </c>
      <c r="P1462" s="6" t="s">
        <v>28</v>
      </c>
      <c r="Q1462" s="22">
        <v>75</v>
      </c>
      <c r="R1462" s="23">
        <v>9</v>
      </c>
      <c r="S1462" s="39">
        <v>1</v>
      </c>
      <c r="T1462" s="7"/>
      <c r="U1462" t="s">
        <v>2912</v>
      </c>
      <c r="V1462" s="7" t="str">
        <f>+IF(U1462="","",IF(U1462="FINES",CONCATENATE("R",IF(OR(B1462="16",B1462="21",B1462="22",B1462="23"),"16212223",IF(OR(B1462="15",B1462="17",B1462="24",B1462="25"),"15172425",B1462))),IF(U1462="CEBAS","UNICO",IF(VALUE(B1462)&lt;=11,"AMBA","INTERIOR"))))</f>
        <v>AMBA</v>
      </c>
      <c r="W1462" s="38" t="str">
        <f>+IF(U1462="","-",CONCATENATE(U1462,"_",V1462))</f>
        <v>EPA_AMBA</v>
      </c>
      <c r="X1462" s="42">
        <v>0.68700000000000006</v>
      </c>
    </row>
    <row r="1463" spans="1:24" ht="15" thickBot="1">
      <c r="A1463" s="3" t="s">
        <v>2916</v>
      </c>
      <c r="B1463" s="3" t="s">
        <v>356</v>
      </c>
      <c r="C1463" s="3" t="s">
        <v>805</v>
      </c>
      <c r="D1463" s="3" t="s">
        <v>2500</v>
      </c>
      <c r="E1463" s="3">
        <v>607825</v>
      </c>
      <c r="F1463" s="3">
        <v>0</v>
      </c>
      <c r="G1463" s="3" t="s">
        <v>2504</v>
      </c>
      <c r="H1463" s="3" t="s">
        <v>20</v>
      </c>
      <c r="I1463" s="4" t="s">
        <v>110</v>
      </c>
      <c r="J1463" s="4" t="s">
        <v>21</v>
      </c>
      <c r="K1463" s="4"/>
      <c r="L1463" s="4" t="s">
        <v>1018</v>
      </c>
      <c r="M1463" s="4" t="s">
        <v>22</v>
      </c>
      <c r="N1463" s="4" t="s">
        <v>23</v>
      </c>
      <c r="O1463" s="4" t="s">
        <v>27</v>
      </c>
      <c r="P1463" s="4" t="s">
        <v>28</v>
      </c>
      <c r="Q1463" s="24">
        <v>146</v>
      </c>
      <c r="R1463" s="25">
        <v>9</v>
      </c>
      <c r="S1463" s="39">
        <v>1</v>
      </c>
      <c r="T1463" s="7"/>
      <c r="U1463" s="7" t="s">
        <v>2912</v>
      </c>
      <c r="V1463" s="7" t="str">
        <f>+IF(U1463="","",IF(U1463="FINES",CONCATENATE("R",IF(OR(B1463="16",B1463="21",B1463="22",B1463="23"),"16212223",IF(OR(B1463="15",B1463="17",B1463="24",B1463="25"),"15172425",B1463))),IF(U1463="CEBAS","UNICO",IF(VALUE(B1463)&lt;=11,"AMBA","INTERIOR"))))</f>
        <v>AMBA</v>
      </c>
      <c r="W1463" s="38" t="str">
        <f>+IF(U1463="","-",CONCATENATE(U1463,"_",V1463))</f>
        <v>EPA_AMBA</v>
      </c>
      <c r="X1463" s="42">
        <v>0.68799999999999994</v>
      </c>
    </row>
    <row r="1464" spans="1:24" ht="15" thickBot="1">
      <c r="A1464" s="3" t="s">
        <v>2916</v>
      </c>
      <c r="B1464" s="3" t="s">
        <v>817</v>
      </c>
      <c r="C1464" s="3" t="s">
        <v>2080</v>
      </c>
      <c r="D1464" s="3" t="s">
        <v>2081</v>
      </c>
      <c r="E1464" s="3">
        <v>610551</v>
      </c>
      <c r="F1464" s="3">
        <v>0</v>
      </c>
      <c r="G1464" s="3" t="s">
        <v>2107</v>
      </c>
      <c r="H1464" s="3" t="s">
        <v>20</v>
      </c>
      <c r="I1464" s="4" t="s">
        <v>110</v>
      </c>
      <c r="J1464" s="4" t="s">
        <v>21</v>
      </c>
      <c r="K1464" s="4"/>
      <c r="L1464" s="4" t="s">
        <v>1117</v>
      </c>
      <c r="M1464" s="4" t="s">
        <v>22</v>
      </c>
      <c r="N1464" s="4" t="s">
        <v>23</v>
      </c>
      <c r="O1464" s="4" t="s">
        <v>27</v>
      </c>
      <c r="P1464" s="4" t="s">
        <v>28</v>
      </c>
      <c r="Q1464" s="24">
        <v>215</v>
      </c>
      <c r="R1464" s="25">
        <v>14</v>
      </c>
      <c r="S1464" s="39">
        <v>1</v>
      </c>
      <c r="T1464" s="7"/>
      <c r="U1464" s="7" t="s">
        <v>2912</v>
      </c>
      <c r="V1464" s="7" t="str">
        <f>+IF(U1464="","",IF(U1464="FINES",CONCATENATE("R",IF(OR(B1464="16",B1464="21",B1464="22",B1464="23"),"16212223",IF(OR(B1464="15",B1464="17",B1464="24",B1464="25"),"15172425",B1464))),IF(U1464="CEBAS","UNICO",IF(VALUE(B1464)&lt;=11,"AMBA","INTERIOR"))))</f>
        <v>AMBA</v>
      </c>
      <c r="W1464" s="38" t="str">
        <f>+IF(U1464="","-",CONCATENATE(U1464,"_",V1464))</f>
        <v>EPA_AMBA</v>
      </c>
      <c r="X1464" s="42">
        <v>0.69099999999999995</v>
      </c>
    </row>
    <row r="1465" spans="1:24" ht="15" thickBot="1">
      <c r="A1465" s="5" t="s">
        <v>2916</v>
      </c>
      <c r="B1465" s="5" t="s">
        <v>1860</v>
      </c>
      <c r="C1465" s="5" t="s">
        <v>224</v>
      </c>
      <c r="D1465" s="5" t="s">
        <v>2837</v>
      </c>
      <c r="E1465" s="5">
        <v>613696</v>
      </c>
      <c r="F1465" s="5">
        <v>0</v>
      </c>
      <c r="G1465" s="5" t="s">
        <v>2842</v>
      </c>
      <c r="H1465" s="5" t="s">
        <v>20</v>
      </c>
      <c r="I1465" s="6" t="s">
        <v>110</v>
      </c>
      <c r="J1465" s="6" t="s">
        <v>21</v>
      </c>
      <c r="K1465" s="6"/>
      <c r="L1465" s="6" t="s">
        <v>391</v>
      </c>
      <c r="M1465" s="6" t="s">
        <v>22</v>
      </c>
      <c r="N1465" s="6" t="s">
        <v>23</v>
      </c>
      <c r="O1465" s="6" t="s">
        <v>27</v>
      </c>
      <c r="P1465" s="6" t="s">
        <v>28</v>
      </c>
      <c r="Q1465" s="22">
        <v>70</v>
      </c>
      <c r="R1465" s="23">
        <v>8</v>
      </c>
      <c r="S1465" s="39">
        <v>1</v>
      </c>
      <c r="T1465" s="7"/>
      <c r="U1465" t="s">
        <v>2912</v>
      </c>
      <c r="V1465" s="7" t="str">
        <f>+IF(U1465="","",IF(U1465="FINES",CONCATENATE("R",IF(OR(B1465="16",B1465="21",B1465="22",B1465="23"),"16212223",IF(OR(B1465="15",B1465="17",B1465="24",B1465="25"),"15172425",B1465))),IF(U1465="CEBAS","UNICO",IF(VALUE(B1465)&lt;=11,"AMBA","INTERIOR"))))</f>
        <v>AMBA</v>
      </c>
      <c r="W1465" s="38" t="str">
        <f>+IF(U1465="","-",CONCATENATE(U1465,"_",V1465))</f>
        <v>EPA_AMBA</v>
      </c>
      <c r="X1465" s="42">
        <v>0.69499999999999995</v>
      </c>
    </row>
    <row r="1466" spans="1:24" ht="15" thickBot="1">
      <c r="A1466" s="3" t="s">
        <v>2916</v>
      </c>
      <c r="B1466" s="3" t="s">
        <v>1257</v>
      </c>
      <c r="C1466" s="3" t="s">
        <v>1255</v>
      </c>
      <c r="D1466" s="3" t="s">
        <v>1256</v>
      </c>
      <c r="E1466" s="3">
        <v>612044</v>
      </c>
      <c r="F1466" s="3">
        <v>0</v>
      </c>
      <c r="G1466" s="3" t="s">
        <v>1261</v>
      </c>
      <c r="H1466" s="3" t="s">
        <v>20</v>
      </c>
      <c r="I1466" s="4" t="s">
        <v>110</v>
      </c>
      <c r="J1466" s="4" t="s">
        <v>21</v>
      </c>
      <c r="K1466" s="4"/>
      <c r="L1466" s="4" t="s">
        <v>396</v>
      </c>
      <c r="M1466" s="4" t="s">
        <v>22</v>
      </c>
      <c r="N1466" s="4" t="s">
        <v>23</v>
      </c>
      <c r="O1466" s="4" t="s">
        <v>27</v>
      </c>
      <c r="P1466" s="4" t="s">
        <v>28</v>
      </c>
      <c r="Q1466" s="24">
        <v>127</v>
      </c>
      <c r="R1466" s="25">
        <v>9</v>
      </c>
      <c r="S1466" s="39">
        <v>1</v>
      </c>
      <c r="T1466" s="7"/>
      <c r="U1466" t="s">
        <v>2912</v>
      </c>
      <c r="V1466" s="7" t="str">
        <f>+IF(U1466="","",IF(U1466="FINES",CONCATENATE("R",IF(OR(B1466="16",B1466="21",B1466="22",B1466="23"),"16212223",IF(OR(B1466="15",B1466="17",B1466="24",B1466="25"),"15172425",B1466))),IF(U1466="CEBAS","UNICO",IF(VALUE(B1466)&lt;=11,"AMBA","INTERIOR"))))</f>
        <v>AMBA</v>
      </c>
      <c r="W1466" s="38" t="str">
        <f>+IF(U1466="","-",CONCATENATE(U1466,"_",V1466))</f>
        <v>EPA_AMBA</v>
      </c>
      <c r="X1466" s="42">
        <v>0.69899999999999995</v>
      </c>
    </row>
    <row r="1467" spans="1:24" ht="15" thickBot="1">
      <c r="A1467" s="5" t="s">
        <v>2916</v>
      </c>
      <c r="B1467" s="5" t="s">
        <v>1532</v>
      </c>
      <c r="C1467" s="5" t="s">
        <v>1530</v>
      </c>
      <c r="D1467" s="5" t="s">
        <v>1531</v>
      </c>
      <c r="E1467" s="5">
        <v>607034</v>
      </c>
      <c r="F1467" s="5">
        <v>0</v>
      </c>
      <c r="G1467" s="5" t="s">
        <v>1669</v>
      </c>
      <c r="H1467" s="5" t="s">
        <v>20</v>
      </c>
      <c r="I1467" s="6" t="s">
        <v>110</v>
      </c>
      <c r="J1467" s="6" t="s">
        <v>21</v>
      </c>
      <c r="K1467" s="6"/>
      <c r="L1467" s="6" t="s">
        <v>1670</v>
      </c>
      <c r="M1467" s="6" t="s">
        <v>22</v>
      </c>
      <c r="N1467" s="6" t="s">
        <v>23</v>
      </c>
      <c r="O1467" s="6" t="s">
        <v>27</v>
      </c>
      <c r="P1467" s="6" t="s">
        <v>28</v>
      </c>
      <c r="Q1467" s="22">
        <v>163</v>
      </c>
      <c r="R1467" s="23">
        <v>12</v>
      </c>
      <c r="S1467" s="39">
        <v>1</v>
      </c>
      <c r="T1467" s="7"/>
      <c r="U1467" t="s">
        <v>2912</v>
      </c>
      <c r="V1467" s="7" t="str">
        <f>+IF(U1467="","",IF(U1467="FINES",CONCATENATE("R",IF(OR(B1467="16",B1467="21",B1467="22",B1467="23"),"16212223",IF(OR(B1467="15",B1467="17",B1467="24",B1467="25"),"15172425",B1467))),IF(U1467="CEBAS","UNICO",IF(VALUE(B1467)&lt;=11,"AMBA","INTERIOR"))))</f>
        <v>AMBA</v>
      </c>
      <c r="W1467" s="38" t="str">
        <f>+IF(U1467="","-",CONCATENATE(U1467,"_",V1467))</f>
        <v>EPA_AMBA</v>
      </c>
      <c r="X1467" s="42">
        <v>0.70599999999999996</v>
      </c>
    </row>
    <row r="1468" spans="1:24" ht="15" thickBot="1">
      <c r="A1468" s="3" t="s">
        <v>2916</v>
      </c>
      <c r="B1468" s="3" t="s">
        <v>1257</v>
      </c>
      <c r="C1468" s="3" t="s">
        <v>1255</v>
      </c>
      <c r="D1468" s="3" t="s">
        <v>1256</v>
      </c>
      <c r="E1468" s="3">
        <v>609362</v>
      </c>
      <c r="F1468" s="3">
        <v>0</v>
      </c>
      <c r="G1468" s="3" t="s">
        <v>1267</v>
      </c>
      <c r="H1468" s="3" t="s">
        <v>20</v>
      </c>
      <c r="I1468" s="4" t="s">
        <v>110</v>
      </c>
      <c r="J1468" s="4" t="s">
        <v>21</v>
      </c>
      <c r="K1468" s="4"/>
      <c r="L1468" s="4" t="s">
        <v>1282</v>
      </c>
      <c r="M1468" s="4" t="s">
        <v>22</v>
      </c>
      <c r="N1468" s="4" t="s">
        <v>23</v>
      </c>
      <c r="O1468" s="4" t="s">
        <v>27</v>
      </c>
      <c r="P1468" s="4" t="s">
        <v>28</v>
      </c>
      <c r="Q1468" s="24">
        <v>147</v>
      </c>
      <c r="R1468" s="25">
        <v>14</v>
      </c>
      <c r="S1468" s="39">
        <v>1</v>
      </c>
      <c r="T1468" s="7"/>
      <c r="U1468" t="s">
        <v>2912</v>
      </c>
      <c r="V1468" s="7" t="str">
        <f>+IF(U1468="","",IF(U1468="FINES",CONCATENATE("R",IF(OR(B1468="16",B1468="21",B1468="22",B1468="23"),"16212223",IF(OR(B1468="15",B1468="17",B1468="24",B1468="25"),"15172425",B1468))),IF(U1468="CEBAS","UNICO",IF(VALUE(B1468)&lt;=11,"AMBA","INTERIOR"))))</f>
        <v>AMBA</v>
      </c>
      <c r="W1468" s="38" t="str">
        <f>+IF(U1468="","-",CONCATENATE(U1468,"_",V1468))</f>
        <v>EPA_AMBA</v>
      </c>
      <c r="X1468" s="42">
        <v>0.70699999999999996</v>
      </c>
    </row>
    <row r="1469" spans="1:24" ht="15" thickBot="1">
      <c r="A1469" s="5" t="s">
        <v>2916</v>
      </c>
      <c r="B1469" s="5" t="s">
        <v>19</v>
      </c>
      <c r="C1469" s="5" t="s">
        <v>599</v>
      </c>
      <c r="D1469" s="5" t="s">
        <v>601</v>
      </c>
      <c r="E1469" s="5">
        <v>611018</v>
      </c>
      <c r="F1469" s="5">
        <v>0</v>
      </c>
      <c r="G1469" s="5" t="s">
        <v>605</v>
      </c>
      <c r="H1469" s="5" t="s">
        <v>20</v>
      </c>
      <c r="I1469" s="6" t="s">
        <v>110</v>
      </c>
      <c r="J1469" s="6" t="s">
        <v>21</v>
      </c>
      <c r="K1469" s="6"/>
      <c r="L1469" s="6" t="s">
        <v>606</v>
      </c>
      <c r="M1469" s="6" t="s">
        <v>22</v>
      </c>
      <c r="N1469" s="6" t="s">
        <v>23</v>
      </c>
      <c r="O1469" s="6" t="s">
        <v>27</v>
      </c>
      <c r="P1469" s="6" t="s">
        <v>28</v>
      </c>
      <c r="Q1469" s="22">
        <v>62</v>
      </c>
      <c r="R1469" s="23">
        <v>6</v>
      </c>
      <c r="S1469" s="39">
        <v>1</v>
      </c>
      <c r="T1469" s="7"/>
      <c r="U1469" t="s">
        <v>2912</v>
      </c>
      <c r="V1469" s="7" t="str">
        <f>+IF(U1469="","",IF(U1469="FINES",CONCATENATE("R",IF(OR(B1469="16",B1469="21",B1469="22",B1469="23"),"16212223",IF(OR(B1469="15",B1469="17",B1469="24",B1469="25"),"15172425",B1469))),IF(U1469="CEBAS","UNICO",IF(VALUE(B1469)&lt;=11,"AMBA","INTERIOR"))))</f>
        <v>AMBA</v>
      </c>
      <c r="W1469" s="38" t="str">
        <f>+IF(U1469="","-",CONCATENATE(U1469,"_",V1469))</f>
        <v>EPA_AMBA</v>
      </c>
      <c r="X1469" s="42">
        <v>0.70699999999999996</v>
      </c>
    </row>
    <row r="1470" spans="1:24" ht="15" thickBot="1">
      <c r="A1470" s="3" t="s">
        <v>2916</v>
      </c>
      <c r="B1470" s="3" t="s">
        <v>356</v>
      </c>
      <c r="C1470" s="3" t="s">
        <v>805</v>
      </c>
      <c r="D1470" s="3" t="s">
        <v>2500</v>
      </c>
      <c r="E1470" s="3">
        <v>603807</v>
      </c>
      <c r="F1470" s="3">
        <v>0</v>
      </c>
      <c r="G1470" s="3" t="s">
        <v>2502</v>
      </c>
      <c r="H1470" s="3" t="s">
        <v>20</v>
      </c>
      <c r="I1470" s="4" t="s">
        <v>110</v>
      </c>
      <c r="J1470" s="4" t="s">
        <v>21</v>
      </c>
      <c r="K1470" s="4"/>
      <c r="L1470" s="4" t="s">
        <v>111</v>
      </c>
      <c r="M1470" s="4" t="s">
        <v>22</v>
      </c>
      <c r="N1470" s="4" t="s">
        <v>23</v>
      </c>
      <c r="O1470" s="4" t="s">
        <v>27</v>
      </c>
      <c r="P1470" s="4" t="s">
        <v>28</v>
      </c>
      <c r="Q1470" s="24">
        <v>130</v>
      </c>
      <c r="R1470" s="25">
        <v>9</v>
      </c>
      <c r="S1470" s="39">
        <v>1</v>
      </c>
      <c r="T1470" s="7"/>
      <c r="U1470" t="s">
        <v>2912</v>
      </c>
      <c r="V1470" s="7" t="str">
        <f>+IF(U1470="","",IF(U1470="FINES",CONCATENATE("R",IF(OR(B1470="16",B1470="21",B1470="22",B1470="23"),"16212223",IF(OR(B1470="15",B1470="17",B1470="24",B1470="25"),"15172425",B1470))),IF(U1470="CEBAS","UNICO",IF(VALUE(B1470)&lt;=11,"AMBA","INTERIOR"))))</f>
        <v>AMBA</v>
      </c>
      <c r="W1470" s="38" t="str">
        <f>+IF(U1470="","-",CONCATENATE(U1470,"_",V1470))</f>
        <v>EPA_AMBA</v>
      </c>
      <c r="X1470" s="42">
        <v>0.70799999999999996</v>
      </c>
    </row>
    <row r="1471" spans="1:24" ht="15" thickBot="1">
      <c r="A1471" s="5" t="s">
        <v>2916</v>
      </c>
      <c r="B1471" s="5" t="s">
        <v>1257</v>
      </c>
      <c r="C1471" s="5" t="s">
        <v>1255</v>
      </c>
      <c r="D1471" s="5" t="s">
        <v>1256</v>
      </c>
      <c r="E1471" s="5">
        <v>610589</v>
      </c>
      <c r="F1471" s="5">
        <v>0</v>
      </c>
      <c r="G1471" s="5" t="s">
        <v>1271</v>
      </c>
      <c r="H1471" s="5" t="s">
        <v>20</v>
      </c>
      <c r="I1471" s="6" t="s">
        <v>110</v>
      </c>
      <c r="J1471" s="6" t="s">
        <v>21</v>
      </c>
      <c r="K1471" s="6"/>
      <c r="L1471" s="6" t="s">
        <v>1286</v>
      </c>
      <c r="M1471" s="6" t="s">
        <v>22</v>
      </c>
      <c r="N1471" s="6" t="s">
        <v>23</v>
      </c>
      <c r="O1471" s="6" t="s">
        <v>27</v>
      </c>
      <c r="P1471" s="6" t="s">
        <v>28</v>
      </c>
      <c r="Q1471" s="22">
        <v>107</v>
      </c>
      <c r="R1471" s="23">
        <v>9</v>
      </c>
      <c r="S1471" s="39">
        <v>1</v>
      </c>
      <c r="T1471" s="7"/>
      <c r="U1471" t="s">
        <v>2912</v>
      </c>
      <c r="V1471" s="7" t="str">
        <f>+IF(U1471="","",IF(U1471="FINES",CONCATENATE("R",IF(OR(B1471="16",B1471="21",B1471="22",B1471="23"),"16212223",IF(OR(B1471="15",B1471="17",B1471="24",B1471="25"),"15172425",B1471))),IF(U1471="CEBAS","UNICO",IF(VALUE(B1471)&lt;=11,"AMBA","INTERIOR"))))</f>
        <v>AMBA</v>
      </c>
      <c r="W1471" s="38" t="str">
        <f>+IF(U1471="","-",CONCATENATE(U1471,"_",V1471))</f>
        <v>EPA_AMBA</v>
      </c>
      <c r="X1471" s="42">
        <v>0.71199999999999997</v>
      </c>
    </row>
    <row r="1472" spans="1:24" ht="15" thickBot="1">
      <c r="A1472" s="3" t="s">
        <v>2916</v>
      </c>
      <c r="B1472" s="3" t="s">
        <v>1780</v>
      </c>
      <c r="C1472" s="3" t="s">
        <v>238</v>
      </c>
      <c r="D1472" s="3" t="s">
        <v>2887</v>
      </c>
      <c r="E1472" s="3">
        <v>605622</v>
      </c>
      <c r="F1472" s="3">
        <v>0</v>
      </c>
      <c r="G1472" s="3" t="s">
        <v>2889</v>
      </c>
      <c r="H1472" s="3" t="s">
        <v>20</v>
      </c>
      <c r="I1472" s="4" t="s">
        <v>110</v>
      </c>
      <c r="J1472" s="4" t="s">
        <v>21</v>
      </c>
      <c r="K1472" s="4"/>
      <c r="L1472" s="4" t="s">
        <v>2893</v>
      </c>
      <c r="M1472" s="4" t="s">
        <v>22</v>
      </c>
      <c r="N1472" s="4" t="s">
        <v>23</v>
      </c>
      <c r="O1472" s="4" t="s">
        <v>27</v>
      </c>
      <c r="P1472" s="4" t="s">
        <v>28</v>
      </c>
      <c r="Q1472" s="24">
        <v>94</v>
      </c>
      <c r="R1472" s="25">
        <v>9</v>
      </c>
      <c r="S1472" s="39">
        <v>1</v>
      </c>
      <c r="T1472" s="7"/>
      <c r="U1472" t="s">
        <v>2912</v>
      </c>
      <c r="V1472" s="7" t="str">
        <f>+IF(U1472="","",IF(U1472="FINES",CONCATENATE("R",IF(OR(B1472="16",B1472="21",B1472="22",B1472="23"),"16212223",IF(OR(B1472="15",B1472="17",B1472="24",B1472="25"),"15172425",B1472))),IF(U1472="CEBAS","UNICO",IF(VALUE(B1472)&lt;=11,"AMBA","INTERIOR"))))</f>
        <v>AMBA</v>
      </c>
      <c r="W1472" s="38" t="str">
        <f>+IF(U1472="","-",CONCATENATE(U1472,"_",V1472))</f>
        <v>EPA_AMBA</v>
      </c>
      <c r="X1472" s="42">
        <v>0.71499999999999997</v>
      </c>
    </row>
    <row r="1473" spans="1:24" ht="15" thickBot="1">
      <c r="A1473" s="3" t="s">
        <v>2916</v>
      </c>
      <c r="B1473" s="3" t="s">
        <v>356</v>
      </c>
      <c r="C1473" s="3" t="s">
        <v>1359</v>
      </c>
      <c r="D1473" s="3" t="s">
        <v>1360</v>
      </c>
      <c r="E1473" s="3">
        <v>624025</v>
      </c>
      <c r="F1473" s="3">
        <v>0</v>
      </c>
      <c r="G1473" s="3" t="s">
        <v>1420</v>
      </c>
      <c r="H1473" s="3" t="s">
        <v>20</v>
      </c>
      <c r="I1473" s="4" t="s">
        <v>110</v>
      </c>
      <c r="J1473" s="4" t="s">
        <v>21</v>
      </c>
      <c r="K1473" s="4"/>
      <c r="L1473" s="4" t="s">
        <v>1421</v>
      </c>
      <c r="M1473" s="4" t="s">
        <v>22</v>
      </c>
      <c r="N1473" s="4" t="s">
        <v>23</v>
      </c>
      <c r="O1473" s="4" t="s">
        <v>27</v>
      </c>
      <c r="P1473" s="4" t="s">
        <v>28</v>
      </c>
      <c r="Q1473" s="24">
        <v>11</v>
      </c>
      <c r="R1473" s="25">
        <v>3</v>
      </c>
      <c r="S1473" s="39">
        <v>1</v>
      </c>
      <c r="T1473" s="7"/>
      <c r="U1473" t="s">
        <v>2912</v>
      </c>
      <c r="V1473" s="7" t="str">
        <f>+IF(U1473="","",IF(U1473="FINES",CONCATENATE("R",IF(OR(B1473="16",B1473="21",B1473="22",B1473="23"),"16212223",IF(OR(B1473="15",B1473="17",B1473="24",B1473="25"),"15172425",B1473))),IF(U1473="CEBAS","UNICO",IF(VALUE(B1473)&lt;=11,"AMBA","INTERIOR"))))</f>
        <v>AMBA</v>
      </c>
      <c r="W1473" s="38" t="str">
        <f>+IF(U1473="","-",CONCATENATE(U1473,"_",V1473))</f>
        <v>EPA_AMBA</v>
      </c>
      <c r="X1473" s="42">
        <v>0.72299999999999998</v>
      </c>
    </row>
    <row r="1474" spans="1:24" ht="15" thickBot="1">
      <c r="A1474" s="5" t="s">
        <v>2916</v>
      </c>
      <c r="B1474" s="5" t="s">
        <v>204</v>
      </c>
      <c r="C1474" s="5" t="s">
        <v>219</v>
      </c>
      <c r="D1474" s="5" t="s">
        <v>2865</v>
      </c>
      <c r="E1474" s="5">
        <v>603209</v>
      </c>
      <c r="F1474" s="5">
        <v>0</v>
      </c>
      <c r="G1474" s="5" t="s">
        <v>2872</v>
      </c>
      <c r="H1474" s="5" t="s">
        <v>20</v>
      </c>
      <c r="I1474" s="6" t="s">
        <v>110</v>
      </c>
      <c r="J1474" s="6" t="s">
        <v>21</v>
      </c>
      <c r="K1474" s="6"/>
      <c r="L1474" s="6" t="s">
        <v>391</v>
      </c>
      <c r="M1474" s="6" t="s">
        <v>22</v>
      </c>
      <c r="N1474" s="6" t="s">
        <v>23</v>
      </c>
      <c r="O1474" s="6" t="s">
        <v>27</v>
      </c>
      <c r="P1474" s="6" t="s">
        <v>28</v>
      </c>
      <c r="Q1474" s="22">
        <v>120</v>
      </c>
      <c r="R1474" s="23">
        <v>8</v>
      </c>
      <c r="S1474" s="39">
        <v>1</v>
      </c>
      <c r="T1474" s="7"/>
      <c r="U1474" t="s">
        <v>2912</v>
      </c>
      <c r="V1474" s="7" t="str">
        <f>+IF(U1474="","",IF(U1474="FINES",CONCATENATE("R",IF(OR(B1474="16",B1474="21",B1474="22",B1474="23"),"16212223",IF(OR(B1474="15",B1474="17",B1474="24",B1474="25"),"15172425",B1474))),IF(U1474="CEBAS","UNICO",IF(VALUE(B1474)&lt;=11,"AMBA","INTERIOR"))))</f>
        <v>AMBA</v>
      </c>
      <c r="W1474" s="38" t="str">
        <f>+IF(U1474="","-",CONCATENATE(U1474,"_",V1474))</f>
        <v>EPA_AMBA</v>
      </c>
      <c r="X1474" s="42">
        <v>0.72499999999999998</v>
      </c>
    </row>
    <row r="1475" spans="1:24" ht="15" thickBot="1">
      <c r="A1475" s="5" t="s">
        <v>2916</v>
      </c>
      <c r="B1475" s="5" t="s">
        <v>356</v>
      </c>
      <c r="C1475" s="5" t="s">
        <v>805</v>
      </c>
      <c r="D1475" s="5" t="s">
        <v>2500</v>
      </c>
      <c r="E1475" s="5">
        <v>605130</v>
      </c>
      <c r="F1475" s="5">
        <v>0</v>
      </c>
      <c r="G1475" s="5" t="s">
        <v>2519</v>
      </c>
      <c r="H1475" s="5" t="s">
        <v>20</v>
      </c>
      <c r="I1475" s="6" t="s">
        <v>110</v>
      </c>
      <c r="J1475" s="6" t="s">
        <v>21</v>
      </c>
      <c r="K1475" s="6"/>
      <c r="L1475" s="6" t="s">
        <v>2231</v>
      </c>
      <c r="M1475" s="6" t="s">
        <v>22</v>
      </c>
      <c r="N1475" s="6" t="s">
        <v>23</v>
      </c>
      <c r="O1475" s="6" t="s">
        <v>27</v>
      </c>
      <c r="P1475" s="6" t="s">
        <v>28</v>
      </c>
      <c r="Q1475" s="22">
        <v>94</v>
      </c>
      <c r="R1475" s="23">
        <v>6</v>
      </c>
      <c r="S1475" s="39">
        <v>1</v>
      </c>
      <c r="T1475" s="7"/>
      <c r="U1475" t="s">
        <v>2912</v>
      </c>
      <c r="V1475" s="7" t="str">
        <f>+IF(U1475="","",IF(U1475="FINES",CONCATENATE("R",IF(OR(B1475="16",B1475="21",B1475="22",B1475="23"),"16212223",IF(OR(B1475="15",B1475="17",B1475="24",B1475="25"),"15172425",B1475))),IF(U1475="CEBAS","UNICO",IF(VALUE(B1475)&lt;=11,"AMBA","INTERIOR"))))</f>
        <v>AMBA</v>
      </c>
      <c r="W1475" s="38" t="str">
        <f>+IF(U1475="","-",CONCATENATE(U1475,"_",V1475))</f>
        <v>EPA_AMBA</v>
      </c>
      <c r="X1475" s="42">
        <v>0.72499999999999998</v>
      </c>
    </row>
    <row r="1476" spans="1:24" ht="15" thickBot="1">
      <c r="A1476" s="5" t="s">
        <v>2916</v>
      </c>
      <c r="B1476" s="5" t="s">
        <v>257</v>
      </c>
      <c r="C1476" s="5" t="s">
        <v>253</v>
      </c>
      <c r="D1476" s="5" t="s">
        <v>2759</v>
      </c>
      <c r="E1476" s="5">
        <v>605089</v>
      </c>
      <c r="F1476" s="5">
        <v>0</v>
      </c>
      <c r="G1476" s="5" t="s">
        <v>2764</v>
      </c>
      <c r="H1476" s="5" t="s">
        <v>20</v>
      </c>
      <c r="I1476" s="6" t="s">
        <v>110</v>
      </c>
      <c r="J1476" s="6" t="s">
        <v>21</v>
      </c>
      <c r="K1476" s="6"/>
      <c r="L1476" s="6" t="s">
        <v>2766</v>
      </c>
      <c r="M1476" s="6" t="s">
        <v>22</v>
      </c>
      <c r="N1476" s="6" t="s">
        <v>23</v>
      </c>
      <c r="O1476" s="6" t="s">
        <v>27</v>
      </c>
      <c r="P1476" s="6" t="s">
        <v>28</v>
      </c>
      <c r="Q1476" s="22">
        <v>182</v>
      </c>
      <c r="R1476" s="23">
        <v>14</v>
      </c>
      <c r="S1476" s="39">
        <v>1</v>
      </c>
      <c r="T1476" s="7"/>
      <c r="U1476" t="s">
        <v>2912</v>
      </c>
      <c r="V1476" s="7" t="str">
        <f>+IF(U1476="","",IF(U1476="FINES",CONCATENATE("R",IF(OR(B1476="16",B1476="21",B1476="22",B1476="23"),"16212223",IF(OR(B1476="15",B1476="17",B1476="24",B1476="25"),"15172425",B1476))),IF(U1476="CEBAS","UNICO",IF(VALUE(B1476)&lt;=11,"AMBA","INTERIOR"))))</f>
        <v>AMBA</v>
      </c>
      <c r="W1476" s="38" t="str">
        <f>+IF(U1476="","-",CONCATENATE(U1476,"_",V1476))</f>
        <v>EPA_AMBA</v>
      </c>
      <c r="X1476" s="42">
        <v>0.73399999999999999</v>
      </c>
    </row>
    <row r="1477" spans="1:24" ht="15" thickBot="1">
      <c r="A1477" s="3" t="s">
        <v>2916</v>
      </c>
      <c r="B1477" s="3" t="s">
        <v>356</v>
      </c>
      <c r="C1477" s="3" t="s">
        <v>1359</v>
      </c>
      <c r="D1477" s="3" t="s">
        <v>1360</v>
      </c>
      <c r="E1477" s="3">
        <v>610690</v>
      </c>
      <c r="F1477" s="3">
        <v>0</v>
      </c>
      <c r="G1477" s="3" t="s">
        <v>1393</v>
      </c>
      <c r="H1477" s="3" t="s">
        <v>20</v>
      </c>
      <c r="I1477" s="4" t="s">
        <v>110</v>
      </c>
      <c r="J1477" s="4" t="s">
        <v>21</v>
      </c>
      <c r="K1477" s="4"/>
      <c r="L1477" s="4" t="s">
        <v>1404</v>
      </c>
      <c r="M1477" s="4" t="s">
        <v>22</v>
      </c>
      <c r="N1477" s="4" t="s">
        <v>23</v>
      </c>
      <c r="O1477" s="4" t="s">
        <v>27</v>
      </c>
      <c r="P1477" s="4" t="s">
        <v>28</v>
      </c>
      <c r="Q1477" s="24">
        <v>143</v>
      </c>
      <c r="R1477" s="25">
        <v>14</v>
      </c>
      <c r="S1477" s="39">
        <v>1</v>
      </c>
      <c r="T1477" s="7"/>
      <c r="U1477" t="s">
        <v>2912</v>
      </c>
      <c r="V1477" s="7" t="str">
        <f>+IF(U1477="","",IF(U1477="FINES",CONCATENATE("R",IF(OR(B1477="16",B1477="21",B1477="22",B1477="23"),"16212223",IF(OR(B1477="15",B1477="17",B1477="24",B1477="25"),"15172425",B1477))),IF(U1477="CEBAS","UNICO",IF(VALUE(B1477)&lt;=11,"AMBA","INTERIOR"))))</f>
        <v>AMBA</v>
      </c>
      <c r="W1477" s="38" t="str">
        <f>+IF(U1477="","-",CONCATENATE(U1477,"_",V1477))</f>
        <v>EPA_AMBA</v>
      </c>
      <c r="X1477" s="42">
        <v>0.73899999999999999</v>
      </c>
    </row>
    <row r="1478" spans="1:24" ht="15" thickBot="1">
      <c r="A1478" s="5" t="s">
        <v>2916</v>
      </c>
      <c r="B1478" s="5" t="s">
        <v>817</v>
      </c>
      <c r="C1478" s="5" t="s">
        <v>815</v>
      </c>
      <c r="D1478" s="5" t="s">
        <v>816</v>
      </c>
      <c r="E1478" s="5">
        <v>608481</v>
      </c>
      <c r="F1478" s="5">
        <v>0</v>
      </c>
      <c r="G1478" s="5" t="s">
        <v>828</v>
      </c>
      <c r="H1478" s="5" t="s">
        <v>20</v>
      </c>
      <c r="I1478" s="6" t="s">
        <v>110</v>
      </c>
      <c r="J1478" s="6" t="s">
        <v>21</v>
      </c>
      <c r="K1478" s="6"/>
      <c r="L1478" s="6" t="s">
        <v>321</v>
      </c>
      <c r="M1478" s="6" t="s">
        <v>22</v>
      </c>
      <c r="N1478" s="6" t="s">
        <v>23</v>
      </c>
      <c r="O1478" s="6" t="s">
        <v>27</v>
      </c>
      <c r="P1478" s="6" t="s">
        <v>28</v>
      </c>
      <c r="Q1478" s="22">
        <v>145</v>
      </c>
      <c r="R1478" s="23">
        <v>12</v>
      </c>
      <c r="S1478" s="39">
        <v>1</v>
      </c>
      <c r="T1478" s="7"/>
      <c r="U1478" s="7" t="s">
        <v>2912</v>
      </c>
      <c r="V1478" s="7" t="str">
        <f>+IF(U1478="","",IF(U1478="FINES",CONCATENATE("R",IF(OR(B1478="16",B1478="21",B1478="22",B1478="23"),"16212223",IF(OR(B1478="15",B1478="17",B1478="24",B1478="25"),"15172425",B1478))),IF(U1478="CEBAS","UNICO",IF(VALUE(B1478)&lt;=11,"AMBA","INTERIOR"))))</f>
        <v>AMBA</v>
      </c>
      <c r="W1478" s="38" t="str">
        <f>+IF(U1478="","-",CONCATENATE(U1478,"_",V1478))</f>
        <v>EPA_AMBA</v>
      </c>
      <c r="X1478" s="42">
        <v>0.746</v>
      </c>
    </row>
    <row r="1479" spans="1:24" ht="15" thickBot="1">
      <c r="A1479" s="3" t="s">
        <v>2916</v>
      </c>
      <c r="B1479" s="3" t="s">
        <v>19</v>
      </c>
      <c r="C1479" s="3" t="s">
        <v>17</v>
      </c>
      <c r="D1479" s="3" t="s">
        <v>18</v>
      </c>
      <c r="E1479" s="3">
        <v>624018</v>
      </c>
      <c r="F1479" s="3">
        <v>0</v>
      </c>
      <c r="G1479" s="3" t="s">
        <v>121</v>
      </c>
      <c r="H1479" s="3" t="s">
        <v>20</v>
      </c>
      <c r="I1479" s="4" t="s">
        <v>110</v>
      </c>
      <c r="J1479" s="4" t="s">
        <v>21</v>
      </c>
      <c r="K1479" s="4"/>
      <c r="L1479" s="4" t="s">
        <v>122</v>
      </c>
      <c r="M1479" s="4" t="s">
        <v>22</v>
      </c>
      <c r="N1479" s="4" t="s">
        <v>23</v>
      </c>
      <c r="O1479" s="4" t="s">
        <v>27</v>
      </c>
      <c r="P1479" s="4" t="s">
        <v>28</v>
      </c>
      <c r="Q1479" s="24">
        <v>281</v>
      </c>
      <c r="R1479" s="25">
        <v>14</v>
      </c>
      <c r="S1479" s="39">
        <v>1</v>
      </c>
      <c r="T1479" s="7"/>
      <c r="U1479" s="7" t="s">
        <v>2912</v>
      </c>
      <c r="V1479" s="7" t="str">
        <f>+IF(U1479="","",IF(U1479="FINES",CONCATENATE("R",IF(OR(B1479="16",B1479="21",B1479="22",B1479="23"),"16212223",IF(OR(B1479="15",B1479="17",B1479="24",B1479="25"),"15172425",B1479))),IF(U1479="CEBAS","UNICO",IF(VALUE(B1479)&lt;=11,"AMBA","INTERIOR"))))</f>
        <v>AMBA</v>
      </c>
      <c r="W1479" s="38" t="str">
        <f>+IF(U1479="","-",CONCATENATE(U1479,"_",V1479))</f>
        <v>EPA_AMBA</v>
      </c>
      <c r="X1479" s="42">
        <v>0.75</v>
      </c>
    </row>
    <row r="1480" spans="1:24" ht="15" thickBot="1">
      <c r="A1480" s="3" t="s">
        <v>2916</v>
      </c>
      <c r="B1480" s="3" t="s">
        <v>1257</v>
      </c>
      <c r="C1480" s="3" t="s">
        <v>2213</v>
      </c>
      <c r="D1480" s="3" t="s">
        <v>2214</v>
      </c>
      <c r="E1480" s="3">
        <v>601022</v>
      </c>
      <c r="F1480" s="3">
        <v>0</v>
      </c>
      <c r="G1480" s="3" t="s">
        <v>2220</v>
      </c>
      <c r="H1480" s="3" t="s">
        <v>20</v>
      </c>
      <c r="I1480" s="4" t="s">
        <v>110</v>
      </c>
      <c r="J1480" s="4" t="s">
        <v>21</v>
      </c>
      <c r="K1480" s="4"/>
      <c r="L1480" s="4" t="s">
        <v>2231</v>
      </c>
      <c r="M1480" s="4" t="s">
        <v>22</v>
      </c>
      <c r="N1480" s="4" t="s">
        <v>23</v>
      </c>
      <c r="O1480" s="4" t="s">
        <v>27</v>
      </c>
      <c r="P1480" s="4" t="s">
        <v>28</v>
      </c>
      <c r="Q1480" s="24">
        <v>107</v>
      </c>
      <c r="R1480" s="25">
        <v>10</v>
      </c>
      <c r="S1480" s="39">
        <v>1</v>
      </c>
      <c r="T1480" s="7"/>
      <c r="U1480" s="7" t="s">
        <v>2912</v>
      </c>
      <c r="V1480" s="7" t="str">
        <f>+IF(U1480="","",IF(U1480="FINES",CONCATENATE("R",IF(OR(B1480="16",B1480="21",B1480="22",B1480="23"),"16212223",IF(OR(B1480="15",B1480="17",B1480="24",B1480="25"),"15172425",B1480))),IF(U1480="CEBAS","UNICO",IF(VALUE(B1480)&lt;=11,"AMBA","INTERIOR"))))</f>
        <v>AMBA</v>
      </c>
      <c r="W1480" s="38" t="str">
        <f>+IF(U1480="","-",CONCATENATE(U1480,"_",V1480))</f>
        <v>EPA_AMBA</v>
      </c>
      <c r="X1480" s="42">
        <v>0.752</v>
      </c>
    </row>
    <row r="1481" spans="1:24" ht="15" thickBot="1">
      <c r="A1481" s="5" t="s">
        <v>2916</v>
      </c>
      <c r="B1481" s="5" t="s">
        <v>222</v>
      </c>
      <c r="C1481" s="5" t="s">
        <v>227</v>
      </c>
      <c r="D1481" s="5" t="s">
        <v>2603</v>
      </c>
      <c r="E1481" s="5">
        <v>613716</v>
      </c>
      <c r="F1481" s="5">
        <v>0</v>
      </c>
      <c r="G1481" s="5" t="s">
        <v>2615</v>
      </c>
      <c r="H1481" s="5" t="s">
        <v>20</v>
      </c>
      <c r="I1481" s="6" t="s">
        <v>110</v>
      </c>
      <c r="J1481" s="6" t="s">
        <v>21</v>
      </c>
      <c r="K1481" s="6"/>
      <c r="L1481" s="6" t="s">
        <v>325</v>
      </c>
      <c r="M1481" s="6" t="s">
        <v>22</v>
      </c>
      <c r="N1481" s="6" t="s">
        <v>23</v>
      </c>
      <c r="O1481" s="6" t="s">
        <v>27</v>
      </c>
      <c r="P1481" s="6" t="s">
        <v>28</v>
      </c>
      <c r="Q1481" s="22">
        <v>78</v>
      </c>
      <c r="R1481" s="23">
        <v>5</v>
      </c>
      <c r="S1481" s="39">
        <v>1</v>
      </c>
      <c r="T1481" s="7"/>
      <c r="U1481" s="7" t="s">
        <v>2912</v>
      </c>
      <c r="V1481" s="7" t="str">
        <f>+IF(U1481="","",IF(U1481="FINES",CONCATENATE("R",IF(OR(B1481="16",B1481="21",B1481="22",B1481="23"),"16212223",IF(OR(B1481="15",B1481="17",B1481="24",B1481="25"),"15172425",B1481))),IF(U1481="CEBAS","UNICO",IF(VALUE(B1481)&lt;=11,"AMBA","INTERIOR"))))</f>
        <v>AMBA</v>
      </c>
      <c r="W1481" s="38" t="str">
        <f>+IF(U1481="","-",CONCATENATE(U1481,"_",V1481))</f>
        <v>EPA_AMBA</v>
      </c>
      <c r="X1481" s="42">
        <v>0.76200000000000001</v>
      </c>
    </row>
    <row r="1482" spans="1:24" ht="15" thickBot="1">
      <c r="A1482" s="5" t="s">
        <v>2916</v>
      </c>
      <c r="B1482" s="5" t="s">
        <v>1532</v>
      </c>
      <c r="C1482" s="5" t="s">
        <v>1530</v>
      </c>
      <c r="D1482" s="5" t="s">
        <v>1531</v>
      </c>
      <c r="E1482" s="5">
        <v>613635</v>
      </c>
      <c r="F1482" s="5">
        <v>0</v>
      </c>
      <c r="G1482" s="5" t="s">
        <v>1583</v>
      </c>
      <c r="H1482" s="5" t="s">
        <v>20</v>
      </c>
      <c r="I1482" s="6" t="s">
        <v>110</v>
      </c>
      <c r="J1482" s="6" t="s">
        <v>21</v>
      </c>
      <c r="K1482" s="6"/>
      <c r="L1482" s="6" t="s">
        <v>1667</v>
      </c>
      <c r="M1482" s="6" t="s">
        <v>22</v>
      </c>
      <c r="N1482" s="6" t="s">
        <v>23</v>
      </c>
      <c r="O1482" s="6" t="s">
        <v>27</v>
      </c>
      <c r="P1482" s="6" t="s">
        <v>28</v>
      </c>
      <c r="Q1482" s="22">
        <v>117</v>
      </c>
      <c r="R1482" s="23">
        <v>9</v>
      </c>
      <c r="S1482" s="39">
        <v>1</v>
      </c>
      <c r="T1482" s="7"/>
      <c r="U1482" s="7" t="s">
        <v>2912</v>
      </c>
      <c r="V1482" s="7" t="str">
        <f>+IF(U1482="","",IF(U1482="FINES",CONCATENATE("R",IF(OR(B1482="16",B1482="21",B1482="22",B1482="23"),"16212223",IF(OR(B1482="15",B1482="17",B1482="24",B1482="25"),"15172425",B1482))),IF(U1482="CEBAS","UNICO",IF(VALUE(B1482)&lt;=11,"AMBA","INTERIOR"))))</f>
        <v>AMBA</v>
      </c>
      <c r="W1482" s="38" t="str">
        <f>+IF(U1482="","-",CONCATENATE(U1482,"_",V1482))</f>
        <v>EPA_AMBA</v>
      </c>
      <c r="X1482" s="42">
        <v>0.77</v>
      </c>
    </row>
    <row r="1483" spans="1:24" ht="15" thickBot="1">
      <c r="A1483" s="5" t="s">
        <v>2916</v>
      </c>
      <c r="B1483" s="5" t="s">
        <v>356</v>
      </c>
      <c r="C1483" s="5" t="s">
        <v>1359</v>
      </c>
      <c r="D1483" s="5" t="s">
        <v>1360</v>
      </c>
      <c r="E1483" s="5">
        <v>608237</v>
      </c>
      <c r="F1483" s="5">
        <v>0</v>
      </c>
      <c r="G1483" s="5" t="s">
        <v>1414</v>
      </c>
      <c r="H1483" s="5" t="s">
        <v>20</v>
      </c>
      <c r="I1483" s="6" t="s">
        <v>110</v>
      </c>
      <c r="J1483" s="6" t="s">
        <v>21</v>
      </c>
      <c r="K1483" s="6"/>
      <c r="L1483" s="6" t="s">
        <v>1415</v>
      </c>
      <c r="M1483" s="6" t="s">
        <v>22</v>
      </c>
      <c r="N1483" s="6" t="s">
        <v>23</v>
      </c>
      <c r="O1483" s="6" t="s">
        <v>27</v>
      </c>
      <c r="P1483" s="6" t="s">
        <v>28</v>
      </c>
      <c r="Q1483" s="22">
        <v>248</v>
      </c>
      <c r="R1483" s="23">
        <v>17</v>
      </c>
      <c r="S1483" s="39">
        <v>1</v>
      </c>
      <c r="T1483" s="7"/>
      <c r="U1483" s="7" t="s">
        <v>2912</v>
      </c>
      <c r="V1483" s="7" t="str">
        <f>+IF(U1483="","",IF(U1483="FINES",CONCATENATE("R",IF(OR(B1483="16",B1483="21",B1483="22",B1483="23"),"16212223",IF(OR(B1483="15",B1483="17",B1483="24",B1483="25"),"15172425",B1483))),IF(U1483="CEBAS","UNICO",IF(VALUE(B1483)&lt;=11,"AMBA","INTERIOR"))))</f>
        <v>AMBA</v>
      </c>
      <c r="W1483" s="38" t="str">
        <f>+IF(U1483="","-",CONCATENATE(U1483,"_",V1483))</f>
        <v>EPA_AMBA</v>
      </c>
      <c r="X1483" s="42">
        <v>0.78300000000000003</v>
      </c>
    </row>
    <row r="1484" spans="1:24" ht="15" thickBot="1">
      <c r="A1484" s="3" t="s">
        <v>2916</v>
      </c>
      <c r="B1484" s="3" t="s">
        <v>257</v>
      </c>
      <c r="C1484" s="3" t="s">
        <v>415</v>
      </c>
      <c r="D1484" s="3" t="s">
        <v>2770</v>
      </c>
      <c r="E1484" s="3">
        <v>616143</v>
      </c>
      <c r="F1484" s="3">
        <v>0</v>
      </c>
      <c r="G1484" s="3" t="s">
        <v>2778</v>
      </c>
      <c r="H1484" s="3" t="s">
        <v>20</v>
      </c>
      <c r="I1484" s="4" t="s">
        <v>110</v>
      </c>
      <c r="J1484" s="4" t="s">
        <v>21</v>
      </c>
      <c r="K1484" s="4"/>
      <c r="L1484" s="4" t="s">
        <v>325</v>
      </c>
      <c r="M1484" s="4" t="s">
        <v>22</v>
      </c>
      <c r="N1484" s="4" t="s">
        <v>23</v>
      </c>
      <c r="O1484" s="4" t="s">
        <v>27</v>
      </c>
      <c r="P1484" s="4" t="s">
        <v>28</v>
      </c>
      <c r="Q1484" s="24">
        <v>451</v>
      </c>
      <c r="R1484" s="25">
        <v>26</v>
      </c>
      <c r="S1484" s="39">
        <v>1</v>
      </c>
      <c r="T1484" s="7"/>
      <c r="U1484" s="7" t="s">
        <v>2912</v>
      </c>
      <c r="V1484" s="7" t="str">
        <f>+IF(U1484="","",IF(U1484="FINES",CONCATENATE("R",IF(OR(B1484="16",B1484="21",B1484="22",B1484="23"),"16212223",IF(OR(B1484="15",B1484="17",B1484="24",B1484="25"),"15172425",B1484))),IF(U1484="CEBAS","UNICO",IF(VALUE(B1484)&lt;=11,"AMBA","INTERIOR"))))</f>
        <v>AMBA</v>
      </c>
      <c r="W1484" s="38" t="str">
        <f>+IF(U1484="","-",CONCATENATE(U1484,"_",V1484))</f>
        <v>EPA_AMBA</v>
      </c>
      <c r="X1484" s="42">
        <v>0.78700000000000003</v>
      </c>
    </row>
    <row r="1485" spans="1:24" ht="15" thickBot="1">
      <c r="A1485" s="5" t="s">
        <v>2916</v>
      </c>
      <c r="B1485" s="5" t="s">
        <v>1780</v>
      </c>
      <c r="C1485" s="5" t="s">
        <v>1778</v>
      </c>
      <c r="D1485" s="5" t="s">
        <v>1779</v>
      </c>
      <c r="E1485" s="5">
        <v>603038</v>
      </c>
      <c r="F1485" s="5">
        <v>0</v>
      </c>
      <c r="G1485" s="5" t="s">
        <v>1815</v>
      </c>
      <c r="H1485" s="5" t="s">
        <v>20</v>
      </c>
      <c r="I1485" s="6" t="s">
        <v>110</v>
      </c>
      <c r="J1485" s="6" t="s">
        <v>21</v>
      </c>
      <c r="K1485" s="6"/>
      <c r="L1485" s="6" t="s">
        <v>1816</v>
      </c>
      <c r="M1485" s="6" t="s">
        <v>22</v>
      </c>
      <c r="N1485" s="6" t="s">
        <v>23</v>
      </c>
      <c r="O1485" s="6" t="s">
        <v>27</v>
      </c>
      <c r="P1485" s="6" t="s">
        <v>28</v>
      </c>
      <c r="Q1485" s="22">
        <v>195</v>
      </c>
      <c r="R1485" s="23">
        <v>22</v>
      </c>
      <c r="S1485" s="39">
        <v>1</v>
      </c>
      <c r="T1485" s="7"/>
      <c r="U1485" s="7" t="s">
        <v>2912</v>
      </c>
      <c r="V1485" s="7" t="str">
        <f>+IF(U1485="","",IF(U1485="FINES",CONCATENATE("R",IF(OR(B1485="16",B1485="21",B1485="22",B1485="23"),"16212223",IF(OR(B1485="15",B1485="17",B1485="24",B1485="25"),"15172425",B1485))),IF(U1485="CEBAS","UNICO",IF(VALUE(B1485)&lt;=11,"AMBA","INTERIOR"))))</f>
        <v>AMBA</v>
      </c>
      <c r="W1485" s="38" t="str">
        <f>+IF(U1485="","-",CONCATENATE(U1485,"_",V1485))</f>
        <v>EPA_AMBA</v>
      </c>
      <c r="X1485" s="42">
        <v>0.79200000000000004</v>
      </c>
    </row>
    <row r="1486" spans="1:24" ht="15" thickBot="1">
      <c r="A1486" s="3" t="s">
        <v>2916</v>
      </c>
      <c r="B1486" s="3" t="s">
        <v>1532</v>
      </c>
      <c r="C1486" s="3" t="s">
        <v>1530</v>
      </c>
      <c r="D1486" s="3" t="s">
        <v>1531</v>
      </c>
      <c r="E1486" s="3">
        <v>612438</v>
      </c>
      <c r="F1486" s="3">
        <v>0</v>
      </c>
      <c r="G1486" s="3" t="s">
        <v>1558</v>
      </c>
      <c r="H1486" s="3" t="s">
        <v>20</v>
      </c>
      <c r="I1486" s="4" t="s">
        <v>110</v>
      </c>
      <c r="J1486" s="4" t="s">
        <v>21</v>
      </c>
      <c r="K1486" s="4"/>
      <c r="L1486" s="4" t="s">
        <v>1664</v>
      </c>
      <c r="M1486" s="4" t="s">
        <v>22</v>
      </c>
      <c r="N1486" s="4" t="s">
        <v>23</v>
      </c>
      <c r="O1486" s="4" t="s">
        <v>27</v>
      </c>
      <c r="P1486" s="4" t="s">
        <v>28</v>
      </c>
      <c r="Q1486" s="24">
        <v>182</v>
      </c>
      <c r="R1486" s="25">
        <v>15</v>
      </c>
      <c r="S1486" s="39">
        <v>1</v>
      </c>
      <c r="T1486" s="7"/>
      <c r="U1486" s="7" t="s">
        <v>2912</v>
      </c>
      <c r="V1486" s="7" t="str">
        <f>+IF(U1486="","",IF(U1486="FINES",CONCATENATE("R",IF(OR(B1486="16",B1486="21",B1486="22",B1486="23"),"16212223",IF(OR(B1486="15",B1486="17",B1486="24",B1486="25"),"15172425",B1486))),IF(U1486="CEBAS","UNICO",IF(VALUE(B1486)&lt;=11,"AMBA","INTERIOR"))))</f>
        <v>AMBA</v>
      </c>
      <c r="W1486" s="38" t="str">
        <f>+IF(U1486="","-",CONCATENATE(U1486,"_",V1486))</f>
        <v>EPA_AMBA</v>
      </c>
      <c r="X1486" s="42">
        <v>0.80200000000000005</v>
      </c>
    </row>
    <row r="1487" spans="1:24" ht="15" thickBot="1">
      <c r="A1487" s="5" t="s">
        <v>2916</v>
      </c>
      <c r="B1487" s="5" t="s">
        <v>19</v>
      </c>
      <c r="C1487" s="5" t="s">
        <v>17</v>
      </c>
      <c r="D1487" s="5" t="s">
        <v>18</v>
      </c>
      <c r="E1487" s="5">
        <v>609115</v>
      </c>
      <c r="F1487" s="5">
        <v>0</v>
      </c>
      <c r="G1487" s="5" t="s">
        <v>65</v>
      </c>
      <c r="H1487" s="5" t="s">
        <v>20</v>
      </c>
      <c r="I1487" s="6" t="s">
        <v>110</v>
      </c>
      <c r="J1487" s="6" t="s">
        <v>21</v>
      </c>
      <c r="K1487" s="6"/>
      <c r="L1487" s="6" t="s">
        <v>120</v>
      </c>
      <c r="M1487" s="6" t="s">
        <v>22</v>
      </c>
      <c r="N1487" s="6" t="s">
        <v>23</v>
      </c>
      <c r="O1487" s="6" t="s">
        <v>27</v>
      </c>
      <c r="P1487" s="6" t="s">
        <v>28</v>
      </c>
      <c r="Q1487" s="22">
        <v>201</v>
      </c>
      <c r="R1487" s="23">
        <v>15</v>
      </c>
      <c r="S1487" s="39">
        <v>1</v>
      </c>
      <c r="T1487" s="7"/>
      <c r="U1487" s="7" t="s">
        <v>2912</v>
      </c>
      <c r="V1487" s="7" t="str">
        <f>+IF(U1487="","",IF(U1487="FINES",CONCATENATE("R",IF(OR(B1487="16",B1487="21",B1487="22",B1487="23"),"16212223",IF(OR(B1487="15",B1487="17",B1487="24",B1487="25"),"15172425",B1487))),IF(U1487="CEBAS","UNICO",IF(VALUE(B1487)&lt;=11,"AMBA","INTERIOR"))))</f>
        <v>AMBA</v>
      </c>
      <c r="W1487" s="38" t="str">
        <f>+IF(U1487="","-",CONCATENATE(U1487,"_",V1487))</f>
        <v>EPA_AMBA</v>
      </c>
      <c r="X1487" s="42">
        <v>0.80200000000000005</v>
      </c>
    </row>
    <row r="1488" spans="1:24" ht="15" thickBot="1">
      <c r="A1488" s="5" t="s">
        <v>2916</v>
      </c>
      <c r="B1488" s="5" t="s">
        <v>817</v>
      </c>
      <c r="C1488" s="5" t="s">
        <v>2080</v>
      </c>
      <c r="D1488" s="5" t="s">
        <v>2081</v>
      </c>
      <c r="E1488" s="5">
        <v>610361</v>
      </c>
      <c r="F1488" s="5">
        <v>0</v>
      </c>
      <c r="G1488" s="5" t="s">
        <v>2102</v>
      </c>
      <c r="H1488" s="5" t="s">
        <v>20</v>
      </c>
      <c r="I1488" s="6" t="s">
        <v>110</v>
      </c>
      <c r="J1488" s="6" t="s">
        <v>21</v>
      </c>
      <c r="K1488" s="6"/>
      <c r="L1488" s="6" t="s">
        <v>321</v>
      </c>
      <c r="M1488" s="6" t="s">
        <v>22</v>
      </c>
      <c r="N1488" s="6" t="s">
        <v>23</v>
      </c>
      <c r="O1488" s="6" t="s">
        <v>27</v>
      </c>
      <c r="P1488" s="6" t="s">
        <v>28</v>
      </c>
      <c r="Q1488" s="22">
        <v>158</v>
      </c>
      <c r="R1488" s="23">
        <v>11</v>
      </c>
      <c r="S1488" s="39">
        <v>1</v>
      </c>
      <c r="T1488" s="7"/>
      <c r="U1488" s="7" t="s">
        <v>2912</v>
      </c>
      <c r="V1488" s="7" t="str">
        <f>+IF(U1488="","",IF(U1488="FINES",CONCATENATE("R",IF(OR(B1488="16",B1488="21",B1488="22",B1488="23"),"16212223",IF(OR(B1488="15",B1488="17",B1488="24",B1488="25"),"15172425",B1488))),IF(U1488="CEBAS","UNICO",IF(VALUE(B1488)&lt;=11,"AMBA","INTERIOR"))))</f>
        <v>AMBA</v>
      </c>
      <c r="W1488" s="38" t="str">
        <f>+IF(U1488="","-",CONCATENATE(U1488,"_",V1488))</f>
        <v>EPA_AMBA</v>
      </c>
      <c r="X1488" s="42">
        <v>0.80600000000000005</v>
      </c>
    </row>
    <row r="1489" spans="1:24" ht="15" thickBot="1">
      <c r="A1489" s="3" t="s">
        <v>2916</v>
      </c>
      <c r="B1489" s="3" t="s">
        <v>817</v>
      </c>
      <c r="C1489" s="3" t="s">
        <v>2080</v>
      </c>
      <c r="D1489" s="3" t="s">
        <v>2081</v>
      </c>
      <c r="E1489" s="3">
        <v>613653</v>
      </c>
      <c r="F1489" s="3">
        <v>0</v>
      </c>
      <c r="G1489" s="3" t="s">
        <v>2090</v>
      </c>
      <c r="H1489" s="3" t="s">
        <v>20</v>
      </c>
      <c r="I1489" s="4" t="s">
        <v>110</v>
      </c>
      <c r="J1489" s="4" t="s">
        <v>21</v>
      </c>
      <c r="K1489" s="4"/>
      <c r="L1489" s="4" t="s">
        <v>2133</v>
      </c>
      <c r="M1489" s="4" t="s">
        <v>22</v>
      </c>
      <c r="N1489" s="4" t="s">
        <v>23</v>
      </c>
      <c r="O1489" s="4" t="s">
        <v>27</v>
      </c>
      <c r="P1489" s="4" t="s">
        <v>28</v>
      </c>
      <c r="Q1489" s="24">
        <v>115</v>
      </c>
      <c r="R1489" s="25">
        <v>8</v>
      </c>
      <c r="S1489" s="39">
        <v>1</v>
      </c>
      <c r="T1489" s="7"/>
      <c r="U1489" s="7" t="s">
        <v>2912</v>
      </c>
      <c r="V1489" s="7" t="str">
        <f>+IF(U1489="","",IF(U1489="FINES",CONCATENATE("R",IF(OR(B1489="16",B1489="21",B1489="22",B1489="23"),"16212223",IF(OR(B1489="15",B1489="17",B1489="24",B1489="25"),"15172425",B1489))),IF(U1489="CEBAS","UNICO",IF(VALUE(B1489)&lt;=11,"AMBA","INTERIOR"))))</f>
        <v>AMBA</v>
      </c>
      <c r="W1489" s="38" t="str">
        <f>+IF(U1489="","-",CONCATENATE(U1489,"_",V1489))</f>
        <v>EPA_AMBA</v>
      </c>
      <c r="X1489" s="42">
        <v>0.80600000000000005</v>
      </c>
    </row>
    <row r="1490" spans="1:24" ht="15" thickBot="1">
      <c r="A1490" s="5" t="s">
        <v>2916</v>
      </c>
      <c r="B1490" s="5" t="s">
        <v>138</v>
      </c>
      <c r="C1490" s="5" t="s">
        <v>2199</v>
      </c>
      <c r="D1490" s="5" t="s">
        <v>2200</v>
      </c>
      <c r="E1490" s="5">
        <v>604332</v>
      </c>
      <c r="F1490" s="5">
        <v>0</v>
      </c>
      <c r="G1490" s="5" t="s">
        <v>2202</v>
      </c>
      <c r="H1490" s="5" t="s">
        <v>20</v>
      </c>
      <c r="I1490" s="6" t="s">
        <v>110</v>
      </c>
      <c r="J1490" s="6" t="s">
        <v>21</v>
      </c>
      <c r="K1490" s="6"/>
      <c r="L1490" s="6" t="s">
        <v>391</v>
      </c>
      <c r="M1490" s="6" t="s">
        <v>22</v>
      </c>
      <c r="N1490" s="6" t="s">
        <v>23</v>
      </c>
      <c r="O1490" s="6" t="s">
        <v>27</v>
      </c>
      <c r="P1490" s="6" t="s">
        <v>28</v>
      </c>
      <c r="Q1490" s="22">
        <v>59</v>
      </c>
      <c r="R1490" s="23">
        <v>6</v>
      </c>
      <c r="S1490" s="39">
        <v>1</v>
      </c>
      <c r="T1490" s="7"/>
      <c r="U1490" s="7" t="s">
        <v>2912</v>
      </c>
      <c r="V1490" s="7" t="str">
        <f>+IF(U1490="","",IF(U1490="FINES",CONCATENATE("R",IF(OR(B1490="16",B1490="21",B1490="22",B1490="23"),"16212223",IF(OR(B1490="15",B1490="17",B1490="24",B1490="25"),"15172425",B1490))),IF(U1490="CEBAS","UNICO",IF(VALUE(B1490)&lt;=11,"AMBA","INTERIOR"))))</f>
        <v>AMBA</v>
      </c>
      <c r="W1490" s="38" t="str">
        <f>+IF(U1490="","-",CONCATENATE(U1490,"_",V1490))</f>
        <v>EPA_AMBA</v>
      </c>
      <c r="X1490" s="42">
        <v>0.81399999999999995</v>
      </c>
    </row>
    <row r="1491" spans="1:24" ht="15" thickBot="1">
      <c r="A1491" s="5" t="s">
        <v>2916</v>
      </c>
      <c r="B1491" s="5" t="s">
        <v>257</v>
      </c>
      <c r="C1491" s="5" t="s">
        <v>254</v>
      </c>
      <c r="D1491" s="5" t="s">
        <v>256</v>
      </c>
      <c r="E1491" s="5">
        <v>613080</v>
      </c>
      <c r="F1491" s="5">
        <v>0</v>
      </c>
      <c r="G1491" s="5" t="s">
        <v>266</v>
      </c>
      <c r="H1491" s="5" t="s">
        <v>20</v>
      </c>
      <c r="I1491" s="6" t="s">
        <v>110</v>
      </c>
      <c r="J1491" s="6" t="s">
        <v>21</v>
      </c>
      <c r="K1491" s="6"/>
      <c r="L1491" s="6" t="s">
        <v>328</v>
      </c>
      <c r="M1491" s="6" t="s">
        <v>22</v>
      </c>
      <c r="N1491" s="6" t="s">
        <v>23</v>
      </c>
      <c r="O1491" s="6" t="s">
        <v>27</v>
      </c>
      <c r="P1491" s="6" t="s">
        <v>28</v>
      </c>
      <c r="Q1491" s="22">
        <v>93</v>
      </c>
      <c r="R1491" s="23">
        <v>9</v>
      </c>
      <c r="S1491" s="39">
        <v>1</v>
      </c>
      <c r="T1491" s="7"/>
      <c r="U1491" s="7" t="s">
        <v>2912</v>
      </c>
      <c r="V1491" s="7" t="str">
        <f>+IF(U1491="","",IF(U1491="FINES",CONCATENATE("R",IF(OR(B1491="16",B1491="21",B1491="22",B1491="23"),"16212223",IF(OR(B1491="15",B1491="17",B1491="24",B1491="25"),"15172425",B1491))),IF(U1491="CEBAS","UNICO",IF(VALUE(B1491)&lt;=11,"AMBA","INTERIOR"))))</f>
        <v>AMBA</v>
      </c>
      <c r="W1491" s="38" t="str">
        <f>+IF(U1491="","-",CONCATENATE(U1491,"_",V1491))</f>
        <v>EPA_AMBA</v>
      </c>
      <c r="X1491" s="42">
        <v>0.81599999999999995</v>
      </c>
    </row>
    <row r="1492" spans="1:24" ht="15" thickBot="1">
      <c r="A1492" s="5" t="s">
        <v>2916</v>
      </c>
      <c r="B1492" s="5" t="s">
        <v>19</v>
      </c>
      <c r="C1492" s="5" t="s">
        <v>17</v>
      </c>
      <c r="D1492" s="5" t="s">
        <v>18</v>
      </c>
      <c r="E1492" s="5">
        <v>613138</v>
      </c>
      <c r="F1492" s="5">
        <v>0</v>
      </c>
      <c r="G1492" s="5" t="s">
        <v>70</v>
      </c>
      <c r="H1492" s="5" t="s">
        <v>20</v>
      </c>
      <c r="I1492" s="6" t="s">
        <v>110</v>
      </c>
      <c r="J1492" s="6" t="s">
        <v>21</v>
      </c>
      <c r="K1492" s="6"/>
      <c r="L1492" s="6" t="s">
        <v>116</v>
      </c>
      <c r="M1492" s="6" t="s">
        <v>22</v>
      </c>
      <c r="N1492" s="6" t="s">
        <v>23</v>
      </c>
      <c r="O1492" s="6" t="s">
        <v>27</v>
      </c>
      <c r="P1492" s="6" t="s">
        <v>28</v>
      </c>
      <c r="Q1492" s="22">
        <v>144</v>
      </c>
      <c r="R1492" s="23">
        <v>12</v>
      </c>
      <c r="S1492" s="39">
        <v>1</v>
      </c>
      <c r="T1492" s="7"/>
      <c r="U1492" s="7" t="s">
        <v>2912</v>
      </c>
      <c r="V1492" s="7" t="str">
        <f>+IF(U1492="","",IF(U1492="FINES",CONCATENATE("R",IF(OR(B1492="16",B1492="21",B1492="22",B1492="23"),"16212223",IF(OR(B1492="15",B1492="17",B1492="24",B1492="25"),"15172425",B1492))),IF(U1492="CEBAS","UNICO",IF(VALUE(B1492)&lt;=11,"AMBA","INTERIOR"))))</f>
        <v>AMBA</v>
      </c>
      <c r="W1492" s="38" t="str">
        <f>+IF(U1492="","-",CONCATENATE(U1492,"_",V1492))</f>
        <v>EPA_AMBA</v>
      </c>
      <c r="X1492" s="42">
        <v>0.81799999999999995</v>
      </c>
    </row>
    <row r="1493" spans="1:24" ht="15" thickBot="1">
      <c r="A1493" s="5" t="s">
        <v>2916</v>
      </c>
      <c r="B1493" s="5" t="s">
        <v>356</v>
      </c>
      <c r="C1493" s="5" t="s">
        <v>805</v>
      </c>
      <c r="D1493" s="5" t="s">
        <v>2500</v>
      </c>
      <c r="E1493" s="5">
        <v>607542</v>
      </c>
      <c r="F1493" s="5">
        <v>0</v>
      </c>
      <c r="G1493" s="5" t="s">
        <v>2525</v>
      </c>
      <c r="H1493" s="5" t="s">
        <v>20</v>
      </c>
      <c r="I1493" s="6" t="s">
        <v>110</v>
      </c>
      <c r="J1493" s="6" t="s">
        <v>21</v>
      </c>
      <c r="K1493" s="6"/>
      <c r="L1493" s="6" t="s">
        <v>2540</v>
      </c>
      <c r="M1493" s="6" t="s">
        <v>22</v>
      </c>
      <c r="N1493" s="6" t="s">
        <v>23</v>
      </c>
      <c r="O1493" s="6" t="s">
        <v>27</v>
      </c>
      <c r="P1493" s="6" t="s">
        <v>28</v>
      </c>
      <c r="Q1493" s="22">
        <v>66</v>
      </c>
      <c r="R1493" s="23">
        <v>4</v>
      </c>
      <c r="S1493" s="39">
        <v>1</v>
      </c>
      <c r="T1493" s="7"/>
      <c r="U1493" s="7" t="s">
        <v>2912</v>
      </c>
      <c r="V1493" s="7" t="str">
        <f>+IF(U1493="","",IF(U1493="FINES",CONCATENATE("R",IF(OR(B1493="16",B1493="21",B1493="22",B1493="23"),"16212223",IF(OR(B1493="15",B1493="17",B1493="24",B1493="25"),"15172425",B1493))),IF(U1493="CEBAS","UNICO",IF(VALUE(B1493)&lt;=11,"AMBA","INTERIOR"))))</f>
        <v>AMBA</v>
      </c>
      <c r="W1493" s="38" t="str">
        <f>+IF(U1493="","-",CONCATENATE(U1493,"_",V1493))</f>
        <v>EPA_AMBA</v>
      </c>
      <c r="X1493" s="42">
        <v>0.82599999999999996</v>
      </c>
    </row>
    <row r="1494" spans="1:24" ht="15" thickBot="1">
      <c r="A1494" s="3" t="s">
        <v>2916</v>
      </c>
      <c r="B1494" s="3" t="s">
        <v>356</v>
      </c>
      <c r="C1494" s="3" t="s">
        <v>353</v>
      </c>
      <c r="D1494" s="3" t="s">
        <v>355</v>
      </c>
      <c r="E1494" s="3">
        <v>603777</v>
      </c>
      <c r="F1494" s="3">
        <v>0</v>
      </c>
      <c r="G1494" s="3" t="s">
        <v>366</v>
      </c>
      <c r="H1494" s="3" t="s">
        <v>20</v>
      </c>
      <c r="I1494" s="4" t="s">
        <v>110</v>
      </c>
      <c r="J1494" s="4" t="s">
        <v>21</v>
      </c>
      <c r="K1494" s="4"/>
      <c r="L1494" s="4" t="s">
        <v>391</v>
      </c>
      <c r="M1494" s="4" t="s">
        <v>22</v>
      </c>
      <c r="N1494" s="4" t="s">
        <v>23</v>
      </c>
      <c r="O1494" s="4" t="s">
        <v>27</v>
      </c>
      <c r="P1494" s="4" t="s">
        <v>28</v>
      </c>
      <c r="Q1494" s="24">
        <v>98</v>
      </c>
      <c r="R1494" s="25">
        <v>8</v>
      </c>
      <c r="S1494" s="39">
        <v>1</v>
      </c>
      <c r="T1494" s="7"/>
      <c r="U1494" t="s">
        <v>2912</v>
      </c>
      <c r="V1494" s="7" t="str">
        <f>+IF(U1494="","",IF(U1494="FINES",CONCATENATE("R",IF(OR(B1494="16",B1494="21",B1494="22",B1494="23"),"16212223",IF(OR(B1494="15",B1494="17",B1494="24",B1494="25"),"15172425",B1494))),IF(U1494="CEBAS","UNICO",IF(VALUE(B1494)&lt;=11,"AMBA","INTERIOR"))))</f>
        <v>AMBA</v>
      </c>
      <c r="W1494" s="38" t="str">
        <f>+IF(U1494="","-",CONCATENATE(U1494,"_",V1494))</f>
        <v>EPA_AMBA</v>
      </c>
      <c r="X1494" s="42">
        <v>0.82799999999999996</v>
      </c>
    </row>
    <row r="1495" spans="1:24" ht="15" thickBot="1">
      <c r="A1495" s="5" t="s">
        <v>2916</v>
      </c>
      <c r="B1495" s="5" t="s">
        <v>356</v>
      </c>
      <c r="C1495" s="5" t="s">
        <v>1359</v>
      </c>
      <c r="D1495" s="5" t="s">
        <v>1360</v>
      </c>
      <c r="E1495" s="5">
        <v>624024</v>
      </c>
      <c r="F1495" s="5">
        <v>0</v>
      </c>
      <c r="G1495" s="5" t="s">
        <v>1418</v>
      </c>
      <c r="H1495" s="5" t="s">
        <v>20</v>
      </c>
      <c r="I1495" s="6" t="s">
        <v>110</v>
      </c>
      <c r="J1495" s="6" t="s">
        <v>21</v>
      </c>
      <c r="K1495" s="6"/>
      <c r="L1495" s="6" t="s">
        <v>1419</v>
      </c>
      <c r="M1495" s="6" t="s">
        <v>22</v>
      </c>
      <c r="N1495" s="6" t="s">
        <v>23</v>
      </c>
      <c r="O1495" s="6" t="s">
        <v>27</v>
      </c>
      <c r="P1495" s="6" t="s">
        <v>28</v>
      </c>
      <c r="Q1495" s="22">
        <v>170</v>
      </c>
      <c r="R1495" s="23">
        <v>9</v>
      </c>
      <c r="S1495" s="39">
        <v>1</v>
      </c>
      <c r="T1495" s="7"/>
      <c r="U1495" s="7" t="s">
        <v>2912</v>
      </c>
      <c r="V1495" s="7" t="str">
        <f>+IF(U1495="","",IF(U1495="FINES",CONCATENATE("R",IF(OR(B1495="16",B1495="21",B1495="22",B1495="23"),"16212223",IF(OR(B1495="15",B1495="17",B1495="24",B1495="25"),"15172425",B1495))),IF(U1495="CEBAS","UNICO",IF(VALUE(B1495)&lt;=11,"AMBA","INTERIOR"))))</f>
        <v>AMBA</v>
      </c>
      <c r="W1495" s="38" t="str">
        <f>+IF(U1495="","-",CONCATENATE(U1495,"_",V1495))</f>
        <v>EPA_AMBA</v>
      </c>
      <c r="X1495" s="42">
        <v>0.82899999999999996</v>
      </c>
    </row>
    <row r="1496" spans="1:24" ht="15" thickBot="1">
      <c r="A1496" s="3" t="s">
        <v>2916</v>
      </c>
      <c r="B1496" s="3" t="s">
        <v>817</v>
      </c>
      <c r="C1496" s="3" t="s">
        <v>815</v>
      </c>
      <c r="D1496" s="3" t="s">
        <v>816</v>
      </c>
      <c r="E1496" s="3">
        <v>600743</v>
      </c>
      <c r="F1496" s="3">
        <v>0</v>
      </c>
      <c r="G1496" s="3" t="s">
        <v>850</v>
      </c>
      <c r="H1496" s="3" t="s">
        <v>20</v>
      </c>
      <c r="I1496" s="4" t="s">
        <v>110</v>
      </c>
      <c r="J1496" s="4" t="s">
        <v>21</v>
      </c>
      <c r="K1496" s="4"/>
      <c r="L1496" s="4" t="s">
        <v>851</v>
      </c>
      <c r="M1496" s="4" t="s">
        <v>199</v>
      </c>
      <c r="N1496" s="4" t="s">
        <v>23</v>
      </c>
      <c r="O1496" s="4" t="s">
        <v>27</v>
      </c>
      <c r="P1496" s="4" t="s">
        <v>28</v>
      </c>
      <c r="Q1496" s="24">
        <v>445</v>
      </c>
      <c r="R1496" s="25">
        <v>20</v>
      </c>
      <c r="S1496" s="39">
        <v>1</v>
      </c>
      <c r="T1496" s="7"/>
      <c r="U1496" t="s">
        <v>2912</v>
      </c>
      <c r="V1496" s="7" t="str">
        <f>+IF(U1496="","",IF(U1496="FINES",CONCATENATE("R",IF(OR(B1496="16",B1496="21",B1496="22",B1496="23"),"16212223",IF(OR(B1496="15",B1496="17",B1496="24",B1496="25"),"15172425",B1496))),IF(U1496="CEBAS","UNICO",IF(VALUE(B1496)&lt;=11,"AMBA","INTERIOR"))))</f>
        <v>AMBA</v>
      </c>
      <c r="W1496" s="38" t="str">
        <f>+IF(U1496="","-",CONCATENATE(U1496,"_",V1496))</f>
        <v>EPA_AMBA</v>
      </c>
      <c r="X1496" s="42">
        <v>0.83</v>
      </c>
    </row>
    <row r="1497" spans="1:24" ht="15" thickBot="1">
      <c r="A1497" s="3" t="s">
        <v>2916</v>
      </c>
      <c r="B1497" s="3" t="s">
        <v>817</v>
      </c>
      <c r="C1497" s="3" t="s">
        <v>815</v>
      </c>
      <c r="D1497" s="3" t="s">
        <v>816</v>
      </c>
      <c r="E1497" s="3">
        <v>621187</v>
      </c>
      <c r="F1497" s="3">
        <v>0</v>
      </c>
      <c r="G1497" s="3" t="s">
        <v>819</v>
      </c>
      <c r="H1497" s="3" t="s">
        <v>20</v>
      </c>
      <c r="I1497" s="4" t="s">
        <v>110</v>
      </c>
      <c r="J1497" s="4" t="s">
        <v>21</v>
      </c>
      <c r="K1497" s="4"/>
      <c r="L1497" s="4" t="s">
        <v>127</v>
      </c>
      <c r="M1497" s="4" t="s">
        <v>22</v>
      </c>
      <c r="N1497" s="4" t="s">
        <v>23</v>
      </c>
      <c r="O1497" s="4" t="s">
        <v>27</v>
      </c>
      <c r="P1497" s="4" t="s">
        <v>28</v>
      </c>
      <c r="Q1497" s="24">
        <v>219</v>
      </c>
      <c r="R1497" s="25">
        <v>20</v>
      </c>
      <c r="S1497" s="39">
        <v>1</v>
      </c>
      <c r="T1497" s="7"/>
      <c r="U1497" s="7" t="s">
        <v>2912</v>
      </c>
      <c r="V1497" s="7" t="str">
        <f>+IF(U1497="","",IF(U1497="FINES",CONCATENATE("R",IF(OR(B1497="16",B1497="21",B1497="22",B1497="23"),"16212223",IF(OR(B1497="15",B1497="17",B1497="24",B1497="25"),"15172425",B1497))),IF(U1497="CEBAS","UNICO",IF(VALUE(B1497)&lt;=11,"AMBA","INTERIOR"))))</f>
        <v>AMBA</v>
      </c>
      <c r="W1497" s="38" t="str">
        <f>+IF(U1497="","-",CONCATENATE(U1497,"_",V1497))</f>
        <v>EPA_AMBA</v>
      </c>
      <c r="X1497" s="42">
        <v>0.84799999999999998</v>
      </c>
    </row>
    <row r="1498" spans="1:24" ht="15" thickBot="1">
      <c r="A1498" s="5" t="s">
        <v>2916</v>
      </c>
      <c r="B1498" s="5" t="s">
        <v>817</v>
      </c>
      <c r="C1498" s="5" t="s">
        <v>600</v>
      </c>
      <c r="D1498" s="5" t="s">
        <v>2661</v>
      </c>
      <c r="E1498" s="5">
        <v>609874</v>
      </c>
      <c r="F1498" s="5">
        <v>0</v>
      </c>
      <c r="G1498" s="5" t="s">
        <v>2668</v>
      </c>
      <c r="H1498" s="5" t="s">
        <v>20</v>
      </c>
      <c r="I1498" s="6" t="s">
        <v>110</v>
      </c>
      <c r="J1498" s="6" t="s">
        <v>21</v>
      </c>
      <c r="K1498" s="6"/>
      <c r="L1498" s="6" t="s">
        <v>2694</v>
      </c>
      <c r="M1498" s="6" t="s">
        <v>22</v>
      </c>
      <c r="N1498" s="6" t="s">
        <v>23</v>
      </c>
      <c r="O1498" s="6" t="s">
        <v>27</v>
      </c>
      <c r="P1498" s="6" t="s">
        <v>28</v>
      </c>
      <c r="Q1498" s="22">
        <v>50</v>
      </c>
      <c r="R1498" s="23">
        <v>4</v>
      </c>
      <c r="S1498" s="39">
        <v>1</v>
      </c>
      <c r="T1498" s="7"/>
      <c r="U1498" t="s">
        <v>2912</v>
      </c>
      <c r="V1498" s="7" t="str">
        <f>+IF(U1498="","",IF(U1498="FINES",CONCATENATE("R",IF(OR(B1498="16",B1498="21",B1498="22",B1498="23"),"16212223",IF(OR(B1498="15",B1498="17",B1498="24",B1498="25"),"15172425",B1498))),IF(U1498="CEBAS","UNICO",IF(VALUE(B1498)&lt;=11,"AMBA","INTERIOR"))))</f>
        <v>AMBA</v>
      </c>
      <c r="W1498" s="38" t="str">
        <f>+IF(U1498="","-",CONCATENATE(U1498,"_",V1498))</f>
        <v>EPA_AMBA</v>
      </c>
      <c r="X1498" s="42">
        <v>0.85699999999999998</v>
      </c>
    </row>
    <row r="1499" spans="1:24" ht="15" thickBot="1">
      <c r="A1499" s="5" t="s">
        <v>2916</v>
      </c>
      <c r="B1499" s="5" t="s">
        <v>257</v>
      </c>
      <c r="C1499" s="5" t="s">
        <v>772</v>
      </c>
      <c r="D1499" s="5" t="s">
        <v>773</v>
      </c>
      <c r="E1499" s="5">
        <v>604934</v>
      </c>
      <c r="F1499" s="5">
        <v>0</v>
      </c>
      <c r="G1499" s="5" t="s">
        <v>788</v>
      </c>
      <c r="H1499" s="5" t="s">
        <v>20</v>
      </c>
      <c r="I1499" s="6" t="s">
        <v>110</v>
      </c>
      <c r="J1499" s="6" t="s">
        <v>21</v>
      </c>
      <c r="K1499" s="6"/>
      <c r="L1499" s="6" t="s">
        <v>321</v>
      </c>
      <c r="M1499" s="6" t="s">
        <v>22</v>
      </c>
      <c r="N1499" s="6" t="s">
        <v>23</v>
      </c>
      <c r="O1499" s="6" t="s">
        <v>27</v>
      </c>
      <c r="P1499" s="6" t="s">
        <v>28</v>
      </c>
      <c r="Q1499" s="22">
        <v>80</v>
      </c>
      <c r="R1499" s="23">
        <v>10</v>
      </c>
      <c r="S1499" s="39">
        <v>1</v>
      </c>
      <c r="T1499" s="7"/>
      <c r="U1499" t="s">
        <v>2912</v>
      </c>
      <c r="V1499" s="7" t="str">
        <f>+IF(U1499="","",IF(U1499="FINES",CONCATENATE("R",IF(OR(B1499="16",B1499="21",B1499="22",B1499="23"),"16212223",IF(OR(B1499="15",B1499="17",B1499="24",B1499="25"),"15172425",B1499))),IF(U1499="CEBAS","UNICO",IF(VALUE(B1499)&lt;=11,"AMBA","INTERIOR"))))</f>
        <v>AMBA</v>
      </c>
      <c r="W1499" s="38" t="str">
        <f>+IF(U1499="","-",CONCATENATE(U1499,"_",V1499))</f>
        <v>EPA_AMBA</v>
      </c>
      <c r="X1499" s="42">
        <v>0.85899999999999999</v>
      </c>
    </row>
    <row r="1500" spans="1:24" ht="15" thickBot="1">
      <c r="A1500" s="3" t="s">
        <v>2916</v>
      </c>
      <c r="B1500" s="3" t="s">
        <v>257</v>
      </c>
      <c r="C1500" s="3" t="s">
        <v>254</v>
      </c>
      <c r="D1500" s="3" t="s">
        <v>256</v>
      </c>
      <c r="E1500" s="3">
        <v>604372</v>
      </c>
      <c r="F1500" s="3">
        <v>0</v>
      </c>
      <c r="G1500" s="3" t="s">
        <v>271</v>
      </c>
      <c r="H1500" s="3" t="s">
        <v>20</v>
      </c>
      <c r="I1500" s="4" t="s">
        <v>110</v>
      </c>
      <c r="J1500" s="4" t="s">
        <v>21</v>
      </c>
      <c r="K1500" s="4"/>
      <c r="L1500" s="4" t="s">
        <v>321</v>
      </c>
      <c r="M1500" s="4" t="s">
        <v>22</v>
      </c>
      <c r="N1500" s="4" t="s">
        <v>23</v>
      </c>
      <c r="O1500" s="4" t="s">
        <v>27</v>
      </c>
      <c r="P1500" s="4" t="s">
        <v>28</v>
      </c>
      <c r="Q1500" s="24">
        <v>175</v>
      </c>
      <c r="R1500" s="25">
        <v>8</v>
      </c>
      <c r="S1500" s="39">
        <v>1</v>
      </c>
      <c r="T1500" s="7"/>
      <c r="U1500" t="s">
        <v>2912</v>
      </c>
      <c r="V1500" s="7" t="str">
        <f>+IF(U1500="","",IF(U1500="FINES",CONCATENATE("R",IF(OR(B1500="16",B1500="21",B1500="22",B1500="23"),"16212223",IF(OR(B1500="15",B1500="17",B1500="24",B1500="25"),"15172425",B1500))),IF(U1500="CEBAS","UNICO",IF(VALUE(B1500)&lt;=11,"AMBA","INTERIOR"))))</f>
        <v>AMBA</v>
      </c>
      <c r="W1500" s="38" t="str">
        <f>+IF(U1500="","-",CONCATENATE(U1500,"_",V1500))</f>
        <v>EPA_AMBA</v>
      </c>
      <c r="X1500" s="42">
        <v>0.873</v>
      </c>
    </row>
    <row r="1501" spans="1:24" ht="15" thickBot="1">
      <c r="A1501" s="5" t="s">
        <v>2916</v>
      </c>
      <c r="B1501" s="5" t="s">
        <v>19</v>
      </c>
      <c r="C1501" s="5" t="s">
        <v>17</v>
      </c>
      <c r="D1501" s="5" t="s">
        <v>18</v>
      </c>
      <c r="E1501" s="5">
        <v>604899</v>
      </c>
      <c r="F1501" s="5">
        <v>0</v>
      </c>
      <c r="G1501" s="5" t="s">
        <v>126</v>
      </c>
      <c r="H1501" s="5" t="s">
        <v>20</v>
      </c>
      <c r="I1501" s="6" t="s">
        <v>110</v>
      </c>
      <c r="J1501" s="6" t="s">
        <v>21</v>
      </c>
      <c r="K1501" s="6"/>
      <c r="L1501" s="6" t="s">
        <v>127</v>
      </c>
      <c r="M1501" s="6" t="s">
        <v>22</v>
      </c>
      <c r="N1501" s="6" t="s">
        <v>23</v>
      </c>
      <c r="O1501" s="6" t="s">
        <v>27</v>
      </c>
      <c r="P1501" s="6" t="s">
        <v>28</v>
      </c>
      <c r="Q1501" s="22">
        <v>103</v>
      </c>
      <c r="R1501" s="23">
        <v>9</v>
      </c>
      <c r="S1501" s="39">
        <v>1</v>
      </c>
      <c r="T1501" s="7"/>
      <c r="U1501" t="s">
        <v>2912</v>
      </c>
      <c r="V1501" s="7" t="str">
        <f>+IF(U1501="","",IF(U1501="FINES",CONCATENATE("R",IF(OR(B1501="16",B1501="21",B1501="22",B1501="23"),"16212223",IF(OR(B1501="15",B1501="17",B1501="24",B1501="25"),"15172425",B1501))),IF(U1501="CEBAS","UNICO",IF(VALUE(B1501)&lt;=11,"AMBA","INTERIOR"))))</f>
        <v>AMBA</v>
      </c>
      <c r="W1501" s="38" t="str">
        <f>+IF(U1501="","-",CONCATENATE(U1501,"_",V1501))</f>
        <v>EPA_AMBA</v>
      </c>
      <c r="X1501" s="42">
        <v>0.879</v>
      </c>
    </row>
    <row r="1502" spans="1:24" ht="15" thickBot="1">
      <c r="A1502" s="3" t="s">
        <v>2916</v>
      </c>
      <c r="B1502" s="3" t="s">
        <v>1780</v>
      </c>
      <c r="C1502" s="3" t="s">
        <v>1778</v>
      </c>
      <c r="D1502" s="3" t="s">
        <v>1779</v>
      </c>
      <c r="E1502" s="3">
        <v>609921</v>
      </c>
      <c r="F1502" s="3">
        <v>0</v>
      </c>
      <c r="G1502" s="3" t="s">
        <v>1796</v>
      </c>
      <c r="H1502" s="3" t="s">
        <v>20</v>
      </c>
      <c r="I1502" s="4" t="s">
        <v>110</v>
      </c>
      <c r="J1502" s="4" t="s">
        <v>21</v>
      </c>
      <c r="K1502" s="4"/>
      <c r="L1502" s="4" t="s">
        <v>1817</v>
      </c>
      <c r="M1502" s="4" t="s">
        <v>22</v>
      </c>
      <c r="N1502" s="4" t="s">
        <v>23</v>
      </c>
      <c r="O1502" s="4" t="s">
        <v>27</v>
      </c>
      <c r="P1502" s="4" t="s">
        <v>28</v>
      </c>
      <c r="Q1502" s="24">
        <v>121</v>
      </c>
      <c r="R1502" s="25">
        <v>10</v>
      </c>
      <c r="S1502" s="39">
        <v>1</v>
      </c>
      <c r="T1502" s="7"/>
      <c r="U1502" t="s">
        <v>2912</v>
      </c>
      <c r="V1502" s="7" t="str">
        <f>+IF(U1502="","",IF(U1502="FINES",CONCATENATE("R",IF(OR(B1502="16",B1502="21",B1502="22",B1502="23"),"16212223",IF(OR(B1502="15",B1502="17",B1502="24",B1502="25"),"15172425",B1502))),IF(U1502="CEBAS","UNICO",IF(VALUE(B1502)&lt;=11,"AMBA","INTERIOR"))))</f>
        <v>AMBA</v>
      </c>
      <c r="W1502" s="38" t="str">
        <f>+IF(U1502="","-",CONCATENATE(U1502,"_",V1502))</f>
        <v>EPA_AMBA</v>
      </c>
      <c r="X1502" s="42">
        <v>0.879</v>
      </c>
    </row>
    <row r="1503" spans="1:24" ht="15" thickBot="1">
      <c r="A1503" s="5" t="s">
        <v>2916</v>
      </c>
      <c r="B1503" s="5" t="s">
        <v>19</v>
      </c>
      <c r="C1503" s="5" t="s">
        <v>1480</v>
      </c>
      <c r="D1503" s="5" t="s">
        <v>1481</v>
      </c>
      <c r="E1503" s="5">
        <v>600659</v>
      </c>
      <c r="F1503" s="5">
        <v>0</v>
      </c>
      <c r="G1503" s="5" t="s">
        <v>1485</v>
      </c>
      <c r="H1503" s="5" t="s">
        <v>20</v>
      </c>
      <c r="I1503" s="6" t="s">
        <v>110</v>
      </c>
      <c r="J1503" s="6" t="s">
        <v>21</v>
      </c>
      <c r="K1503" s="6"/>
      <c r="L1503" s="6" t="s">
        <v>1486</v>
      </c>
      <c r="M1503" s="6" t="s">
        <v>199</v>
      </c>
      <c r="N1503" s="6" t="s">
        <v>23</v>
      </c>
      <c r="O1503" s="6" t="s">
        <v>27</v>
      </c>
      <c r="P1503" s="6" t="s">
        <v>28</v>
      </c>
      <c r="Q1503" s="22">
        <v>298</v>
      </c>
      <c r="R1503" s="23">
        <v>16</v>
      </c>
      <c r="S1503" s="39">
        <v>1</v>
      </c>
      <c r="T1503" s="7"/>
      <c r="U1503" t="s">
        <v>2912</v>
      </c>
      <c r="V1503" s="7" t="str">
        <f>+IF(U1503="","",IF(U1503="FINES",CONCATENATE("R",IF(OR(B1503="16",B1503="21",B1503="22",B1503="23"),"16212223",IF(OR(B1503="15",B1503="17",B1503="24",B1503="25"),"15172425",B1503))),IF(U1503="CEBAS","UNICO",IF(VALUE(B1503)&lt;=11,"AMBA","INTERIOR"))))</f>
        <v>AMBA</v>
      </c>
      <c r="W1503" s="38" t="str">
        <f>+IF(U1503="","-",CONCATENATE(U1503,"_",V1503))</f>
        <v>EPA_AMBA</v>
      </c>
      <c r="X1503" s="42">
        <v>0.88</v>
      </c>
    </row>
    <row r="1504" spans="1:24" ht="15" thickBot="1">
      <c r="A1504" s="3" t="s">
        <v>2916</v>
      </c>
      <c r="B1504" s="3" t="s">
        <v>257</v>
      </c>
      <c r="C1504" s="3" t="s">
        <v>254</v>
      </c>
      <c r="D1504" s="3" t="s">
        <v>256</v>
      </c>
      <c r="E1504" s="3">
        <v>621184</v>
      </c>
      <c r="F1504" s="3">
        <v>0</v>
      </c>
      <c r="G1504" s="3" t="s">
        <v>329</v>
      </c>
      <c r="H1504" s="3" t="s">
        <v>20</v>
      </c>
      <c r="I1504" s="4" t="s">
        <v>110</v>
      </c>
      <c r="J1504" s="4" t="s">
        <v>21</v>
      </c>
      <c r="K1504" s="4"/>
      <c r="L1504" s="4" t="s">
        <v>330</v>
      </c>
      <c r="M1504" s="4" t="s">
        <v>22</v>
      </c>
      <c r="N1504" s="4" t="s">
        <v>23</v>
      </c>
      <c r="O1504" s="4" t="s">
        <v>27</v>
      </c>
      <c r="P1504" s="4" t="s">
        <v>28</v>
      </c>
      <c r="Q1504" s="24">
        <v>145</v>
      </c>
      <c r="R1504" s="25">
        <v>9</v>
      </c>
      <c r="S1504" s="39">
        <v>1</v>
      </c>
      <c r="T1504" s="7"/>
      <c r="U1504" s="7" t="s">
        <v>2912</v>
      </c>
      <c r="V1504" s="7" t="str">
        <f>+IF(U1504="","",IF(U1504="FINES",CONCATENATE("R",IF(OR(B1504="16",B1504="21",B1504="22",B1504="23"),"16212223",IF(OR(B1504="15",B1504="17",B1504="24",B1504="25"),"15172425",B1504))),IF(U1504="CEBAS","UNICO",IF(VALUE(B1504)&lt;=11,"AMBA","INTERIOR"))))</f>
        <v>AMBA</v>
      </c>
      <c r="W1504" s="38" t="str">
        <f>+IF(U1504="","-",CONCATENATE(U1504,"_",V1504))</f>
        <v>EPA_AMBA</v>
      </c>
      <c r="X1504" s="42">
        <v>0.88100000000000001</v>
      </c>
    </row>
    <row r="1505" spans="1:24" ht="15" thickBot="1">
      <c r="A1505" s="3" t="s">
        <v>2916</v>
      </c>
      <c r="B1505" s="3" t="s">
        <v>1532</v>
      </c>
      <c r="C1505" s="3" t="s">
        <v>1530</v>
      </c>
      <c r="D1505" s="3" t="s">
        <v>1531</v>
      </c>
      <c r="E1505" s="3">
        <v>613637</v>
      </c>
      <c r="F1505" s="3">
        <v>0</v>
      </c>
      <c r="G1505" s="3" t="s">
        <v>1671</v>
      </c>
      <c r="H1505" s="3" t="s">
        <v>20</v>
      </c>
      <c r="I1505" s="4" t="s">
        <v>110</v>
      </c>
      <c r="J1505" s="4" t="s">
        <v>21</v>
      </c>
      <c r="K1505" s="4"/>
      <c r="L1505" s="4" t="s">
        <v>1672</v>
      </c>
      <c r="M1505" s="4" t="s">
        <v>22</v>
      </c>
      <c r="N1505" s="4" t="s">
        <v>23</v>
      </c>
      <c r="O1505" s="4" t="s">
        <v>27</v>
      </c>
      <c r="P1505" s="4" t="s">
        <v>28</v>
      </c>
      <c r="Q1505" s="24">
        <v>156</v>
      </c>
      <c r="R1505" s="25">
        <v>7</v>
      </c>
      <c r="S1505" s="39">
        <v>1</v>
      </c>
      <c r="T1505" s="7"/>
      <c r="U1505" s="7" t="s">
        <v>2912</v>
      </c>
      <c r="V1505" s="7" t="str">
        <f>+IF(U1505="","",IF(U1505="FINES",CONCATENATE("R",IF(OR(B1505="16",B1505="21",B1505="22",B1505="23"),"16212223",IF(OR(B1505="15",B1505="17",B1505="24",B1505="25"),"15172425",B1505))),IF(U1505="CEBAS","UNICO",IF(VALUE(B1505)&lt;=11,"AMBA","INTERIOR"))))</f>
        <v>AMBA</v>
      </c>
      <c r="W1505" s="38" t="str">
        <f>+IF(U1505="","-",CONCATENATE(U1505,"_",V1505))</f>
        <v>EPA_AMBA</v>
      </c>
      <c r="X1505" s="42">
        <v>0.89100000000000001</v>
      </c>
    </row>
    <row r="1506" spans="1:24" ht="15" thickBot="1">
      <c r="A1506" s="5" t="s">
        <v>2916</v>
      </c>
      <c r="B1506" s="5" t="s">
        <v>356</v>
      </c>
      <c r="C1506" s="5" t="s">
        <v>805</v>
      </c>
      <c r="D1506" s="5" t="s">
        <v>2500</v>
      </c>
      <c r="E1506" s="5">
        <v>604353</v>
      </c>
      <c r="F1506" s="5">
        <v>0</v>
      </c>
      <c r="G1506" s="5" t="s">
        <v>2517</v>
      </c>
      <c r="H1506" s="5" t="s">
        <v>20</v>
      </c>
      <c r="I1506" s="6" t="s">
        <v>110</v>
      </c>
      <c r="J1506" s="6" t="s">
        <v>21</v>
      </c>
      <c r="K1506" s="6"/>
      <c r="L1506" s="6" t="s">
        <v>323</v>
      </c>
      <c r="M1506" s="6" t="s">
        <v>22</v>
      </c>
      <c r="N1506" s="6" t="s">
        <v>23</v>
      </c>
      <c r="O1506" s="6" t="s">
        <v>27</v>
      </c>
      <c r="P1506" s="6" t="s">
        <v>28</v>
      </c>
      <c r="Q1506" s="22">
        <v>139</v>
      </c>
      <c r="R1506" s="23">
        <v>11</v>
      </c>
      <c r="S1506" s="39">
        <v>1</v>
      </c>
      <c r="T1506" s="7"/>
      <c r="U1506" s="7" t="s">
        <v>2912</v>
      </c>
      <c r="V1506" s="7" t="str">
        <f>+IF(U1506="","",IF(U1506="FINES",CONCATENATE("R",IF(OR(B1506="16",B1506="21",B1506="22",B1506="23"),"16212223",IF(OR(B1506="15",B1506="17",B1506="24",B1506="25"),"15172425",B1506))),IF(U1506="CEBAS","UNICO",IF(VALUE(B1506)&lt;=11,"AMBA","INTERIOR"))))</f>
        <v>AMBA</v>
      </c>
      <c r="W1506" s="38" t="str">
        <f>+IF(U1506="","-",CONCATENATE(U1506,"_",V1506))</f>
        <v>EPA_AMBA</v>
      </c>
      <c r="X1506" s="42">
        <v>0.89200000000000002</v>
      </c>
    </row>
    <row r="1507" spans="1:24" ht="15" thickBot="1">
      <c r="A1507" s="3" t="s">
        <v>2916</v>
      </c>
      <c r="B1507" s="3" t="s">
        <v>356</v>
      </c>
      <c r="C1507" s="3" t="s">
        <v>805</v>
      </c>
      <c r="D1507" s="3" t="s">
        <v>2500</v>
      </c>
      <c r="E1507" s="3">
        <v>602129</v>
      </c>
      <c r="F1507" s="3">
        <v>0</v>
      </c>
      <c r="G1507" s="3" t="s">
        <v>2513</v>
      </c>
      <c r="H1507" s="3" t="s">
        <v>20</v>
      </c>
      <c r="I1507" s="4" t="s">
        <v>110</v>
      </c>
      <c r="J1507" s="4" t="s">
        <v>21</v>
      </c>
      <c r="K1507" s="4"/>
      <c r="L1507" s="4" t="s">
        <v>2539</v>
      </c>
      <c r="M1507" s="4" t="s">
        <v>22</v>
      </c>
      <c r="N1507" s="4" t="s">
        <v>23</v>
      </c>
      <c r="O1507" s="4" t="s">
        <v>27</v>
      </c>
      <c r="P1507" s="4" t="s">
        <v>28</v>
      </c>
      <c r="Q1507" s="24">
        <v>97</v>
      </c>
      <c r="R1507" s="25">
        <v>7</v>
      </c>
      <c r="S1507" s="39">
        <v>1</v>
      </c>
      <c r="T1507" s="7"/>
      <c r="U1507" s="7" t="s">
        <v>2912</v>
      </c>
      <c r="V1507" s="7" t="str">
        <f>+IF(U1507="","",IF(U1507="FINES",CONCATENATE("R",IF(OR(B1507="16",B1507="21",B1507="22",B1507="23"),"16212223",IF(OR(B1507="15",B1507="17",B1507="24",B1507="25"),"15172425",B1507))),IF(U1507="CEBAS","UNICO",IF(VALUE(B1507)&lt;=11,"AMBA","INTERIOR"))))</f>
        <v>AMBA</v>
      </c>
      <c r="W1507" s="38" t="str">
        <f>+IF(U1507="","-",CONCATENATE(U1507,"_",V1507))</f>
        <v>EPA_AMBA</v>
      </c>
      <c r="X1507" s="42">
        <v>0.89300000000000002</v>
      </c>
    </row>
    <row r="1508" spans="1:24" ht="15" thickBot="1">
      <c r="A1508" s="5" t="s">
        <v>2916</v>
      </c>
      <c r="B1508" s="5" t="s">
        <v>222</v>
      </c>
      <c r="C1508" s="5" t="s">
        <v>2047</v>
      </c>
      <c r="D1508" s="5" t="s">
        <v>2048</v>
      </c>
      <c r="E1508" s="5">
        <v>613145</v>
      </c>
      <c r="F1508" s="5">
        <v>0</v>
      </c>
      <c r="G1508" s="5" t="s">
        <v>2050</v>
      </c>
      <c r="H1508" s="5" t="s">
        <v>20</v>
      </c>
      <c r="I1508" s="6" t="s">
        <v>110</v>
      </c>
      <c r="J1508" s="6" t="s">
        <v>21</v>
      </c>
      <c r="K1508" s="6"/>
      <c r="L1508" s="6" t="s">
        <v>111</v>
      </c>
      <c r="M1508" s="6" t="s">
        <v>22</v>
      </c>
      <c r="N1508" s="6" t="s">
        <v>23</v>
      </c>
      <c r="O1508" s="6" t="s">
        <v>27</v>
      </c>
      <c r="P1508" s="6" t="s">
        <v>28</v>
      </c>
      <c r="Q1508" s="22">
        <v>210</v>
      </c>
      <c r="R1508" s="23">
        <v>13</v>
      </c>
      <c r="S1508" s="39">
        <v>1</v>
      </c>
      <c r="T1508" s="7"/>
      <c r="U1508" s="7" t="s">
        <v>2912</v>
      </c>
      <c r="V1508" s="7" t="str">
        <f>+IF(U1508="","",IF(U1508="FINES",CONCATENATE("R",IF(OR(B1508="16",B1508="21",B1508="22",B1508="23"),"16212223",IF(OR(B1508="15",B1508="17",B1508="24",B1508="25"),"15172425",B1508))),IF(U1508="CEBAS","UNICO",IF(VALUE(B1508)&lt;=11,"AMBA","INTERIOR"))))</f>
        <v>AMBA</v>
      </c>
      <c r="W1508" s="38" t="str">
        <f>+IF(U1508="","-",CONCATENATE(U1508,"_",V1508))</f>
        <v>EPA_AMBA</v>
      </c>
      <c r="X1508" s="42">
        <v>0.89600000000000002</v>
      </c>
    </row>
    <row r="1509" spans="1:24" ht="15" thickBot="1">
      <c r="A1509" s="5" t="s">
        <v>2916</v>
      </c>
      <c r="B1509" s="5" t="s">
        <v>19</v>
      </c>
      <c r="C1509" s="5" t="s">
        <v>449</v>
      </c>
      <c r="D1509" s="5" t="s">
        <v>2590</v>
      </c>
      <c r="E1509" s="5">
        <v>607115</v>
      </c>
      <c r="F1509" s="5">
        <v>0</v>
      </c>
      <c r="G1509" s="5" t="s">
        <v>2594</v>
      </c>
      <c r="H1509" s="5" t="s">
        <v>20</v>
      </c>
      <c r="I1509" s="6" t="s">
        <v>110</v>
      </c>
      <c r="J1509" s="6" t="s">
        <v>21</v>
      </c>
      <c r="K1509" s="6"/>
      <c r="L1509" s="6" t="s">
        <v>2596</v>
      </c>
      <c r="M1509" s="6" t="s">
        <v>22</v>
      </c>
      <c r="N1509" s="6" t="s">
        <v>23</v>
      </c>
      <c r="O1509" s="6" t="s">
        <v>27</v>
      </c>
      <c r="P1509" s="6" t="s">
        <v>28</v>
      </c>
      <c r="Q1509" s="22">
        <v>110</v>
      </c>
      <c r="R1509" s="23">
        <v>6</v>
      </c>
      <c r="S1509" s="39">
        <v>1</v>
      </c>
      <c r="T1509" s="7"/>
      <c r="U1509" t="s">
        <v>2912</v>
      </c>
      <c r="V1509" s="7" t="str">
        <f>+IF(U1509="","",IF(U1509="FINES",CONCATENATE("R",IF(OR(B1509="16",B1509="21",B1509="22",B1509="23"),"16212223",IF(OR(B1509="15",B1509="17",B1509="24",B1509="25"),"15172425",B1509))),IF(U1509="CEBAS","UNICO",IF(VALUE(B1509)&lt;=11,"AMBA","INTERIOR"))))</f>
        <v>AMBA</v>
      </c>
      <c r="W1509" s="38" t="str">
        <f>+IF(U1509="","-",CONCATENATE(U1509,"_",V1509))</f>
        <v>EPA_AMBA</v>
      </c>
      <c r="X1509" s="42">
        <v>0.89700000000000002</v>
      </c>
    </row>
    <row r="1510" spans="1:24" ht="15" thickBot="1">
      <c r="A1510" s="5" t="s">
        <v>2916</v>
      </c>
      <c r="B1510" s="5" t="s">
        <v>356</v>
      </c>
      <c r="C1510" s="5" t="s">
        <v>1359</v>
      </c>
      <c r="D1510" s="5" t="s">
        <v>1360</v>
      </c>
      <c r="E1510" s="5">
        <v>602956</v>
      </c>
      <c r="F1510" s="5">
        <v>0</v>
      </c>
      <c r="G1510" s="5" t="s">
        <v>1367</v>
      </c>
      <c r="H1510" s="5" t="s">
        <v>20</v>
      </c>
      <c r="I1510" s="6" t="s">
        <v>110</v>
      </c>
      <c r="J1510" s="6" t="s">
        <v>21</v>
      </c>
      <c r="K1510" s="6"/>
      <c r="L1510" s="6" t="s">
        <v>1403</v>
      </c>
      <c r="M1510" s="6" t="s">
        <v>22</v>
      </c>
      <c r="N1510" s="6" t="s">
        <v>23</v>
      </c>
      <c r="O1510" s="6" t="s">
        <v>27</v>
      </c>
      <c r="P1510" s="6" t="s">
        <v>28</v>
      </c>
      <c r="Q1510" s="22">
        <v>111</v>
      </c>
      <c r="R1510" s="23">
        <v>10</v>
      </c>
      <c r="S1510" s="39">
        <v>1</v>
      </c>
      <c r="T1510" s="7"/>
      <c r="U1510" s="7" t="s">
        <v>2912</v>
      </c>
      <c r="V1510" s="7" t="str">
        <f>+IF(U1510="","",IF(U1510="FINES",CONCATENATE("R",IF(OR(B1510="16",B1510="21",B1510="22",B1510="23"),"16212223",IF(OR(B1510="15",B1510="17",B1510="24",B1510="25"),"15172425",B1510))),IF(U1510="CEBAS","UNICO",IF(VALUE(B1510)&lt;=11,"AMBA","INTERIOR"))))</f>
        <v>AMBA</v>
      </c>
      <c r="W1510" s="38" t="str">
        <f>+IF(U1510="","-",CONCATENATE(U1510,"_",V1510))</f>
        <v>EPA_AMBA</v>
      </c>
      <c r="X1510" s="42">
        <v>0.89800000000000002</v>
      </c>
    </row>
    <row r="1511" spans="1:24" ht="15" thickBot="1">
      <c r="A1511" s="3" t="s">
        <v>2916</v>
      </c>
      <c r="B1511" s="3" t="s">
        <v>356</v>
      </c>
      <c r="C1511" s="3" t="s">
        <v>353</v>
      </c>
      <c r="D1511" s="3" t="s">
        <v>355</v>
      </c>
      <c r="E1511" s="3">
        <v>600926</v>
      </c>
      <c r="F1511" s="3">
        <v>0</v>
      </c>
      <c r="G1511" s="3" t="s">
        <v>381</v>
      </c>
      <c r="H1511" s="3" t="s">
        <v>20</v>
      </c>
      <c r="I1511" s="4" t="s">
        <v>110</v>
      </c>
      <c r="J1511" s="4" t="s">
        <v>21</v>
      </c>
      <c r="K1511" s="4"/>
      <c r="L1511" s="4" t="s">
        <v>394</v>
      </c>
      <c r="M1511" s="4" t="s">
        <v>22</v>
      </c>
      <c r="N1511" s="4" t="s">
        <v>23</v>
      </c>
      <c r="O1511" s="4" t="s">
        <v>27</v>
      </c>
      <c r="P1511" s="4" t="s">
        <v>28</v>
      </c>
      <c r="Q1511" s="24">
        <v>134</v>
      </c>
      <c r="R1511" s="25">
        <v>11</v>
      </c>
      <c r="S1511" s="39">
        <v>1</v>
      </c>
      <c r="T1511" s="7"/>
      <c r="U1511" s="7" t="s">
        <v>2912</v>
      </c>
      <c r="V1511" s="7" t="str">
        <f>+IF(U1511="","",IF(U1511="FINES",CONCATENATE("R",IF(OR(B1511="16",B1511="21",B1511="22",B1511="23"),"16212223",IF(OR(B1511="15",B1511="17",B1511="24",B1511="25"),"15172425",B1511))),IF(U1511="CEBAS","UNICO",IF(VALUE(B1511)&lt;=11,"AMBA","INTERIOR"))))</f>
        <v>AMBA</v>
      </c>
      <c r="W1511" s="38" t="str">
        <f>+IF(U1511="","-",CONCATENATE(U1511,"_",V1511))</f>
        <v>EPA_AMBA</v>
      </c>
      <c r="X1511" s="42">
        <v>0.91300000000000003</v>
      </c>
    </row>
    <row r="1512" spans="1:24" ht="15" thickBot="1">
      <c r="A1512" s="5" t="s">
        <v>2916</v>
      </c>
      <c r="B1512" s="5" t="s">
        <v>204</v>
      </c>
      <c r="C1512" s="5" t="s">
        <v>137</v>
      </c>
      <c r="D1512" s="5" t="s">
        <v>2629</v>
      </c>
      <c r="E1512" s="5">
        <v>611416</v>
      </c>
      <c r="F1512" s="5">
        <v>0</v>
      </c>
      <c r="G1512" s="5" t="s">
        <v>2637</v>
      </c>
      <c r="H1512" s="5" t="s">
        <v>20</v>
      </c>
      <c r="I1512" s="6" t="s">
        <v>110</v>
      </c>
      <c r="J1512" s="6" t="s">
        <v>21</v>
      </c>
      <c r="K1512" s="6"/>
      <c r="L1512" s="6" t="s">
        <v>2644</v>
      </c>
      <c r="M1512" s="6" t="s">
        <v>22</v>
      </c>
      <c r="N1512" s="6" t="s">
        <v>23</v>
      </c>
      <c r="O1512" s="6" t="s">
        <v>27</v>
      </c>
      <c r="P1512" s="6" t="s">
        <v>28</v>
      </c>
      <c r="Q1512" s="22">
        <v>82</v>
      </c>
      <c r="R1512" s="23">
        <v>5</v>
      </c>
      <c r="S1512" s="39">
        <v>1</v>
      </c>
      <c r="T1512" s="7"/>
      <c r="U1512" s="7" t="s">
        <v>2912</v>
      </c>
      <c r="V1512" s="7" t="str">
        <f>+IF(U1512="","",IF(U1512="FINES",CONCATENATE("R",IF(OR(B1512="16",B1512="21",B1512="22",B1512="23"),"16212223",IF(OR(B1512="15",B1512="17",B1512="24",B1512="25"),"15172425",B1512))),IF(U1512="CEBAS","UNICO",IF(VALUE(B1512)&lt;=11,"AMBA","INTERIOR"))))</f>
        <v>AMBA</v>
      </c>
      <c r="W1512" s="38" t="str">
        <f>+IF(U1512="","-",CONCATENATE(U1512,"_",V1512))</f>
        <v>EPA_AMBA</v>
      </c>
      <c r="X1512" s="42">
        <v>0.92400000000000004</v>
      </c>
    </row>
    <row r="1513" spans="1:24" ht="15" thickBot="1">
      <c r="A1513" s="3" t="s">
        <v>2916</v>
      </c>
      <c r="B1513" s="3" t="s">
        <v>257</v>
      </c>
      <c r="C1513" s="3" t="s">
        <v>772</v>
      </c>
      <c r="D1513" s="3" t="s">
        <v>773</v>
      </c>
      <c r="E1513" s="3">
        <v>608920</v>
      </c>
      <c r="F1513" s="3">
        <v>0</v>
      </c>
      <c r="G1513" s="3" t="s">
        <v>785</v>
      </c>
      <c r="H1513" s="3" t="s">
        <v>20</v>
      </c>
      <c r="I1513" s="4" t="s">
        <v>110</v>
      </c>
      <c r="J1513" s="4" t="s">
        <v>21</v>
      </c>
      <c r="K1513" s="4"/>
      <c r="L1513" s="4" t="s">
        <v>796</v>
      </c>
      <c r="M1513" s="4" t="s">
        <v>22</v>
      </c>
      <c r="N1513" s="4" t="s">
        <v>23</v>
      </c>
      <c r="O1513" s="4" t="s">
        <v>27</v>
      </c>
      <c r="P1513" s="4" t="s">
        <v>28</v>
      </c>
      <c r="Q1513" s="24">
        <v>78</v>
      </c>
      <c r="R1513" s="25">
        <v>6</v>
      </c>
      <c r="S1513" s="39">
        <v>1</v>
      </c>
      <c r="T1513" s="7"/>
      <c r="U1513" t="s">
        <v>2912</v>
      </c>
      <c r="V1513" s="7" t="str">
        <f>+IF(U1513="","",IF(U1513="FINES",CONCATENATE("R",IF(OR(B1513="16",B1513="21",B1513="22",B1513="23"),"16212223",IF(OR(B1513="15",B1513="17",B1513="24",B1513="25"),"15172425",B1513))),IF(U1513="CEBAS","UNICO",IF(VALUE(B1513)&lt;=11,"AMBA","INTERIOR"))))</f>
        <v>AMBA</v>
      </c>
      <c r="W1513" s="38" t="str">
        <f>+IF(U1513="","-",CONCATENATE(U1513,"_",V1513))</f>
        <v>EPA_AMBA</v>
      </c>
      <c r="X1513" s="42">
        <v>0.92700000000000005</v>
      </c>
    </row>
    <row r="1514" spans="1:24" ht="15" thickBot="1">
      <c r="A1514" s="3" t="s">
        <v>2916</v>
      </c>
      <c r="B1514" s="3" t="s">
        <v>1860</v>
      </c>
      <c r="C1514" s="3" t="s">
        <v>224</v>
      </c>
      <c r="D1514" s="3" t="s">
        <v>2837</v>
      </c>
      <c r="E1514" s="3">
        <v>614093</v>
      </c>
      <c r="F1514" s="3">
        <v>0</v>
      </c>
      <c r="G1514" s="3" t="s">
        <v>2855</v>
      </c>
      <c r="H1514" s="3" t="s">
        <v>20</v>
      </c>
      <c r="I1514" s="4" t="s">
        <v>110</v>
      </c>
      <c r="J1514" s="4" t="s">
        <v>21</v>
      </c>
      <c r="K1514" s="4"/>
      <c r="L1514" s="4" t="s">
        <v>1663</v>
      </c>
      <c r="M1514" s="4" t="s">
        <v>22</v>
      </c>
      <c r="N1514" s="4" t="s">
        <v>23</v>
      </c>
      <c r="O1514" s="4" t="s">
        <v>27</v>
      </c>
      <c r="P1514" s="4" t="s">
        <v>28</v>
      </c>
      <c r="Q1514" s="24">
        <v>42</v>
      </c>
      <c r="R1514" s="25">
        <v>6</v>
      </c>
      <c r="S1514" s="39">
        <v>1</v>
      </c>
      <c r="T1514" s="7"/>
      <c r="U1514" t="s">
        <v>2912</v>
      </c>
      <c r="V1514" s="7" t="str">
        <f>+IF(U1514="","",IF(U1514="FINES",CONCATENATE("R",IF(OR(B1514="16",B1514="21",B1514="22",B1514="23"),"16212223",IF(OR(B1514="15",B1514="17",B1514="24",B1514="25"),"15172425",B1514))),IF(U1514="CEBAS","UNICO",IF(VALUE(B1514)&lt;=11,"AMBA","INTERIOR"))))</f>
        <v>AMBA</v>
      </c>
      <c r="W1514" s="38" t="str">
        <f>+IF(U1514="","-",CONCATENATE(U1514,"_",V1514))</f>
        <v>EPA_AMBA</v>
      </c>
      <c r="X1514" s="42">
        <v>0.92800000000000005</v>
      </c>
    </row>
    <row r="1515" spans="1:24" ht="15" thickBot="1">
      <c r="A1515" s="5" t="s">
        <v>2916</v>
      </c>
      <c r="B1515" s="5" t="s">
        <v>1860</v>
      </c>
      <c r="C1515" s="5" t="s">
        <v>1858</v>
      </c>
      <c r="D1515" s="5" t="s">
        <v>1859</v>
      </c>
      <c r="E1515" s="5">
        <v>613639</v>
      </c>
      <c r="F1515" s="5">
        <v>0</v>
      </c>
      <c r="G1515" s="5" t="s">
        <v>1872</v>
      </c>
      <c r="H1515" s="5" t="s">
        <v>20</v>
      </c>
      <c r="I1515" s="6" t="s">
        <v>110</v>
      </c>
      <c r="J1515" s="6" t="s">
        <v>21</v>
      </c>
      <c r="K1515" s="6"/>
      <c r="L1515" s="6" t="s">
        <v>321</v>
      </c>
      <c r="M1515" s="6" t="s">
        <v>22</v>
      </c>
      <c r="N1515" s="6" t="s">
        <v>23</v>
      </c>
      <c r="O1515" s="6" t="s">
        <v>27</v>
      </c>
      <c r="P1515" s="6" t="s">
        <v>28</v>
      </c>
      <c r="Q1515" s="22">
        <v>104</v>
      </c>
      <c r="R1515" s="23">
        <v>7</v>
      </c>
      <c r="S1515" s="39">
        <v>1</v>
      </c>
      <c r="T1515" s="7"/>
      <c r="U1515" s="7" t="s">
        <v>2912</v>
      </c>
      <c r="V1515" s="7" t="str">
        <f>+IF(U1515="","",IF(U1515="FINES",CONCATENATE("R",IF(OR(B1515="16",B1515="21",B1515="22",B1515="23"),"16212223",IF(OR(B1515="15",B1515="17",B1515="24",B1515="25"),"15172425",B1515))),IF(U1515="CEBAS","UNICO",IF(VALUE(B1515)&lt;=11,"AMBA","INTERIOR"))))</f>
        <v>AMBA</v>
      </c>
      <c r="W1515" s="38" t="str">
        <f>+IF(U1515="","-",CONCATENATE(U1515,"_",V1515))</f>
        <v>EPA_AMBA</v>
      </c>
      <c r="X1515" s="42">
        <v>0.93700000000000006</v>
      </c>
    </row>
    <row r="1516" spans="1:24" ht="15" thickBot="1">
      <c r="A1516" s="5" t="s">
        <v>2916</v>
      </c>
      <c r="B1516" s="5" t="s">
        <v>356</v>
      </c>
      <c r="C1516" s="5" t="s">
        <v>1359</v>
      </c>
      <c r="D1516" s="5" t="s">
        <v>1360</v>
      </c>
      <c r="E1516" s="5">
        <v>600914</v>
      </c>
      <c r="F1516" s="5">
        <v>0</v>
      </c>
      <c r="G1516" s="5" t="s">
        <v>1411</v>
      </c>
      <c r="H1516" s="5" t="s">
        <v>20</v>
      </c>
      <c r="I1516" s="6" t="s">
        <v>110</v>
      </c>
      <c r="J1516" s="6" t="s">
        <v>21</v>
      </c>
      <c r="K1516" s="6"/>
      <c r="L1516" s="6" t="s">
        <v>1412</v>
      </c>
      <c r="M1516" s="6" t="s">
        <v>22</v>
      </c>
      <c r="N1516" s="6" t="s">
        <v>23</v>
      </c>
      <c r="O1516" s="6" t="s">
        <v>27</v>
      </c>
      <c r="P1516" s="6" t="s">
        <v>28</v>
      </c>
      <c r="Q1516" s="22">
        <v>276</v>
      </c>
      <c r="R1516" s="23">
        <v>18</v>
      </c>
      <c r="S1516" s="39">
        <v>1</v>
      </c>
      <c r="T1516" s="7"/>
      <c r="U1516" s="7" t="s">
        <v>2912</v>
      </c>
      <c r="V1516" s="7" t="str">
        <f>+IF(U1516="","",IF(U1516="FINES",CONCATENATE("R",IF(OR(B1516="16",B1516="21",B1516="22",B1516="23"),"16212223",IF(OR(B1516="15",B1516="17",B1516="24",B1516="25"),"15172425",B1516))),IF(U1516="CEBAS","UNICO",IF(VALUE(B1516)&lt;=11,"AMBA","INTERIOR"))))</f>
        <v>AMBA</v>
      </c>
      <c r="W1516" s="38" t="str">
        <f>+IF(U1516="","-",CONCATENATE(U1516,"_",V1516))</f>
        <v>EPA_AMBA</v>
      </c>
      <c r="X1516" s="42">
        <v>0.94199999999999995</v>
      </c>
    </row>
    <row r="1517" spans="1:24" ht="15" thickBot="1">
      <c r="A1517" s="3" t="s">
        <v>2916</v>
      </c>
      <c r="B1517" s="3" t="s">
        <v>204</v>
      </c>
      <c r="C1517" s="3" t="s">
        <v>1084</v>
      </c>
      <c r="D1517" s="3" t="s">
        <v>1085</v>
      </c>
      <c r="E1517" s="3">
        <v>613141</v>
      </c>
      <c r="F1517" s="3">
        <v>0</v>
      </c>
      <c r="G1517" s="3" t="s">
        <v>1089</v>
      </c>
      <c r="H1517" s="3" t="s">
        <v>20</v>
      </c>
      <c r="I1517" s="4" t="s">
        <v>110</v>
      </c>
      <c r="J1517" s="4" t="s">
        <v>21</v>
      </c>
      <c r="K1517" s="4"/>
      <c r="L1517" s="4" t="s">
        <v>1114</v>
      </c>
      <c r="M1517" s="4" t="s">
        <v>22</v>
      </c>
      <c r="N1517" s="4" t="s">
        <v>23</v>
      </c>
      <c r="O1517" s="4" t="s">
        <v>27</v>
      </c>
      <c r="P1517" s="4" t="s">
        <v>28</v>
      </c>
      <c r="Q1517" s="24">
        <v>91</v>
      </c>
      <c r="R1517" s="25">
        <v>5</v>
      </c>
      <c r="S1517" s="39">
        <v>1</v>
      </c>
      <c r="T1517" s="7"/>
      <c r="U1517" t="s">
        <v>2912</v>
      </c>
      <c r="V1517" s="7" t="str">
        <f>+IF(U1517="","",IF(U1517="FINES",CONCATENATE("R",IF(OR(B1517="16",B1517="21",B1517="22",B1517="23"),"16212223",IF(OR(B1517="15",B1517="17",B1517="24",B1517="25"),"15172425",B1517))),IF(U1517="CEBAS","UNICO",IF(VALUE(B1517)&lt;=11,"AMBA","INTERIOR"))))</f>
        <v>AMBA</v>
      </c>
      <c r="W1517" s="38" t="str">
        <f>+IF(U1517="","-",CONCATENATE(U1517,"_",V1517))</f>
        <v>EPA_AMBA</v>
      </c>
      <c r="X1517" s="42">
        <v>0.94299999999999995</v>
      </c>
    </row>
    <row r="1518" spans="1:24" ht="15" thickBot="1">
      <c r="A1518" s="3" t="s">
        <v>2916</v>
      </c>
      <c r="B1518" s="3" t="s">
        <v>19</v>
      </c>
      <c r="C1518" s="3" t="s">
        <v>17</v>
      </c>
      <c r="D1518" s="3" t="s">
        <v>18</v>
      </c>
      <c r="E1518" s="3">
        <v>615686</v>
      </c>
      <c r="F1518" s="3">
        <v>0</v>
      </c>
      <c r="G1518" s="3" t="s">
        <v>132</v>
      </c>
      <c r="H1518" s="3" t="s">
        <v>20</v>
      </c>
      <c r="I1518" s="4" t="s">
        <v>110</v>
      </c>
      <c r="J1518" s="4" t="s">
        <v>21</v>
      </c>
      <c r="K1518" s="4"/>
      <c r="L1518" s="4" t="s">
        <v>133</v>
      </c>
      <c r="M1518" s="4" t="s">
        <v>22</v>
      </c>
      <c r="N1518" s="4" t="s">
        <v>134</v>
      </c>
      <c r="O1518" s="4" t="s">
        <v>27</v>
      </c>
      <c r="P1518" s="4" t="s">
        <v>28</v>
      </c>
      <c r="Q1518" s="24">
        <v>279</v>
      </c>
      <c r="R1518" s="25">
        <v>14</v>
      </c>
      <c r="S1518" s="39">
        <v>1</v>
      </c>
      <c r="T1518" s="7"/>
      <c r="U1518" s="7" t="s">
        <v>2912</v>
      </c>
      <c r="V1518" s="7" t="str">
        <f>+IF(U1518="","",IF(U1518="FINES",CONCATENATE("R",IF(OR(B1518="16",B1518="21",B1518="22",B1518="23"),"16212223",IF(OR(B1518="15",B1518="17",B1518="24",B1518="25"),"15172425",B1518))),IF(U1518="CEBAS","UNICO",IF(VALUE(B1518)&lt;=11,"AMBA","INTERIOR"))))</f>
        <v>AMBA</v>
      </c>
      <c r="W1518" s="38" t="str">
        <f>+IF(U1518="","-",CONCATENATE(U1518,"_",V1518))</f>
        <v>EPA_AMBA</v>
      </c>
      <c r="X1518" s="42">
        <v>0.94799999999999995</v>
      </c>
    </row>
    <row r="1519" spans="1:24" ht="15" thickBot="1">
      <c r="A1519" s="5" t="s">
        <v>2916</v>
      </c>
      <c r="B1519" s="5" t="s">
        <v>356</v>
      </c>
      <c r="C1519" s="5" t="s">
        <v>1359</v>
      </c>
      <c r="D1519" s="5" t="s">
        <v>1360</v>
      </c>
      <c r="E1519" s="5">
        <v>603978</v>
      </c>
      <c r="F1519" s="5">
        <v>0</v>
      </c>
      <c r="G1519" s="5" t="s">
        <v>1378</v>
      </c>
      <c r="H1519" s="5" t="s">
        <v>20</v>
      </c>
      <c r="I1519" s="6" t="s">
        <v>110</v>
      </c>
      <c r="J1519" s="6" t="s">
        <v>21</v>
      </c>
      <c r="K1519" s="6"/>
      <c r="L1519" s="6" t="s">
        <v>1405</v>
      </c>
      <c r="M1519" s="6" t="s">
        <v>22</v>
      </c>
      <c r="N1519" s="6" t="s">
        <v>23</v>
      </c>
      <c r="O1519" s="6" t="s">
        <v>27</v>
      </c>
      <c r="P1519" s="6" t="s">
        <v>28</v>
      </c>
      <c r="Q1519" s="22">
        <v>152</v>
      </c>
      <c r="R1519" s="23">
        <v>9</v>
      </c>
      <c r="S1519" s="39">
        <v>1</v>
      </c>
      <c r="T1519" s="7"/>
      <c r="U1519" t="s">
        <v>2912</v>
      </c>
      <c r="V1519" s="7" t="str">
        <f>+IF(U1519="","",IF(U1519="FINES",CONCATENATE("R",IF(OR(B1519="16",B1519="21",B1519="22",B1519="23"),"16212223",IF(OR(B1519="15",B1519="17",B1519="24",B1519="25"),"15172425",B1519))),IF(U1519="CEBAS","UNICO",IF(VALUE(B1519)&lt;=11,"AMBA","INTERIOR"))))</f>
        <v>AMBA</v>
      </c>
      <c r="W1519" s="38" t="str">
        <f>+IF(U1519="","-",CONCATENATE(U1519,"_",V1519))</f>
        <v>EPA_AMBA</v>
      </c>
      <c r="X1519" s="42">
        <v>0.96</v>
      </c>
    </row>
    <row r="1520" spans="1:24" ht="15" thickBot="1">
      <c r="A1520" s="3" t="s">
        <v>2916</v>
      </c>
      <c r="B1520" s="3" t="s">
        <v>1257</v>
      </c>
      <c r="C1520" s="3" t="s">
        <v>1255</v>
      </c>
      <c r="D1520" s="3" t="s">
        <v>1256</v>
      </c>
      <c r="E1520" s="3">
        <v>602537</v>
      </c>
      <c r="F1520" s="3">
        <v>0</v>
      </c>
      <c r="G1520" s="3" t="s">
        <v>1259</v>
      </c>
      <c r="H1520" s="3" t="s">
        <v>20</v>
      </c>
      <c r="I1520" s="4" t="s">
        <v>110</v>
      </c>
      <c r="J1520" s="4" t="s">
        <v>21</v>
      </c>
      <c r="K1520" s="4"/>
      <c r="L1520" s="4" t="s">
        <v>1288</v>
      </c>
      <c r="M1520" s="4" t="s">
        <v>22</v>
      </c>
      <c r="N1520" s="4" t="s">
        <v>23</v>
      </c>
      <c r="O1520" s="4" t="s">
        <v>27</v>
      </c>
      <c r="P1520" s="4" t="s">
        <v>28</v>
      </c>
      <c r="Q1520" s="24">
        <v>127</v>
      </c>
      <c r="R1520" s="25">
        <v>8</v>
      </c>
      <c r="S1520" s="39">
        <v>1</v>
      </c>
      <c r="T1520" s="7"/>
      <c r="U1520" t="s">
        <v>2912</v>
      </c>
      <c r="V1520" s="7" t="str">
        <f>+IF(U1520="","",IF(U1520="FINES",CONCATENATE("R",IF(OR(B1520="16",B1520="21",B1520="22",B1520="23"),"16212223",IF(OR(B1520="15",B1520="17",B1520="24",B1520="25"),"15172425",B1520))),IF(U1520="CEBAS","UNICO",IF(VALUE(B1520)&lt;=11,"AMBA","INTERIOR"))))</f>
        <v>AMBA</v>
      </c>
      <c r="W1520" s="38" t="str">
        <f>+IF(U1520="","-",CONCATENATE(U1520,"_",V1520))</f>
        <v>EPA_AMBA</v>
      </c>
      <c r="X1520" s="42">
        <v>0.96499999999999997</v>
      </c>
    </row>
    <row r="1521" spans="1:24" ht="15" thickBot="1">
      <c r="A1521" s="3" t="s">
        <v>2916</v>
      </c>
      <c r="B1521" s="3" t="s">
        <v>356</v>
      </c>
      <c r="C1521" s="3" t="s">
        <v>1359</v>
      </c>
      <c r="D1521" s="3" t="s">
        <v>1360</v>
      </c>
      <c r="E1521" s="3">
        <v>602445</v>
      </c>
      <c r="F1521" s="3">
        <v>0</v>
      </c>
      <c r="G1521" s="3" t="s">
        <v>1409</v>
      </c>
      <c r="H1521" s="3" t="s">
        <v>20</v>
      </c>
      <c r="I1521" s="4" t="s">
        <v>110</v>
      </c>
      <c r="J1521" s="4" t="s">
        <v>21</v>
      </c>
      <c r="K1521" s="4"/>
      <c r="L1521" s="4" t="s">
        <v>1410</v>
      </c>
      <c r="M1521" s="4" t="s">
        <v>22</v>
      </c>
      <c r="N1521" s="4" t="s">
        <v>23</v>
      </c>
      <c r="O1521" s="4" t="s">
        <v>27</v>
      </c>
      <c r="P1521" s="4" t="s">
        <v>28</v>
      </c>
      <c r="Q1521" s="24">
        <v>358</v>
      </c>
      <c r="R1521" s="25">
        <v>23</v>
      </c>
      <c r="S1521" s="39">
        <v>1</v>
      </c>
      <c r="T1521" s="7"/>
      <c r="U1521" s="7" t="s">
        <v>2912</v>
      </c>
      <c r="V1521" s="7" t="str">
        <f>+IF(U1521="","",IF(U1521="FINES",CONCATENATE("R",IF(OR(B1521="16",B1521="21",B1521="22",B1521="23"),"16212223",IF(OR(B1521="15",B1521="17",B1521="24",B1521="25"),"15172425",B1521))),IF(U1521="CEBAS","UNICO",IF(VALUE(B1521)&lt;=11,"AMBA","INTERIOR"))))</f>
        <v>AMBA</v>
      </c>
      <c r="W1521" s="38" t="str">
        <f>+IF(U1521="","-",CONCATENATE(U1521,"_",V1521))</f>
        <v>EPA_AMBA</v>
      </c>
      <c r="X1521" s="42">
        <v>0.97</v>
      </c>
    </row>
    <row r="1522" spans="1:24" ht="15" thickBot="1">
      <c r="A1522" s="3" t="s">
        <v>2916</v>
      </c>
      <c r="B1522" s="3" t="s">
        <v>817</v>
      </c>
      <c r="C1522" s="3" t="s">
        <v>2080</v>
      </c>
      <c r="D1522" s="3" t="s">
        <v>2081</v>
      </c>
      <c r="E1522" s="3">
        <v>612047</v>
      </c>
      <c r="F1522" s="3">
        <v>0</v>
      </c>
      <c r="G1522" s="3" t="s">
        <v>2117</v>
      </c>
      <c r="H1522" s="3" t="s">
        <v>20</v>
      </c>
      <c r="I1522" s="4" t="s">
        <v>110</v>
      </c>
      <c r="J1522" s="4" t="s">
        <v>21</v>
      </c>
      <c r="K1522" s="4"/>
      <c r="L1522" s="4" t="s">
        <v>2135</v>
      </c>
      <c r="M1522" s="4" t="s">
        <v>22</v>
      </c>
      <c r="N1522" s="4" t="s">
        <v>23</v>
      </c>
      <c r="O1522" s="4" t="s">
        <v>27</v>
      </c>
      <c r="P1522" s="4" t="s">
        <v>28</v>
      </c>
      <c r="Q1522" s="24">
        <v>176</v>
      </c>
      <c r="R1522" s="25">
        <v>11</v>
      </c>
      <c r="S1522" s="39">
        <v>1</v>
      </c>
      <c r="T1522" s="7"/>
      <c r="U1522" t="s">
        <v>2912</v>
      </c>
      <c r="V1522" s="7" t="str">
        <f>+IF(U1522="","",IF(U1522="FINES",CONCATENATE("R",IF(OR(B1522="16",B1522="21",B1522="22",B1522="23"),"16212223",IF(OR(B1522="15",B1522="17",B1522="24",B1522="25"),"15172425",B1522))),IF(U1522="CEBAS","UNICO",IF(VALUE(B1522)&lt;=11,"AMBA","INTERIOR"))))</f>
        <v>AMBA</v>
      </c>
      <c r="W1522" s="38" t="str">
        <f>+IF(U1522="","-",CONCATENATE(U1522,"_",V1522))</f>
        <v>EPA_AMBA</v>
      </c>
      <c r="X1522" s="42">
        <v>0.98699999999999999</v>
      </c>
    </row>
    <row r="1523" spans="1:24" ht="15" thickBot="1">
      <c r="A1523" s="3" t="s">
        <v>2916</v>
      </c>
      <c r="B1523" s="3" t="s">
        <v>1780</v>
      </c>
      <c r="C1523" s="3" t="s">
        <v>1248</v>
      </c>
      <c r="D1523" s="3" t="s">
        <v>2348</v>
      </c>
      <c r="E1523" s="3">
        <v>600464</v>
      </c>
      <c r="F1523" s="3">
        <v>0</v>
      </c>
      <c r="G1523" s="3" t="s">
        <v>2352</v>
      </c>
      <c r="H1523" s="3" t="s">
        <v>20</v>
      </c>
      <c r="I1523" s="4" t="s">
        <v>110</v>
      </c>
      <c r="J1523" s="4" t="s">
        <v>21</v>
      </c>
      <c r="K1523" s="4"/>
      <c r="L1523" s="4" t="s">
        <v>2366</v>
      </c>
      <c r="M1523" s="4" t="s">
        <v>22</v>
      </c>
      <c r="N1523" s="4" t="s">
        <v>23</v>
      </c>
      <c r="O1523" s="4" t="s">
        <v>27</v>
      </c>
      <c r="P1523" s="4" t="s">
        <v>28</v>
      </c>
      <c r="Q1523" s="24">
        <v>125</v>
      </c>
      <c r="R1523" s="25">
        <v>6</v>
      </c>
      <c r="S1523" s="39">
        <v>1</v>
      </c>
      <c r="T1523" s="7"/>
      <c r="U1523" t="s">
        <v>2912</v>
      </c>
      <c r="V1523" s="7" t="str">
        <f>+IF(U1523="","",IF(U1523="FINES",CONCATENATE("R",IF(OR(B1523="16",B1523="21",B1523="22",B1523="23"),"16212223",IF(OR(B1523="15",B1523="17",B1523="24",B1523="25"),"15172425",B1523))),IF(U1523="CEBAS","UNICO",IF(VALUE(B1523)&lt;=11,"AMBA","INTERIOR"))))</f>
        <v>AMBA</v>
      </c>
      <c r="W1523" s="38" t="str">
        <f>+IF(U1523="","-",CONCATENATE(U1523,"_",V1523))</f>
        <v>EPA_AMBA</v>
      </c>
      <c r="X1523" s="42">
        <v>0.99099999999999999</v>
      </c>
    </row>
    <row r="1524" spans="1:24" ht="15" thickBot="1">
      <c r="A1524" s="3" t="s">
        <v>2916</v>
      </c>
      <c r="B1524" s="3" t="s">
        <v>356</v>
      </c>
      <c r="C1524" s="3" t="s">
        <v>353</v>
      </c>
      <c r="D1524" s="3" t="s">
        <v>355</v>
      </c>
      <c r="E1524" s="3">
        <v>607346</v>
      </c>
      <c r="F1524" s="3">
        <v>0</v>
      </c>
      <c r="G1524" s="3" t="s">
        <v>363</v>
      </c>
      <c r="H1524" s="3" t="s">
        <v>20</v>
      </c>
      <c r="I1524" s="4" t="s">
        <v>110</v>
      </c>
      <c r="J1524" s="4" t="s">
        <v>21</v>
      </c>
      <c r="K1524" s="4"/>
      <c r="L1524" s="4" t="s">
        <v>397</v>
      </c>
      <c r="M1524" s="4" t="s">
        <v>22</v>
      </c>
      <c r="N1524" s="4" t="s">
        <v>23</v>
      </c>
      <c r="O1524" s="4" t="s">
        <v>27</v>
      </c>
      <c r="P1524" s="4" t="s">
        <v>28</v>
      </c>
      <c r="Q1524" s="24">
        <v>123</v>
      </c>
      <c r="R1524" s="25">
        <v>12</v>
      </c>
      <c r="S1524" s="39">
        <v>1</v>
      </c>
      <c r="T1524" s="7"/>
      <c r="U1524" s="7" t="s">
        <v>2912</v>
      </c>
      <c r="V1524" s="7" t="str">
        <f>+IF(U1524="","",IF(U1524="FINES",CONCATENATE("R",IF(OR(B1524="16",B1524="21",B1524="22",B1524="23"),"16212223",IF(OR(B1524="15",B1524="17",B1524="24",B1524="25"),"15172425",B1524))),IF(U1524="CEBAS","UNICO",IF(VALUE(B1524)&lt;=11,"AMBA","INTERIOR"))))</f>
        <v>AMBA</v>
      </c>
      <c r="W1524" s="38" t="str">
        <f>+IF(U1524="","-",CONCATENATE(U1524,"_",V1524))</f>
        <v>EPA_AMBA</v>
      </c>
      <c r="X1524" s="42">
        <v>0.995</v>
      </c>
    </row>
    <row r="1525" spans="1:24" ht="15" thickBot="1">
      <c r="A1525" s="3" t="s">
        <v>2916</v>
      </c>
      <c r="B1525" s="3" t="s">
        <v>352</v>
      </c>
      <c r="C1525" s="3" t="s">
        <v>1924</v>
      </c>
      <c r="D1525" s="3" t="s">
        <v>1925</v>
      </c>
      <c r="E1525" s="3">
        <v>611210</v>
      </c>
      <c r="F1525" s="3">
        <v>0</v>
      </c>
      <c r="G1525" s="3" t="s">
        <v>1932</v>
      </c>
      <c r="H1525" s="3" t="s">
        <v>20</v>
      </c>
      <c r="I1525" s="4" t="s">
        <v>110</v>
      </c>
      <c r="J1525" s="4" t="s">
        <v>21</v>
      </c>
      <c r="K1525" s="4"/>
      <c r="L1525" s="4" t="s">
        <v>1939</v>
      </c>
      <c r="M1525" s="4" t="s">
        <v>22</v>
      </c>
      <c r="N1525" s="4" t="s">
        <v>23</v>
      </c>
      <c r="O1525" s="4" t="s">
        <v>27</v>
      </c>
      <c r="P1525" s="4" t="s">
        <v>28</v>
      </c>
      <c r="Q1525" s="24">
        <v>46</v>
      </c>
      <c r="R1525" s="25">
        <v>4</v>
      </c>
      <c r="S1525" s="39">
        <v>1</v>
      </c>
      <c r="T1525" s="7"/>
      <c r="U1525" t="s">
        <v>2912</v>
      </c>
      <c r="V1525" s="7" t="str">
        <f>+IF(U1525="","",IF(U1525="FINES",CONCATENATE("R",IF(OR(B1525="16",B1525="21",B1525="22",B1525="23"),"16212223",IF(OR(B1525="15",B1525="17",B1525="24",B1525="25"),"15172425",B1525))),IF(U1525="CEBAS","UNICO",IF(VALUE(B1525)&lt;=11,"AMBA","INTERIOR"))))</f>
        <v>INTERIOR</v>
      </c>
      <c r="W1525" s="38" t="str">
        <f>+IF(U1525="","-",CONCATENATE(U1525,"_",V1525))</f>
        <v>EPA_INTERIOR</v>
      </c>
      <c r="X1525" s="42">
        <v>1E-3</v>
      </c>
    </row>
    <row r="1526" spans="1:24" ht="15" thickBot="1">
      <c r="A1526" s="5" t="s">
        <v>2916</v>
      </c>
      <c r="B1526" s="5" t="s">
        <v>225</v>
      </c>
      <c r="C1526" s="5" t="s">
        <v>942</v>
      </c>
      <c r="D1526" s="5" t="s">
        <v>943</v>
      </c>
      <c r="E1526" s="5">
        <v>605101</v>
      </c>
      <c r="F1526" s="5">
        <v>0</v>
      </c>
      <c r="G1526" s="5" t="s">
        <v>995</v>
      </c>
      <c r="H1526" s="5" t="s">
        <v>20</v>
      </c>
      <c r="I1526" s="6" t="s">
        <v>110</v>
      </c>
      <c r="J1526" s="6" t="s">
        <v>21</v>
      </c>
      <c r="K1526" s="6"/>
      <c r="L1526" s="6" t="s">
        <v>1014</v>
      </c>
      <c r="M1526" s="6" t="s">
        <v>22</v>
      </c>
      <c r="N1526" s="6" t="s">
        <v>23</v>
      </c>
      <c r="O1526" s="6" t="s">
        <v>27</v>
      </c>
      <c r="P1526" s="6" t="s">
        <v>28</v>
      </c>
      <c r="Q1526" s="22">
        <v>160</v>
      </c>
      <c r="R1526" s="23">
        <v>10</v>
      </c>
      <c r="S1526" s="39">
        <v>1</v>
      </c>
      <c r="T1526" s="7"/>
      <c r="U1526" t="s">
        <v>2912</v>
      </c>
      <c r="V1526" s="7" t="str">
        <f>+IF(U1526="","",IF(U1526="FINES",CONCATENATE("R",IF(OR(B1526="16",B1526="21",B1526="22",B1526="23"),"16212223",IF(OR(B1526="15",B1526="17",B1526="24",B1526="25"),"15172425",B1526))),IF(U1526="CEBAS","UNICO",IF(VALUE(B1526)&lt;=11,"AMBA","INTERIOR"))))</f>
        <v>INTERIOR</v>
      </c>
      <c r="W1526" s="38" t="str">
        <f>+IF(U1526="","-",CONCATENATE(U1526,"_",V1526))</f>
        <v>EPA_INTERIOR</v>
      </c>
      <c r="X1526" s="42">
        <v>1.2999999999999999E-2</v>
      </c>
    </row>
    <row r="1527" spans="1:24" ht="15" thickBot="1">
      <c r="A1527" s="3" t="s">
        <v>2916</v>
      </c>
      <c r="B1527" s="3" t="s">
        <v>225</v>
      </c>
      <c r="C1527" s="3" t="s">
        <v>1521</v>
      </c>
      <c r="D1527" s="3" t="s">
        <v>1522</v>
      </c>
      <c r="E1527" s="3">
        <v>611760</v>
      </c>
      <c r="F1527" s="3">
        <v>0</v>
      </c>
      <c r="G1527" s="3" t="s">
        <v>1524</v>
      </c>
      <c r="H1527" s="3" t="s">
        <v>20</v>
      </c>
      <c r="I1527" s="4" t="s">
        <v>110</v>
      </c>
      <c r="J1527" s="4" t="s">
        <v>21</v>
      </c>
      <c r="K1527" s="4"/>
      <c r="L1527" s="4" t="s">
        <v>1527</v>
      </c>
      <c r="M1527" s="4" t="s">
        <v>22</v>
      </c>
      <c r="N1527" s="4" t="s">
        <v>23</v>
      </c>
      <c r="O1527" s="4" t="s">
        <v>27</v>
      </c>
      <c r="P1527" s="4" t="s">
        <v>28</v>
      </c>
      <c r="Q1527" s="24">
        <v>72</v>
      </c>
      <c r="R1527" s="25">
        <v>5</v>
      </c>
      <c r="S1527" s="39">
        <v>1</v>
      </c>
      <c r="T1527" s="7"/>
      <c r="U1527" t="s">
        <v>2912</v>
      </c>
      <c r="V1527" s="7" t="str">
        <f>+IF(U1527="","",IF(U1527="FINES",CONCATENATE("R",IF(OR(B1527="16",B1527="21",B1527="22",B1527="23"),"16212223",IF(OR(B1527="15",B1527="17",B1527="24",B1527="25"),"15172425",B1527))),IF(U1527="CEBAS","UNICO",IF(VALUE(B1527)&lt;=11,"AMBA","INTERIOR"))))</f>
        <v>INTERIOR</v>
      </c>
      <c r="W1527" s="38" t="str">
        <f>+IF(U1527="","-",CONCATENATE(U1527,"_",V1527))</f>
        <v>EPA_INTERIOR</v>
      </c>
      <c r="X1527" s="42">
        <v>1.7999999999999999E-2</v>
      </c>
    </row>
    <row r="1528" spans="1:24" ht="15" thickBot="1">
      <c r="A1528" s="3" t="s">
        <v>2916</v>
      </c>
      <c r="B1528" s="3" t="s">
        <v>135</v>
      </c>
      <c r="C1528" s="3" t="s">
        <v>1217</v>
      </c>
      <c r="D1528" s="3" t="s">
        <v>1218</v>
      </c>
      <c r="E1528" s="3">
        <v>604293</v>
      </c>
      <c r="F1528" s="3">
        <v>0</v>
      </c>
      <c r="G1528" s="3" t="s">
        <v>1220</v>
      </c>
      <c r="H1528" s="3" t="s">
        <v>20</v>
      </c>
      <c r="I1528" s="4" t="s">
        <v>110</v>
      </c>
      <c r="J1528" s="4" t="s">
        <v>21</v>
      </c>
      <c r="K1528" s="4"/>
      <c r="L1528" s="4" t="s">
        <v>1231</v>
      </c>
      <c r="M1528" s="4" t="s">
        <v>22</v>
      </c>
      <c r="N1528" s="4" t="s">
        <v>23</v>
      </c>
      <c r="O1528" s="4" t="s">
        <v>27</v>
      </c>
      <c r="P1528" s="4" t="s">
        <v>28</v>
      </c>
      <c r="Q1528" s="24">
        <v>111</v>
      </c>
      <c r="R1528" s="25">
        <v>9</v>
      </c>
      <c r="S1528" s="39">
        <v>1</v>
      </c>
      <c r="T1528" s="7"/>
      <c r="U1528" s="7" t="s">
        <v>2912</v>
      </c>
      <c r="V1528" s="7" t="str">
        <f>+IF(U1528="","",IF(U1528="FINES",CONCATENATE("R",IF(OR(B1528="16",B1528="21",B1528="22",B1528="23"),"16212223",IF(OR(B1528="15",B1528="17",B1528="24",B1528="25"),"15172425",B1528))),IF(U1528="CEBAS","UNICO",IF(VALUE(B1528)&lt;=11,"AMBA","INTERIOR"))))</f>
        <v>INTERIOR</v>
      </c>
      <c r="W1528" s="38" t="str">
        <f>+IF(U1528="","-",CONCATENATE(U1528,"_",V1528))</f>
        <v>EPA_INTERIOR</v>
      </c>
      <c r="X1528" s="42">
        <v>2.8000000000000001E-2</v>
      </c>
    </row>
    <row r="1529" spans="1:24" ht="15" thickBot="1">
      <c r="A1529" s="3" t="s">
        <v>2916</v>
      </c>
      <c r="B1529" s="3" t="s">
        <v>203</v>
      </c>
      <c r="C1529" s="3" t="s">
        <v>450</v>
      </c>
      <c r="D1529" s="3" t="s">
        <v>452</v>
      </c>
      <c r="E1529" s="3">
        <v>611895</v>
      </c>
      <c r="F1529" s="3">
        <v>0</v>
      </c>
      <c r="G1529" s="3" t="s">
        <v>457</v>
      </c>
      <c r="H1529" s="3" t="s">
        <v>20</v>
      </c>
      <c r="I1529" s="4" t="s">
        <v>110</v>
      </c>
      <c r="J1529" s="4" t="s">
        <v>21</v>
      </c>
      <c r="K1529" s="4"/>
      <c r="L1529" s="4" t="s">
        <v>492</v>
      </c>
      <c r="M1529" s="4" t="s">
        <v>22</v>
      </c>
      <c r="N1529" s="4" t="s">
        <v>23</v>
      </c>
      <c r="O1529" s="4" t="s">
        <v>27</v>
      </c>
      <c r="P1529" s="4" t="s">
        <v>28</v>
      </c>
      <c r="Q1529" s="24">
        <v>75</v>
      </c>
      <c r="R1529" s="25">
        <v>8</v>
      </c>
      <c r="S1529" s="39">
        <v>1</v>
      </c>
      <c r="T1529" s="7"/>
      <c r="U1529" s="7" t="s">
        <v>2912</v>
      </c>
      <c r="V1529" s="7" t="str">
        <f>+IF(U1529="","",IF(U1529="FINES",CONCATENATE("R",IF(OR(B1529="16",B1529="21",B1529="22",B1529="23"),"16212223",IF(OR(B1529="15",B1529="17",B1529="24",B1529="25"),"15172425",B1529))),IF(U1529="CEBAS","UNICO",IF(VALUE(B1529)&lt;=11,"AMBA","INTERIOR"))))</f>
        <v>INTERIOR</v>
      </c>
      <c r="W1529" s="38" t="str">
        <f>+IF(U1529="","-",CONCATENATE(U1529,"_",V1529))</f>
        <v>EPA_INTERIOR</v>
      </c>
      <c r="X1529" s="42">
        <v>3.1E-2</v>
      </c>
    </row>
    <row r="1530" spans="1:24" ht="15" thickBot="1">
      <c r="A1530" s="3" t="s">
        <v>2916</v>
      </c>
      <c r="B1530" s="3" t="s">
        <v>598</v>
      </c>
      <c r="C1530" s="3" t="s">
        <v>748</v>
      </c>
      <c r="D1530" s="3" t="s">
        <v>2452</v>
      </c>
      <c r="E1530" s="3">
        <v>612051</v>
      </c>
      <c r="F1530" s="3">
        <v>0</v>
      </c>
      <c r="G1530" s="3" t="s">
        <v>2454</v>
      </c>
      <c r="H1530" s="3" t="s">
        <v>20</v>
      </c>
      <c r="I1530" s="4" t="s">
        <v>110</v>
      </c>
      <c r="J1530" s="4" t="s">
        <v>21</v>
      </c>
      <c r="K1530" s="4"/>
      <c r="L1530" s="4" t="s">
        <v>111</v>
      </c>
      <c r="M1530" s="4" t="s">
        <v>22</v>
      </c>
      <c r="N1530" s="4" t="s">
        <v>23</v>
      </c>
      <c r="O1530" s="4" t="s">
        <v>27</v>
      </c>
      <c r="P1530" s="4" t="s">
        <v>28</v>
      </c>
      <c r="Q1530" s="24">
        <v>93</v>
      </c>
      <c r="R1530" s="25">
        <v>6</v>
      </c>
      <c r="S1530" s="39">
        <v>1</v>
      </c>
      <c r="T1530" s="7"/>
      <c r="U1530" s="7" t="s">
        <v>2912</v>
      </c>
      <c r="V1530" s="7" t="str">
        <f>+IF(U1530="","",IF(U1530="FINES",CONCATENATE("R",IF(OR(B1530="16",B1530="21",B1530="22",B1530="23"),"16212223",IF(OR(B1530="15",B1530="17",B1530="24",B1530="25"),"15172425",B1530))),IF(U1530="CEBAS","UNICO",IF(VALUE(B1530)&lt;=11,"AMBA","INTERIOR"))))</f>
        <v>INTERIOR</v>
      </c>
      <c r="W1530" s="38" t="str">
        <f>+IF(U1530="","-",CONCATENATE(U1530,"_",V1530))</f>
        <v>EPA_INTERIOR</v>
      </c>
      <c r="X1530" s="42">
        <v>3.3000000000000002E-2</v>
      </c>
    </row>
    <row r="1531" spans="1:24" ht="15" thickBot="1">
      <c r="A1531" s="3" t="s">
        <v>2916</v>
      </c>
      <c r="B1531" s="3" t="s">
        <v>140</v>
      </c>
      <c r="C1531" s="3" t="s">
        <v>2277</v>
      </c>
      <c r="D1531" s="3" t="s">
        <v>2278</v>
      </c>
      <c r="E1531" s="3">
        <v>606938</v>
      </c>
      <c r="F1531" s="3">
        <v>0</v>
      </c>
      <c r="G1531" s="3" t="s">
        <v>2304</v>
      </c>
      <c r="H1531" s="3" t="s">
        <v>20</v>
      </c>
      <c r="I1531" s="4" t="s">
        <v>110</v>
      </c>
      <c r="J1531" s="4" t="s">
        <v>21</v>
      </c>
      <c r="K1531" s="4"/>
      <c r="L1531" s="4" t="s">
        <v>2305</v>
      </c>
      <c r="M1531" s="4" t="s">
        <v>22</v>
      </c>
      <c r="N1531" s="4" t="s">
        <v>23</v>
      </c>
      <c r="O1531" s="4" t="s">
        <v>27</v>
      </c>
      <c r="P1531" s="4" t="s">
        <v>28</v>
      </c>
      <c r="Q1531" s="24">
        <v>147</v>
      </c>
      <c r="R1531" s="25">
        <v>7</v>
      </c>
      <c r="S1531" s="39">
        <v>1</v>
      </c>
      <c r="T1531" s="7"/>
      <c r="U1531" s="7" t="s">
        <v>2912</v>
      </c>
      <c r="V1531" s="7" t="str">
        <f>+IF(U1531="","",IF(U1531="FINES",CONCATENATE("R",IF(OR(B1531="16",B1531="21",B1531="22",B1531="23"),"16212223",IF(OR(B1531="15",B1531="17",B1531="24",B1531="25"),"15172425",B1531))),IF(U1531="CEBAS","UNICO",IF(VALUE(B1531)&lt;=11,"AMBA","INTERIOR"))))</f>
        <v>INTERIOR</v>
      </c>
      <c r="W1531" s="38" t="str">
        <f>+IF(U1531="","-",CONCATENATE(U1531,"_",V1531))</f>
        <v>EPA_INTERIOR</v>
      </c>
      <c r="X1531" s="42">
        <v>3.3000000000000002E-2</v>
      </c>
    </row>
    <row r="1532" spans="1:24" ht="15" thickBot="1">
      <c r="A1532" s="3" t="s">
        <v>2916</v>
      </c>
      <c r="B1532" s="3" t="s">
        <v>221</v>
      </c>
      <c r="C1532" s="3" t="s">
        <v>558</v>
      </c>
      <c r="D1532" s="3" t="s">
        <v>1960</v>
      </c>
      <c r="E1532" s="3">
        <v>603629</v>
      </c>
      <c r="F1532" s="3">
        <v>0</v>
      </c>
      <c r="G1532" s="3" t="s">
        <v>1977</v>
      </c>
      <c r="H1532" s="3" t="s">
        <v>20</v>
      </c>
      <c r="I1532" s="4" t="s">
        <v>110</v>
      </c>
      <c r="J1532" s="4" t="s">
        <v>21</v>
      </c>
      <c r="K1532" s="4"/>
      <c r="L1532" s="4" t="s">
        <v>1978</v>
      </c>
      <c r="M1532" s="4" t="s">
        <v>22</v>
      </c>
      <c r="N1532" s="4" t="s">
        <v>23</v>
      </c>
      <c r="O1532" s="4" t="s">
        <v>27</v>
      </c>
      <c r="P1532" s="4" t="s">
        <v>28</v>
      </c>
      <c r="Q1532" s="24">
        <v>339</v>
      </c>
      <c r="R1532" s="25">
        <v>8</v>
      </c>
      <c r="S1532" s="39">
        <v>1</v>
      </c>
      <c r="T1532" s="7"/>
      <c r="U1532" t="s">
        <v>2912</v>
      </c>
      <c r="V1532" s="7" t="str">
        <f>+IF(U1532="","",IF(U1532="FINES",CONCATENATE("R",IF(OR(B1532="16",B1532="21",B1532="22",B1532="23"),"16212223",IF(OR(B1532="15",B1532="17",B1532="24",B1532="25"),"15172425",B1532))),IF(U1532="CEBAS","UNICO",IF(VALUE(B1532)&lt;=11,"AMBA","INTERIOR"))))</f>
        <v>INTERIOR</v>
      </c>
      <c r="W1532" s="38" t="str">
        <f>+IF(U1532="","-",CONCATENATE(U1532,"_",V1532))</f>
        <v>EPA_INTERIOR</v>
      </c>
      <c r="X1532" s="42">
        <v>3.7999999999999999E-2</v>
      </c>
    </row>
    <row r="1533" spans="1:24" ht="15" thickBot="1">
      <c r="A1533" s="5" t="s">
        <v>2916</v>
      </c>
      <c r="B1533" s="5" t="s">
        <v>352</v>
      </c>
      <c r="C1533" s="5" t="s">
        <v>1338</v>
      </c>
      <c r="D1533" s="5" t="s">
        <v>1339</v>
      </c>
      <c r="E1533" s="5">
        <v>601739</v>
      </c>
      <c r="F1533" s="5">
        <v>0</v>
      </c>
      <c r="G1533" s="5" t="s">
        <v>1345</v>
      </c>
      <c r="H1533" s="5" t="s">
        <v>20</v>
      </c>
      <c r="I1533" s="6" t="s">
        <v>110</v>
      </c>
      <c r="J1533" s="6" t="s">
        <v>21</v>
      </c>
      <c r="K1533" s="6"/>
      <c r="L1533" s="6" t="s">
        <v>1346</v>
      </c>
      <c r="M1533" s="6" t="s">
        <v>22</v>
      </c>
      <c r="N1533" s="6" t="s">
        <v>23</v>
      </c>
      <c r="O1533" s="6" t="s">
        <v>27</v>
      </c>
      <c r="P1533" s="6" t="s">
        <v>28</v>
      </c>
      <c r="Q1533" s="22">
        <v>41</v>
      </c>
      <c r="R1533" s="23">
        <v>3</v>
      </c>
      <c r="S1533" s="39">
        <v>1</v>
      </c>
      <c r="T1533" s="7"/>
      <c r="U1533" t="s">
        <v>2912</v>
      </c>
      <c r="V1533" s="7" t="str">
        <f>+IF(U1533="","",IF(U1533="FINES",CONCATENATE("R",IF(OR(B1533="16",B1533="21",B1533="22",B1533="23"),"16212223",IF(OR(B1533="15",B1533="17",B1533="24",B1533="25"),"15172425",B1533))),IF(U1533="CEBAS","UNICO",IF(VALUE(B1533)&lt;=11,"AMBA","INTERIOR"))))</f>
        <v>INTERIOR</v>
      </c>
      <c r="W1533" s="38" t="str">
        <f>+IF(U1533="","-",CONCATENATE(U1533,"_",V1533))</f>
        <v>EPA_INTERIOR</v>
      </c>
      <c r="X1533" s="42">
        <v>4.8000000000000001E-2</v>
      </c>
    </row>
    <row r="1534" spans="1:24" ht="15" thickBot="1">
      <c r="A1534" s="3" t="s">
        <v>2916</v>
      </c>
      <c r="B1534" s="3" t="s">
        <v>225</v>
      </c>
      <c r="C1534" s="3" t="s">
        <v>876</v>
      </c>
      <c r="D1534" s="3" t="s">
        <v>877</v>
      </c>
      <c r="E1534" s="3">
        <v>609292</v>
      </c>
      <c r="F1534" s="3">
        <v>0</v>
      </c>
      <c r="G1534" s="3" t="s">
        <v>880</v>
      </c>
      <c r="H1534" s="3" t="s">
        <v>20</v>
      </c>
      <c r="I1534" s="4" t="s">
        <v>110</v>
      </c>
      <c r="J1534" s="4" t="s">
        <v>21</v>
      </c>
      <c r="K1534" s="4"/>
      <c r="L1534" s="4" t="s">
        <v>111</v>
      </c>
      <c r="M1534" s="4" t="s">
        <v>22</v>
      </c>
      <c r="N1534" s="4" t="s">
        <v>23</v>
      </c>
      <c r="O1534" s="4" t="s">
        <v>27</v>
      </c>
      <c r="P1534" s="4" t="s">
        <v>28</v>
      </c>
      <c r="Q1534" s="24">
        <v>142</v>
      </c>
      <c r="R1534" s="25">
        <v>8</v>
      </c>
      <c r="S1534" s="39">
        <v>1</v>
      </c>
      <c r="T1534" s="7"/>
      <c r="U1534" t="s">
        <v>2912</v>
      </c>
      <c r="V1534" s="7" t="str">
        <f>+IF(U1534="","",IF(U1534="FINES",CONCATENATE("R",IF(OR(B1534="16",B1534="21",B1534="22",B1534="23"),"16212223",IF(OR(B1534="15",B1534="17",B1534="24",B1534="25"),"15172425",B1534))),IF(U1534="CEBAS","UNICO",IF(VALUE(B1534)&lt;=11,"AMBA","INTERIOR"))))</f>
        <v>INTERIOR</v>
      </c>
      <c r="W1534" s="38" t="str">
        <f>+IF(U1534="","-",CONCATENATE(U1534,"_",V1534))</f>
        <v>EPA_INTERIOR</v>
      </c>
      <c r="X1534" s="42">
        <v>6.8000000000000005E-2</v>
      </c>
    </row>
    <row r="1535" spans="1:24" ht="15" thickBot="1">
      <c r="A1535" s="5" t="s">
        <v>2916</v>
      </c>
      <c r="B1535" s="5" t="s">
        <v>217</v>
      </c>
      <c r="C1535" s="5" t="s">
        <v>674</v>
      </c>
      <c r="D1535" s="5" t="s">
        <v>675</v>
      </c>
      <c r="E1535" s="5">
        <v>606895</v>
      </c>
      <c r="F1535" s="5">
        <v>0</v>
      </c>
      <c r="G1535" s="5" t="s">
        <v>677</v>
      </c>
      <c r="H1535" s="5" t="s">
        <v>20</v>
      </c>
      <c r="I1535" s="6" t="s">
        <v>110</v>
      </c>
      <c r="J1535" s="6" t="s">
        <v>21</v>
      </c>
      <c r="K1535" s="6"/>
      <c r="L1535" s="6" t="s">
        <v>681</v>
      </c>
      <c r="M1535" s="6" t="s">
        <v>22</v>
      </c>
      <c r="N1535" s="6" t="s">
        <v>23</v>
      </c>
      <c r="O1535" s="6" t="s">
        <v>27</v>
      </c>
      <c r="P1535" s="6" t="s">
        <v>28</v>
      </c>
      <c r="Q1535" s="22">
        <v>16</v>
      </c>
      <c r="R1535" s="23">
        <v>2</v>
      </c>
      <c r="S1535" s="39">
        <v>1</v>
      </c>
      <c r="T1535" s="7"/>
      <c r="U1535" t="s">
        <v>2912</v>
      </c>
      <c r="V1535" s="7" t="str">
        <f>+IF(U1535="","",IF(U1535="FINES",CONCATENATE("R",IF(OR(B1535="16",B1535="21",B1535="22",B1535="23"),"16212223",IF(OR(B1535="15",B1535="17",B1535="24",B1535="25"),"15172425",B1535))),IF(U1535="CEBAS","UNICO",IF(VALUE(B1535)&lt;=11,"AMBA","INTERIOR"))))</f>
        <v>INTERIOR</v>
      </c>
      <c r="W1535" s="38" t="str">
        <f>+IF(U1535="","-",CONCATENATE(U1535,"_",V1535))</f>
        <v>EPA_INTERIOR</v>
      </c>
      <c r="X1535" s="42">
        <v>8.5999999999999993E-2</v>
      </c>
    </row>
    <row r="1536" spans="1:24" ht="15" thickBot="1">
      <c r="A1536" s="5" t="s">
        <v>2916</v>
      </c>
      <c r="B1536" s="5" t="s">
        <v>205</v>
      </c>
      <c r="C1536" s="5" t="s">
        <v>243</v>
      </c>
      <c r="D1536" s="5" t="s">
        <v>245</v>
      </c>
      <c r="E1536" s="5">
        <v>624585</v>
      </c>
      <c r="F1536" s="5">
        <v>0</v>
      </c>
      <c r="G1536" s="5" t="s">
        <v>248</v>
      </c>
      <c r="H1536" s="5" t="s">
        <v>20</v>
      </c>
      <c r="I1536" s="6" t="s">
        <v>110</v>
      </c>
      <c r="J1536" s="6" t="s">
        <v>21</v>
      </c>
      <c r="K1536" s="6"/>
      <c r="L1536" s="6" t="s">
        <v>249</v>
      </c>
      <c r="M1536" s="6" t="s">
        <v>22</v>
      </c>
      <c r="N1536" s="6" t="s">
        <v>23</v>
      </c>
      <c r="O1536" s="6" t="s">
        <v>27</v>
      </c>
      <c r="P1536" s="6" t="s">
        <v>28</v>
      </c>
      <c r="Q1536" s="22">
        <v>13</v>
      </c>
      <c r="R1536" s="23">
        <v>1</v>
      </c>
      <c r="S1536" s="39">
        <v>1</v>
      </c>
      <c r="T1536" s="7"/>
      <c r="U1536" s="7" t="s">
        <v>2912</v>
      </c>
      <c r="V1536" s="7" t="str">
        <f>+IF(U1536="","",IF(U1536="FINES",CONCATENATE("R",IF(OR(B1536="16",B1536="21",B1536="22",B1536="23"),"16212223",IF(OR(B1536="15",B1536="17",B1536="24",B1536="25"),"15172425",B1536))),IF(U1536="CEBAS","UNICO",IF(VALUE(B1536)&lt;=11,"AMBA","INTERIOR"))))</f>
        <v>INTERIOR</v>
      </c>
      <c r="W1536" s="38" t="str">
        <f>+IF(U1536="","-",CONCATENATE(U1536,"_",V1536))</f>
        <v>EPA_INTERIOR</v>
      </c>
      <c r="X1536" s="42">
        <v>9.1999999999999998E-2</v>
      </c>
    </row>
    <row r="1537" spans="1:24" ht="15" thickBot="1">
      <c r="A1537" s="5" t="s">
        <v>2916</v>
      </c>
      <c r="B1537" s="5" t="s">
        <v>221</v>
      </c>
      <c r="C1537" s="5" t="s">
        <v>558</v>
      </c>
      <c r="D1537" s="5" t="s">
        <v>1960</v>
      </c>
      <c r="E1537" s="5">
        <v>613647</v>
      </c>
      <c r="F1537" s="5">
        <v>0</v>
      </c>
      <c r="G1537" s="5" t="s">
        <v>1968</v>
      </c>
      <c r="H1537" s="5" t="s">
        <v>20</v>
      </c>
      <c r="I1537" s="6" t="s">
        <v>110</v>
      </c>
      <c r="J1537" s="6" t="s">
        <v>21</v>
      </c>
      <c r="K1537" s="6"/>
      <c r="L1537" s="6" t="s">
        <v>1979</v>
      </c>
      <c r="M1537" s="6" t="s">
        <v>22</v>
      </c>
      <c r="N1537" s="6" t="s">
        <v>23</v>
      </c>
      <c r="O1537" s="6" t="s">
        <v>27</v>
      </c>
      <c r="P1537" s="6" t="s">
        <v>28</v>
      </c>
      <c r="Q1537" s="22">
        <v>134</v>
      </c>
      <c r="R1537" s="23">
        <v>6</v>
      </c>
      <c r="S1537" s="39">
        <v>1</v>
      </c>
      <c r="T1537" s="7"/>
      <c r="U1537" s="7" t="s">
        <v>2912</v>
      </c>
      <c r="V1537" s="7" t="str">
        <f>+IF(U1537="","",IF(U1537="FINES",CONCATENATE("R",IF(OR(B1537="16",B1537="21",B1537="22",B1537="23"),"16212223",IF(OR(B1537="15",B1537="17",B1537="24",B1537="25"),"15172425",B1537))),IF(U1537="CEBAS","UNICO",IF(VALUE(B1537)&lt;=11,"AMBA","INTERIOR"))))</f>
        <v>INTERIOR</v>
      </c>
      <c r="W1537" s="38" t="str">
        <f>+IF(U1537="","-",CONCATENATE(U1537,"_",V1537))</f>
        <v>EPA_INTERIOR</v>
      </c>
      <c r="X1537" s="42">
        <v>9.2999999999999999E-2</v>
      </c>
    </row>
    <row r="1538" spans="1:24" ht="15" thickBot="1">
      <c r="A1538" s="3" t="s">
        <v>2916</v>
      </c>
      <c r="B1538" s="3" t="s">
        <v>225</v>
      </c>
      <c r="C1538" s="3" t="s">
        <v>942</v>
      </c>
      <c r="D1538" s="3" t="s">
        <v>943</v>
      </c>
      <c r="E1538" s="3">
        <v>603165</v>
      </c>
      <c r="F1538" s="3">
        <v>0</v>
      </c>
      <c r="G1538" s="3" t="s">
        <v>971</v>
      </c>
      <c r="H1538" s="3" t="s">
        <v>20</v>
      </c>
      <c r="I1538" s="4" t="s">
        <v>110</v>
      </c>
      <c r="J1538" s="4" t="s">
        <v>21</v>
      </c>
      <c r="K1538" s="4"/>
      <c r="L1538" s="4" t="s">
        <v>1013</v>
      </c>
      <c r="M1538" s="4" t="s">
        <v>22</v>
      </c>
      <c r="N1538" s="4" t="s">
        <v>23</v>
      </c>
      <c r="O1538" s="4" t="s">
        <v>27</v>
      </c>
      <c r="P1538" s="4" t="s">
        <v>28</v>
      </c>
      <c r="Q1538" s="24">
        <v>61</v>
      </c>
      <c r="R1538" s="25">
        <v>8</v>
      </c>
      <c r="S1538" s="39">
        <v>1</v>
      </c>
      <c r="T1538" s="7"/>
      <c r="U1538" s="7" t="s">
        <v>2912</v>
      </c>
      <c r="V1538" s="7" t="str">
        <f>+IF(U1538="","",IF(U1538="FINES",CONCATENATE("R",IF(OR(B1538="16",B1538="21",B1538="22",B1538="23"),"16212223",IF(OR(B1538="15",B1538="17",B1538="24",B1538="25"),"15172425",B1538))),IF(U1538="CEBAS","UNICO",IF(VALUE(B1538)&lt;=11,"AMBA","INTERIOR"))))</f>
        <v>INTERIOR</v>
      </c>
      <c r="W1538" s="38" t="str">
        <f>+IF(U1538="","-",CONCATENATE(U1538,"_",V1538))</f>
        <v>EPA_INTERIOR</v>
      </c>
      <c r="X1538" s="42">
        <v>9.4E-2</v>
      </c>
    </row>
    <row r="1539" spans="1:24" ht="15" thickBot="1">
      <c r="A1539" s="3" t="s">
        <v>2916</v>
      </c>
      <c r="B1539" s="3" t="s">
        <v>221</v>
      </c>
      <c r="C1539" s="3" t="s">
        <v>558</v>
      </c>
      <c r="D1539" s="3" t="s">
        <v>1960</v>
      </c>
      <c r="E1539" s="3">
        <v>609993</v>
      </c>
      <c r="F1539" s="3">
        <v>0</v>
      </c>
      <c r="G1539" s="3" t="s">
        <v>1974</v>
      </c>
      <c r="H1539" s="3" t="s">
        <v>20</v>
      </c>
      <c r="I1539" s="4" t="s">
        <v>110</v>
      </c>
      <c r="J1539" s="4" t="s">
        <v>21</v>
      </c>
      <c r="K1539" s="4"/>
      <c r="L1539" s="4" t="s">
        <v>1975</v>
      </c>
      <c r="M1539" s="4" t="s">
        <v>22</v>
      </c>
      <c r="N1539" s="4" t="s">
        <v>23</v>
      </c>
      <c r="O1539" s="4" t="s">
        <v>27</v>
      </c>
      <c r="P1539" s="4" t="s">
        <v>28</v>
      </c>
      <c r="Q1539" s="24">
        <v>540</v>
      </c>
      <c r="R1539" s="25">
        <v>34</v>
      </c>
      <c r="S1539" s="39">
        <v>1</v>
      </c>
      <c r="T1539" s="7"/>
      <c r="U1539" s="7" t="s">
        <v>2912</v>
      </c>
      <c r="V1539" s="7" t="str">
        <f>+IF(U1539="","",IF(U1539="FINES",CONCATENATE("R",IF(OR(B1539="16",B1539="21",B1539="22",B1539="23"),"16212223",IF(OR(B1539="15",B1539="17",B1539="24",B1539="25"),"15172425",B1539))),IF(U1539="CEBAS","UNICO",IF(VALUE(B1539)&lt;=11,"AMBA","INTERIOR"))))</f>
        <v>INTERIOR</v>
      </c>
      <c r="W1539" s="38" t="str">
        <f>+IF(U1539="","-",CONCATENATE(U1539,"_",V1539))</f>
        <v>EPA_INTERIOR</v>
      </c>
      <c r="X1539" s="42">
        <v>9.7000000000000003E-2</v>
      </c>
    </row>
    <row r="1540" spans="1:24" ht="15" thickBot="1">
      <c r="A1540" s="3" t="s">
        <v>2916</v>
      </c>
      <c r="B1540" s="3" t="s">
        <v>203</v>
      </c>
      <c r="C1540" s="3" t="s">
        <v>450</v>
      </c>
      <c r="D1540" s="3" t="s">
        <v>452</v>
      </c>
      <c r="E1540" s="3">
        <v>611894</v>
      </c>
      <c r="F1540" s="3">
        <v>0</v>
      </c>
      <c r="G1540" s="3" t="s">
        <v>470</v>
      </c>
      <c r="H1540" s="3" t="s">
        <v>20</v>
      </c>
      <c r="I1540" s="4" t="s">
        <v>110</v>
      </c>
      <c r="J1540" s="4" t="s">
        <v>21</v>
      </c>
      <c r="K1540" s="4"/>
      <c r="L1540" s="4" t="s">
        <v>490</v>
      </c>
      <c r="M1540" s="4" t="s">
        <v>22</v>
      </c>
      <c r="N1540" s="4" t="s">
        <v>23</v>
      </c>
      <c r="O1540" s="4" t="s">
        <v>27</v>
      </c>
      <c r="P1540" s="4" t="s">
        <v>28</v>
      </c>
      <c r="Q1540" s="24">
        <v>104</v>
      </c>
      <c r="R1540" s="25">
        <v>7</v>
      </c>
      <c r="S1540" s="39">
        <v>1</v>
      </c>
      <c r="T1540" s="7"/>
      <c r="U1540" s="7" t="s">
        <v>2912</v>
      </c>
      <c r="V1540" s="7" t="str">
        <f>+IF(U1540="","",IF(U1540="FINES",CONCATENATE("R",IF(OR(B1540="16",B1540="21",B1540="22",B1540="23"),"16212223",IF(OR(B1540="15",B1540="17",B1540="24",B1540="25"),"15172425",B1540))),IF(U1540="CEBAS","UNICO",IF(VALUE(B1540)&lt;=11,"AMBA","INTERIOR"))))</f>
        <v>INTERIOR</v>
      </c>
      <c r="W1540" s="38" t="str">
        <f>+IF(U1540="","-",CONCATENATE(U1540,"_",V1540))</f>
        <v>EPA_INTERIOR</v>
      </c>
      <c r="X1540" s="42">
        <v>0.10199999999999999</v>
      </c>
    </row>
    <row r="1541" spans="1:24" ht="15" thickBot="1">
      <c r="A1541" s="3" t="s">
        <v>2916</v>
      </c>
      <c r="B1541" s="3" t="s">
        <v>410</v>
      </c>
      <c r="C1541" s="3" t="s">
        <v>1247</v>
      </c>
      <c r="D1541" s="3" t="s">
        <v>2733</v>
      </c>
      <c r="E1541" s="3">
        <v>605507</v>
      </c>
      <c r="F1541" s="3">
        <v>0</v>
      </c>
      <c r="G1541" s="3" t="s">
        <v>2735</v>
      </c>
      <c r="H1541" s="3" t="s">
        <v>20</v>
      </c>
      <c r="I1541" s="4" t="s">
        <v>110</v>
      </c>
      <c r="J1541" s="4" t="s">
        <v>21</v>
      </c>
      <c r="K1541" s="4"/>
      <c r="L1541" s="4" t="s">
        <v>111</v>
      </c>
      <c r="M1541" s="4" t="s">
        <v>22</v>
      </c>
      <c r="N1541" s="4" t="s">
        <v>23</v>
      </c>
      <c r="O1541" s="4" t="s">
        <v>27</v>
      </c>
      <c r="P1541" s="4" t="s">
        <v>28</v>
      </c>
      <c r="Q1541" s="24">
        <v>34</v>
      </c>
      <c r="R1541" s="25">
        <v>3</v>
      </c>
      <c r="S1541" s="39">
        <v>1</v>
      </c>
      <c r="T1541" s="7"/>
      <c r="U1541" s="7" t="s">
        <v>2912</v>
      </c>
      <c r="V1541" s="7" t="str">
        <f>+IF(U1541="","",IF(U1541="FINES",CONCATENATE("R",IF(OR(B1541="16",B1541="21",B1541="22",B1541="23"),"16212223",IF(OR(B1541="15",B1541="17",B1541="24",B1541="25"),"15172425",B1541))),IF(U1541="CEBAS","UNICO",IF(VALUE(B1541)&lt;=11,"AMBA","INTERIOR"))))</f>
        <v>INTERIOR</v>
      </c>
      <c r="W1541" s="38" t="str">
        <f>+IF(U1541="","-",CONCATENATE(U1541,"_",V1541))</f>
        <v>EPA_INTERIOR</v>
      </c>
      <c r="X1541" s="42">
        <v>0.11600000000000001</v>
      </c>
    </row>
    <row r="1542" spans="1:24" ht="15" thickBot="1">
      <c r="A1542" s="5" t="s">
        <v>2916</v>
      </c>
      <c r="B1542" s="5" t="s">
        <v>221</v>
      </c>
      <c r="C1542" s="5" t="s">
        <v>558</v>
      </c>
      <c r="D1542" s="5" t="s">
        <v>1960</v>
      </c>
      <c r="E1542" s="5">
        <v>603437</v>
      </c>
      <c r="F1542" s="5">
        <v>0</v>
      </c>
      <c r="G1542" s="5" t="s">
        <v>1962</v>
      </c>
      <c r="H1542" s="5" t="s">
        <v>20</v>
      </c>
      <c r="I1542" s="6" t="s">
        <v>110</v>
      </c>
      <c r="J1542" s="6" t="s">
        <v>21</v>
      </c>
      <c r="K1542" s="6"/>
      <c r="L1542" s="6" t="s">
        <v>1976</v>
      </c>
      <c r="M1542" s="6" t="s">
        <v>22</v>
      </c>
      <c r="N1542" s="6" t="s">
        <v>23</v>
      </c>
      <c r="O1542" s="6" t="s">
        <v>27</v>
      </c>
      <c r="P1542" s="6" t="s">
        <v>28</v>
      </c>
      <c r="Q1542" s="22">
        <v>270</v>
      </c>
      <c r="R1542" s="23">
        <v>8</v>
      </c>
      <c r="S1542" s="39">
        <v>1</v>
      </c>
      <c r="T1542" s="7"/>
      <c r="U1542" s="7" t="s">
        <v>2912</v>
      </c>
      <c r="V1542" s="7" t="str">
        <f>+IF(U1542="","",IF(U1542="FINES",CONCATENATE("R",IF(OR(B1542="16",B1542="21",B1542="22",B1542="23"),"16212223",IF(OR(B1542="15",B1542="17",B1542="24",B1542="25"),"15172425",B1542))),IF(U1542="CEBAS","UNICO",IF(VALUE(B1542)&lt;=11,"AMBA","INTERIOR"))))</f>
        <v>INTERIOR</v>
      </c>
      <c r="W1542" s="38" t="str">
        <f>+IF(U1542="","-",CONCATENATE(U1542,"_",V1542))</f>
        <v>EPA_INTERIOR</v>
      </c>
      <c r="X1542" s="42">
        <v>0.122</v>
      </c>
    </row>
    <row r="1543" spans="1:24" ht="15" thickBot="1">
      <c r="A1543" s="5" t="s">
        <v>2916</v>
      </c>
      <c r="B1543" s="5" t="s">
        <v>516</v>
      </c>
      <c r="C1543" s="5" t="s">
        <v>2195</v>
      </c>
      <c r="D1543" s="5" t="s">
        <v>2196</v>
      </c>
      <c r="E1543" s="5">
        <v>603406</v>
      </c>
      <c r="F1543" s="5">
        <v>0</v>
      </c>
      <c r="G1543" s="5" t="s">
        <v>2197</v>
      </c>
      <c r="H1543" s="5" t="s">
        <v>20</v>
      </c>
      <c r="I1543" s="6" t="s">
        <v>110</v>
      </c>
      <c r="J1543" s="6" t="s">
        <v>21</v>
      </c>
      <c r="K1543" s="6"/>
      <c r="L1543" s="6" t="s">
        <v>249</v>
      </c>
      <c r="M1543" s="6" t="s">
        <v>22</v>
      </c>
      <c r="N1543" s="6" t="s">
        <v>23</v>
      </c>
      <c r="O1543" s="6" t="s">
        <v>27</v>
      </c>
      <c r="P1543" s="6" t="s">
        <v>28</v>
      </c>
      <c r="Q1543" s="22">
        <v>77</v>
      </c>
      <c r="R1543" s="23">
        <v>7</v>
      </c>
      <c r="S1543" s="39">
        <v>1</v>
      </c>
      <c r="T1543" s="7"/>
      <c r="U1543" s="7" t="s">
        <v>2912</v>
      </c>
      <c r="V1543" s="7" t="str">
        <f>+IF(U1543="","",IF(U1543="FINES",CONCATENATE("R",IF(OR(B1543="16",B1543="21",B1543="22",B1543="23"),"16212223",IF(OR(B1543="15",B1543="17",B1543="24",B1543="25"),"15172425",B1543))),IF(U1543="CEBAS","UNICO",IF(VALUE(B1543)&lt;=11,"AMBA","INTERIOR"))))</f>
        <v>INTERIOR</v>
      </c>
      <c r="W1543" s="38" t="str">
        <f>+IF(U1543="","-",CONCATENATE(U1543,"_",V1543))</f>
        <v>EPA_INTERIOR</v>
      </c>
      <c r="X1543" s="42">
        <v>0.127</v>
      </c>
    </row>
    <row r="1544" spans="1:24" ht="15" thickBot="1">
      <c r="A1544" s="5" t="s">
        <v>2916</v>
      </c>
      <c r="B1544" s="5" t="s">
        <v>140</v>
      </c>
      <c r="C1544" s="5" t="s">
        <v>2277</v>
      </c>
      <c r="D1544" s="5" t="s">
        <v>2278</v>
      </c>
      <c r="E1544" s="5">
        <v>600821</v>
      </c>
      <c r="F1544" s="5">
        <v>0</v>
      </c>
      <c r="G1544" s="5" t="s">
        <v>2290</v>
      </c>
      <c r="H1544" s="5" t="s">
        <v>20</v>
      </c>
      <c r="I1544" s="6" t="s">
        <v>110</v>
      </c>
      <c r="J1544" s="6" t="s">
        <v>21</v>
      </c>
      <c r="K1544" s="6"/>
      <c r="L1544" s="6" t="s">
        <v>2306</v>
      </c>
      <c r="M1544" s="6" t="s">
        <v>22</v>
      </c>
      <c r="N1544" s="6" t="s">
        <v>23</v>
      </c>
      <c r="O1544" s="6" t="s">
        <v>27</v>
      </c>
      <c r="P1544" s="6" t="s">
        <v>28</v>
      </c>
      <c r="Q1544" s="22">
        <v>46</v>
      </c>
      <c r="R1544" s="23">
        <v>3</v>
      </c>
      <c r="S1544" s="39">
        <v>1</v>
      </c>
      <c r="T1544" s="7"/>
      <c r="U1544" s="7" t="s">
        <v>2912</v>
      </c>
      <c r="V1544" s="7" t="str">
        <f>+IF(U1544="","",IF(U1544="FINES",CONCATENATE("R",IF(OR(B1544="16",B1544="21",B1544="22",B1544="23"),"16212223",IF(OR(B1544="15",B1544="17",B1544="24",B1544="25"),"15172425",B1544))),IF(U1544="CEBAS","UNICO",IF(VALUE(B1544)&lt;=11,"AMBA","INTERIOR"))))</f>
        <v>INTERIOR</v>
      </c>
      <c r="W1544" s="38" t="str">
        <f>+IF(U1544="","-",CONCATENATE(U1544,"_",V1544))</f>
        <v>EPA_INTERIOR</v>
      </c>
      <c r="X1544" s="42">
        <v>0.14000000000000001</v>
      </c>
    </row>
    <row r="1545" spans="1:24" ht="15" thickBot="1">
      <c r="A1545" s="5" t="s">
        <v>2916</v>
      </c>
      <c r="B1545" s="5" t="s">
        <v>135</v>
      </c>
      <c r="C1545" s="5" t="s">
        <v>424</v>
      </c>
      <c r="D1545" s="5" t="s">
        <v>937</v>
      </c>
      <c r="E1545" s="5">
        <v>605865</v>
      </c>
      <c r="F1545" s="5">
        <v>0</v>
      </c>
      <c r="G1545" s="5" t="s">
        <v>939</v>
      </c>
      <c r="H1545" s="5" t="s">
        <v>20</v>
      </c>
      <c r="I1545" s="6" t="s">
        <v>110</v>
      </c>
      <c r="J1545" s="6" t="s">
        <v>21</v>
      </c>
      <c r="K1545" s="6"/>
      <c r="L1545" s="6" t="s">
        <v>940</v>
      </c>
      <c r="M1545" s="6" t="s">
        <v>22</v>
      </c>
      <c r="N1545" s="6" t="s">
        <v>23</v>
      </c>
      <c r="O1545" s="6" t="s">
        <v>27</v>
      </c>
      <c r="P1545" s="6" t="s">
        <v>28</v>
      </c>
      <c r="Q1545" s="22">
        <v>85</v>
      </c>
      <c r="R1545" s="23">
        <v>7</v>
      </c>
      <c r="S1545" s="39">
        <v>1</v>
      </c>
      <c r="T1545" s="7"/>
      <c r="U1545" s="7" t="s">
        <v>2912</v>
      </c>
      <c r="V1545" s="7" t="str">
        <f>+IF(U1545="","",IF(U1545="FINES",CONCATENATE("R",IF(OR(B1545="16",B1545="21",B1545="22",B1545="23"),"16212223",IF(OR(B1545="15",B1545="17",B1545="24",B1545="25"),"15172425",B1545))),IF(U1545="CEBAS","UNICO",IF(VALUE(B1545)&lt;=11,"AMBA","INTERIOR"))))</f>
        <v>INTERIOR</v>
      </c>
      <c r="W1545" s="38" t="str">
        <f>+IF(U1545="","-",CONCATENATE(U1545,"_",V1545))</f>
        <v>EPA_INTERIOR</v>
      </c>
      <c r="X1545" s="42">
        <v>0.16200000000000001</v>
      </c>
    </row>
    <row r="1546" spans="1:24" ht="15" thickBot="1">
      <c r="A1546" s="5" t="s">
        <v>2916</v>
      </c>
      <c r="B1546" s="5" t="s">
        <v>220</v>
      </c>
      <c r="C1546" s="5" t="s">
        <v>2165</v>
      </c>
      <c r="D1546" s="5" t="s">
        <v>2166</v>
      </c>
      <c r="E1546" s="5">
        <v>606653</v>
      </c>
      <c r="F1546" s="5">
        <v>0</v>
      </c>
      <c r="G1546" s="5" t="s">
        <v>2168</v>
      </c>
      <c r="H1546" s="5" t="s">
        <v>20</v>
      </c>
      <c r="I1546" s="6" t="s">
        <v>110</v>
      </c>
      <c r="J1546" s="6" t="s">
        <v>21</v>
      </c>
      <c r="K1546" s="6"/>
      <c r="L1546" s="6" t="s">
        <v>2169</v>
      </c>
      <c r="M1546" s="6" t="s">
        <v>22</v>
      </c>
      <c r="N1546" s="6" t="s">
        <v>23</v>
      </c>
      <c r="O1546" s="6" t="s">
        <v>27</v>
      </c>
      <c r="P1546" s="6" t="s">
        <v>28</v>
      </c>
      <c r="Q1546" s="22">
        <v>86</v>
      </c>
      <c r="R1546" s="23">
        <v>7</v>
      </c>
      <c r="S1546" s="39">
        <v>1</v>
      </c>
      <c r="T1546" s="7"/>
      <c r="U1546" s="7" t="s">
        <v>2912</v>
      </c>
      <c r="V1546" s="7" t="str">
        <f>+IF(U1546="","",IF(U1546="FINES",CONCATENATE("R",IF(OR(B1546="16",B1546="21",B1546="22",B1546="23"),"16212223",IF(OR(B1546="15",B1546="17",B1546="24",B1546="25"),"15172425",B1546))),IF(U1546="CEBAS","UNICO",IF(VALUE(B1546)&lt;=11,"AMBA","INTERIOR"))))</f>
        <v>INTERIOR</v>
      </c>
      <c r="W1546" s="38" t="str">
        <f>+IF(U1546="","-",CONCATENATE(U1546,"_",V1546))</f>
        <v>EPA_INTERIOR</v>
      </c>
      <c r="X1546" s="42">
        <v>0.16600000000000001</v>
      </c>
    </row>
    <row r="1547" spans="1:24" ht="15" thickBot="1">
      <c r="A1547" s="3" t="s">
        <v>2916</v>
      </c>
      <c r="B1547" s="3" t="s">
        <v>220</v>
      </c>
      <c r="C1547" s="3" t="s">
        <v>431</v>
      </c>
      <c r="D1547" s="3" t="s">
        <v>1184</v>
      </c>
      <c r="E1547" s="3">
        <v>603590</v>
      </c>
      <c r="F1547" s="3">
        <v>0</v>
      </c>
      <c r="G1547" s="3" t="s">
        <v>1187</v>
      </c>
      <c r="H1547" s="3" t="s">
        <v>20</v>
      </c>
      <c r="I1547" s="4" t="s">
        <v>110</v>
      </c>
      <c r="J1547" s="4" t="s">
        <v>21</v>
      </c>
      <c r="K1547" s="4"/>
      <c r="L1547" s="4" t="s">
        <v>1188</v>
      </c>
      <c r="M1547" s="4" t="s">
        <v>22</v>
      </c>
      <c r="N1547" s="4" t="s">
        <v>23</v>
      </c>
      <c r="O1547" s="4" t="s">
        <v>27</v>
      </c>
      <c r="P1547" s="4" t="s">
        <v>28</v>
      </c>
      <c r="Q1547" s="24">
        <v>55</v>
      </c>
      <c r="R1547" s="25">
        <v>3</v>
      </c>
      <c r="S1547" s="39">
        <v>1</v>
      </c>
      <c r="T1547" s="7"/>
      <c r="U1547" s="7" t="s">
        <v>2912</v>
      </c>
      <c r="V1547" s="7" t="str">
        <f>+IF(U1547="","",IF(U1547="FINES",CONCATENATE("R",IF(OR(B1547="16",B1547="21",B1547="22",B1547="23"),"16212223",IF(OR(B1547="15",B1547="17",B1547="24",B1547="25"),"15172425",B1547))),IF(U1547="CEBAS","UNICO",IF(VALUE(B1547)&lt;=11,"AMBA","INTERIOR"))))</f>
        <v>INTERIOR</v>
      </c>
      <c r="W1547" s="38" t="str">
        <f>+IF(U1547="","-",CONCATENATE(U1547,"_",V1547))</f>
        <v>EPA_INTERIOR</v>
      </c>
      <c r="X1547" s="42">
        <v>0.17</v>
      </c>
    </row>
    <row r="1548" spans="1:24" ht="15" thickBot="1">
      <c r="A1548" s="3" t="s">
        <v>2916</v>
      </c>
      <c r="B1548" s="3" t="s">
        <v>206</v>
      </c>
      <c r="C1548" s="3" t="s">
        <v>930</v>
      </c>
      <c r="D1548" s="3" t="s">
        <v>931</v>
      </c>
      <c r="E1548" s="3">
        <v>601878</v>
      </c>
      <c r="F1548" s="3">
        <v>0</v>
      </c>
      <c r="G1548" s="3" t="s">
        <v>933</v>
      </c>
      <c r="H1548" s="3" t="s">
        <v>20</v>
      </c>
      <c r="I1548" s="4" t="s">
        <v>110</v>
      </c>
      <c r="J1548" s="4" t="s">
        <v>21</v>
      </c>
      <c r="K1548" s="4"/>
      <c r="L1548" s="4" t="s">
        <v>935</v>
      </c>
      <c r="M1548" s="4" t="s">
        <v>22</v>
      </c>
      <c r="N1548" s="4" t="s">
        <v>23</v>
      </c>
      <c r="O1548" s="4" t="s">
        <v>27</v>
      </c>
      <c r="P1548" s="4" t="s">
        <v>28</v>
      </c>
      <c r="Q1548" s="24">
        <v>71</v>
      </c>
      <c r="R1548" s="25">
        <v>6</v>
      </c>
      <c r="S1548" s="39">
        <v>1</v>
      </c>
      <c r="T1548" s="7"/>
      <c r="U1548" t="s">
        <v>2912</v>
      </c>
      <c r="V1548" s="7" t="str">
        <f>+IF(U1548="","",IF(U1548="FINES",CONCATENATE("R",IF(OR(B1548="16",B1548="21",B1548="22",B1548="23"),"16212223",IF(OR(B1548="15",B1548="17",B1548="24",B1548="25"),"15172425",B1548))),IF(U1548="CEBAS","UNICO",IF(VALUE(B1548)&lt;=11,"AMBA","INTERIOR"))))</f>
        <v>INTERIOR</v>
      </c>
      <c r="W1548" s="38" t="str">
        <f>+IF(U1548="","-",CONCATENATE(U1548,"_",V1548))</f>
        <v>EPA_INTERIOR</v>
      </c>
      <c r="X1548" s="42">
        <v>0.17100000000000001</v>
      </c>
    </row>
    <row r="1549" spans="1:24" ht="15" thickBot="1">
      <c r="A1549" s="3" t="s">
        <v>2916</v>
      </c>
      <c r="B1549" s="3" t="s">
        <v>352</v>
      </c>
      <c r="C1549" s="3" t="s">
        <v>216</v>
      </c>
      <c r="D1549" s="3" t="s">
        <v>2600</v>
      </c>
      <c r="E1549" s="3">
        <v>605450</v>
      </c>
      <c r="F1549" s="3">
        <v>0</v>
      </c>
      <c r="G1549" s="3" t="s">
        <v>2601</v>
      </c>
      <c r="H1549" s="3" t="s">
        <v>20</v>
      </c>
      <c r="I1549" s="4" t="s">
        <v>110</v>
      </c>
      <c r="J1549" s="4" t="s">
        <v>21</v>
      </c>
      <c r="K1549" s="4"/>
      <c r="L1549" s="4" t="s">
        <v>2602</v>
      </c>
      <c r="M1549" s="4" t="s">
        <v>22</v>
      </c>
      <c r="N1549" s="4" t="s">
        <v>23</v>
      </c>
      <c r="O1549" s="4" t="s">
        <v>27</v>
      </c>
      <c r="P1549" s="4" t="s">
        <v>28</v>
      </c>
      <c r="Q1549" s="24">
        <v>19</v>
      </c>
      <c r="R1549" s="25">
        <v>2</v>
      </c>
      <c r="S1549" s="39">
        <v>1</v>
      </c>
      <c r="T1549" s="7"/>
      <c r="U1549" t="s">
        <v>2912</v>
      </c>
      <c r="V1549" s="7" t="str">
        <f>+IF(U1549="","",IF(U1549="FINES",CONCATENATE("R",IF(OR(B1549="16",B1549="21",B1549="22",B1549="23"),"16212223",IF(OR(B1549="15",B1549="17",B1549="24",B1549="25"),"15172425",B1549))),IF(U1549="CEBAS","UNICO",IF(VALUE(B1549)&lt;=11,"AMBA","INTERIOR"))))</f>
        <v>INTERIOR</v>
      </c>
      <c r="W1549" s="38" t="str">
        <f>+IF(U1549="","-",CONCATENATE(U1549,"_",V1549))</f>
        <v>EPA_INTERIOR</v>
      </c>
      <c r="X1549" s="42">
        <v>0.189</v>
      </c>
    </row>
    <row r="1550" spans="1:24" ht="15" thickBot="1">
      <c r="A1550" s="3" t="s">
        <v>2916</v>
      </c>
      <c r="B1550" s="3" t="s">
        <v>221</v>
      </c>
      <c r="C1550" s="3" t="s">
        <v>571</v>
      </c>
      <c r="D1550" s="3" t="s">
        <v>573</v>
      </c>
      <c r="E1550" s="3">
        <v>600785</v>
      </c>
      <c r="F1550" s="3">
        <v>0</v>
      </c>
      <c r="G1550" s="3" t="s">
        <v>579</v>
      </c>
      <c r="H1550" s="3" t="s">
        <v>20</v>
      </c>
      <c r="I1550" s="4" t="s">
        <v>110</v>
      </c>
      <c r="J1550" s="4" t="s">
        <v>21</v>
      </c>
      <c r="K1550" s="4"/>
      <c r="L1550" s="4" t="s">
        <v>580</v>
      </c>
      <c r="M1550" s="4" t="s">
        <v>22</v>
      </c>
      <c r="N1550" s="4" t="s">
        <v>23</v>
      </c>
      <c r="O1550" s="4" t="s">
        <v>27</v>
      </c>
      <c r="P1550" s="4" t="s">
        <v>28</v>
      </c>
      <c r="Q1550" s="24">
        <v>74</v>
      </c>
      <c r="R1550" s="25">
        <v>4</v>
      </c>
      <c r="S1550" s="39">
        <v>1</v>
      </c>
      <c r="T1550" s="7"/>
      <c r="U1550" t="s">
        <v>2912</v>
      </c>
      <c r="V1550" s="7" t="str">
        <f>+IF(U1550="","",IF(U1550="FINES",CONCATENATE("R",IF(OR(B1550="16",B1550="21",B1550="22",B1550="23"),"16212223",IF(OR(B1550="15",B1550="17",B1550="24",B1550="25"),"15172425",B1550))),IF(U1550="CEBAS","UNICO",IF(VALUE(B1550)&lt;=11,"AMBA","INTERIOR"))))</f>
        <v>INTERIOR</v>
      </c>
      <c r="W1550" s="38" t="str">
        <f>+IF(U1550="","-",CONCATENATE(U1550,"_",V1550))</f>
        <v>EPA_INTERIOR</v>
      </c>
      <c r="X1550" s="42">
        <v>0.2</v>
      </c>
    </row>
    <row r="1551" spans="1:24" ht="15" thickBot="1">
      <c r="A1551" s="5" t="s">
        <v>2916</v>
      </c>
      <c r="B1551" s="5" t="s">
        <v>217</v>
      </c>
      <c r="C1551" s="5" t="s">
        <v>2027</v>
      </c>
      <c r="D1551" s="5" t="s">
        <v>2028</v>
      </c>
      <c r="E1551" s="5">
        <v>611796</v>
      </c>
      <c r="F1551" s="5">
        <v>0</v>
      </c>
      <c r="G1551" s="5" t="s">
        <v>2034</v>
      </c>
      <c r="H1551" s="5" t="s">
        <v>20</v>
      </c>
      <c r="I1551" s="6" t="s">
        <v>110</v>
      </c>
      <c r="J1551" s="6" t="s">
        <v>21</v>
      </c>
      <c r="K1551" s="6"/>
      <c r="L1551" s="6" t="s">
        <v>2038</v>
      </c>
      <c r="M1551" s="6" t="s">
        <v>22</v>
      </c>
      <c r="N1551" s="6" t="s">
        <v>23</v>
      </c>
      <c r="O1551" s="6" t="s">
        <v>27</v>
      </c>
      <c r="P1551" s="6" t="s">
        <v>28</v>
      </c>
      <c r="Q1551" s="22">
        <v>127</v>
      </c>
      <c r="R1551" s="23">
        <v>8</v>
      </c>
      <c r="S1551" s="39">
        <v>1</v>
      </c>
      <c r="T1551" s="7"/>
      <c r="U1551" t="s">
        <v>2912</v>
      </c>
      <c r="V1551" s="7" t="str">
        <f>+IF(U1551="","",IF(U1551="FINES",CONCATENATE("R",IF(OR(B1551="16",B1551="21",B1551="22",B1551="23"),"16212223",IF(OR(B1551="15",B1551="17",B1551="24",B1551="25"),"15172425",B1551))),IF(U1551="CEBAS","UNICO",IF(VALUE(B1551)&lt;=11,"AMBA","INTERIOR"))))</f>
        <v>INTERIOR</v>
      </c>
      <c r="W1551" s="38" t="str">
        <f>+IF(U1551="","-",CONCATENATE(U1551,"_",V1551))</f>
        <v>EPA_INTERIOR</v>
      </c>
      <c r="X1551" s="42">
        <v>0.20300000000000001</v>
      </c>
    </row>
    <row r="1552" spans="1:24" ht="15" thickBot="1">
      <c r="A1552" s="3" t="s">
        <v>2916</v>
      </c>
      <c r="B1552" s="3" t="s">
        <v>225</v>
      </c>
      <c r="C1552" s="3" t="s">
        <v>942</v>
      </c>
      <c r="D1552" s="3" t="s">
        <v>943</v>
      </c>
      <c r="E1552" s="3">
        <v>611694</v>
      </c>
      <c r="F1552" s="3">
        <v>0</v>
      </c>
      <c r="G1552" s="3" t="s">
        <v>951</v>
      </c>
      <c r="H1552" s="3" t="s">
        <v>20</v>
      </c>
      <c r="I1552" s="4" t="s">
        <v>110</v>
      </c>
      <c r="J1552" s="4" t="s">
        <v>21</v>
      </c>
      <c r="K1552" s="4"/>
      <c r="L1552" s="4" t="s">
        <v>1017</v>
      </c>
      <c r="M1552" s="4" t="s">
        <v>22</v>
      </c>
      <c r="N1552" s="4" t="s">
        <v>23</v>
      </c>
      <c r="O1552" s="4" t="s">
        <v>27</v>
      </c>
      <c r="P1552" s="4" t="s">
        <v>28</v>
      </c>
      <c r="Q1552" s="24">
        <v>150</v>
      </c>
      <c r="R1552" s="25">
        <v>10</v>
      </c>
      <c r="S1552" s="39">
        <v>1</v>
      </c>
      <c r="T1552" s="7"/>
      <c r="U1552" t="s">
        <v>2912</v>
      </c>
      <c r="V1552" s="7" t="str">
        <f>+IF(U1552="","",IF(U1552="FINES",CONCATENATE("R",IF(OR(B1552="16",B1552="21",B1552="22",B1552="23"),"16212223",IF(OR(B1552="15",B1552="17",B1552="24",B1552="25"),"15172425",B1552))),IF(U1552="CEBAS","UNICO",IF(VALUE(B1552)&lt;=11,"AMBA","INTERIOR"))))</f>
        <v>INTERIOR</v>
      </c>
      <c r="W1552" s="38" t="str">
        <f>+IF(U1552="","-",CONCATENATE(U1552,"_",V1552))</f>
        <v>EPA_INTERIOR</v>
      </c>
      <c r="X1552" s="42">
        <v>0.221</v>
      </c>
    </row>
    <row r="1553" spans="1:24" ht="15" thickBot="1">
      <c r="A1553" s="5" t="s">
        <v>2916</v>
      </c>
      <c r="B1553" s="5" t="s">
        <v>140</v>
      </c>
      <c r="C1553" s="5" t="s">
        <v>2149</v>
      </c>
      <c r="D1553" s="5" t="s">
        <v>2150</v>
      </c>
      <c r="E1553" s="5">
        <v>610868</v>
      </c>
      <c r="F1553" s="5">
        <v>0</v>
      </c>
      <c r="G1553" s="5" t="s">
        <v>2153</v>
      </c>
      <c r="H1553" s="5" t="s">
        <v>20</v>
      </c>
      <c r="I1553" s="6" t="s">
        <v>110</v>
      </c>
      <c r="J1553" s="6" t="s">
        <v>21</v>
      </c>
      <c r="K1553" s="6"/>
      <c r="L1553" s="6" t="s">
        <v>111</v>
      </c>
      <c r="M1553" s="6" t="s">
        <v>22</v>
      </c>
      <c r="N1553" s="6" t="s">
        <v>23</v>
      </c>
      <c r="O1553" s="6" t="s">
        <v>27</v>
      </c>
      <c r="P1553" s="6" t="s">
        <v>28</v>
      </c>
      <c r="Q1553" s="22">
        <v>88</v>
      </c>
      <c r="R1553" s="23">
        <v>6</v>
      </c>
      <c r="S1553" s="39">
        <v>1</v>
      </c>
      <c r="T1553" s="7"/>
      <c r="U1553" t="s">
        <v>2912</v>
      </c>
      <c r="V1553" s="7" t="str">
        <f>+IF(U1553="","",IF(U1553="FINES",CONCATENATE("R",IF(OR(B1553="16",B1553="21",B1553="22",B1553="23"),"16212223",IF(OR(B1553="15",B1553="17",B1553="24",B1553="25"),"15172425",B1553))),IF(U1553="CEBAS","UNICO",IF(VALUE(B1553)&lt;=11,"AMBA","INTERIOR"))))</f>
        <v>INTERIOR</v>
      </c>
      <c r="W1553" s="38" t="str">
        <f>+IF(U1553="","-",CONCATENATE(U1553,"_",V1553))</f>
        <v>EPA_INTERIOR</v>
      </c>
      <c r="X1553" s="42">
        <v>0.23599999999999999</v>
      </c>
    </row>
    <row r="1554" spans="1:24" ht="15" thickBot="1">
      <c r="A1554" s="5" t="s">
        <v>2916</v>
      </c>
      <c r="B1554" s="5" t="s">
        <v>225</v>
      </c>
      <c r="C1554" s="5" t="s">
        <v>942</v>
      </c>
      <c r="D1554" s="5" t="s">
        <v>943</v>
      </c>
      <c r="E1554" s="5">
        <v>600256</v>
      </c>
      <c r="F1554" s="5">
        <v>0</v>
      </c>
      <c r="G1554" s="5" t="s">
        <v>966</v>
      </c>
      <c r="H1554" s="5" t="s">
        <v>20</v>
      </c>
      <c r="I1554" s="6" t="s">
        <v>110</v>
      </c>
      <c r="J1554" s="6" t="s">
        <v>21</v>
      </c>
      <c r="K1554" s="6"/>
      <c r="L1554" s="6" t="s">
        <v>1020</v>
      </c>
      <c r="M1554" s="6" t="s">
        <v>22</v>
      </c>
      <c r="N1554" s="6" t="s">
        <v>23</v>
      </c>
      <c r="O1554" s="6" t="s">
        <v>27</v>
      </c>
      <c r="P1554" s="6" t="s">
        <v>28</v>
      </c>
      <c r="Q1554" s="22">
        <v>118</v>
      </c>
      <c r="R1554" s="23">
        <v>9</v>
      </c>
      <c r="S1554" s="39">
        <v>1</v>
      </c>
      <c r="T1554" s="7"/>
      <c r="U1554" t="s">
        <v>2912</v>
      </c>
      <c r="V1554" s="7" t="str">
        <f>+IF(U1554="","",IF(U1554="FINES",CONCATENATE("R",IF(OR(B1554="16",B1554="21",B1554="22",B1554="23"),"16212223",IF(OR(B1554="15",B1554="17",B1554="24",B1554="25"),"15172425",B1554))),IF(U1554="CEBAS","UNICO",IF(VALUE(B1554)&lt;=11,"AMBA","INTERIOR"))))</f>
        <v>INTERIOR</v>
      </c>
      <c r="W1554" s="38" t="str">
        <f>+IF(U1554="","-",CONCATENATE(U1554,"_",V1554))</f>
        <v>EPA_INTERIOR</v>
      </c>
      <c r="X1554" s="42">
        <v>0.245</v>
      </c>
    </row>
    <row r="1555" spans="1:24" ht="15" thickBot="1">
      <c r="A1555" s="3" t="s">
        <v>2916</v>
      </c>
      <c r="B1555" s="3" t="s">
        <v>220</v>
      </c>
      <c r="C1555" s="3" t="s">
        <v>2021</v>
      </c>
      <c r="D1555" s="3" t="s">
        <v>2022</v>
      </c>
      <c r="E1555" s="3">
        <v>607911</v>
      </c>
      <c r="F1555" s="3">
        <v>0</v>
      </c>
      <c r="G1555" s="3" t="s">
        <v>2023</v>
      </c>
      <c r="H1555" s="3" t="s">
        <v>20</v>
      </c>
      <c r="I1555" s="4" t="s">
        <v>110</v>
      </c>
      <c r="J1555" s="4" t="s">
        <v>21</v>
      </c>
      <c r="K1555" s="4"/>
      <c r="L1555" s="4" t="s">
        <v>2024</v>
      </c>
      <c r="M1555" s="4" t="s">
        <v>22</v>
      </c>
      <c r="N1555" s="4" t="s">
        <v>23</v>
      </c>
      <c r="O1555" s="4" t="s">
        <v>27</v>
      </c>
      <c r="P1555" s="4" t="s">
        <v>28</v>
      </c>
      <c r="Q1555" s="24">
        <v>5</v>
      </c>
      <c r="R1555" s="25">
        <v>1</v>
      </c>
      <c r="S1555" s="39">
        <v>1</v>
      </c>
      <c r="T1555" s="7"/>
      <c r="U1555" s="7" t="s">
        <v>2912</v>
      </c>
      <c r="V1555" s="7" t="str">
        <f>+IF(U1555="","",IF(U1555="FINES",CONCATENATE("R",IF(OR(B1555="16",B1555="21",B1555="22",B1555="23"),"16212223",IF(OR(B1555="15",B1555="17",B1555="24",B1555="25"),"15172425",B1555))),IF(U1555="CEBAS","UNICO",IF(VALUE(B1555)&lt;=11,"AMBA","INTERIOR"))))</f>
        <v>INTERIOR</v>
      </c>
      <c r="W1555" s="38" t="str">
        <f>+IF(U1555="","-",CONCATENATE(U1555,"_",V1555))</f>
        <v>EPA_INTERIOR</v>
      </c>
      <c r="X1555" s="42">
        <v>0.25700000000000001</v>
      </c>
    </row>
    <row r="1556" spans="1:24" ht="15" thickBot="1">
      <c r="A1556" s="3" t="s">
        <v>2916</v>
      </c>
      <c r="B1556" s="3" t="s">
        <v>352</v>
      </c>
      <c r="C1556" s="3" t="s">
        <v>521</v>
      </c>
      <c r="D1556" s="3" t="s">
        <v>523</v>
      </c>
      <c r="E1556" s="3">
        <v>606143</v>
      </c>
      <c r="F1556" s="3">
        <v>0</v>
      </c>
      <c r="G1556" s="3" t="s">
        <v>525</v>
      </c>
      <c r="H1556" s="3" t="s">
        <v>20</v>
      </c>
      <c r="I1556" s="4" t="s">
        <v>110</v>
      </c>
      <c r="J1556" s="4" t="s">
        <v>21</v>
      </c>
      <c r="K1556" s="4"/>
      <c r="L1556" s="4" t="s">
        <v>535</v>
      </c>
      <c r="M1556" s="4" t="s">
        <v>22</v>
      </c>
      <c r="N1556" s="4" t="s">
        <v>23</v>
      </c>
      <c r="O1556" s="4" t="s">
        <v>27</v>
      </c>
      <c r="P1556" s="4" t="s">
        <v>28</v>
      </c>
      <c r="Q1556" s="24">
        <v>73</v>
      </c>
      <c r="R1556" s="25">
        <v>5</v>
      </c>
      <c r="S1556" s="39">
        <v>1</v>
      </c>
      <c r="T1556" s="7"/>
      <c r="U1556" s="7" t="s">
        <v>2912</v>
      </c>
      <c r="V1556" s="7" t="str">
        <f>+IF(U1556="","",IF(U1556="FINES",CONCATENATE("R",IF(OR(B1556="16",B1556="21",B1556="22",B1556="23"),"16212223",IF(OR(B1556="15",B1556="17",B1556="24",B1556="25"),"15172425",B1556))),IF(U1556="CEBAS","UNICO",IF(VALUE(B1556)&lt;=11,"AMBA","INTERIOR"))))</f>
        <v>INTERIOR</v>
      </c>
      <c r="W1556" s="38" t="str">
        <f>+IF(U1556="","-",CONCATENATE(U1556,"_",V1556))</f>
        <v>EPA_INTERIOR</v>
      </c>
      <c r="X1556" s="42">
        <v>0.26100000000000001</v>
      </c>
    </row>
    <row r="1557" spans="1:24" ht="15" thickBot="1">
      <c r="A1557" s="5" t="s">
        <v>2916</v>
      </c>
      <c r="B1557" s="5" t="s">
        <v>220</v>
      </c>
      <c r="C1557" s="5" t="s">
        <v>726</v>
      </c>
      <c r="D1557" s="5" t="s">
        <v>2434</v>
      </c>
      <c r="E1557" s="5">
        <v>612859</v>
      </c>
      <c r="F1557" s="5">
        <v>0</v>
      </c>
      <c r="G1557" s="5" t="s">
        <v>2436</v>
      </c>
      <c r="H1557" s="5" t="s">
        <v>20</v>
      </c>
      <c r="I1557" s="6" t="s">
        <v>110</v>
      </c>
      <c r="J1557" s="6" t="s">
        <v>21</v>
      </c>
      <c r="K1557" s="6"/>
      <c r="L1557" s="6" t="s">
        <v>2442</v>
      </c>
      <c r="M1557" s="6" t="s">
        <v>22</v>
      </c>
      <c r="N1557" s="6" t="s">
        <v>23</v>
      </c>
      <c r="O1557" s="6" t="s">
        <v>27</v>
      </c>
      <c r="P1557" s="6" t="s">
        <v>28</v>
      </c>
      <c r="Q1557" s="22">
        <v>54</v>
      </c>
      <c r="R1557" s="23">
        <v>4</v>
      </c>
      <c r="S1557" s="39">
        <v>1</v>
      </c>
      <c r="T1557" s="7"/>
      <c r="U1557" s="7" t="s">
        <v>2912</v>
      </c>
      <c r="V1557" s="7" t="str">
        <f>+IF(U1557="","",IF(U1557="FINES",CONCATENATE("R",IF(OR(B1557="16",B1557="21",B1557="22",B1557="23"),"16212223",IF(OR(B1557="15",B1557="17",B1557="24",B1557="25"),"15172425",B1557))),IF(U1557="CEBAS","UNICO",IF(VALUE(B1557)&lt;=11,"AMBA","INTERIOR"))))</f>
        <v>INTERIOR</v>
      </c>
      <c r="W1557" s="38" t="str">
        <f>+IF(U1557="","-",CONCATENATE(U1557,"_",V1557))</f>
        <v>EPA_INTERIOR</v>
      </c>
      <c r="X1557" s="42">
        <v>0.26300000000000001</v>
      </c>
    </row>
    <row r="1558" spans="1:24" ht="15" thickBot="1">
      <c r="A1558" s="5" t="s">
        <v>2916</v>
      </c>
      <c r="B1558" s="5" t="s">
        <v>410</v>
      </c>
      <c r="C1558" s="5" t="s">
        <v>570</v>
      </c>
      <c r="D1558" s="5" t="s">
        <v>2717</v>
      </c>
      <c r="E1558" s="5">
        <v>607890</v>
      </c>
      <c r="F1558" s="5">
        <v>0</v>
      </c>
      <c r="G1558" s="5" t="s">
        <v>2720</v>
      </c>
      <c r="H1558" s="5" t="s">
        <v>20</v>
      </c>
      <c r="I1558" s="6" t="s">
        <v>110</v>
      </c>
      <c r="J1558" s="6" t="s">
        <v>21</v>
      </c>
      <c r="K1558" s="6"/>
      <c r="L1558" s="6" t="s">
        <v>2729</v>
      </c>
      <c r="M1558" s="6" t="s">
        <v>22</v>
      </c>
      <c r="N1558" s="6" t="s">
        <v>23</v>
      </c>
      <c r="O1558" s="6" t="s">
        <v>27</v>
      </c>
      <c r="P1558" s="6" t="s">
        <v>28</v>
      </c>
      <c r="Q1558" s="22">
        <v>58</v>
      </c>
      <c r="R1558" s="23">
        <v>6</v>
      </c>
      <c r="S1558" s="39">
        <v>1</v>
      </c>
      <c r="T1558" s="7"/>
      <c r="U1558" s="7" t="s">
        <v>2912</v>
      </c>
      <c r="V1558" s="7" t="str">
        <f>+IF(U1558="","",IF(U1558="FINES",CONCATENATE("R",IF(OR(B1558="16",B1558="21",B1558="22",B1558="23"),"16212223",IF(OR(B1558="15",B1558="17",B1558="24",B1558="25"),"15172425",B1558))),IF(U1558="CEBAS","UNICO",IF(VALUE(B1558)&lt;=11,"AMBA","INTERIOR"))))</f>
        <v>INTERIOR</v>
      </c>
      <c r="W1558" s="38" t="str">
        <f>+IF(U1558="","-",CONCATENATE(U1558,"_",V1558))</f>
        <v>EPA_INTERIOR</v>
      </c>
      <c r="X1558" s="42">
        <v>0.27400000000000002</v>
      </c>
    </row>
    <row r="1559" spans="1:24" ht="15" thickBot="1">
      <c r="A1559" s="3" t="s">
        <v>2916</v>
      </c>
      <c r="B1559" s="3" t="s">
        <v>225</v>
      </c>
      <c r="C1559" s="3" t="s">
        <v>942</v>
      </c>
      <c r="D1559" s="3" t="s">
        <v>943</v>
      </c>
      <c r="E1559" s="3">
        <v>609119</v>
      </c>
      <c r="F1559" s="3">
        <v>0</v>
      </c>
      <c r="G1559" s="3" t="s">
        <v>1021</v>
      </c>
      <c r="H1559" s="3" t="s">
        <v>20</v>
      </c>
      <c r="I1559" s="4" t="s">
        <v>110</v>
      </c>
      <c r="J1559" s="4" t="s">
        <v>21</v>
      </c>
      <c r="K1559" s="4"/>
      <c r="L1559" s="4" t="s">
        <v>1022</v>
      </c>
      <c r="M1559" s="4" t="s">
        <v>22</v>
      </c>
      <c r="N1559" s="4" t="s">
        <v>23</v>
      </c>
      <c r="O1559" s="4" t="s">
        <v>27</v>
      </c>
      <c r="P1559" s="4" t="s">
        <v>28</v>
      </c>
      <c r="Q1559" s="24">
        <v>212</v>
      </c>
      <c r="R1559" s="25">
        <v>15</v>
      </c>
      <c r="S1559" s="39">
        <v>1</v>
      </c>
      <c r="T1559" s="7"/>
      <c r="U1559" s="7" t="s">
        <v>2912</v>
      </c>
      <c r="V1559" s="7" t="str">
        <f>+IF(U1559="","",IF(U1559="FINES",CONCATENATE("R",IF(OR(B1559="16",B1559="21",B1559="22",B1559="23"),"16212223",IF(OR(B1559="15",B1559="17",B1559="24",B1559="25"),"15172425",B1559))),IF(U1559="CEBAS","UNICO",IF(VALUE(B1559)&lt;=11,"AMBA","INTERIOR"))))</f>
        <v>INTERIOR</v>
      </c>
      <c r="W1559" s="38" t="str">
        <f>+IF(U1559="","-",CONCATENATE(U1559,"_",V1559))</f>
        <v>EPA_INTERIOR</v>
      </c>
      <c r="X1559" s="42">
        <v>0.27500000000000002</v>
      </c>
    </row>
    <row r="1560" spans="1:24" ht="15" thickBot="1">
      <c r="A1560" s="5" t="s">
        <v>2916</v>
      </c>
      <c r="B1560" s="5" t="s">
        <v>203</v>
      </c>
      <c r="C1560" s="5" t="s">
        <v>450</v>
      </c>
      <c r="D1560" s="5" t="s">
        <v>452</v>
      </c>
      <c r="E1560" s="5">
        <v>605440</v>
      </c>
      <c r="F1560" s="5">
        <v>0</v>
      </c>
      <c r="G1560" s="5" t="s">
        <v>464</v>
      </c>
      <c r="H1560" s="5" t="s">
        <v>20</v>
      </c>
      <c r="I1560" s="6" t="s">
        <v>110</v>
      </c>
      <c r="J1560" s="6" t="s">
        <v>21</v>
      </c>
      <c r="K1560" s="6"/>
      <c r="L1560" s="6" t="s">
        <v>489</v>
      </c>
      <c r="M1560" s="6" t="s">
        <v>22</v>
      </c>
      <c r="N1560" s="6" t="s">
        <v>23</v>
      </c>
      <c r="O1560" s="6" t="s">
        <v>27</v>
      </c>
      <c r="P1560" s="6" t="s">
        <v>28</v>
      </c>
      <c r="Q1560" s="22">
        <v>68</v>
      </c>
      <c r="R1560" s="23">
        <v>5</v>
      </c>
      <c r="S1560" s="39">
        <v>1</v>
      </c>
      <c r="T1560" s="7"/>
      <c r="U1560" s="7" t="s">
        <v>2912</v>
      </c>
      <c r="V1560" s="7" t="str">
        <f>+IF(U1560="","",IF(U1560="FINES",CONCATENATE("R",IF(OR(B1560="16",B1560="21",B1560="22",B1560="23"),"16212223",IF(OR(B1560="15",B1560="17",B1560="24",B1560="25"),"15172425",B1560))),IF(U1560="CEBAS","UNICO",IF(VALUE(B1560)&lt;=11,"AMBA","INTERIOR"))))</f>
        <v>INTERIOR</v>
      </c>
      <c r="W1560" s="38" t="str">
        <f>+IF(U1560="","-",CONCATENATE(U1560,"_",V1560))</f>
        <v>EPA_INTERIOR</v>
      </c>
      <c r="X1560" s="42">
        <v>0.27500000000000002</v>
      </c>
    </row>
    <row r="1561" spans="1:24" ht="15" thickBot="1">
      <c r="A1561" s="3" t="s">
        <v>2916</v>
      </c>
      <c r="B1561" s="3" t="s">
        <v>203</v>
      </c>
      <c r="C1561" s="3" t="s">
        <v>331</v>
      </c>
      <c r="D1561" s="3" t="s">
        <v>2491</v>
      </c>
      <c r="E1561" s="3">
        <v>607566</v>
      </c>
      <c r="F1561" s="3">
        <v>0</v>
      </c>
      <c r="G1561" s="3" t="s">
        <v>2495</v>
      </c>
      <c r="H1561" s="3" t="s">
        <v>20</v>
      </c>
      <c r="I1561" s="4" t="s">
        <v>110</v>
      </c>
      <c r="J1561" s="4" t="s">
        <v>21</v>
      </c>
      <c r="K1561" s="4"/>
      <c r="L1561" s="4" t="s">
        <v>2231</v>
      </c>
      <c r="M1561" s="4" t="s">
        <v>22</v>
      </c>
      <c r="N1561" s="4" t="s">
        <v>23</v>
      </c>
      <c r="O1561" s="4" t="s">
        <v>27</v>
      </c>
      <c r="P1561" s="4" t="s">
        <v>28</v>
      </c>
      <c r="Q1561" s="24">
        <v>75</v>
      </c>
      <c r="R1561" s="25">
        <v>5</v>
      </c>
      <c r="S1561" s="39">
        <v>1</v>
      </c>
      <c r="T1561" s="7"/>
      <c r="U1561" s="7" t="s">
        <v>2912</v>
      </c>
      <c r="V1561" s="7" t="str">
        <f>+IF(U1561="","",IF(U1561="FINES",CONCATENATE("R",IF(OR(B1561="16",B1561="21",B1561="22",B1561="23"),"16212223",IF(OR(B1561="15",B1561="17",B1561="24",B1561="25"),"15172425",B1561))),IF(U1561="CEBAS","UNICO",IF(VALUE(B1561)&lt;=11,"AMBA","INTERIOR"))))</f>
        <v>INTERIOR</v>
      </c>
      <c r="W1561" s="38" t="str">
        <f>+IF(U1561="","-",CONCATENATE(U1561,"_",V1561))</f>
        <v>EPA_INTERIOR</v>
      </c>
      <c r="X1561" s="42">
        <v>0.28999999999999998</v>
      </c>
    </row>
    <row r="1562" spans="1:24" ht="15" thickBot="1">
      <c r="A1562" s="3" t="s">
        <v>2916</v>
      </c>
      <c r="B1562" s="3" t="s">
        <v>598</v>
      </c>
      <c r="C1562" s="3" t="s">
        <v>1249</v>
      </c>
      <c r="D1562" s="3" t="s">
        <v>1250</v>
      </c>
      <c r="E1562" s="3">
        <v>609718</v>
      </c>
      <c r="F1562" s="3">
        <v>0</v>
      </c>
      <c r="G1562" s="3" t="s">
        <v>1252</v>
      </c>
      <c r="H1562" s="3" t="s">
        <v>20</v>
      </c>
      <c r="I1562" s="4" t="s">
        <v>110</v>
      </c>
      <c r="J1562" s="4" t="s">
        <v>21</v>
      </c>
      <c r="K1562" s="4"/>
      <c r="L1562" s="4" t="s">
        <v>1253</v>
      </c>
      <c r="M1562" s="4" t="s">
        <v>22</v>
      </c>
      <c r="N1562" s="4" t="s">
        <v>23</v>
      </c>
      <c r="O1562" s="4" t="s">
        <v>27</v>
      </c>
      <c r="P1562" s="4" t="s">
        <v>28</v>
      </c>
      <c r="Q1562" s="24">
        <v>45</v>
      </c>
      <c r="R1562" s="25">
        <v>4</v>
      </c>
      <c r="S1562" s="39">
        <v>1</v>
      </c>
      <c r="T1562" s="7"/>
      <c r="U1562" s="7" t="s">
        <v>2912</v>
      </c>
      <c r="V1562" s="7" t="str">
        <f>+IF(U1562="","",IF(U1562="FINES",CONCATENATE("R",IF(OR(B1562="16",B1562="21",B1562="22",B1562="23"),"16212223",IF(OR(B1562="15",B1562="17",B1562="24",B1562="25"),"15172425",B1562))),IF(U1562="CEBAS","UNICO",IF(VALUE(B1562)&lt;=11,"AMBA","INTERIOR"))))</f>
        <v>INTERIOR</v>
      </c>
      <c r="W1562" s="38" t="str">
        <f>+IF(U1562="","-",CONCATENATE(U1562,"_",V1562))</f>
        <v>EPA_INTERIOR</v>
      </c>
      <c r="X1562" s="42">
        <v>0.30499999999999999</v>
      </c>
    </row>
    <row r="1563" spans="1:24" ht="15" thickBot="1">
      <c r="A1563" s="3" t="s">
        <v>2916</v>
      </c>
      <c r="B1563" s="3" t="s">
        <v>410</v>
      </c>
      <c r="C1563" s="3" t="s">
        <v>760</v>
      </c>
      <c r="D1563" s="3" t="s">
        <v>761</v>
      </c>
      <c r="E1563" s="3">
        <v>602013</v>
      </c>
      <c r="F1563" s="3">
        <v>0</v>
      </c>
      <c r="G1563" s="3" t="s">
        <v>766</v>
      </c>
      <c r="H1563" s="3" t="s">
        <v>20</v>
      </c>
      <c r="I1563" s="4" t="s">
        <v>110</v>
      </c>
      <c r="J1563" s="4" t="s">
        <v>21</v>
      </c>
      <c r="K1563" s="4"/>
      <c r="L1563" s="4" t="s">
        <v>767</v>
      </c>
      <c r="M1563" s="4" t="s">
        <v>22</v>
      </c>
      <c r="N1563" s="4" t="s">
        <v>23</v>
      </c>
      <c r="O1563" s="4" t="s">
        <v>27</v>
      </c>
      <c r="P1563" s="4" t="s">
        <v>28</v>
      </c>
      <c r="Q1563" s="24">
        <v>90</v>
      </c>
      <c r="R1563" s="25">
        <v>7</v>
      </c>
      <c r="S1563" s="39">
        <v>1</v>
      </c>
      <c r="T1563" s="7"/>
      <c r="U1563" s="7" t="s">
        <v>2912</v>
      </c>
      <c r="V1563" s="7" t="str">
        <f>+IF(U1563="","",IF(U1563="FINES",CONCATENATE("R",IF(OR(B1563="16",B1563="21",B1563="22",B1563="23"),"16212223",IF(OR(B1563="15",B1563="17",B1563="24",B1563="25"),"15172425",B1563))),IF(U1563="CEBAS","UNICO",IF(VALUE(B1563)&lt;=11,"AMBA","INTERIOR"))))</f>
        <v>INTERIOR</v>
      </c>
      <c r="W1563" s="38" t="str">
        <f>+IF(U1563="","-",CONCATENATE(U1563,"_",V1563))</f>
        <v>EPA_INTERIOR</v>
      </c>
      <c r="X1563" s="42">
        <v>0.33900000000000002</v>
      </c>
    </row>
    <row r="1564" spans="1:24" ht="15" thickBot="1">
      <c r="A1564" s="3" t="s">
        <v>2916</v>
      </c>
      <c r="B1564" s="3" t="s">
        <v>410</v>
      </c>
      <c r="C1564" s="3" t="s">
        <v>924</v>
      </c>
      <c r="D1564" s="3" t="s">
        <v>925</v>
      </c>
      <c r="E1564" s="3">
        <v>600991</v>
      </c>
      <c r="F1564" s="3">
        <v>0</v>
      </c>
      <c r="G1564" s="3" t="s">
        <v>927</v>
      </c>
      <c r="H1564" s="3" t="s">
        <v>20</v>
      </c>
      <c r="I1564" s="4" t="s">
        <v>110</v>
      </c>
      <c r="J1564" s="4" t="s">
        <v>21</v>
      </c>
      <c r="K1564" s="4"/>
      <c r="L1564" s="4" t="s">
        <v>651</v>
      </c>
      <c r="M1564" s="4" t="s">
        <v>22</v>
      </c>
      <c r="N1564" s="4" t="s">
        <v>23</v>
      </c>
      <c r="O1564" s="4" t="s">
        <v>27</v>
      </c>
      <c r="P1564" s="4" t="s">
        <v>28</v>
      </c>
      <c r="Q1564" s="24">
        <v>56</v>
      </c>
      <c r="R1564" s="25">
        <v>4</v>
      </c>
      <c r="S1564" s="39">
        <v>1</v>
      </c>
      <c r="T1564" s="7"/>
      <c r="U1564" s="7" t="s">
        <v>2912</v>
      </c>
      <c r="V1564" s="7" t="str">
        <f>+IF(U1564="","",IF(U1564="FINES",CONCATENATE("R",IF(OR(B1564="16",B1564="21",B1564="22",B1564="23"),"16212223",IF(OR(B1564="15",B1564="17",B1564="24",B1564="25"),"15172425",B1564))),IF(U1564="CEBAS","UNICO",IF(VALUE(B1564)&lt;=11,"AMBA","INTERIOR"))))</f>
        <v>INTERIOR</v>
      </c>
      <c r="W1564" s="38" t="str">
        <f>+IF(U1564="","-",CONCATENATE(U1564,"_",V1564))</f>
        <v>EPA_INTERIOR</v>
      </c>
      <c r="X1564" s="42">
        <v>0.34499999999999997</v>
      </c>
    </row>
    <row r="1565" spans="1:24" ht="15" thickBot="1">
      <c r="A1565" s="5" t="s">
        <v>2916</v>
      </c>
      <c r="B1565" s="5" t="s">
        <v>352</v>
      </c>
      <c r="C1565" s="5" t="s">
        <v>521</v>
      </c>
      <c r="D1565" s="5" t="s">
        <v>523</v>
      </c>
      <c r="E1565" s="5">
        <v>606175</v>
      </c>
      <c r="F1565" s="5">
        <v>0</v>
      </c>
      <c r="G1565" s="5" t="s">
        <v>532</v>
      </c>
      <c r="H1565" s="5" t="s">
        <v>20</v>
      </c>
      <c r="I1565" s="6" t="s">
        <v>110</v>
      </c>
      <c r="J1565" s="6" t="s">
        <v>21</v>
      </c>
      <c r="K1565" s="6"/>
      <c r="L1565" s="6" t="s">
        <v>536</v>
      </c>
      <c r="M1565" s="6" t="s">
        <v>22</v>
      </c>
      <c r="N1565" s="6" t="s">
        <v>23</v>
      </c>
      <c r="O1565" s="6" t="s">
        <v>27</v>
      </c>
      <c r="P1565" s="6" t="s">
        <v>28</v>
      </c>
      <c r="Q1565" s="22">
        <v>127</v>
      </c>
      <c r="R1565" s="23">
        <v>7</v>
      </c>
      <c r="S1565" s="39">
        <v>1</v>
      </c>
      <c r="T1565" s="7"/>
      <c r="U1565" t="s">
        <v>2912</v>
      </c>
      <c r="V1565" s="7" t="str">
        <f>+IF(U1565="","",IF(U1565="FINES",CONCATENATE("R",IF(OR(B1565="16",B1565="21",B1565="22",B1565="23"),"16212223",IF(OR(B1565="15",B1565="17",B1565="24",B1565="25"),"15172425",B1565))),IF(U1565="CEBAS","UNICO",IF(VALUE(B1565)&lt;=11,"AMBA","INTERIOR"))))</f>
        <v>INTERIOR</v>
      </c>
      <c r="W1565" s="38" t="str">
        <f>+IF(U1565="","-",CONCATENATE(U1565,"_",V1565))</f>
        <v>EPA_INTERIOR</v>
      </c>
      <c r="X1565" s="42">
        <v>0.38800000000000001</v>
      </c>
    </row>
    <row r="1566" spans="1:24" ht="15" thickBot="1">
      <c r="A1566" s="5" t="s">
        <v>2916</v>
      </c>
      <c r="B1566" s="5" t="s">
        <v>410</v>
      </c>
      <c r="C1566" s="5" t="s">
        <v>1493</v>
      </c>
      <c r="D1566" s="5" t="s">
        <v>1494</v>
      </c>
      <c r="E1566" s="5">
        <v>608119</v>
      </c>
      <c r="F1566" s="5">
        <v>0</v>
      </c>
      <c r="G1566" s="5" t="s">
        <v>1497</v>
      </c>
      <c r="H1566" s="5" t="s">
        <v>20</v>
      </c>
      <c r="I1566" s="6" t="s">
        <v>110</v>
      </c>
      <c r="J1566" s="6" t="s">
        <v>21</v>
      </c>
      <c r="K1566" s="6"/>
      <c r="L1566" s="6" t="s">
        <v>843</v>
      </c>
      <c r="M1566" s="6" t="s">
        <v>22</v>
      </c>
      <c r="N1566" s="6" t="s">
        <v>23</v>
      </c>
      <c r="O1566" s="6" t="s">
        <v>27</v>
      </c>
      <c r="P1566" s="6" t="s">
        <v>28</v>
      </c>
      <c r="Q1566" s="22">
        <v>81</v>
      </c>
      <c r="R1566" s="23">
        <v>4</v>
      </c>
      <c r="S1566" s="39">
        <v>1</v>
      </c>
      <c r="T1566" s="7"/>
      <c r="U1566" t="s">
        <v>2912</v>
      </c>
      <c r="V1566" s="7" t="str">
        <f>+IF(U1566="","",IF(U1566="FINES",CONCATENATE("R",IF(OR(B1566="16",B1566="21",B1566="22",B1566="23"),"16212223",IF(OR(B1566="15",B1566="17",B1566="24",B1566="25"),"15172425",B1566))),IF(U1566="CEBAS","UNICO",IF(VALUE(B1566)&lt;=11,"AMBA","INTERIOR"))))</f>
        <v>INTERIOR</v>
      </c>
      <c r="W1566" s="38" t="str">
        <f>+IF(U1566="","-",CONCATENATE(U1566,"_",V1566))</f>
        <v>EPA_INTERIOR</v>
      </c>
      <c r="X1566" s="42">
        <v>0.39800000000000002</v>
      </c>
    </row>
    <row r="1567" spans="1:24" ht="15" thickBot="1">
      <c r="A1567" s="5" t="s">
        <v>2916</v>
      </c>
      <c r="B1567" s="5" t="s">
        <v>598</v>
      </c>
      <c r="C1567" s="5" t="s">
        <v>709</v>
      </c>
      <c r="D1567" s="5" t="s">
        <v>710</v>
      </c>
      <c r="E1567" s="5">
        <v>624583</v>
      </c>
      <c r="F1567" s="5">
        <v>0</v>
      </c>
      <c r="G1567" s="5" t="s">
        <v>712</v>
      </c>
      <c r="H1567" s="5" t="s">
        <v>20</v>
      </c>
      <c r="I1567" s="6" t="s">
        <v>110</v>
      </c>
      <c r="J1567" s="6" t="s">
        <v>21</v>
      </c>
      <c r="K1567" s="6"/>
      <c r="L1567" s="6" t="s">
        <v>681</v>
      </c>
      <c r="M1567" s="6" t="s">
        <v>22</v>
      </c>
      <c r="N1567" s="6" t="s">
        <v>23</v>
      </c>
      <c r="O1567" s="6" t="s">
        <v>27</v>
      </c>
      <c r="P1567" s="6" t="s">
        <v>28</v>
      </c>
      <c r="Q1567" s="22">
        <v>58</v>
      </c>
      <c r="R1567" s="23">
        <v>6</v>
      </c>
      <c r="S1567" s="39">
        <v>1</v>
      </c>
      <c r="T1567" s="7"/>
      <c r="U1567" t="s">
        <v>2912</v>
      </c>
      <c r="V1567" s="7" t="str">
        <f>+IF(U1567="","",IF(U1567="FINES",CONCATENATE("R",IF(OR(B1567="16",B1567="21",B1567="22",B1567="23"),"16212223",IF(OR(B1567="15",B1567="17",B1567="24",B1567="25"),"15172425",B1567))),IF(U1567="CEBAS","UNICO",IF(VALUE(B1567)&lt;=11,"AMBA","INTERIOR"))))</f>
        <v>INTERIOR</v>
      </c>
      <c r="W1567" s="38" t="str">
        <f>+IF(U1567="","-",CONCATENATE(U1567,"_",V1567))</f>
        <v>EPA_INTERIOR</v>
      </c>
      <c r="X1567" s="42">
        <v>0.4</v>
      </c>
    </row>
    <row r="1568" spans="1:24" ht="15" thickBot="1">
      <c r="A1568" s="3" t="s">
        <v>2916</v>
      </c>
      <c r="B1568" s="3" t="s">
        <v>205</v>
      </c>
      <c r="C1568" s="3" t="s">
        <v>589</v>
      </c>
      <c r="D1568" s="3" t="s">
        <v>591</v>
      </c>
      <c r="E1568" s="3">
        <v>602654</v>
      </c>
      <c r="F1568" s="3">
        <v>0</v>
      </c>
      <c r="G1568" s="3" t="s">
        <v>593</v>
      </c>
      <c r="H1568" s="3" t="s">
        <v>20</v>
      </c>
      <c r="I1568" s="4" t="s">
        <v>110</v>
      </c>
      <c r="J1568" s="4" t="s">
        <v>21</v>
      </c>
      <c r="K1568" s="4"/>
      <c r="L1568" s="4" t="s">
        <v>594</v>
      </c>
      <c r="M1568" s="4" t="s">
        <v>22</v>
      </c>
      <c r="N1568" s="4" t="s">
        <v>23</v>
      </c>
      <c r="O1568" s="4" t="s">
        <v>27</v>
      </c>
      <c r="P1568" s="4" t="s">
        <v>28</v>
      </c>
      <c r="Q1568" s="24">
        <v>22</v>
      </c>
      <c r="R1568" s="25">
        <v>2</v>
      </c>
      <c r="S1568" s="39">
        <v>1</v>
      </c>
      <c r="T1568" s="7"/>
      <c r="U1568" s="7" t="s">
        <v>2912</v>
      </c>
      <c r="V1568" s="7" t="str">
        <f>+IF(U1568="","",IF(U1568="FINES",CONCATENATE("R",IF(OR(B1568="16",B1568="21",B1568="22",B1568="23"),"16212223",IF(OR(B1568="15",B1568="17",B1568="24",B1568="25"),"15172425",B1568))),IF(U1568="CEBAS","UNICO",IF(VALUE(B1568)&lt;=11,"AMBA","INTERIOR"))))</f>
        <v>INTERIOR</v>
      </c>
      <c r="W1568" s="38" t="str">
        <f>+IF(U1568="","-",CONCATENATE(U1568,"_",V1568))</f>
        <v>EPA_INTERIOR</v>
      </c>
      <c r="X1568" s="42">
        <v>0.40100000000000002</v>
      </c>
    </row>
    <row r="1569" spans="1:24" ht="15" thickBot="1">
      <c r="A1569" s="5" t="s">
        <v>2916</v>
      </c>
      <c r="B1569" s="5" t="s">
        <v>223</v>
      </c>
      <c r="C1569" s="5" t="s">
        <v>2184</v>
      </c>
      <c r="D1569" s="5" t="s">
        <v>2185</v>
      </c>
      <c r="E1569" s="5">
        <v>620569</v>
      </c>
      <c r="F1569" s="5">
        <v>0</v>
      </c>
      <c r="G1569" s="5" t="s">
        <v>2190</v>
      </c>
      <c r="H1569" s="5" t="s">
        <v>20</v>
      </c>
      <c r="I1569" s="6" t="s">
        <v>110</v>
      </c>
      <c r="J1569" s="6" t="s">
        <v>21</v>
      </c>
      <c r="K1569" s="6"/>
      <c r="L1569" s="6" t="s">
        <v>2191</v>
      </c>
      <c r="M1569" s="6" t="s">
        <v>22</v>
      </c>
      <c r="N1569" s="6" t="s">
        <v>23</v>
      </c>
      <c r="O1569" s="6" t="s">
        <v>27</v>
      </c>
      <c r="P1569" s="6" t="s">
        <v>28</v>
      </c>
      <c r="Q1569" s="22">
        <v>82</v>
      </c>
      <c r="R1569" s="23">
        <v>6</v>
      </c>
      <c r="S1569" s="39">
        <v>1</v>
      </c>
      <c r="T1569" s="7"/>
      <c r="U1569" s="7" t="s">
        <v>2912</v>
      </c>
      <c r="V1569" s="7" t="str">
        <f>+IF(U1569="","",IF(U1569="FINES",CONCATENATE("R",IF(OR(B1569="16",B1569="21",B1569="22",B1569="23"),"16212223",IF(OR(B1569="15",B1569="17",B1569="24",B1569="25"),"15172425",B1569))),IF(U1569="CEBAS","UNICO",IF(VALUE(B1569)&lt;=11,"AMBA","INTERIOR"))))</f>
        <v>INTERIOR</v>
      </c>
      <c r="W1569" s="38" t="str">
        <f>+IF(U1569="","-",CONCATENATE(U1569,"_",V1569))</f>
        <v>EPA_INTERIOR</v>
      </c>
      <c r="X1569" s="42">
        <v>0.41199999999999998</v>
      </c>
    </row>
    <row r="1570" spans="1:24" ht="15" thickBot="1">
      <c r="A1570" s="5" t="s">
        <v>2916</v>
      </c>
      <c r="B1570" s="5" t="s">
        <v>225</v>
      </c>
      <c r="C1570" s="5" t="s">
        <v>942</v>
      </c>
      <c r="D1570" s="5" t="s">
        <v>943</v>
      </c>
      <c r="E1570" s="5">
        <v>614920</v>
      </c>
      <c r="F1570" s="5">
        <v>0</v>
      </c>
      <c r="G1570" s="5" t="s">
        <v>1023</v>
      </c>
      <c r="H1570" s="5" t="s">
        <v>20</v>
      </c>
      <c r="I1570" s="6" t="s">
        <v>110</v>
      </c>
      <c r="J1570" s="6" t="s">
        <v>21</v>
      </c>
      <c r="K1570" s="6"/>
      <c r="L1570" s="6" t="s">
        <v>1024</v>
      </c>
      <c r="M1570" s="6" t="s">
        <v>22</v>
      </c>
      <c r="N1570" s="6" t="s">
        <v>134</v>
      </c>
      <c r="O1570" s="6" t="s">
        <v>27</v>
      </c>
      <c r="P1570" s="6" t="s">
        <v>28</v>
      </c>
      <c r="Q1570" s="22">
        <v>40</v>
      </c>
      <c r="R1570" s="23">
        <v>3</v>
      </c>
      <c r="S1570" s="39">
        <v>1</v>
      </c>
      <c r="T1570" s="7"/>
      <c r="U1570" s="7" t="s">
        <v>2912</v>
      </c>
      <c r="V1570" s="7" t="str">
        <f>+IF(U1570="","",IF(U1570="FINES",CONCATENATE("R",IF(OR(B1570="16",B1570="21",B1570="22",B1570="23"),"16212223",IF(OR(B1570="15",B1570="17",B1570="24",B1570="25"),"15172425",B1570))),IF(U1570="CEBAS","UNICO",IF(VALUE(B1570)&lt;=11,"AMBA","INTERIOR"))))</f>
        <v>INTERIOR</v>
      </c>
      <c r="W1570" s="38" t="str">
        <f>+IF(U1570="","-",CONCATENATE(U1570,"_",V1570))</f>
        <v>EPA_INTERIOR</v>
      </c>
      <c r="X1570" s="42">
        <v>0.41599999999999998</v>
      </c>
    </row>
    <row r="1571" spans="1:24" ht="15" thickBot="1">
      <c r="A1571" s="3" t="s">
        <v>2916</v>
      </c>
      <c r="B1571" s="3" t="s">
        <v>352</v>
      </c>
      <c r="C1571" s="3" t="s">
        <v>349</v>
      </c>
      <c r="D1571" s="3" t="s">
        <v>2397</v>
      </c>
      <c r="E1571" s="3">
        <v>605214</v>
      </c>
      <c r="F1571" s="3">
        <v>0</v>
      </c>
      <c r="G1571" s="3" t="s">
        <v>2405</v>
      </c>
      <c r="H1571" s="3" t="s">
        <v>20</v>
      </c>
      <c r="I1571" s="4" t="s">
        <v>110</v>
      </c>
      <c r="J1571" s="4" t="s">
        <v>21</v>
      </c>
      <c r="K1571" s="4"/>
      <c r="L1571" s="4" t="s">
        <v>321</v>
      </c>
      <c r="M1571" s="4" t="s">
        <v>22</v>
      </c>
      <c r="N1571" s="4" t="s">
        <v>23</v>
      </c>
      <c r="O1571" s="4" t="s">
        <v>27</v>
      </c>
      <c r="P1571" s="4" t="s">
        <v>28</v>
      </c>
      <c r="Q1571" s="24">
        <v>49</v>
      </c>
      <c r="R1571" s="25">
        <v>4</v>
      </c>
      <c r="S1571" s="39">
        <v>1</v>
      </c>
      <c r="T1571" s="7"/>
      <c r="U1571" s="7" t="s">
        <v>2912</v>
      </c>
      <c r="V1571" s="7" t="str">
        <f>+IF(U1571="","",IF(U1571="FINES",CONCATENATE("R",IF(OR(B1571="16",B1571="21",B1571="22",B1571="23"),"16212223",IF(OR(B1571="15",B1571="17",B1571="24",B1571="25"),"15172425",B1571))),IF(U1571="CEBAS","UNICO",IF(VALUE(B1571)&lt;=11,"AMBA","INTERIOR"))))</f>
        <v>INTERIOR</v>
      </c>
      <c r="W1571" s="38" t="str">
        <f>+IF(U1571="","-",CONCATENATE(U1571,"_",V1571))</f>
        <v>EPA_INTERIOR</v>
      </c>
      <c r="X1571" s="42">
        <v>0.44</v>
      </c>
    </row>
    <row r="1572" spans="1:24" ht="15" thickBot="1">
      <c r="A1572" s="3" t="s">
        <v>2916</v>
      </c>
      <c r="B1572" s="3" t="s">
        <v>516</v>
      </c>
      <c r="C1572" s="3" t="s">
        <v>890</v>
      </c>
      <c r="D1572" s="3" t="s">
        <v>891</v>
      </c>
      <c r="E1572" s="3">
        <v>616471</v>
      </c>
      <c r="F1572" s="3">
        <v>0</v>
      </c>
      <c r="G1572" s="3" t="s">
        <v>894</v>
      </c>
      <c r="H1572" s="3" t="s">
        <v>20</v>
      </c>
      <c r="I1572" s="4" t="s">
        <v>110</v>
      </c>
      <c r="J1572" s="4" t="s">
        <v>21</v>
      </c>
      <c r="K1572" s="4"/>
      <c r="L1572" s="4" t="s">
        <v>895</v>
      </c>
      <c r="M1572" s="4" t="s">
        <v>22</v>
      </c>
      <c r="N1572" s="4" t="s">
        <v>23</v>
      </c>
      <c r="O1572" s="4" t="s">
        <v>27</v>
      </c>
      <c r="P1572" s="4" t="s">
        <v>28</v>
      </c>
      <c r="Q1572" s="24">
        <v>270</v>
      </c>
      <c r="R1572" s="25">
        <v>18</v>
      </c>
      <c r="S1572" s="39">
        <v>1</v>
      </c>
      <c r="T1572" s="7"/>
      <c r="U1572" s="7" t="s">
        <v>2912</v>
      </c>
      <c r="V1572" s="7" t="str">
        <f>+IF(U1572="","",IF(U1572="FINES",CONCATENATE("R",IF(OR(B1572="16",B1572="21",B1572="22",B1572="23"),"16212223",IF(OR(B1572="15",B1572="17",B1572="24",B1572="25"),"15172425",B1572))),IF(U1572="CEBAS","UNICO",IF(VALUE(B1572)&lt;=11,"AMBA","INTERIOR"))))</f>
        <v>INTERIOR</v>
      </c>
      <c r="W1572" s="38" t="str">
        <f>+IF(U1572="","-",CONCATENATE(U1572,"_",V1572))</f>
        <v>EPA_INTERIOR</v>
      </c>
      <c r="X1572" s="42">
        <v>0.46100000000000002</v>
      </c>
    </row>
    <row r="1573" spans="1:24" ht="15" thickBot="1">
      <c r="A1573" s="3" t="s">
        <v>2916</v>
      </c>
      <c r="B1573" s="3" t="s">
        <v>410</v>
      </c>
      <c r="C1573" s="3" t="s">
        <v>570</v>
      </c>
      <c r="D1573" s="3" t="s">
        <v>2717</v>
      </c>
      <c r="E1573" s="3">
        <v>611940</v>
      </c>
      <c r="F1573" s="3">
        <v>0</v>
      </c>
      <c r="G1573" s="3" t="s">
        <v>2724</v>
      </c>
      <c r="H1573" s="3" t="s">
        <v>20</v>
      </c>
      <c r="I1573" s="4" t="s">
        <v>110</v>
      </c>
      <c r="J1573" s="4" t="s">
        <v>21</v>
      </c>
      <c r="K1573" s="4"/>
      <c r="L1573" s="4" t="s">
        <v>2728</v>
      </c>
      <c r="M1573" s="4" t="s">
        <v>22</v>
      </c>
      <c r="N1573" s="4" t="s">
        <v>23</v>
      </c>
      <c r="O1573" s="4" t="s">
        <v>27</v>
      </c>
      <c r="P1573" s="4" t="s">
        <v>28</v>
      </c>
      <c r="Q1573" s="24">
        <v>53</v>
      </c>
      <c r="R1573" s="25">
        <v>5</v>
      </c>
      <c r="S1573" s="39">
        <v>1</v>
      </c>
      <c r="T1573" s="7"/>
      <c r="U1573" s="7" t="s">
        <v>2912</v>
      </c>
      <c r="V1573" s="7" t="str">
        <f>+IF(U1573="","",IF(U1573="FINES",CONCATENATE("R",IF(OR(B1573="16",B1573="21",B1573="22",B1573="23"),"16212223",IF(OR(B1573="15",B1573="17",B1573="24",B1573="25"),"15172425",B1573))),IF(U1573="CEBAS","UNICO",IF(VALUE(B1573)&lt;=11,"AMBA","INTERIOR"))))</f>
        <v>INTERIOR</v>
      </c>
      <c r="W1573" s="38" t="str">
        <f>+IF(U1573="","-",CONCATENATE(U1573,"_",V1573))</f>
        <v>EPA_INTERIOR</v>
      </c>
      <c r="X1573" s="42">
        <v>0.46300000000000002</v>
      </c>
    </row>
    <row r="1574" spans="1:24" ht="15" thickBot="1">
      <c r="A1574" s="3" t="s">
        <v>2916</v>
      </c>
      <c r="B1574" s="3" t="s">
        <v>410</v>
      </c>
      <c r="C1574" s="3" t="s">
        <v>244</v>
      </c>
      <c r="D1574" s="3" t="s">
        <v>689</v>
      </c>
      <c r="E1574" s="3">
        <v>605420</v>
      </c>
      <c r="F1574" s="3">
        <v>0</v>
      </c>
      <c r="G1574" s="3" t="s">
        <v>690</v>
      </c>
      <c r="H1574" s="3" t="s">
        <v>20</v>
      </c>
      <c r="I1574" s="4" t="s">
        <v>110</v>
      </c>
      <c r="J1574" s="4" t="s">
        <v>21</v>
      </c>
      <c r="K1574" s="4"/>
      <c r="L1574" s="4" t="s">
        <v>691</v>
      </c>
      <c r="M1574" s="4" t="s">
        <v>22</v>
      </c>
      <c r="N1574" s="4" t="s">
        <v>23</v>
      </c>
      <c r="O1574" s="4" t="s">
        <v>27</v>
      </c>
      <c r="P1574" s="4" t="s">
        <v>28</v>
      </c>
      <c r="Q1574" s="24">
        <v>94</v>
      </c>
      <c r="R1574" s="25">
        <v>6</v>
      </c>
      <c r="S1574" s="39">
        <v>1</v>
      </c>
      <c r="T1574" s="7"/>
      <c r="U1574" s="7" t="s">
        <v>2912</v>
      </c>
      <c r="V1574" s="7" t="str">
        <f>+IF(U1574="","",IF(U1574="FINES",CONCATENATE("R",IF(OR(B1574="16",B1574="21",B1574="22",B1574="23"),"16212223",IF(OR(B1574="15",B1574="17",B1574="24",B1574="25"),"15172425",B1574))),IF(U1574="CEBAS","UNICO",IF(VALUE(B1574)&lt;=11,"AMBA","INTERIOR"))))</f>
        <v>INTERIOR</v>
      </c>
      <c r="W1574" s="38" t="str">
        <f>+IF(U1574="","-",CONCATENATE(U1574,"_",V1574))</f>
        <v>EPA_INTERIOR</v>
      </c>
      <c r="X1574" s="42">
        <v>0.46500000000000002</v>
      </c>
    </row>
    <row r="1575" spans="1:24" ht="15" thickBot="1">
      <c r="A1575" s="5" t="s">
        <v>2916</v>
      </c>
      <c r="B1575" s="5" t="s">
        <v>410</v>
      </c>
      <c r="C1575" s="5" t="s">
        <v>417</v>
      </c>
      <c r="D1575" s="5" t="s">
        <v>2739</v>
      </c>
      <c r="E1575" s="5">
        <v>613151</v>
      </c>
      <c r="F1575" s="5">
        <v>0</v>
      </c>
      <c r="G1575" s="5" t="s">
        <v>2741</v>
      </c>
      <c r="H1575" s="5" t="s">
        <v>20</v>
      </c>
      <c r="I1575" s="6" t="s">
        <v>110</v>
      </c>
      <c r="J1575" s="6" t="s">
        <v>21</v>
      </c>
      <c r="K1575" s="6"/>
      <c r="L1575" s="6" t="s">
        <v>2743</v>
      </c>
      <c r="M1575" s="6" t="s">
        <v>22</v>
      </c>
      <c r="N1575" s="6" t="s">
        <v>23</v>
      </c>
      <c r="O1575" s="6" t="s">
        <v>27</v>
      </c>
      <c r="P1575" s="6" t="s">
        <v>28</v>
      </c>
      <c r="Q1575" s="22">
        <v>105</v>
      </c>
      <c r="R1575" s="23">
        <v>9</v>
      </c>
      <c r="S1575" s="39">
        <v>1</v>
      </c>
      <c r="T1575" s="7"/>
      <c r="U1575" s="7" t="s">
        <v>2912</v>
      </c>
      <c r="V1575" s="7" t="str">
        <f>+IF(U1575="","",IF(U1575="FINES",CONCATENATE("R",IF(OR(B1575="16",B1575="21",B1575="22",B1575="23"),"16212223",IF(OR(B1575="15",B1575="17",B1575="24",B1575="25"),"15172425",B1575))),IF(U1575="CEBAS","UNICO",IF(VALUE(B1575)&lt;=11,"AMBA","INTERIOR"))))</f>
        <v>INTERIOR</v>
      </c>
      <c r="W1575" s="38" t="str">
        <f>+IF(U1575="","-",CONCATENATE(U1575,"_",V1575))</f>
        <v>EPA_INTERIOR</v>
      </c>
      <c r="X1575" s="42">
        <v>0.47</v>
      </c>
    </row>
    <row r="1576" spans="1:24" ht="15" thickBot="1">
      <c r="A1576" s="3" t="s">
        <v>2916</v>
      </c>
      <c r="B1576" s="3" t="s">
        <v>221</v>
      </c>
      <c r="C1576" s="3" t="s">
        <v>737</v>
      </c>
      <c r="D1576" s="3" t="s">
        <v>2422</v>
      </c>
      <c r="E1576" s="3">
        <v>601813</v>
      </c>
      <c r="F1576" s="3">
        <v>0</v>
      </c>
      <c r="G1576" s="3" t="s">
        <v>2423</v>
      </c>
      <c r="H1576" s="3" t="s">
        <v>20</v>
      </c>
      <c r="I1576" s="4" t="s">
        <v>110</v>
      </c>
      <c r="J1576" s="4" t="s">
        <v>21</v>
      </c>
      <c r="K1576" s="4"/>
      <c r="L1576" s="4" t="s">
        <v>2424</v>
      </c>
      <c r="M1576" s="4" t="s">
        <v>22</v>
      </c>
      <c r="N1576" s="4" t="s">
        <v>23</v>
      </c>
      <c r="O1576" s="4" t="s">
        <v>27</v>
      </c>
      <c r="P1576" s="4" t="s">
        <v>28</v>
      </c>
      <c r="Q1576" s="24">
        <v>97</v>
      </c>
      <c r="R1576" s="25">
        <v>5</v>
      </c>
      <c r="S1576" s="39">
        <v>1</v>
      </c>
      <c r="T1576" s="7"/>
      <c r="U1576" s="7" t="s">
        <v>2912</v>
      </c>
      <c r="V1576" s="7" t="str">
        <f>+IF(U1576="","",IF(U1576="FINES",CONCATENATE("R",IF(OR(B1576="16",B1576="21",B1576="22",B1576="23"),"16212223",IF(OR(B1576="15",B1576="17",B1576="24",B1576="25"),"15172425",B1576))),IF(U1576="CEBAS","UNICO",IF(VALUE(B1576)&lt;=11,"AMBA","INTERIOR"))))</f>
        <v>INTERIOR</v>
      </c>
      <c r="W1576" s="38" t="str">
        <f>+IF(U1576="","-",CONCATENATE(U1576,"_",V1576))</f>
        <v>EPA_INTERIOR</v>
      </c>
      <c r="X1576" s="42">
        <v>0.47299999999999998</v>
      </c>
    </row>
    <row r="1577" spans="1:24" ht="15" thickBot="1">
      <c r="A1577" s="3" t="s">
        <v>2916</v>
      </c>
      <c r="B1577" s="3" t="s">
        <v>203</v>
      </c>
      <c r="C1577" s="3" t="s">
        <v>1986</v>
      </c>
      <c r="D1577" s="3" t="s">
        <v>1987</v>
      </c>
      <c r="E1577" s="3">
        <v>605047</v>
      </c>
      <c r="F1577" s="3">
        <v>0</v>
      </c>
      <c r="G1577" s="3" t="s">
        <v>1997</v>
      </c>
      <c r="H1577" s="3" t="s">
        <v>20</v>
      </c>
      <c r="I1577" s="4" t="s">
        <v>110</v>
      </c>
      <c r="J1577" s="4" t="s">
        <v>21</v>
      </c>
      <c r="K1577" s="4"/>
      <c r="L1577" s="4" t="s">
        <v>1998</v>
      </c>
      <c r="M1577" s="4" t="s">
        <v>22</v>
      </c>
      <c r="N1577" s="4" t="s">
        <v>23</v>
      </c>
      <c r="O1577" s="4" t="s">
        <v>27</v>
      </c>
      <c r="P1577" s="4" t="s">
        <v>28</v>
      </c>
      <c r="Q1577" s="24">
        <v>96</v>
      </c>
      <c r="R1577" s="25">
        <v>6</v>
      </c>
      <c r="S1577" s="39">
        <v>1</v>
      </c>
      <c r="T1577" s="7"/>
      <c r="U1577" s="7" t="s">
        <v>2912</v>
      </c>
      <c r="V1577" s="7" t="str">
        <f>+IF(U1577="","",IF(U1577="FINES",CONCATENATE("R",IF(OR(B1577="16",B1577="21",B1577="22",B1577="23"),"16212223",IF(OR(B1577="15",B1577="17",B1577="24",B1577="25"),"15172425",B1577))),IF(U1577="CEBAS","UNICO",IF(VALUE(B1577)&lt;=11,"AMBA","INTERIOR"))))</f>
        <v>INTERIOR</v>
      </c>
      <c r="W1577" s="38" t="str">
        <f>+IF(U1577="","-",CONCATENATE(U1577,"_",V1577))</f>
        <v>EPA_INTERIOR</v>
      </c>
      <c r="X1577" s="42">
        <v>0.48399999999999999</v>
      </c>
    </row>
    <row r="1578" spans="1:24" ht="15" thickBot="1">
      <c r="A1578" s="3" t="s">
        <v>2916</v>
      </c>
      <c r="B1578" s="3" t="s">
        <v>135</v>
      </c>
      <c r="C1578" s="3" t="s">
        <v>1330</v>
      </c>
      <c r="D1578" s="3" t="s">
        <v>1331</v>
      </c>
      <c r="E1578" s="3">
        <v>609753</v>
      </c>
      <c r="F1578" s="3">
        <v>0</v>
      </c>
      <c r="G1578" s="3" t="s">
        <v>1334</v>
      </c>
      <c r="H1578" s="3" t="s">
        <v>20</v>
      </c>
      <c r="I1578" s="4" t="s">
        <v>110</v>
      </c>
      <c r="J1578" s="4" t="s">
        <v>21</v>
      </c>
      <c r="K1578" s="4"/>
      <c r="L1578" s="4" t="s">
        <v>111</v>
      </c>
      <c r="M1578" s="4" t="s">
        <v>22</v>
      </c>
      <c r="N1578" s="4" t="s">
        <v>23</v>
      </c>
      <c r="O1578" s="4" t="s">
        <v>27</v>
      </c>
      <c r="P1578" s="4" t="s">
        <v>28</v>
      </c>
      <c r="Q1578" s="24">
        <v>73</v>
      </c>
      <c r="R1578" s="25">
        <v>7</v>
      </c>
      <c r="S1578" s="39">
        <v>1</v>
      </c>
      <c r="T1578" s="7"/>
      <c r="U1578" s="7" t="s">
        <v>2912</v>
      </c>
      <c r="V1578" s="7" t="str">
        <f>+IF(U1578="","",IF(U1578="FINES",CONCATENATE("R",IF(OR(B1578="16",B1578="21",B1578="22",B1578="23"),"16212223",IF(OR(B1578="15",B1578="17",B1578="24",B1578="25"),"15172425",B1578))),IF(U1578="CEBAS","UNICO",IF(VALUE(B1578)&lt;=11,"AMBA","INTERIOR"))))</f>
        <v>INTERIOR</v>
      </c>
      <c r="W1578" s="38" t="str">
        <f>+IF(U1578="","-",CONCATENATE(U1578,"_",V1578))</f>
        <v>EPA_INTERIOR</v>
      </c>
      <c r="X1578" s="42">
        <v>0.48799999999999999</v>
      </c>
    </row>
    <row r="1579" spans="1:24" ht="15" thickBot="1">
      <c r="A1579" s="3" t="s">
        <v>2916</v>
      </c>
      <c r="B1579" s="3" t="s">
        <v>352</v>
      </c>
      <c r="C1579" s="3" t="s">
        <v>349</v>
      </c>
      <c r="D1579" s="3" t="s">
        <v>2397</v>
      </c>
      <c r="E1579" s="3">
        <v>610063</v>
      </c>
      <c r="F1579" s="3">
        <v>0</v>
      </c>
      <c r="G1579" s="3" t="s">
        <v>2399</v>
      </c>
      <c r="H1579" s="3" t="s">
        <v>20</v>
      </c>
      <c r="I1579" s="4" t="s">
        <v>110</v>
      </c>
      <c r="J1579" s="4" t="s">
        <v>21</v>
      </c>
      <c r="K1579" s="4"/>
      <c r="L1579" s="4" t="s">
        <v>2410</v>
      </c>
      <c r="M1579" s="4" t="s">
        <v>22</v>
      </c>
      <c r="N1579" s="4" t="s">
        <v>23</v>
      </c>
      <c r="O1579" s="4" t="s">
        <v>27</v>
      </c>
      <c r="P1579" s="4" t="s">
        <v>28</v>
      </c>
      <c r="Q1579" s="24">
        <v>29</v>
      </c>
      <c r="R1579" s="25">
        <v>5</v>
      </c>
      <c r="S1579" s="39">
        <v>1</v>
      </c>
      <c r="T1579" s="7"/>
      <c r="U1579" s="7" t="s">
        <v>2912</v>
      </c>
      <c r="V1579" s="7" t="str">
        <f>+IF(U1579="","",IF(U1579="FINES",CONCATENATE("R",IF(OR(B1579="16",B1579="21",B1579="22",B1579="23"),"16212223",IF(OR(B1579="15",B1579="17",B1579="24",B1579="25"),"15172425",B1579))),IF(U1579="CEBAS","UNICO",IF(VALUE(B1579)&lt;=11,"AMBA","INTERIOR"))))</f>
        <v>INTERIOR</v>
      </c>
      <c r="W1579" s="38" t="str">
        <f>+IF(U1579="","-",CONCATENATE(U1579,"_",V1579))</f>
        <v>EPA_INTERIOR</v>
      </c>
      <c r="X1579" s="42">
        <v>0.5</v>
      </c>
    </row>
    <row r="1580" spans="1:24" ht="15" thickBot="1">
      <c r="A1580" s="5" t="s">
        <v>2916</v>
      </c>
      <c r="B1580" s="5" t="s">
        <v>135</v>
      </c>
      <c r="C1580" s="5" t="s">
        <v>1217</v>
      </c>
      <c r="D1580" s="5" t="s">
        <v>1218</v>
      </c>
      <c r="E1580" s="5">
        <v>604289</v>
      </c>
      <c r="F1580" s="5">
        <v>0</v>
      </c>
      <c r="G1580" s="5" t="s">
        <v>1232</v>
      </c>
      <c r="H1580" s="5" t="s">
        <v>20</v>
      </c>
      <c r="I1580" s="6" t="s">
        <v>110</v>
      </c>
      <c r="J1580" s="6" t="s">
        <v>21</v>
      </c>
      <c r="K1580" s="6"/>
      <c r="L1580" s="6" t="s">
        <v>1233</v>
      </c>
      <c r="M1580" s="6" t="s">
        <v>22</v>
      </c>
      <c r="N1580" s="6" t="s">
        <v>23</v>
      </c>
      <c r="O1580" s="6" t="s">
        <v>27</v>
      </c>
      <c r="P1580" s="6" t="s">
        <v>28</v>
      </c>
      <c r="Q1580" s="22">
        <v>192</v>
      </c>
      <c r="R1580" s="23">
        <v>14</v>
      </c>
      <c r="S1580" s="39">
        <v>1</v>
      </c>
      <c r="T1580" s="7"/>
      <c r="U1580" t="s">
        <v>2912</v>
      </c>
      <c r="V1580" s="7" t="str">
        <f>+IF(U1580="","",IF(U1580="FINES",CONCATENATE("R",IF(OR(B1580="16",B1580="21",B1580="22",B1580="23"),"16212223",IF(OR(B1580="15",B1580="17",B1580="24",B1580="25"),"15172425",B1580))),IF(U1580="CEBAS","UNICO",IF(VALUE(B1580)&lt;=11,"AMBA","INTERIOR"))))</f>
        <v>INTERIOR</v>
      </c>
      <c r="W1580" s="38" t="str">
        <f>+IF(U1580="","-",CONCATENATE(U1580,"_",V1580))</f>
        <v>EPA_INTERIOR</v>
      </c>
      <c r="X1580" s="42">
        <v>0.504</v>
      </c>
    </row>
    <row r="1581" spans="1:24" ht="15" thickBot="1">
      <c r="A1581" s="5" t="s">
        <v>2916</v>
      </c>
      <c r="B1581" s="5" t="s">
        <v>410</v>
      </c>
      <c r="C1581" s="5" t="s">
        <v>760</v>
      </c>
      <c r="D1581" s="5" t="s">
        <v>761</v>
      </c>
      <c r="E1581" s="5">
        <v>607782</v>
      </c>
      <c r="F1581" s="5">
        <v>0</v>
      </c>
      <c r="G1581" s="5" t="s">
        <v>763</v>
      </c>
      <c r="H1581" s="5" t="s">
        <v>20</v>
      </c>
      <c r="I1581" s="6" t="s">
        <v>110</v>
      </c>
      <c r="J1581" s="6" t="s">
        <v>21</v>
      </c>
      <c r="K1581" s="6"/>
      <c r="L1581" s="6" t="s">
        <v>768</v>
      </c>
      <c r="M1581" s="6" t="s">
        <v>22</v>
      </c>
      <c r="N1581" s="6" t="s">
        <v>23</v>
      </c>
      <c r="O1581" s="6" t="s">
        <v>27</v>
      </c>
      <c r="P1581" s="6" t="s">
        <v>28</v>
      </c>
      <c r="Q1581" s="22">
        <v>93</v>
      </c>
      <c r="R1581" s="23">
        <v>9</v>
      </c>
      <c r="S1581" s="39">
        <v>1</v>
      </c>
      <c r="T1581" s="7"/>
      <c r="U1581" t="s">
        <v>2912</v>
      </c>
      <c r="V1581" s="7" t="str">
        <f>+IF(U1581="","",IF(U1581="FINES",CONCATENATE("R",IF(OR(B1581="16",B1581="21",B1581="22",B1581="23"),"16212223",IF(OR(B1581="15",B1581="17",B1581="24",B1581="25"),"15172425",B1581))),IF(U1581="CEBAS","UNICO",IF(VALUE(B1581)&lt;=11,"AMBA","INTERIOR"))))</f>
        <v>INTERIOR</v>
      </c>
      <c r="W1581" s="38" t="str">
        <f>+IF(U1581="","-",CONCATENATE(U1581,"_",V1581))</f>
        <v>EPA_INTERIOR</v>
      </c>
      <c r="X1581" s="42">
        <v>0.505</v>
      </c>
    </row>
    <row r="1582" spans="1:24" ht="15" thickBot="1">
      <c r="A1582" s="3" t="s">
        <v>2916</v>
      </c>
      <c r="B1582" s="3" t="s">
        <v>135</v>
      </c>
      <c r="C1582" s="3" t="s">
        <v>1217</v>
      </c>
      <c r="D1582" s="3" t="s">
        <v>1218</v>
      </c>
      <c r="E1582" s="3">
        <v>624027</v>
      </c>
      <c r="F1582" s="3">
        <v>0</v>
      </c>
      <c r="G1582" s="3" t="s">
        <v>1234</v>
      </c>
      <c r="H1582" s="3" t="s">
        <v>20</v>
      </c>
      <c r="I1582" s="4" t="s">
        <v>110</v>
      </c>
      <c r="J1582" s="4" t="s">
        <v>21</v>
      </c>
      <c r="K1582" s="4"/>
      <c r="L1582" s="4" t="s">
        <v>1235</v>
      </c>
      <c r="M1582" s="4" t="s">
        <v>22</v>
      </c>
      <c r="N1582" s="4" t="s">
        <v>23</v>
      </c>
      <c r="O1582" s="4" t="s">
        <v>27</v>
      </c>
      <c r="P1582" s="4" t="s">
        <v>28</v>
      </c>
      <c r="Q1582" s="24">
        <v>124</v>
      </c>
      <c r="R1582" s="25">
        <v>8</v>
      </c>
      <c r="S1582" s="39">
        <v>1</v>
      </c>
      <c r="T1582" s="7"/>
      <c r="U1582" t="s">
        <v>2912</v>
      </c>
      <c r="V1582" s="7" t="str">
        <f>+IF(U1582="","",IF(U1582="FINES",CONCATENATE("R",IF(OR(B1582="16",B1582="21",B1582="22",B1582="23"),"16212223",IF(OR(B1582="15",B1582="17",B1582="24",B1582="25"),"15172425",B1582))),IF(U1582="CEBAS","UNICO",IF(VALUE(B1582)&lt;=11,"AMBA","INTERIOR"))))</f>
        <v>INTERIOR</v>
      </c>
      <c r="W1582" s="38" t="str">
        <f>+IF(U1582="","-",CONCATENATE(U1582,"_",V1582))</f>
        <v>EPA_INTERIOR</v>
      </c>
      <c r="X1582" s="42">
        <v>0.51</v>
      </c>
    </row>
    <row r="1583" spans="1:24" ht="15" thickBot="1">
      <c r="A1583" s="3" t="s">
        <v>2916</v>
      </c>
      <c r="B1583" s="3" t="s">
        <v>135</v>
      </c>
      <c r="C1583" s="3" t="s">
        <v>1179</v>
      </c>
      <c r="D1583" s="3" t="s">
        <v>1180</v>
      </c>
      <c r="E1583" s="3">
        <v>624456</v>
      </c>
      <c r="F1583" s="3">
        <v>0</v>
      </c>
      <c r="G1583" s="3" t="s">
        <v>1181</v>
      </c>
      <c r="H1583" s="3" t="s">
        <v>20</v>
      </c>
      <c r="I1583" s="4" t="s">
        <v>110</v>
      </c>
      <c r="J1583" s="4" t="s">
        <v>21</v>
      </c>
      <c r="K1583" s="4"/>
      <c r="L1583" s="4" t="s">
        <v>249</v>
      </c>
      <c r="M1583" s="4" t="s">
        <v>22</v>
      </c>
      <c r="N1583" s="4" t="s">
        <v>23</v>
      </c>
      <c r="O1583" s="4" t="s">
        <v>27</v>
      </c>
      <c r="P1583" s="4" t="s">
        <v>28</v>
      </c>
      <c r="Q1583" s="24">
        <v>73</v>
      </c>
      <c r="R1583" s="25">
        <v>6</v>
      </c>
      <c r="S1583" s="39">
        <v>1</v>
      </c>
      <c r="T1583" s="7"/>
      <c r="U1583" t="s">
        <v>2912</v>
      </c>
      <c r="V1583" s="7" t="str">
        <f>+IF(U1583="","",IF(U1583="FINES",CONCATENATE("R",IF(OR(B1583="16",B1583="21",B1583="22",B1583="23"),"16212223",IF(OR(B1583="15",B1583="17",B1583="24",B1583="25"),"15172425",B1583))),IF(U1583="CEBAS","UNICO",IF(VALUE(B1583)&lt;=11,"AMBA","INTERIOR"))))</f>
        <v>INTERIOR</v>
      </c>
      <c r="W1583" s="38" t="str">
        <f>+IF(U1583="","-",CONCATENATE(U1583,"_",V1583))</f>
        <v>EPA_INTERIOR</v>
      </c>
      <c r="X1583" s="42">
        <v>0.51200000000000001</v>
      </c>
    </row>
    <row r="1584" spans="1:24" ht="15" thickBot="1">
      <c r="A1584" s="5" t="s">
        <v>2916</v>
      </c>
      <c r="B1584" s="5" t="s">
        <v>352</v>
      </c>
      <c r="C1584" s="5" t="s">
        <v>349</v>
      </c>
      <c r="D1584" s="5" t="s">
        <v>2397</v>
      </c>
      <c r="E1584" s="5">
        <v>604248</v>
      </c>
      <c r="F1584" s="5">
        <v>0</v>
      </c>
      <c r="G1584" s="5" t="s">
        <v>2401</v>
      </c>
      <c r="H1584" s="5" t="s">
        <v>20</v>
      </c>
      <c r="I1584" s="6" t="s">
        <v>110</v>
      </c>
      <c r="J1584" s="6" t="s">
        <v>21</v>
      </c>
      <c r="K1584" s="6"/>
      <c r="L1584" s="6" t="s">
        <v>391</v>
      </c>
      <c r="M1584" s="6" t="s">
        <v>22</v>
      </c>
      <c r="N1584" s="6" t="s">
        <v>23</v>
      </c>
      <c r="O1584" s="6" t="s">
        <v>27</v>
      </c>
      <c r="P1584" s="6" t="s">
        <v>28</v>
      </c>
      <c r="Q1584" s="22">
        <v>90</v>
      </c>
      <c r="R1584" s="23">
        <v>9</v>
      </c>
      <c r="S1584" s="39">
        <v>1</v>
      </c>
      <c r="T1584" s="7"/>
      <c r="U1584" t="s">
        <v>2912</v>
      </c>
      <c r="V1584" s="7" t="str">
        <f>+IF(U1584="","",IF(U1584="FINES",CONCATENATE("R",IF(OR(B1584="16",B1584="21",B1584="22",B1584="23"),"16212223",IF(OR(B1584="15",B1584="17",B1584="24",B1584="25"),"15172425",B1584))),IF(U1584="CEBAS","UNICO",IF(VALUE(B1584)&lt;=11,"AMBA","INTERIOR"))))</f>
        <v>INTERIOR</v>
      </c>
      <c r="W1584" s="38" t="str">
        <f>+IF(U1584="","-",CONCATENATE(U1584,"_",V1584))</f>
        <v>EPA_INTERIOR</v>
      </c>
      <c r="X1584" s="42">
        <v>0.52800000000000002</v>
      </c>
    </row>
    <row r="1585" spans="1:24" ht="15" thickBot="1">
      <c r="A1585" s="3" t="s">
        <v>2916</v>
      </c>
      <c r="B1585" s="3" t="s">
        <v>135</v>
      </c>
      <c r="C1585" s="3" t="s">
        <v>1325</v>
      </c>
      <c r="D1585" s="3" t="s">
        <v>1326</v>
      </c>
      <c r="E1585" s="3">
        <v>604238</v>
      </c>
      <c r="F1585" s="3">
        <v>0</v>
      </c>
      <c r="G1585" s="3" t="s">
        <v>1327</v>
      </c>
      <c r="H1585" s="3" t="s">
        <v>20</v>
      </c>
      <c r="I1585" s="4" t="s">
        <v>110</v>
      </c>
      <c r="J1585" s="4" t="s">
        <v>21</v>
      </c>
      <c r="K1585" s="4"/>
      <c r="L1585" s="4" t="s">
        <v>1328</v>
      </c>
      <c r="M1585" s="4" t="s">
        <v>22</v>
      </c>
      <c r="N1585" s="4" t="s">
        <v>23</v>
      </c>
      <c r="O1585" s="4" t="s">
        <v>27</v>
      </c>
      <c r="P1585" s="4" t="s">
        <v>28</v>
      </c>
      <c r="Q1585" s="24">
        <v>93</v>
      </c>
      <c r="R1585" s="25">
        <v>6</v>
      </c>
      <c r="S1585" s="39">
        <v>1</v>
      </c>
      <c r="T1585" s="7"/>
      <c r="U1585" t="s">
        <v>2912</v>
      </c>
      <c r="V1585" s="7" t="str">
        <f>+IF(U1585="","",IF(U1585="FINES",CONCATENATE("R",IF(OR(B1585="16",B1585="21",B1585="22",B1585="23"),"16212223",IF(OR(B1585="15",B1585="17",B1585="24",B1585="25"),"15172425",B1585))),IF(U1585="CEBAS","UNICO",IF(VALUE(B1585)&lt;=11,"AMBA","INTERIOR"))))</f>
        <v>INTERIOR</v>
      </c>
      <c r="W1585" s="38" t="str">
        <f>+IF(U1585="","-",CONCATENATE(U1585,"_",V1585))</f>
        <v>EPA_INTERIOR</v>
      </c>
      <c r="X1585" s="42">
        <v>0.52900000000000003</v>
      </c>
    </row>
    <row r="1586" spans="1:24" ht="15" thickBot="1">
      <c r="A1586" s="5" t="s">
        <v>2916</v>
      </c>
      <c r="B1586" s="5" t="s">
        <v>205</v>
      </c>
      <c r="C1586" s="5" t="s">
        <v>2002</v>
      </c>
      <c r="D1586" s="5" t="s">
        <v>2003</v>
      </c>
      <c r="E1586" s="5">
        <v>604170</v>
      </c>
      <c r="F1586" s="5">
        <v>0</v>
      </c>
      <c r="G1586" s="5" t="s">
        <v>2017</v>
      </c>
      <c r="H1586" s="5" t="s">
        <v>20</v>
      </c>
      <c r="I1586" s="6" t="s">
        <v>110</v>
      </c>
      <c r="J1586" s="6" t="s">
        <v>21</v>
      </c>
      <c r="K1586" s="6"/>
      <c r="L1586" s="6" t="s">
        <v>2018</v>
      </c>
      <c r="M1586" s="6" t="s">
        <v>22</v>
      </c>
      <c r="N1586" s="6" t="s">
        <v>23</v>
      </c>
      <c r="O1586" s="6" t="s">
        <v>27</v>
      </c>
      <c r="P1586" s="6" t="s">
        <v>28</v>
      </c>
      <c r="Q1586" s="22">
        <v>29</v>
      </c>
      <c r="R1586" s="23">
        <v>3</v>
      </c>
      <c r="S1586" s="39">
        <v>1</v>
      </c>
      <c r="T1586" s="7"/>
      <c r="U1586" t="s">
        <v>2912</v>
      </c>
      <c r="V1586" s="7" t="str">
        <f>+IF(U1586="","",IF(U1586="FINES",CONCATENATE("R",IF(OR(B1586="16",B1586="21",B1586="22",B1586="23"),"16212223",IF(OR(B1586="15",B1586="17",B1586="24",B1586="25"),"15172425",B1586))),IF(U1586="CEBAS","UNICO",IF(VALUE(B1586)&lt;=11,"AMBA","INTERIOR"))))</f>
        <v>INTERIOR</v>
      </c>
      <c r="W1586" s="38" t="str">
        <f>+IF(U1586="","-",CONCATENATE(U1586,"_",V1586))</f>
        <v>EPA_INTERIOR</v>
      </c>
      <c r="X1586" s="42">
        <v>0.53900000000000003</v>
      </c>
    </row>
    <row r="1587" spans="1:24" ht="15" thickBot="1">
      <c r="A1587" s="5" t="s">
        <v>2916</v>
      </c>
      <c r="B1587" s="5" t="s">
        <v>352</v>
      </c>
      <c r="C1587" s="5" t="s">
        <v>1924</v>
      </c>
      <c r="D1587" s="5" t="s">
        <v>1925</v>
      </c>
      <c r="E1587" s="5">
        <v>610527</v>
      </c>
      <c r="F1587" s="5">
        <v>0</v>
      </c>
      <c r="G1587" s="5" t="s">
        <v>1927</v>
      </c>
      <c r="H1587" s="5" t="s">
        <v>20</v>
      </c>
      <c r="I1587" s="6" t="s">
        <v>110</v>
      </c>
      <c r="J1587" s="6" t="s">
        <v>21</v>
      </c>
      <c r="K1587" s="6"/>
      <c r="L1587" s="6" t="s">
        <v>1940</v>
      </c>
      <c r="M1587" s="6" t="s">
        <v>22</v>
      </c>
      <c r="N1587" s="6" t="s">
        <v>23</v>
      </c>
      <c r="O1587" s="6" t="s">
        <v>27</v>
      </c>
      <c r="P1587" s="6" t="s">
        <v>28</v>
      </c>
      <c r="Q1587" s="22">
        <v>76</v>
      </c>
      <c r="R1587" s="23">
        <v>6</v>
      </c>
      <c r="S1587" s="39">
        <v>1</v>
      </c>
      <c r="T1587" s="7"/>
      <c r="U1587" t="s">
        <v>2912</v>
      </c>
      <c r="V1587" s="7" t="str">
        <f>+IF(U1587="","",IF(U1587="FINES",CONCATENATE("R",IF(OR(B1587="16",B1587="21",B1587="22",B1587="23"),"16212223",IF(OR(B1587="15",B1587="17",B1587="24",B1587="25"),"15172425",B1587))),IF(U1587="CEBAS","UNICO",IF(VALUE(B1587)&lt;=11,"AMBA","INTERIOR"))))</f>
        <v>INTERIOR</v>
      </c>
      <c r="W1587" s="38" t="str">
        <f>+IF(U1587="","-",CONCATENATE(U1587,"_",V1587))</f>
        <v>EPA_INTERIOR</v>
      </c>
      <c r="X1587" s="42">
        <v>0.54500000000000004</v>
      </c>
    </row>
    <row r="1588" spans="1:24" ht="15" thickBot="1">
      <c r="A1588" s="5" t="s">
        <v>2916</v>
      </c>
      <c r="B1588" s="5" t="s">
        <v>205</v>
      </c>
      <c r="C1588" s="5" t="s">
        <v>1946</v>
      </c>
      <c r="D1588" s="5" t="s">
        <v>1947</v>
      </c>
      <c r="E1588" s="5">
        <v>616647</v>
      </c>
      <c r="F1588" s="5">
        <v>0</v>
      </c>
      <c r="G1588" s="5" t="s">
        <v>1951</v>
      </c>
      <c r="H1588" s="5" t="s">
        <v>20</v>
      </c>
      <c r="I1588" s="6" t="s">
        <v>110</v>
      </c>
      <c r="J1588" s="6" t="s">
        <v>21</v>
      </c>
      <c r="K1588" s="6"/>
      <c r="L1588" s="6" t="s">
        <v>1231</v>
      </c>
      <c r="M1588" s="6" t="s">
        <v>22</v>
      </c>
      <c r="N1588" s="6" t="s">
        <v>23</v>
      </c>
      <c r="O1588" s="6" t="s">
        <v>27</v>
      </c>
      <c r="P1588" s="6" t="s">
        <v>28</v>
      </c>
      <c r="Q1588" s="22">
        <v>34</v>
      </c>
      <c r="R1588" s="23">
        <v>3</v>
      </c>
      <c r="S1588" s="39">
        <v>1</v>
      </c>
      <c r="T1588" s="7"/>
      <c r="U1588" t="s">
        <v>2912</v>
      </c>
      <c r="V1588" s="7" t="str">
        <f>+IF(U1588="","",IF(U1588="FINES",CONCATENATE("R",IF(OR(B1588="16",B1588="21",B1588="22",B1588="23"),"16212223",IF(OR(B1588="15",B1588="17",B1588="24",B1588="25"),"15172425",B1588))),IF(U1588="CEBAS","UNICO",IF(VALUE(B1588)&lt;=11,"AMBA","INTERIOR"))))</f>
        <v>INTERIOR</v>
      </c>
      <c r="W1588" s="38" t="str">
        <f>+IF(U1588="","-",CONCATENATE(U1588,"_",V1588))</f>
        <v>EPA_INTERIOR</v>
      </c>
      <c r="X1588" s="42">
        <v>0.55400000000000005</v>
      </c>
    </row>
    <row r="1589" spans="1:24" ht="15" thickBot="1">
      <c r="A1589" s="3" t="s">
        <v>2916</v>
      </c>
      <c r="B1589" s="3" t="s">
        <v>221</v>
      </c>
      <c r="C1589" s="3" t="s">
        <v>230</v>
      </c>
      <c r="D1589" s="3" t="s">
        <v>432</v>
      </c>
      <c r="E1589" s="3">
        <v>605510</v>
      </c>
      <c r="F1589" s="3">
        <v>0</v>
      </c>
      <c r="G1589" s="3" t="s">
        <v>434</v>
      </c>
      <c r="H1589" s="3" t="s">
        <v>20</v>
      </c>
      <c r="I1589" s="4" t="s">
        <v>110</v>
      </c>
      <c r="J1589" s="4" t="s">
        <v>21</v>
      </c>
      <c r="K1589" s="4"/>
      <c r="L1589" s="4" t="s">
        <v>445</v>
      </c>
      <c r="M1589" s="4" t="s">
        <v>22</v>
      </c>
      <c r="N1589" s="4" t="s">
        <v>23</v>
      </c>
      <c r="O1589" s="4" t="s">
        <v>27</v>
      </c>
      <c r="P1589" s="4" t="s">
        <v>28</v>
      </c>
      <c r="Q1589" s="24">
        <v>89</v>
      </c>
      <c r="R1589" s="25">
        <v>10</v>
      </c>
      <c r="S1589" s="39">
        <v>1</v>
      </c>
      <c r="T1589" s="7"/>
      <c r="U1589" t="s">
        <v>2912</v>
      </c>
      <c r="V1589" s="7" t="str">
        <f>+IF(U1589="","",IF(U1589="FINES",CONCATENATE("R",IF(OR(B1589="16",B1589="21",B1589="22",B1589="23"),"16212223",IF(OR(B1589="15",B1589="17",B1589="24",B1589="25"),"15172425",B1589))),IF(U1589="CEBAS","UNICO",IF(VALUE(B1589)&lt;=11,"AMBA","INTERIOR"))))</f>
        <v>INTERIOR</v>
      </c>
      <c r="W1589" s="38" t="str">
        <f>+IF(U1589="","-",CONCATENATE(U1589,"_",V1589))</f>
        <v>EPA_INTERIOR</v>
      </c>
      <c r="X1589" s="42">
        <v>0.56399999999999995</v>
      </c>
    </row>
    <row r="1590" spans="1:24" ht="15" thickBot="1">
      <c r="A1590" s="5" t="s">
        <v>2916</v>
      </c>
      <c r="B1590" s="5" t="s">
        <v>516</v>
      </c>
      <c r="C1590" s="5" t="s">
        <v>1348</v>
      </c>
      <c r="D1590" s="5" t="s">
        <v>1349</v>
      </c>
      <c r="E1590" s="5">
        <v>607974</v>
      </c>
      <c r="F1590" s="5">
        <v>0</v>
      </c>
      <c r="G1590" s="5" t="s">
        <v>1351</v>
      </c>
      <c r="H1590" s="5" t="s">
        <v>20</v>
      </c>
      <c r="I1590" s="6" t="s">
        <v>110</v>
      </c>
      <c r="J1590" s="6" t="s">
        <v>21</v>
      </c>
      <c r="K1590" s="6"/>
      <c r="L1590" s="6" t="s">
        <v>1356</v>
      </c>
      <c r="M1590" s="6" t="s">
        <v>22</v>
      </c>
      <c r="N1590" s="6" t="s">
        <v>23</v>
      </c>
      <c r="O1590" s="6" t="s">
        <v>27</v>
      </c>
      <c r="P1590" s="6" t="s">
        <v>28</v>
      </c>
      <c r="Q1590" s="22">
        <v>162</v>
      </c>
      <c r="R1590" s="23">
        <v>4</v>
      </c>
      <c r="S1590" s="39">
        <v>1</v>
      </c>
      <c r="T1590" s="7"/>
      <c r="U1590" s="7" t="s">
        <v>2912</v>
      </c>
      <c r="V1590" s="7" t="str">
        <f>+IF(U1590="","",IF(U1590="FINES",CONCATENATE("R",IF(OR(B1590="16",B1590="21",B1590="22",B1590="23"),"16212223",IF(OR(B1590="15",B1590="17",B1590="24",B1590="25"),"15172425",B1590))),IF(U1590="CEBAS","UNICO",IF(VALUE(B1590)&lt;=11,"AMBA","INTERIOR"))))</f>
        <v>INTERIOR</v>
      </c>
      <c r="W1590" s="38" t="str">
        <f>+IF(U1590="","-",CONCATENATE(U1590,"_",V1590))</f>
        <v>EPA_INTERIOR</v>
      </c>
      <c r="X1590" s="42">
        <v>0.56499999999999995</v>
      </c>
    </row>
    <row r="1591" spans="1:24" ht="15" thickBot="1">
      <c r="A1591" s="5" t="s">
        <v>2916</v>
      </c>
      <c r="B1591" s="5" t="s">
        <v>203</v>
      </c>
      <c r="C1591" s="5" t="s">
        <v>590</v>
      </c>
      <c r="D1591" s="5" t="s">
        <v>2553</v>
      </c>
      <c r="E1591" s="5">
        <v>601792</v>
      </c>
      <c r="F1591" s="5">
        <v>0</v>
      </c>
      <c r="G1591" s="5" t="s">
        <v>2555</v>
      </c>
      <c r="H1591" s="5" t="s">
        <v>20</v>
      </c>
      <c r="I1591" s="6" t="s">
        <v>110</v>
      </c>
      <c r="J1591" s="6" t="s">
        <v>21</v>
      </c>
      <c r="K1591" s="6"/>
      <c r="L1591" s="6" t="s">
        <v>735</v>
      </c>
      <c r="M1591" s="6" t="s">
        <v>22</v>
      </c>
      <c r="N1591" s="6" t="s">
        <v>23</v>
      </c>
      <c r="O1591" s="6" t="s">
        <v>27</v>
      </c>
      <c r="P1591" s="6" t="s">
        <v>28</v>
      </c>
      <c r="Q1591" s="22">
        <v>115</v>
      </c>
      <c r="R1591" s="23">
        <v>11</v>
      </c>
      <c r="S1591" s="39">
        <v>1</v>
      </c>
      <c r="T1591" s="7"/>
      <c r="U1591" s="7" t="s">
        <v>2912</v>
      </c>
      <c r="V1591" s="7" t="str">
        <f>+IF(U1591="","",IF(U1591="FINES",CONCATENATE("R",IF(OR(B1591="16",B1591="21",B1591="22",B1591="23"),"16212223",IF(OR(B1591="15",B1591="17",B1591="24",B1591="25"),"15172425",B1591))),IF(U1591="CEBAS","UNICO",IF(VALUE(B1591)&lt;=11,"AMBA","INTERIOR"))))</f>
        <v>INTERIOR</v>
      </c>
      <c r="W1591" s="38" t="str">
        <f>+IF(U1591="","-",CONCATENATE(U1591,"_",V1591))</f>
        <v>EPA_INTERIOR</v>
      </c>
      <c r="X1591" s="42">
        <v>0.56699999999999995</v>
      </c>
    </row>
    <row r="1592" spans="1:24" ht="15" thickBot="1">
      <c r="A1592" s="3" t="s">
        <v>2916</v>
      </c>
      <c r="B1592" s="3" t="s">
        <v>223</v>
      </c>
      <c r="C1592" s="3" t="s">
        <v>2184</v>
      </c>
      <c r="D1592" s="3" t="s">
        <v>2185</v>
      </c>
      <c r="E1592" s="3">
        <v>604002</v>
      </c>
      <c r="F1592" s="3">
        <v>0</v>
      </c>
      <c r="G1592" s="3" t="s">
        <v>2188</v>
      </c>
      <c r="H1592" s="3" t="s">
        <v>20</v>
      </c>
      <c r="I1592" s="4" t="s">
        <v>110</v>
      </c>
      <c r="J1592" s="4" t="s">
        <v>21</v>
      </c>
      <c r="K1592" s="4"/>
      <c r="L1592" s="4" t="s">
        <v>2189</v>
      </c>
      <c r="M1592" s="4" t="s">
        <v>22</v>
      </c>
      <c r="N1592" s="4" t="s">
        <v>23</v>
      </c>
      <c r="O1592" s="4" t="s">
        <v>27</v>
      </c>
      <c r="P1592" s="4" t="s">
        <v>28</v>
      </c>
      <c r="Q1592" s="24">
        <v>15</v>
      </c>
      <c r="R1592" s="25">
        <v>3</v>
      </c>
      <c r="S1592" s="39">
        <v>1</v>
      </c>
      <c r="T1592" s="7"/>
      <c r="U1592" s="7" t="s">
        <v>2912</v>
      </c>
      <c r="V1592" s="7" t="str">
        <f>+IF(U1592="","",IF(U1592="FINES",CONCATENATE("R",IF(OR(B1592="16",B1592="21",B1592="22",B1592="23"),"16212223",IF(OR(B1592="15",B1592="17",B1592="24",B1592="25"),"15172425",B1592))),IF(U1592="CEBAS","UNICO",IF(VALUE(B1592)&lt;=11,"AMBA","INTERIOR"))))</f>
        <v>INTERIOR</v>
      </c>
      <c r="W1592" s="38" t="str">
        <f>+IF(U1592="","-",CONCATENATE(U1592,"_",V1592))</f>
        <v>EPA_INTERIOR</v>
      </c>
      <c r="X1592" s="42">
        <v>0.57599999999999996</v>
      </c>
    </row>
    <row r="1593" spans="1:24" ht="15" thickBot="1">
      <c r="A1593" s="5" t="s">
        <v>2916</v>
      </c>
      <c r="B1593" s="5" t="s">
        <v>223</v>
      </c>
      <c r="C1593" s="5" t="s">
        <v>683</v>
      </c>
      <c r="D1593" s="5" t="s">
        <v>684</v>
      </c>
      <c r="E1593" s="5">
        <v>600766</v>
      </c>
      <c r="F1593" s="5">
        <v>0</v>
      </c>
      <c r="G1593" s="5" t="s">
        <v>685</v>
      </c>
      <c r="H1593" s="5" t="s">
        <v>20</v>
      </c>
      <c r="I1593" s="6" t="s">
        <v>110</v>
      </c>
      <c r="J1593" s="6" t="s">
        <v>21</v>
      </c>
      <c r="K1593" s="6"/>
      <c r="L1593" s="6" t="s">
        <v>594</v>
      </c>
      <c r="M1593" s="6" t="s">
        <v>22</v>
      </c>
      <c r="N1593" s="6" t="s">
        <v>23</v>
      </c>
      <c r="O1593" s="6" t="s">
        <v>27</v>
      </c>
      <c r="P1593" s="6" t="s">
        <v>28</v>
      </c>
      <c r="Q1593" s="22">
        <v>51</v>
      </c>
      <c r="R1593" s="23">
        <v>5</v>
      </c>
      <c r="S1593" s="39">
        <v>1</v>
      </c>
      <c r="T1593" s="7"/>
      <c r="U1593" s="7" t="s">
        <v>2912</v>
      </c>
      <c r="V1593" s="7" t="str">
        <f>+IF(U1593="","",IF(U1593="FINES",CONCATENATE("R",IF(OR(B1593="16",B1593="21",B1593="22",B1593="23"),"16212223",IF(OR(B1593="15",B1593="17",B1593="24",B1593="25"),"15172425",B1593))),IF(U1593="CEBAS","UNICO",IF(VALUE(B1593)&lt;=11,"AMBA","INTERIOR"))))</f>
        <v>INTERIOR</v>
      </c>
      <c r="W1593" s="38" t="str">
        <f>+IF(U1593="","-",CONCATENATE(U1593,"_",V1593))</f>
        <v>EPA_INTERIOR</v>
      </c>
      <c r="X1593" s="42">
        <v>0.57599999999999996</v>
      </c>
    </row>
    <row r="1594" spans="1:24" ht="15" thickBot="1">
      <c r="A1594" s="3" t="s">
        <v>2916</v>
      </c>
      <c r="B1594" s="3" t="s">
        <v>203</v>
      </c>
      <c r="C1594" s="3" t="s">
        <v>450</v>
      </c>
      <c r="D1594" s="3" t="s">
        <v>452</v>
      </c>
      <c r="E1594" s="3">
        <v>604490</v>
      </c>
      <c r="F1594" s="3">
        <v>0</v>
      </c>
      <c r="G1594" s="3" t="s">
        <v>488</v>
      </c>
      <c r="H1594" s="3" t="s">
        <v>20</v>
      </c>
      <c r="I1594" s="4" t="s">
        <v>110</v>
      </c>
      <c r="J1594" s="4" t="s">
        <v>21</v>
      </c>
      <c r="K1594" s="4"/>
      <c r="L1594" s="4" t="s">
        <v>111</v>
      </c>
      <c r="M1594" s="4" t="s">
        <v>22</v>
      </c>
      <c r="N1594" s="4" t="s">
        <v>23</v>
      </c>
      <c r="O1594" s="4" t="s">
        <v>27</v>
      </c>
      <c r="P1594" s="4" t="s">
        <v>28</v>
      </c>
      <c r="Q1594" s="24">
        <v>134</v>
      </c>
      <c r="R1594" s="25">
        <v>12</v>
      </c>
      <c r="S1594" s="39">
        <v>1</v>
      </c>
      <c r="T1594" s="7"/>
      <c r="U1594" s="7" t="s">
        <v>2912</v>
      </c>
      <c r="V1594" s="7" t="str">
        <f>+IF(U1594="","",IF(U1594="FINES",CONCATENATE("R",IF(OR(B1594="16",B1594="21",B1594="22",B1594="23"),"16212223",IF(OR(B1594="15",B1594="17",B1594="24",B1594="25"),"15172425",B1594))),IF(U1594="CEBAS","UNICO",IF(VALUE(B1594)&lt;=11,"AMBA","INTERIOR"))))</f>
        <v>INTERIOR</v>
      </c>
      <c r="W1594" s="38" t="str">
        <f>+IF(U1594="","-",CONCATENATE(U1594,"_",V1594))</f>
        <v>EPA_INTERIOR</v>
      </c>
      <c r="X1594" s="42">
        <v>0.57999999999999996</v>
      </c>
    </row>
    <row r="1595" spans="1:24" ht="15" thickBot="1">
      <c r="A1595" s="5" t="s">
        <v>2916</v>
      </c>
      <c r="B1595" s="5" t="s">
        <v>140</v>
      </c>
      <c r="C1595" s="5" t="s">
        <v>136</v>
      </c>
      <c r="D1595" s="5" t="s">
        <v>559</v>
      </c>
      <c r="E1595" s="5">
        <v>613508</v>
      </c>
      <c r="F1595" s="5">
        <v>0</v>
      </c>
      <c r="G1595" s="5" t="s">
        <v>561</v>
      </c>
      <c r="H1595" s="5" t="s">
        <v>20</v>
      </c>
      <c r="I1595" s="6" t="s">
        <v>110</v>
      </c>
      <c r="J1595" s="6" t="s">
        <v>21</v>
      </c>
      <c r="K1595" s="6"/>
      <c r="L1595" s="6" t="s">
        <v>567</v>
      </c>
      <c r="M1595" s="6" t="s">
        <v>22</v>
      </c>
      <c r="N1595" s="6" t="s">
        <v>23</v>
      </c>
      <c r="O1595" s="6" t="s">
        <v>27</v>
      </c>
      <c r="P1595" s="6" t="s">
        <v>28</v>
      </c>
      <c r="Q1595" s="22">
        <v>81</v>
      </c>
      <c r="R1595" s="23">
        <v>5</v>
      </c>
      <c r="S1595" s="39">
        <v>1</v>
      </c>
      <c r="T1595" s="7"/>
      <c r="U1595" s="7" t="s">
        <v>2912</v>
      </c>
      <c r="V1595" s="7" t="str">
        <f>+IF(U1595="","",IF(U1595="FINES",CONCATENATE("R",IF(OR(B1595="16",B1595="21",B1595="22",B1595="23"),"16212223",IF(OR(B1595="15",B1595="17",B1595="24",B1595="25"),"15172425",B1595))),IF(U1595="CEBAS","UNICO",IF(VALUE(B1595)&lt;=11,"AMBA","INTERIOR"))))</f>
        <v>INTERIOR</v>
      </c>
      <c r="W1595" s="38" t="str">
        <f>+IF(U1595="","-",CONCATENATE(U1595,"_",V1595))</f>
        <v>EPA_INTERIOR</v>
      </c>
      <c r="X1595" s="42">
        <v>0.58399999999999996</v>
      </c>
    </row>
    <row r="1596" spans="1:24" ht="15" thickBot="1">
      <c r="A1596" s="5" t="s">
        <v>2916</v>
      </c>
      <c r="B1596" s="5" t="s">
        <v>140</v>
      </c>
      <c r="C1596" s="5" t="s">
        <v>2277</v>
      </c>
      <c r="D1596" s="5" t="s">
        <v>2278</v>
      </c>
      <c r="E1596" s="5">
        <v>604560</v>
      </c>
      <c r="F1596" s="5">
        <v>0</v>
      </c>
      <c r="G1596" s="5" t="s">
        <v>2282</v>
      </c>
      <c r="H1596" s="5" t="s">
        <v>20</v>
      </c>
      <c r="I1596" s="6" t="s">
        <v>110</v>
      </c>
      <c r="J1596" s="6" t="s">
        <v>21</v>
      </c>
      <c r="K1596" s="6"/>
      <c r="L1596" s="6" t="s">
        <v>2310</v>
      </c>
      <c r="M1596" s="6" t="s">
        <v>22</v>
      </c>
      <c r="N1596" s="6" t="s">
        <v>23</v>
      </c>
      <c r="O1596" s="6" t="s">
        <v>27</v>
      </c>
      <c r="P1596" s="6" t="s">
        <v>28</v>
      </c>
      <c r="Q1596" s="22">
        <v>65</v>
      </c>
      <c r="R1596" s="23">
        <v>4</v>
      </c>
      <c r="S1596" s="39">
        <v>1</v>
      </c>
      <c r="T1596" s="7"/>
      <c r="U1596" s="7" t="s">
        <v>2912</v>
      </c>
      <c r="V1596" s="7" t="str">
        <f>+IF(U1596="","",IF(U1596="FINES",CONCATENATE("R",IF(OR(B1596="16",B1596="21",B1596="22",B1596="23"),"16212223",IF(OR(B1596="15",B1596="17",B1596="24",B1596="25"),"15172425",B1596))),IF(U1596="CEBAS","UNICO",IF(VALUE(B1596)&lt;=11,"AMBA","INTERIOR"))))</f>
        <v>INTERIOR</v>
      </c>
      <c r="W1596" s="38" t="str">
        <f>+IF(U1596="","-",CONCATENATE(U1596,"_",V1596))</f>
        <v>EPA_INTERIOR</v>
      </c>
      <c r="X1596" s="42">
        <v>0.59199999999999997</v>
      </c>
    </row>
    <row r="1597" spans="1:24" ht="15" thickBot="1">
      <c r="A1597" s="5" t="s">
        <v>2916</v>
      </c>
      <c r="B1597" s="5" t="s">
        <v>140</v>
      </c>
      <c r="C1597" s="5" t="s">
        <v>2277</v>
      </c>
      <c r="D1597" s="5" t="s">
        <v>2278</v>
      </c>
      <c r="E1597" s="5">
        <v>600849</v>
      </c>
      <c r="F1597" s="5">
        <v>0</v>
      </c>
      <c r="G1597" s="5" t="s">
        <v>2292</v>
      </c>
      <c r="H1597" s="5" t="s">
        <v>20</v>
      </c>
      <c r="I1597" s="6" t="s">
        <v>110</v>
      </c>
      <c r="J1597" s="6" t="s">
        <v>21</v>
      </c>
      <c r="K1597" s="6"/>
      <c r="L1597" s="6" t="s">
        <v>2308</v>
      </c>
      <c r="M1597" s="6" t="s">
        <v>22</v>
      </c>
      <c r="N1597" s="6" t="s">
        <v>23</v>
      </c>
      <c r="O1597" s="6" t="s">
        <v>27</v>
      </c>
      <c r="P1597" s="6" t="s">
        <v>28</v>
      </c>
      <c r="Q1597" s="22">
        <v>73</v>
      </c>
      <c r="R1597" s="23">
        <v>5</v>
      </c>
      <c r="S1597" s="39">
        <v>1</v>
      </c>
      <c r="T1597" s="7"/>
      <c r="U1597" s="7" t="s">
        <v>2912</v>
      </c>
      <c r="V1597" s="7" t="str">
        <f>+IF(U1597="","",IF(U1597="FINES",CONCATENATE("R",IF(OR(B1597="16",B1597="21",B1597="22",B1597="23"),"16212223",IF(OR(B1597="15",B1597="17",B1597="24",B1597="25"),"15172425",B1597))),IF(U1597="CEBAS","UNICO",IF(VALUE(B1597)&lt;=11,"AMBA","INTERIOR"))))</f>
        <v>INTERIOR</v>
      </c>
      <c r="W1597" s="38" t="str">
        <f>+IF(U1597="","-",CONCATENATE(U1597,"_",V1597))</f>
        <v>EPA_INTERIOR</v>
      </c>
      <c r="X1597" s="42">
        <v>0.61</v>
      </c>
    </row>
    <row r="1598" spans="1:24" ht="15" thickBot="1">
      <c r="A1598" s="5" t="s">
        <v>2916</v>
      </c>
      <c r="B1598" s="5" t="s">
        <v>206</v>
      </c>
      <c r="C1598" s="5" t="s">
        <v>739</v>
      </c>
      <c r="D1598" s="5" t="s">
        <v>740</v>
      </c>
      <c r="E1598" s="5">
        <v>606035</v>
      </c>
      <c r="F1598" s="5">
        <v>0</v>
      </c>
      <c r="G1598" s="5" t="s">
        <v>742</v>
      </c>
      <c r="H1598" s="5" t="s">
        <v>20</v>
      </c>
      <c r="I1598" s="6" t="s">
        <v>110</v>
      </c>
      <c r="J1598" s="6" t="s">
        <v>21</v>
      </c>
      <c r="K1598" s="6"/>
      <c r="L1598" s="6" t="s">
        <v>746</v>
      </c>
      <c r="M1598" s="6" t="s">
        <v>22</v>
      </c>
      <c r="N1598" s="6" t="s">
        <v>23</v>
      </c>
      <c r="O1598" s="6" t="s">
        <v>27</v>
      </c>
      <c r="P1598" s="6" t="s">
        <v>28</v>
      </c>
      <c r="Q1598" s="22">
        <v>69</v>
      </c>
      <c r="R1598" s="23">
        <v>4</v>
      </c>
      <c r="S1598" s="39">
        <v>1</v>
      </c>
      <c r="T1598" s="7"/>
      <c r="U1598" s="7" t="s">
        <v>2912</v>
      </c>
      <c r="V1598" s="7" t="str">
        <f>+IF(U1598="","",IF(U1598="FINES",CONCATENATE("R",IF(OR(B1598="16",B1598="21",B1598="22",B1598="23"),"16212223",IF(OR(B1598="15",B1598="17",B1598="24",B1598="25"),"15172425",B1598))),IF(U1598="CEBAS","UNICO",IF(VALUE(B1598)&lt;=11,"AMBA","INTERIOR"))))</f>
        <v>INTERIOR</v>
      </c>
      <c r="W1598" s="38" t="str">
        <f>+IF(U1598="","-",CONCATENATE(U1598,"_",V1598))</f>
        <v>EPA_INTERIOR</v>
      </c>
      <c r="X1598" s="42">
        <v>0.63500000000000001</v>
      </c>
    </row>
    <row r="1599" spans="1:24" ht="15" thickBot="1">
      <c r="A1599" s="3" t="s">
        <v>2916</v>
      </c>
      <c r="B1599" s="3" t="s">
        <v>410</v>
      </c>
      <c r="C1599" s="3" t="s">
        <v>423</v>
      </c>
      <c r="D1599" s="3" t="s">
        <v>425</v>
      </c>
      <c r="E1599" s="3">
        <v>603503</v>
      </c>
      <c r="F1599" s="3">
        <v>0</v>
      </c>
      <c r="G1599" s="3" t="s">
        <v>427</v>
      </c>
      <c r="H1599" s="3" t="s">
        <v>20</v>
      </c>
      <c r="I1599" s="4" t="s">
        <v>110</v>
      </c>
      <c r="J1599" s="4" t="s">
        <v>21</v>
      </c>
      <c r="K1599" s="4"/>
      <c r="L1599" s="4" t="s">
        <v>429</v>
      </c>
      <c r="M1599" s="4" t="s">
        <v>22</v>
      </c>
      <c r="N1599" s="4" t="s">
        <v>23</v>
      </c>
      <c r="O1599" s="4" t="s">
        <v>27</v>
      </c>
      <c r="P1599" s="4" t="s">
        <v>28</v>
      </c>
      <c r="Q1599" s="24">
        <v>71</v>
      </c>
      <c r="R1599" s="25">
        <v>4</v>
      </c>
      <c r="S1599" s="39">
        <v>1</v>
      </c>
      <c r="T1599" s="7"/>
      <c r="U1599" s="7" t="s">
        <v>2912</v>
      </c>
      <c r="V1599" s="7" t="str">
        <f>+IF(U1599="","",IF(U1599="FINES",CONCATENATE("R",IF(OR(B1599="16",B1599="21",B1599="22",B1599="23"),"16212223",IF(OR(B1599="15",B1599="17",B1599="24",B1599="25"),"15172425",B1599))),IF(U1599="CEBAS","UNICO",IF(VALUE(B1599)&lt;=11,"AMBA","INTERIOR"))))</f>
        <v>INTERIOR</v>
      </c>
      <c r="W1599" s="38" t="str">
        <f>+IF(U1599="","-",CONCATENATE(U1599,"_",V1599))</f>
        <v>EPA_INTERIOR</v>
      </c>
      <c r="X1599" s="42">
        <v>0.64500000000000002</v>
      </c>
    </row>
    <row r="1600" spans="1:24" ht="15" thickBot="1">
      <c r="A1600" s="5" t="s">
        <v>2916</v>
      </c>
      <c r="B1600" s="5" t="s">
        <v>140</v>
      </c>
      <c r="C1600" s="5" t="s">
        <v>2322</v>
      </c>
      <c r="D1600" s="5" t="s">
        <v>2323</v>
      </c>
      <c r="E1600" s="5">
        <v>607570</v>
      </c>
      <c r="F1600" s="5">
        <v>0</v>
      </c>
      <c r="G1600" s="5" t="s">
        <v>2328</v>
      </c>
      <c r="H1600" s="5" t="s">
        <v>20</v>
      </c>
      <c r="I1600" s="6" t="s">
        <v>110</v>
      </c>
      <c r="J1600" s="6" t="s">
        <v>21</v>
      </c>
      <c r="K1600" s="6"/>
      <c r="L1600" s="6" t="s">
        <v>2334</v>
      </c>
      <c r="M1600" s="6" t="s">
        <v>22</v>
      </c>
      <c r="N1600" s="6" t="s">
        <v>23</v>
      </c>
      <c r="O1600" s="6" t="s">
        <v>27</v>
      </c>
      <c r="P1600" s="6" t="s">
        <v>28</v>
      </c>
      <c r="Q1600" s="22">
        <v>166</v>
      </c>
      <c r="R1600" s="23">
        <v>12</v>
      </c>
      <c r="S1600" s="39">
        <v>1</v>
      </c>
      <c r="T1600" s="7"/>
      <c r="U1600" s="7" t="s">
        <v>2912</v>
      </c>
      <c r="V1600" s="7" t="str">
        <f>+IF(U1600="","",IF(U1600="FINES",CONCATENATE("R",IF(OR(B1600="16",B1600="21",B1600="22",B1600="23"),"16212223",IF(OR(B1600="15",B1600="17",B1600="24",B1600="25"),"15172425",B1600))),IF(U1600="CEBAS","UNICO",IF(VALUE(B1600)&lt;=11,"AMBA","INTERIOR"))))</f>
        <v>INTERIOR</v>
      </c>
      <c r="W1600" s="38" t="str">
        <f>+IF(U1600="","-",CONCATENATE(U1600,"_",V1600))</f>
        <v>EPA_INTERIOR</v>
      </c>
      <c r="X1600" s="42">
        <v>0.65100000000000002</v>
      </c>
    </row>
    <row r="1601" spans="1:24" ht="15" thickBot="1">
      <c r="A1601" s="5" t="s">
        <v>2916</v>
      </c>
      <c r="B1601" s="5" t="s">
        <v>225</v>
      </c>
      <c r="C1601" s="5" t="s">
        <v>942</v>
      </c>
      <c r="D1601" s="5" t="s">
        <v>943</v>
      </c>
      <c r="E1601" s="5">
        <v>613572</v>
      </c>
      <c r="F1601" s="5">
        <v>0</v>
      </c>
      <c r="G1601" s="5" t="s">
        <v>1008</v>
      </c>
      <c r="H1601" s="5" t="s">
        <v>20</v>
      </c>
      <c r="I1601" s="6" t="s">
        <v>110</v>
      </c>
      <c r="J1601" s="6" t="s">
        <v>21</v>
      </c>
      <c r="K1601" s="6"/>
      <c r="L1601" s="6" t="s">
        <v>1026</v>
      </c>
      <c r="M1601" s="6" t="s">
        <v>200</v>
      </c>
      <c r="N1601" s="6" t="s">
        <v>23</v>
      </c>
      <c r="O1601" s="6" t="s">
        <v>27</v>
      </c>
      <c r="P1601" s="6" t="s">
        <v>28</v>
      </c>
      <c r="Q1601" s="22">
        <v>75</v>
      </c>
      <c r="R1601" s="23">
        <v>5</v>
      </c>
      <c r="S1601" s="39">
        <v>1</v>
      </c>
      <c r="T1601" s="7"/>
      <c r="U1601" s="7" t="s">
        <v>2912</v>
      </c>
      <c r="V1601" s="7" t="str">
        <f>+IF(U1601="","",IF(U1601="FINES",CONCATENATE("R",IF(OR(B1601="16",B1601="21",B1601="22",B1601="23"),"16212223",IF(OR(B1601="15",B1601="17",B1601="24",B1601="25"),"15172425",B1601))),IF(U1601="CEBAS","UNICO",IF(VALUE(B1601)&lt;=11,"AMBA","INTERIOR"))))</f>
        <v>INTERIOR</v>
      </c>
      <c r="W1601" s="38" t="str">
        <f>+IF(U1601="","-",CONCATENATE(U1601,"_",V1601))</f>
        <v>EPA_INTERIOR</v>
      </c>
      <c r="X1601" s="42">
        <v>0.66800000000000004</v>
      </c>
    </row>
    <row r="1602" spans="1:24" ht="15" thickBot="1">
      <c r="A1602" s="3" t="s">
        <v>2916</v>
      </c>
      <c r="B1602" s="3" t="s">
        <v>217</v>
      </c>
      <c r="C1602" s="3" t="s">
        <v>1499</v>
      </c>
      <c r="D1602" s="3" t="s">
        <v>1500</v>
      </c>
      <c r="E1602" s="3">
        <v>601449</v>
      </c>
      <c r="F1602" s="3">
        <v>0</v>
      </c>
      <c r="G1602" s="3" t="s">
        <v>1502</v>
      </c>
      <c r="H1602" s="3" t="s">
        <v>20</v>
      </c>
      <c r="I1602" s="4" t="s">
        <v>110</v>
      </c>
      <c r="J1602" s="4" t="s">
        <v>21</v>
      </c>
      <c r="K1602" s="4"/>
      <c r="L1602" s="4" t="s">
        <v>1505</v>
      </c>
      <c r="M1602" s="4" t="s">
        <v>22</v>
      </c>
      <c r="N1602" s="4" t="s">
        <v>23</v>
      </c>
      <c r="O1602" s="4" t="s">
        <v>27</v>
      </c>
      <c r="P1602" s="4" t="s">
        <v>28</v>
      </c>
      <c r="Q1602" s="24">
        <v>22</v>
      </c>
      <c r="R1602" s="25">
        <v>2</v>
      </c>
      <c r="S1602" s="39">
        <v>1</v>
      </c>
      <c r="T1602" s="7"/>
      <c r="U1602" s="7" t="s">
        <v>2912</v>
      </c>
      <c r="V1602" s="7" t="str">
        <f>+IF(U1602="","",IF(U1602="FINES",CONCATENATE("R",IF(OR(B1602="16",B1602="21",B1602="22",B1602="23"),"16212223",IF(OR(B1602="15",B1602="17",B1602="24",B1602="25"),"15172425",B1602))),IF(U1602="CEBAS","UNICO",IF(VALUE(B1602)&lt;=11,"AMBA","INTERIOR"))))</f>
        <v>INTERIOR</v>
      </c>
      <c r="W1602" s="38" t="str">
        <f>+IF(U1602="","-",CONCATENATE(U1602,"_",V1602))</f>
        <v>EPA_INTERIOR</v>
      </c>
      <c r="X1602" s="42">
        <v>0.68</v>
      </c>
    </row>
    <row r="1603" spans="1:24" ht="15" thickBot="1">
      <c r="A1603" s="5" t="s">
        <v>2916</v>
      </c>
      <c r="B1603" s="5" t="s">
        <v>225</v>
      </c>
      <c r="C1603" s="5" t="s">
        <v>942</v>
      </c>
      <c r="D1603" s="5" t="s">
        <v>943</v>
      </c>
      <c r="E1603" s="5">
        <v>603194</v>
      </c>
      <c r="F1603" s="5">
        <v>0</v>
      </c>
      <c r="G1603" s="5" t="s">
        <v>959</v>
      </c>
      <c r="H1603" s="5" t="s">
        <v>20</v>
      </c>
      <c r="I1603" s="6" t="s">
        <v>110</v>
      </c>
      <c r="J1603" s="6" t="s">
        <v>21</v>
      </c>
      <c r="K1603" s="6"/>
      <c r="L1603" s="6" t="s">
        <v>1018</v>
      </c>
      <c r="M1603" s="6" t="s">
        <v>22</v>
      </c>
      <c r="N1603" s="6" t="s">
        <v>23</v>
      </c>
      <c r="O1603" s="6" t="s">
        <v>27</v>
      </c>
      <c r="P1603" s="6" t="s">
        <v>28</v>
      </c>
      <c r="Q1603" s="22">
        <v>111</v>
      </c>
      <c r="R1603" s="23">
        <v>11</v>
      </c>
      <c r="S1603" s="39">
        <v>1</v>
      </c>
      <c r="T1603" s="7"/>
      <c r="U1603" t="s">
        <v>2912</v>
      </c>
      <c r="V1603" s="7" t="str">
        <f>+IF(U1603="","",IF(U1603="FINES",CONCATENATE("R",IF(OR(B1603="16",B1603="21",B1603="22",B1603="23"),"16212223",IF(OR(B1603="15",B1603="17",B1603="24",B1603="25"),"15172425",B1603))),IF(U1603="CEBAS","UNICO",IF(VALUE(B1603)&lt;=11,"AMBA","INTERIOR"))))</f>
        <v>INTERIOR</v>
      </c>
      <c r="W1603" s="38" t="str">
        <f>+IF(U1603="","-",CONCATENATE(U1603,"_",V1603))</f>
        <v>EPA_INTERIOR</v>
      </c>
      <c r="X1603" s="42">
        <v>0.72799999999999998</v>
      </c>
    </row>
    <row r="1604" spans="1:24" ht="15" thickBot="1">
      <c r="A1604" s="5" t="s">
        <v>2916</v>
      </c>
      <c r="B1604" s="5" t="s">
        <v>205</v>
      </c>
      <c r="C1604" s="5" t="s">
        <v>255</v>
      </c>
      <c r="D1604" s="5" t="s">
        <v>750</v>
      </c>
      <c r="E1604" s="5">
        <v>611538</v>
      </c>
      <c r="F1604" s="5">
        <v>0</v>
      </c>
      <c r="G1604" s="5" t="s">
        <v>752</v>
      </c>
      <c r="H1604" s="5" t="s">
        <v>20</v>
      </c>
      <c r="I1604" s="6" t="s">
        <v>110</v>
      </c>
      <c r="J1604" s="6" t="s">
        <v>21</v>
      </c>
      <c r="K1604" s="6"/>
      <c r="L1604" s="6" t="s">
        <v>757</v>
      </c>
      <c r="M1604" s="6" t="s">
        <v>22</v>
      </c>
      <c r="N1604" s="6" t="s">
        <v>23</v>
      </c>
      <c r="O1604" s="6" t="s">
        <v>27</v>
      </c>
      <c r="P1604" s="6" t="s">
        <v>28</v>
      </c>
      <c r="Q1604" s="22">
        <v>126</v>
      </c>
      <c r="R1604" s="23">
        <v>8</v>
      </c>
      <c r="S1604" s="39">
        <v>1</v>
      </c>
      <c r="T1604" s="7"/>
      <c r="U1604" t="s">
        <v>2912</v>
      </c>
      <c r="V1604" s="7" t="str">
        <f>+IF(U1604="","",IF(U1604="FINES",CONCATENATE("R",IF(OR(B1604="16",B1604="21",B1604="22",B1604="23"),"16212223",IF(OR(B1604="15",B1604="17",B1604="24",B1604="25"),"15172425",B1604))),IF(U1604="CEBAS","UNICO",IF(VALUE(B1604)&lt;=11,"AMBA","INTERIOR"))))</f>
        <v>INTERIOR</v>
      </c>
      <c r="W1604" s="38" t="str">
        <f>+IF(U1604="","-",CONCATENATE(U1604,"_",V1604))</f>
        <v>EPA_INTERIOR</v>
      </c>
      <c r="X1604" s="42">
        <v>0.73799999999999999</v>
      </c>
    </row>
    <row r="1605" spans="1:24" ht="15" thickBot="1">
      <c r="A1605" s="5" t="s">
        <v>2916</v>
      </c>
      <c r="B1605" s="5" t="s">
        <v>352</v>
      </c>
      <c r="C1605" s="5" t="s">
        <v>1924</v>
      </c>
      <c r="D1605" s="5" t="s">
        <v>1925</v>
      </c>
      <c r="E1605" s="5">
        <v>605874</v>
      </c>
      <c r="F1605" s="5">
        <v>0</v>
      </c>
      <c r="G1605" s="5" t="s">
        <v>1930</v>
      </c>
      <c r="H1605" s="5" t="s">
        <v>20</v>
      </c>
      <c r="I1605" s="6" t="s">
        <v>110</v>
      </c>
      <c r="J1605" s="6" t="s">
        <v>21</v>
      </c>
      <c r="K1605" s="6"/>
      <c r="L1605" s="6" t="s">
        <v>1938</v>
      </c>
      <c r="M1605" s="6" t="s">
        <v>22</v>
      </c>
      <c r="N1605" s="6" t="s">
        <v>23</v>
      </c>
      <c r="O1605" s="6" t="s">
        <v>27</v>
      </c>
      <c r="P1605" s="6" t="s">
        <v>28</v>
      </c>
      <c r="Q1605" s="22">
        <v>54</v>
      </c>
      <c r="R1605" s="23">
        <v>6</v>
      </c>
      <c r="S1605" s="39">
        <v>1</v>
      </c>
      <c r="T1605" s="7"/>
      <c r="U1605" t="s">
        <v>2912</v>
      </c>
      <c r="V1605" s="7" t="str">
        <f>+IF(U1605="","",IF(U1605="FINES",CONCATENATE("R",IF(OR(B1605="16",B1605="21",B1605="22",B1605="23"),"16212223",IF(OR(B1605="15",B1605="17",B1605="24",B1605="25"),"15172425",B1605))),IF(U1605="CEBAS","UNICO",IF(VALUE(B1605)&lt;=11,"AMBA","INTERIOR"))))</f>
        <v>INTERIOR</v>
      </c>
      <c r="W1605" s="38" t="str">
        <f>+IF(U1605="","-",CONCATENATE(U1605,"_",V1605))</f>
        <v>EPA_INTERIOR</v>
      </c>
      <c r="X1605" s="42">
        <v>0.746</v>
      </c>
    </row>
    <row r="1606" spans="1:24" ht="15" thickBot="1">
      <c r="A1606" s="5" t="s">
        <v>2916</v>
      </c>
      <c r="B1606" s="5" t="s">
        <v>135</v>
      </c>
      <c r="C1606" s="5" t="s">
        <v>727</v>
      </c>
      <c r="D1606" s="5" t="s">
        <v>728</v>
      </c>
      <c r="E1606" s="5">
        <v>608058</v>
      </c>
      <c r="F1606" s="5">
        <v>0</v>
      </c>
      <c r="G1606" s="5" t="s">
        <v>731</v>
      </c>
      <c r="H1606" s="5" t="s">
        <v>20</v>
      </c>
      <c r="I1606" s="6" t="s">
        <v>110</v>
      </c>
      <c r="J1606" s="6" t="s">
        <v>21</v>
      </c>
      <c r="K1606" s="6"/>
      <c r="L1606" s="6" t="s">
        <v>735</v>
      </c>
      <c r="M1606" s="6" t="s">
        <v>22</v>
      </c>
      <c r="N1606" s="6" t="s">
        <v>23</v>
      </c>
      <c r="O1606" s="6" t="s">
        <v>27</v>
      </c>
      <c r="P1606" s="6" t="s">
        <v>28</v>
      </c>
      <c r="Q1606" s="22">
        <v>38</v>
      </c>
      <c r="R1606" s="23">
        <v>3</v>
      </c>
      <c r="S1606" s="39">
        <v>1</v>
      </c>
      <c r="T1606" s="7"/>
      <c r="U1606" t="s">
        <v>2912</v>
      </c>
      <c r="V1606" s="7" t="str">
        <f>+IF(U1606="","",IF(U1606="FINES",CONCATENATE("R",IF(OR(B1606="16",B1606="21",B1606="22",B1606="23"),"16212223",IF(OR(B1606="15",B1606="17",B1606="24",B1606="25"),"15172425",B1606))),IF(U1606="CEBAS","UNICO",IF(VALUE(B1606)&lt;=11,"AMBA","INTERIOR"))))</f>
        <v>INTERIOR</v>
      </c>
      <c r="W1606" s="38" t="str">
        <f>+IF(U1606="","-",CONCATENATE(U1606,"_",V1606))</f>
        <v>EPA_INTERIOR</v>
      </c>
      <c r="X1606" s="42">
        <v>0.75800000000000001</v>
      </c>
    </row>
    <row r="1607" spans="1:24" ht="15" thickBot="1">
      <c r="A1607" s="3" t="s">
        <v>2916</v>
      </c>
      <c r="B1607" s="3" t="s">
        <v>225</v>
      </c>
      <c r="C1607" s="3" t="s">
        <v>942</v>
      </c>
      <c r="D1607" s="3" t="s">
        <v>943</v>
      </c>
      <c r="E1607" s="3">
        <v>604925</v>
      </c>
      <c r="F1607" s="3">
        <v>0</v>
      </c>
      <c r="G1607" s="3" t="s">
        <v>954</v>
      </c>
      <c r="H1607" s="3" t="s">
        <v>20</v>
      </c>
      <c r="I1607" s="4" t="s">
        <v>110</v>
      </c>
      <c r="J1607" s="4" t="s">
        <v>21</v>
      </c>
      <c r="K1607" s="4"/>
      <c r="L1607" s="4" t="s">
        <v>1025</v>
      </c>
      <c r="M1607" s="4" t="s">
        <v>22</v>
      </c>
      <c r="N1607" s="4" t="s">
        <v>23</v>
      </c>
      <c r="O1607" s="4" t="s">
        <v>27</v>
      </c>
      <c r="P1607" s="4" t="s">
        <v>28</v>
      </c>
      <c r="Q1607" s="24">
        <v>66</v>
      </c>
      <c r="R1607" s="25">
        <v>5</v>
      </c>
      <c r="S1607" s="39">
        <v>1</v>
      </c>
      <c r="T1607" s="7"/>
      <c r="U1607" t="s">
        <v>2912</v>
      </c>
      <c r="V1607" s="7" t="str">
        <f>+IF(U1607="","",IF(U1607="FINES",CONCATENATE("R",IF(OR(B1607="16",B1607="21",B1607="22",B1607="23"),"16212223",IF(OR(B1607="15",B1607="17",B1607="24",B1607="25"),"15172425",B1607))),IF(U1607="CEBAS","UNICO",IF(VALUE(B1607)&lt;=11,"AMBA","INTERIOR"))))</f>
        <v>INTERIOR</v>
      </c>
      <c r="W1607" s="38" t="str">
        <f>+IF(U1607="","-",CONCATENATE(U1607,"_",V1607))</f>
        <v>EPA_INTERIOR</v>
      </c>
      <c r="X1607" s="42">
        <v>0.77200000000000002</v>
      </c>
    </row>
    <row r="1608" spans="1:24" ht="15" thickBot="1">
      <c r="A1608" s="3" t="s">
        <v>2916</v>
      </c>
      <c r="B1608" s="3" t="s">
        <v>205</v>
      </c>
      <c r="C1608" s="3" t="s">
        <v>2002</v>
      </c>
      <c r="D1608" s="3" t="s">
        <v>2003</v>
      </c>
      <c r="E1608" s="3">
        <v>607083</v>
      </c>
      <c r="F1608" s="3">
        <v>0</v>
      </c>
      <c r="G1608" s="3" t="s">
        <v>2007</v>
      </c>
      <c r="H1608" s="3" t="s">
        <v>20</v>
      </c>
      <c r="I1608" s="4" t="s">
        <v>110</v>
      </c>
      <c r="J1608" s="4" t="s">
        <v>21</v>
      </c>
      <c r="K1608" s="4"/>
      <c r="L1608" s="4" t="s">
        <v>2016</v>
      </c>
      <c r="M1608" s="4" t="s">
        <v>22</v>
      </c>
      <c r="N1608" s="4" t="s">
        <v>23</v>
      </c>
      <c r="O1608" s="4" t="s">
        <v>27</v>
      </c>
      <c r="P1608" s="4" t="s">
        <v>28</v>
      </c>
      <c r="Q1608" s="24">
        <v>58</v>
      </c>
      <c r="R1608" s="25">
        <v>4</v>
      </c>
      <c r="S1608" s="39">
        <v>1</v>
      </c>
      <c r="T1608" s="7"/>
      <c r="U1608" t="s">
        <v>2912</v>
      </c>
      <c r="V1608" s="7" t="str">
        <f>+IF(U1608="","",IF(U1608="FINES",CONCATENATE("R",IF(OR(B1608="16",B1608="21",B1608="22",B1608="23"),"16212223",IF(OR(B1608="15",B1608="17",B1608="24",B1608="25"),"15172425",B1608))),IF(U1608="CEBAS","UNICO",IF(VALUE(B1608)&lt;=11,"AMBA","INTERIOR"))))</f>
        <v>INTERIOR</v>
      </c>
      <c r="W1608" s="38" t="str">
        <f>+IF(U1608="","-",CONCATENATE(U1608,"_",V1608))</f>
        <v>EPA_INTERIOR</v>
      </c>
      <c r="X1608" s="42">
        <v>0.77800000000000002</v>
      </c>
    </row>
    <row r="1609" spans="1:24" ht="15" thickBot="1">
      <c r="A1609" s="3" t="s">
        <v>2916</v>
      </c>
      <c r="B1609" s="3" t="s">
        <v>410</v>
      </c>
      <c r="C1609" s="3" t="s">
        <v>908</v>
      </c>
      <c r="D1609" s="3" t="s">
        <v>909</v>
      </c>
      <c r="E1609" s="3">
        <v>624579</v>
      </c>
      <c r="F1609" s="3">
        <v>0</v>
      </c>
      <c r="G1609" s="3" t="s">
        <v>910</v>
      </c>
      <c r="H1609" s="3" t="s">
        <v>20</v>
      </c>
      <c r="I1609" s="4" t="s">
        <v>110</v>
      </c>
      <c r="J1609" s="4" t="s">
        <v>21</v>
      </c>
      <c r="K1609" s="4"/>
      <c r="L1609" s="4" t="s">
        <v>249</v>
      </c>
      <c r="M1609" s="4" t="s">
        <v>200</v>
      </c>
      <c r="N1609" s="4" t="s">
        <v>23</v>
      </c>
      <c r="O1609" s="4" t="s">
        <v>27</v>
      </c>
      <c r="P1609" s="4" t="s">
        <v>28</v>
      </c>
      <c r="Q1609" s="24">
        <v>21</v>
      </c>
      <c r="R1609" s="25">
        <v>1</v>
      </c>
      <c r="S1609" s="39">
        <v>1</v>
      </c>
      <c r="T1609" s="7"/>
      <c r="U1609" t="s">
        <v>2912</v>
      </c>
      <c r="V1609" s="7" t="str">
        <f>+IF(U1609="","",IF(U1609="FINES",CONCATENATE("R",IF(OR(B1609="16",B1609="21",B1609="22",B1609="23"),"16212223",IF(OR(B1609="15",B1609="17",B1609="24",B1609="25"),"15172425",B1609))),IF(U1609="CEBAS","UNICO",IF(VALUE(B1609)&lt;=11,"AMBA","INTERIOR"))))</f>
        <v>INTERIOR</v>
      </c>
      <c r="W1609" s="38" t="str">
        <f>+IF(U1609="","-",CONCATENATE(U1609,"_",V1609))</f>
        <v>EPA_INTERIOR</v>
      </c>
      <c r="X1609" s="42">
        <v>0.78</v>
      </c>
    </row>
    <row r="1610" spans="1:24" ht="15" thickBot="1">
      <c r="A1610" s="5" t="s">
        <v>2916</v>
      </c>
      <c r="B1610" s="5" t="s">
        <v>221</v>
      </c>
      <c r="C1610" s="5" t="s">
        <v>230</v>
      </c>
      <c r="D1610" s="5" t="s">
        <v>432</v>
      </c>
      <c r="E1610" s="5">
        <v>611200</v>
      </c>
      <c r="F1610" s="5">
        <v>0</v>
      </c>
      <c r="G1610" s="5" t="s">
        <v>443</v>
      </c>
      <c r="H1610" s="5" t="s">
        <v>20</v>
      </c>
      <c r="I1610" s="6" t="s">
        <v>110</v>
      </c>
      <c r="J1610" s="6" t="s">
        <v>21</v>
      </c>
      <c r="K1610" s="6"/>
      <c r="L1610" s="6" t="s">
        <v>444</v>
      </c>
      <c r="M1610" s="6" t="s">
        <v>22</v>
      </c>
      <c r="N1610" s="6" t="s">
        <v>23</v>
      </c>
      <c r="O1610" s="6" t="s">
        <v>27</v>
      </c>
      <c r="P1610" s="6" t="s">
        <v>28</v>
      </c>
      <c r="Q1610" s="22">
        <v>72</v>
      </c>
      <c r="R1610" s="23">
        <v>8</v>
      </c>
      <c r="S1610" s="39">
        <v>1</v>
      </c>
      <c r="T1610" s="7"/>
      <c r="U1610" s="7" t="s">
        <v>2912</v>
      </c>
      <c r="V1610" s="7" t="str">
        <f>+IF(U1610="","",IF(U1610="FINES",CONCATENATE("R",IF(OR(B1610="16",B1610="21",B1610="22",B1610="23"),"16212223",IF(OR(B1610="15",B1610="17",B1610="24",B1610="25"),"15172425",B1610))),IF(U1610="CEBAS","UNICO",IF(VALUE(B1610)&lt;=11,"AMBA","INTERIOR"))))</f>
        <v>INTERIOR</v>
      </c>
      <c r="W1610" s="38" t="str">
        <f>+IF(U1610="","-",CONCATENATE(U1610,"_",V1610))</f>
        <v>EPA_INTERIOR</v>
      </c>
      <c r="X1610" s="42">
        <v>0.79200000000000004</v>
      </c>
    </row>
    <row r="1611" spans="1:24" ht="15" thickBot="1">
      <c r="A1611" s="5" t="s">
        <v>2916</v>
      </c>
      <c r="B1611" s="5" t="s">
        <v>203</v>
      </c>
      <c r="C1611" s="5" t="s">
        <v>450</v>
      </c>
      <c r="D1611" s="5" t="s">
        <v>452</v>
      </c>
      <c r="E1611" s="5">
        <v>605439</v>
      </c>
      <c r="F1611" s="5">
        <v>0</v>
      </c>
      <c r="G1611" s="5" t="s">
        <v>477</v>
      </c>
      <c r="H1611" s="5" t="s">
        <v>20</v>
      </c>
      <c r="I1611" s="6" t="s">
        <v>110</v>
      </c>
      <c r="J1611" s="6" t="s">
        <v>21</v>
      </c>
      <c r="K1611" s="6"/>
      <c r="L1611" s="6" t="s">
        <v>491</v>
      </c>
      <c r="M1611" s="6" t="s">
        <v>22</v>
      </c>
      <c r="N1611" s="6" t="s">
        <v>23</v>
      </c>
      <c r="O1611" s="6" t="s">
        <v>27</v>
      </c>
      <c r="P1611" s="6" t="s">
        <v>28</v>
      </c>
      <c r="Q1611" s="22">
        <v>129</v>
      </c>
      <c r="R1611" s="23">
        <v>11</v>
      </c>
      <c r="S1611" s="39">
        <v>1</v>
      </c>
      <c r="T1611" s="7"/>
      <c r="U1611" s="7" t="s">
        <v>2912</v>
      </c>
      <c r="V1611" s="7" t="str">
        <f>+IF(U1611="","",IF(U1611="FINES",CONCATENATE("R",IF(OR(B1611="16",B1611="21",B1611="22",B1611="23"),"16212223",IF(OR(B1611="15",B1611="17",B1611="24",B1611="25"),"15172425",B1611))),IF(U1611="CEBAS","UNICO",IF(VALUE(B1611)&lt;=11,"AMBA","INTERIOR"))))</f>
        <v>INTERIOR</v>
      </c>
      <c r="W1611" s="38" t="str">
        <f>+IF(U1611="","-",CONCATENATE(U1611,"_",V1611))</f>
        <v>EPA_INTERIOR</v>
      </c>
      <c r="X1611" s="42">
        <v>0.79300000000000004</v>
      </c>
    </row>
    <row r="1612" spans="1:24" ht="15" thickBot="1">
      <c r="A1612" s="3" t="s">
        <v>2916</v>
      </c>
      <c r="B1612" s="3" t="s">
        <v>140</v>
      </c>
      <c r="C1612" s="3" t="s">
        <v>2277</v>
      </c>
      <c r="D1612" s="3" t="s">
        <v>2278</v>
      </c>
      <c r="E1612" s="3">
        <v>604559</v>
      </c>
      <c r="F1612" s="3">
        <v>0</v>
      </c>
      <c r="G1612" s="3" t="s">
        <v>2280</v>
      </c>
      <c r="H1612" s="3" t="s">
        <v>20</v>
      </c>
      <c r="I1612" s="4" t="s">
        <v>110</v>
      </c>
      <c r="J1612" s="4" t="s">
        <v>21</v>
      </c>
      <c r="K1612" s="4"/>
      <c r="L1612" s="4" t="s">
        <v>2307</v>
      </c>
      <c r="M1612" s="4" t="s">
        <v>22</v>
      </c>
      <c r="N1612" s="4" t="s">
        <v>23</v>
      </c>
      <c r="O1612" s="4" t="s">
        <v>27</v>
      </c>
      <c r="P1612" s="4" t="s">
        <v>28</v>
      </c>
      <c r="Q1612" s="24">
        <v>53</v>
      </c>
      <c r="R1612" s="25">
        <v>4</v>
      </c>
      <c r="S1612" s="39">
        <v>1</v>
      </c>
      <c r="T1612" s="7"/>
      <c r="U1612" s="7" t="s">
        <v>2912</v>
      </c>
      <c r="V1612" s="7" t="str">
        <f>+IF(U1612="","",IF(U1612="FINES",CONCATENATE("R",IF(OR(B1612="16",B1612="21",B1612="22",B1612="23"),"16212223",IF(OR(B1612="15",B1612="17",B1612="24",B1612="25"),"15172425",B1612))),IF(U1612="CEBAS","UNICO",IF(VALUE(B1612)&lt;=11,"AMBA","INTERIOR"))))</f>
        <v>INTERIOR</v>
      </c>
      <c r="W1612" s="38" t="str">
        <f>+IF(U1612="","-",CONCATENATE(U1612,"_",V1612))</f>
        <v>EPA_INTERIOR</v>
      </c>
      <c r="X1612" s="42">
        <v>0.80200000000000005</v>
      </c>
    </row>
    <row r="1613" spans="1:24" ht="15" thickBot="1">
      <c r="A1613" s="3" t="s">
        <v>2916</v>
      </c>
      <c r="B1613" s="3" t="s">
        <v>217</v>
      </c>
      <c r="C1613" s="3" t="s">
        <v>2027</v>
      </c>
      <c r="D1613" s="3" t="s">
        <v>2028</v>
      </c>
      <c r="E1613" s="3">
        <v>601475</v>
      </c>
      <c r="F1613" s="3">
        <v>0</v>
      </c>
      <c r="G1613" s="3" t="s">
        <v>2030</v>
      </c>
      <c r="H1613" s="3" t="s">
        <v>20</v>
      </c>
      <c r="I1613" s="4" t="s">
        <v>110</v>
      </c>
      <c r="J1613" s="4" t="s">
        <v>21</v>
      </c>
      <c r="K1613" s="4"/>
      <c r="L1613" s="4" t="s">
        <v>2037</v>
      </c>
      <c r="M1613" s="4" t="s">
        <v>22</v>
      </c>
      <c r="N1613" s="4" t="s">
        <v>23</v>
      </c>
      <c r="O1613" s="4" t="s">
        <v>27</v>
      </c>
      <c r="P1613" s="4" t="s">
        <v>28</v>
      </c>
      <c r="Q1613" s="24">
        <v>89</v>
      </c>
      <c r="R1613" s="25">
        <v>7</v>
      </c>
      <c r="S1613" s="39">
        <v>1</v>
      </c>
      <c r="T1613" s="7"/>
      <c r="U1613" s="7" t="s">
        <v>2912</v>
      </c>
      <c r="V1613" s="7" t="str">
        <f>+IF(U1613="","",IF(U1613="FINES",CONCATENATE("R",IF(OR(B1613="16",B1613="21",B1613="22",B1613="23"),"16212223",IF(OR(B1613="15",B1613="17",B1613="24",B1613="25"),"15172425",B1613))),IF(U1613="CEBAS","UNICO",IF(VALUE(B1613)&lt;=11,"AMBA","INTERIOR"))))</f>
        <v>INTERIOR</v>
      </c>
      <c r="W1613" s="38" t="str">
        <f>+IF(U1613="","-",CONCATENATE(U1613,"_",V1613))</f>
        <v>EPA_INTERIOR</v>
      </c>
      <c r="X1613" s="42">
        <v>0.80500000000000005</v>
      </c>
    </row>
    <row r="1614" spans="1:24" ht="15" thickBot="1">
      <c r="A1614" s="5" t="s">
        <v>2916</v>
      </c>
      <c r="B1614" s="5" t="s">
        <v>225</v>
      </c>
      <c r="C1614" s="5" t="s">
        <v>942</v>
      </c>
      <c r="D1614" s="5" t="s">
        <v>943</v>
      </c>
      <c r="E1614" s="5">
        <v>609275</v>
      </c>
      <c r="F1614" s="5">
        <v>0</v>
      </c>
      <c r="G1614" s="5" t="s">
        <v>978</v>
      </c>
      <c r="H1614" s="5" t="s">
        <v>20</v>
      </c>
      <c r="I1614" s="6" t="s">
        <v>110</v>
      </c>
      <c r="J1614" s="6" t="s">
        <v>21</v>
      </c>
      <c r="K1614" s="6"/>
      <c r="L1614" s="6" t="s">
        <v>1016</v>
      </c>
      <c r="M1614" s="6" t="s">
        <v>22</v>
      </c>
      <c r="N1614" s="6" t="s">
        <v>23</v>
      </c>
      <c r="O1614" s="6" t="s">
        <v>27</v>
      </c>
      <c r="P1614" s="6" t="s">
        <v>28</v>
      </c>
      <c r="Q1614" s="22">
        <v>102</v>
      </c>
      <c r="R1614" s="23">
        <v>6</v>
      </c>
      <c r="S1614" s="39">
        <v>1</v>
      </c>
      <c r="T1614" s="7"/>
      <c r="U1614" s="7" t="s">
        <v>2912</v>
      </c>
      <c r="V1614" s="7" t="str">
        <f>+IF(U1614="","",IF(U1614="FINES",CONCATENATE("R",IF(OR(B1614="16",B1614="21",B1614="22",B1614="23"),"16212223",IF(OR(B1614="15",B1614="17",B1614="24",B1614="25"),"15172425",B1614))),IF(U1614="CEBAS","UNICO",IF(VALUE(B1614)&lt;=11,"AMBA","INTERIOR"))))</f>
        <v>INTERIOR</v>
      </c>
      <c r="W1614" s="38" t="str">
        <f>+IF(U1614="","-",CONCATENATE(U1614,"_",V1614))</f>
        <v>EPA_INTERIOR</v>
      </c>
      <c r="X1614" s="42">
        <v>0.81100000000000005</v>
      </c>
    </row>
    <row r="1615" spans="1:24" ht="15" thickBot="1">
      <c r="A1615" s="3" t="s">
        <v>2916</v>
      </c>
      <c r="B1615" s="3" t="s">
        <v>516</v>
      </c>
      <c r="C1615" s="3" t="s">
        <v>889</v>
      </c>
      <c r="D1615" s="3" t="s">
        <v>2458</v>
      </c>
      <c r="E1615" s="3">
        <v>600026</v>
      </c>
      <c r="F1615" s="3">
        <v>0</v>
      </c>
      <c r="G1615" s="3" t="s">
        <v>2462</v>
      </c>
      <c r="H1615" s="3" t="s">
        <v>20</v>
      </c>
      <c r="I1615" s="4" t="s">
        <v>110</v>
      </c>
      <c r="J1615" s="4" t="s">
        <v>21</v>
      </c>
      <c r="K1615" s="4"/>
      <c r="L1615" s="4" t="s">
        <v>2467</v>
      </c>
      <c r="M1615" s="4" t="s">
        <v>22</v>
      </c>
      <c r="N1615" s="4" t="s">
        <v>23</v>
      </c>
      <c r="O1615" s="4" t="s">
        <v>27</v>
      </c>
      <c r="P1615" s="4" t="s">
        <v>28</v>
      </c>
      <c r="Q1615" s="24">
        <v>23</v>
      </c>
      <c r="R1615" s="25">
        <v>4</v>
      </c>
      <c r="S1615" s="39">
        <v>1</v>
      </c>
      <c r="T1615" s="7"/>
      <c r="U1615" s="7" t="s">
        <v>2912</v>
      </c>
      <c r="V1615" s="7" t="str">
        <f>+IF(U1615="","",IF(U1615="FINES",CONCATENATE("R",IF(OR(B1615="16",B1615="21",B1615="22",B1615="23"),"16212223",IF(OR(B1615="15",B1615="17",B1615="24",B1615="25"),"15172425",B1615))),IF(U1615="CEBAS","UNICO",IF(VALUE(B1615)&lt;=11,"AMBA","INTERIOR"))))</f>
        <v>INTERIOR</v>
      </c>
      <c r="W1615" s="38" t="str">
        <f>+IF(U1615="","-",CONCATENATE(U1615,"_",V1615))</f>
        <v>EPA_INTERIOR</v>
      </c>
      <c r="X1615" s="42">
        <v>0.81200000000000006</v>
      </c>
    </row>
    <row r="1616" spans="1:24" ht="15" thickBot="1">
      <c r="A1616" s="5" t="s">
        <v>2916</v>
      </c>
      <c r="B1616" s="5" t="s">
        <v>516</v>
      </c>
      <c r="C1616" s="5" t="s">
        <v>451</v>
      </c>
      <c r="D1616" s="5" t="s">
        <v>1315</v>
      </c>
      <c r="E1616" s="5">
        <v>603785</v>
      </c>
      <c r="F1616" s="5">
        <v>0</v>
      </c>
      <c r="G1616" s="5" t="s">
        <v>1317</v>
      </c>
      <c r="H1616" s="5" t="s">
        <v>20</v>
      </c>
      <c r="I1616" s="6" t="s">
        <v>110</v>
      </c>
      <c r="J1616" s="6" t="s">
        <v>21</v>
      </c>
      <c r="K1616" s="6"/>
      <c r="L1616" s="6" t="s">
        <v>1319</v>
      </c>
      <c r="M1616" s="6" t="s">
        <v>22</v>
      </c>
      <c r="N1616" s="6" t="s">
        <v>23</v>
      </c>
      <c r="O1616" s="6" t="s">
        <v>27</v>
      </c>
      <c r="P1616" s="6" t="s">
        <v>28</v>
      </c>
      <c r="Q1616" s="22">
        <v>96</v>
      </c>
      <c r="R1616" s="23">
        <v>5</v>
      </c>
      <c r="S1616" s="39">
        <v>1</v>
      </c>
      <c r="T1616" s="7"/>
      <c r="U1616" s="7" t="s">
        <v>2912</v>
      </c>
      <c r="V1616" s="7" t="str">
        <f>+IF(U1616="","",IF(U1616="FINES",CONCATENATE("R",IF(OR(B1616="16",B1616="21",B1616="22",B1616="23"),"16212223",IF(OR(B1616="15",B1616="17",B1616="24",B1616="25"),"15172425",B1616))),IF(U1616="CEBAS","UNICO",IF(VALUE(B1616)&lt;=11,"AMBA","INTERIOR"))))</f>
        <v>INTERIOR</v>
      </c>
      <c r="W1616" s="38" t="str">
        <f>+IF(U1616="","-",CONCATENATE(U1616,"_",V1616))</f>
        <v>EPA_INTERIOR</v>
      </c>
      <c r="X1616" s="42">
        <v>0.81799999999999995</v>
      </c>
    </row>
    <row r="1617" spans="1:24" ht="15" thickBot="1">
      <c r="A1617" s="5" t="s">
        <v>2916</v>
      </c>
      <c r="B1617" s="5" t="s">
        <v>598</v>
      </c>
      <c r="C1617" s="5" t="s">
        <v>1204</v>
      </c>
      <c r="D1617" s="5" t="s">
        <v>1206</v>
      </c>
      <c r="E1617" s="5">
        <v>608575</v>
      </c>
      <c r="F1617" s="5">
        <v>0</v>
      </c>
      <c r="G1617" s="5" t="s">
        <v>1209</v>
      </c>
      <c r="H1617" s="5" t="s">
        <v>20</v>
      </c>
      <c r="I1617" s="6" t="s">
        <v>110</v>
      </c>
      <c r="J1617" s="6" t="s">
        <v>21</v>
      </c>
      <c r="K1617" s="6"/>
      <c r="L1617" s="6" t="s">
        <v>1210</v>
      </c>
      <c r="M1617" s="6" t="s">
        <v>22</v>
      </c>
      <c r="N1617" s="6" t="s">
        <v>23</v>
      </c>
      <c r="O1617" s="6" t="s">
        <v>27</v>
      </c>
      <c r="P1617" s="6" t="s">
        <v>28</v>
      </c>
      <c r="Q1617" s="22">
        <v>146</v>
      </c>
      <c r="R1617" s="23">
        <v>12</v>
      </c>
      <c r="S1617" s="39">
        <v>1</v>
      </c>
      <c r="T1617" s="7"/>
      <c r="U1617" s="7" t="s">
        <v>2912</v>
      </c>
      <c r="V1617" s="7" t="str">
        <f>+IF(U1617="","",IF(U1617="FINES",CONCATENATE("R",IF(OR(B1617="16",B1617="21",B1617="22",B1617="23"),"16212223",IF(OR(B1617="15",B1617="17",B1617="24",B1617="25"),"15172425",B1617))),IF(U1617="CEBAS","UNICO",IF(VALUE(B1617)&lt;=11,"AMBA","INTERIOR"))))</f>
        <v>INTERIOR</v>
      </c>
      <c r="W1617" s="38" t="str">
        <f>+IF(U1617="","-",CONCATENATE(U1617,"_",V1617))</f>
        <v>EPA_INTERIOR</v>
      </c>
      <c r="X1617" s="42">
        <v>0.82099999999999995</v>
      </c>
    </row>
    <row r="1618" spans="1:24" ht="15" thickBot="1">
      <c r="A1618" s="5" t="s">
        <v>2916</v>
      </c>
      <c r="B1618" s="5" t="s">
        <v>203</v>
      </c>
      <c r="C1618" s="5" t="s">
        <v>1986</v>
      </c>
      <c r="D1618" s="5" t="s">
        <v>1987</v>
      </c>
      <c r="E1618" s="5">
        <v>613144</v>
      </c>
      <c r="F1618" s="5">
        <v>0</v>
      </c>
      <c r="G1618" s="5" t="s">
        <v>1993</v>
      </c>
      <c r="H1618" s="5" t="s">
        <v>20</v>
      </c>
      <c r="I1618" s="6" t="s">
        <v>110</v>
      </c>
      <c r="J1618" s="6" t="s">
        <v>21</v>
      </c>
      <c r="K1618" s="6"/>
      <c r="L1618" s="6" t="s">
        <v>1999</v>
      </c>
      <c r="M1618" s="6" t="s">
        <v>199</v>
      </c>
      <c r="N1618" s="6" t="s">
        <v>23</v>
      </c>
      <c r="O1618" s="6" t="s">
        <v>27</v>
      </c>
      <c r="P1618" s="6" t="s">
        <v>28</v>
      </c>
      <c r="Q1618" s="22">
        <v>36</v>
      </c>
      <c r="R1618" s="23">
        <v>2</v>
      </c>
      <c r="S1618" s="39">
        <v>1</v>
      </c>
      <c r="T1618" s="7"/>
      <c r="U1618" s="7" t="s">
        <v>2912</v>
      </c>
      <c r="V1618" s="7" t="str">
        <f>+IF(U1618="","",IF(U1618="FINES",CONCATENATE("R",IF(OR(B1618="16",B1618="21",B1618="22",B1618="23"),"16212223",IF(OR(B1618="15",B1618="17",B1618="24",B1618="25"),"15172425",B1618))),IF(U1618="CEBAS","UNICO",IF(VALUE(B1618)&lt;=11,"AMBA","INTERIOR"))))</f>
        <v>INTERIOR</v>
      </c>
      <c r="W1618" s="38" t="str">
        <f>+IF(U1618="","-",CONCATENATE(U1618,"_",V1618))</f>
        <v>EPA_INTERIOR</v>
      </c>
      <c r="X1618" s="42">
        <v>0.82099999999999995</v>
      </c>
    </row>
    <row r="1619" spans="1:24" ht="15" thickBot="1">
      <c r="A1619" s="3" t="s">
        <v>2916</v>
      </c>
      <c r="B1619" s="3" t="s">
        <v>205</v>
      </c>
      <c r="C1619" s="3" t="s">
        <v>228</v>
      </c>
      <c r="D1619" s="3" t="s">
        <v>2658</v>
      </c>
      <c r="E1619" s="3">
        <v>613720</v>
      </c>
      <c r="F1619" s="3">
        <v>0</v>
      </c>
      <c r="G1619" s="3" t="s">
        <v>2659</v>
      </c>
      <c r="H1619" s="3" t="s">
        <v>20</v>
      </c>
      <c r="I1619" s="4" t="s">
        <v>110</v>
      </c>
      <c r="J1619" s="4" t="s">
        <v>21</v>
      </c>
      <c r="K1619" s="4"/>
      <c r="L1619" s="4" t="s">
        <v>249</v>
      </c>
      <c r="M1619" s="4" t="s">
        <v>22</v>
      </c>
      <c r="N1619" s="4" t="s">
        <v>23</v>
      </c>
      <c r="O1619" s="4" t="s">
        <v>27</v>
      </c>
      <c r="P1619" s="4" t="s">
        <v>28</v>
      </c>
      <c r="Q1619" s="24">
        <v>19</v>
      </c>
      <c r="R1619" s="25">
        <v>2</v>
      </c>
      <c r="S1619" s="39">
        <v>1</v>
      </c>
      <c r="T1619" s="7"/>
      <c r="U1619" s="7" t="s">
        <v>2912</v>
      </c>
      <c r="V1619" s="7" t="str">
        <f>+IF(U1619="","",IF(U1619="FINES",CONCATENATE("R",IF(OR(B1619="16",B1619="21",B1619="22",B1619="23"),"16212223",IF(OR(B1619="15",B1619="17",B1619="24",B1619="25"),"15172425",B1619))),IF(U1619="CEBAS","UNICO",IF(VALUE(B1619)&lt;=11,"AMBA","INTERIOR"))))</f>
        <v>INTERIOR</v>
      </c>
      <c r="W1619" s="38" t="str">
        <f>+IF(U1619="","-",CONCATENATE(U1619,"_",V1619))</f>
        <v>EPA_INTERIOR</v>
      </c>
      <c r="X1619" s="42">
        <v>0.82199999999999995</v>
      </c>
    </row>
    <row r="1620" spans="1:24" ht="15" thickBot="1">
      <c r="A1620" s="5" t="s">
        <v>2916</v>
      </c>
      <c r="B1620" s="5" t="s">
        <v>598</v>
      </c>
      <c r="C1620" s="5" t="s">
        <v>700</v>
      </c>
      <c r="D1620" s="5" t="s">
        <v>701</v>
      </c>
      <c r="E1620" s="5">
        <v>609749</v>
      </c>
      <c r="F1620" s="5">
        <v>0</v>
      </c>
      <c r="G1620" s="5" t="s">
        <v>703</v>
      </c>
      <c r="H1620" s="5" t="s">
        <v>20</v>
      </c>
      <c r="I1620" s="6" t="s">
        <v>110</v>
      </c>
      <c r="J1620" s="6" t="s">
        <v>21</v>
      </c>
      <c r="K1620" s="6"/>
      <c r="L1620" s="6" t="s">
        <v>704</v>
      </c>
      <c r="M1620" s="6" t="s">
        <v>22</v>
      </c>
      <c r="N1620" s="6" t="s">
        <v>23</v>
      </c>
      <c r="O1620" s="6" t="s">
        <v>27</v>
      </c>
      <c r="P1620" s="6" t="s">
        <v>28</v>
      </c>
      <c r="Q1620" s="22">
        <v>25</v>
      </c>
      <c r="R1620" s="23">
        <v>2</v>
      </c>
      <c r="S1620" s="39">
        <v>1</v>
      </c>
      <c r="T1620" s="7"/>
      <c r="U1620" t="s">
        <v>2912</v>
      </c>
      <c r="V1620" s="7" t="str">
        <f>+IF(U1620="","",IF(U1620="FINES",CONCATENATE("R",IF(OR(B1620="16",B1620="21",B1620="22",B1620="23"),"16212223",IF(OR(B1620="15",B1620="17",B1620="24",B1620="25"),"15172425",B1620))),IF(U1620="CEBAS","UNICO",IF(VALUE(B1620)&lt;=11,"AMBA","INTERIOR"))))</f>
        <v>INTERIOR</v>
      </c>
      <c r="W1620" s="38" t="str">
        <f>+IF(U1620="","-",CONCATENATE(U1620,"_",V1620))</f>
        <v>EPA_INTERIOR</v>
      </c>
      <c r="X1620" s="42">
        <v>0.82699999999999996</v>
      </c>
    </row>
    <row r="1621" spans="1:24" ht="15" thickBot="1">
      <c r="A1621" s="3" t="s">
        <v>2916</v>
      </c>
      <c r="B1621" s="3" t="s">
        <v>225</v>
      </c>
      <c r="C1621" s="3" t="s">
        <v>942</v>
      </c>
      <c r="D1621" s="3" t="s">
        <v>943</v>
      </c>
      <c r="E1621" s="3">
        <v>609273</v>
      </c>
      <c r="F1621" s="3">
        <v>0</v>
      </c>
      <c r="G1621" s="3" t="s">
        <v>985</v>
      </c>
      <c r="H1621" s="3" t="s">
        <v>20</v>
      </c>
      <c r="I1621" s="4" t="s">
        <v>110</v>
      </c>
      <c r="J1621" s="4" t="s">
        <v>21</v>
      </c>
      <c r="K1621" s="4"/>
      <c r="L1621" s="4" t="s">
        <v>1015</v>
      </c>
      <c r="M1621" s="4" t="s">
        <v>22</v>
      </c>
      <c r="N1621" s="4" t="s">
        <v>134</v>
      </c>
      <c r="O1621" s="4" t="s">
        <v>27</v>
      </c>
      <c r="P1621" s="4" t="s">
        <v>28</v>
      </c>
      <c r="Q1621" s="24">
        <v>130</v>
      </c>
      <c r="R1621" s="25">
        <v>11</v>
      </c>
      <c r="S1621" s="39">
        <v>1</v>
      </c>
      <c r="T1621" s="7"/>
      <c r="U1621" t="s">
        <v>2912</v>
      </c>
      <c r="V1621" s="7" t="str">
        <f>+IF(U1621="","",IF(U1621="FINES",CONCATENATE("R",IF(OR(B1621="16",B1621="21",B1621="22",B1621="23"),"16212223",IF(OR(B1621="15",B1621="17",B1621="24",B1621="25"),"15172425",B1621))),IF(U1621="CEBAS","UNICO",IF(VALUE(B1621)&lt;=11,"AMBA","INTERIOR"))))</f>
        <v>INTERIOR</v>
      </c>
      <c r="W1621" s="38" t="str">
        <f>+IF(U1621="","-",CONCATENATE(U1621,"_",V1621))</f>
        <v>EPA_INTERIOR</v>
      </c>
      <c r="X1621" s="42">
        <v>0.83</v>
      </c>
    </row>
    <row r="1622" spans="1:24" ht="15" thickBot="1">
      <c r="A1622" s="5" t="s">
        <v>2916</v>
      </c>
      <c r="B1622" s="5" t="s">
        <v>352</v>
      </c>
      <c r="C1622" s="5" t="s">
        <v>349</v>
      </c>
      <c r="D1622" s="5" t="s">
        <v>2397</v>
      </c>
      <c r="E1622" s="5">
        <v>624566</v>
      </c>
      <c r="F1622" s="5">
        <v>0</v>
      </c>
      <c r="G1622" s="5" t="s">
        <v>2411</v>
      </c>
      <c r="H1622" s="5" t="s">
        <v>20</v>
      </c>
      <c r="I1622" s="6" t="s">
        <v>110</v>
      </c>
      <c r="J1622" s="6" t="s">
        <v>21</v>
      </c>
      <c r="K1622" s="6"/>
      <c r="L1622" s="6" t="s">
        <v>2412</v>
      </c>
      <c r="M1622" s="6" t="s">
        <v>200</v>
      </c>
      <c r="N1622" s="6" t="s">
        <v>23</v>
      </c>
      <c r="O1622" s="6" t="s">
        <v>27</v>
      </c>
      <c r="P1622" s="6" t="s">
        <v>28</v>
      </c>
      <c r="Q1622" s="22">
        <v>40</v>
      </c>
      <c r="R1622" s="23">
        <v>3</v>
      </c>
      <c r="S1622" s="39">
        <v>1</v>
      </c>
      <c r="T1622" s="7"/>
      <c r="U1622" t="s">
        <v>2912</v>
      </c>
      <c r="V1622" s="7" t="str">
        <f>+IF(U1622="","",IF(U1622="FINES",CONCATENATE("R",IF(OR(B1622="16",B1622="21",B1622="22",B1622="23"),"16212223",IF(OR(B1622="15",B1622="17",B1622="24",B1622="25"),"15172425",B1622))),IF(U1622="CEBAS","UNICO",IF(VALUE(B1622)&lt;=11,"AMBA","INTERIOR"))))</f>
        <v>INTERIOR</v>
      </c>
      <c r="W1622" s="38" t="str">
        <f>+IF(U1622="","-",CONCATENATE(U1622,"_",V1622))</f>
        <v>EPA_INTERIOR</v>
      </c>
      <c r="X1622" s="42">
        <v>0.86199999999999999</v>
      </c>
    </row>
    <row r="1623" spans="1:24" ht="15" thickBot="1">
      <c r="A1623" s="3" t="s">
        <v>2916</v>
      </c>
      <c r="B1623" s="3" t="s">
        <v>140</v>
      </c>
      <c r="C1623" s="3" t="s">
        <v>2277</v>
      </c>
      <c r="D1623" s="3" t="s">
        <v>2278</v>
      </c>
      <c r="E1623" s="3">
        <v>601234</v>
      </c>
      <c r="F1623" s="3">
        <v>0</v>
      </c>
      <c r="G1623" s="3" t="s">
        <v>2284</v>
      </c>
      <c r="H1623" s="3" t="s">
        <v>20</v>
      </c>
      <c r="I1623" s="4" t="s">
        <v>110</v>
      </c>
      <c r="J1623" s="4" t="s">
        <v>21</v>
      </c>
      <c r="K1623" s="4"/>
      <c r="L1623" s="4" t="s">
        <v>2309</v>
      </c>
      <c r="M1623" s="4" t="s">
        <v>22</v>
      </c>
      <c r="N1623" s="4" t="s">
        <v>23</v>
      </c>
      <c r="O1623" s="4" t="s">
        <v>27</v>
      </c>
      <c r="P1623" s="4" t="s">
        <v>28</v>
      </c>
      <c r="Q1623" s="24">
        <v>23</v>
      </c>
      <c r="R1623" s="25">
        <v>3</v>
      </c>
      <c r="S1623" s="39">
        <v>1</v>
      </c>
      <c r="T1623" s="7"/>
      <c r="U1623" s="7" t="s">
        <v>2912</v>
      </c>
      <c r="V1623" s="7" t="str">
        <f>+IF(U1623="","",IF(U1623="FINES",CONCATENATE("R",IF(OR(B1623="16",B1623="21",B1623="22",B1623="23"),"16212223",IF(OR(B1623="15",B1623="17",B1623="24",B1623="25"),"15172425",B1623))),IF(U1623="CEBAS","UNICO",IF(VALUE(B1623)&lt;=11,"AMBA","INTERIOR"))))</f>
        <v>INTERIOR</v>
      </c>
      <c r="W1623" s="38" t="str">
        <f>+IF(U1623="","-",CONCATENATE(U1623,"_",V1623))</f>
        <v>EPA_INTERIOR</v>
      </c>
      <c r="X1623" s="42">
        <v>0.875</v>
      </c>
    </row>
    <row r="1624" spans="1:24" ht="15" thickBot="1">
      <c r="A1624" s="5" t="s">
        <v>2916</v>
      </c>
      <c r="B1624" s="5" t="s">
        <v>217</v>
      </c>
      <c r="C1624" s="5" t="s">
        <v>693</v>
      </c>
      <c r="D1624" s="5" t="s">
        <v>694</v>
      </c>
      <c r="E1624" s="5">
        <v>606543</v>
      </c>
      <c r="F1624" s="5">
        <v>0</v>
      </c>
      <c r="G1624" s="5" t="s">
        <v>696</v>
      </c>
      <c r="H1624" s="5" t="s">
        <v>20</v>
      </c>
      <c r="I1624" s="6" t="s">
        <v>110</v>
      </c>
      <c r="J1624" s="6" t="s">
        <v>21</v>
      </c>
      <c r="K1624" s="6"/>
      <c r="L1624" s="6" t="s">
        <v>698</v>
      </c>
      <c r="M1624" s="6" t="s">
        <v>22</v>
      </c>
      <c r="N1624" s="6" t="s">
        <v>23</v>
      </c>
      <c r="O1624" s="6" t="s">
        <v>27</v>
      </c>
      <c r="P1624" s="6" t="s">
        <v>28</v>
      </c>
      <c r="Q1624" s="22">
        <v>31</v>
      </c>
      <c r="R1624" s="23">
        <v>2</v>
      </c>
      <c r="S1624" s="39">
        <v>1</v>
      </c>
      <c r="T1624" s="7"/>
      <c r="U1624" s="7" t="s">
        <v>2912</v>
      </c>
      <c r="V1624" s="7" t="str">
        <f>+IF(U1624="","",IF(U1624="FINES",CONCATENATE("R",IF(OR(B1624="16",B1624="21",B1624="22",B1624="23"),"16212223",IF(OR(B1624="15",B1624="17",B1624="24",B1624="25"),"15172425",B1624))),IF(U1624="CEBAS","UNICO",IF(VALUE(B1624)&lt;=11,"AMBA","INTERIOR"))))</f>
        <v>INTERIOR</v>
      </c>
      <c r="W1624" s="38" t="str">
        <f>+IF(U1624="","-",CONCATENATE(U1624,"_",V1624))</f>
        <v>EPA_INTERIOR</v>
      </c>
      <c r="X1624" s="42">
        <v>0.89600000000000002</v>
      </c>
    </row>
    <row r="1625" spans="1:24" ht="15" thickBot="1">
      <c r="A1625" s="3" t="s">
        <v>2916</v>
      </c>
      <c r="B1625" s="3" t="s">
        <v>598</v>
      </c>
      <c r="C1625" s="3" t="s">
        <v>1204</v>
      </c>
      <c r="D1625" s="3" t="s">
        <v>1206</v>
      </c>
      <c r="E1625" s="3">
        <v>623985</v>
      </c>
      <c r="F1625" s="3">
        <v>0</v>
      </c>
      <c r="G1625" s="3" t="s">
        <v>1211</v>
      </c>
      <c r="H1625" s="3" t="s">
        <v>20</v>
      </c>
      <c r="I1625" s="4" t="s">
        <v>110</v>
      </c>
      <c r="J1625" s="4" t="s">
        <v>21</v>
      </c>
      <c r="K1625" s="4"/>
      <c r="L1625" s="4" t="s">
        <v>1212</v>
      </c>
      <c r="M1625" s="4" t="s">
        <v>22</v>
      </c>
      <c r="N1625" s="4" t="s">
        <v>23</v>
      </c>
      <c r="O1625" s="4" t="s">
        <v>27</v>
      </c>
      <c r="P1625" s="4" t="s">
        <v>28</v>
      </c>
      <c r="Q1625" s="24">
        <v>91</v>
      </c>
      <c r="R1625" s="25">
        <v>6</v>
      </c>
      <c r="S1625" s="39">
        <v>1</v>
      </c>
      <c r="T1625" s="7"/>
      <c r="U1625" s="7" t="s">
        <v>2912</v>
      </c>
      <c r="V1625" s="7" t="str">
        <f>+IF(U1625="","",IF(U1625="FINES",CONCATENATE("R",IF(OR(B1625="16",B1625="21",B1625="22",B1625="23"),"16212223",IF(OR(B1625="15",B1625="17",B1625="24",B1625="25"),"15172425",B1625))),IF(U1625="CEBAS","UNICO",IF(VALUE(B1625)&lt;=11,"AMBA","INTERIOR"))))</f>
        <v>INTERIOR</v>
      </c>
      <c r="W1625" s="38" t="str">
        <f>+IF(U1625="","-",CONCATENATE(U1625,"_",V1625))</f>
        <v>EPA_INTERIOR</v>
      </c>
      <c r="X1625" s="42">
        <v>0.89700000000000002</v>
      </c>
    </row>
    <row r="1626" spans="1:24" ht="15" thickBot="1">
      <c r="A1626" s="3" t="s">
        <v>2916</v>
      </c>
      <c r="B1626" s="3" t="s">
        <v>516</v>
      </c>
      <c r="C1626" s="3" t="s">
        <v>2179</v>
      </c>
      <c r="D1626" s="3" t="s">
        <v>2180</v>
      </c>
      <c r="E1626" s="3">
        <v>601754</v>
      </c>
      <c r="F1626" s="3">
        <v>0</v>
      </c>
      <c r="G1626" s="3" t="s">
        <v>2181</v>
      </c>
      <c r="H1626" s="3" t="s">
        <v>20</v>
      </c>
      <c r="I1626" s="4" t="s">
        <v>110</v>
      </c>
      <c r="J1626" s="4" t="s">
        <v>21</v>
      </c>
      <c r="K1626" s="4"/>
      <c r="L1626" s="4" t="s">
        <v>2182</v>
      </c>
      <c r="M1626" s="4" t="s">
        <v>22</v>
      </c>
      <c r="N1626" s="4" t="s">
        <v>23</v>
      </c>
      <c r="O1626" s="4" t="s">
        <v>27</v>
      </c>
      <c r="P1626" s="4" t="s">
        <v>28</v>
      </c>
      <c r="Q1626" s="24">
        <v>48</v>
      </c>
      <c r="R1626" s="25">
        <v>4</v>
      </c>
      <c r="S1626" s="39">
        <v>1</v>
      </c>
      <c r="T1626" s="7"/>
      <c r="U1626" s="7" t="s">
        <v>2912</v>
      </c>
      <c r="V1626" s="7" t="str">
        <f>+IF(U1626="","",IF(U1626="FINES",CONCATENATE("R",IF(OR(B1626="16",B1626="21",B1626="22",B1626="23"),"16212223",IF(OR(B1626="15",B1626="17",B1626="24",B1626="25"),"15172425",B1626))),IF(U1626="CEBAS","UNICO",IF(VALUE(B1626)&lt;=11,"AMBA","INTERIOR"))))</f>
        <v>INTERIOR</v>
      </c>
      <c r="W1626" s="38" t="str">
        <f>+IF(U1626="","-",CONCATENATE(U1626,"_",V1626))</f>
        <v>EPA_INTERIOR</v>
      </c>
      <c r="X1626" s="42">
        <v>0.89800000000000002</v>
      </c>
    </row>
    <row r="1627" spans="1:24" ht="15" thickBot="1">
      <c r="A1627" s="3" t="s">
        <v>2916</v>
      </c>
      <c r="B1627" s="3" t="s">
        <v>206</v>
      </c>
      <c r="C1627" s="3" t="s">
        <v>1850</v>
      </c>
      <c r="D1627" s="3" t="s">
        <v>1851</v>
      </c>
      <c r="E1627" s="3">
        <v>607472</v>
      </c>
      <c r="F1627" s="3">
        <v>0</v>
      </c>
      <c r="G1627" s="3" t="s">
        <v>1854</v>
      </c>
      <c r="H1627" s="3" t="s">
        <v>20</v>
      </c>
      <c r="I1627" s="4" t="s">
        <v>110</v>
      </c>
      <c r="J1627" s="4" t="s">
        <v>21</v>
      </c>
      <c r="K1627" s="4"/>
      <c r="L1627" s="4" t="s">
        <v>1855</v>
      </c>
      <c r="M1627" s="4" t="s">
        <v>22</v>
      </c>
      <c r="N1627" s="4" t="s">
        <v>23</v>
      </c>
      <c r="O1627" s="4" t="s">
        <v>27</v>
      </c>
      <c r="P1627" s="4" t="s">
        <v>28</v>
      </c>
      <c r="Q1627" s="24">
        <v>167</v>
      </c>
      <c r="R1627" s="25">
        <v>12</v>
      </c>
      <c r="S1627" s="39">
        <v>1</v>
      </c>
      <c r="T1627" s="7"/>
      <c r="U1627" s="7" t="s">
        <v>2912</v>
      </c>
      <c r="V1627" s="7" t="str">
        <f>+IF(U1627="","",IF(U1627="FINES",CONCATENATE("R",IF(OR(B1627="16",B1627="21",B1627="22",B1627="23"),"16212223",IF(OR(B1627="15",B1627="17",B1627="24",B1627="25"),"15172425",B1627))),IF(U1627="CEBAS","UNICO",IF(VALUE(B1627)&lt;=11,"AMBA","INTERIOR"))))</f>
        <v>INTERIOR</v>
      </c>
      <c r="W1627" s="38" t="str">
        <f>+IF(U1627="","-",CONCATENATE(U1627,"_",V1627))</f>
        <v>EPA_INTERIOR</v>
      </c>
      <c r="X1627" s="42">
        <v>0.90400000000000003</v>
      </c>
    </row>
    <row r="1628" spans="1:24" ht="15" thickBot="1">
      <c r="A1628" s="5" t="s">
        <v>2916</v>
      </c>
      <c r="B1628" s="5" t="s">
        <v>221</v>
      </c>
      <c r="C1628" s="5" t="s">
        <v>571</v>
      </c>
      <c r="D1628" s="5" t="s">
        <v>573</v>
      </c>
      <c r="E1628" s="5">
        <v>620523</v>
      </c>
      <c r="F1628" s="5">
        <v>0</v>
      </c>
      <c r="G1628" s="5" t="s">
        <v>581</v>
      </c>
      <c r="H1628" s="5" t="s">
        <v>20</v>
      </c>
      <c r="I1628" s="6" t="s">
        <v>110</v>
      </c>
      <c r="J1628" s="6" t="s">
        <v>21</v>
      </c>
      <c r="K1628" s="6"/>
      <c r="L1628" s="6" t="s">
        <v>582</v>
      </c>
      <c r="M1628" s="6" t="s">
        <v>22</v>
      </c>
      <c r="N1628" s="6" t="s">
        <v>23</v>
      </c>
      <c r="O1628" s="6" t="s">
        <v>27</v>
      </c>
      <c r="P1628" s="6" t="s">
        <v>28</v>
      </c>
      <c r="Q1628" s="22">
        <v>146</v>
      </c>
      <c r="R1628" s="23">
        <v>5</v>
      </c>
      <c r="S1628" s="39">
        <v>1</v>
      </c>
      <c r="T1628" s="7"/>
      <c r="U1628" s="7" t="s">
        <v>2912</v>
      </c>
      <c r="V1628" s="7" t="str">
        <f>+IF(U1628="","",IF(U1628="FINES",CONCATENATE("R",IF(OR(B1628="16",B1628="21",B1628="22",B1628="23"),"16212223",IF(OR(B1628="15",B1628="17",B1628="24",B1628="25"),"15172425",B1628))),IF(U1628="CEBAS","UNICO",IF(VALUE(B1628)&lt;=11,"AMBA","INTERIOR"))))</f>
        <v>INTERIOR</v>
      </c>
      <c r="W1628" s="38" t="str">
        <f>+IF(U1628="","-",CONCATENATE(U1628,"_",V1628))</f>
        <v>EPA_INTERIOR</v>
      </c>
      <c r="X1628" s="42">
        <v>0.90700000000000003</v>
      </c>
    </row>
    <row r="1629" spans="1:24" ht="15" thickBot="1">
      <c r="A1629" s="3" t="s">
        <v>2916</v>
      </c>
      <c r="B1629" s="3" t="s">
        <v>225</v>
      </c>
      <c r="C1629" s="3" t="s">
        <v>942</v>
      </c>
      <c r="D1629" s="3" t="s">
        <v>943</v>
      </c>
      <c r="E1629" s="3">
        <v>600299</v>
      </c>
      <c r="F1629" s="3">
        <v>0</v>
      </c>
      <c r="G1629" s="3" t="s">
        <v>981</v>
      </c>
      <c r="H1629" s="3" t="s">
        <v>20</v>
      </c>
      <c r="I1629" s="4" t="s">
        <v>110</v>
      </c>
      <c r="J1629" s="4" t="s">
        <v>21</v>
      </c>
      <c r="K1629" s="4"/>
      <c r="L1629" s="4" t="s">
        <v>1019</v>
      </c>
      <c r="M1629" s="4" t="s">
        <v>22</v>
      </c>
      <c r="N1629" s="4" t="s">
        <v>23</v>
      </c>
      <c r="O1629" s="4" t="s">
        <v>27</v>
      </c>
      <c r="P1629" s="4" t="s">
        <v>28</v>
      </c>
      <c r="Q1629" s="24">
        <v>125</v>
      </c>
      <c r="R1629" s="25">
        <v>7</v>
      </c>
      <c r="S1629" s="39">
        <v>1</v>
      </c>
      <c r="T1629" s="7"/>
      <c r="U1629" s="7" t="s">
        <v>2912</v>
      </c>
      <c r="V1629" s="7" t="str">
        <f>+IF(U1629="","",IF(U1629="FINES",CONCATENATE("R",IF(OR(B1629="16",B1629="21",B1629="22",B1629="23"),"16212223",IF(OR(B1629="15",B1629="17",B1629="24",B1629="25"),"15172425",B1629))),IF(U1629="CEBAS","UNICO",IF(VALUE(B1629)&lt;=11,"AMBA","INTERIOR"))))</f>
        <v>INTERIOR</v>
      </c>
      <c r="W1629" s="38" t="str">
        <f>+IF(U1629="","-",CONCATENATE(U1629,"_",V1629))</f>
        <v>EPA_INTERIOR</v>
      </c>
      <c r="X1629" s="42">
        <v>0.91900000000000004</v>
      </c>
    </row>
    <row r="1630" spans="1:24" ht="15" thickBot="1">
      <c r="A1630" s="5" t="s">
        <v>2916</v>
      </c>
      <c r="B1630" s="5" t="s">
        <v>205</v>
      </c>
      <c r="C1630" s="5" t="s">
        <v>654</v>
      </c>
      <c r="D1630" s="5" t="s">
        <v>655</v>
      </c>
      <c r="E1630" s="5">
        <v>604802</v>
      </c>
      <c r="F1630" s="5">
        <v>0</v>
      </c>
      <c r="G1630" s="5" t="s">
        <v>657</v>
      </c>
      <c r="H1630" s="5" t="s">
        <v>20</v>
      </c>
      <c r="I1630" s="6" t="s">
        <v>110</v>
      </c>
      <c r="J1630" s="6" t="s">
        <v>21</v>
      </c>
      <c r="K1630" s="6"/>
      <c r="L1630" s="6" t="s">
        <v>318</v>
      </c>
      <c r="M1630" s="6" t="s">
        <v>22</v>
      </c>
      <c r="N1630" s="6" t="s">
        <v>23</v>
      </c>
      <c r="O1630" s="6" t="s">
        <v>27</v>
      </c>
      <c r="P1630" s="6" t="s">
        <v>28</v>
      </c>
      <c r="Q1630" s="22">
        <v>71</v>
      </c>
      <c r="R1630" s="23">
        <v>5</v>
      </c>
      <c r="S1630" s="39">
        <v>1</v>
      </c>
      <c r="T1630" s="7"/>
      <c r="U1630" s="7" t="s">
        <v>2912</v>
      </c>
      <c r="V1630" s="7" t="str">
        <f>+IF(U1630="","",IF(U1630="FINES",CONCATENATE("R",IF(OR(B1630="16",B1630="21",B1630="22",B1630="23"),"16212223",IF(OR(B1630="15",B1630="17",B1630="24",B1630="25"),"15172425",B1630))),IF(U1630="CEBAS","UNICO",IF(VALUE(B1630)&lt;=11,"AMBA","INTERIOR"))))</f>
        <v>INTERIOR</v>
      </c>
      <c r="W1630" s="38" t="str">
        <f>+IF(U1630="","-",CONCATENATE(U1630,"_",V1630))</f>
        <v>EPA_INTERIOR</v>
      </c>
      <c r="X1630" s="42">
        <v>0.92</v>
      </c>
    </row>
    <row r="1631" spans="1:24" ht="15" thickBot="1">
      <c r="A1631" s="5" t="s">
        <v>2916</v>
      </c>
      <c r="B1631" s="5" t="s">
        <v>203</v>
      </c>
      <c r="C1631" s="5" t="s">
        <v>331</v>
      </c>
      <c r="D1631" s="5" t="s">
        <v>2491</v>
      </c>
      <c r="E1631" s="5">
        <v>600391</v>
      </c>
      <c r="F1631" s="5">
        <v>0</v>
      </c>
      <c r="G1631" s="5" t="s">
        <v>2497</v>
      </c>
      <c r="H1631" s="5" t="s">
        <v>20</v>
      </c>
      <c r="I1631" s="6" t="s">
        <v>110</v>
      </c>
      <c r="J1631" s="6" t="s">
        <v>21</v>
      </c>
      <c r="K1631" s="6"/>
      <c r="L1631" s="6" t="s">
        <v>2498</v>
      </c>
      <c r="M1631" s="6" t="s">
        <v>22</v>
      </c>
      <c r="N1631" s="6" t="s">
        <v>23</v>
      </c>
      <c r="O1631" s="6" t="s">
        <v>27</v>
      </c>
      <c r="P1631" s="6" t="s">
        <v>28</v>
      </c>
      <c r="Q1631" s="22">
        <v>77</v>
      </c>
      <c r="R1631" s="23">
        <v>5</v>
      </c>
      <c r="S1631" s="39">
        <v>1</v>
      </c>
      <c r="T1631" s="7"/>
      <c r="U1631" s="7" t="s">
        <v>2912</v>
      </c>
      <c r="V1631" s="7" t="str">
        <f>+IF(U1631="","",IF(U1631="FINES",CONCATENATE("R",IF(OR(B1631="16",B1631="21",B1631="22",B1631="23"),"16212223",IF(OR(B1631="15",B1631="17",B1631="24",B1631="25"),"15172425",B1631))),IF(U1631="CEBAS","UNICO",IF(VALUE(B1631)&lt;=11,"AMBA","INTERIOR"))))</f>
        <v>INTERIOR</v>
      </c>
      <c r="W1631" s="38" t="str">
        <f>+IF(U1631="","-",CONCATENATE(U1631,"_",V1631))</f>
        <v>EPA_INTERIOR</v>
      </c>
      <c r="X1631" s="42">
        <v>0.92200000000000004</v>
      </c>
    </row>
    <row r="1632" spans="1:24" ht="15" thickBot="1">
      <c r="A1632" s="5" t="s">
        <v>2916</v>
      </c>
      <c r="B1632" s="5" t="s">
        <v>203</v>
      </c>
      <c r="C1632" s="5" t="s">
        <v>1986</v>
      </c>
      <c r="D1632" s="5" t="s">
        <v>1987</v>
      </c>
      <c r="E1632" s="5">
        <v>603157</v>
      </c>
      <c r="F1632" s="5">
        <v>0</v>
      </c>
      <c r="G1632" s="5" t="s">
        <v>1989</v>
      </c>
      <c r="H1632" s="5" t="s">
        <v>20</v>
      </c>
      <c r="I1632" s="6" t="s">
        <v>110</v>
      </c>
      <c r="J1632" s="6" t="s">
        <v>21</v>
      </c>
      <c r="K1632" s="6"/>
      <c r="L1632" s="6" t="s">
        <v>111</v>
      </c>
      <c r="M1632" s="6" t="s">
        <v>22</v>
      </c>
      <c r="N1632" s="6" t="s">
        <v>23</v>
      </c>
      <c r="O1632" s="6" t="s">
        <v>27</v>
      </c>
      <c r="P1632" s="6" t="s">
        <v>28</v>
      </c>
      <c r="Q1632" s="22">
        <v>33</v>
      </c>
      <c r="R1632" s="23">
        <v>3</v>
      </c>
      <c r="S1632" s="39">
        <v>1</v>
      </c>
      <c r="T1632" s="7"/>
      <c r="U1632" t="s">
        <v>2912</v>
      </c>
      <c r="V1632" s="7" t="str">
        <f>+IF(U1632="","",IF(U1632="FINES",CONCATENATE("R",IF(OR(B1632="16",B1632="21",B1632="22",B1632="23"),"16212223",IF(OR(B1632="15",B1632="17",B1632="24",B1632="25"),"15172425",B1632))),IF(U1632="CEBAS","UNICO",IF(VALUE(B1632)&lt;=11,"AMBA","INTERIOR"))))</f>
        <v>INTERIOR</v>
      </c>
      <c r="W1632" s="38" t="str">
        <f>+IF(U1632="","-",CONCATENATE(U1632,"_",V1632))</f>
        <v>EPA_INTERIOR</v>
      </c>
      <c r="X1632" s="42">
        <v>0.95199999999999996</v>
      </c>
    </row>
    <row r="1633" spans="1:24" ht="15" thickBot="1">
      <c r="A1633" s="5" t="s">
        <v>2916</v>
      </c>
      <c r="B1633" s="5" t="s">
        <v>225</v>
      </c>
      <c r="C1633" s="5" t="s">
        <v>942</v>
      </c>
      <c r="D1633" s="5" t="s">
        <v>943</v>
      </c>
      <c r="E1633" s="5">
        <v>609144</v>
      </c>
      <c r="F1633" s="5">
        <v>0</v>
      </c>
      <c r="G1633" s="5" t="s">
        <v>962</v>
      </c>
      <c r="H1633" s="5" t="s">
        <v>20</v>
      </c>
      <c r="I1633" s="6" t="s">
        <v>110</v>
      </c>
      <c r="J1633" s="6" t="s">
        <v>21</v>
      </c>
      <c r="K1633" s="6"/>
      <c r="L1633" s="6" t="s">
        <v>1012</v>
      </c>
      <c r="M1633" s="6" t="s">
        <v>22</v>
      </c>
      <c r="N1633" s="6" t="s">
        <v>23</v>
      </c>
      <c r="O1633" s="6" t="s">
        <v>27</v>
      </c>
      <c r="P1633" s="6" t="s">
        <v>28</v>
      </c>
      <c r="Q1633" s="22">
        <v>110</v>
      </c>
      <c r="R1633" s="23">
        <v>8</v>
      </c>
      <c r="S1633" s="39">
        <v>1</v>
      </c>
      <c r="T1633" s="7"/>
      <c r="U1633" s="7" t="s">
        <v>2912</v>
      </c>
      <c r="V1633" s="7" t="str">
        <f>+IF(U1633="","",IF(U1633="FINES",CONCATENATE("R",IF(OR(B1633="16",B1633="21",B1633="22",B1633="23"),"16212223",IF(OR(B1633="15",B1633="17",B1633="24",B1633="25"),"15172425",B1633))),IF(U1633="CEBAS","UNICO",IF(VALUE(B1633)&lt;=11,"AMBA","INTERIOR"))))</f>
        <v>INTERIOR</v>
      </c>
      <c r="W1633" s="38" t="str">
        <f>+IF(U1633="","-",CONCATENATE(U1633,"_",V1633))</f>
        <v>EPA_INTERIOR</v>
      </c>
      <c r="X1633" s="42">
        <v>1</v>
      </c>
    </row>
    <row r="1634" spans="1:24">
      <c r="A1634" s="21" t="s">
        <v>5100</v>
      </c>
      <c r="B1634" t="s">
        <v>19</v>
      </c>
      <c r="C1634" t="s">
        <v>449</v>
      </c>
      <c r="D1634" t="s">
        <v>2590</v>
      </c>
      <c r="E1634" t="s">
        <v>198</v>
      </c>
      <c r="F1634" s="7" t="s">
        <v>198</v>
      </c>
      <c r="G1634" s="7" t="s">
        <v>198</v>
      </c>
      <c r="H1634" s="7" t="s">
        <v>20</v>
      </c>
      <c r="I1634" s="7" t="s">
        <v>5102</v>
      </c>
      <c r="J1634" s="7" t="s">
        <v>21</v>
      </c>
      <c r="L1634" t="s">
        <v>3003</v>
      </c>
      <c r="M1634" s="7" t="s">
        <v>22</v>
      </c>
      <c r="N1634" s="7" t="s">
        <v>23</v>
      </c>
      <c r="O1634" s="7" t="s">
        <v>27</v>
      </c>
      <c r="P1634" s="7" t="s">
        <v>5101</v>
      </c>
      <c r="Q1634" s="26">
        <v>111</v>
      </c>
      <c r="R1634" s="26">
        <v>4</v>
      </c>
      <c r="S1634" s="40">
        <v>1</v>
      </c>
      <c r="U1634" t="s">
        <v>2951</v>
      </c>
      <c r="V1634" s="7" t="str">
        <f>+IF(U1634="","",IF(U1634="FINES",CONCATENATE("R",IF(OR(B1634="16",B1634="21",B1634="22",B1634="23"),"16212223",IF(OR(B1634="15",B1634="17",B1634="24",B1634="25"),"15172425",B1634))),IF(U1634="CEBAS","UNICO",IF(VALUE(B1634)&lt;=11,"AMBA","INTERIOR"))))</f>
        <v>R01</v>
      </c>
      <c r="W1634" s="38" t="str">
        <f>+IF(U1634="","-",CONCATENATE(U1634,"_",V1634))</f>
        <v>FINES_R01</v>
      </c>
      <c r="X1634" s="42">
        <v>4.0000000000000001E-3</v>
      </c>
    </row>
    <row r="1635" spans="1:24">
      <c r="A1635" s="21" t="s">
        <v>5100</v>
      </c>
      <c r="B1635" t="s">
        <v>19</v>
      </c>
      <c r="C1635" t="s">
        <v>1480</v>
      </c>
      <c r="D1635" t="s">
        <v>1481</v>
      </c>
      <c r="E1635" s="7" t="s">
        <v>198</v>
      </c>
      <c r="F1635" s="7" t="s">
        <v>198</v>
      </c>
      <c r="G1635" s="7" t="s">
        <v>198</v>
      </c>
      <c r="H1635" s="7" t="s">
        <v>20</v>
      </c>
      <c r="I1635" s="7" t="s">
        <v>5102</v>
      </c>
      <c r="J1635" s="7" t="s">
        <v>21</v>
      </c>
      <c r="L1635" t="s">
        <v>3113</v>
      </c>
      <c r="M1635" s="7" t="s">
        <v>22</v>
      </c>
      <c r="N1635" s="7" t="s">
        <v>23</v>
      </c>
      <c r="O1635" s="7" t="s">
        <v>27</v>
      </c>
      <c r="P1635" s="7" t="s">
        <v>5101</v>
      </c>
      <c r="Q1635" s="26">
        <v>18</v>
      </c>
      <c r="R1635" s="26">
        <v>1</v>
      </c>
      <c r="S1635" s="40">
        <v>1</v>
      </c>
      <c r="T1635" s="7"/>
      <c r="U1635" s="7" t="s">
        <v>2951</v>
      </c>
      <c r="V1635" s="7" t="str">
        <f>+IF(U1635="","",IF(U1635="FINES",CONCATENATE("R",IF(OR(B1635="16",B1635="21",B1635="22",B1635="23"),"16212223",IF(OR(B1635="15",B1635="17",B1635="24",B1635="25"),"15172425",B1635))),IF(U1635="CEBAS","UNICO",IF(VALUE(B1635)&lt;=11,"AMBA","INTERIOR"))))</f>
        <v>R01</v>
      </c>
      <c r="W1635" s="38" t="str">
        <f>+IF(U1635="","-",CONCATENATE(U1635,"_",V1635))</f>
        <v>FINES_R01</v>
      </c>
      <c r="X1635" s="42">
        <v>5.0000000000000001E-3</v>
      </c>
    </row>
    <row r="1636" spans="1:24">
      <c r="A1636" s="21" t="s">
        <v>5100</v>
      </c>
      <c r="B1636" t="s">
        <v>19</v>
      </c>
      <c r="C1636" t="s">
        <v>17</v>
      </c>
      <c r="D1636" t="s">
        <v>18</v>
      </c>
      <c r="E1636" s="7" t="s">
        <v>198</v>
      </c>
      <c r="F1636" s="7" t="s">
        <v>198</v>
      </c>
      <c r="G1636" s="7" t="s">
        <v>198</v>
      </c>
      <c r="H1636" s="7" t="s">
        <v>20</v>
      </c>
      <c r="I1636" s="7" t="s">
        <v>5102</v>
      </c>
      <c r="J1636" s="7" t="s">
        <v>21</v>
      </c>
      <c r="L1636" t="s">
        <v>3047</v>
      </c>
      <c r="M1636" s="7" t="s">
        <v>22</v>
      </c>
      <c r="N1636" s="7" t="s">
        <v>23</v>
      </c>
      <c r="O1636" s="7" t="s">
        <v>27</v>
      </c>
      <c r="P1636" s="7" t="s">
        <v>5101</v>
      </c>
      <c r="Q1636" s="26">
        <v>33</v>
      </c>
      <c r="R1636" s="26">
        <v>2</v>
      </c>
      <c r="S1636" s="40">
        <v>1</v>
      </c>
      <c r="T1636" s="7"/>
      <c r="U1636" s="7" t="s">
        <v>2951</v>
      </c>
      <c r="V1636" s="7" t="str">
        <f>+IF(U1636="","",IF(U1636="FINES",CONCATENATE("R",IF(OR(B1636="16",B1636="21",B1636="22",B1636="23"),"16212223",IF(OR(B1636="15",B1636="17",B1636="24",B1636="25"),"15172425",B1636))),IF(U1636="CEBAS","UNICO",IF(VALUE(B1636)&lt;=11,"AMBA","INTERIOR"))))</f>
        <v>R01</v>
      </c>
      <c r="W1636" s="38" t="str">
        <f>+IF(U1636="","-",CONCATENATE(U1636,"_",V1636))</f>
        <v>FINES_R01</v>
      </c>
      <c r="X1636" s="42">
        <v>6.0000000000000001E-3</v>
      </c>
    </row>
    <row r="1637" spans="1:24">
      <c r="A1637" s="21" t="s">
        <v>5100</v>
      </c>
      <c r="B1637" t="s">
        <v>19</v>
      </c>
      <c r="C1637" t="s">
        <v>17</v>
      </c>
      <c r="D1637" t="s">
        <v>18</v>
      </c>
      <c r="E1637" s="7" t="s">
        <v>198</v>
      </c>
      <c r="F1637" s="7" t="s">
        <v>198</v>
      </c>
      <c r="G1637" s="7" t="s">
        <v>198</v>
      </c>
      <c r="H1637" s="7" t="s">
        <v>20</v>
      </c>
      <c r="I1637" s="7" t="s">
        <v>5102</v>
      </c>
      <c r="J1637" s="7" t="s">
        <v>21</v>
      </c>
      <c r="L1637" t="s">
        <v>3084</v>
      </c>
      <c r="M1637" s="7" t="s">
        <v>22</v>
      </c>
      <c r="N1637" s="7" t="s">
        <v>23</v>
      </c>
      <c r="O1637" s="7" t="s">
        <v>27</v>
      </c>
      <c r="P1637" s="7" t="s">
        <v>5101</v>
      </c>
      <c r="Q1637" s="26">
        <v>62</v>
      </c>
      <c r="R1637" s="26">
        <v>3</v>
      </c>
      <c r="S1637" s="40">
        <v>1</v>
      </c>
      <c r="T1637" s="7"/>
      <c r="U1637" s="7" t="s">
        <v>2951</v>
      </c>
      <c r="V1637" s="7" t="str">
        <f>+IF(U1637="","",IF(U1637="FINES",CONCATENATE("R",IF(OR(B1637="16",B1637="21",B1637="22",B1637="23"),"16212223",IF(OR(B1637="15",B1637="17",B1637="24",B1637="25"),"15172425",B1637))),IF(U1637="CEBAS","UNICO",IF(VALUE(B1637)&lt;=11,"AMBA","INTERIOR"))))</f>
        <v>R01</v>
      </c>
      <c r="W1637" s="38" t="str">
        <f>+IF(U1637="","-",CONCATENATE(U1637,"_",V1637))</f>
        <v>FINES_R01</v>
      </c>
      <c r="X1637" s="42">
        <v>1.2E-2</v>
      </c>
    </row>
    <row r="1638" spans="1:24">
      <c r="A1638" s="21" t="s">
        <v>5100</v>
      </c>
      <c r="B1638" t="s">
        <v>19</v>
      </c>
      <c r="C1638" t="s">
        <v>17</v>
      </c>
      <c r="D1638" t="s">
        <v>18</v>
      </c>
      <c r="E1638" s="7" t="s">
        <v>198</v>
      </c>
      <c r="F1638" s="7" t="s">
        <v>198</v>
      </c>
      <c r="G1638" s="7" t="s">
        <v>198</v>
      </c>
      <c r="H1638" s="7" t="s">
        <v>20</v>
      </c>
      <c r="I1638" s="7" t="s">
        <v>5102</v>
      </c>
      <c r="J1638" s="7" t="s">
        <v>21</v>
      </c>
      <c r="L1638" t="s">
        <v>3020</v>
      </c>
      <c r="M1638" s="7" t="s">
        <v>22</v>
      </c>
      <c r="N1638" s="7" t="s">
        <v>23</v>
      </c>
      <c r="O1638" s="7" t="s">
        <v>27</v>
      </c>
      <c r="P1638" s="7" t="s">
        <v>5101</v>
      </c>
      <c r="Q1638" s="26">
        <v>7</v>
      </c>
      <c r="R1638" s="26">
        <v>1</v>
      </c>
      <c r="S1638" s="40">
        <v>1</v>
      </c>
      <c r="T1638" s="7"/>
      <c r="U1638" s="7" t="s">
        <v>2951</v>
      </c>
      <c r="V1638" s="7" t="str">
        <f>+IF(U1638="","",IF(U1638="FINES",CONCATENATE("R",IF(OR(B1638="16",B1638="21",B1638="22",B1638="23"),"16212223",IF(OR(B1638="15",B1638="17",B1638="24",B1638="25"),"15172425",B1638))),IF(U1638="CEBAS","UNICO",IF(VALUE(B1638)&lt;=11,"AMBA","INTERIOR"))))</f>
        <v>R01</v>
      </c>
      <c r="W1638" s="38" t="str">
        <f>+IF(U1638="","-",CONCATENATE(U1638,"_",V1638))</f>
        <v>FINES_R01</v>
      </c>
      <c r="X1638" s="42">
        <v>0.02</v>
      </c>
    </row>
    <row r="1639" spans="1:24">
      <c r="A1639" s="21" t="s">
        <v>5100</v>
      </c>
      <c r="B1639" t="s">
        <v>19</v>
      </c>
      <c r="C1639" t="s">
        <v>1480</v>
      </c>
      <c r="D1639" t="s">
        <v>1481</v>
      </c>
      <c r="E1639" s="7" t="s">
        <v>198</v>
      </c>
      <c r="F1639" s="7" t="s">
        <v>198</v>
      </c>
      <c r="G1639" s="7" t="s">
        <v>198</v>
      </c>
      <c r="H1639" s="7" t="s">
        <v>20</v>
      </c>
      <c r="I1639" s="7" t="s">
        <v>5102</v>
      </c>
      <c r="J1639" s="7" t="s">
        <v>21</v>
      </c>
      <c r="L1639" t="s">
        <v>3112</v>
      </c>
      <c r="M1639" s="7" t="s">
        <v>22</v>
      </c>
      <c r="N1639" s="7" t="s">
        <v>23</v>
      </c>
      <c r="O1639" s="7" t="s">
        <v>27</v>
      </c>
      <c r="P1639" s="7" t="s">
        <v>5101</v>
      </c>
      <c r="Q1639" s="26">
        <v>9</v>
      </c>
      <c r="R1639" s="26">
        <v>1</v>
      </c>
      <c r="S1639" s="40">
        <v>1</v>
      </c>
      <c r="T1639" s="7"/>
      <c r="U1639" s="7" t="s">
        <v>2951</v>
      </c>
      <c r="V1639" s="7" t="str">
        <f>+IF(U1639="","",IF(U1639="FINES",CONCATENATE("R",IF(OR(B1639="16",B1639="21",B1639="22",B1639="23"),"16212223",IF(OR(B1639="15",B1639="17",B1639="24",B1639="25"),"15172425",B1639))),IF(U1639="CEBAS","UNICO",IF(VALUE(B1639)&lt;=11,"AMBA","INTERIOR"))))</f>
        <v>R01</v>
      </c>
      <c r="W1639" s="38" t="str">
        <f>+IF(U1639="","-",CONCATENATE(U1639,"_",V1639))</f>
        <v>FINES_R01</v>
      </c>
      <c r="X1639" s="42">
        <v>2.1000000000000001E-2</v>
      </c>
    </row>
    <row r="1640" spans="1:24">
      <c r="A1640" s="21" t="s">
        <v>5100</v>
      </c>
      <c r="B1640" t="s">
        <v>19</v>
      </c>
      <c r="C1640" t="s">
        <v>17</v>
      </c>
      <c r="D1640" t="s">
        <v>18</v>
      </c>
      <c r="E1640" s="7" t="s">
        <v>198</v>
      </c>
      <c r="F1640" s="7" t="s">
        <v>198</v>
      </c>
      <c r="G1640" s="7" t="s">
        <v>198</v>
      </c>
      <c r="H1640" s="7" t="s">
        <v>20</v>
      </c>
      <c r="I1640" s="7" t="s">
        <v>5102</v>
      </c>
      <c r="J1640" s="7" t="s">
        <v>21</v>
      </c>
      <c r="L1640" t="s">
        <v>3035</v>
      </c>
      <c r="M1640" s="7" t="s">
        <v>22</v>
      </c>
      <c r="N1640" s="7" t="s">
        <v>23</v>
      </c>
      <c r="O1640" s="7" t="s">
        <v>27</v>
      </c>
      <c r="P1640" s="7" t="s">
        <v>5101</v>
      </c>
      <c r="Q1640" s="26">
        <v>0</v>
      </c>
      <c r="R1640" s="26">
        <v>1</v>
      </c>
      <c r="S1640" s="40">
        <v>1</v>
      </c>
      <c r="T1640" s="7"/>
      <c r="U1640" s="7" t="s">
        <v>2951</v>
      </c>
      <c r="V1640" s="7" t="str">
        <f>+IF(U1640="","",IF(U1640="FINES",CONCATENATE("R",IF(OR(B1640="16",B1640="21",B1640="22",B1640="23"),"16212223",IF(OR(B1640="15",B1640="17",B1640="24",B1640="25"),"15172425",B1640))),IF(U1640="CEBAS","UNICO",IF(VALUE(B1640)&lt;=11,"AMBA","INTERIOR"))))</f>
        <v>R01</v>
      </c>
      <c r="W1640" s="38" t="str">
        <f>+IF(U1640="","-",CONCATENATE(U1640,"_",V1640))</f>
        <v>FINES_R01</v>
      </c>
      <c r="X1640" s="42">
        <v>2.1999999999999999E-2</v>
      </c>
    </row>
    <row r="1641" spans="1:24">
      <c r="A1641" s="21" t="s">
        <v>5100</v>
      </c>
      <c r="B1641" t="s">
        <v>19</v>
      </c>
      <c r="C1641" t="s">
        <v>252</v>
      </c>
      <c r="D1641" t="s">
        <v>2566</v>
      </c>
      <c r="E1641" s="7" t="s">
        <v>198</v>
      </c>
      <c r="F1641" s="7" t="s">
        <v>198</v>
      </c>
      <c r="G1641" s="7" t="s">
        <v>198</v>
      </c>
      <c r="H1641" s="7" t="s">
        <v>20</v>
      </c>
      <c r="I1641" s="7" t="s">
        <v>5102</v>
      </c>
      <c r="J1641" s="7" t="s">
        <v>21</v>
      </c>
      <c r="L1641" t="s">
        <v>2972</v>
      </c>
      <c r="M1641" s="7" t="s">
        <v>22</v>
      </c>
      <c r="N1641" s="7" t="s">
        <v>23</v>
      </c>
      <c r="O1641" s="7" t="s">
        <v>27</v>
      </c>
      <c r="P1641" s="7" t="s">
        <v>5101</v>
      </c>
      <c r="Q1641" s="26">
        <v>21</v>
      </c>
      <c r="R1641" s="26">
        <v>1</v>
      </c>
      <c r="S1641" s="40">
        <v>1</v>
      </c>
      <c r="T1641" s="7"/>
      <c r="U1641" s="7" t="s">
        <v>2951</v>
      </c>
      <c r="V1641" s="7" t="str">
        <f>+IF(U1641="","",IF(U1641="FINES",CONCATENATE("R",IF(OR(B1641="16",B1641="21",B1641="22",B1641="23"),"16212223",IF(OR(B1641="15",B1641="17",B1641="24",B1641="25"),"15172425",B1641))),IF(U1641="CEBAS","UNICO",IF(VALUE(B1641)&lt;=11,"AMBA","INTERIOR"))))</f>
        <v>R01</v>
      </c>
      <c r="W1641" s="38" t="str">
        <f>+IF(U1641="","-",CONCATENATE(U1641,"_",V1641))</f>
        <v>FINES_R01</v>
      </c>
      <c r="X1641" s="42">
        <v>2.9000000000000001E-2</v>
      </c>
    </row>
    <row r="1642" spans="1:24">
      <c r="A1642" s="21" t="s">
        <v>5100</v>
      </c>
      <c r="B1642" t="s">
        <v>19</v>
      </c>
      <c r="C1642" t="s">
        <v>17</v>
      </c>
      <c r="D1642" t="s">
        <v>18</v>
      </c>
      <c r="E1642" s="7" t="s">
        <v>198</v>
      </c>
      <c r="F1642" s="7" t="s">
        <v>198</v>
      </c>
      <c r="G1642" s="7" t="s">
        <v>198</v>
      </c>
      <c r="H1642" s="7" t="s">
        <v>20</v>
      </c>
      <c r="I1642" s="7" t="s">
        <v>5102</v>
      </c>
      <c r="J1642" s="7" t="s">
        <v>21</v>
      </c>
      <c r="L1642" t="s">
        <v>3057</v>
      </c>
      <c r="M1642" s="7" t="s">
        <v>22</v>
      </c>
      <c r="N1642" s="7" t="s">
        <v>23</v>
      </c>
      <c r="O1642" s="7" t="s">
        <v>27</v>
      </c>
      <c r="P1642" s="7" t="s">
        <v>5101</v>
      </c>
      <c r="Q1642" s="26">
        <v>22</v>
      </c>
      <c r="R1642" s="26">
        <v>1</v>
      </c>
      <c r="S1642" s="40">
        <v>1</v>
      </c>
      <c r="T1642" s="7"/>
      <c r="U1642" s="7" t="s">
        <v>2951</v>
      </c>
      <c r="V1642" s="7" t="str">
        <f>+IF(U1642="","",IF(U1642="FINES",CONCATENATE("R",IF(OR(B1642="16",B1642="21",B1642="22",B1642="23"),"16212223",IF(OR(B1642="15",B1642="17",B1642="24",B1642="25"),"15172425",B1642))),IF(U1642="CEBAS","UNICO",IF(VALUE(B1642)&lt;=11,"AMBA","INTERIOR"))))</f>
        <v>R01</v>
      </c>
      <c r="W1642" s="38" t="str">
        <f>+IF(U1642="","-",CONCATENATE(U1642,"_",V1642))</f>
        <v>FINES_R01</v>
      </c>
      <c r="X1642" s="42">
        <v>3.3000000000000002E-2</v>
      </c>
    </row>
    <row r="1643" spans="1:24">
      <c r="A1643" s="21" t="s">
        <v>5100</v>
      </c>
      <c r="B1643" t="s">
        <v>19</v>
      </c>
      <c r="C1643" t="s">
        <v>252</v>
      </c>
      <c r="D1643" t="s">
        <v>2566</v>
      </c>
      <c r="E1643" s="7" t="s">
        <v>198</v>
      </c>
      <c r="F1643" s="7" t="s">
        <v>198</v>
      </c>
      <c r="G1643" s="7" t="s">
        <v>198</v>
      </c>
      <c r="H1643" s="7" t="s">
        <v>20</v>
      </c>
      <c r="I1643" s="7" t="s">
        <v>5102</v>
      </c>
      <c r="J1643" s="7" t="s">
        <v>21</v>
      </c>
      <c r="L1643" t="s">
        <v>2970</v>
      </c>
      <c r="M1643" s="7" t="s">
        <v>22</v>
      </c>
      <c r="N1643" s="7" t="s">
        <v>23</v>
      </c>
      <c r="O1643" s="7" t="s">
        <v>27</v>
      </c>
      <c r="P1643" s="7" t="s">
        <v>5101</v>
      </c>
      <c r="Q1643" s="26">
        <v>33</v>
      </c>
      <c r="R1643" s="26">
        <v>3</v>
      </c>
      <c r="S1643" s="40">
        <v>1</v>
      </c>
      <c r="T1643" s="7"/>
      <c r="U1643" s="7" t="s">
        <v>2951</v>
      </c>
      <c r="V1643" s="7" t="str">
        <f>+IF(U1643="","",IF(U1643="FINES",CONCATENATE("R",IF(OR(B1643="16",B1643="21",B1643="22",B1643="23"),"16212223",IF(OR(B1643="15",B1643="17",B1643="24",B1643="25"),"15172425",B1643))),IF(U1643="CEBAS","UNICO",IF(VALUE(B1643)&lt;=11,"AMBA","INTERIOR"))))</f>
        <v>R01</v>
      </c>
      <c r="W1643" s="38" t="str">
        <f>+IF(U1643="","-",CONCATENATE(U1643,"_",V1643))</f>
        <v>FINES_R01</v>
      </c>
      <c r="X1643" s="42">
        <v>3.7999999999999999E-2</v>
      </c>
    </row>
    <row r="1644" spans="1:24">
      <c r="A1644" s="21" t="s">
        <v>5100</v>
      </c>
      <c r="B1644" t="s">
        <v>19</v>
      </c>
      <c r="C1644" t="s">
        <v>17</v>
      </c>
      <c r="D1644" t="s">
        <v>18</v>
      </c>
      <c r="E1644" s="7" t="s">
        <v>198</v>
      </c>
      <c r="F1644" s="7" t="s">
        <v>198</v>
      </c>
      <c r="G1644" s="7" t="s">
        <v>198</v>
      </c>
      <c r="H1644" s="7" t="s">
        <v>20</v>
      </c>
      <c r="I1644" s="7" t="s">
        <v>5102</v>
      </c>
      <c r="J1644" s="7" t="s">
        <v>21</v>
      </c>
      <c r="L1644" t="s">
        <v>3028</v>
      </c>
      <c r="M1644" s="7" t="s">
        <v>22</v>
      </c>
      <c r="N1644" s="7" t="s">
        <v>23</v>
      </c>
      <c r="O1644" s="7" t="s">
        <v>27</v>
      </c>
      <c r="P1644" s="7" t="s">
        <v>5101</v>
      </c>
      <c r="Q1644" s="26">
        <v>17</v>
      </c>
      <c r="R1644" s="26">
        <v>1</v>
      </c>
      <c r="S1644" s="40">
        <v>1</v>
      </c>
      <c r="T1644" s="7"/>
      <c r="U1644" s="7" t="s">
        <v>2951</v>
      </c>
      <c r="V1644" s="7" t="str">
        <f>+IF(U1644="","",IF(U1644="FINES",CONCATENATE("R",IF(OR(B1644="16",B1644="21",B1644="22",B1644="23"),"16212223",IF(OR(B1644="15",B1644="17",B1644="24",B1644="25"),"15172425",B1644))),IF(U1644="CEBAS","UNICO",IF(VALUE(B1644)&lt;=11,"AMBA","INTERIOR"))))</f>
        <v>R01</v>
      </c>
      <c r="W1644" s="38" t="str">
        <f>+IF(U1644="","-",CONCATENATE(U1644,"_",V1644))</f>
        <v>FINES_R01</v>
      </c>
      <c r="X1644" s="42">
        <v>4.2999999999999997E-2</v>
      </c>
    </row>
    <row r="1645" spans="1:24">
      <c r="A1645" s="21" t="s">
        <v>5100</v>
      </c>
      <c r="B1645" t="s">
        <v>19</v>
      </c>
      <c r="C1645" t="s">
        <v>17</v>
      </c>
      <c r="D1645" t="s">
        <v>18</v>
      </c>
      <c r="E1645" s="7" t="s">
        <v>198</v>
      </c>
      <c r="F1645" s="7" t="s">
        <v>198</v>
      </c>
      <c r="G1645" s="7" t="s">
        <v>198</v>
      </c>
      <c r="H1645" s="7" t="s">
        <v>20</v>
      </c>
      <c r="I1645" s="7" t="s">
        <v>5102</v>
      </c>
      <c r="J1645" s="7" t="s">
        <v>21</v>
      </c>
      <c r="L1645" t="s">
        <v>3072</v>
      </c>
      <c r="M1645" s="7" t="s">
        <v>22</v>
      </c>
      <c r="N1645" s="7" t="s">
        <v>23</v>
      </c>
      <c r="O1645" s="7" t="s">
        <v>27</v>
      </c>
      <c r="P1645" s="7" t="s">
        <v>5101</v>
      </c>
      <c r="Q1645" s="26">
        <v>11</v>
      </c>
      <c r="R1645" s="26">
        <v>1</v>
      </c>
      <c r="S1645" s="40">
        <v>1</v>
      </c>
      <c r="T1645" s="7"/>
      <c r="U1645" s="7" t="s">
        <v>2951</v>
      </c>
      <c r="V1645" s="7" t="str">
        <f>+IF(U1645="","",IF(U1645="FINES",CONCATENATE("R",IF(OR(B1645="16",B1645="21",B1645="22",B1645="23"),"16212223",IF(OR(B1645="15",B1645="17",B1645="24",B1645="25"),"15172425",B1645))),IF(U1645="CEBAS","UNICO",IF(VALUE(B1645)&lt;=11,"AMBA","INTERIOR"))))</f>
        <v>R01</v>
      </c>
      <c r="W1645" s="38" t="str">
        <f>+IF(U1645="","-",CONCATENATE(U1645,"_",V1645))</f>
        <v>FINES_R01</v>
      </c>
      <c r="X1645" s="42">
        <v>4.4999999999999998E-2</v>
      </c>
    </row>
    <row r="1646" spans="1:24">
      <c r="A1646" s="21" t="s">
        <v>5100</v>
      </c>
      <c r="B1646" t="s">
        <v>19</v>
      </c>
      <c r="C1646" t="s">
        <v>17</v>
      </c>
      <c r="D1646" t="s">
        <v>18</v>
      </c>
      <c r="E1646" s="7" t="s">
        <v>198</v>
      </c>
      <c r="F1646" s="7" t="s">
        <v>198</v>
      </c>
      <c r="G1646" s="7" t="s">
        <v>198</v>
      </c>
      <c r="H1646" s="7" t="s">
        <v>20</v>
      </c>
      <c r="I1646" s="7" t="s">
        <v>5102</v>
      </c>
      <c r="J1646" s="7" t="s">
        <v>21</v>
      </c>
      <c r="L1646" t="s">
        <v>3093</v>
      </c>
      <c r="M1646" s="7" t="s">
        <v>22</v>
      </c>
      <c r="N1646" s="7" t="s">
        <v>23</v>
      </c>
      <c r="O1646" s="7" t="s">
        <v>27</v>
      </c>
      <c r="P1646" s="7" t="s">
        <v>5101</v>
      </c>
      <c r="Q1646" s="26">
        <v>23</v>
      </c>
      <c r="R1646" s="26">
        <v>1</v>
      </c>
      <c r="S1646" s="40">
        <v>1</v>
      </c>
      <c r="T1646" s="7"/>
      <c r="U1646" s="7" t="s">
        <v>2951</v>
      </c>
      <c r="V1646" s="7" t="str">
        <f>+IF(U1646="","",IF(U1646="FINES",CONCATENATE("R",IF(OR(B1646="16",B1646="21",B1646="22",B1646="23"),"16212223",IF(OR(B1646="15",B1646="17",B1646="24",B1646="25"),"15172425",B1646))),IF(U1646="CEBAS","UNICO",IF(VALUE(B1646)&lt;=11,"AMBA","INTERIOR"))))</f>
        <v>R01</v>
      </c>
      <c r="W1646" s="38" t="str">
        <f>+IF(U1646="","-",CONCATENATE(U1646,"_",V1646))</f>
        <v>FINES_R01</v>
      </c>
      <c r="X1646" s="42">
        <v>4.4999999999999998E-2</v>
      </c>
    </row>
    <row r="1647" spans="1:24">
      <c r="A1647" s="21" t="s">
        <v>5100</v>
      </c>
      <c r="B1647" t="s">
        <v>19</v>
      </c>
      <c r="C1647" t="s">
        <v>17</v>
      </c>
      <c r="D1647" t="s">
        <v>18</v>
      </c>
      <c r="E1647" s="7" t="s">
        <v>198</v>
      </c>
      <c r="F1647" s="7" t="s">
        <v>198</v>
      </c>
      <c r="G1647" s="7" t="s">
        <v>198</v>
      </c>
      <c r="H1647" s="7" t="s">
        <v>20</v>
      </c>
      <c r="I1647" s="7" t="s">
        <v>5102</v>
      </c>
      <c r="J1647" s="7" t="s">
        <v>21</v>
      </c>
      <c r="L1647" t="s">
        <v>3064</v>
      </c>
      <c r="M1647" s="7" t="s">
        <v>22</v>
      </c>
      <c r="N1647" s="7" t="s">
        <v>23</v>
      </c>
      <c r="O1647" s="7" t="s">
        <v>27</v>
      </c>
      <c r="P1647" s="7" t="s">
        <v>5101</v>
      </c>
      <c r="Q1647" s="26">
        <v>84</v>
      </c>
      <c r="R1647" s="26">
        <v>3</v>
      </c>
      <c r="S1647" s="40">
        <v>1</v>
      </c>
      <c r="T1647" s="7"/>
      <c r="U1647" s="7" t="s">
        <v>2951</v>
      </c>
      <c r="V1647" s="7" t="str">
        <f>+IF(U1647="","",IF(U1647="FINES",CONCATENATE("R",IF(OR(B1647="16",B1647="21",B1647="22",B1647="23"),"16212223",IF(OR(B1647="15",B1647="17",B1647="24",B1647="25"),"15172425",B1647))),IF(U1647="CEBAS","UNICO",IF(VALUE(B1647)&lt;=11,"AMBA","INTERIOR"))))</f>
        <v>R01</v>
      </c>
      <c r="W1647" s="38" t="str">
        <f>+IF(U1647="","-",CONCATENATE(U1647,"_",V1647))</f>
        <v>FINES_R01</v>
      </c>
      <c r="X1647" s="42">
        <v>5.8999999999999997E-2</v>
      </c>
    </row>
    <row r="1648" spans="1:24">
      <c r="A1648" s="21" t="s">
        <v>5100</v>
      </c>
      <c r="B1648" t="s">
        <v>19</v>
      </c>
      <c r="C1648" t="s">
        <v>17</v>
      </c>
      <c r="D1648" t="s">
        <v>18</v>
      </c>
      <c r="E1648" s="7" t="s">
        <v>198</v>
      </c>
      <c r="F1648" s="7" t="s">
        <v>198</v>
      </c>
      <c r="G1648" s="7" t="s">
        <v>198</v>
      </c>
      <c r="H1648" s="7" t="s">
        <v>20</v>
      </c>
      <c r="I1648" s="7" t="s">
        <v>5102</v>
      </c>
      <c r="J1648" s="7" t="s">
        <v>21</v>
      </c>
      <c r="L1648" t="s">
        <v>3029</v>
      </c>
      <c r="M1648" s="7" t="s">
        <v>22</v>
      </c>
      <c r="N1648" s="7" t="s">
        <v>23</v>
      </c>
      <c r="O1648" s="7" t="s">
        <v>27</v>
      </c>
      <c r="P1648" s="7" t="s">
        <v>5101</v>
      </c>
      <c r="Q1648" s="26">
        <v>8</v>
      </c>
      <c r="R1648" s="26">
        <v>1</v>
      </c>
      <c r="S1648" s="40">
        <v>1</v>
      </c>
      <c r="T1648" s="7"/>
      <c r="U1648" s="7" t="s">
        <v>2951</v>
      </c>
      <c r="V1648" s="7" t="str">
        <f>+IF(U1648="","",IF(U1648="FINES",CONCATENATE("R",IF(OR(B1648="16",B1648="21",B1648="22",B1648="23"),"16212223",IF(OR(B1648="15",B1648="17",B1648="24",B1648="25"),"15172425",B1648))),IF(U1648="CEBAS","UNICO",IF(VALUE(B1648)&lt;=11,"AMBA","INTERIOR"))))</f>
        <v>R01</v>
      </c>
      <c r="W1648" s="38" t="str">
        <f>+IF(U1648="","-",CONCATENATE(U1648,"_",V1648))</f>
        <v>FINES_R01</v>
      </c>
      <c r="X1648" s="42">
        <v>6.2E-2</v>
      </c>
    </row>
    <row r="1649" spans="1:24">
      <c r="A1649" s="21" t="s">
        <v>5100</v>
      </c>
      <c r="B1649" t="s">
        <v>19</v>
      </c>
      <c r="C1649" t="s">
        <v>17</v>
      </c>
      <c r="D1649" t="s">
        <v>18</v>
      </c>
      <c r="E1649" s="7" t="s">
        <v>198</v>
      </c>
      <c r="F1649" s="7" t="s">
        <v>198</v>
      </c>
      <c r="G1649" s="7" t="s">
        <v>198</v>
      </c>
      <c r="H1649" s="7" t="s">
        <v>20</v>
      </c>
      <c r="I1649" s="7" t="s">
        <v>5102</v>
      </c>
      <c r="J1649" s="7" t="s">
        <v>21</v>
      </c>
      <c r="L1649" t="s">
        <v>3026</v>
      </c>
      <c r="M1649" s="7" t="s">
        <v>22</v>
      </c>
      <c r="N1649" s="7" t="s">
        <v>23</v>
      </c>
      <c r="O1649" s="7" t="s">
        <v>27</v>
      </c>
      <c r="P1649" s="7" t="s">
        <v>5101</v>
      </c>
      <c r="Q1649" s="26">
        <v>12</v>
      </c>
      <c r="R1649" s="26">
        <v>1</v>
      </c>
      <c r="S1649" s="40">
        <v>1</v>
      </c>
      <c r="T1649" s="7"/>
      <c r="U1649" s="7" t="s">
        <v>2951</v>
      </c>
      <c r="V1649" s="7" t="str">
        <f>+IF(U1649="","",IF(U1649="FINES",CONCATENATE("R",IF(OR(B1649="16",B1649="21",B1649="22",B1649="23"),"16212223",IF(OR(B1649="15",B1649="17",B1649="24",B1649="25"),"15172425",B1649))),IF(U1649="CEBAS","UNICO",IF(VALUE(B1649)&lt;=11,"AMBA","INTERIOR"))))</f>
        <v>R01</v>
      </c>
      <c r="W1649" s="38" t="str">
        <f>+IF(U1649="","-",CONCATENATE(U1649,"_",V1649))</f>
        <v>FINES_R01</v>
      </c>
      <c r="X1649" s="42">
        <v>7.0999999999999994E-2</v>
      </c>
    </row>
    <row r="1650" spans="1:24">
      <c r="A1650" s="21" t="s">
        <v>5100</v>
      </c>
      <c r="B1650" t="s">
        <v>19</v>
      </c>
      <c r="C1650" t="s">
        <v>17</v>
      </c>
      <c r="D1650" t="s">
        <v>18</v>
      </c>
      <c r="E1650" s="7" t="s">
        <v>198</v>
      </c>
      <c r="F1650" s="7" t="s">
        <v>198</v>
      </c>
      <c r="G1650" s="7" t="s">
        <v>198</v>
      </c>
      <c r="H1650" s="7" t="s">
        <v>20</v>
      </c>
      <c r="I1650" s="7" t="s">
        <v>5102</v>
      </c>
      <c r="J1650" s="7" t="s">
        <v>21</v>
      </c>
      <c r="L1650" t="s">
        <v>3018</v>
      </c>
      <c r="M1650" s="7" t="s">
        <v>22</v>
      </c>
      <c r="N1650" s="7" t="s">
        <v>23</v>
      </c>
      <c r="O1650" s="7" t="s">
        <v>27</v>
      </c>
      <c r="P1650" s="7" t="s">
        <v>5101</v>
      </c>
      <c r="Q1650" s="26">
        <v>82</v>
      </c>
      <c r="R1650" s="26">
        <v>3</v>
      </c>
      <c r="S1650" s="40">
        <v>1</v>
      </c>
      <c r="T1650" s="7"/>
      <c r="U1650" s="7" t="s">
        <v>2951</v>
      </c>
      <c r="V1650" s="7" t="str">
        <f>+IF(U1650="","",IF(U1650="FINES",CONCATENATE("R",IF(OR(B1650="16",B1650="21",B1650="22",B1650="23"),"16212223",IF(OR(B1650="15",B1650="17",B1650="24",B1650="25"),"15172425",B1650))),IF(U1650="CEBAS","UNICO",IF(VALUE(B1650)&lt;=11,"AMBA","INTERIOR"))))</f>
        <v>R01</v>
      </c>
      <c r="W1650" s="38" t="str">
        <f>+IF(U1650="","-",CONCATENATE(U1650,"_",V1650))</f>
        <v>FINES_R01</v>
      </c>
      <c r="X1650" s="42">
        <v>7.0999999999999994E-2</v>
      </c>
    </row>
    <row r="1651" spans="1:24">
      <c r="A1651" s="21" t="s">
        <v>5100</v>
      </c>
      <c r="B1651" t="s">
        <v>19</v>
      </c>
      <c r="C1651" t="s">
        <v>17</v>
      </c>
      <c r="D1651" t="s">
        <v>18</v>
      </c>
      <c r="E1651" s="7" t="s">
        <v>198</v>
      </c>
      <c r="F1651" s="7" t="s">
        <v>198</v>
      </c>
      <c r="G1651" s="7" t="s">
        <v>198</v>
      </c>
      <c r="H1651" s="7" t="s">
        <v>20</v>
      </c>
      <c r="I1651" s="7" t="s">
        <v>5102</v>
      </c>
      <c r="J1651" s="7" t="s">
        <v>21</v>
      </c>
      <c r="L1651" t="s">
        <v>3025</v>
      </c>
      <c r="M1651" s="7" t="s">
        <v>22</v>
      </c>
      <c r="N1651" s="7" t="s">
        <v>23</v>
      </c>
      <c r="O1651" s="7" t="s">
        <v>27</v>
      </c>
      <c r="P1651" s="7" t="s">
        <v>5101</v>
      </c>
      <c r="Q1651" s="26">
        <v>30</v>
      </c>
      <c r="R1651" s="26">
        <v>1</v>
      </c>
      <c r="S1651" s="40">
        <v>1</v>
      </c>
      <c r="T1651" s="7"/>
      <c r="U1651" s="7" t="s">
        <v>2951</v>
      </c>
      <c r="V1651" s="7" t="str">
        <f>+IF(U1651="","",IF(U1651="FINES",CONCATENATE("R",IF(OR(B1651="16",B1651="21",B1651="22",B1651="23"),"16212223",IF(OR(B1651="15",B1651="17",B1651="24",B1651="25"),"15172425",B1651))),IF(U1651="CEBAS","UNICO",IF(VALUE(B1651)&lt;=11,"AMBA","INTERIOR"))))</f>
        <v>R01</v>
      </c>
      <c r="W1651" s="38" t="str">
        <f>+IF(U1651="","-",CONCATENATE(U1651,"_",V1651))</f>
        <v>FINES_R01</v>
      </c>
      <c r="X1651" s="42">
        <v>7.3999999999999996E-2</v>
      </c>
    </row>
    <row r="1652" spans="1:24">
      <c r="A1652" s="21" t="s">
        <v>5100</v>
      </c>
      <c r="B1652" t="s">
        <v>19</v>
      </c>
      <c r="C1652" t="s">
        <v>1480</v>
      </c>
      <c r="D1652" t="s">
        <v>1481</v>
      </c>
      <c r="E1652" s="7" t="s">
        <v>198</v>
      </c>
      <c r="F1652" s="7" t="s">
        <v>198</v>
      </c>
      <c r="G1652" s="7" t="s">
        <v>198</v>
      </c>
      <c r="H1652" s="7" t="s">
        <v>20</v>
      </c>
      <c r="I1652" s="7" t="s">
        <v>5102</v>
      </c>
      <c r="J1652" s="7" t="s">
        <v>21</v>
      </c>
      <c r="L1652" t="s">
        <v>3111</v>
      </c>
      <c r="M1652" s="7" t="s">
        <v>22</v>
      </c>
      <c r="N1652" s="7" t="s">
        <v>23</v>
      </c>
      <c r="O1652" s="7" t="s">
        <v>27</v>
      </c>
      <c r="P1652" s="7" t="s">
        <v>5101</v>
      </c>
      <c r="Q1652" s="26">
        <v>12</v>
      </c>
      <c r="R1652" s="26">
        <v>1</v>
      </c>
      <c r="S1652" s="40">
        <v>1</v>
      </c>
      <c r="T1652" s="7"/>
      <c r="U1652" s="7" t="s">
        <v>2951</v>
      </c>
      <c r="V1652" s="7" t="str">
        <f>+IF(U1652="","",IF(U1652="FINES",CONCATENATE("R",IF(OR(B1652="16",B1652="21",B1652="22",B1652="23"),"16212223",IF(OR(B1652="15",B1652="17",B1652="24",B1652="25"),"15172425",B1652))),IF(U1652="CEBAS","UNICO",IF(VALUE(B1652)&lt;=11,"AMBA","INTERIOR"))))</f>
        <v>R01</v>
      </c>
      <c r="W1652" s="38" t="str">
        <f>+IF(U1652="","-",CONCATENATE(U1652,"_",V1652))</f>
        <v>FINES_R01</v>
      </c>
      <c r="X1652" s="42">
        <v>9.7000000000000003E-2</v>
      </c>
    </row>
    <row r="1653" spans="1:24">
      <c r="A1653" s="21" t="s">
        <v>5100</v>
      </c>
      <c r="B1653" t="s">
        <v>19</v>
      </c>
      <c r="C1653" t="s">
        <v>449</v>
      </c>
      <c r="D1653" t="s">
        <v>2590</v>
      </c>
      <c r="E1653" s="7" t="s">
        <v>198</v>
      </c>
      <c r="F1653" s="7" t="s">
        <v>198</v>
      </c>
      <c r="G1653" s="7" t="s">
        <v>198</v>
      </c>
      <c r="H1653" s="7" t="s">
        <v>20</v>
      </c>
      <c r="I1653" s="7" t="s">
        <v>5102</v>
      </c>
      <c r="J1653" s="7" t="s">
        <v>21</v>
      </c>
      <c r="L1653" t="s">
        <v>2993</v>
      </c>
      <c r="M1653" s="7" t="s">
        <v>22</v>
      </c>
      <c r="N1653" s="7" t="s">
        <v>23</v>
      </c>
      <c r="O1653" s="7" t="s">
        <v>27</v>
      </c>
      <c r="P1653" s="7" t="s">
        <v>5101</v>
      </c>
      <c r="Q1653" s="26">
        <v>23</v>
      </c>
      <c r="R1653" s="26">
        <v>1</v>
      </c>
      <c r="S1653" s="40">
        <v>1</v>
      </c>
      <c r="T1653" s="7"/>
      <c r="U1653" s="7" t="s">
        <v>2951</v>
      </c>
      <c r="V1653" s="7" t="str">
        <f>+IF(U1653="","",IF(U1653="FINES",CONCATENATE("R",IF(OR(B1653="16",B1653="21",B1653="22",B1653="23"),"16212223",IF(OR(B1653="15",B1653="17",B1653="24",B1653="25"),"15172425",B1653))),IF(U1653="CEBAS","UNICO",IF(VALUE(B1653)&lt;=11,"AMBA","INTERIOR"))))</f>
        <v>R01</v>
      </c>
      <c r="W1653" s="38" t="str">
        <f>+IF(U1653="","-",CONCATENATE(U1653,"_",V1653))</f>
        <v>FINES_R01</v>
      </c>
      <c r="X1653" s="42">
        <v>9.8000000000000004E-2</v>
      </c>
    </row>
    <row r="1654" spans="1:24">
      <c r="A1654" s="21" t="s">
        <v>5100</v>
      </c>
      <c r="B1654" t="s">
        <v>19</v>
      </c>
      <c r="C1654" t="s">
        <v>17</v>
      </c>
      <c r="D1654" t="s">
        <v>18</v>
      </c>
      <c r="E1654" s="7" t="s">
        <v>198</v>
      </c>
      <c r="F1654" s="7" t="s">
        <v>198</v>
      </c>
      <c r="G1654" s="7" t="s">
        <v>198</v>
      </c>
      <c r="H1654" s="7" t="s">
        <v>20</v>
      </c>
      <c r="I1654" s="7" t="s">
        <v>5102</v>
      </c>
      <c r="J1654" s="7" t="s">
        <v>21</v>
      </c>
      <c r="L1654" t="s">
        <v>3050</v>
      </c>
      <c r="M1654" s="7" t="s">
        <v>22</v>
      </c>
      <c r="N1654" s="7" t="s">
        <v>23</v>
      </c>
      <c r="O1654" s="7" t="s">
        <v>27</v>
      </c>
      <c r="P1654" s="7" t="s">
        <v>5101</v>
      </c>
      <c r="Q1654" s="26">
        <v>18</v>
      </c>
      <c r="R1654" s="26">
        <v>1</v>
      </c>
      <c r="S1654" s="40">
        <v>1</v>
      </c>
      <c r="T1654" s="7"/>
      <c r="U1654" s="7" t="s">
        <v>2951</v>
      </c>
      <c r="V1654" s="7" t="str">
        <f>+IF(U1654="","",IF(U1654="FINES",CONCATENATE("R",IF(OR(B1654="16",B1654="21",B1654="22",B1654="23"),"16212223",IF(OR(B1654="15",B1654="17",B1654="24",B1654="25"),"15172425",B1654))),IF(U1654="CEBAS","UNICO",IF(VALUE(B1654)&lt;=11,"AMBA","INTERIOR"))))</f>
        <v>R01</v>
      </c>
      <c r="W1654" s="38" t="str">
        <f>+IF(U1654="","-",CONCATENATE(U1654,"_",V1654))</f>
        <v>FINES_R01</v>
      </c>
      <c r="X1654" s="42">
        <v>9.9000000000000005E-2</v>
      </c>
    </row>
    <row r="1655" spans="1:24">
      <c r="A1655" s="21" t="s">
        <v>5100</v>
      </c>
      <c r="B1655" t="s">
        <v>19</v>
      </c>
      <c r="C1655" t="s">
        <v>17</v>
      </c>
      <c r="D1655" t="s">
        <v>18</v>
      </c>
      <c r="E1655" s="7" t="s">
        <v>198</v>
      </c>
      <c r="F1655" s="7" t="s">
        <v>198</v>
      </c>
      <c r="G1655" s="7" t="s">
        <v>198</v>
      </c>
      <c r="H1655" s="7" t="s">
        <v>20</v>
      </c>
      <c r="I1655" s="7" t="s">
        <v>5102</v>
      </c>
      <c r="J1655" s="7" t="s">
        <v>21</v>
      </c>
      <c r="L1655" t="s">
        <v>3100</v>
      </c>
      <c r="M1655" s="7" t="s">
        <v>22</v>
      </c>
      <c r="N1655" s="7" t="s">
        <v>23</v>
      </c>
      <c r="O1655" s="7" t="s">
        <v>27</v>
      </c>
      <c r="P1655" s="7" t="s">
        <v>5101</v>
      </c>
      <c r="Q1655" s="26">
        <v>0</v>
      </c>
      <c r="R1655" s="26">
        <v>1</v>
      </c>
      <c r="S1655" s="40">
        <v>1</v>
      </c>
      <c r="T1655" s="7"/>
      <c r="U1655" s="7" t="s">
        <v>2951</v>
      </c>
      <c r="V1655" s="7" t="str">
        <f>+IF(U1655="","",IF(U1655="FINES",CONCATENATE("R",IF(OR(B1655="16",B1655="21",B1655="22",B1655="23"),"16212223",IF(OR(B1655="15",B1655="17",B1655="24",B1655="25"),"15172425",B1655))),IF(U1655="CEBAS","UNICO",IF(VALUE(B1655)&lt;=11,"AMBA","INTERIOR"))))</f>
        <v>R01</v>
      </c>
      <c r="W1655" s="38" t="str">
        <f>+IF(U1655="","-",CONCATENATE(U1655,"_",V1655))</f>
        <v>FINES_R01</v>
      </c>
      <c r="X1655" s="42">
        <v>0.10199999999999999</v>
      </c>
    </row>
    <row r="1656" spans="1:24">
      <c r="A1656" s="21" t="s">
        <v>5100</v>
      </c>
      <c r="B1656" t="s">
        <v>19</v>
      </c>
      <c r="C1656" t="s">
        <v>449</v>
      </c>
      <c r="D1656" t="s">
        <v>2590</v>
      </c>
      <c r="E1656" s="7" t="s">
        <v>198</v>
      </c>
      <c r="F1656" s="7" t="s">
        <v>198</v>
      </c>
      <c r="G1656" s="7" t="s">
        <v>198</v>
      </c>
      <c r="H1656" s="7" t="s">
        <v>20</v>
      </c>
      <c r="I1656" s="7" t="s">
        <v>5102</v>
      </c>
      <c r="J1656" s="7" t="s">
        <v>21</v>
      </c>
      <c r="L1656" t="s">
        <v>2992</v>
      </c>
      <c r="M1656" s="7" t="s">
        <v>22</v>
      </c>
      <c r="N1656" s="7" t="s">
        <v>23</v>
      </c>
      <c r="O1656" s="7" t="s">
        <v>27</v>
      </c>
      <c r="P1656" s="7" t="s">
        <v>5101</v>
      </c>
      <c r="Q1656" s="26">
        <v>8</v>
      </c>
      <c r="R1656" s="26">
        <v>1</v>
      </c>
      <c r="S1656" s="40">
        <v>1</v>
      </c>
      <c r="T1656" s="7"/>
      <c r="U1656" s="7" t="s">
        <v>2951</v>
      </c>
      <c r="V1656" s="7" t="str">
        <f>+IF(U1656="","",IF(U1656="FINES",CONCATENATE("R",IF(OR(B1656="16",B1656="21",B1656="22",B1656="23"),"16212223",IF(OR(B1656="15",B1656="17",B1656="24",B1656="25"),"15172425",B1656))),IF(U1656="CEBAS","UNICO",IF(VALUE(B1656)&lt;=11,"AMBA","INTERIOR"))))</f>
        <v>R01</v>
      </c>
      <c r="W1656" s="38" t="str">
        <f>+IF(U1656="","-",CONCATENATE(U1656,"_",V1656))</f>
        <v>FINES_R01</v>
      </c>
      <c r="X1656" s="42">
        <v>0.106</v>
      </c>
    </row>
    <row r="1657" spans="1:24">
      <c r="A1657" s="21" t="s">
        <v>5100</v>
      </c>
      <c r="B1657" t="s">
        <v>19</v>
      </c>
      <c r="C1657" t="s">
        <v>17</v>
      </c>
      <c r="D1657" t="s">
        <v>18</v>
      </c>
      <c r="E1657" s="7" t="s">
        <v>198</v>
      </c>
      <c r="F1657" s="7" t="s">
        <v>198</v>
      </c>
      <c r="G1657" s="7" t="s">
        <v>198</v>
      </c>
      <c r="H1657" s="7" t="s">
        <v>20</v>
      </c>
      <c r="I1657" s="7" t="s">
        <v>5102</v>
      </c>
      <c r="J1657" s="7" t="s">
        <v>21</v>
      </c>
      <c r="L1657" t="s">
        <v>3034</v>
      </c>
      <c r="M1657" s="7" t="s">
        <v>22</v>
      </c>
      <c r="N1657" s="7" t="s">
        <v>23</v>
      </c>
      <c r="O1657" s="7" t="s">
        <v>27</v>
      </c>
      <c r="P1657" s="7" t="s">
        <v>5101</v>
      </c>
      <c r="Q1657" s="26">
        <v>13</v>
      </c>
      <c r="R1657" s="26">
        <v>1</v>
      </c>
      <c r="S1657" s="40">
        <v>1</v>
      </c>
      <c r="T1657" s="7"/>
      <c r="U1657" s="7" t="s">
        <v>2951</v>
      </c>
      <c r="V1657" s="7" t="str">
        <f>+IF(U1657="","",IF(U1657="FINES",CONCATENATE("R",IF(OR(B1657="16",B1657="21",B1657="22",B1657="23"),"16212223",IF(OR(B1657="15",B1657="17",B1657="24",B1657="25"),"15172425",B1657))),IF(U1657="CEBAS","UNICO",IF(VALUE(B1657)&lt;=11,"AMBA","INTERIOR"))))</f>
        <v>R01</v>
      </c>
      <c r="W1657" s="38" t="str">
        <f>+IF(U1657="","-",CONCATENATE(U1657,"_",V1657))</f>
        <v>FINES_R01</v>
      </c>
      <c r="X1657" s="42">
        <v>0.108</v>
      </c>
    </row>
    <row r="1658" spans="1:24">
      <c r="A1658" s="21" t="s">
        <v>5100</v>
      </c>
      <c r="B1658" t="s">
        <v>19</v>
      </c>
      <c r="C1658" t="s">
        <v>449</v>
      </c>
      <c r="D1658" t="s">
        <v>2590</v>
      </c>
      <c r="E1658" s="7" t="s">
        <v>198</v>
      </c>
      <c r="F1658" s="7" t="s">
        <v>198</v>
      </c>
      <c r="G1658" s="7" t="s">
        <v>198</v>
      </c>
      <c r="H1658" s="7" t="s">
        <v>20</v>
      </c>
      <c r="I1658" s="7" t="s">
        <v>5102</v>
      </c>
      <c r="J1658" s="7" t="s">
        <v>21</v>
      </c>
      <c r="L1658" t="s">
        <v>2990</v>
      </c>
      <c r="M1658" s="7" t="s">
        <v>22</v>
      </c>
      <c r="N1658" s="7" t="s">
        <v>23</v>
      </c>
      <c r="O1658" s="7" t="s">
        <v>27</v>
      </c>
      <c r="P1658" s="7" t="s">
        <v>5101</v>
      </c>
      <c r="Q1658" s="26">
        <v>16</v>
      </c>
      <c r="R1658" s="26">
        <v>1</v>
      </c>
      <c r="S1658" s="40">
        <v>1</v>
      </c>
      <c r="T1658" s="7"/>
      <c r="U1658" s="7" t="s">
        <v>2951</v>
      </c>
      <c r="V1658" s="7" t="str">
        <f>+IF(U1658="","",IF(U1658="FINES",CONCATENATE("R",IF(OR(B1658="16",B1658="21",B1658="22",B1658="23"),"16212223",IF(OR(B1658="15",B1658="17",B1658="24",B1658="25"),"15172425",B1658))),IF(U1658="CEBAS","UNICO",IF(VALUE(B1658)&lt;=11,"AMBA","INTERIOR"))))</f>
        <v>R01</v>
      </c>
      <c r="W1658" s="38" t="str">
        <f>+IF(U1658="","-",CONCATENATE(U1658,"_",V1658))</f>
        <v>FINES_R01</v>
      </c>
      <c r="X1658" s="42">
        <v>0.109</v>
      </c>
    </row>
    <row r="1659" spans="1:24">
      <c r="A1659" s="21" t="s">
        <v>5100</v>
      </c>
      <c r="B1659" t="s">
        <v>19</v>
      </c>
      <c r="C1659" t="s">
        <v>252</v>
      </c>
      <c r="D1659" t="s">
        <v>2566</v>
      </c>
      <c r="E1659" s="7" t="s">
        <v>198</v>
      </c>
      <c r="F1659" s="7" t="s">
        <v>198</v>
      </c>
      <c r="G1659" s="7" t="s">
        <v>198</v>
      </c>
      <c r="H1659" s="7" t="s">
        <v>20</v>
      </c>
      <c r="I1659" s="7" t="s">
        <v>5102</v>
      </c>
      <c r="J1659" s="7" t="s">
        <v>21</v>
      </c>
      <c r="L1659" t="s">
        <v>2975</v>
      </c>
      <c r="M1659" s="7" t="s">
        <v>22</v>
      </c>
      <c r="N1659" s="7" t="s">
        <v>23</v>
      </c>
      <c r="O1659" s="7" t="s">
        <v>27</v>
      </c>
      <c r="P1659" s="7" t="s">
        <v>5101</v>
      </c>
      <c r="Q1659" s="26">
        <v>34</v>
      </c>
      <c r="R1659" s="26">
        <v>2</v>
      </c>
      <c r="S1659" s="40">
        <v>1</v>
      </c>
      <c r="T1659" s="7"/>
      <c r="U1659" s="7" t="s">
        <v>2951</v>
      </c>
      <c r="V1659" s="7" t="str">
        <f>+IF(U1659="","",IF(U1659="FINES",CONCATENATE("R",IF(OR(B1659="16",B1659="21",B1659="22",B1659="23"),"16212223",IF(OR(B1659="15",B1659="17",B1659="24",B1659="25"),"15172425",B1659))),IF(U1659="CEBAS","UNICO",IF(VALUE(B1659)&lt;=11,"AMBA","INTERIOR"))))</f>
        <v>R01</v>
      </c>
      <c r="W1659" s="38" t="str">
        <f>+IF(U1659="","-",CONCATENATE(U1659,"_",V1659))</f>
        <v>FINES_R01</v>
      </c>
      <c r="X1659" s="42">
        <v>0.114</v>
      </c>
    </row>
    <row r="1660" spans="1:24">
      <c r="A1660" s="21" t="s">
        <v>5100</v>
      </c>
      <c r="B1660" t="s">
        <v>19</v>
      </c>
      <c r="C1660" t="s">
        <v>252</v>
      </c>
      <c r="D1660" t="s">
        <v>2566</v>
      </c>
      <c r="E1660" s="7" t="s">
        <v>198</v>
      </c>
      <c r="F1660" s="7" t="s">
        <v>198</v>
      </c>
      <c r="G1660" s="7" t="s">
        <v>198</v>
      </c>
      <c r="H1660" s="7" t="s">
        <v>20</v>
      </c>
      <c r="I1660" s="7" t="s">
        <v>5102</v>
      </c>
      <c r="J1660" s="7" t="s">
        <v>21</v>
      </c>
      <c r="L1660" t="s">
        <v>2958</v>
      </c>
      <c r="M1660" s="7" t="s">
        <v>22</v>
      </c>
      <c r="N1660" s="7" t="s">
        <v>23</v>
      </c>
      <c r="O1660" s="7" t="s">
        <v>27</v>
      </c>
      <c r="P1660" s="7" t="s">
        <v>5101</v>
      </c>
      <c r="Q1660" s="26">
        <v>18</v>
      </c>
      <c r="R1660" s="26">
        <v>1</v>
      </c>
      <c r="S1660" s="40">
        <v>1</v>
      </c>
      <c r="T1660" s="7"/>
      <c r="U1660" s="7" t="s">
        <v>2951</v>
      </c>
      <c r="V1660" s="7" t="str">
        <f>+IF(U1660="","",IF(U1660="FINES",CONCATENATE("R",IF(OR(B1660="16",B1660="21",B1660="22",B1660="23"),"16212223",IF(OR(B1660="15",B1660="17",B1660="24",B1660="25"),"15172425",B1660))),IF(U1660="CEBAS","UNICO",IF(VALUE(B1660)&lt;=11,"AMBA","INTERIOR"))))</f>
        <v>R01</v>
      </c>
      <c r="W1660" s="38" t="str">
        <f>+IF(U1660="","-",CONCATENATE(U1660,"_",V1660))</f>
        <v>FINES_R01</v>
      </c>
      <c r="X1660" s="42">
        <v>0.11899999999999999</v>
      </c>
    </row>
    <row r="1661" spans="1:24">
      <c r="A1661" s="21" t="s">
        <v>5100</v>
      </c>
      <c r="B1661" t="s">
        <v>19</v>
      </c>
      <c r="C1661" t="s">
        <v>17</v>
      </c>
      <c r="D1661" t="s">
        <v>18</v>
      </c>
      <c r="E1661" s="7" t="s">
        <v>198</v>
      </c>
      <c r="F1661" s="7" t="s">
        <v>198</v>
      </c>
      <c r="G1661" s="7" t="s">
        <v>198</v>
      </c>
      <c r="H1661" s="7" t="s">
        <v>20</v>
      </c>
      <c r="I1661" s="7" t="s">
        <v>5102</v>
      </c>
      <c r="J1661" s="7" t="s">
        <v>21</v>
      </c>
      <c r="L1661" t="s">
        <v>3070</v>
      </c>
      <c r="M1661" s="7" t="s">
        <v>22</v>
      </c>
      <c r="N1661" s="7" t="s">
        <v>23</v>
      </c>
      <c r="O1661" s="7" t="s">
        <v>27</v>
      </c>
      <c r="P1661" s="7" t="s">
        <v>5101</v>
      </c>
      <c r="Q1661" s="26">
        <v>59</v>
      </c>
      <c r="R1661" s="26">
        <v>3</v>
      </c>
      <c r="S1661" s="40">
        <v>1</v>
      </c>
      <c r="T1661" s="7"/>
      <c r="U1661" s="7" t="s">
        <v>2951</v>
      </c>
      <c r="V1661" s="7" t="str">
        <f>+IF(U1661="","",IF(U1661="FINES",CONCATENATE("R",IF(OR(B1661="16",B1661="21",B1661="22",B1661="23"),"16212223",IF(OR(B1661="15",B1661="17",B1661="24",B1661="25"),"15172425",B1661))),IF(U1661="CEBAS","UNICO",IF(VALUE(B1661)&lt;=11,"AMBA","INTERIOR"))))</f>
        <v>R01</v>
      </c>
      <c r="W1661" s="38" t="str">
        <f>+IF(U1661="","-",CONCATENATE(U1661,"_",V1661))</f>
        <v>FINES_R01</v>
      </c>
      <c r="X1661" s="42">
        <v>0.121</v>
      </c>
    </row>
    <row r="1662" spans="1:24">
      <c r="A1662" s="21" t="s">
        <v>5100</v>
      </c>
      <c r="B1662" t="s">
        <v>19</v>
      </c>
      <c r="C1662" t="s">
        <v>449</v>
      </c>
      <c r="D1662" t="s">
        <v>2590</v>
      </c>
      <c r="E1662" s="7" t="s">
        <v>198</v>
      </c>
      <c r="F1662" s="7" t="s">
        <v>198</v>
      </c>
      <c r="G1662" s="7" t="s">
        <v>198</v>
      </c>
      <c r="H1662" s="7" t="s">
        <v>20</v>
      </c>
      <c r="I1662" s="7" t="s">
        <v>5102</v>
      </c>
      <c r="J1662" s="7" t="s">
        <v>21</v>
      </c>
      <c r="L1662" t="s">
        <v>2996</v>
      </c>
      <c r="M1662" s="7" t="s">
        <v>22</v>
      </c>
      <c r="N1662" s="7" t="s">
        <v>23</v>
      </c>
      <c r="O1662" s="7" t="s">
        <v>27</v>
      </c>
      <c r="P1662" s="7" t="s">
        <v>5101</v>
      </c>
      <c r="Q1662" s="26">
        <v>45</v>
      </c>
      <c r="R1662" s="26">
        <v>2</v>
      </c>
      <c r="S1662" s="40">
        <v>1</v>
      </c>
      <c r="T1662" s="7"/>
      <c r="U1662" s="7" t="s">
        <v>2951</v>
      </c>
      <c r="V1662" s="7" t="str">
        <f>+IF(U1662="","",IF(U1662="FINES",CONCATENATE("R",IF(OR(B1662="16",B1662="21",B1662="22",B1662="23"),"16212223",IF(OR(B1662="15",B1662="17",B1662="24",B1662="25"),"15172425",B1662))),IF(U1662="CEBAS","UNICO",IF(VALUE(B1662)&lt;=11,"AMBA","INTERIOR"))))</f>
        <v>R01</v>
      </c>
      <c r="W1662" s="38" t="str">
        <f>+IF(U1662="","-",CONCATENATE(U1662,"_",V1662))</f>
        <v>FINES_R01</v>
      </c>
      <c r="X1662" s="42">
        <v>0.124</v>
      </c>
    </row>
    <row r="1663" spans="1:24">
      <c r="A1663" s="21" t="s">
        <v>5100</v>
      </c>
      <c r="B1663" t="s">
        <v>19</v>
      </c>
      <c r="C1663" t="s">
        <v>1480</v>
      </c>
      <c r="D1663" t="s">
        <v>1481</v>
      </c>
      <c r="E1663" s="7" t="s">
        <v>198</v>
      </c>
      <c r="F1663" s="7" t="s">
        <v>198</v>
      </c>
      <c r="G1663" s="7" t="s">
        <v>198</v>
      </c>
      <c r="H1663" s="7" t="s">
        <v>20</v>
      </c>
      <c r="I1663" s="7" t="s">
        <v>5102</v>
      </c>
      <c r="J1663" s="7" t="s">
        <v>21</v>
      </c>
      <c r="L1663" t="s">
        <v>3116</v>
      </c>
      <c r="M1663" s="7" t="s">
        <v>22</v>
      </c>
      <c r="N1663" s="7" t="s">
        <v>23</v>
      </c>
      <c r="O1663" s="7" t="s">
        <v>27</v>
      </c>
      <c r="P1663" s="7" t="s">
        <v>5101</v>
      </c>
      <c r="Q1663" s="26">
        <v>31</v>
      </c>
      <c r="R1663" s="26">
        <v>2</v>
      </c>
      <c r="S1663" s="40">
        <v>1</v>
      </c>
      <c r="T1663" s="7"/>
      <c r="U1663" s="7" t="s">
        <v>2951</v>
      </c>
      <c r="V1663" s="7" t="str">
        <f>+IF(U1663="","",IF(U1663="FINES",CONCATENATE("R",IF(OR(B1663="16",B1663="21",B1663="22",B1663="23"),"16212223",IF(OR(B1663="15",B1663="17",B1663="24",B1663="25"),"15172425",B1663))),IF(U1663="CEBAS","UNICO",IF(VALUE(B1663)&lt;=11,"AMBA","INTERIOR"))))</f>
        <v>R01</v>
      </c>
      <c r="W1663" s="38" t="str">
        <f>+IF(U1663="","-",CONCATENATE(U1663,"_",V1663))</f>
        <v>FINES_R01</v>
      </c>
      <c r="X1663" s="42">
        <v>0.126</v>
      </c>
    </row>
    <row r="1664" spans="1:24">
      <c r="A1664" s="21" t="s">
        <v>5100</v>
      </c>
      <c r="B1664" t="s">
        <v>19</v>
      </c>
      <c r="C1664" t="s">
        <v>449</v>
      </c>
      <c r="D1664" t="s">
        <v>2590</v>
      </c>
      <c r="E1664" s="7" t="s">
        <v>198</v>
      </c>
      <c r="F1664" s="7" t="s">
        <v>198</v>
      </c>
      <c r="G1664" s="7" t="s">
        <v>198</v>
      </c>
      <c r="H1664" s="7" t="s">
        <v>20</v>
      </c>
      <c r="I1664" s="7" t="s">
        <v>5102</v>
      </c>
      <c r="J1664" s="7" t="s">
        <v>21</v>
      </c>
      <c r="L1664" t="s">
        <v>2989</v>
      </c>
      <c r="M1664" s="7" t="s">
        <v>22</v>
      </c>
      <c r="N1664" s="7" t="s">
        <v>23</v>
      </c>
      <c r="O1664" s="7" t="s">
        <v>27</v>
      </c>
      <c r="P1664" s="7" t="s">
        <v>5101</v>
      </c>
      <c r="Q1664" s="26">
        <v>0</v>
      </c>
      <c r="R1664" s="26">
        <v>1</v>
      </c>
      <c r="S1664" s="40">
        <v>1</v>
      </c>
      <c r="T1664" s="7"/>
      <c r="U1664" s="7" t="s">
        <v>2951</v>
      </c>
      <c r="V1664" s="7" t="str">
        <f>+IF(U1664="","",IF(U1664="FINES",CONCATENATE("R",IF(OR(B1664="16",B1664="21",B1664="22",B1664="23"),"16212223",IF(OR(B1664="15",B1664="17",B1664="24",B1664="25"),"15172425",B1664))),IF(U1664="CEBAS","UNICO",IF(VALUE(B1664)&lt;=11,"AMBA","INTERIOR"))))</f>
        <v>R01</v>
      </c>
      <c r="W1664" s="38" t="str">
        <f>+IF(U1664="","-",CONCATENATE(U1664,"_",V1664))</f>
        <v>FINES_R01</v>
      </c>
      <c r="X1664" s="42">
        <v>0.13200000000000001</v>
      </c>
    </row>
    <row r="1665" spans="1:24">
      <c r="A1665" s="21" t="s">
        <v>5100</v>
      </c>
      <c r="B1665" t="s">
        <v>19</v>
      </c>
      <c r="C1665" t="s">
        <v>17</v>
      </c>
      <c r="D1665" t="s">
        <v>18</v>
      </c>
      <c r="E1665" s="7" t="s">
        <v>198</v>
      </c>
      <c r="F1665" s="7" t="s">
        <v>198</v>
      </c>
      <c r="G1665" s="7" t="s">
        <v>198</v>
      </c>
      <c r="H1665" s="7" t="s">
        <v>20</v>
      </c>
      <c r="I1665" s="7" t="s">
        <v>5102</v>
      </c>
      <c r="J1665" s="7" t="s">
        <v>21</v>
      </c>
      <c r="L1665" t="s">
        <v>3097</v>
      </c>
      <c r="M1665" s="7" t="s">
        <v>22</v>
      </c>
      <c r="N1665" s="7" t="s">
        <v>23</v>
      </c>
      <c r="O1665" s="7" t="s">
        <v>27</v>
      </c>
      <c r="P1665" s="7" t="s">
        <v>5101</v>
      </c>
      <c r="Q1665" s="26">
        <v>8</v>
      </c>
      <c r="R1665" s="26">
        <v>1</v>
      </c>
      <c r="S1665" s="40">
        <v>1</v>
      </c>
      <c r="T1665" s="7"/>
      <c r="U1665" s="7" t="s">
        <v>2951</v>
      </c>
      <c r="V1665" s="7" t="str">
        <f>+IF(U1665="","",IF(U1665="FINES",CONCATENATE("R",IF(OR(B1665="16",B1665="21",B1665="22",B1665="23"),"16212223",IF(OR(B1665="15",B1665="17",B1665="24",B1665="25"),"15172425",B1665))),IF(U1665="CEBAS","UNICO",IF(VALUE(B1665)&lt;=11,"AMBA","INTERIOR"))))</f>
        <v>R01</v>
      </c>
      <c r="W1665" s="38" t="str">
        <f>+IF(U1665="","-",CONCATENATE(U1665,"_",V1665))</f>
        <v>FINES_R01</v>
      </c>
      <c r="X1665" s="42">
        <v>0.14099999999999999</v>
      </c>
    </row>
    <row r="1666" spans="1:24">
      <c r="A1666" s="21" t="s">
        <v>5100</v>
      </c>
      <c r="B1666" t="s">
        <v>19</v>
      </c>
      <c r="C1666" t="s">
        <v>252</v>
      </c>
      <c r="D1666" t="s">
        <v>2566</v>
      </c>
      <c r="E1666" s="7" t="s">
        <v>198</v>
      </c>
      <c r="F1666" s="7" t="s">
        <v>198</v>
      </c>
      <c r="G1666" s="7" t="s">
        <v>198</v>
      </c>
      <c r="H1666" s="7" t="s">
        <v>20</v>
      </c>
      <c r="I1666" s="7" t="s">
        <v>5102</v>
      </c>
      <c r="J1666" s="7" t="s">
        <v>21</v>
      </c>
      <c r="L1666" t="s">
        <v>2971</v>
      </c>
      <c r="M1666" s="7" t="s">
        <v>22</v>
      </c>
      <c r="N1666" s="7" t="s">
        <v>23</v>
      </c>
      <c r="O1666" s="7" t="s">
        <v>27</v>
      </c>
      <c r="P1666" s="7" t="s">
        <v>5101</v>
      </c>
      <c r="Q1666" s="26">
        <v>15</v>
      </c>
      <c r="R1666" s="26">
        <v>1</v>
      </c>
      <c r="S1666" s="40">
        <v>1</v>
      </c>
      <c r="T1666" s="7"/>
      <c r="U1666" s="7" t="s">
        <v>2951</v>
      </c>
      <c r="V1666" s="7" t="str">
        <f>+IF(U1666="","",IF(U1666="FINES",CONCATENATE("R",IF(OR(B1666="16",B1666="21",B1666="22",B1666="23"),"16212223",IF(OR(B1666="15",B1666="17",B1666="24",B1666="25"),"15172425",B1666))),IF(U1666="CEBAS","UNICO",IF(VALUE(B1666)&lt;=11,"AMBA","INTERIOR"))))</f>
        <v>R01</v>
      </c>
      <c r="W1666" s="38" t="str">
        <f>+IF(U1666="","-",CONCATENATE(U1666,"_",V1666))</f>
        <v>FINES_R01</v>
      </c>
      <c r="X1666" s="42">
        <v>0.151</v>
      </c>
    </row>
    <row r="1667" spans="1:24">
      <c r="A1667" s="21" t="s">
        <v>5100</v>
      </c>
      <c r="B1667" t="s">
        <v>19</v>
      </c>
      <c r="C1667" t="s">
        <v>449</v>
      </c>
      <c r="D1667" t="s">
        <v>2590</v>
      </c>
      <c r="E1667" s="7" t="s">
        <v>198</v>
      </c>
      <c r="F1667" s="7" t="s">
        <v>198</v>
      </c>
      <c r="G1667" s="7" t="s">
        <v>198</v>
      </c>
      <c r="H1667" s="7" t="s">
        <v>20</v>
      </c>
      <c r="I1667" s="7" t="s">
        <v>5102</v>
      </c>
      <c r="J1667" s="7" t="s">
        <v>21</v>
      </c>
      <c r="L1667" t="s">
        <v>2998</v>
      </c>
      <c r="M1667" s="7" t="s">
        <v>22</v>
      </c>
      <c r="N1667" s="7" t="s">
        <v>23</v>
      </c>
      <c r="O1667" s="7" t="s">
        <v>27</v>
      </c>
      <c r="P1667" s="7" t="s">
        <v>5101</v>
      </c>
      <c r="Q1667" s="26">
        <v>12</v>
      </c>
      <c r="R1667" s="26">
        <v>1</v>
      </c>
      <c r="S1667" s="40">
        <v>1</v>
      </c>
      <c r="T1667" s="7"/>
      <c r="U1667" s="7" t="s">
        <v>2951</v>
      </c>
      <c r="V1667" s="7" t="str">
        <f>+IF(U1667="","",IF(U1667="FINES",CONCATENATE("R",IF(OR(B1667="16",B1667="21",B1667="22",B1667="23"),"16212223",IF(OR(B1667="15",B1667="17",B1667="24",B1667="25"),"15172425",B1667))),IF(U1667="CEBAS","UNICO",IF(VALUE(B1667)&lt;=11,"AMBA","INTERIOR"))))</f>
        <v>R01</v>
      </c>
      <c r="W1667" s="38" t="str">
        <f>+IF(U1667="","-",CONCATENATE(U1667,"_",V1667))</f>
        <v>FINES_R01</v>
      </c>
      <c r="X1667" s="42">
        <v>0.151</v>
      </c>
    </row>
    <row r="1668" spans="1:24">
      <c r="A1668" s="21" t="s">
        <v>5100</v>
      </c>
      <c r="B1668" t="s">
        <v>19</v>
      </c>
      <c r="C1668" t="s">
        <v>17</v>
      </c>
      <c r="D1668" t="s">
        <v>18</v>
      </c>
      <c r="E1668" s="7" t="s">
        <v>198</v>
      </c>
      <c r="F1668" s="7" t="s">
        <v>198</v>
      </c>
      <c r="G1668" s="7" t="s">
        <v>198</v>
      </c>
      <c r="H1668" s="7" t="s">
        <v>20</v>
      </c>
      <c r="I1668" s="7" t="s">
        <v>5102</v>
      </c>
      <c r="J1668" s="7" t="s">
        <v>21</v>
      </c>
      <c r="L1668" t="s">
        <v>3052</v>
      </c>
      <c r="M1668" s="7" t="s">
        <v>22</v>
      </c>
      <c r="N1668" s="7" t="s">
        <v>23</v>
      </c>
      <c r="O1668" s="7" t="s">
        <v>27</v>
      </c>
      <c r="P1668" s="7" t="s">
        <v>5101</v>
      </c>
      <c r="Q1668" s="26">
        <v>65</v>
      </c>
      <c r="R1668" s="26">
        <v>3</v>
      </c>
      <c r="S1668" s="40">
        <v>1</v>
      </c>
      <c r="T1668" s="7"/>
      <c r="U1668" s="7" t="s">
        <v>2951</v>
      </c>
      <c r="V1668" s="7" t="str">
        <f>+IF(U1668="","",IF(U1668="FINES",CONCATENATE("R",IF(OR(B1668="16",B1668="21",B1668="22",B1668="23"),"16212223",IF(OR(B1668="15",B1668="17",B1668="24",B1668="25"),"15172425",B1668))),IF(U1668="CEBAS","UNICO",IF(VALUE(B1668)&lt;=11,"AMBA","INTERIOR"))))</f>
        <v>R01</v>
      </c>
      <c r="W1668" s="38" t="str">
        <f>+IF(U1668="","-",CONCATENATE(U1668,"_",V1668))</f>
        <v>FINES_R01</v>
      </c>
      <c r="X1668" s="42">
        <v>0.155</v>
      </c>
    </row>
    <row r="1669" spans="1:24">
      <c r="A1669" s="21" t="s">
        <v>5100</v>
      </c>
      <c r="B1669" t="s">
        <v>19</v>
      </c>
      <c r="C1669" t="s">
        <v>252</v>
      </c>
      <c r="D1669" t="s">
        <v>2566</v>
      </c>
      <c r="E1669" s="7" t="s">
        <v>198</v>
      </c>
      <c r="F1669" s="7" t="s">
        <v>198</v>
      </c>
      <c r="G1669" s="7" t="s">
        <v>198</v>
      </c>
      <c r="H1669" s="7" t="s">
        <v>20</v>
      </c>
      <c r="I1669" s="7" t="s">
        <v>5102</v>
      </c>
      <c r="J1669" s="7" t="s">
        <v>21</v>
      </c>
      <c r="L1669" t="s">
        <v>2967</v>
      </c>
      <c r="M1669" s="7" t="s">
        <v>22</v>
      </c>
      <c r="N1669" s="7" t="s">
        <v>23</v>
      </c>
      <c r="O1669" s="7" t="s">
        <v>27</v>
      </c>
      <c r="P1669" s="7" t="s">
        <v>5101</v>
      </c>
      <c r="Q1669" s="26">
        <v>20</v>
      </c>
      <c r="R1669" s="26">
        <v>1</v>
      </c>
      <c r="S1669" s="40">
        <v>1</v>
      </c>
      <c r="T1669" s="7"/>
      <c r="U1669" s="7" t="s">
        <v>2951</v>
      </c>
      <c r="V1669" s="7" t="str">
        <f>+IF(U1669="","",IF(U1669="FINES",CONCATENATE("R",IF(OR(B1669="16",B1669="21",B1669="22",B1669="23"),"16212223",IF(OR(B1669="15",B1669="17",B1669="24",B1669="25"),"15172425",B1669))),IF(U1669="CEBAS","UNICO",IF(VALUE(B1669)&lt;=11,"AMBA","INTERIOR"))))</f>
        <v>R01</v>
      </c>
      <c r="W1669" s="38" t="str">
        <f>+IF(U1669="","-",CONCATENATE(U1669,"_",V1669))</f>
        <v>FINES_R01</v>
      </c>
      <c r="X1669" s="42">
        <v>0.161</v>
      </c>
    </row>
    <row r="1670" spans="1:24">
      <c r="A1670" s="21" t="s">
        <v>5100</v>
      </c>
      <c r="B1670" t="s">
        <v>19</v>
      </c>
      <c r="C1670" t="s">
        <v>252</v>
      </c>
      <c r="D1670" t="s">
        <v>2566</v>
      </c>
      <c r="E1670" s="7" t="s">
        <v>198</v>
      </c>
      <c r="F1670" s="7" t="s">
        <v>198</v>
      </c>
      <c r="G1670" s="7" t="s">
        <v>198</v>
      </c>
      <c r="H1670" s="7" t="s">
        <v>20</v>
      </c>
      <c r="I1670" s="7" t="s">
        <v>5102</v>
      </c>
      <c r="J1670" s="7" t="s">
        <v>21</v>
      </c>
      <c r="L1670" t="s">
        <v>2959</v>
      </c>
      <c r="M1670" s="7" t="s">
        <v>22</v>
      </c>
      <c r="N1670" s="7" t="s">
        <v>23</v>
      </c>
      <c r="O1670" s="7" t="s">
        <v>27</v>
      </c>
      <c r="P1670" s="7" t="s">
        <v>5101</v>
      </c>
      <c r="Q1670" s="26">
        <v>17</v>
      </c>
      <c r="R1670" s="26">
        <v>1</v>
      </c>
      <c r="S1670" s="40">
        <v>1</v>
      </c>
      <c r="T1670" s="7"/>
      <c r="U1670" s="7" t="s">
        <v>2951</v>
      </c>
      <c r="V1670" s="7" t="str">
        <f>+IF(U1670="","",IF(U1670="FINES",CONCATENATE("R",IF(OR(B1670="16",B1670="21",B1670="22",B1670="23"),"16212223",IF(OR(B1670="15",B1670="17",B1670="24",B1670="25"),"15172425",B1670))),IF(U1670="CEBAS","UNICO",IF(VALUE(B1670)&lt;=11,"AMBA","INTERIOR"))))</f>
        <v>R01</v>
      </c>
      <c r="W1670" s="38" t="str">
        <f>+IF(U1670="","-",CONCATENATE(U1670,"_",V1670))</f>
        <v>FINES_R01</v>
      </c>
      <c r="X1670" s="42">
        <v>0.16200000000000001</v>
      </c>
    </row>
    <row r="1671" spans="1:24">
      <c r="A1671" s="21" t="s">
        <v>5100</v>
      </c>
      <c r="B1671" t="s">
        <v>19</v>
      </c>
      <c r="C1671" t="s">
        <v>17</v>
      </c>
      <c r="D1671" t="s">
        <v>18</v>
      </c>
      <c r="E1671" s="7" t="s">
        <v>198</v>
      </c>
      <c r="F1671" s="7" t="s">
        <v>198</v>
      </c>
      <c r="G1671" s="7" t="s">
        <v>198</v>
      </c>
      <c r="H1671" s="7" t="s">
        <v>20</v>
      </c>
      <c r="I1671" s="7" t="s">
        <v>5102</v>
      </c>
      <c r="J1671" s="7" t="s">
        <v>21</v>
      </c>
      <c r="L1671" t="s">
        <v>3009</v>
      </c>
      <c r="M1671" s="7" t="s">
        <v>22</v>
      </c>
      <c r="N1671" s="7" t="s">
        <v>23</v>
      </c>
      <c r="O1671" s="7" t="s">
        <v>27</v>
      </c>
      <c r="P1671" s="7" t="s">
        <v>5101</v>
      </c>
      <c r="Q1671" s="26">
        <v>0</v>
      </c>
      <c r="R1671" s="26">
        <v>1</v>
      </c>
      <c r="S1671" s="40">
        <v>1</v>
      </c>
      <c r="T1671" s="7"/>
      <c r="U1671" s="7" t="s">
        <v>2951</v>
      </c>
      <c r="V1671" s="7" t="str">
        <f>+IF(U1671="","",IF(U1671="FINES",CONCATENATE("R",IF(OR(B1671="16",B1671="21",B1671="22",B1671="23"),"16212223",IF(OR(B1671="15",B1671="17",B1671="24",B1671="25"),"15172425",B1671))),IF(U1671="CEBAS","UNICO",IF(VALUE(B1671)&lt;=11,"AMBA","INTERIOR"))))</f>
        <v>R01</v>
      </c>
      <c r="W1671" s="38" t="str">
        <f>+IF(U1671="","-",CONCATENATE(U1671,"_",V1671))</f>
        <v>FINES_R01</v>
      </c>
      <c r="X1671" s="42">
        <v>0.184</v>
      </c>
    </row>
    <row r="1672" spans="1:24">
      <c r="A1672" s="21" t="s">
        <v>5100</v>
      </c>
      <c r="B1672" t="s">
        <v>19</v>
      </c>
      <c r="C1672" t="s">
        <v>17</v>
      </c>
      <c r="D1672" t="s">
        <v>18</v>
      </c>
      <c r="E1672" s="7" t="s">
        <v>198</v>
      </c>
      <c r="F1672" s="7" t="s">
        <v>198</v>
      </c>
      <c r="G1672" s="7" t="s">
        <v>198</v>
      </c>
      <c r="H1672" s="7" t="s">
        <v>20</v>
      </c>
      <c r="I1672" s="7" t="s">
        <v>5102</v>
      </c>
      <c r="J1672" s="7" t="s">
        <v>21</v>
      </c>
      <c r="L1672" t="s">
        <v>1265</v>
      </c>
      <c r="M1672" s="7" t="s">
        <v>22</v>
      </c>
      <c r="N1672" s="7" t="s">
        <v>23</v>
      </c>
      <c r="O1672" s="7" t="s">
        <v>27</v>
      </c>
      <c r="P1672" s="7" t="s">
        <v>5101</v>
      </c>
      <c r="Q1672" s="26">
        <v>21</v>
      </c>
      <c r="R1672" s="26">
        <v>1</v>
      </c>
      <c r="S1672" s="40">
        <v>1</v>
      </c>
      <c r="T1672" s="7"/>
      <c r="U1672" s="7" t="s">
        <v>2951</v>
      </c>
      <c r="V1672" s="7" t="str">
        <f>+IF(U1672="","",IF(U1672="FINES",CONCATENATE("R",IF(OR(B1672="16",B1672="21",B1672="22",B1672="23"),"16212223",IF(OR(B1672="15",B1672="17",B1672="24",B1672="25"),"15172425",B1672))),IF(U1672="CEBAS","UNICO",IF(VALUE(B1672)&lt;=11,"AMBA","INTERIOR"))))</f>
        <v>R01</v>
      </c>
      <c r="W1672" s="38" t="str">
        <f>+IF(U1672="","-",CONCATENATE(U1672,"_",V1672))</f>
        <v>FINES_R01</v>
      </c>
      <c r="X1672" s="42">
        <v>0.185</v>
      </c>
    </row>
    <row r="1673" spans="1:24">
      <c r="A1673" s="21" t="s">
        <v>5100</v>
      </c>
      <c r="B1673" t="s">
        <v>19</v>
      </c>
      <c r="C1673" t="s">
        <v>252</v>
      </c>
      <c r="D1673" t="s">
        <v>2566</v>
      </c>
      <c r="E1673" s="7" t="s">
        <v>198</v>
      </c>
      <c r="F1673" s="7" t="s">
        <v>198</v>
      </c>
      <c r="G1673" s="7" t="s">
        <v>198</v>
      </c>
      <c r="H1673" s="7" t="s">
        <v>20</v>
      </c>
      <c r="I1673" s="7" t="s">
        <v>5102</v>
      </c>
      <c r="J1673" s="7" t="s">
        <v>21</v>
      </c>
      <c r="L1673" t="s">
        <v>2964</v>
      </c>
      <c r="M1673" s="7" t="s">
        <v>22</v>
      </c>
      <c r="N1673" s="7" t="s">
        <v>23</v>
      </c>
      <c r="O1673" s="7" t="s">
        <v>27</v>
      </c>
      <c r="P1673" s="7" t="s">
        <v>5101</v>
      </c>
      <c r="Q1673" s="26">
        <v>18</v>
      </c>
      <c r="R1673" s="26">
        <v>1</v>
      </c>
      <c r="S1673" s="40">
        <v>1</v>
      </c>
      <c r="T1673" s="7"/>
      <c r="U1673" s="7" t="s">
        <v>2951</v>
      </c>
      <c r="V1673" s="7" t="str">
        <f>+IF(U1673="","",IF(U1673="FINES",CONCATENATE("R",IF(OR(B1673="16",B1673="21",B1673="22",B1673="23"),"16212223",IF(OR(B1673="15",B1673="17",B1673="24",B1673="25"),"15172425",B1673))),IF(U1673="CEBAS","UNICO",IF(VALUE(B1673)&lt;=11,"AMBA","INTERIOR"))))</f>
        <v>R01</v>
      </c>
      <c r="W1673" s="38" t="str">
        <f>+IF(U1673="","-",CONCATENATE(U1673,"_",V1673))</f>
        <v>FINES_R01</v>
      </c>
      <c r="X1673" s="42">
        <v>0.187</v>
      </c>
    </row>
    <row r="1674" spans="1:24">
      <c r="A1674" s="21" t="s">
        <v>5100</v>
      </c>
      <c r="B1674" t="s">
        <v>19</v>
      </c>
      <c r="C1674" t="s">
        <v>1480</v>
      </c>
      <c r="D1674" t="s">
        <v>1481</v>
      </c>
      <c r="E1674" s="7" t="s">
        <v>198</v>
      </c>
      <c r="F1674" s="7" t="s">
        <v>198</v>
      </c>
      <c r="G1674" s="7" t="s">
        <v>198</v>
      </c>
      <c r="H1674" s="7" t="s">
        <v>20</v>
      </c>
      <c r="I1674" s="7" t="s">
        <v>5102</v>
      </c>
      <c r="J1674" s="7" t="s">
        <v>21</v>
      </c>
      <c r="L1674" t="s">
        <v>3109</v>
      </c>
      <c r="M1674" s="7" t="s">
        <v>22</v>
      </c>
      <c r="N1674" s="7" t="s">
        <v>23</v>
      </c>
      <c r="O1674" s="7" t="s">
        <v>27</v>
      </c>
      <c r="P1674" s="7" t="s">
        <v>5101</v>
      </c>
      <c r="Q1674" s="26">
        <v>5</v>
      </c>
      <c r="R1674" s="26">
        <v>1</v>
      </c>
      <c r="S1674" s="40">
        <v>1</v>
      </c>
      <c r="T1674" s="7"/>
      <c r="U1674" s="7" t="s">
        <v>2951</v>
      </c>
      <c r="V1674" s="7" t="str">
        <f>+IF(U1674="","",IF(U1674="FINES",CONCATENATE("R",IF(OR(B1674="16",B1674="21",B1674="22",B1674="23"),"16212223",IF(OR(B1674="15",B1674="17",B1674="24",B1674="25"),"15172425",B1674))),IF(U1674="CEBAS","UNICO",IF(VALUE(B1674)&lt;=11,"AMBA","INTERIOR"))))</f>
        <v>R01</v>
      </c>
      <c r="W1674" s="38" t="str">
        <f>+IF(U1674="","-",CONCATENATE(U1674,"_",V1674))</f>
        <v>FINES_R01</v>
      </c>
      <c r="X1674" s="42">
        <v>0.19800000000000001</v>
      </c>
    </row>
    <row r="1675" spans="1:24">
      <c r="A1675" s="21" t="s">
        <v>5100</v>
      </c>
      <c r="B1675" t="s">
        <v>19</v>
      </c>
      <c r="C1675" t="s">
        <v>17</v>
      </c>
      <c r="D1675" t="s">
        <v>18</v>
      </c>
      <c r="E1675" s="7" t="s">
        <v>198</v>
      </c>
      <c r="F1675" s="7" t="s">
        <v>198</v>
      </c>
      <c r="G1675" s="7" t="s">
        <v>198</v>
      </c>
      <c r="H1675" s="7" t="s">
        <v>20</v>
      </c>
      <c r="I1675" s="7" t="s">
        <v>5102</v>
      </c>
      <c r="J1675" s="7" t="s">
        <v>21</v>
      </c>
      <c r="L1675" t="s">
        <v>3091</v>
      </c>
      <c r="M1675" s="7" t="s">
        <v>22</v>
      </c>
      <c r="N1675" s="7" t="s">
        <v>23</v>
      </c>
      <c r="O1675" s="7" t="s">
        <v>27</v>
      </c>
      <c r="P1675" s="7" t="s">
        <v>5101</v>
      </c>
      <c r="Q1675" s="26">
        <v>56</v>
      </c>
      <c r="R1675" s="26">
        <v>2</v>
      </c>
      <c r="S1675" s="40">
        <v>1</v>
      </c>
      <c r="T1675" s="7"/>
      <c r="U1675" s="7" t="s">
        <v>2951</v>
      </c>
      <c r="V1675" s="7" t="str">
        <f>+IF(U1675="","",IF(U1675="FINES",CONCATENATE("R",IF(OR(B1675="16",B1675="21",B1675="22",B1675="23"),"16212223",IF(OR(B1675="15",B1675="17",B1675="24",B1675="25"),"15172425",B1675))),IF(U1675="CEBAS","UNICO",IF(VALUE(B1675)&lt;=11,"AMBA","INTERIOR"))))</f>
        <v>R01</v>
      </c>
      <c r="W1675" s="38" t="str">
        <f>+IF(U1675="","-",CONCATENATE(U1675,"_",V1675))</f>
        <v>FINES_R01</v>
      </c>
      <c r="X1675" s="42">
        <v>0.2</v>
      </c>
    </row>
    <row r="1676" spans="1:24">
      <c r="A1676" s="21" t="s">
        <v>5100</v>
      </c>
      <c r="B1676" t="s">
        <v>19</v>
      </c>
      <c r="C1676" t="s">
        <v>252</v>
      </c>
      <c r="D1676" t="s">
        <v>2566</v>
      </c>
      <c r="E1676" s="7" t="s">
        <v>198</v>
      </c>
      <c r="F1676" s="7" t="s">
        <v>198</v>
      </c>
      <c r="G1676" s="7" t="s">
        <v>198</v>
      </c>
      <c r="H1676" s="7" t="s">
        <v>20</v>
      </c>
      <c r="I1676" s="7" t="s">
        <v>5102</v>
      </c>
      <c r="J1676" s="7" t="s">
        <v>21</v>
      </c>
      <c r="L1676" t="s">
        <v>2589</v>
      </c>
      <c r="M1676" s="7" t="s">
        <v>22</v>
      </c>
      <c r="N1676" s="7" t="s">
        <v>23</v>
      </c>
      <c r="O1676" s="7" t="s">
        <v>27</v>
      </c>
      <c r="P1676" s="7" t="s">
        <v>5101</v>
      </c>
      <c r="Q1676" s="26">
        <v>43</v>
      </c>
      <c r="R1676" s="26">
        <v>2</v>
      </c>
      <c r="S1676" s="40">
        <v>1</v>
      </c>
      <c r="T1676" s="7"/>
      <c r="U1676" s="7" t="s">
        <v>2951</v>
      </c>
      <c r="V1676" s="7" t="str">
        <f>+IF(U1676="","",IF(U1676="FINES",CONCATENATE("R",IF(OR(B1676="16",B1676="21",B1676="22",B1676="23"),"16212223",IF(OR(B1676="15",B1676="17",B1676="24",B1676="25"),"15172425",B1676))),IF(U1676="CEBAS","UNICO",IF(VALUE(B1676)&lt;=11,"AMBA","INTERIOR"))))</f>
        <v>R01</v>
      </c>
      <c r="W1676" s="38" t="str">
        <f>+IF(U1676="","-",CONCATENATE(U1676,"_",V1676))</f>
        <v>FINES_R01</v>
      </c>
      <c r="X1676" s="42">
        <v>0.20699999999999999</v>
      </c>
    </row>
    <row r="1677" spans="1:24">
      <c r="A1677" s="21" t="s">
        <v>5100</v>
      </c>
      <c r="B1677" t="s">
        <v>19</v>
      </c>
      <c r="C1677" t="s">
        <v>17</v>
      </c>
      <c r="D1677" t="s">
        <v>18</v>
      </c>
      <c r="E1677" s="7" t="s">
        <v>198</v>
      </c>
      <c r="F1677" s="7" t="s">
        <v>198</v>
      </c>
      <c r="G1677" s="7" t="s">
        <v>198</v>
      </c>
      <c r="H1677" s="7" t="s">
        <v>20</v>
      </c>
      <c r="I1677" s="7" t="s">
        <v>5102</v>
      </c>
      <c r="J1677" s="7" t="s">
        <v>21</v>
      </c>
      <c r="L1677" t="s">
        <v>3074</v>
      </c>
      <c r="M1677" s="7" t="s">
        <v>22</v>
      </c>
      <c r="N1677" s="7" t="s">
        <v>23</v>
      </c>
      <c r="O1677" s="7" t="s">
        <v>27</v>
      </c>
      <c r="P1677" s="7" t="s">
        <v>5101</v>
      </c>
      <c r="Q1677" s="26">
        <v>36</v>
      </c>
      <c r="R1677" s="26">
        <v>1</v>
      </c>
      <c r="S1677" s="40">
        <v>1</v>
      </c>
      <c r="T1677" s="7"/>
      <c r="U1677" s="7" t="s">
        <v>2951</v>
      </c>
      <c r="V1677" s="7" t="str">
        <f>+IF(U1677="","",IF(U1677="FINES",CONCATENATE("R",IF(OR(B1677="16",B1677="21",B1677="22",B1677="23"),"16212223",IF(OR(B1677="15",B1677="17",B1677="24",B1677="25"),"15172425",B1677))),IF(U1677="CEBAS","UNICO",IF(VALUE(B1677)&lt;=11,"AMBA","INTERIOR"))))</f>
        <v>R01</v>
      </c>
      <c r="W1677" s="38" t="str">
        <f>+IF(U1677="","-",CONCATENATE(U1677,"_",V1677))</f>
        <v>FINES_R01</v>
      </c>
      <c r="X1677" s="42">
        <v>0.21299999999999999</v>
      </c>
    </row>
    <row r="1678" spans="1:24">
      <c r="A1678" s="21" t="s">
        <v>5100</v>
      </c>
      <c r="B1678" t="s">
        <v>19</v>
      </c>
      <c r="C1678" t="s">
        <v>17</v>
      </c>
      <c r="D1678" t="s">
        <v>18</v>
      </c>
      <c r="E1678" s="7" t="s">
        <v>198</v>
      </c>
      <c r="F1678" s="7" t="s">
        <v>198</v>
      </c>
      <c r="G1678" s="7" t="s">
        <v>198</v>
      </c>
      <c r="H1678" s="7" t="s">
        <v>20</v>
      </c>
      <c r="I1678" s="7" t="s">
        <v>5102</v>
      </c>
      <c r="J1678" s="7" t="s">
        <v>21</v>
      </c>
      <c r="L1678" t="s">
        <v>3030</v>
      </c>
      <c r="M1678" s="7" t="s">
        <v>22</v>
      </c>
      <c r="N1678" s="7" t="s">
        <v>23</v>
      </c>
      <c r="O1678" s="7" t="s">
        <v>27</v>
      </c>
      <c r="P1678" s="7" t="s">
        <v>5101</v>
      </c>
      <c r="Q1678" s="26">
        <v>21</v>
      </c>
      <c r="R1678" s="26">
        <v>1</v>
      </c>
      <c r="S1678" s="40">
        <v>1</v>
      </c>
      <c r="T1678" s="7"/>
      <c r="U1678" s="7" t="s">
        <v>2951</v>
      </c>
      <c r="V1678" s="7" t="str">
        <f>+IF(U1678="","",IF(U1678="FINES",CONCATENATE("R",IF(OR(B1678="16",B1678="21",B1678="22",B1678="23"),"16212223",IF(OR(B1678="15",B1678="17",B1678="24",B1678="25"),"15172425",B1678))),IF(U1678="CEBAS","UNICO",IF(VALUE(B1678)&lt;=11,"AMBA","INTERIOR"))))</f>
        <v>R01</v>
      </c>
      <c r="W1678" s="38" t="str">
        <f>+IF(U1678="","-",CONCATENATE(U1678,"_",V1678))</f>
        <v>FINES_R01</v>
      </c>
      <c r="X1678" s="42">
        <v>0.222</v>
      </c>
    </row>
    <row r="1679" spans="1:24">
      <c r="A1679" s="21" t="s">
        <v>5100</v>
      </c>
      <c r="B1679" t="s">
        <v>19</v>
      </c>
      <c r="C1679" t="s">
        <v>449</v>
      </c>
      <c r="D1679" t="s">
        <v>2590</v>
      </c>
      <c r="E1679" s="7" t="s">
        <v>198</v>
      </c>
      <c r="F1679" s="7" t="s">
        <v>198</v>
      </c>
      <c r="G1679" s="7" t="s">
        <v>198</v>
      </c>
      <c r="H1679" s="7" t="s">
        <v>20</v>
      </c>
      <c r="I1679" s="7" t="s">
        <v>5102</v>
      </c>
      <c r="J1679" s="7" t="s">
        <v>21</v>
      </c>
      <c r="L1679" t="s">
        <v>2997</v>
      </c>
      <c r="M1679" s="7" t="s">
        <v>22</v>
      </c>
      <c r="N1679" s="7" t="s">
        <v>23</v>
      </c>
      <c r="O1679" s="7" t="s">
        <v>27</v>
      </c>
      <c r="P1679" s="7" t="s">
        <v>5101</v>
      </c>
      <c r="Q1679" s="26">
        <v>19</v>
      </c>
      <c r="R1679" s="26">
        <v>1</v>
      </c>
      <c r="S1679" s="40">
        <v>1</v>
      </c>
      <c r="T1679" s="7"/>
      <c r="U1679" s="7" t="s">
        <v>2951</v>
      </c>
      <c r="V1679" s="7" t="str">
        <f>+IF(U1679="","",IF(U1679="FINES",CONCATENATE("R",IF(OR(B1679="16",B1679="21",B1679="22",B1679="23"),"16212223",IF(OR(B1679="15",B1679="17",B1679="24",B1679="25"),"15172425",B1679))),IF(U1679="CEBAS","UNICO",IF(VALUE(B1679)&lt;=11,"AMBA","INTERIOR"))))</f>
        <v>R01</v>
      </c>
      <c r="W1679" s="38" t="str">
        <f>+IF(U1679="","-",CONCATENATE(U1679,"_",V1679))</f>
        <v>FINES_R01</v>
      </c>
      <c r="X1679" s="42">
        <v>0.22600000000000001</v>
      </c>
    </row>
    <row r="1680" spans="1:24">
      <c r="A1680" s="21" t="s">
        <v>5100</v>
      </c>
      <c r="B1680" t="s">
        <v>19</v>
      </c>
      <c r="C1680" t="s">
        <v>252</v>
      </c>
      <c r="D1680" t="s">
        <v>2566</v>
      </c>
      <c r="E1680" s="7" t="s">
        <v>198</v>
      </c>
      <c r="F1680" s="7" t="s">
        <v>198</v>
      </c>
      <c r="G1680" s="7" t="s">
        <v>198</v>
      </c>
      <c r="H1680" s="7" t="s">
        <v>20</v>
      </c>
      <c r="I1680" s="7" t="s">
        <v>5102</v>
      </c>
      <c r="J1680" s="7" t="s">
        <v>21</v>
      </c>
      <c r="L1680" t="s">
        <v>2969</v>
      </c>
      <c r="M1680" s="7" t="s">
        <v>22</v>
      </c>
      <c r="N1680" s="7" t="s">
        <v>23</v>
      </c>
      <c r="O1680" s="7" t="s">
        <v>27</v>
      </c>
      <c r="P1680" s="7" t="s">
        <v>5101</v>
      </c>
      <c r="Q1680" s="26">
        <v>26</v>
      </c>
      <c r="R1680" s="26">
        <v>2</v>
      </c>
      <c r="S1680" s="40">
        <v>1</v>
      </c>
      <c r="T1680" s="7"/>
      <c r="U1680" s="7" t="s">
        <v>2951</v>
      </c>
      <c r="V1680" s="7" t="str">
        <f>+IF(U1680="","",IF(U1680="FINES",CONCATENATE("R",IF(OR(B1680="16",B1680="21",B1680="22",B1680="23"),"16212223",IF(OR(B1680="15",B1680="17",B1680="24",B1680="25"),"15172425",B1680))),IF(U1680="CEBAS","UNICO",IF(VALUE(B1680)&lt;=11,"AMBA","INTERIOR"))))</f>
        <v>R01</v>
      </c>
      <c r="W1680" s="38" t="str">
        <f>+IF(U1680="","-",CONCATENATE(U1680,"_",V1680))</f>
        <v>FINES_R01</v>
      </c>
      <c r="X1680" s="42">
        <v>0.23899999999999999</v>
      </c>
    </row>
    <row r="1681" spans="1:24">
      <c r="A1681" s="21" t="s">
        <v>5100</v>
      </c>
      <c r="B1681" t="s">
        <v>19</v>
      </c>
      <c r="C1681" t="s">
        <v>449</v>
      </c>
      <c r="D1681" t="s">
        <v>2590</v>
      </c>
      <c r="E1681" s="7" t="s">
        <v>198</v>
      </c>
      <c r="F1681" s="7" t="s">
        <v>198</v>
      </c>
      <c r="G1681" s="7" t="s">
        <v>198</v>
      </c>
      <c r="H1681" s="7" t="s">
        <v>20</v>
      </c>
      <c r="I1681" s="7" t="s">
        <v>5102</v>
      </c>
      <c r="J1681" s="7" t="s">
        <v>21</v>
      </c>
      <c r="L1681" t="s">
        <v>3000</v>
      </c>
      <c r="M1681" s="7" t="s">
        <v>22</v>
      </c>
      <c r="N1681" s="7" t="s">
        <v>23</v>
      </c>
      <c r="O1681" s="7" t="s">
        <v>27</v>
      </c>
      <c r="P1681" s="7" t="s">
        <v>5101</v>
      </c>
      <c r="Q1681" s="26">
        <v>14</v>
      </c>
      <c r="R1681" s="26">
        <v>1</v>
      </c>
      <c r="S1681" s="40">
        <v>1</v>
      </c>
      <c r="T1681" s="7"/>
      <c r="U1681" s="7" t="s">
        <v>2951</v>
      </c>
      <c r="V1681" s="7" t="str">
        <f>+IF(U1681="","",IF(U1681="FINES",CONCATENATE("R",IF(OR(B1681="16",B1681="21",B1681="22",B1681="23"),"16212223",IF(OR(B1681="15",B1681="17",B1681="24",B1681="25"),"15172425",B1681))),IF(U1681="CEBAS","UNICO",IF(VALUE(B1681)&lt;=11,"AMBA","INTERIOR"))))</f>
        <v>R01</v>
      </c>
      <c r="W1681" s="38" t="str">
        <f>+IF(U1681="","-",CONCATENATE(U1681,"_",V1681))</f>
        <v>FINES_R01</v>
      </c>
      <c r="X1681" s="42">
        <v>0.24299999999999999</v>
      </c>
    </row>
    <row r="1682" spans="1:24">
      <c r="A1682" s="21" t="s">
        <v>5100</v>
      </c>
      <c r="B1682" t="s">
        <v>19</v>
      </c>
      <c r="C1682" t="s">
        <v>17</v>
      </c>
      <c r="D1682" t="s">
        <v>18</v>
      </c>
      <c r="E1682" s="7" t="s">
        <v>198</v>
      </c>
      <c r="F1682" s="7" t="s">
        <v>198</v>
      </c>
      <c r="G1682" s="7" t="s">
        <v>198</v>
      </c>
      <c r="H1682" s="7" t="s">
        <v>20</v>
      </c>
      <c r="I1682" s="7" t="s">
        <v>5102</v>
      </c>
      <c r="J1682" s="7" t="s">
        <v>21</v>
      </c>
      <c r="L1682" t="s">
        <v>3021</v>
      </c>
      <c r="M1682" s="7" t="s">
        <v>22</v>
      </c>
      <c r="N1682" s="7" t="s">
        <v>23</v>
      </c>
      <c r="O1682" s="7" t="s">
        <v>27</v>
      </c>
      <c r="P1682" s="7" t="s">
        <v>5101</v>
      </c>
      <c r="Q1682" s="26">
        <v>0</v>
      </c>
      <c r="R1682" s="26">
        <v>1</v>
      </c>
      <c r="S1682" s="40">
        <v>1</v>
      </c>
      <c r="T1682" s="7"/>
      <c r="U1682" s="7" t="s">
        <v>2951</v>
      </c>
      <c r="V1682" s="7" t="str">
        <f>+IF(U1682="","",IF(U1682="FINES",CONCATENATE("R",IF(OR(B1682="16",B1682="21",B1682="22",B1682="23"),"16212223",IF(OR(B1682="15",B1682="17",B1682="24",B1682="25"),"15172425",B1682))),IF(U1682="CEBAS","UNICO",IF(VALUE(B1682)&lt;=11,"AMBA","INTERIOR"))))</f>
        <v>R01</v>
      </c>
      <c r="W1682" s="38" t="str">
        <f>+IF(U1682="","-",CONCATENATE(U1682,"_",V1682))</f>
        <v>FINES_R01</v>
      </c>
      <c r="X1682" s="42">
        <v>0.255</v>
      </c>
    </row>
    <row r="1683" spans="1:24">
      <c r="A1683" s="21" t="s">
        <v>5100</v>
      </c>
      <c r="B1683" t="s">
        <v>19</v>
      </c>
      <c r="C1683" t="s">
        <v>17</v>
      </c>
      <c r="D1683" t="s">
        <v>18</v>
      </c>
      <c r="E1683" s="7" t="s">
        <v>198</v>
      </c>
      <c r="F1683" s="7" t="s">
        <v>198</v>
      </c>
      <c r="G1683" s="7" t="s">
        <v>198</v>
      </c>
      <c r="H1683" s="7" t="s">
        <v>20</v>
      </c>
      <c r="I1683" s="7" t="s">
        <v>5102</v>
      </c>
      <c r="J1683" s="7" t="s">
        <v>21</v>
      </c>
      <c r="L1683" t="s">
        <v>3085</v>
      </c>
      <c r="M1683" s="7" t="s">
        <v>22</v>
      </c>
      <c r="N1683" s="7" t="s">
        <v>23</v>
      </c>
      <c r="O1683" s="7" t="s">
        <v>27</v>
      </c>
      <c r="P1683" s="7" t="s">
        <v>5101</v>
      </c>
      <c r="Q1683" s="26">
        <v>11</v>
      </c>
      <c r="R1683" s="26">
        <v>1</v>
      </c>
      <c r="S1683" s="40">
        <v>1</v>
      </c>
      <c r="T1683" s="7"/>
      <c r="U1683" s="7" t="s">
        <v>2951</v>
      </c>
      <c r="V1683" s="7" t="str">
        <f>+IF(U1683="","",IF(U1683="FINES",CONCATENATE("R",IF(OR(B1683="16",B1683="21",B1683="22",B1683="23"),"16212223",IF(OR(B1683="15",B1683="17",B1683="24",B1683="25"),"15172425",B1683))),IF(U1683="CEBAS","UNICO",IF(VALUE(B1683)&lt;=11,"AMBA","INTERIOR"))))</f>
        <v>R01</v>
      </c>
      <c r="W1683" s="38" t="str">
        <f>+IF(U1683="","-",CONCATENATE(U1683,"_",V1683))</f>
        <v>FINES_R01</v>
      </c>
      <c r="X1683" s="42">
        <v>0.25900000000000001</v>
      </c>
    </row>
    <row r="1684" spans="1:24">
      <c r="A1684" s="21" t="s">
        <v>5100</v>
      </c>
      <c r="B1684" t="s">
        <v>19</v>
      </c>
      <c r="C1684" t="s">
        <v>252</v>
      </c>
      <c r="D1684" t="s">
        <v>2566</v>
      </c>
      <c r="E1684" s="7" t="s">
        <v>198</v>
      </c>
      <c r="F1684" s="7" t="s">
        <v>198</v>
      </c>
      <c r="G1684" s="7" t="s">
        <v>198</v>
      </c>
      <c r="H1684" s="7" t="s">
        <v>20</v>
      </c>
      <c r="I1684" s="7" t="s">
        <v>5102</v>
      </c>
      <c r="J1684" s="7" t="s">
        <v>21</v>
      </c>
      <c r="L1684" t="s">
        <v>2968</v>
      </c>
      <c r="M1684" s="7" t="s">
        <v>22</v>
      </c>
      <c r="N1684" s="7" t="s">
        <v>23</v>
      </c>
      <c r="O1684" s="7" t="s">
        <v>27</v>
      </c>
      <c r="P1684" s="7" t="s">
        <v>5101</v>
      </c>
      <c r="Q1684" s="26">
        <v>37</v>
      </c>
      <c r="R1684" s="26">
        <v>2</v>
      </c>
      <c r="S1684" s="40">
        <v>1</v>
      </c>
      <c r="T1684" s="7"/>
      <c r="U1684" s="7" t="s">
        <v>2951</v>
      </c>
      <c r="V1684" s="7" t="str">
        <f>+IF(U1684="","",IF(U1684="FINES",CONCATENATE("R",IF(OR(B1684="16",B1684="21",B1684="22",B1684="23"),"16212223",IF(OR(B1684="15",B1684="17",B1684="24",B1684="25"),"15172425",B1684))),IF(U1684="CEBAS","UNICO",IF(VALUE(B1684)&lt;=11,"AMBA","INTERIOR"))))</f>
        <v>R01</v>
      </c>
      <c r="W1684" s="38" t="str">
        <f>+IF(U1684="","-",CONCATENATE(U1684,"_",V1684))</f>
        <v>FINES_R01</v>
      </c>
      <c r="X1684" s="42">
        <v>0.27100000000000002</v>
      </c>
    </row>
    <row r="1685" spans="1:24">
      <c r="A1685" s="21" t="s">
        <v>5100</v>
      </c>
      <c r="B1685" t="s">
        <v>19</v>
      </c>
      <c r="C1685" t="s">
        <v>252</v>
      </c>
      <c r="D1685" t="s">
        <v>2566</v>
      </c>
      <c r="E1685" s="7" t="s">
        <v>198</v>
      </c>
      <c r="F1685" s="7" t="s">
        <v>198</v>
      </c>
      <c r="G1685" s="7" t="s">
        <v>198</v>
      </c>
      <c r="H1685" s="7" t="s">
        <v>20</v>
      </c>
      <c r="I1685" s="7" t="s">
        <v>5102</v>
      </c>
      <c r="J1685" s="7" t="s">
        <v>21</v>
      </c>
      <c r="L1685" t="s">
        <v>2974</v>
      </c>
      <c r="M1685" s="7" t="s">
        <v>22</v>
      </c>
      <c r="N1685" s="7" t="s">
        <v>23</v>
      </c>
      <c r="O1685" s="7" t="s">
        <v>27</v>
      </c>
      <c r="P1685" s="7" t="s">
        <v>5101</v>
      </c>
      <c r="Q1685" s="26">
        <v>12</v>
      </c>
      <c r="R1685" s="26">
        <v>1</v>
      </c>
      <c r="S1685" s="40">
        <v>1</v>
      </c>
      <c r="T1685" s="7"/>
      <c r="U1685" s="7" t="s">
        <v>2951</v>
      </c>
      <c r="V1685" s="7" t="str">
        <f>+IF(U1685="","",IF(U1685="FINES",CONCATENATE("R",IF(OR(B1685="16",B1685="21",B1685="22",B1685="23"),"16212223",IF(OR(B1685="15",B1685="17",B1685="24",B1685="25"),"15172425",B1685))),IF(U1685="CEBAS","UNICO",IF(VALUE(B1685)&lt;=11,"AMBA","INTERIOR"))))</f>
        <v>R01</v>
      </c>
      <c r="W1685" s="38" t="str">
        <f>+IF(U1685="","-",CONCATENATE(U1685,"_",V1685))</f>
        <v>FINES_R01</v>
      </c>
      <c r="X1685" s="42">
        <v>0.27800000000000002</v>
      </c>
    </row>
    <row r="1686" spans="1:24">
      <c r="A1686" s="21" t="s">
        <v>5100</v>
      </c>
      <c r="B1686" t="s">
        <v>19</v>
      </c>
      <c r="C1686" t="s">
        <v>17</v>
      </c>
      <c r="D1686" t="s">
        <v>18</v>
      </c>
      <c r="E1686" s="7" t="s">
        <v>198</v>
      </c>
      <c r="F1686" s="7" t="s">
        <v>198</v>
      </c>
      <c r="G1686" s="7" t="s">
        <v>198</v>
      </c>
      <c r="H1686" s="7" t="s">
        <v>20</v>
      </c>
      <c r="I1686" s="7" t="s">
        <v>5102</v>
      </c>
      <c r="J1686" s="7" t="s">
        <v>21</v>
      </c>
      <c r="L1686" t="s">
        <v>3011</v>
      </c>
      <c r="M1686" s="7" t="s">
        <v>22</v>
      </c>
      <c r="N1686" s="7" t="s">
        <v>23</v>
      </c>
      <c r="O1686" s="7" t="s">
        <v>27</v>
      </c>
      <c r="P1686" s="7" t="s">
        <v>5101</v>
      </c>
      <c r="Q1686" s="26">
        <v>16</v>
      </c>
      <c r="R1686" s="26">
        <v>1</v>
      </c>
      <c r="S1686" s="40">
        <v>1</v>
      </c>
      <c r="T1686" s="7"/>
      <c r="U1686" s="7" t="s">
        <v>2951</v>
      </c>
      <c r="V1686" s="7" t="str">
        <f>+IF(U1686="","",IF(U1686="FINES",CONCATENATE("R",IF(OR(B1686="16",B1686="21",B1686="22",B1686="23"),"16212223",IF(OR(B1686="15",B1686="17",B1686="24",B1686="25"),"15172425",B1686))),IF(U1686="CEBAS","UNICO",IF(VALUE(B1686)&lt;=11,"AMBA","INTERIOR"))))</f>
        <v>R01</v>
      </c>
      <c r="W1686" s="38" t="str">
        <f>+IF(U1686="","-",CONCATENATE(U1686,"_",V1686))</f>
        <v>FINES_R01</v>
      </c>
      <c r="X1686" s="42">
        <v>0.28199999999999997</v>
      </c>
    </row>
    <row r="1687" spans="1:24">
      <c r="A1687" s="21" t="s">
        <v>5100</v>
      </c>
      <c r="B1687" t="s">
        <v>19</v>
      </c>
      <c r="C1687" t="s">
        <v>17</v>
      </c>
      <c r="D1687" t="s">
        <v>18</v>
      </c>
      <c r="E1687" s="7" t="s">
        <v>198</v>
      </c>
      <c r="F1687" s="7" t="s">
        <v>198</v>
      </c>
      <c r="G1687" s="7" t="s">
        <v>198</v>
      </c>
      <c r="H1687" s="7" t="s">
        <v>20</v>
      </c>
      <c r="I1687" s="7" t="s">
        <v>5102</v>
      </c>
      <c r="J1687" s="7" t="s">
        <v>21</v>
      </c>
      <c r="L1687" t="s">
        <v>3059</v>
      </c>
      <c r="M1687" s="7" t="s">
        <v>22</v>
      </c>
      <c r="N1687" s="7" t="s">
        <v>23</v>
      </c>
      <c r="O1687" s="7" t="s">
        <v>27</v>
      </c>
      <c r="P1687" s="7" t="s">
        <v>5101</v>
      </c>
      <c r="Q1687" s="26">
        <v>0</v>
      </c>
      <c r="R1687" s="26">
        <v>1</v>
      </c>
      <c r="S1687" s="40">
        <v>1</v>
      </c>
      <c r="T1687" s="7"/>
      <c r="U1687" s="7" t="s">
        <v>2951</v>
      </c>
      <c r="V1687" s="7" t="str">
        <f>+IF(U1687="","",IF(U1687="FINES",CONCATENATE("R",IF(OR(B1687="16",B1687="21",B1687="22",B1687="23"),"16212223",IF(OR(B1687="15",B1687="17",B1687="24",B1687="25"),"15172425",B1687))),IF(U1687="CEBAS","UNICO",IF(VALUE(B1687)&lt;=11,"AMBA","INTERIOR"))))</f>
        <v>R01</v>
      </c>
      <c r="W1687" s="38" t="str">
        <f>+IF(U1687="","-",CONCATENATE(U1687,"_",V1687))</f>
        <v>FINES_R01</v>
      </c>
      <c r="X1687" s="42">
        <v>0.28299999999999997</v>
      </c>
    </row>
    <row r="1688" spans="1:24">
      <c r="A1688" s="21" t="s">
        <v>5100</v>
      </c>
      <c r="B1688" t="s">
        <v>19</v>
      </c>
      <c r="C1688" t="s">
        <v>17</v>
      </c>
      <c r="D1688" t="s">
        <v>18</v>
      </c>
      <c r="E1688" s="7" t="s">
        <v>198</v>
      </c>
      <c r="F1688" s="7" t="s">
        <v>198</v>
      </c>
      <c r="G1688" s="7" t="s">
        <v>198</v>
      </c>
      <c r="H1688" s="7" t="s">
        <v>20</v>
      </c>
      <c r="I1688" s="7" t="s">
        <v>5102</v>
      </c>
      <c r="J1688" s="7" t="s">
        <v>21</v>
      </c>
      <c r="L1688" t="s">
        <v>3073</v>
      </c>
      <c r="M1688" s="7" t="s">
        <v>22</v>
      </c>
      <c r="N1688" s="7" t="s">
        <v>23</v>
      </c>
      <c r="O1688" s="7" t="s">
        <v>27</v>
      </c>
      <c r="P1688" s="7" t="s">
        <v>5101</v>
      </c>
      <c r="Q1688" s="26">
        <v>64</v>
      </c>
      <c r="R1688" s="26">
        <v>3</v>
      </c>
      <c r="S1688" s="40">
        <v>1</v>
      </c>
      <c r="T1688" s="7"/>
      <c r="U1688" s="7" t="s">
        <v>2951</v>
      </c>
      <c r="V1688" s="7" t="str">
        <f>+IF(U1688="","",IF(U1688="FINES",CONCATENATE("R",IF(OR(B1688="16",B1688="21",B1688="22",B1688="23"),"16212223",IF(OR(B1688="15",B1688="17",B1688="24",B1688="25"),"15172425",B1688))),IF(U1688="CEBAS","UNICO",IF(VALUE(B1688)&lt;=11,"AMBA","INTERIOR"))))</f>
        <v>R01</v>
      </c>
      <c r="W1688" s="38" t="str">
        <f>+IF(U1688="","-",CONCATENATE(U1688,"_",V1688))</f>
        <v>FINES_R01</v>
      </c>
      <c r="X1688" s="42">
        <v>0.28299999999999997</v>
      </c>
    </row>
    <row r="1689" spans="1:24">
      <c r="A1689" s="21" t="s">
        <v>5100</v>
      </c>
      <c r="B1689" t="s">
        <v>19</v>
      </c>
      <c r="C1689" t="s">
        <v>252</v>
      </c>
      <c r="D1689" t="s">
        <v>2566</v>
      </c>
      <c r="E1689" s="7" t="s">
        <v>198</v>
      </c>
      <c r="F1689" s="7" t="s">
        <v>198</v>
      </c>
      <c r="G1689" s="7" t="s">
        <v>198</v>
      </c>
      <c r="H1689" s="7" t="s">
        <v>20</v>
      </c>
      <c r="I1689" s="7" t="s">
        <v>5102</v>
      </c>
      <c r="J1689" s="7" t="s">
        <v>21</v>
      </c>
      <c r="L1689" t="s">
        <v>2962</v>
      </c>
      <c r="M1689" s="7" t="s">
        <v>22</v>
      </c>
      <c r="N1689" s="7" t="s">
        <v>23</v>
      </c>
      <c r="O1689" s="7" t="s">
        <v>27</v>
      </c>
      <c r="P1689" s="7" t="s">
        <v>5101</v>
      </c>
      <c r="Q1689" s="26">
        <v>19</v>
      </c>
      <c r="R1689" s="26">
        <v>1</v>
      </c>
      <c r="S1689" s="40">
        <v>1</v>
      </c>
      <c r="T1689" s="7"/>
      <c r="U1689" s="7" t="s">
        <v>2951</v>
      </c>
      <c r="V1689" s="7" t="str">
        <f>+IF(U1689="","",IF(U1689="FINES",CONCATENATE("R",IF(OR(B1689="16",B1689="21",B1689="22",B1689="23"),"16212223",IF(OR(B1689="15",B1689="17",B1689="24",B1689="25"),"15172425",B1689))),IF(U1689="CEBAS","UNICO",IF(VALUE(B1689)&lt;=11,"AMBA","INTERIOR"))))</f>
        <v>R01</v>
      </c>
      <c r="W1689" s="38" t="str">
        <f>+IF(U1689="","-",CONCATENATE(U1689,"_",V1689))</f>
        <v>FINES_R01</v>
      </c>
      <c r="X1689" s="42">
        <v>0.28899999999999998</v>
      </c>
    </row>
    <row r="1690" spans="1:24">
      <c r="A1690" s="21" t="s">
        <v>5100</v>
      </c>
      <c r="B1690" t="s">
        <v>19</v>
      </c>
      <c r="C1690" t="s">
        <v>17</v>
      </c>
      <c r="D1690" t="s">
        <v>18</v>
      </c>
      <c r="E1690" s="7" t="s">
        <v>198</v>
      </c>
      <c r="F1690" s="7" t="s">
        <v>198</v>
      </c>
      <c r="G1690" s="7" t="s">
        <v>198</v>
      </c>
      <c r="H1690" s="7" t="s">
        <v>20</v>
      </c>
      <c r="I1690" s="7" t="s">
        <v>5102</v>
      </c>
      <c r="J1690" s="7" t="s">
        <v>21</v>
      </c>
      <c r="L1690" t="s">
        <v>3081</v>
      </c>
      <c r="M1690" s="7" t="s">
        <v>22</v>
      </c>
      <c r="N1690" s="7" t="s">
        <v>23</v>
      </c>
      <c r="O1690" s="7" t="s">
        <v>27</v>
      </c>
      <c r="P1690" s="7" t="s">
        <v>5101</v>
      </c>
      <c r="Q1690" s="26">
        <v>14</v>
      </c>
      <c r="R1690" s="26">
        <v>1</v>
      </c>
      <c r="S1690" s="40">
        <v>1</v>
      </c>
      <c r="T1690" s="7"/>
      <c r="U1690" s="7" t="s">
        <v>2951</v>
      </c>
      <c r="V1690" s="7" t="str">
        <f>+IF(U1690="","",IF(U1690="FINES",CONCATENATE("R",IF(OR(B1690="16",B1690="21",B1690="22",B1690="23"),"16212223",IF(OR(B1690="15",B1690="17",B1690="24",B1690="25"),"15172425",B1690))),IF(U1690="CEBAS","UNICO",IF(VALUE(B1690)&lt;=11,"AMBA","INTERIOR"))))</f>
        <v>R01</v>
      </c>
      <c r="W1690" s="38" t="str">
        <f>+IF(U1690="","-",CONCATENATE(U1690,"_",V1690))</f>
        <v>FINES_R01</v>
      </c>
      <c r="X1690" s="42">
        <v>0.29199999999999998</v>
      </c>
    </row>
    <row r="1691" spans="1:24">
      <c r="A1691" s="21" t="s">
        <v>5100</v>
      </c>
      <c r="B1691" t="s">
        <v>19</v>
      </c>
      <c r="C1691" t="s">
        <v>17</v>
      </c>
      <c r="D1691" t="s">
        <v>18</v>
      </c>
      <c r="E1691" s="7" t="s">
        <v>198</v>
      </c>
      <c r="F1691" s="7" t="s">
        <v>198</v>
      </c>
      <c r="G1691" s="7" t="s">
        <v>198</v>
      </c>
      <c r="H1691" s="7" t="s">
        <v>20</v>
      </c>
      <c r="I1691" s="7" t="s">
        <v>5102</v>
      </c>
      <c r="J1691" s="7" t="s">
        <v>21</v>
      </c>
      <c r="L1691" t="s">
        <v>3055</v>
      </c>
      <c r="M1691" s="7" t="s">
        <v>22</v>
      </c>
      <c r="N1691" s="7" t="s">
        <v>23</v>
      </c>
      <c r="O1691" s="7" t="s">
        <v>27</v>
      </c>
      <c r="P1691" s="7" t="s">
        <v>5101</v>
      </c>
      <c r="Q1691" s="26">
        <v>26</v>
      </c>
      <c r="R1691" s="26">
        <v>1</v>
      </c>
      <c r="S1691" s="40">
        <v>1</v>
      </c>
      <c r="T1691" s="7"/>
      <c r="U1691" s="7" t="s">
        <v>2951</v>
      </c>
      <c r="V1691" s="7" t="str">
        <f>+IF(U1691="","",IF(U1691="FINES",CONCATENATE("R",IF(OR(B1691="16",B1691="21",B1691="22",B1691="23"),"16212223",IF(OR(B1691="15",B1691="17",B1691="24",B1691="25"),"15172425",B1691))),IF(U1691="CEBAS","UNICO",IF(VALUE(B1691)&lt;=11,"AMBA","INTERIOR"))))</f>
        <v>R01</v>
      </c>
      <c r="W1691" s="38" t="str">
        <f>+IF(U1691="","-",CONCATENATE(U1691,"_",V1691))</f>
        <v>FINES_R01</v>
      </c>
      <c r="X1691" s="42">
        <v>0.29599999999999999</v>
      </c>
    </row>
    <row r="1692" spans="1:24">
      <c r="A1692" s="21" t="s">
        <v>5100</v>
      </c>
      <c r="B1692" t="s">
        <v>19</v>
      </c>
      <c r="C1692" t="s">
        <v>17</v>
      </c>
      <c r="D1692" t="s">
        <v>18</v>
      </c>
      <c r="E1692" s="7" t="s">
        <v>198</v>
      </c>
      <c r="F1692" s="7" t="s">
        <v>198</v>
      </c>
      <c r="G1692" s="7" t="s">
        <v>198</v>
      </c>
      <c r="H1692" s="7" t="s">
        <v>20</v>
      </c>
      <c r="I1692" s="7" t="s">
        <v>5102</v>
      </c>
      <c r="J1692" s="7" t="s">
        <v>21</v>
      </c>
      <c r="L1692" t="s">
        <v>3080</v>
      </c>
      <c r="M1692" s="7" t="s">
        <v>22</v>
      </c>
      <c r="N1692" s="7" t="s">
        <v>23</v>
      </c>
      <c r="O1692" s="7" t="s">
        <v>27</v>
      </c>
      <c r="P1692" s="7" t="s">
        <v>5101</v>
      </c>
      <c r="Q1692" s="26">
        <v>62</v>
      </c>
      <c r="R1692" s="26">
        <v>3</v>
      </c>
      <c r="S1692" s="40">
        <v>1</v>
      </c>
      <c r="T1692" s="7"/>
      <c r="U1692" s="7" t="s">
        <v>2951</v>
      </c>
      <c r="V1692" s="7" t="str">
        <f>+IF(U1692="","",IF(U1692="FINES",CONCATENATE("R",IF(OR(B1692="16",B1692="21",B1692="22",B1692="23"),"16212223",IF(OR(B1692="15",B1692="17",B1692="24",B1692="25"),"15172425",B1692))),IF(U1692="CEBAS","UNICO",IF(VALUE(B1692)&lt;=11,"AMBA","INTERIOR"))))</f>
        <v>R01</v>
      </c>
      <c r="W1692" s="38" t="str">
        <f>+IF(U1692="","-",CONCATENATE(U1692,"_",V1692))</f>
        <v>FINES_R01</v>
      </c>
      <c r="X1692" s="42">
        <v>0.29699999999999999</v>
      </c>
    </row>
    <row r="1693" spans="1:24">
      <c r="A1693" s="21" t="s">
        <v>5100</v>
      </c>
      <c r="B1693" t="s">
        <v>19</v>
      </c>
      <c r="C1693" t="s">
        <v>449</v>
      </c>
      <c r="D1693" t="s">
        <v>2590</v>
      </c>
      <c r="E1693" s="7" t="s">
        <v>198</v>
      </c>
      <c r="F1693" s="7" t="s">
        <v>198</v>
      </c>
      <c r="G1693" s="7" t="s">
        <v>198</v>
      </c>
      <c r="H1693" s="7" t="s">
        <v>20</v>
      </c>
      <c r="I1693" s="7" t="s">
        <v>5102</v>
      </c>
      <c r="J1693" s="7" t="s">
        <v>21</v>
      </c>
      <c r="L1693" t="s">
        <v>3001</v>
      </c>
      <c r="M1693" s="7" t="s">
        <v>22</v>
      </c>
      <c r="N1693" s="7" t="s">
        <v>23</v>
      </c>
      <c r="O1693" s="7" t="s">
        <v>27</v>
      </c>
      <c r="P1693" s="7" t="s">
        <v>5101</v>
      </c>
      <c r="Q1693" s="26">
        <v>20</v>
      </c>
      <c r="R1693" s="26">
        <v>1</v>
      </c>
      <c r="S1693" s="40">
        <v>1</v>
      </c>
      <c r="T1693" s="7"/>
      <c r="U1693" s="7" t="s">
        <v>2951</v>
      </c>
      <c r="V1693" s="7" t="str">
        <f>+IF(U1693="","",IF(U1693="FINES",CONCATENATE("R",IF(OR(B1693="16",B1693="21",B1693="22",B1693="23"),"16212223",IF(OR(B1693="15",B1693="17",B1693="24",B1693="25"),"15172425",B1693))),IF(U1693="CEBAS","UNICO",IF(VALUE(B1693)&lt;=11,"AMBA","INTERIOR"))))</f>
        <v>R01</v>
      </c>
      <c r="W1693" s="38" t="str">
        <f>+IF(U1693="","-",CONCATENATE(U1693,"_",V1693))</f>
        <v>FINES_R01</v>
      </c>
      <c r="X1693" s="42">
        <v>0.29899999999999999</v>
      </c>
    </row>
    <row r="1694" spans="1:24">
      <c r="A1694" s="21" t="s">
        <v>5100</v>
      </c>
      <c r="B1694" t="s">
        <v>19</v>
      </c>
      <c r="C1694" t="s">
        <v>17</v>
      </c>
      <c r="D1694" t="s">
        <v>18</v>
      </c>
      <c r="E1694" s="7" t="s">
        <v>198</v>
      </c>
      <c r="F1694" s="7" t="s">
        <v>198</v>
      </c>
      <c r="G1694" s="7" t="s">
        <v>198</v>
      </c>
      <c r="H1694" s="7" t="s">
        <v>20</v>
      </c>
      <c r="I1694" s="7" t="s">
        <v>5102</v>
      </c>
      <c r="J1694" s="7" t="s">
        <v>21</v>
      </c>
      <c r="L1694" t="s">
        <v>3010</v>
      </c>
      <c r="M1694" s="7" t="s">
        <v>22</v>
      </c>
      <c r="N1694" s="7" t="s">
        <v>23</v>
      </c>
      <c r="O1694" s="7" t="s">
        <v>27</v>
      </c>
      <c r="P1694" s="7" t="s">
        <v>5101</v>
      </c>
      <c r="Q1694" s="26">
        <v>23</v>
      </c>
      <c r="R1694" s="26">
        <v>1</v>
      </c>
      <c r="S1694" s="40">
        <v>1</v>
      </c>
      <c r="T1694" s="7"/>
      <c r="U1694" s="7" t="s">
        <v>2951</v>
      </c>
      <c r="V1694" s="7" t="str">
        <f>+IF(U1694="","",IF(U1694="FINES",CONCATENATE("R",IF(OR(B1694="16",B1694="21",B1694="22",B1694="23"),"16212223",IF(OR(B1694="15",B1694="17",B1694="24",B1694="25"),"15172425",B1694))),IF(U1694="CEBAS","UNICO",IF(VALUE(B1694)&lt;=11,"AMBA","INTERIOR"))))</f>
        <v>R01</v>
      </c>
      <c r="W1694" s="38" t="str">
        <f>+IF(U1694="","-",CONCATENATE(U1694,"_",V1694))</f>
        <v>FINES_R01</v>
      </c>
      <c r="X1694" s="42">
        <v>0.31</v>
      </c>
    </row>
    <row r="1695" spans="1:24">
      <c r="A1695" s="21" t="s">
        <v>5100</v>
      </c>
      <c r="B1695" t="s">
        <v>19</v>
      </c>
      <c r="C1695" t="s">
        <v>17</v>
      </c>
      <c r="D1695" t="s">
        <v>18</v>
      </c>
      <c r="E1695" s="7" t="s">
        <v>198</v>
      </c>
      <c r="F1695" s="7" t="s">
        <v>198</v>
      </c>
      <c r="G1695" s="7" t="s">
        <v>198</v>
      </c>
      <c r="H1695" s="7" t="s">
        <v>20</v>
      </c>
      <c r="I1695" s="7" t="s">
        <v>5102</v>
      </c>
      <c r="J1695" s="7" t="s">
        <v>21</v>
      </c>
      <c r="L1695" t="s">
        <v>3071</v>
      </c>
      <c r="M1695" s="7" t="s">
        <v>22</v>
      </c>
      <c r="N1695" s="7" t="s">
        <v>23</v>
      </c>
      <c r="O1695" s="7" t="s">
        <v>27</v>
      </c>
      <c r="P1695" s="7" t="s">
        <v>5101</v>
      </c>
      <c r="Q1695" s="26">
        <v>68</v>
      </c>
      <c r="R1695" s="26">
        <v>3</v>
      </c>
      <c r="S1695" s="40">
        <v>1</v>
      </c>
      <c r="T1695" s="7"/>
      <c r="U1695" s="7" t="s">
        <v>2951</v>
      </c>
      <c r="V1695" s="7" t="str">
        <f>+IF(U1695="","",IF(U1695="FINES",CONCATENATE("R",IF(OR(B1695="16",B1695="21",B1695="22",B1695="23"),"16212223",IF(OR(B1695="15",B1695="17",B1695="24",B1695="25"),"15172425",B1695))),IF(U1695="CEBAS","UNICO",IF(VALUE(B1695)&lt;=11,"AMBA","INTERIOR"))))</f>
        <v>R01</v>
      </c>
      <c r="W1695" s="38" t="str">
        <f>+IF(U1695="","-",CONCATENATE(U1695,"_",V1695))</f>
        <v>FINES_R01</v>
      </c>
      <c r="X1695" s="42">
        <v>0.314</v>
      </c>
    </row>
    <row r="1696" spans="1:24">
      <c r="A1696" s="21" t="s">
        <v>5100</v>
      </c>
      <c r="B1696" t="s">
        <v>19</v>
      </c>
      <c r="C1696" t="s">
        <v>644</v>
      </c>
      <c r="D1696" t="s">
        <v>2862</v>
      </c>
      <c r="E1696" s="7" t="s">
        <v>198</v>
      </c>
      <c r="F1696" s="7" t="s">
        <v>198</v>
      </c>
      <c r="G1696" s="7" t="s">
        <v>198</v>
      </c>
      <c r="H1696" s="7" t="s">
        <v>20</v>
      </c>
      <c r="I1696" s="7" t="s">
        <v>5102</v>
      </c>
      <c r="J1696" s="7" t="s">
        <v>21</v>
      </c>
      <c r="L1696" t="s">
        <v>3124</v>
      </c>
      <c r="M1696" s="7" t="s">
        <v>22</v>
      </c>
      <c r="N1696" s="7" t="s">
        <v>23</v>
      </c>
      <c r="O1696" s="7" t="s">
        <v>27</v>
      </c>
      <c r="P1696" s="7" t="s">
        <v>5101</v>
      </c>
      <c r="Q1696" s="26">
        <v>1</v>
      </c>
      <c r="R1696" s="26">
        <v>1</v>
      </c>
      <c r="S1696" s="40">
        <v>1</v>
      </c>
      <c r="T1696" s="7"/>
      <c r="U1696" s="7" t="s">
        <v>2951</v>
      </c>
      <c r="V1696" s="7" t="str">
        <f>+IF(U1696="","",IF(U1696="FINES",CONCATENATE("R",IF(OR(B1696="16",B1696="21",B1696="22",B1696="23"),"16212223",IF(OR(B1696="15",B1696="17",B1696="24",B1696="25"),"15172425",B1696))),IF(U1696="CEBAS","UNICO",IF(VALUE(B1696)&lt;=11,"AMBA","INTERIOR"))))</f>
        <v>R01</v>
      </c>
      <c r="W1696" s="38" t="str">
        <f>+IF(U1696="","-",CONCATENATE(U1696,"_",V1696))</f>
        <v>FINES_R01</v>
      </c>
      <c r="X1696" s="42">
        <v>0.318</v>
      </c>
    </row>
    <row r="1697" spans="1:24">
      <c r="A1697" s="21" t="s">
        <v>5100</v>
      </c>
      <c r="B1697" t="s">
        <v>19</v>
      </c>
      <c r="C1697" t="s">
        <v>17</v>
      </c>
      <c r="D1697" t="s">
        <v>18</v>
      </c>
      <c r="E1697" s="7" t="s">
        <v>198</v>
      </c>
      <c r="F1697" s="7" t="s">
        <v>198</v>
      </c>
      <c r="G1697" s="7" t="s">
        <v>198</v>
      </c>
      <c r="H1697" s="7" t="s">
        <v>20</v>
      </c>
      <c r="I1697" s="7" t="s">
        <v>5102</v>
      </c>
      <c r="J1697" s="7" t="s">
        <v>21</v>
      </c>
      <c r="L1697" t="s">
        <v>3069</v>
      </c>
      <c r="M1697" s="7" t="s">
        <v>22</v>
      </c>
      <c r="N1697" s="7" t="s">
        <v>23</v>
      </c>
      <c r="O1697" s="7" t="s">
        <v>27</v>
      </c>
      <c r="P1697" s="7" t="s">
        <v>5101</v>
      </c>
      <c r="Q1697" s="26">
        <v>0</v>
      </c>
      <c r="R1697" s="26">
        <v>1</v>
      </c>
      <c r="S1697" s="40">
        <v>1</v>
      </c>
      <c r="T1697" s="7"/>
      <c r="U1697" s="7" t="s">
        <v>2951</v>
      </c>
      <c r="V1697" s="7" t="str">
        <f>+IF(U1697="","",IF(U1697="FINES",CONCATENATE("R",IF(OR(B1697="16",B1697="21",B1697="22",B1697="23"),"16212223",IF(OR(B1697="15",B1697="17",B1697="24",B1697="25"),"15172425",B1697))),IF(U1697="CEBAS","UNICO",IF(VALUE(B1697)&lt;=11,"AMBA","INTERIOR"))))</f>
        <v>R01</v>
      </c>
      <c r="W1697" s="38" t="str">
        <f>+IF(U1697="","-",CONCATENATE(U1697,"_",V1697))</f>
        <v>FINES_R01</v>
      </c>
      <c r="X1697" s="42">
        <v>0.33</v>
      </c>
    </row>
    <row r="1698" spans="1:24">
      <c r="A1698" s="21" t="s">
        <v>5100</v>
      </c>
      <c r="B1698" t="s">
        <v>19</v>
      </c>
      <c r="C1698" t="s">
        <v>17</v>
      </c>
      <c r="D1698" t="s">
        <v>18</v>
      </c>
      <c r="E1698" s="7" t="s">
        <v>198</v>
      </c>
      <c r="F1698" s="7" t="s">
        <v>198</v>
      </c>
      <c r="G1698" s="7" t="s">
        <v>198</v>
      </c>
      <c r="H1698" s="7" t="s">
        <v>20</v>
      </c>
      <c r="I1698" s="7" t="s">
        <v>5102</v>
      </c>
      <c r="J1698" s="7" t="s">
        <v>21</v>
      </c>
      <c r="L1698" t="s">
        <v>3067</v>
      </c>
      <c r="M1698" s="7" t="s">
        <v>22</v>
      </c>
      <c r="N1698" s="7" t="s">
        <v>23</v>
      </c>
      <c r="O1698" s="7" t="s">
        <v>27</v>
      </c>
      <c r="P1698" s="7" t="s">
        <v>5101</v>
      </c>
      <c r="Q1698" s="26">
        <v>30</v>
      </c>
      <c r="R1698" s="26">
        <v>1</v>
      </c>
      <c r="S1698" s="40">
        <v>1</v>
      </c>
      <c r="T1698" s="7"/>
      <c r="U1698" s="7" t="s">
        <v>2951</v>
      </c>
      <c r="V1698" s="7" t="str">
        <f>+IF(U1698="","",IF(U1698="FINES",CONCATENATE("R",IF(OR(B1698="16",B1698="21",B1698="22",B1698="23"),"16212223",IF(OR(B1698="15",B1698="17",B1698="24",B1698="25"),"15172425",B1698))),IF(U1698="CEBAS","UNICO",IF(VALUE(B1698)&lt;=11,"AMBA","INTERIOR"))))</f>
        <v>R01</v>
      </c>
      <c r="W1698" s="38" t="str">
        <f>+IF(U1698="","-",CONCATENATE(U1698,"_",V1698))</f>
        <v>FINES_R01</v>
      </c>
      <c r="X1698" s="42">
        <v>0.33100000000000002</v>
      </c>
    </row>
    <row r="1699" spans="1:24">
      <c r="A1699" s="21" t="s">
        <v>5100</v>
      </c>
      <c r="B1699" t="s">
        <v>19</v>
      </c>
      <c r="C1699" t="s">
        <v>599</v>
      </c>
      <c r="D1699" t="s">
        <v>601</v>
      </c>
      <c r="E1699" s="7" t="s">
        <v>198</v>
      </c>
      <c r="F1699" s="7" t="s">
        <v>198</v>
      </c>
      <c r="G1699" s="7" t="s">
        <v>198</v>
      </c>
      <c r="H1699" s="7" t="s">
        <v>20</v>
      </c>
      <c r="I1699" s="7" t="s">
        <v>5102</v>
      </c>
      <c r="J1699" s="7" t="s">
        <v>21</v>
      </c>
      <c r="L1699" t="s">
        <v>2979</v>
      </c>
      <c r="M1699" s="7" t="s">
        <v>22</v>
      </c>
      <c r="N1699" s="7" t="s">
        <v>23</v>
      </c>
      <c r="O1699" s="7" t="s">
        <v>27</v>
      </c>
      <c r="P1699" s="7" t="s">
        <v>5101</v>
      </c>
      <c r="Q1699" s="26">
        <v>19</v>
      </c>
      <c r="R1699" s="26">
        <v>2</v>
      </c>
      <c r="S1699" s="40">
        <v>1</v>
      </c>
      <c r="T1699" s="7"/>
      <c r="U1699" s="7" t="s">
        <v>2951</v>
      </c>
      <c r="V1699" s="7" t="str">
        <f>+IF(U1699="","",IF(U1699="FINES",CONCATENATE("R",IF(OR(B1699="16",B1699="21",B1699="22",B1699="23"),"16212223",IF(OR(B1699="15",B1699="17",B1699="24",B1699="25"),"15172425",B1699))),IF(U1699="CEBAS","UNICO",IF(VALUE(B1699)&lt;=11,"AMBA","INTERIOR"))))</f>
        <v>R01</v>
      </c>
      <c r="W1699" s="38" t="str">
        <f>+IF(U1699="","-",CONCATENATE(U1699,"_",V1699))</f>
        <v>FINES_R01</v>
      </c>
      <c r="X1699" s="42">
        <v>0.34100000000000003</v>
      </c>
    </row>
    <row r="1700" spans="1:24">
      <c r="A1700" s="21" t="s">
        <v>5100</v>
      </c>
      <c r="B1700" t="s">
        <v>19</v>
      </c>
      <c r="C1700" t="s">
        <v>252</v>
      </c>
      <c r="D1700" t="s">
        <v>2566</v>
      </c>
      <c r="E1700" s="7" t="s">
        <v>198</v>
      </c>
      <c r="F1700" s="7" t="s">
        <v>198</v>
      </c>
      <c r="G1700" s="7" t="s">
        <v>198</v>
      </c>
      <c r="H1700" s="7" t="s">
        <v>20</v>
      </c>
      <c r="I1700" s="7" t="s">
        <v>5102</v>
      </c>
      <c r="J1700" s="7" t="s">
        <v>21</v>
      </c>
      <c r="L1700" t="s">
        <v>2976</v>
      </c>
      <c r="M1700" s="7" t="s">
        <v>22</v>
      </c>
      <c r="N1700" s="7" t="s">
        <v>23</v>
      </c>
      <c r="O1700" s="7" t="s">
        <v>27</v>
      </c>
      <c r="P1700" s="7" t="s">
        <v>5101</v>
      </c>
      <c r="Q1700" s="26">
        <v>30</v>
      </c>
      <c r="R1700" s="26">
        <v>1</v>
      </c>
      <c r="S1700" s="40">
        <v>1</v>
      </c>
      <c r="T1700" s="7"/>
      <c r="U1700" s="7" t="s">
        <v>2951</v>
      </c>
      <c r="V1700" s="7" t="str">
        <f>+IF(U1700="","",IF(U1700="FINES",CONCATENATE("R",IF(OR(B1700="16",B1700="21",B1700="22",B1700="23"),"16212223",IF(OR(B1700="15",B1700="17",B1700="24",B1700="25"),"15172425",B1700))),IF(U1700="CEBAS","UNICO",IF(VALUE(B1700)&lt;=11,"AMBA","INTERIOR"))))</f>
        <v>R01</v>
      </c>
      <c r="W1700" s="38" t="str">
        <f>+IF(U1700="","-",CONCATENATE(U1700,"_",V1700))</f>
        <v>FINES_R01</v>
      </c>
      <c r="X1700" s="42">
        <v>0.34100000000000003</v>
      </c>
    </row>
    <row r="1701" spans="1:24">
      <c r="A1701" s="21" t="s">
        <v>5100</v>
      </c>
      <c r="B1701" t="s">
        <v>19</v>
      </c>
      <c r="C1701" t="s">
        <v>17</v>
      </c>
      <c r="D1701" t="s">
        <v>18</v>
      </c>
      <c r="E1701" s="7" t="s">
        <v>198</v>
      </c>
      <c r="F1701" s="7" t="s">
        <v>198</v>
      </c>
      <c r="G1701" s="7" t="s">
        <v>198</v>
      </c>
      <c r="H1701" s="7" t="s">
        <v>20</v>
      </c>
      <c r="I1701" s="7" t="s">
        <v>5102</v>
      </c>
      <c r="J1701" s="7" t="s">
        <v>21</v>
      </c>
      <c r="L1701" t="s">
        <v>3099</v>
      </c>
      <c r="M1701" s="7" t="s">
        <v>22</v>
      </c>
      <c r="N1701" s="7" t="s">
        <v>23</v>
      </c>
      <c r="O1701" s="7" t="s">
        <v>27</v>
      </c>
      <c r="P1701" s="7" t="s">
        <v>5101</v>
      </c>
      <c r="Q1701" s="26">
        <v>18</v>
      </c>
      <c r="R1701" s="26">
        <v>1</v>
      </c>
      <c r="S1701" s="40">
        <v>1</v>
      </c>
      <c r="T1701" s="7"/>
      <c r="U1701" s="7" t="s">
        <v>2951</v>
      </c>
      <c r="V1701" s="7" t="str">
        <f>+IF(U1701="","",IF(U1701="FINES",CONCATENATE("R",IF(OR(B1701="16",B1701="21",B1701="22",B1701="23"),"16212223",IF(OR(B1701="15",B1701="17",B1701="24",B1701="25"),"15172425",B1701))),IF(U1701="CEBAS","UNICO",IF(VALUE(B1701)&lt;=11,"AMBA","INTERIOR"))))</f>
        <v>R01</v>
      </c>
      <c r="W1701" s="38" t="str">
        <f>+IF(U1701="","-",CONCATENATE(U1701,"_",V1701))</f>
        <v>FINES_R01</v>
      </c>
      <c r="X1701" s="42">
        <v>0.34200000000000003</v>
      </c>
    </row>
    <row r="1702" spans="1:24">
      <c r="A1702" s="21" t="s">
        <v>5100</v>
      </c>
      <c r="B1702" t="s">
        <v>19</v>
      </c>
      <c r="C1702" t="s">
        <v>17</v>
      </c>
      <c r="D1702" t="s">
        <v>18</v>
      </c>
      <c r="E1702" s="7" t="s">
        <v>198</v>
      </c>
      <c r="F1702" s="7" t="s">
        <v>198</v>
      </c>
      <c r="G1702" s="7" t="s">
        <v>198</v>
      </c>
      <c r="H1702" s="7" t="s">
        <v>20</v>
      </c>
      <c r="I1702" s="7" t="s">
        <v>5102</v>
      </c>
      <c r="J1702" s="7" t="s">
        <v>21</v>
      </c>
      <c r="L1702" t="s">
        <v>3023</v>
      </c>
      <c r="M1702" s="7" t="s">
        <v>22</v>
      </c>
      <c r="N1702" s="7" t="s">
        <v>23</v>
      </c>
      <c r="O1702" s="7" t="s">
        <v>27</v>
      </c>
      <c r="P1702" s="7" t="s">
        <v>5101</v>
      </c>
      <c r="Q1702" s="26">
        <v>13</v>
      </c>
      <c r="R1702" s="26">
        <v>1</v>
      </c>
      <c r="S1702" s="40">
        <v>1</v>
      </c>
      <c r="T1702" s="7"/>
      <c r="U1702" s="7" t="s">
        <v>2951</v>
      </c>
      <c r="V1702" s="7" t="str">
        <f>+IF(U1702="","",IF(U1702="FINES",CONCATENATE("R",IF(OR(B1702="16",B1702="21",B1702="22",B1702="23"),"16212223",IF(OR(B1702="15",B1702="17",B1702="24",B1702="25"),"15172425",B1702))),IF(U1702="CEBAS","UNICO",IF(VALUE(B1702)&lt;=11,"AMBA","INTERIOR"))))</f>
        <v>R01</v>
      </c>
      <c r="W1702" s="38" t="str">
        <f>+IF(U1702="","-",CONCATENATE(U1702,"_",V1702))</f>
        <v>FINES_R01</v>
      </c>
      <c r="X1702" s="42">
        <v>0.34300000000000003</v>
      </c>
    </row>
    <row r="1703" spans="1:24">
      <c r="A1703" s="21" t="s">
        <v>5100</v>
      </c>
      <c r="B1703" t="s">
        <v>19</v>
      </c>
      <c r="C1703" t="s">
        <v>1480</v>
      </c>
      <c r="D1703" t="s">
        <v>1481</v>
      </c>
      <c r="E1703" s="7" t="s">
        <v>198</v>
      </c>
      <c r="F1703" s="7" t="s">
        <v>198</v>
      </c>
      <c r="G1703" s="7" t="s">
        <v>198</v>
      </c>
      <c r="H1703" s="7" t="s">
        <v>20</v>
      </c>
      <c r="I1703" s="7" t="s">
        <v>5102</v>
      </c>
      <c r="J1703" s="7" t="s">
        <v>21</v>
      </c>
      <c r="L1703" t="s">
        <v>3103</v>
      </c>
      <c r="M1703" s="7" t="s">
        <v>22</v>
      </c>
      <c r="N1703" s="7" t="s">
        <v>23</v>
      </c>
      <c r="O1703" s="7" t="s">
        <v>27</v>
      </c>
      <c r="P1703" s="7" t="s">
        <v>5101</v>
      </c>
      <c r="Q1703" s="26">
        <v>9</v>
      </c>
      <c r="R1703" s="26">
        <v>1</v>
      </c>
      <c r="S1703" s="40">
        <v>1</v>
      </c>
      <c r="T1703" s="7"/>
      <c r="U1703" s="7" t="s">
        <v>2951</v>
      </c>
      <c r="V1703" s="7" t="str">
        <f>+IF(U1703="","",IF(U1703="FINES",CONCATENATE("R",IF(OR(B1703="16",B1703="21",B1703="22",B1703="23"),"16212223",IF(OR(B1703="15",B1703="17",B1703="24",B1703="25"),"15172425",B1703))),IF(U1703="CEBAS","UNICO",IF(VALUE(B1703)&lt;=11,"AMBA","INTERIOR"))))</f>
        <v>R01</v>
      </c>
      <c r="W1703" s="38" t="str">
        <f>+IF(U1703="","-",CONCATENATE(U1703,"_",V1703))</f>
        <v>FINES_R01</v>
      </c>
      <c r="X1703" s="42">
        <v>0.34399999999999997</v>
      </c>
    </row>
    <row r="1704" spans="1:24">
      <c r="A1704" s="21" t="s">
        <v>5100</v>
      </c>
      <c r="B1704" t="s">
        <v>19</v>
      </c>
      <c r="C1704" t="s">
        <v>17</v>
      </c>
      <c r="D1704" t="s">
        <v>18</v>
      </c>
      <c r="E1704" s="7" t="s">
        <v>198</v>
      </c>
      <c r="F1704" s="7" t="s">
        <v>198</v>
      </c>
      <c r="G1704" s="7" t="s">
        <v>198</v>
      </c>
      <c r="H1704" s="7" t="s">
        <v>20</v>
      </c>
      <c r="I1704" s="7" t="s">
        <v>5102</v>
      </c>
      <c r="J1704" s="7" t="s">
        <v>21</v>
      </c>
      <c r="L1704" t="s">
        <v>3089</v>
      </c>
      <c r="M1704" s="7" t="s">
        <v>22</v>
      </c>
      <c r="N1704" s="7" t="s">
        <v>23</v>
      </c>
      <c r="O1704" s="7" t="s">
        <v>27</v>
      </c>
      <c r="P1704" s="7" t="s">
        <v>5101</v>
      </c>
      <c r="Q1704" s="26">
        <v>61</v>
      </c>
      <c r="R1704" s="26">
        <v>3</v>
      </c>
      <c r="S1704" s="40">
        <v>1</v>
      </c>
      <c r="T1704" s="7"/>
      <c r="U1704" s="7" t="s">
        <v>2951</v>
      </c>
      <c r="V1704" s="7" t="str">
        <f>+IF(U1704="","",IF(U1704="FINES",CONCATENATE("R",IF(OR(B1704="16",B1704="21",B1704="22",B1704="23"),"16212223",IF(OR(B1704="15",B1704="17",B1704="24",B1704="25"),"15172425",B1704))),IF(U1704="CEBAS","UNICO",IF(VALUE(B1704)&lt;=11,"AMBA","INTERIOR"))))</f>
        <v>R01</v>
      </c>
      <c r="W1704" s="38" t="str">
        <f>+IF(U1704="","-",CONCATENATE(U1704,"_",V1704))</f>
        <v>FINES_R01</v>
      </c>
      <c r="X1704" s="42">
        <v>0.34699999999999998</v>
      </c>
    </row>
    <row r="1705" spans="1:24">
      <c r="A1705" s="21" t="s">
        <v>5100</v>
      </c>
      <c r="B1705" t="s">
        <v>19</v>
      </c>
      <c r="C1705" t="s">
        <v>17</v>
      </c>
      <c r="D1705" t="s">
        <v>18</v>
      </c>
      <c r="E1705" s="7" t="s">
        <v>198</v>
      </c>
      <c r="F1705" s="7" t="s">
        <v>198</v>
      </c>
      <c r="G1705" s="7" t="s">
        <v>198</v>
      </c>
      <c r="H1705" s="7" t="s">
        <v>20</v>
      </c>
      <c r="I1705" s="7" t="s">
        <v>5102</v>
      </c>
      <c r="J1705" s="7" t="s">
        <v>21</v>
      </c>
      <c r="L1705" t="s">
        <v>3061</v>
      </c>
      <c r="M1705" s="7" t="s">
        <v>22</v>
      </c>
      <c r="N1705" s="7" t="s">
        <v>23</v>
      </c>
      <c r="O1705" s="7" t="s">
        <v>27</v>
      </c>
      <c r="P1705" s="7" t="s">
        <v>5101</v>
      </c>
      <c r="Q1705" s="26">
        <v>0</v>
      </c>
      <c r="R1705" s="26">
        <v>1</v>
      </c>
      <c r="S1705" s="40">
        <v>1</v>
      </c>
      <c r="T1705" s="7"/>
      <c r="U1705" s="7" t="s">
        <v>2951</v>
      </c>
      <c r="V1705" s="7" t="str">
        <f>+IF(U1705="","",IF(U1705="FINES",CONCATENATE("R",IF(OR(B1705="16",B1705="21",B1705="22",B1705="23"),"16212223",IF(OR(B1705="15",B1705="17",B1705="24",B1705="25"),"15172425",B1705))),IF(U1705="CEBAS","UNICO",IF(VALUE(B1705)&lt;=11,"AMBA","INTERIOR"))))</f>
        <v>R01</v>
      </c>
      <c r="W1705" s="38" t="str">
        <f>+IF(U1705="","-",CONCATENATE(U1705,"_",V1705))</f>
        <v>FINES_R01</v>
      </c>
      <c r="X1705" s="42">
        <v>0.34799999999999998</v>
      </c>
    </row>
    <row r="1706" spans="1:24">
      <c r="A1706" s="21" t="s">
        <v>5100</v>
      </c>
      <c r="B1706" t="s">
        <v>19</v>
      </c>
      <c r="C1706" t="s">
        <v>599</v>
      </c>
      <c r="D1706" t="s">
        <v>601</v>
      </c>
      <c r="E1706" s="7" t="s">
        <v>198</v>
      </c>
      <c r="F1706" s="7" t="s">
        <v>198</v>
      </c>
      <c r="G1706" s="7" t="s">
        <v>198</v>
      </c>
      <c r="H1706" s="7" t="s">
        <v>20</v>
      </c>
      <c r="I1706" s="7" t="s">
        <v>5102</v>
      </c>
      <c r="J1706" s="7" t="s">
        <v>21</v>
      </c>
      <c r="L1706" t="s">
        <v>2983</v>
      </c>
      <c r="M1706" s="7" t="s">
        <v>22</v>
      </c>
      <c r="N1706" s="7" t="s">
        <v>23</v>
      </c>
      <c r="O1706" s="7" t="s">
        <v>27</v>
      </c>
      <c r="P1706" s="7" t="s">
        <v>5101</v>
      </c>
      <c r="Q1706" s="26">
        <v>0</v>
      </c>
      <c r="R1706" s="26">
        <v>1</v>
      </c>
      <c r="S1706" s="40">
        <v>1</v>
      </c>
      <c r="T1706" s="7"/>
      <c r="U1706" s="7" t="s">
        <v>2951</v>
      </c>
      <c r="V1706" s="7" t="str">
        <f>+IF(U1706="","",IF(U1706="FINES",CONCATENATE("R",IF(OR(B1706="16",B1706="21",B1706="22",B1706="23"),"16212223",IF(OR(B1706="15",B1706="17",B1706="24",B1706="25"),"15172425",B1706))),IF(U1706="CEBAS","UNICO",IF(VALUE(B1706)&lt;=11,"AMBA","INTERIOR"))))</f>
        <v>R01</v>
      </c>
      <c r="W1706" s="38" t="str">
        <f>+IF(U1706="","-",CONCATENATE(U1706,"_",V1706))</f>
        <v>FINES_R01</v>
      </c>
      <c r="X1706" s="42">
        <v>0.35199999999999998</v>
      </c>
    </row>
    <row r="1707" spans="1:24">
      <c r="A1707" s="21" t="s">
        <v>5100</v>
      </c>
      <c r="B1707" t="s">
        <v>19</v>
      </c>
      <c r="C1707" t="s">
        <v>17</v>
      </c>
      <c r="D1707" t="s">
        <v>18</v>
      </c>
      <c r="E1707" s="7" t="s">
        <v>198</v>
      </c>
      <c r="F1707" s="7" t="s">
        <v>198</v>
      </c>
      <c r="G1707" s="7" t="s">
        <v>198</v>
      </c>
      <c r="H1707" s="7" t="s">
        <v>20</v>
      </c>
      <c r="I1707" s="7" t="s">
        <v>5102</v>
      </c>
      <c r="J1707" s="7" t="s">
        <v>21</v>
      </c>
      <c r="L1707" t="s">
        <v>3101</v>
      </c>
      <c r="M1707" s="7" t="s">
        <v>22</v>
      </c>
      <c r="N1707" s="7" t="s">
        <v>23</v>
      </c>
      <c r="O1707" s="7" t="s">
        <v>27</v>
      </c>
      <c r="P1707" s="7" t="s">
        <v>5101</v>
      </c>
      <c r="Q1707" s="26">
        <v>33</v>
      </c>
      <c r="R1707" s="26">
        <v>3</v>
      </c>
      <c r="S1707" s="40">
        <v>1</v>
      </c>
      <c r="T1707" s="7"/>
      <c r="U1707" s="7" t="s">
        <v>2951</v>
      </c>
      <c r="V1707" s="7" t="str">
        <f>+IF(U1707="","",IF(U1707="FINES",CONCATENATE("R",IF(OR(B1707="16",B1707="21",B1707="22",B1707="23"),"16212223",IF(OR(B1707="15",B1707="17",B1707="24",B1707="25"),"15172425",B1707))),IF(U1707="CEBAS","UNICO",IF(VALUE(B1707)&lt;=11,"AMBA","INTERIOR"))))</f>
        <v>R01</v>
      </c>
      <c r="W1707" s="38" t="str">
        <f>+IF(U1707="","-",CONCATENATE(U1707,"_",V1707))</f>
        <v>FINES_R01</v>
      </c>
      <c r="X1707" s="42">
        <v>0.35199999999999998</v>
      </c>
    </row>
    <row r="1708" spans="1:24">
      <c r="A1708" s="21" t="s">
        <v>5100</v>
      </c>
      <c r="B1708" t="s">
        <v>19</v>
      </c>
      <c r="C1708" t="s">
        <v>644</v>
      </c>
      <c r="D1708" t="s">
        <v>2862</v>
      </c>
      <c r="E1708" s="7" t="s">
        <v>198</v>
      </c>
      <c r="F1708" s="7" t="s">
        <v>198</v>
      </c>
      <c r="G1708" s="7" t="s">
        <v>198</v>
      </c>
      <c r="H1708" s="7" t="s">
        <v>20</v>
      </c>
      <c r="I1708" s="7" t="s">
        <v>5102</v>
      </c>
      <c r="J1708" s="7" t="s">
        <v>21</v>
      </c>
      <c r="L1708" t="s">
        <v>3123</v>
      </c>
      <c r="M1708" s="7" t="s">
        <v>22</v>
      </c>
      <c r="N1708" s="7" t="s">
        <v>23</v>
      </c>
      <c r="O1708" s="7" t="s">
        <v>27</v>
      </c>
      <c r="P1708" s="7" t="s">
        <v>5101</v>
      </c>
      <c r="Q1708" s="26">
        <v>7</v>
      </c>
      <c r="R1708" s="26">
        <v>1</v>
      </c>
      <c r="S1708" s="40">
        <v>1</v>
      </c>
      <c r="T1708" s="7"/>
      <c r="U1708" s="7" t="s">
        <v>2951</v>
      </c>
      <c r="V1708" s="7" t="str">
        <f>+IF(U1708="","",IF(U1708="FINES",CONCATENATE("R",IF(OR(B1708="16",B1708="21",B1708="22",B1708="23"),"16212223",IF(OR(B1708="15",B1708="17",B1708="24",B1708="25"),"15172425",B1708))),IF(U1708="CEBAS","UNICO",IF(VALUE(B1708)&lt;=11,"AMBA","INTERIOR"))))</f>
        <v>R01</v>
      </c>
      <c r="W1708" s="38" t="str">
        <f>+IF(U1708="","-",CONCATENATE(U1708,"_",V1708))</f>
        <v>FINES_R01</v>
      </c>
      <c r="X1708" s="42">
        <v>0.35399999999999998</v>
      </c>
    </row>
    <row r="1709" spans="1:24">
      <c r="A1709" s="21" t="s">
        <v>5100</v>
      </c>
      <c r="B1709" t="s">
        <v>19</v>
      </c>
      <c r="C1709" t="s">
        <v>1480</v>
      </c>
      <c r="D1709" t="s">
        <v>1481</v>
      </c>
      <c r="E1709" s="7" t="s">
        <v>198</v>
      </c>
      <c r="F1709" s="7" t="s">
        <v>198</v>
      </c>
      <c r="G1709" s="7" t="s">
        <v>198</v>
      </c>
      <c r="H1709" s="7" t="s">
        <v>20</v>
      </c>
      <c r="I1709" s="7" t="s">
        <v>5102</v>
      </c>
      <c r="J1709" s="7" t="s">
        <v>21</v>
      </c>
      <c r="L1709" t="s">
        <v>3117</v>
      </c>
      <c r="M1709" s="7" t="s">
        <v>22</v>
      </c>
      <c r="N1709" s="7" t="s">
        <v>23</v>
      </c>
      <c r="O1709" s="7" t="s">
        <v>27</v>
      </c>
      <c r="P1709" s="7" t="s">
        <v>5101</v>
      </c>
      <c r="Q1709" s="26">
        <v>17</v>
      </c>
      <c r="R1709" s="26">
        <v>2</v>
      </c>
      <c r="S1709" s="40">
        <v>1</v>
      </c>
      <c r="T1709" s="7"/>
      <c r="U1709" s="7" t="s">
        <v>2951</v>
      </c>
      <c r="V1709" s="7" t="str">
        <f>+IF(U1709="","",IF(U1709="FINES",CONCATENATE("R",IF(OR(B1709="16",B1709="21",B1709="22",B1709="23"),"16212223",IF(OR(B1709="15",B1709="17",B1709="24",B1709="25"),"15172425",B1709))),IF(U1709="CEBAS","UNICO",IF(VALUE(B1709)&lt;=11,"AMBA","INTERIOR"))))</f>
        <v>R01</v>
      </c>
      <c r="W1709" s="38" t="str">
        <f>+IF(U1709="","-",CONCATENATE(U1709,"_",V1709))</f>
        <v>FINES_R01</v>
      </c>
      <c r="X1709" s="42">
        <v>0.36099999999999999</v>
      </c>
    </row>
    <row r="1710" spans="1:24">
      <c r="A1710" s="21" t="s">
        <v>5100</v>
      </c>
      <c r="B1710" t="s">
        <v>19</v>
      </c>
      <c r="C1710" t="s">
        <v>17</v>
      </c>
      <c r="D1710" t="s">
        <v>18</v>
      </c>
      <c r="E1710" s="7" t="s">
        <v>198</v>
      </c>
      <c r="F1710" s="7" t="s">
        <v>198</v>
      </c>
      <c r="G1710" s="7" t="s">
        <v>198</v>
      </c>
      <c r="H1710" s="7" t="s">
        <v>20</v>
      </c>
      <c r="I1710" s="7" t="s">
        <v>5102</v>
      </c>
      <c r="J1710" s="7" t="s">
        <v>21</v>
      </c>
      <c r="L1710" t="s">
        <v>3082</v>
      </c>
      <c r="M1710" s="7" t="s">
        <v>22</v>
      </c>
      <c r="N1710" s="7" t="s">
        <v>23</v>
      </c>
      <c r="O1710" s="7" t="s">
        <v>27</v>
      </c>
      <c r="P1710" s="7" t="s">
        <v>5101</v>
      </c>
      <c r="Q1710" s="26">
        <v>21</v>
      </c>
      <c r="R1710" s="26">
        <v>1</v>
      </c>
      <c r="S1710" s="40">
        <v>1</v>
      </c>
      <c r="T1710" s="7"/>
      <c r="U1710" s="7" t="s">
        <v>2951</v>
      </c>
      <c r="V1710" s="7" t="str">
        <f>+IF(U1710="","",IF(U1710="FINES",CONCATENATE("R",IF(OR(B1710="16",B1710="21",B1710="22",B1710="23"),"16212223",IF(OR(B1710="15",B1710="17",B1710="24",B1710="25"),"15172425",B1710))),IF(U1710="CEBAS","UNICO",IF(VALUE(B1710)&lt;=11,"AMBA","INTERIOR"))))</f>
        <v>R01</v>
      </c>
      <c r="W1710" s="38" t="str">
        <f>+IF(U1710="","-",CONCATENATE(U1710,"_",V1710))</f>
        <v>FINES_R01</v>
      </c>
      <c r="X1710" s="42">
        <v>0.378</v>
      </c>
    </row>
    <row r="1711" spans="1:24">
      <c r="A1711" s="21" t="s">
        <v>5100</v>
      </c>
      <c r="B1711" t="s">
        <v>19</v>
      </c>
      <c r="C1711" t="s">
        <v>17</v>
      </c>
      <c r="D1711" t="s">
        <v>18</v>
      </c>
      <c r="E1711" s="7" t="s">
        <v>198</v>
      </c>
      <c r="F1711" s="7" t="s">
        <v>198</v>
      </c>
      <c r="G1711" s="7" t="s">
        <v>198</v>
      </c>
      <c r="H1711" s="7" t="s">
        <v>20</v>
      </c>
      <c r="I1711" s="7" t="s">
        <v>5102</v>
      </c>
      <c r="J1711" s="7" t="s">
        <v>21</v>
      </c>
      <c r="L1711" t="s">
        <v>3044</v>
      </c>
      <c r="M1711" s="7" t="s">
        <v>22</v>
      </c>
      <c r="N1711" s="7" t="s">
        <v>23</v>
      </c>
      <c r="O1711" s="7" t="s">
        <v>27</v>
      </c>
      <c r="P1711" s="7" t="s">
        <v>5101</v>
      </c>
      <c r="Q1711" s="26">
        <v>8</v>
      </c>
      <c r="R1711" s="26">
        <v>1</v>
      </c>
      <c r="S1711" s="40">
        <v>1</v>
      </c>
      <c r="T1711" s="7"/>
      <c r="U1711" s="7" t="s">
        <v>2951</v>
      </c>
      <c r="V1711" s="7" t="str">
        <f>+IF(U1711="","",IF(U1711="FINES",CONCATENATE("R",IF(OR(B1711="16",B1711="21",B1711="22",B1711="23"),"16212223",IF(OR(B1711="15",B1711="17",B1711="24",B1711="25"),"15172425",B1711))),IF(U1711="CEBAS","UNICO",IF(VALUE(B1711)&lt;=11,"AMBA","INTERIOR"))))</f>
        <v>R01</v>
      </c>
      <c r="W1711" s="38" t="str">
        <f>+IF(U1711="","-",CONCATENATE(U1711,"_",V1711))</f>
        <v>FINES_R01</v>
      </c>
      <c r="X1711" s="42">
        <v>0.38500000000000001</v>
      </c>
    </row>
    <row r="1712" spans="1:24">
      <c r="A1712" s="21" t="s">
        <v>5100</v>
      </c>
      <c r="B1712" t="s">
        <v>19</v>
      </c>
      <c r="C1712" t="s">
        <v>252</v>
      </c>
      <c r="D1712" t="s">
        <v>2566</v>
      </c>
      <c r="E1712" s="7" t="s">
        <v>198</v>
      </c>
      <c r="F1712" s="7" t="s">
        <v>198</v>
      </c>
      <c r="G1712" s="7" t="s">
        <v>198</v>
      </c>
      <c r="H1712" s="7" t="s">
        <v>20</v>
      </c>
      <c r="I1712" s="7" t="s">
        <v>5102</v>
      </c>
      <c r="J1712" s="7" t="s">
        <v>21</v>
      </c>
      <c r="L1712" t="s">
        <v>2965</v>
      </c>
      <c r="M1712" s="7" t="s">
        <v>22</v>
      </c>
      <c r="N1712" s="7" t="s">
        <v>23</v>
      </c>
      <c r="O1712" s="7" t="s">
        <v>27</v>
      </c>
      <c r="P1712" s="7" t="s">
        <v>5101</v>
      </c>
      <c r="Q1712" s="26">
        <v>27</v>
      </c>
      <c r="R1712" s="26">
        <v>1</v>
      </c>
      <c r="S1712" s="40">
        <v>1</v>
      </c>
      <c r="T1712" s="7"/>
      <c r="U1712" s="7" t="s">
        <v>2951</v>
      </c>
      <c r="V1712" s="7" t="str">
        <f>+IF(U1712="","",IF(U1712="FINES",CONCATENATE("R",IF(OR(B1712="16",B1712="21",B1712="22",B1712="23"),"16212223",IF(OR(B1712="15",B1712="17",B1712="24",B1712="25"),"15172425",B1712))),IF(U1712="CEBAS","UNICO",IF(VALUE(B1712)&lt;=11,"AMBA","INTERIOR"))))</f>
        <v>R01</v>
      </c>
      <c r="W1712" s="38" t="str">
        <f>+IF(U1712="","-",CONCATENATE(U1712,"_",V1712))</f>
        <v>FINES_R01</v>
      </c>
      <c r="X1712" s="42">
        <v>0.38900000000000001</v>
      </c>
    </row>
    <row r="1713" spans="1:24">
      <c r="A1713" s="21" t="s">
        <v>5100</v>
      </c>
      <c r="B1713" t="s">
        <v>19</v>
      </c>
      <c r="C1713" t="s">
        <v>17</v>
      </c>
      <c r="D1713" t="s">
        <v>18</v>
      </c>
      <c r="E1713" s="7" t="s">
        <v>198</v>
      </c>
      <c r="F1713" s="7" t="s">
        <v>198</v>
      </c>
      <c r="G1713" s="7" t="s">
        <v>198</v>
      </c>
      <c r="H1713" s="7" t="s">
        <v>20</v>
      </c>
      <c r="I1713" s="7" t="s">
        <v>5102</v>
      </c>
      <c r="J1713" s="7" t="s">
        <v>21</v>
      </c>
      <c r="L1713" t="s">
        <v>3063</v>
      </c>
      <c r="M1713" s="7" t="s">
        <v>22</v>
      </c>
      <c r="N1713" s="7" t="s">
        <v>23</v>
      </c>
      <c r="O1713" s="7" t="s">
        <v>27</v>
      </c>
      <c r="P1713" s="7" t="s">
        <v>5101</v>
      </c>
      <c r="Q1713" s="26">
        <v>55</v>
      </c>
      <c r="R1713" s="26">
        <v>3</v>
      </c>
      <c r="S1713" s="40">
        <v>1</v>
      </c>
      <c r="T1713" s="7"/>
      <c r="U1713" s="7" t="s">
        <v>2951</v>
      </c>
      <c r="V1713" s="7" t="str">
        <f>+IF(U1713="","",IF(U1713="FINES",CONCATENATE("R",IF(OR(B1713="16",B1713="21",B1713="22",B1713="23"),"16212223",IF(OR(B1713="15",B1713="17",B1713="24",B1713="25"),"15172425",B1713))),IF(U1713="CEBAS","UNICO",IF(VALUE(B1713)&lt;=11,"AMBA","INTERIOR"))))</f>
        <v>R01</v>
      </c>
      <c r="W1713" s="38" t="str">
        <f>+IF(U1713="","-",CONCATENATE(U1713,"_",V1713))</f>
        <v>FINES_R01</v>
      </c>
      <c r="X1713" s="42">
        <v>0.39300000000000002</v>
      </c>
    </row>
    <row r="1714" spans="1:24">
      <c r="A1714" s="21" t="s">
        <v>5100</v>
      </c>
      <c r="B1714" t="s">
        <v>19</v>
      </c>
      <c r="C1714" t="s">
        <v>17</v>
      </c>
      <c r="D1714" t="s">
        <v>18</v>
      </c>
      <c r="E1714" s="7" t="s">
        <v>198</v>
      </c>
      <c r="F1714" s="7" t="s">
        <v>198</v>
      </c>
      <c r="G1714" s="7" t="s">
        <v>198</v>
      </c>
      <c r="H1714" s="7" t="s">
        <v>20</v>
      </c>
      <c r="I1714" s="7" t="s">
        <v>5102</v>
      </c>
      <c r="J1714" s="7" t="s">
        <v>21</v>
      </c>
      <c r="L1714" t="s">
        <v>3013</v>
      </c>
      <c r="M1714" s="7" t="s">
        <v>22</v>
      </c>
      <c r="N1714" s="7" t="s">
        <v>23</v>
      </c>
      <c r="O1714" s="7" t="s">
        <v>27</v>
      </c>
      <c r="P1714" s="7" t="s">
        <v>5101</v>
      </c>
      <c r="Q1714" s="26">
        <v>10</v>
      </c>
      <c r="R1714" s="26">
        <v>1</v>
      </c>
      <c r="S1714" s="40">
        <v>1</v>
      </c>
      <c r="T1714" s="7"/>
      <c r="U1714" s="7" t="s">
        <v>2951</v>
      </c>
      <c r="V1714" s="7" t="str">
        <f>+IF(U1714="","",IF(U1714="FINES",CONCATENATE("R",IF(OR(B1714="16",B1714="21",B1714="22",B1714="23"),"16212223",IF(OR(B1714="15",B1714="17",B1714="24",B1714="25"),"15172425",B1714))),IF(U1714="CEBAS","UNICO",IF(VALUE(B1714)&lt;=11,"AMBA","INTERIOR"))))</f>
        <v>R01</v>
      </c>
      <c r="W1714" s="38" t="str">
        <f>+IF(U1714="","-",CONCATENATE(U1714,"_",V1714))</f>
        <v>FINES_R01</v>
      </c>
      <c r="X1714" s="42">
        <v>0.39400000000000002</v>
      </c>
    </row>
    <row r="1715" spans="1:24">
      <c r="A1715" s="21" t="s">
        <v>5100</v>
      </c>
      <c r="B1715" t="s">
        <v>19</v>
      </c>
      <c r="C1715" t="s">
        <v>17</v>
      </c>
      <c r="D1715" t="s">
        <v>18</v>
      </c>
      <c r="E1715" s="7" t="s">
        <v>198</v>
      </c>
      <c r="F1715" s="7" t="s">
        <v>198</v>
      </c>
      <c r="G1715" s="7" t="s">
        <v>198</v>
      </c>
      <c r="H1715" s="7" t="s">
        <v>20</v>
      </c>
      <c r="I1715" s="7" t="s">
        <v>5102</v>
      </c>
      <c r="J1715" s="7" t="s">
        <v>21</v>
      </c>
      <c r="L1715" t="s">
        <v>3012</v>
      </c>
      <c r="M1715" s="7" t="s">
        <v>22</v>
      </c>
      <c r="N1715" s="7" t="s">
        <v>23</v>
      </c>
      <c r="O1715" s="7" t="s">
        <v>27</v>
      </c>
      <c r="P1715" s="7" t="s">
        <v>5101</v>
      </c>
      <c r="Q1715" s="26">
        <v>109</v>
      </c>
      <c r="R1715" s="26">
        <v>3</v>
      </c>
      <c r="S1715" s="40">
        <v>1</v>
      </c>
      <c r="T1715" s="7"/>
      <c r="U1715" s="7" t="s">
        <v>2951</v>
      </c>
      <c r="V1715" s="7" t="str">
        <f>+IF(U1715="","",IF(U1715="FINES",CONCATENATE("R",IF(OR(B1715="16",B1715="21",B1715="22",B1715="23"),"16212223",IF(OR(B1715="15",B1715="17",B1715="24",B1715="25"),"15172425",B1715))),IF(U1715="CEBAS","UNICO",IF(VALUE(B1715)&lt;=11,"AMBA","INTERIOR"))))</f>
        <v>R01</v>
      </c>
      <c r="W1715" s="38" t="str">
        <f>+IF(U1715="","-",CONCATENATE(U1715,"_",V1715))</f>
        <v>FINES_R01</v>
      </c>
      <c r="X1715" s="42">
        <v>0.39600000000000002</v>
      </c>
    </row>
    <row r="1716" spans="1:24">
      <c r="A1716" s="21" t="s">
        <v>5100</v>
      </c>
      <c r="B1716" t="s">
        <v>19</v>
      </c>
      <c r="C1716" t="s">
        <v>252</v>
      </c>
      <c r="D1716" t="s">
        <v>2566</v>
      </c>
      <c r="E1716" s="7" t="s">
        <v>198</v>
      </c>
      <c r="F1716" s="7" t="s">
        <v>198</v>
      </c>
      <c r="G1716" s="7" t="s">
        <v>198</v>
      </c>
      <c r="H1716" s="7" t="s">
        <v>20</v>
      </c>
      <c r="I1716" s="7" t="s">
        <v>5102</v>
      </c>
      <c r="J1716" s="7" t="s">
        <v>21</v>
      </c>
      <c r="L1716" t="s">
        <v>2960</v>
      </c>
      <c r="M1716" s="7" t="s">
        <v>22</v>
      </c>
      <c r="N1716" s="7" t="s">
        <v>23</v>
      </c>
      <c r="O1716" s="7" t="s">
        <v>27</v>
      </c>
      <c r="P1716" s="7" t="s">
        <v>5101</v>
      </c>
      <c r="Q1716" s="26">
        <v>69</v>
      </c>
      <c r="R1716" s="26">
        <v>3</v>
      </c>
      <c r="S1716" s="40">
        <v>1</v>
      </c>
      <c r="T1716" s="7"/>
      <c r="U1716" s="7" t="s">
        <v>2951</v>
      </c>
      <c r="V1716" s="7" t="str">
        <f>+IF(U1716="","",IF(U1716="FINES",CONCATENATE("R",IF(OR(B1716="16",B1716="21",B1716="22",B1716="23"),"16212223",IF(OR(B1716="15",B1716="17",B1716="24",B1716="25"),"15172425",B1716))),IF(U1716="CEBAS","UNICO",IF(VALUE(B1716)&lt;=11,"AMBA","INTERIOR"))))</f>
        <v>R01</v>
      </c>
      <c r="W1716" s="38" t="str">
        <f>+IF(U1716="","-",CONCATENATE(U1716,"_",V1716))</f>
        <v>FINES_R01</v>
      </c>
      <c r="X1716" s="42">
        <v>0.39700000000000002</v>
      </c>
    </row>
    <row r="1717" spans="1:24">
      <c r="A1717" s="21" t="s">
        <v>5100</v>
      </c>
      <c r="B1717" t="s">
        <v>19</v>
      </c>
      <c r="C1717" t="s">
        <v>17</v>
      </c>
      <c r="D1717" t="s">
        <v>18</v>
      </c>
      <c r="E1717" s="7" t="s">
        <v>198</v>
      </c>
      <c r="F1717" s="7" t="s">
        <v>198</v>
      </c>
      <c r="G1717" s="7" t="s">
        <v>198</v>
      </c>
      <c r="H1717" s="7" t="s">
        <v>20</v>
      </c>
      <c r="I1717" s="7" t="s">
        <v>5102</v>
      </c>
      <c r="J1717" s="7" t="s">
        <v>21</v>
      </c>
      <c r="L1717" t="s">
        <v>3049</v>
      </c>
      <c r="M1717" s="7" t="s">
        <v>22</v>
      </c>
      <c r="N1717" s="7" t="s">
        <v>23</v>
      </c>
      <c r="O1717" s="7" t="s">
        <v>27</v>
      </c>
      <c r="P1717" s="7" t="s">
        <v>5101</v>
      </c>
      <c r="Q1717" s="26">
        <v>0</v>
      </c>
      <c r="R1717" s="26">
        <v>1</v>
      </c>
      <c r="S1717" s="40">
        <v>1</v>
      </c>
      <c r="T1717" s="7"/>
      <c r="U1717" s="7" t="s">
        <v>2951</v>
      </c>
      <c r="V1717" s="7" t="str">
        <f>+IF(U1717="","",IF(U1717="FINES",CONCATENATE("R",IF(OR(B1717="16",B1717="21",B1717="22",B1717="23"),"16212223",IF(OR(B1717="15",B1717="17",B1717="24",B1717="25"),"15172425",B1717))),IF(U1717="CEBAS","UNICO",IF(VALUE(B1717)&lt;=11,"AMBA","INTERIOR"))))</f>
        <v>R01</v>
      </c>
      <c r="W1717" s="38" t="str">
        <f>+IF(U1717="","-",CONCATENATE(U1717,"_",V1717))</f>
        <v>FINES_R01</v>
      </c>
      <c r="X1717" s="42">
        <v>0.40200000000000002</v>
      </c>
    </row>
    <row r="1718" spans="1:24">
      <c r="A1718" s="21" t="s">
        <v>5100</v>
      </c>
      <c r="B1718" t="s">
        <v>19</v>
      </c>
      <c r="C1718" t="s">
        <v>449</v>
      </c>
      <c r="D1718" t="s">
        <v>2590</v>
      </c>
      <c r="E1718" s="7" t="s">
        <v>198</v>
      </c>
      <c r="F1718" s="7" t="s">
        <v>198</v>
      </c>
      <c r="G1718" s="7" t="s">
        <v>198</v>
      </c>
      <c r="H1718" s="7" t="s">
        <v>20</v>
      </c>
      <c r="I1718" s="7" t="s">
        <v>5102</v>
      </c>
      <c r="J1718" s="7" t="s">
        <v>21</v>
      </c>
      <c r="L1718" t="s">
        <v>3005</v>
      </c>
      <c r="M1718" s="7" t="s">
        <v>22</v>
      </c>
      <c r="N1718" s="7" t="s">
        <v>23</v>
      </c>
      <c r="O1718" s="7" t="s">
        <v>27</v>
      </c>
      <c r="P1718" s="7" t="s">
        <v>5101</v>
      </c>
      <c r="Q1718" s="26">
        <v>21</v>
      </c>
      <c r="R1718" s="26">
        <v>1</v>
      </c>
      <c r="S1718" s="40">
        <v>1</v>
      </c>
      <c r="T1718" s="7"/>
      <c r="U1718" s="7" t="s">
        <v>2951</v>
      </c>
      <c r="V1718" s="7" t="str">
        <f>+IF(U1718="","",IF(U1718="FINES",CONCATENATE("R",IF(OR(B1718="16",B1718="21",B1718="22",B1718="23"),"16212223",IF(OR(B1718="15",B1718="17",B1718="24",B1718="25"),"15172425",B1718))),IF(U1718="CEBAS","UNICO",IF(VALUE(B1718)&lt;=11,"AMBA","INTERIOR"))))</f>
        <v>R01</v>
      </c>
      <c r="W1718" s="38" t="str">
        <f>+IF(U1718="","-",CONCATENATE(U1718,"_",V1718))</f>
        <v>FINES_R01</v>
      </c>
      <c r="X1718" s="42">
        <v>0.40400000000000003</v>
      </c>
    </row>
    <row r="1719" spans="1:24">
      <c r="A1719" s="21" t="s">
        <v>5100</v>
      </c>
      <c r="B1719" t="s">
        <v>19</v>
      </c>
      <c r="C1719" t="s">
        <v>17</v>
      </c>
      <c r="D1719" t="s">
        <v>18</v>
      </c>
      <c r="E1719" s="7" t="s">
        <v>198</v>
      </c>
      <c r="F1719" s="7" t="s">
        <v>198</v>
      </c>
      <c r="G1719" s="7" t="s">
        <v>198</v>
      </c>
      <c r="H1719" s="7" t="s">
        <v>20</v>
      </c>
      <c r="I1719" s="7" t="s">
        <v>5102</v>
      </c>
      <c r="J1719" s="7" t="s">
        <v>21</v>
      </c>
      <c r="L1719" t="s">
        <v>3014</v>
      </c>
      <c r="M1719" s="7" t="s">
        <v>22</v>
      </c>
      <c r="N1719" s="7" t="s">
        <v>23</v>
      </c>
      <c r="O1719" s="7" t="s">
        <v>27</v>
      </c>
      <c r="P1719" s="7" t="s">
        <v>5101</v>
      </c>
      <c r="Q1719" s="26">
        <v>17</v>
      </c>
      <c r="R1719" s="26">
        <v>1</v>
      </c>
      <c r="S1719" s="40">
        <v>1</v>
      </c>
      <c r="T1719" s="7"/>
      <c r="U1719" s="7" t="s">
        <v>2951</v>
      </c>
      <c r="V1719" s="7" t="str">
        <f>+IF(U1719="","",IF(U1719="FINES",CONCATENATE("R",IF(OR(B1719="16",B1719="21",B1719="22",B1719="23"),"16212223",IF(OR(B1719="15",B1719="17",B1719="24",B1719="25"),"15172425",B1719))),IF(U1719="CEBAS","UNICO",IF(VALUE(B1719)&lt;=11,"AMBA","INTERIOR"))))</f>
        <v>R01</v>
      </c>
      <c r="W1719" s="38" t="str">
        <f>+IF(U1719="","-",CONCATENATE(U1719,"_",V1719))</f>
        <v>FINES_R01</v>
      </c>
      <c r="X1719" s="42">
        <v>0.40500000000000003</v>
      </c>
    </row>
    <row r="1720" spans="1:24">
      <c r="A1720" s="21" t="s">
        <v>5100</v>
      </c>
      <c r="B1720" t="s">
        <v>19</v>
      </c>
      <c r="C1720" t="s">
        <v>17</v>
      </c>
      <c r="D1720" t="s">
        <v>18</v>
      </c>
      <c r="E1720" s="7" t="s">
        <v>198</v>
      </c>
      <c r="F1720" s="7" t="s">
        <v>198</v>
      </c>
      <c r="G1720" s="7" t="s">
        <v>198</v>
      </c>
      <c r="H1720" s="7" t="s">
        <v>20</v>
      </c>
      <c r="I1720" s="7" t="s">
        <v>5102</v>
      </c>
      <c r="J1720" s="7" t="s">
        <v>21</v>
      </c>
      <c r="L1720" t="s">
        <v>3068</v>
      </c>
      <c r="M1720" s="7" t="s">
        <v>22</v>
      </c>
      <c r="N1720" s="7" t="s">
        <v>23</v>
      </c>
      <c r="O1720" s="7" t="s">
        <v>27</v>
      </c>
      <c r="P1720" s="7" t="s">
        <v>5101</v>
      </c>
      <c r="Q1720" s="26">
        <v>11</v>
      </c>
      <c r="R1720" s="26">
        <v>1</v>
      </c>
      <c r="S1720" s="40">
        <v>1</v>
      </c>
      <c r="T1720" s="7"/>
      <c r="U1720" s="7" t="s">
        <v>2951</v>
      </c>
      <c r="V1720" s="7" t="str">
        <f>+IF(U1720="","",IF(U1720="FINES",CONCATENATE("R",IF(OR(B1720="16",B1720="21",B1720="22",B1720="23"),"16212223",IF(OR(B1720="15",B1720="17",B1720="24",B1720="25"),"15172425",B1720))),IF(U1720="CEBAS","UNICO",IF(VALUE(B1720)&lt;=11,"AMBA","INTERIOR"))))</f>
        <v>R01</v>
      </c>
      <c r="W1720" s="38" t="str">
        <f>+IF(U1720="","-",CONCATENATE(U1720,"_",V1720))</f>
        <v>FINES_R01</v>
      </c>
      <c r="X1720" s="42">
        <v>0.40699999999999997</v>
      </c>
    </row>
    <row r="1721" spans="1:24">
      <c r="A1721" s="21" t="s">
        <v>5100</v>
      </c>
      <c r="B1721" t="s">
        <v>19</v>
      </c>
      <c r="C1721" t="s">
        <v>644</v>
      </c>
      <c r="D1721" t="s">
        <v>2862</v>
      </c>
      <c r="E1721" s="7" t="s">
        <v>198</v>
      </c>
      <c r="F1721" s="7" t="s">
        <v>198</v>
      </c>
      <c r="G1721" s="7" t="s">
        <v>198</v>
      </c>
      <c r="H1721" s="7" t="s">
        <v>20</v>
      </c>
      <c r="I1721" s="7" t="s">
        <v>5102</v>
      </c>
      <c r="J1721" s="7" t="s">
        <v>21</v>
      </c>
      <c r="L1721" t="s">
        <v>3122</v>
      </c>
      <c r="M1721" s="7" t="s">
        <v>22</v>
      </c>
      <c r="N1721" s="7" t="s">
        <v>23</v>
      </c>
      <c r="O1721" s="7" t="s">
        <v>27</v>
      </c>
      <c r="P1721" s="7" t="s">
        <v>5101</v>
      </c>
      <c r="Q1721" s="26">
        <v>1</v>
      </c>
      <c r="R1721" s="26">
        <v>1</v>
      </c>
      <c r="S1721" s="40">
        <v>1</v>
      </c>
      <c r="T1721" s="7"/>
      <c r="U1721" s="7" t="s">
        <v>2951</v>
      </c>
      <c r="V1721" s="7" t="str">
        <f>+IF(U1721="","",IF(U1721="FINES",CONCATENATE("R",IF(OR(B1721="16",B1721="21",B1721="22",B1721="23"),"16212223",IF(OR(B1721="15",B1721="17",B1721="24",B1721="25"),"15172425",B1721))),IF(U1721="CEBAS","UNICO",IF(VALUE(B1721)&lt;=11,"AMBA","INTERIOR"))))</f>
        <v>R01</v>
      </c>
      <c r="W1721" s="38" t="str">
        <f>+IF(U1721="","-",CONCATENATE(U1721,"_",V1721))</f>
        <v>FINES_R01</v>
      </c>
      <c r="X1721" s="42">
        <v>0.40799999999999997</v>
      </c>
    </row>
    <row r="1722" spans="1:24">
      <c r="A1722" s="21" t="s">
        <v>5100</v>
      </c>
      <c r="B1722" t="s">
        <v>19</v>
      </c>
      <c r="C1722" t="s">
        <v>17</v>
      </c>
      <c r="D1722" t="s">
        <v>18</v>
      </c>
      <c r="E1722" s="7" t="s">
        <v>198</v>
      </c>
      <c r="F1722" s="7" t="s">
        <v>198</v>
      </c>
      <c r="G1722" s="7" t="s">
        <v>198</v>
      </c>
      <c r="H1722" s="7" t="s">
        <v>20</v>
      </c>
      <c r="I1722" s="7" t="s">
        <v>5102</v>
      </c>
      <c r="J1722" s="7" t="s">
        <v>21</v>
      </c>
      <c r="L1722" t="s">
        <v>3040</v>
      </c>
      <c r="M1722" s="7" t="s">
        <v>22</v>
      </c>
      <c r="N1722" s="7" t="s">
        <v>23</v>
      </c>
      <c r="O1722" s="7" t="s">
        <v>27</v>
      </c>
      <c r="P1722" s="7" t="s">
        <v>5101</v>
      </c>
      <c r="Q1722" s="26">
        <v>19</v>
      </c>
      <c r="R1722" s="26">
        <v>2</v>
      </c>
      <c r="S1722" s="40">
        <v>1</v>
      </c>
      <c r="T1722" s="7"/>
      <c r="U1722" s="7" t="s">
        <v>2951</v>
      </c>
      <c r="V1722" s="7" t="str">
        <f>+IF(U1722="","",IF(U1722="FINES",CONCATENATE("R",IF(OR(B1722="16",B1722="21",B1722="22",B1722="23"),"16212223",IF(OR(B1722="15",B1722="17",B1722="24",B1722="25"),"15172425",B1722))),IF(U1722="CEBAS","UNICO",IF(VALUE(B1722)&lt;=11,"AMBA","INTERIOR"))))</f>
        <v>R01</v>
      </c>
      <c r="W1722" s="38" t="str">
        <f>+IF(U1722="","-",CONCATENATE(U1722,"_",V1722))</f>
        <v>FINES_R01</v>
      </c>
      <c r="X1722" s="42">
        <v>0.41</v>
      </c>
    </row>
    <row r="1723" spans="1:24">
      <c r="A1723" s="21" t="s">
        <v>5100</v>
      </c>
      <c r="B1723" t="s">
        <v>19</v>
      </c>
      <c r="C1723" t="s">
        <v>1480</v>
      </c>
      <c r="D1723" t="s">
        <v>1481</v>
      </c>
      <c r="E1723" s="7" t="s">
        <v>198</v>
      </c>
      <c r="F1723" s="7" t="s">
        <v>198</v>
      </c>
      <c r="G1723" s="7" t="s">
        <v>198</v>
      </c>
      <c r="H1723" s="7" t="s">
        <v>20</v>
      </c>
      <c r="I1723" s="7" t="s">
        <v>5102</v>
      </c>
      <c r="J1723" s="7" t="s">
        <v>21</v>
      </c>
      <c r="L1723" t="s">
        <v>3115</v>
      </c>
      <c r="M1723" s="7" t="s">
        <v>22</v>
      </c>
      <c r="N1723" s="7" t="s">
        <v>23</v>
      </c>
      <c r="O1723" s="7" t="s">
        <v>27</v>
      </c>
      <c r="P1723" s="7" t="s">
        <v>5101</v>
      </c>
      <c r="Q1723" s="26">
        <v>10</v>
      </c>
      <c r="R1723" s="26">
        <v>1</v>
      </c>
      <c r="S1723" s="40">
        <v>1</v>
      </c>
      <c r="T1723" s="7"/>
      <c r="U1723" s="7" t="s">
        <v>2951</v>
      </c>
      <c r="V1723" s="7" t="str">
        <f>+IF(U1723="","",IF(U1723="FINES",CONCATENATE("R",IF(OR(B1723="16",B1723="21",B1723="22",B1723="23"),"16212223",IF(OR(B1723="15",B1723="17",B1723="24",B1723="25"),"15172425",B1723))),IF(U1723="CEBAS","UNICO",IF(VALUE(B1723)&lt;=11,"AMBA","INTERIOR"))))</f>
        <v>R01</v>
      </c>
      <c r="W1723" s="38" t="str">
        <f>+IF(U1723="","-",CONCATENATE(U1723,"_",V1723))</f>
        <v>FINES_R01</v>
      </c>
      <c r="X1723" s="42">
        <v>0.41699999999999998</v>
      </c>
    </row>
    <row r="1724" spans="1:24">
      <c r="A1724" s="21" t="s">
        <v>5100</v>
      </c>
      <c r="B1724" t="s">
        <v>19</v>
      </c>
      <c r="C1724" t="s">
        <v>17</v>
      </c>
      <c r="D1724" t="s">
        <v>18</v>
      </c>
      <c r="E1724" s="7" t="s">
        <v>198</v>
      </c>
      <c r="F1724" s="7" t="s">
        <v>198</v>
      </c>
      <c r="G1724" s="7" t="s">
        <v>198</v>
      </c>
      <c r="H1724" s="7" t="s">
        <v>20</v>
      </c>
      <c r="I1724" s="7" t="s">
        <v>5102</v>
      </c>
      <c r="J1724" s="7" t="s">
        <v>21</v>
      </c>
      <c r="L1724" t="s">
        <v>3033</v>
      </c>
      <c r="M1724" s="7" t="s">
        <v>22</v>
      </c>
      <c r="N1724" s="7" t="s">
        <v>23</v>
      </c>
      <c r="O1724" s="7" t="s">
        <v>27</v>
      </c>
      <c r="P1724" s="7" t="s">
        <v>5101</v>
      </c>
      <c r="Q1724" s="26">
        <v>0</v>
      </c>
      <c r="R1724" s="26">
        <v>1</v>
      </c>
      <c r="S1724" s="40">
        <v>1</v>
      </c>
      <c r="T1724" s="7"/>
      <c r="U1724" s="7" t="s">
        <v>2951</v>
      </c>
      <c r="V1724" s="7" t="str">
        <f>+IF(U1724="","",IF(U1724="FINES",CONCATENATE("R",IF(OR(B1724="16",B1724="21",B1724="22",B1724="23"),"16212223",IF(OR(B1724="15",B1724="17",B1724="24",B1724="25"),"15172425",B1724))),IF(U1724="CEBAS","UNICO",IF(VALUE(B1724)&lt;=11,"AMBA","INTERIOR"))))</f>
        <v>R01</v>
      </c>
      <c r="W1724" s="38" t="str">
        <f>+IF(U1724="","-",CONCATENATE(U1724,"_",V1724))</f>
        <v>FINES_R01</v>
      </c>
      <c r="X1724" s="42">
        <v>0.42299999999999999</v>
      </c>
    </row>
    <row r="1725" spans="1:24">
      <c r="A1725" s="21" t="s">
        <v>5100</v>
      </c>
      <c r="B1725" t="s">
        <v>19</v>
      </c>
      <c r="C1725" t="s">
        <v>17</v>
      </c>
      <c r="D1725" t="s">
        <v>18</v>
      </c>
      <c r="E1725" s="7" t="s">
        <v>198</v>
      </c>
      <c r="F1725" s="7" t="s">
        <v>198</v>
      </c>
      <c r="G1725" s="7" t="s">
        <v>198</v>
      </c>
      <c r="H1725" s="7" t="s">
        <v>20</v>
      </c>
      <c r="I1725" s="7" t="s">
        <v>5102</v>
      </c>
      <c r="J1725" s="7" t="s">
        <v>21</v>
      </c>
      <c r="L1725" t="s">
        <v>3036</v>
      </c>
      <c r="M1725" s="7" t="s">
        <v>22</v>
      </c>
      <c r="N1725" s="7" t="s">
        <v>23</v>
      </c>
      <c r="O1725" s="7" t="s">
        <v>27</v>
      </c>
      <c r="P1725" s="7" t="s">
        <v>5101</v>
      </c>
      <c r="Q1725" s="26">
        <v>35</v>
      </c>
      <c r="R1725" s="26">
        <v>2</v>
      </c>
      <c r="S1725" s="40">
        <v>1</v>
      </c>
      <c r="T1725" s="7"/>
      <c r="U1725" s="7" t="s">
        <v>2951</v>
      </c>
      <c r="V1725" s="7" t="str">
        <f>+IF(U1725="","",IF(U1725="FINES",CONCATENATE("R",IF(OR(B1725="16",B1725="21",B1725="22",B1725="23"),"16212223",IF(OR(B1725="15",B1725="17",B1725="24",B1725="25"),"15172425",B1725))),IF(U1725="CEBAS","UNICO",IF(VALUE(B1725)&lt;=11,"AMBA","INTERIOR"))))</f>
        <v>R01</v>
      </c>
      <c r="W1725" s="38" t="str">
        <f>+IF(U1725="","-",CONCATENATE(U1725,"_",V1725))</f>
        <v>FINES_R01</v>
      </c>
      <c r="X1725" s="42">
        <v>0.42699999999999999</v>
      </c>
    </row>
    <row r="1726" spans="1:24">
      <c r="A1726" s="21" t="s">
        <v>5100</v>
      </c>
      <c r="B1726" t="s">
        <v>19</v>
      </c>
      <c r="C1726" t="s">
        <v>1480</v>
      </c>
      <c r="D1726" t="s">
        <v>1481</v>
      </c>
      <c r="E1726" s="7" t="s">
        <v>198</v>
      </c>
      <c r="F1726" s="7" t="s">
        <v>198</v>
      </c>
      <c r="G1726" s="7" t="s">
        <v>198</v>
      </c>
      <c r="H1726" s="7" t="s">
        <v>20</v>
      </c>
      <c r="I1726" s="7" t="s">
        <v>5102</v>
      </c>
      <c r="J1726" s="7" t="s">
        <v>21</v>
      </c>
      <c r="L1726" t="s">
        <v>3114</v>
      </c>
      <c r="M1726" s="7" t="s">
        <v>22</v>
      </c>
      <c r="N1726" s="7" t="s">
        <v>23</v>
      </c>
      <c r="O1726" s="7" t="s">
        <v>27</v>
      </c>
      <c r="P1726" s="7" t="s">
        <v>5101</v>
      </c>
      <c r="Q1726" s="26">
        <v>10</v>
      </c>
      <c r="R1726" s="26">
        <v>1</v>
      </c>
      <c r="S1726" s="40">
        <v>1</v>
      </c>
      <c r="T1726" s="7"/>
      <c r="U1726" s="7" t="s">
        <v>2951</v>
      </c>
      <c r="V1726" s="7" t="str">
        <f>+IF(U1726="","",IF(U1726="FINES",CONCATENATE("R",IF(OR(B1726="16",B1726="21",B1726="22",B1726="23"),"16212223",IF(OR(B1726="15",B1726="17",B1726="24",B1726="25"),"15172425",B1726))),IF(U1726="CEBAS","UNICO",IF(VALUE(B1726)&lt;=11,"AMBA","INTERIOR"))))</f>
        <v>R01</v>
      </c>
      <c r="W1726" s="38" t="str">
        <f>+IF(U1726="","-",CONCATENATE(U1726,"_",V1726))</f>
        <v>FINES_R01</v>
      </c>
      <c r="X1726" s="42">
        <v>0.42899999999999999</v>
      </c>
    </row>
    <row r="1727" spans="1:24">
      <c r="A1727" s="21" t="s">
        <v>5100</v>
      </c>
      <c r="B1727" t="s">
        <v>19</v>
      </c>
      <c r="C1727" t="s">
        <v>252</v>
      </c>
      <c r="D1727" t="s">
        <v>2566</v>
      </c>
      <c r="E1727" s="7" t="s">
        <v>198</v>
      </c>
      <c r="F1727" s="7" t="s">
        <v>198</v>
      </c>
      <c r="G1727" s="7" t="s">
        <v>198</v>
      </c>
      <c r="H1727" s="7" t="s">
        <v>20</v>
      </c>
      <c r="I1727" s="7" t="s">
        <v>5102</v>
      </c>
      <c r="J1727" s="7" t="s">
        <v>21</v>
      </c>
      <c r="L1727" t="s">
        <v>2966</v>
      </c>
      <c r="M1727" s="7" t="s">
        <v>22</v>
      </c>
      <c r="N1727" s="7" t="s">
        <v>23</v>
      </c>
      <c r="O1727" s="7" t="s">
        <v>27</v>
      </c>
      <c r="P1727" s="7" t="s">
        <v>5101</v>
      </c>
      <c r="Q1727" s="26">
        <v>14</v>
      </c>
      <c r="R1727" s="26">
        <v>1</v>
      </c>
      <c r="S1727" s="40">
        <v>1</v>
      </c>
      <c r="T1727" s="7"/>
      <c r="U1727" s="7" t="s">
        <v>2951</v>
      </c>
      <c r="V1727" s="7" t="str">
        <f>+IF(U1727="","",IF(U1727="FINES",CONCATENATE("R",IF(OR(B1727="16",B1727="21",B1727="22",B1727="23"),"16212223",IF(OR(B1727="15",B1727="17",B1727="24",B1727="25"),"15172425",B1727))),IF(U1727="CEBAS","UNICO",IF(VALUE(B1727)&lt;=11,"AMBA","INTERIOR"))))</f>
        <v>R01</v>
      </c>
      <c r="W1727" s="38" t="str">
        <f>+IF(U1727="","-",CONCATENATE(U1727,"_",V1727))</f>
        <v>FINES_R01</v>
      </c>
      <c r="X1727" s="42">
        <v>0.432</v>
      </c>
    </row>
    <row r="1728" spans="1:24">
      <c r="A1728" s="21" t="s">
        <v>5100</v>
      </c>
      <c r="B1728" t="s">
        <v>19</v>
      </c>
      <c r="C1728" t="s">
        <v>1480</v>
      </c>
      <c r="D1728" t="s">
        <v>1481</v>
      </c>
      <c r="E1728" s="7" t="s">
        <v>198</v>
      </c>
      <c r="F1728" s="7" t="s">
        <v>198</v>
      </c>
      <c r="G1728" s="7" t="s">
        <v>198</v>
      </c>
      <c r="H1728" s="7" t="s">
        <v>20</v>
      </c>
      <c r="I1728" s="7" t="s">
        <v>5102</v>
      </c>
      <c r="J1728" s="7" t="s">
        <v>21</v>
      </c>
      <c r="L1728" t="s">
        <v>3119</v>
      </c>
      <c r="M1728" s="7" t="s">
        <v>22</v>
      </c>
      <c r="N1728" s="7" t="s">
        <v>23</v>
      </c>
      <c r="O1728" s="7" t="s">
        <v>27</v>
      </c>
      <c r="P1728" s="7" t="s">
        <v>5101</v>
      </c>
      <c r="Q1728" s="26">
        <v>7</v>
      </c>
      <c r="R1728" s="26">
        <v>1</v>
      </c>
      <c r="S1728" s="40">
        <v>1</v>
      </c>
      <c r="T1728" s="7"/>
      <c r="U1728" s="7" t="s">
        <v>2951</v>
      </c>
      <c r="V1728" s="7" t="str">
        <f>+IF(U1728="","",IF(U1728="FINES",CONCATENATE("R",IF(OR(B1728="16",B1728="21",B1728="22",B1728="23"),"16212223",IF(OR(B1728="15",B1728="17",B1728="24",B1728="25"),"15172425",B1728))),IF(U1728="CEBAS","UNICO",IF(VALUE(B1728)&lt;=11,"AMBA","INTERIOR"))))</f>
        <v>R01</v>
      </c>
      <c r="W1728" s="38" t="str">
        <f>+IF(U1728="","-",CONCATENATE(U1728,"_",V1728))</f>
        <v>FINES_R01</v>
      </c>
      <c r="X1728" s="42">
        <v>0.435</v>
      </c>
    </row>
    <row r="1729" spans="1:24">
      <c r="A1729" s="21" t="s">
        <v>5100</v>
      </c>
      <c r="B1729" t="s">
        <v>19</v>
      </c>
      <c r="C1729" t="s">
        <v>17</v>
      </c>
      <c r="D1729" t="s">
        <v>18</v>
      </c>
      <c r="E1729" s="7" t="s">
        <v>198</v>
      </c>
      <c r="F1729" s="7" t="s">
        <v>198</v>
      </c>
      <c r="G1729" s="7" t="s">
        <v>198</v>
      </c>
      <c r="H1729" s="7" t="s">
        <v>20</v>
      </c>
      <c r="I1729" s="7" t="s">
        <v>5102</v>
      </c>
      <c r="J1729" s="7" t="s">
        <v>21</v>
      </c>
      <c r="L1729" t="s">
        <v>3042</v>
      </c>
      <c r="M1729" s="7" t="s">
        <v>22</v>
      </c>
      <c r="N1729" s="7" t="s">
        <v>23</v>
      </c>
      <c r="O1729" s="7" t="s">
        <v>27</v>
      </c>
      <c r="P1729" s="7" t="s">
        <v>5101</v>
      </c>
      <c r="Q1729" s="26">
        <v>65</v>
      </c>
      <c r="R1729" s="26">
        <v>3</v>
      </c>
      <c r="S1729" s="40">
        <v>1</v>
      </c>
      <c r="T1729" s="7"/>
      <c r="U1729" s="7" t="s">
        <v>2951</v>
      </c>
      <c r="V1729" s="7" t="str">
        <f>+IF(U1729="","",IF(U1729="FINES",CONCATENATE("R",IF(OR(B1729="16",B1729="21",B1729="22",B1729="23"),"16212223",IF(OR(B1729="15",B1729="17",B1729="24",B1729="25"),"15172425",B1729))),IF(U1729="CEBAS","UNICO",IF(VALUE(B1729)&lt;=11,"AMBA","INTERIOR"))))</f>
        <v>R01</v>
      </c>
      <c r="W1729" s="38" t="str">
        <f>+IF(U1729="","-",CONCATENATE(U1729,"_",V1729))</f>
        <v>FINES_R01</v>
      </c>
      <c r="X1729" s="42">
        <v>0.45200000000000001</v>
      </c>
    </row>
    <row r="1730" spans="1:24">
      <c r="A1730" s="21" t="s">
        <v>5100</v>
      </c>
      <c r="B1730" t="s">
        <v>19</v>
      </c>
      <c r="C1730" t="s">
        <v>17</v>
      </c>
      <c r="D1730" t="s">
        <v>18</v>
      </c>
      <c r="E1730" s="7" t="s">
        <v>198</v>
      </c>
      <c r="F1730" s="7" t="s">
        <v>198</v>
      </c>
      <c r="G1730" s="7" t="s">
        <v>198</v>
      </c>
      <c r="H1730" s="7" t="s">
        <v>20</v>
      </c>
      <c r="I1730" s="7" t="s">
        <v>5102</v>
      </c>
      <c r="J1730" s="7" t="s">
        <v>21</v>
      </c>
      <c r="L1730" t="s">
        <v>3066</v>
      </c>
      <c r="M1730" s="7" t="s">
        <v>22</v>
      </c>
      <c r="N1730" s="7" t="s">
        <v>23</v>
      </c>
      <c r="O1730" s="7" t="s">
        <v>27</v>
      </c>
      <c r="P1730" s="7" t="s">
        <v>5101</v>
      </c>
      <c r="Q1730" s="26">
        <v>45</v>
      </c>
      <c r="R1730" s="26">
        <v>3</v>
      </c>
      <c r="S1730" s="40">
        <v>1</v>
      </c>
      <c r="T1730" s="7"/>
      <c r="U1730" s="7" t="s">
        <v>2951</v>
      </c>
      <c r="V1730" s="7" t="str">
        <f>+IF(U1730="","",IF(U1730="FINES",CONCATENATE("R",IF(OR(B1730="16",B1730="21",B1730="22",B1730="23"),"16212223",IF(OR(B1730="15",B1730="17",B1730="24",B1730="25"),"15172425",B1730))),IF(U1730="CEBAS","UNICO",IF(VALUE(B1730)&lt;=11,"AMBA","INTERIOR"))))</f>
        <v>R01</v>
      </c>
      <c r="W1730" s="38" t="str">
        <f>+IF(U1730="","-",CONCATENATE(U1730,"_",V1730))</f>
        <v>FINES_R01</v>
      </c>
      <c r="X1730" s="42">
        <v>0.47199999999999998</v>
      </c>
    </row>
    <row r="1731" spans="1:24">
      <c r="A1731" s="21" t="s">
        <v>5100</v>
      </c>
      <c r="B1731" t="s">
        <v>19</v>
      </c>
      <c r="C1731" t="s">
        <v>17</v>
      </c>
      <c r="D1731" t="s">
        <v>18</v>
      </c>
      <c r="E1731" s="7" t="s">
        <v>198</v>
      </c>
      <c r="F1731" s="7" t="s">
        <v>198</v>
      </c>
      <c r="G1731" s="7" t="s">
        <v>198</v>
      </c>
      <c r="H1731" s="7" t="s">
        <v>20</v>
      </c>
      <c r="I1731" s="7" t="s">
        <v>5102</v>
      </c>
      <c r="J1731" s="7" t="s">
        <v>21</v>
      </c>
      <c r="L1731" t="s">
        <v>3019</v>
      </c>
      <c r="M1731" s="7" t="s">
        <v>22</v>
      </c>
      <c r="N1731" s="7" t="s">
        <v>23</v>
      </c>
      <c r="O1731" s="7" t="s">
        <v>27</v>
      </c>
      <c r="P1731" s="7" t="s">
        <v>5101</v>
      </c>
      <c r="Q1731" s="26">
        <v>23</v>
      </c>
      <c r="R1731" s="26">
        <v>1</v>
      </c>
      <c r="S1731" s="40">
        <v>1</v>
      </c>
      <c r="T1731" s="7"/>
      <c r="U1731" s="7" t="s">
        <v>2951</v>
      </c>
      <c r="V1731" s="7" t="str">
        <f>+IF(U1731="","",IF(U1731="FINES",CONCATENATE("R",IF(OR(B1731="16",B1731="21",B1731="22",B1731="23"),"16212223",IF(OR(B1731="15",B1731="17",B1731="24",B1731="25"),"15172425",B1731))),IF(U1731="CEBAS","UNICO",IF(VALUE(B1731)&lt;=11,"AMBA","INTERIOR"))))</f>
        <v>R01</v>
      </c>
      <c r="W1731" s="38" t="str">
        <f>+IF(U1731="","-",CONCATENATE(U1731,"_",V1731))</f>
        <v>FINES_R01</v>
      </c>
      <c r="X1731" s="42">
        <v>0.497</v>
      </c>
    </row>
    <row r="1732" spans="1:24">
      <c r="A1732" s="21" t="s">
        <v>5100</v>
      </c>
      <c r="B1732" t="s">
        <v>19</v>
      </c>
      <c r="C1732" t="s">
        <v>17</v>
      </c>
      <c r="D1732" t="s">
        <v>18</v>
      </c>
      <c r="E1732" s="7" t="s">
        <v>198</v>
      </c>
      <c r="F1732" s="7" t="s">
        <v>198</v>
      </c>
      <c r="G1732" s="7" t="s">
        <v>198</v>
      </c>
      <c r="H1732" s="7" t="s">
        <v>20</v>
      </c>
      <c r="I1732" s="7" t="s">
        <v>5102</v>
      </c>
      <c r="J1732" s="7" t="s">
        <v>21</v>
      </c>
      <c r="L1732" t="s">
        <v>3007</v>
      </c>
      <c r="M1732" s="7" t="s">
        <v>22</v>
      </c>
      <c r="N1732" s="7" t="s">
        <v>23</v>
      </c>
      <c r="O1732" s="7" t="s">
        <v>27</v>
      </c>
      <c r="P1732" s="7" t="s">
        <v>5101</v>
      </c>
      <c r="Q1732" s="26">
        <v>23</v>
      </c>
      <c r="R1732" s="26">
        <v>1</v>
      </c>
      <c r="S1732" s="40">
        <v>1</v>
      </c>
      <c r="T1732" s="7"/>
      <c r="U1732" s="7" t="s">
        <v>2951</v>
      </c>
      <c r="V1732" s="7" t="str">
        <f>+IF(U1732="","",IF(U1732="FINES",CONCATENATE("R",IF(OR(B1732="16",B1732="21",B1732="22",B1732="23"),"16212223",IF(OR(B1732="15",B1732="17",B1732="24",B1732="25"),"15172425",B1732))),IF(U1732="CEBAS","UNICO",IF(VALUE(B1732)&lt;=11,"AMBA","INTERIOR"))))</f>
        <v>R01</v>
      </c>
      <c r="W1732" s="38" t="str">
        <f>+IF(U1732="","-",CONCATENATE(U1732,"_",V1732))</f>
        <v>FINES_R01</v>
      </c>
      <c r="X1732" s="42">
        <v>0.498</v>
      </c>
    </row>
    <row r="1733" spans="1:24">
      <c r="A1733" s="21" t="s">
        <v>5100</v>
      </c>
      <c r="B1733" t="s">
        <v>19</v>
      </c>
      <c r="C1733" t="s">
        <v>17</v>
      </c>
      <c r="D1733" t="s">
        <v>18</v>
      </c>
      <c r="E1733" s="7" t="s">
        <v>198</v>
      </c>
      <c r="F1733" s="7" t="s">
        <v>198</v>
      </c>
      <c r="G1733" s="7" t="s">
        <v>198</v>
      </c>
      <c r="H1733" s="7" t="s">
        <v>20</v>
      </c>
      <c r="I1733" s="7" t="s">
        <v>5102</v>
      </c>
      <c r="J1733" s="7" t="s">
        <v>21</v>
      </c>
      <c r="L1733" t="s">
        <v>3079</v>
      </c>
      <c r="M1733" s="7" t="s">
        <v>22</v>
      </c>
      <c r="N1733" s="7" t="s">
        <v>23</v>
      </c>
      <c r="O1733" s="7" t="s">
        <v>27</v>
      </c>
      <c r="P1733" s="7" t="s">
        <v>5101</v>
      </c>
      <c r="Q1733" s="26">
        <v>16</v>
      </c>
      <c r="R1733" s="26">
        <v>1</v>
      </c>
      <c r="S1733" s="40">
        <v>1</v>
      </c>
      <c r="T1733" s="7"/>
      <c r="U1733" s="7" t="s">
        <v>2951</v>
      </c>
      <c r="V1733" s="7" t="str">
        <f>+IF(U1733="","",IF(U1733="FINES",CONCATENATE("R",IF(OR(B1733="16",B1733="21",B1733="22",B1733="23"),"16212223",IF(OR(B1733="15",B1733="17",B1733="24",B1733="25"),"15172425",B1733))),IF(U1733="CEBAS","UNICO",IF(VALUE(B1733)&lt;=11,"AMBA","INTERIOR"))))</f>
        <v>R01</v>
      </c>
      <c r="W1733" s="38" t="str">
        <f>+IF(U1733="","-",CONCATENATE(U1733,"_",V1733))</f>
        <v>FINES_R01</v>
      </c>
      <c r="X1733" s="42">
        <v>0.502</v>
      </c>
    </row>
    <row r="1734" spans="1:24">
      <c r="A1734" s="21" t="s">
        <v>5100</v>
      </c>
      <c r="B1734" t="s">
        <v>19</v>
      </c>
      <c r="C1734" t="s">
        <v>17</v>
      </c>
      <c r="D1734" t="s">
        <v>18</v>
      </c>
      <c r="E1734" s="7" t="s">
        <v>198</v>
      </c>
      <c r="F1734" s="7" t="s">
        <v>198</v>
      </c>
      <c r="G1734" s="7" t="s">
        <v>198</v>
      </c>
      <c r="H1734" s="7" t="s">
        <v>20</v>
      </c>
      <c r="I1734" s="7" t="s">
        <v>5102</v>
      </c>
      <c r="J1734" s="7" t="s">
        <v>21</v>
      </c>
      <c r="L1734" t="s">
        <v>3022</v>
      </c>
      <c r="M1734" s="7" t="s">
        <v>22</v>
      </c>
      <c r="N1734" s="7" t="s">
        <v>23</v>
      </c>
      <c r="O1734" s="7" t="s">
        <v>27</v>
      </c>
      <c r="P1734" s="7" t="s">
        <v>5101</v>
      </c>
      <c r="Q1734" s="26">
        <v>72</v>
      </c>
      <c r="R1734" s="26">
        <v>3</v>
      </c>
      <c r="S1734" s="40">
        <v>1</v>
      </c>
      <c r="T1734" s="7"/>
      <c r="U1734" s="7" t="s">
        <v>2951</v>
      </c>
      <c r="V1734" s="7" t="str">
        <f>+IF(U1734="","",IF(U1734="FINES",CONCATENATE("R",IF(OR(B1734="16",B1734="21",B1734="22",B1734="23"),"16212223",IF(OR(B1734="15",B1734="17",B1734="24",B1734="25"),"15172425",B1734))),IF(U1734="CEBAS","UNICO",IF(VALUE(B1734)&lt;=11,"AMBA","INTERIOR"))))</f>
        <v>R01</v>
      </c>
      <c r="W1734" s="38" t="str">
        <f>+IF(U1734="","-",CONCATENATE(U1734,"_",V1734))</f>
        <v>FINES_R01</v>
      </c>
      <c r="X1734" s="42">
        <v>0.51</v>
      </c>
    </row>
    <row r="1735" spans="1:24">
      <c r="A1735" s="21" t="s">
        <v>5100</v>
      </c>
      <c r="B1735" t="s">
        <v>19</v>
      </c>
      <c r="C1735" t="s">
        <v>449</v>
      </c>
      <c r="D1735" t="s">
        <v>2590</v>
      </c>
      <c r="E1735" s="7" t="s">
        <v>198</v>
      </c>
      <c r="F1735" s="7" t="s">
        <v>198</v>
      </c>
      <c r="G1735" s="7" t="s">
        <v>198</v>
      </c>
      <c r="H1735" s="7" t="s">
        <v>20</v>
      </c>
      <c r="I1735" s="7" t="s">
        <v>5102</v>
      </c>
      <c r="J1735" s="7" t="s">
        <v>21</v>
      </c>
      <c r="L1735" t="s">
        <v>3002</v>
      </c>
      <c r="M1735" s="7" t="s">
        <v>22</v>
      </c>
      <c r="N1735" s="7" t="s">
        <v>23</v>
      </c>
      <c r="O1735" s="7" t="s">
        <v>27</v>
      </c>
      <c r="P1735" s="7" t="s">
        <v>5101</v>
      </c>
      <c r="Q1735" s="26">
        <v>46</v>
      </c>
      <c r="R1735" s="26">
        <v>2</v>
      </c>
      <c r="S1735" s="40">
        <v>1</v>
      </c>
      <c r="T1735" s="7"/>
      <c r="U1735" s="7" t="s">
        <v>2951</v>
      </c>
      <c r="V1735" s="7" t="str">
        <f>+IF(U1735="","",IF(U1735="FINES",CONCATENATE("R",IF(OR(B1735="16",B1735="21",B1735="22",B1735="23"),"16212223",IF(OR(B1735="15",B1735="17",B1735="24",B1735="25"),"15172425",B1735))),IF(U1735="CEBAS","UNICO",IF(VALUE(B1735)&lt;=11,"AMBA","INTERIOR"))))</f>
        <v>R01</v>
      </c>
      <c r="W1735" s="38" t="str">
        <f>+IF(U1735="","-",CONCATENATE(U1735,"_",V1735))</f>
        <v>FINES_R01</v>
      </c>
      <c r="X1735" s="42">
        <v>0.51500000000000001</v>
      </c>
    </row>
    <row r="1736" spans="1:24">
      <c r="A1736" s="21" t="s">
        <v>5100</v>
      </c>
      <c r="B1736" t="s">
        <v>19</v>
      </c>
      <c r="C1736" t="s">
        <v>1480</v>
      </c>
      <c r="D1736" t="s">
        <v>1481</v>
      </c>
      <c r="E1736" s="7" t="s">
        <v>198</v>
      </c>
      <c r="F1736" s="7" t="s">
        <v>198</v>
      </c>
      <c r="G1736" s="7" t="s">
        <v>198</v>
      </c>
      <c r="H1736" s="7" t="s">
        <v>20</v>
      </c>
      <c r="I1736" s="7" t="s">
        <v>5102</v>
      </c>
      <c r="J1736" s="7" t="s">
        <v>21</v>
      </c>
      <c r="L1736" t="s">
        <v>3108</v>
      </c>
      <c r="M1736" s="7" t="s">
        <v>22</v>
      </c>
      <c r="N1736" s="7" t="s">
        <v>23</v>
      </c>
      <c r="O1736" s="7" t="s">
        <v>27</v>
      </c>
      <c r="P1736" s="7" t="s">
        <v>5101</v>
      </c>
      <c r="Q1736" s="26">
        <v>13</v>
      </c>
      <c r="R1736" s="26">
        <v>1</v>
      </c>
      <c r="S1736" s="40">
        <v>1</v>
      </c>
      <c r="T1736" s="7"/>
      <c r="U1736" s="7" t="s">
        <v>2951</v>
      </c>
      <c r="V1736" s="7" t="str">
        <f>+IF(U1736="","",IF(U1736="FINES",CONCATENATE("R",IF(OR(B1736="16",B1736="21",B1736="22",B1736="23"),"16212223",IF(OR(B1736="15",B1736="17",B1736="24",B1736="25"),"15172425",B1736))),IF(U1736="CEBAS","UNICO",IF(VALUE(B1736)&lt;=11,"AMBA","INTERIOR"))))</f>
        <v>R01</v>
      </c>
      <c r="W1736" s="38" t="str">
        <f>+IF(U1736="","-",CONCATENATE(U1736,"_",V1736))</f>
        <v>FINES_R01</v>
      </c>
      <c r="X1736" s="42">
        <v>0.52</v>
      </c>
    </row>
    <row r="1737" spans="1:24">
      <c r="A1737" s="21" t="s">
        <v>5100</v>
      </c>
      <c r="B1737" t="s">
        <v>19</v>
      </c>
      <c r="C1737" t="s">
        <v>17</v>
      </c>
      <c r="D1737" t="s">
        <v>18</v>
      </c>
      <c r="E1737" s="7" t="s">
        <v>198</v>
      </c>
      <c r="F1737" s="7" t="s">
        <v>198</v>
      </c>
      <c r="G1737" s="7" t="s">
        <v>198</v>
      </c>
      <c r="H1737" s="7" t="s">
        <v>20</v>
      </c>
      <c r="I1737" s="7" t="s">
        <v>5102</v>
      </c>
      <c r="J1737" s="7" t="s">
        <v>21</v>
      </c>
      <c r="L1737" t="s">
        <v>3090</v>
      </c>
      <c r="M1737" s="7" t="s">
        <v>22</v>
      </c>
      <c r="N1737" s="7" t="s">
        <v>23</v>
      </c>
      <c r="O1737" s="7" t="s">
        <v>27</v>
      </c>
      <c r="P1737" s="7" t="s">
        <v>5101</v>
      </c>
      <c r="Q1737" s="26">
        <v>19</v>
      </c>
      <c r="R1737" s="26">
        <v>1</v>
      </c>
      <c r="S1737" s="40">
        <v>1</v>
      </c>
      <c r="T1737" s="7"/>
      <c r="U1737" s="7" t="s">
        <v>2951</v>
      </c>
      <c r="V1737" s="7" t="str">
        <f>+IF(U1737="","",IF(U1737="FINES",CONCATENATE("R",IF(OR(B1737="16",B1737="21",B1737="22",B1737="23"),"16212223",IF(OR(B1737="15",B1737="17",B1737="24",B1737="25"),"15172425",B1737))),IF(U1737="CEBAS","UNICO",IF(VALUE(B1737)&lt;=11,"AMBA","INTERIOR"))))</f>
        <v>R01</v>
      </c>
      <c r="W1737" s="38" t="str">
        <f>+IF(U1737="","-",CONCATENATE(U1737,"_",V1737))</f>
        <v>FINES_R01</v>
      </c>
      <c r="X1737" s="42">
        <v>0.52300000000000002</v>
      </c>
    </row>
    <row r="1738" spans="1:24">
      <c r="A1738" s="21" t="s">
        <v>5100</v>
      </c>
      <c r="B1738" t="s">
        <v>19</v>
      </c>
      <c r="C1738" t="s">
        <v>17</v>
      </c>
      <c r="D1738" t="s">
        <v>18</v>
      </c>
      <c r="E1738" s="7" t="s">
        <v>198</v>
      </c>
      <c r="F1738" s="7" t="s">
        <v>198</v>
      </c>
      <c r="G1738" s="7" t="s">
        <v>198</v>
      </c>
      <c r="H1738" s="7" t="s">
        <v>20</v>
      </c>
      <c r="I1738" s="7" t="s">
        <v>5102</v>
      </c>
      <c r="J1738" s="7" t="s">
        <v>21</v>
      </c>
      <c r="L1738" t="s">
        <v>3092</v>
      </c>
      <c r="M1738" s="7" t="s">
        <v>22</v>
      </c>
      <c r="N1738" s="7" t="s">
        <v>23</v>
      </c>
      <c r="O1738" s="7" t="s">
        <v>27</v>
      </c>
      <c r="P1738" s="7" t="s">
        <v>5101</v>
      </c>
      <c r="Q1738" s="26">
        <v>54</v>
      </c>
      <c r="R1738" s="26">
        <v>2</v>
      </c>
      <c r="S1738" s="40">
        <v>1</v>
      </c>
      <c r="T1738" s="7"/>
      <c r="U1738" s="7" t="s">
        <v>2951</v>
      </c>
      <c r="V1738" s="7" t="str">
        <f>+IF(U1738="","",IF(U1738="FINES",CONCATENATE("R",IF(OR(B1738="16",B1738="21",B1738="22",B1738="23"),"16212223",IF(OR(B1738="15",B1738="17",B1738="24",B1738="25"),"15172425",B1738))),IF(U1738="CEBAS","UNICO",IF(VALUE(B1738)&lt;=11,"AMBA","INTERIOR"))))</f>
        <v>R01</v>
      </c>
      <c r="W1738" s="38" t="str">
        <f>+IF(U1738="","-",CONCATENATE(U1738,"_",V1738))</f>
        <v>FINES_R01</v>
      </c>
      <c r="X1738" s="42">
        <v>0.52300000000000002</v>
      </c>
    </row>
    <row r="1739" spans="1:24">
      <c r="A1739" s="21" t="s">
        <v>5100</v>
      </c>
      <c r="B1739" t="s">
        <v>19</v>
      </c>
      <c r="C1739" t="s">
        <v>599</v>
      </c>
      <c r="D1739" t="s">
        <v>601</v>
      </c>
      <c r="E1739" s="7" t="s">
        <v>198</v>
      </c>
      <c r="F1739" s="7" t="s">
        <v>198</v>
      </c>
      <c r="G1739" s="7" t="s">
        <v>198</v>
      </c>
      <c r="H1739" s="7" t="s">
        <v>20</v>
      </c>
      <c r="I1739" s="7" t="s">
        <v>5102</v>
      </c>
      <c r="J1739" s="7" t="s">
        <v>21</v>
      </c>
      <c r="L1739" t="s">
        <v>2988</v>
      </c>
      <c r="M1739" s="7" t="s">
        <v>22</v>
      </c>
      <c r="N1739" s="7" t="s">
        <v>23</v>
      </c>
      <c r="O1739" s="7" t="s">
        <v>27</v>
      </c>
      <c r="P1739" s="7" t="s">
        <v>5101</v>
      </c>
      <c r="Q1739" s="26">
        <v>11</v>
      </c>
      <c r="R1739" s="26">
        <v>1</v>
      </c>
      <c r="S1739" s="40">
        <v>1</v>
      </c>
      <c r="T1739" s="7"/>
      <c r="U1739" s="7" t="s">
        <v>2951</v>
      </c>
      <c r="V1739" s="7" t="str">
        <f>+IF(U1739="","",IF(U1739="FINES",CONCATENATE("R",IF(OR(B1739="16",B1739="21",B1739="22",B1739="23"),"16212223",IF(OR(B1739="15",B1739="17",B1739="24",B1739="25"),"15172425",B1739))),IF(U1739="CEBAS","UNICO",IF(VALUE(B1739)&lt;=11,"AMBA","INTERIOR"))))</f>
        <v>R01</v>
      </c>
      <c r="W1739" s="38" t="str">
        <f>+IF(U1739="","-",CONCATENATE(U1739,"_",V1739))</f>
        <v>FINES_R01</v>
      </c>
      <c r="X1739" s="42">
        <v>0.52700000000000002</v>
      </c>
    </row>
    <row r="1740" spans="1:24">
      <c r="A1740" s="21" t="s">
        <v>5100</v>
      </c>
      <c r="B1740" t="s">
        <v>19</v>
      </c>
      <c r="C1740" t="s">
        <v>449</v>
      </c>
      <c r="D1740" t="s">
        <v>2590</v>
      </c>
      <c r="E1740" s="7" t="s">
        <v>198</v>
      </c>
      <c r="F1740" s="7" t="s">
        <v>198</v>
      </c>
      <c r="G1740" s="7" t="s">
        <v>198</v>
      </c>
      <c r="H1740" s="7" t="s">
        <v>20</v>
      </c>
      <c r="I1740" s="7" t="s">
        <v>5102</v>
      </c>
      <c r="J1740" s="7" t="s">
        <v>21</v>
      </c>
      <c r="L1740" t="s">
        <v>2994</v>
      </c>
      <c r="M1740" s="7" t="s">
        <v>22</v>
      </c>
      <c r="N1740" s="7" t="s">
        <v>23</v>
      </c>
      <c r="O1740" s="7" t="s">
        <v>27</v>
      </c>
      <c r="P1740" s="7" t="s">
        <v>5101</v>
      </c>
      <c r="Q1740" s="26">
        <v>22</v>
      </c>
      <c r="R1740" s="26">
        <v>1</v>
      </c>
      <c r="S1740" s="40">
        <v>1</v>
      </c>
      <c r="T1740" s="7"/>
      <c r="U1740" s="7" t="s">
        <v>2951</v>
      </c>
      <c r="V1740" s="7" t="str">
        <f>+IF(U1740="","",IF(U1740="FINES",CONCATENATE("R",IF(OR(B1740="16",B1740="21",B1740="22",B1740="23"),"16212223",IF(OR(B1740="15",B1740="17",B1740="24",B1740="25"),"15172425",B1740))),IF(U1740="CEBAS","UNICO",IF(VALUE(B1740)&lt;=11,"AMBA","INTERIOR"))))</f>
        <v>R01</v>
      </c>
      <c r="W1740" s="38" t="str">
        <f>+IF(U1740="","-",CONCATENATE(U1740,"_",V1740))</f>
        <v>FINES_R01</v>
      </c>
      <c r="X1740" s="42">
        <v>0.52900000000000003</v>
      </c>
    </row>
    <row r="1741" spans="1:24">
      <c r="A1741" s="21" t="s">
        <v>5100</v>
      </c>
      <c r="B1741" t="s">
        <v>19</v>
      </c>
      <c r="C1741" t="s">
        <v>17</v>
      </c>
      <c r="D1741" t="s">
        <v>18</v>
      </c>
      <c r="E1741" s="7" t="s">
        <v>198</v>
      </c>
      <c r="F1741" s="7" t="s">
        <v>198</v>
      </c>
      <c r="G1741" s="7" t="s">
        <v>198</v>
      </c>
      <c r="H1741" s="7" t="s">
        <v>20</v>
      </c>
      <c r="I1741" s="7" t="s">
        <v>5102</v>
      </c>
      <c r="J1741" s="7" t="s">
        <v>21</v>
      </c>
      <c r="L1741" t="s">
        <v>3038</v>
      </c>
      <c r="M1741" s="7" t="s">
        <v>22</v>
      </c>
      <c r="N1741" s="7" t="s">
        <v>23</v>
      </c>
      <c r="O1741" s="7" t="s">
        <v>27</v>
      </c>
      <c r="P1741" s="7" t="s">
        <v>5101</v>
      </c>
      <c r="Q1741" s="26">
        <v>24</v>
      </c>
      <c r="R1741" s="26">
        <v>1</v>
      </c>
      <c r="S1741" s="40">
        <v>1</v>
      </c>
      <c r="T1741" s="7"/>
      <c r="U1741" s="7" t="s">
        <v>2951</v>
      </c>
      <c r="V1741" s="7" t="str">
        <f>+IF(U1741="","",IF(U1741="FINES",CONCATENATE("R",IF(OR(B1741="16",B1741="21",B1741="22",B1741="23"),"16212223",IF(OR(B1741="15",B1741="17",B1741="24",B1741="25"),"15172425",B1741))),IF(U1741="CEBAS","UNICO",IF(VALUE(B1741)&lt;=11,"AMBA","INTERIOR"))))</f>
        <v>R01</v>
      </c>
      <c r="W1741" s="38" t="str">
        <f>+IF(U1741="","-",CONCATENATE(U1741,"_",V1741))</f>
        <v>FINES_R01</v>
      </c>
      <c r="X1741" s="42">
        <v>0.53300000000000003</v>
      </c>
    </row>
    <row r="1742" spans="1:24">
      <c r="A1742" s="21" t="s">
        <v>5100</v>
      </c>
      <c r="B1742" t="s">
        <v>19</v>
      </c>
      <c r="C1742" t="s">
        <v>644</v>
      </c>
      <c r="D1742" t="s">
        <v>2862</v>
      </c>
      <c r="E1742" s="7" t="s">
        <v>198</v>
      </c>
      <c r="F1742" s="7" t="s">
        <v>198</v>
      </c>
      <c r="G1742" s="7" t="s">
        <v>198</v>
      </c>
      <c r="H1742" s="7" t="s">
        <v>20</v>
      </c>
      <c r="I1742" s="7" t="s">
        <v>5102</v>
      </c>
      <c r="J1742" s="7" t="s">
        <v>21</v>
      </c>
      <c r="L1742" t="s">
        <v>3125</v>
      </c>
      <c r="M1742" s="7" t="s">
        <v>22</v>
      </c>
      <c r="N1742" s="7" t="s">
        <v>23</v>
      </c>
      <c r="O1742" s="7" t="s">
        <v>27</v>
      </c>
      <c r="P1742" s="7" t="s">
        <v>5101</v>
      </c>
      <c r="Q1742" s="26">
        <v>17</v>
      </c>
      <c r="R1742" s="26">
        <v>1</v>
      </c>
      <c r="S1742" s="40">
        <v>1</v>
      </c>
      <c r="T1742" s="7"/>
      <c r="U1742" s="7" t="s">
        <v>2951</v>
      </c>
      <c r="V1742" s="7" t="str">
        <f>+IF(U1742="","",IF(U1742="FINES",CONCATENATE("R",IF(OR(B1742="16",B1742="21",B1742="22",B1742="23"),"16212223",IF(OR(B1742="15",B1742="17",B1742="24",B1742="25"),"15172425",B1742))),IF(U1742="CEBAS","UNICO",IF(VALUE(B1742)&lt;=11,"AMBA","INTERIOR"))))</f>
        <v>R01</v>
      </c>
      <c r="W1742" s="38" t="str">
        <f>+IF(U1742="","-",CONCATENATE(U1742,"_",V1742))</f>
        <v>FINES_R01</v>
      </c>
      <c r="X1742" s="42">
        <v>0.53500000000000003</v>
      </c>
    </row>
    <row r="1743" spans="1:24">
      <c r="A1743" s="21" t="s">
        <v>5100</v>
      </c>
      <c r="B1743" t="s">
        <v>19</v>
      </c>
      <c r="C1743" t="s">
        <v>1480</v>
      </c>
      <c r="D1743" t="s">
        <v>1481</v>
      </c>
      <c r="E1743" s="7" t="s">
        <v>198</v>
      </c>
      <c r="F1743" s="7" t="s">
        <v>198</v>
      </c>
      <c r="G1743" s="7" t="s">
        <v>198</v>
      </c>
      <c r="H1743" s="7" t="s">
        <v>20</v>
      </c>
      <c r="I1743" s="7" t="s">
        <v>5102</v>
      </c>
      <c r="J1743" s="7" t="s">
        <v>21</v>
      </c>
      <c r="L1743" t="s">
        <v>3102</v>
      </c>
      <c r="M1743" s="7" t="s">
        <v>22</v>
      </c>
      <c r="N1743" s="7" t="s">
        <v>23</v>
      </c>
      <c r="O1743" s="7" t="s">
        <v>27</v>
      </c>
      <c r="P1743" s="7" t="s">
        <v>5101</v>
      </c>
      <c r="Q1743" s="26">
        <v>15</v>
      </c>
      <c r="R1743" s="26">
        <v>1</v>
      </c>
      <c r="S1743" s="40">
        <v>1</v>
      </c>
      <c r="T1743" s="7"/>
      <c r="U1743" s="7" t="s">
        <v>2951</v>
      </c>
      <c r="V1743" s="7" t="str">
        <f>+IF(U1743="","",IF(U1743="FINES",CONCATENATE("R",IF(OR(B1743="16",B1743="21",B1743="22",B1743="23"),"16212223",IF(OR(B1743="15",B1743="17",B1743="24",B1743="25"),"15172425",B1743))),IF(U1743="CEBAS","UNICO",IF(VALUE(B1743)&lt;=11,"AMBA","INTERIOR"))))</f>
        <v>R01</v>
      </c>
      <c r="W1743" s="38" t="str">
        <f>+IF(U1743="","-",CONCATENATE(U1743,"_",V1743))</f>
        <v>FINES_R01</v>
      </c>
      <c r="X1743" s="42">
        <v>0.53800000000000003</v>
      </c>
    </row>
    <row r="1744" spans="1:24">
      <c r="A1744" s="21" t="s">
        <v>5100</v>
      </c>
      <c r="B1744" t="s">
        <v>19</v>
      </c>
      <c r="C1744" t="s">
        <v>599</v>
      </c>
      <c r="D1744" t="s">
        <v>601</v>
      </c>
      <c r="E1744" s="7" t="s">
        <v>198</v>
      </c>
      <c r="F1744" s="7" t="s">
        <v>198</v>
      </c>
      <c r="G1744" s="7" t="s">
        <v>198</v>
      </c>
      <c r="H1744" s="7" t="s">
        <v>20</v>
      </c>
      <c r="I1744" s="7" t="s">
        <v>5102</v>
      </c>
      <c r="J1744" s="7" t="s">
        <v>21</v>
      </c>
      <c r="L1744" t="s">
        <v>2987</v>
      </c>
      <c r="M1744" s="7" t="s">
        <v>22</v>
      </c>
      <c r="N1744" s="7" t="s">
        <v>23</v>
      </c>
      <c r="O1744" s="7" t="s">
        <v>27</v>
      </c>
      <c r="P1744" s="7" t="s">
        <v>5101</v>
      </c>
      <c r="Q1744" s="26">
        <v>32</v>
      </c>
      <c r="R1744" s="26">
        <v>2</v>
      </c>
      <c r="S1744" s="40">
        <v>1</v>
      </c>
      <c r="T1744" s="7"/>
      <c r="U1744" s="7" t="s">
        <v>2951</v>
      </c>
      <c r="V1744" s="7" t="str">
        <f>+IF(U1744="","",IF(U1744="FINES",CONCATENATE("R",IF(OR(B1744="16",B1744="21",B1744="22",B1744="23"),"16212223",IF(OR(B1744="15",B1744="17",B1744="24",B1744="25"),"15172425",B1744))),IF(U1744="CEBAS","UNICO",IF(VALUE(B1744)&lt;=11,"AMBA","INTERIOR"))))</f>
        <v>R01</v>
      </c>
      <c r="W1744" s="38" t="str">
        <f>+IF(U1744="","-",CONCATENATE(U1744,"_",V1744))</f>
        <v>FINES_R01</v>
      </c>
      <c r="X1744" s="42">
        <v>0.55200000000000005</v>
      </c>
    </row>
    <row r="1745" spans="1:24">
      <c r="A1745" s="21" t="s">
        <v>5100</v>
      </c>
      <c r="B1745" t="s">
        <v>19</v>
      </c>
      <c r="C1745" t="s">
        <v>17</v>
      </c>
      <c r="D1745" t="s">
        <v>18</v>
      </c>
      <c r="E1745" s="7" t="s">
        <v>198</v>
      </c>
      <c r="F1745" s="7" t="s">
        <v>198</v>
      </c>
      <c r="G1745" s="7" t="s">
        <v>198</v>
      </c>
      <c r="H1745" s="7" t="s">
        <v>20</v>
      </c>
      <c r="I1745" s="7" t="s">
        <v>5102</v>
      </c>
      <c r="J1745" s="7" t="s">
        <v>21</v>
      </c>
      <c r="L1745" t="s">
        <v>3087</v>
      </c>
      <c r="M1745" s="7" t="s">
        <v>22</v>
      </c>
      <c r="N1745" s="7" t="s">
        <v>23</v>
      </c>
      <c r="O1745" s="7" t="s">
        <v>27</v>
      </c>
      <c r="P1745" s="7" t="s">
        <v>5101</v>
      </c>
      <c r="Q1745" s="26">
        <v>0</v>
      </c>
      <c r="R1745" s="26">
        <v>1</v>
      </c>
      <c r="S1745" s="40">
        <v>1</v>
      </c>
      <c r="T1745" s="7"/>
      <c r="U1745" s="7" t="s">
        <v>2951</v>
      </c>
      <c r="V1745" s="7" t="str">
        <f>+IF(U1745="","",IF(U1745="FINES",CONCATENATE("R",IF(OR(B1745="16",B1745="21",B1745="22",B1745="23"),"16212223",IF(OR(B1745="15",B1745="17",B1745="24",B1745="25"),"15172425",B1745))),IF(U1745="CEBAS","UNICO",IF(VALUE(B1745)&lt;=11,"AMBA","INTERIOR"))))</f>
        <v>R01</v>
      </c>
      <c r="W1745" s="38" t="str">
        <f>+IF(U1745="","-",CONCATENATE(U1745,"_",V1745))</f>
        <v>FINES_R01</v>
      </c>
      <c r="X1745" s="42">
        <v>0.55300000000000005</v>
      </c>
    </row>
    <row r="1746" spans="1:24">
      <c r="A1746" s="21" t="s">
        <v>5100</v>
      </c>
      <c r="B1746" t="s">
        <v>19</v>
      </c>
      <c r="C1746" t="s">
        <v>17</v>
      </c>
      <c r="D1746" t="s">
        <v>18</v>
      </c>
      <c r="E1746" s="7" t="s">
        <v>198</v>
      </c>
      <c r="F1746" s="7" t="s">
        <v>198</v>
      </c>
      <c r="G1746" s="7" t="s">
        <v>198</v>
      </c>
      <c r="H1746" s="7" t="s">
        <v>20</v>
      </c>
      <c r="I1746" s="7" t="s">
        <v>5102</v>
      </c>
      <c r="J1746" s="7" t="s">
        <v>21</v>
      </c>
      <c r="L1746" t="s">
        <v>3017</v>
      </c>
      <c r="M1746" s="7" t="s">
        <v>22</v>
      </c>
      <c r="N1746" s="7" t="s">
        <v>23</v>
      </c>
      <c r="O1746" s="7" t="s">
        <v>27</v>
      </c>
      <c r="P1746" s="7" t="s">
        <v>5101</v>
      </c>
      <c r="Q1746" s="26">
        <v>0</v>
      </c>
      <c r="R1746" s="26">
        <v>1</v>
      </c>
      <c r="S1746" s="40">
        <v>1</v>
      </c>
      <c r="T1746" s="7"/>
      <c r="U1746" s="7" t="s">
        <v>2951</v>
      </c>
      <c r="V1746" s="7" t="str">
        <f>+IF(U1746="","",IF(U1746="FINES",CONCATENATE("R",IF(OR(B1746="16",B1746="21",B1746="22",B1746="23"),"16212223",IF(OR(B1746="15",B1746="17",B1746="24",B1746="25"),"15172425",B1746))),IF(U1746="CEBAS","UNICO",IF(VALUE(B1746)&lt;=11,"AMBA","INTERIOR"))))</f>
        <v>R01</v>
      </c>
      <c r="W1746" s="38" t="str">
        <f>+IF(U1746="","-",CONCATENATE(U1746,"_",V1746))</f>
        <v>FINES_R01</v>
      </c>
      <c r="X1746" s="42">
        <v>0.57499999999999996</v>
      </c>
    </row>
    <row r="1747" spans="1:24">
      <c r="A1747" s="21" t="s">
        <v>5100</v>
      </c>
      <c r="B1747" t="s">
        <v>19</v>
      </c>
      <c r="C1747" t="s">
        <v>17</v>
      </c>
      <c r="D1747" t="s">
        <v>18</v>
      </c>
      <c r="E1747" s="7" t="s">
        <v>198</v>
      </c>
      <c r="F1747" s="7" t="s">
        <v>198</v>
      </c>
      <c r="G1747" s="7" t="s">
        <v>198</v>
      </c>
      <c r="H1747" s="7" t="s">
        <v>20</v>
      </c>
      <c r="I1747" s="7" t="s">
        <v>5102</v>
      </c>
      <c r="J1747" s="7" t="s">
        <v>21</v>
      </c>
      <c r="L1747" t="s">
        <v>3039</v>
      </c>
      <c r="M1747" s="7" t="s">
        <v>22</v>
      </c>
      <c r="N1747" s="7" t="s">
        <v>23</v>
      </c>
      <c r="O1747" s="7" t="s">
        <v>27</v>
      </c>
      <c r="P1747" s="7" t="s">
        <v>5101</v>
      </c>
      <c r="Q1747" s="26">
        <v>20</v>
      </c>
      <c r="R1747" s="26">
        <v>1</v>
      </c>
      <c r="S1747" s="40">
        <v>1</v>
      </c>
      <c r="T1747" s="7"/>
      <c r="U1747" s="7" t="s">
        <v>2951</v>
      </c>
      <c r="V1747" s="7" t="str">
        <f>+IF(U1747="","",IF(U1747="FINES",CONCATENATE("R",IF(OR(B1747="16",B1747="21",B1747="22",B1747="23"),"16212223",IF(OR(B1747="15",B1747="17",B1747="24",B1747="25"),"15172425",B1747))),IF(U1747="CEBAS","UNICO",IF(VALUE(B1747)&lt;=11,"AMBA","INTERIOR"))))</f>
        <v>R01</v>
      </c>
      <c r="W1747" s="38" t="str">
        <f>+IF(U1747="","-",CONCATENATE(U1747,"_",V1747))</f>
        <v>FINES_R01</v>
      </c>
      <c r="X1747" s="42">
        <v>0.57799999999999996</v>
      </c>
    </row>
    <row r="1748" spans="1:24">
      <c r="A1748" s="21" t="s">
        <v>5100</v>
      </c>
      <c r="B1748" t="s">
        <v>19</v>
      </c>
      <c r="C1748" t="s">
        <v>1480</v>
      </c>
      <c r="D1748" t="s">
        <v>1481</v>
      </c>
      <c r="E1748" s="7" t="s">
        <v>198</v>
      </c>
      <c r="F1748" s="7" t="s">
        <v>198</v>
      </c>
      <c r="G1748" s="7" t="s">
        <v>198</v>
      </c>
      <c r="H1748" s="7" t="s">
        <v>20</v>
      </c>
      <c r="I1748" s="7" t="s">
        <v>5102</v>
      </c>
      <c r="J1748" s="7" t="s">
        <v>21</v>
      </c>
      <c r="L1748" t="s">
        <v>3118</v>
      </c>
      <c r="M1748" s="7" t="s">
        <v>22</v>
      </c>
      <c r="N1748" s="7" t="s">
        <v>23</v>
      </c>
      <c r="O1748" s="7" t="s">
        <v>27</v>
      </c>
      <c r="P1748" s="7" t="s">
        <v>5101</v>
      </c>
      <c r="Q1748" s="26">
        <v>15</v>
      </c>
      <c r="R1748" s="26">
        <v>1</v>
      </c>
      <c r="S1748" s="40">
        <v>1</v>
      </c>
      <c r="T1748" s="7"/>
      <c r="U1748" s="7" t="s">
        <v>2951</v>
      </c>
      <c r="V1748" s="7" t="str">
        <f>+IF(U1748="","",IF(U1748="FINES",CONCATENATE("R",IF(OR(B1748="16",B1748="21",B1748="22",B1748="23"),"16212223",IF(OR(B1748="15",B1748="17",B1748="24",B1748="25"),"15172425",B1748))),IF(U1748="CEBAS","UNICO",IF(VALUE(B1748)&lt;=11,"AMBA","INTERIOR"))))</f>
        <v>R01</v>
      </c>
      <c r="W1748" s="38" t="str">
        <f>+IF(U1748="","-",CONCATENATE(U1748,"_",V1748))</f>
        <v>FINES_R01</v>
      </c>
      <c r="X1748" s="42">
        <v>0.58399999999999996</v>
      </c>
    </row>
    <row r="1749" spans="1:24">
      <c r="A1749" s="21" t="s">
        <v>5100</v>
      </c>
      <c r="B1749" t="s">
        <v>19</v>
      </c>
      <c r="C1749" t="s">
        <v>17</v>
      </c>
      <c r="D1749" t="s">
        <v>18</v>
      </c>
      <c r="E1749" s="7" t="s">
        <v>198</v>
      </c>
      <c r="F1749" s="7" t="s">
        <v>198</v>
      </c>
      <c r="G1749" s="7" t="s">
        <v>198</v>
      </c>
      <c r="H1749" s="7" t="s">
        <v>20</v>
      </c>
      <c r="I1749" s="7" t="s">
        <v>5102</v>
      </c>
      <c r="J1749" s="7" t="s">
        <v>21</v>
      </c>
      <c r="L1749" t="s">
        <v>3043</v>
      </c>
      <c r="M1749" s="7" t="s">
        <v>22</v>
      </c>
      <c r="N1749" s="7" t="s">
        <v>23</v>
      </c>
      <c r="O1749" s="7" t="s">
        <v>27</v>
      </c>
      <c r="P1749" s="7" t="s">
        <v>5101</v>
      </c>
      <c r="Q1749" s="26">
        <v>17</v>
      </c>
      <c r="R1749" s="26">
        <v>1</v>
      </c>
      <c r="S1749" s="40">
        <v>1</v>
      </c>
      <c r="T1749" s="7"/>
      <c r="U1749" s="7" t="s">
        <v>2951</v>
      </c>
      <c r="V1749" s="7" t="str">
        <f>+IF(U1749="","",IF(U1749="FINES",CONCATENATE("R",IF(OR(B1749="16",B1749="21",B1749="22",B1749="23"),"16212223",IF(OR(B1749="15",B1749="17",B1749="24",B1749="25"),"15172425",B1749))),IF(U1749="CEBAS","UNICO",IF(VALUE(B1749)&lt;=11,"AMBA","INTERIOR"))))</f>
        <v>R01</v>
      </c>
      <c r="W1749" s="38" t="str">
        <f>+IF(U1749="","-",CONCATENATE(U1749,"_",V1749))</f>
        <v>FINES_R01</v>
      </c>
      <c r="X1749" s="42">
        <v>0.58799999999999997</v>
      </c>
    </row>
    <row r="1750" spans="1:24">
      <c r="A1750" s="21" t="s">
        <v>5100</v>
      </c>
      <c r="B1750" t="s">
        <v>19</v>
      </c>
      <c r="C1750" t="s">
        <v>1480</v>
      </c>
      <c r="D1750" t="s">
        <v>1481</v>
      </c>
      <c r="E1750" s="7" t="s">
        <v>198</v>
      </c>
      <c r="F1750" s="7" t="s">
        <v>198</v>
      </c>
      <c r="G1750" s="7" t="s">
        <v>198</v>
      </c>
      <c r="H1750" s="7" t="s">
        <v>20</v>
      </c>
      <c r="I1750" s="7" t="s">
        <v>5102</v>
      </c>
      <c r="J1750" s="7" t="s">
        <v>21</v>
      </c>
      <c r="L1750" t="s">
        <v>3106</v>
      </c>
      <c r="M1750" s="7" t="s">
        <v>22</v>
      </c>
      <c r="N1750" s="7" t="s">
        <v>23</v>
      </c>
      <c r="O1750" s="7" t="s">
        <v>27</v>
      </c>
      <c r="P1750" s="7" t="s">
        <v>5101</v>
      </c>
      <c r="Q1750" s="26">
        <v>33</v>
      </c>
      <c r="R1750" s="26">
        <v>2</v>
      </c>
      <c r="S1750" s="40">
        <v>1</v>
      </c>
      <c r="T1750" s="7"/>
      <c r="U1750" s="7" t="s">
        <v>2951</v>
      </c>
      <c r="V1750" s="7" t="str">
        <f>+IF(U1750="","",IF(U1750="FINES",CONCATENATE("R",IF(OR(B1750="16",B1750="21",B1750="22",B1750="23"),"16212223",IF(OR(B1750="15",B1750="17",B1750="24",B1750="25"),"15172425",B1750))),IF(U1750="CEBAS","UNICO",IF(VALUE(B1750)&lt;=11,"AMBA","INTERIOR"))))</f>
        <v>R01</v>
      </c>
      <c r="W1750" s="38" t="str">
        <f>+IF(U1750="","-",CONCATENATE(U1750,"_",V1750))</f>
        <v>FINES_R01</v>
      </c>
      <c r="X1750" s="42">
        <v>0.60099999999999998</v>
      </c>
    </row>
    <row r="1751" spans="1:24">
      <c r="A1751" s="21" t="s">
        <v>5100</v>
      </c>
      <c r="B1751" t="s">
        <v>19</v>
      </c>
      <c r="C1751" t="s">
        <v>449</v>
      </c>
      <c r="D1751" t="s">
        <v>2590</v>
      </c>
      <c r="E1751" s="7" t="s">
        <v>198</v>
      </c>
      <c r="F1751" s="7" t="s">
        <v>198</v>
      </c>
      <c r="G1751" s="7" t="s">
        <v>198</v>
      </c>
      <c r="H1751" s="7" t="s">
        <v>20</v>
      </c>
      <c r="I1751" s="7" t="s">
        <v>5102</v>
      </c>
      <c r="J1751" s="7" t="s">
        <v>21</v>
      </c>
      <c r="L1751" t="s">
        <v>3006</v>
      </c>
      <c r="M1751" s="7" t="s">
        <v>22</v>
      </c>
      <c r="N1751" s="7" t="s">
        <v>23</v>
      </c>
      <c r="O1751" s="7" t="s">
        <v>27</v>
      </c>
      <c r="P1751" s="7" t="s">
        <v>5101</v>
      </c>
      <c r="Q1751" s="26">
        <v>37</v>
      </c>
      <c r="R1751" s="26">
        <v>3</v>
      </c>
      <c r="S1751" s="40">
        <v>1</v>
      </c>
      <c r="T1751" s="7"/>
      <c r="U1751" s="7" t="s">
        <v>2951</v>
      </c>
      <c r="V1751" s="7" t="str">
        <f>+IF(U1751="","",IF(U1751="FINES",CONCATENATE("R",IF(OR(B1751="16",B1751="21",B1751="22",B1751="23"),"16212223",IF(OR(B1751="15",B1751="17",B1751="24",B1751="25"),"15172425",B1751))),IF(U1751="CEBAS","UNICO",IF(VALUE(B1751)&lt;=11,"AMBA","INTERIOR"))))</f>
        <v>R01</v>
      </c>
      <c r="W1751" s="38" t="str">
        <f>+IF(U1751="","-",CONCATENATE(U1751,"_",V1751))</f>
        <v>FINES_R01</v>
      </c>
      <c r="X1751" s="42">
        <v>0.61099999999999999</v>
      </c>
    </row>
    <row r="1752" spans="1:24">
      <c r="A1752" s="21" t="s">
        <v>5100</v>
      </c>
      <c r="B1752" t="s">
        <v>19</v>
      </c>
      <c r="C1752" t="s">
        <v>1480</v>
      </c>
      <c r="D1752" t="s">
        <v>1481</v>
      </c>
      <c r="E1752" s="7" t="s">
        <v>198</v>
      </c>
      <c r="F1752" s="7" t="s">
        <v>198</v>
      </c>
      <c r="G1752" s="7" t="s">
        <v>198</v>
      </c>
      <c r="H1752" s="7" t="s">
        <v>20</v>
      </c>
      <c r="I1752" s="7" t="s">
        <v>5102</v>
      </c>
      <c r="J1752" s="7" t="s">
        <v>21</v>
      </c>
      <c r="L1752" t="s">
        <v>3110</v>
      </c>
      <c r="M1752" s="7" t="s">
        <v>22</v>
      </c>
      <c r="N1752" s="7" t="s">
        <v>23</v>
      </c>
      <c r="O1752" s="7" t="s">
        <v>27</v>
      </c>
      <c r="P1752" s="7" t="s">
        <v>5101</v>
      </c>
      <c r="Q1752" s="26">
        <v>98</v>
      </c>
      <c r="R1752" s="26">
        <v>4</v>
      </c>
      <c r="S1752" s="40">
        <v>1</v>
      </c>
      <c r="T1752" s="7"/>
      <c r="U1752" s="7" t="s">
        <v>2951</v>
      </c>
      <c r="V1752" s="7" t="str">
        <f>+IF(U1752="","",IF(U1752="FINES",CONCATENATE("R",IF(OR(B1752="16",B1752="21",B1752="22",B1752="23"),"16212223",IF(OR(B1752="15",B1752="17",B1752="24",B1752="25"),"15172425",B1752))),IF(U1752="CEBAS","UNICO",IF(VALUE(B1752)&lt;=11,"AMBA","INTERIOR"))))</f>
        <v>R01</v>
      </c>
      <c r="W1752" s="38" t="str">
        <f>+IF(U1752="","-",CONCATENATE(U1752,"_",V1752))</f>
        <v>FINES_R01</v>
      </c>
      <c r="X1752" s="42">
        <v>0.61399999999999999</v>
      </c>
    </row>
    <row r="1753" spans="1:24">
      <c r="A1753" s="21" t="s">
        <v>5100</v>
      </c>
      <c r="B1753" t="s">
        <v>19</v>
      </c>
      <c r="C1753" t="s">
        <v>17</v>
      </c>
      <c r="D1753" t="s">
        <v>18</v>
      </c>
      <c r="E1753" s="7" t="s">
        <v>198</v>
      </c>
      <c r="F1753" s="7" t="s">
        <v>198</v>
      </c>
      <c r="G1753" s="7" t="s">
        <v>198</v>
      </c>
      <c r="H1753" s="7" t="s">
        <v>20</v>
      </c>
      <c r="I1753" s="7" t="s">
        <v>5102</v>
      </c>
      <c r="J1753" s="7" t="s">
        <v>21</v>
      </c>
      <c r="L1753" t="s">
        <v>3095</v>
      </c>
      <c r="M1753" s="7" t="s">
        <v>22</v>
      </c>
      <c r="N1753" s="7" t="s">
        <v>23</v>
      </c>
      <c r="O1753" s="7" t="s">
        <v>27</v>
      </c>
      <c r="P1753" s="7" t="s">
        <v>5101</v>
      </c>
      <c r="Q1753" s="26">
        <v>9</v>
      </c>
      <c r="R1753" s="26">
        <v>1</v>
      </c>
      <c r="S1753" s="40">
        <v>1</v>
      </c>
      <c r="T1753" s="7"/>
      <c r="U1753" s="7" t="s">
        <v>2951</v>
      </c>
      <c r="V1753" s="7" t="str">
        <f>+IF(U1753="","",IF(U1753="FINES",CONCATENATE("R",IF(OR(B1753="16",B1753="21",B1753="22",B1753="23"),"16212223",IF(OR(B1753="15",B1753="17",B1753="24",B1753="25"),"15172425",B1753))),IF(U1753="CEBAS","UNICO",IF(VALUE(B1753)&lt;=11,"AMBA","INTERIOR"))))</f>
        <v>R01</v>
      </c>
      <c r="W1753" s="38" t="str">
        <f>+IF(U1753="","-",CONCATENATE(U1753,"_",V1753))</f>
        <v>FINES_R01</v>
      </c>
      <c r="X1753" s="42">
        <v>0.626</v>
      </c>
    </row>
    <row r="1754" spans="1:24">
      <c r="A1754" s="21" t="s">
        <v>5100</v>
      </c>
      <c r="B1754" t="s">
        <v>19</v>
      </c>
      <c r="C1754" t="s">
        <v>252</v>
      </c>
      <c r="D1754" t="s">
        <v>2566</v>
      </c>
      <c r="E1754" s="7" t="s">
        <v>198</v>
      </c>
      <c r="F1754" s="7" t="s">
        <v>198</v>
      </c>
      <c r="G1754" s="7" t="s">
        <v>198</v>
      </c>
      <c r="H1754" s="7" t="s">
        <v>20</v>
      </c>
      <c r="I1754" s="7" t="s">
        <v>5102</v>
      </c>
      <c r="J1754" s="7" t="s">
        <v>21</v>
      </c>
      <c r="L1754" t="s">
        <v>2963</v>
      </c>
      <c r="M1754" s="7" t="s">
        <v>22</v>
      </c>
      <c r="N1754" s="7" t="s">
        <v>23</v>
      </c>
      <c r="O1754" s="7" t="s">
        <v>27</v>
      </c>
      <c r="P1754" s="7" t="s">
        <v>5101</v>
      </c>
      <c r="Q1754" s="26">
        <v>13</v>
      </c>
      <c r="R1754" s="26">
        <v>1</v>
      </c>
      <c r="S1754" s="40">
        <v>1</v>
      </c>
      <c r="T1754" s="7"/>
      <c r="U1754" s="7" t="s">
        <v>2951</v>
      </c>
      <c r="V1754" s="7" t="str">
        <f>+IF(U1754="","",IF(U1754="FINES",CONCATENATE("R",IF(OR(B1754="16",B1754="21",B1754="22",B1754="23"),"16212223",IF(OR(B1754="15",B1754="17",B1754="24",B1754="25"),"15172425",B1754))),IF(U1754="CEBAS","UNICO",IF(VALUE(B1754)&lt;=11,"AMBA","INTERIOR"))))</f>
        <v>R01</v>
      </c>
      <c r="W1754" s="38" t="str">
        <f>+IF(U1754="","-",CONCATENATE(U1754,"_",V1754))</f>
        <v>FINES_R01</v>
      </c>
      <c r="X1754" s="42">
        <v>0.63500000000000001</v>
      </c>
    </row>
    <row r="1755" spans="1:24">
      <c r="A1755" s="21" t="s">
        <v>5100</v>
      </c>
      <c r="B1755" t="s">
        <v>19</v>
      </c>
      <c r="C1755" t="s">
        <v>17</v>
      </c>
      <c r="D1755" t="s">
        <v>18</v>
      </c>
      <c r="E1755" s="7" t="s">
        <v>198</v>
      </c>
      <c r="F1755" s="7" t="s">
        <v>198</v>
      </c>
      <c r="G1755" s="7" t="s">
        <v>198</v>
      </c>
      <c r="H1755" s="7" t="s">
        <v>20</v>
      </c>
      <c r="I1755" s="7" t="s">
        <v>5102</v>
      </c>
      <c r="J1755" s="7" t="s">
        <v>21</v>
      </c>
      <c r="L1755" t="s">
        <v>3088</v>
      </c>
      <c r="M1755" s="7" t="s">
        <v>22</v>
      </c>
      <c r="N1755" s="7" t="s">
        <v>23</v>
      </c>
      <c r="O1755" s="7" t="s">
        <v>27</v>
      </c>
      <c r="P1755" s="7" t="s">
        <v>5101</v>
      </c>
      <c r="Q1755" s="26">
        <v>27</v>
      </c>
      <c r="R1755" s="26">
        <v>1</v>
      </c>
      <c r="S1755" s="40">
        <v>1</v>
      </c>
      <c r="T1755" s="7"/>
      <c r="U1755" s="7" t="s">
        <v>2951</v>
      </c>
      <c r="V1755" s="7" t="str">
        <f>+IF(U1755="","",IF(U1755="FINES",CONCATENATE("R",IF(OR(B1755="16",B1755="21",B1755="22",B1755="23"),"16212223",IF(OR(B1755="15",B1755="17",B1755="24",B1755="25"),"15172425",B1755))),IF(U1755="CEBAS","UNICO",IF(VALUE(B1755)&lt;=11,"AMBA","INTERIOR"))))</f>
        <v>R01</v>
      </c>
      <c r="W1755" s="38" t="str">
        <f>+IF(U1755="","-",CONCATENATE(U1755,"_",V1755))</f>
        <v>FINES_R01</v>
      </c>
      <c r="X1755" s="42">
        <v>0.63900000000000001</v>
      </c>
    </row>
    <row r="1756" spans="1:24">
      <c r="A1756" s="21" t="s">
        <v>5100</v>
      </c>
      <c r="B1756" t="s">
        <v>19</v>
      </c>
      <c r="C1756" t="s">
        <v>644</v>
      </c>
      <c r="D1756" t="s">
        <v>2862</v>
      </c>
      <c r="E1756" s="7" t="s">
        <v>198</v>
      </c>
      <c r="F1756" s="7" t="s">
        <v>198</v>
      </c>
      <c r="G1756" s="7" t="s">
        <v>198</v>
      </c>
      <c r="H1756" s="7" t="s">
        <v>20</v>
      </c>
      <c r="I1756" s="7" t="s">
        <v>5102</v>
      </c>
      <c r="J1756" s="7" t="s">
        <v>21</v>
      </c>
      <c r="L1756" t="s">
        <v>3120</v>
      </c>
      <c r="M1756" s="7" t="s">
        <v>22</v>
      </c>
      <c r="N1756" s="7" t="s">
        <v>23</v>
      </c>
      <c r="O1756" s="7" t="s">
        <v>27</v>
      </c>
      <c r="P1756" s="7" t="s">
        <v>5101</v>
      </c>
      <c r="Q1756" s="26">
        <v>13</v>
      </c>
      <c r="R1756" s="26">
        <v>1</v>
      </c>
      <c r="S1756" s="40">
        <v>1</v>
      </c>
      <c r="T1756" s="7"/>
      <c r="U1756" s="7" t="s">
        <v>2951</v>
      </c>
      <c r="V1756" s="7" t="str">
        <f>+IF(U1756="","",IF(U1756="FINES",CONCATENATE("R",IF(OR(B1756="16",B1756="21",B1756="22",B1756="23"),"16212223",IF(OR(B1756="15",B1756="17",B1756="24",B1756="25"),"15172425",B1756))),IF(U1756="CEBAS","UNICO",IF(VALUE(B1756)&lt;=11,"AMBA","INTERIOR"))))</f>
        <v>R01</v>
      </c>
      <c r="W1756" s="38" t="str">
        <f>+IF(U1756="","-",CONCATENATE(U1756,"_",V1756))</f>
        <v>FINES_R01</v>
      </c>
      <c r="X1756" s="42">
        <v>0.64</v>
      </c>
    </row>
    <row r="1757" spans="1:24">
      <c r="A1757" s="21" t="s">
        <v>5100</v>
      </c>
      <c r="B1757" t="s">
        <v>19</v>
      </c>
      <c r="C1757" t="s">
        <v>644</v>
      </c>
      <c r="D1757" t="s">
        <v>2862</v>
      </c>
      <c r="E1757" s="7" t="s">
        <v>198</v>
      </c>
      <c r="F1757" s="7" t="s">
        <v>198</v>
      </c>
      <c r="G1757" s="7" t="s">
        <v>198</v>
      </c>
      <c r="H1757" s="7" t="s">
        <v>20</v>
      </c>
      <c r="I1757" s="7" t="s">
        <v>5102</v>
      </c>
      <c r="J1757" s="7" t="s">
        <v>21</v>
      </c>
      <c r="L1757" t="s">
        <v>3127</v>
      </c>
      <c r="M1757" s="7" t="s">
        <v>22</v>
      </c>
      <c r="N1757" s="7" t="s">
        <v>23</v>
      </c>
      <c r="O1757" s="7" t="s">
        <v>27</v>
      </c>
      <c r="P1757" s="7" t="s">
        <v>5101</v>
      </c>
      <c r="Q1757" s="26">
        <v>1</v>
      </c>
      <c r="R1757" s="26">
        <v>1</v>
      </c>
      <c r="S1757" s="40">
        <v>1</v>
      </c>
      <c r="T1757" s="7"/>
      <c r="U1757" s="7" t="s">
        <v>2951</v>
      </c>
      <c r="V1757" s="7" t="str">
        <f>+IF(U1757="","",IF(U1757="FINES",CONCATENATE("R",IF(OR(B1757="16",B1757="21",B1757="22",B1757="23"),"16212223",IF(OR(B1757="15",B1757="17",B1757="24",B1757="25"),"15172425",B1757))),IF(U1757="CEBAS","UNICO",IF(VALUE(B1757)&lt;=11,"AMBA","INTERIOR"))))</f>
        <v>R01</v>
      </c>
      <c r="W1757" s="38" t="str">
        <f>+IF(U1757="","-",CONCATENATE(U1757,"_",V1757))</f>
        <v>FINES_R01</v>
      </c>
      <c r="X1757" s="42">
        <v>0.65400000000000003</v>
      </c>
    </row>
    <row r="1758" spans="1:24">
      <c r="A1758" s="21" t="s">
        <v>5100</v>
      </c>
      <c r="B1758" t="s">
        <v>19</v>
      </c>
      <c r="C1758" t="s">
        <v>17</v>
      </c>
      <c r="D1758" t="s">
        <v>18</v>
      </c>
      <c r="E1758" s="7" t="s">
        <v>198</v>
      </c>
      <c r="F1758" s="7" t="s">
        <v>198</v>
      </c>
      <c r="G1758" s="7" t="s">
        <v>198</v>
      </c>
      <c r="H1758" s="7" t="s">
        <v>20</v>
      </c>
      <c r="I1758" s="7" t="s">
        <v>5102</v>
      </c>
      <c r="J1758" s="7" t="s">
        <v>21</v>
      </c>
      <c r="L1758" t="s">
        <v>3031</v>
      </c>
      <c r="M1758" s="7" t="s">
        <v>22</v>
      </c>
      <c r="N1758" s="7" t="s">
        <v>23</v>
      </c>
      <c r="O1758" s="7" t="s">
        <v>27</v>
      </c>
      <c r="P1758" s="7" t="s">
        <v>5101</v>
      </c>
      <c r="Q1758" s="26">
        <v>22</v>
      </c>
      <c r="R1758" s="26">
        <v>1</v>
      </c>
      <c r="S1758" s="40">
        <v>1</v>
      </c>
      <c r="T1758" s="7"/>
      <c r="U1758" s="7" t="s">
        <v>2951</v>
      </c>
      <c r="V1758" s="7" t="str">
        <f>+IF(U1758="","",IF(U1758="FINES",CONCATENATE("R",IF(OR(B1758="16",B1758="21",B1758="22",B1758="23"),"16212223",IF(OR(B1758="15",B1758="17",B1758="24",B1758="25"),"15172425",B1758))),IF(U1758="CEBAS","UNICO",IF(VALUE(B1758)&lt;=11,"AMBA","INTERIOR"))))</f>
        <v>R01</v>
      </c>
      <c r="W1758" s="38" t="str">
        <f>+IF(U1758="","-",CONCATENATE(U1758,"_",V1758))</f>
        <v>FINES_R01</v>
      </c>
      <c r="X1758" s="42">
        <v>0.65600000000000003</v>
      </c>
    </row>
    <row r="1759" spans="1:24">
      <c r="A1759" s="21" t="s">
        <v>5100</v>
      </c>
      <c r="B1759" t="s">
        <v>19</v>
      </c>
      <c r="C1759" t="s">
        <v>17</v>
      </c>
      <c r="D1759" t="s">
        <v>18</v>
      </c>
      <c r="E1759" s="7" t="s">
        <v>198</v>
      </c>
      <c r="F1759" s="7" t="s">
        <v>198</v>
      </c>
      <c r="G1759" s="7" t="s">
        <v>198</v>
      </c>
      <c r="H1759" s="7" t="s">
        <v>20</v>
      </c>
      <c r="I1759" s="7" t="s">
        <v>5102</v>
      </c>
      <c r="J1759" s="7" t="s">
        <v>21</v>
      </c>
      <c r="L1759" t="s">
        <v>3083</v>
      </c>
      <c r="M1759" s="7" t="s">
        <v>22</v>
      </c>
      <c r="N1759" s="7" t="s">
        <v>23</v>
      </c>
      <c r="O1759" s="7" t="s">
        <v>27</v>
      </c>
      <c r="P1759" s="7" t="s">
        <v>5101</v>
      </c>
      <c r="Q1759" s="26">
        <v>16</v>
      </c>
      <c r="R1759" s="26">
        <v>1</v>
      </c>
      <c r="S1759" s="40">
        <v>1</v>
      </c>
      <c r="T1759" s="7"/>
      <c r="U1759" s="7" t="s">
        <v>2951</v>
      </c>
      <c r="V1759" s="7" t="str">
        <f>+IF(U1759="","",IF(U1759="FINES",CONCATENATE("R",IF(OR(B1759="16",B1759="21",B1759="22",B1759="23"),"16212223",IF(OR(B1759="15",B1759="17",B1759="24",B1759="25"),"15172425",B1759))),IF(U1759="CEBAS","UNICO",IF(VALUE(B1759)&lt;=11,"AMBA","INTERIOR"))))</f>
        <v>R01</v>
      </c>
      <c r="W1759" s="38" t="str">
        <f>+IF(U1759="","-",CONCATENATE(U1759,"_",V1759))</f>
        <v>FINES_R01</v>
      </c>
      <c r="X1759" s="42">
        <v>0.68300000000000005</v>
      </c>
    </row>
    <row r="1760" spans="1:24">
      <c r="A1760" s="21" t="s">
        <v>5100</v>
      </c>
      <c r="B1760" t="s">
        <v>19</v>
      </c>
      <c r="C1760" t="s">
        <v>644</v>
      </c>
      <c r="D1760" t="s">
        <v>2862</v>
      </c>
      <c r="E1760" s="7" t="s">
        <v>198</v>
      </c>
      <c r="F1760" s="7" t="s">
        <v>198</v>
      </c>
      <c r="G1760" s="7" t="s">
        <v>198</v>
      </c>
      <c r="H1760" s="7" t="s">
        <v>20</v>
      </c>
      <c r="I1760" s="7" t="s">
        <v>5102</v>
      </c>
      <c r="J1760" s="7" t="s">
        <v>21</v>
      </c>
      <c r="L1760" t="s">
        <v>3126</v>
      </c>
      <c r="M1760" s="7" t="s">
        <v>22</v>
      </c>
      <c r="N1760" s="7" t="s">
        <v>23</v>
      </c>
      <c r="O1760" s="7" t="s">
        <v>27</v>
      </c>
      <c r="P1760" s="7" t="s">
        <v>5101</v>
      </c>
      <c r="Q1760" s="26">
        <v>7</v>
      </c>
      <c r="R1760" s="26">
        <v>1</v>
      </c>
      <c r="S1760" s="40">
        <v>1</v>
      </c>
      <c r="T1760" s="7"/>
      <c r="U1760" s="7" t="s">
        <v>2951</v>
      </c>
      <c r="V1760" s="7" t="str">
        <f>+IF(U1760="","",IF(U1760="FINES",CONCATENATE("R",IF(OR(B1760="16",B1760="21",B1760="22",B1760="23"),"16212223",IF(OR(B1760="15",B1760="17",B1760="24",B1760="25"),"15172425",B1760))),IF(U1760="CEBAS","UNICO",IF(VALUE(B1760)&lt;=11,"AMBA","INTERIOR"))))</f>
        <v>R01</v>
      </c>
      <c r="W1760" s="38" t="str">
        <f>+IF(U1760="","-",CONCATENATE(U1760,"_",V1760))</f>
        <v>FINES_R01</v>
      </c>
      <c r="X1760" s="42">
        <v>0.68500000000000005</v>
      </c>
    </row>
    <row r="1761" spans="1:24">
      <c r="A1761" s="21" t="s">
        <v>5100</v>
      </c>
      <c r="B1761" t="s">
        <v>19</v>
      </c>
      <c r="C1761" t="s">
        <v>1480</v>
      </c>
      <c r="D1761" t="s">
        <v>1481</v>
      </c>
      <c r="E1761" s="7" t="s">
        <v>198</v>
      </c>
      <c r="F1761" s="7" t="s">
        <v>198</v>
      </c>
      <c r="G1761" s="7" t="s">
        <v>198</v>
      </c>
      <c r="H1761" s="7" t="s">
        <v>20</v>
      </c>
      <c r="I1761" s="7" t="s">
        <v>5102</v>
      </c>
      <c r="J1761" s="7" t="s">
        <v>21</v>
      </c>
      <c r="L1761" t="s">
        <v>3105</v>
      </c>
      <c r="M1761" s="7" t="s">
        <v>22</v>
      </c>
      <c r="N1761" s="7" t="s">
        <v>23</v>
      </c>
      <c r="O1761" s="7" t="s">
        <v>27</v>
      </c>
      <c r="P1761" s="7" t="s">
        <v>5101</v>
      </c>
      <c r="Q1761" s="26">
        <v>27</v>
      </c>
      <c r="R1761" s="26">
        <v>2</v>
      </c>
      <c r="S1761" s="40">
        <v>1</v>
      </c>
      <c r="T1761" s="7"/>
      <c r="U1761" s="7" t="s">
        <v>2951</v>
      </c>
      <c r="V1761" s="7" t="str">
        <f>+IF(U1761="","",IF(U1761="FINES",CONCATENATE("R",IF(OR(B1761="16",B1761="21",B1761="22",B1761="23"),"16212223",IF(OR(B1761="15",B1761="17",B1761="24",B1761="25"),"15172425",B1761))),IF(U1761="CEBAS","UNICO",IF(VALUE(B1761)&lt;=11,"AMBA","INTERIOR"))))</f>
        <v>R01</v>
      </c>
      <c r="W1761" s="38" t="str">
        <f>+IF(U1761="","-",CONCATENATE(U1761,"_",V1761))</f>
        <v>FINES_R01</v>
      </c>
      <c r="X1761" s="42">
        <v>0.69</v>
      </c>
    </row>
    <row r="1762" spans="1:24">
      <c r="A1762" s="21" t="s">
        <v>5100</v>
      </c>
      <c r="B1762" t="s">
        <v>19</v>
      </c>
      <c r="C1762" t="s">
        <v>599</v>
      </c>
      <c r="D1762" t="s">
        <v>601</v>
      </c>
      <c r="E1762" s="7" t="s">
        <v>198</v>
      </c>
      <c r="F1762" s="7" t="s">
        <v>198</v>
      </c>
      <c r="G1762" s="7" t="s">
        <v>198</v>
      </c>
      <c r="H1762" s="7" t="s">
        <v>20</v>
      </c>
      <c r="I1762" s="7" t="s">
        <v>5102</v>
      </c>
      <c r="J1762" s="7" t="s">
        <v>21</v>
      </c>
      <c r="L1762" t="s">
        <v>2982</v>
      </c>
      <c r="M1762" s="7" t="s">
        <v>22</v>
      </c>
      <c r="N1762" s="7" t="s">
        <v>23</v>
      </c>
      <c r="O1762" s="7" t="s">
        <v>27</v>
      </c>
      <c r="P1762" s="7" t="s">
        <v>5101</v>
      </c>
      <c r="Q1762" s="26">
        <v>14</v>
      </c>
      <c r="R1762" s="26">
        <v>1</v>
      </c>
      <c r="S1762" s="40">
        <v>1</v>
      </c>
      <c r="T1762" s="7"/>
      <c r="U1762" s="7" t="s">
        <v>2951</v>
      </c>
      <c r="V1762" s="7" t="str">
        <f>+IF(U1762="","",IF(U1762="FINES",CONCATENATE("R",IF(OR(B1762="16",B1762="21",B1762="22",B1762="23"),"16212223",IF(OR(B1762="15",B1762="17",B1762="24",B1762="25"),"15172425",B1762))),IF(U1762="CEBAS","UNICO",IF(VALUE(B1762)&lt;=11,"AMBA","INTERIOR"))))</f>
        <v>R01</v>
      </c>
      <c r="W1762" s="38" t="str">
        <f>+IF(U1762="","-",CONCATENATE(U1762,"_",V1762))</f>
        <v>FINES_R01</v>
      </c>
      <c r="X1762" s="42">
        <v>0.69099999999999995</v>
      </c>
    </row>
    <row r="1763" spans="1:24">
      <c r="A1763" s="21" t="s">
        <v>5100</v>
      </c>
      <c r="B1763" t="s">
        <v>19</v>
      </c>
      <c r="C1763" t="s">
        <v>599</v>
      </c>
      <c r="D1763" t="s">
        <v>601</v>
      </c>
      <c r="E1763" s="7" t="s">
        <v>198</v>
      </c>
      <c r="F1763" s="7" t="s">
        <v>198</v>
      </c>
      <c r="G1763" s="7" t="s">
        <v>198</v>
      </c>
      <c r="H1763" s="7" t="s">
        <v>20</v>
      </c>
      <c r="I1763" s="7" t="s">
        <v>5102</v>
      </c>
      <c r="J1763" s="7" t="s">
        <v>21</v>
      </c>
      <c r="L1763" t="s">
        <v>2980</v>
      </c>
      <c r="M1763" s="7" t="s">
        <v>22</v>
      </c>
      <c r="N1763" s="7" t="s">
        <v>23</v>
      </c>
      <c r="O1763" s="7" t="s">
        <v>27</v>
      </c>
      <c r="P1763" s="7" t="s">
        <v>5101</v>
      </c>
      <c r="Q1763" s="26">
        <v>0</v>
      </c>
      <c r="R1763" s="26">
        <v>1</v>
      </c>
      <c r="S1763" s="40">
        <v>1</v>
      </c>
      <c r="T1763" s="7"/>
      <c r="U1763" s="7" t="s">
        <v>2951</v>
      </c>
      <c r="V1763" s="7" t="str">
        <f>+IF(U1763="","",IF(U1763="FINES",CONCATENATE("R",IF(OR(B1763="16",B1763="21",B1763="22",B1763="23"),"16212223",IF(OR(B1763="15",B1763="17",B1763="24",B1763="25"),"15172425",B1763))),IF(U1763="CEBAS","UNICO",IF(VALUE(B1763)&lt;=11,"AMBA","INTERIOR"))))</f>
        <v>R01</v>
      </c>
      <c r="W1763" s="38" t="str">
        <f>+IF(U1763="","-",CONCATENATE(U1763,"_",V1763))</f>
        <v>FINES_R01</v>
      </c>
      <c r="X1763" s="42">
        <v>0.7</v>
      </c>
    </row>
    <row r="1764" spans="1:24">
      <c r="A1764" s="21" t="s">
        <v>5100</v>
      </c>
      <c r="B1764" t="s">
        <v>19</v>
      </c>
      <c r="C1764" t="s">
        <v>17</v>
      </c>
      <c r="D1764" t="s">
        <v>18</v>
      </c>
      <c r="E1764" s="7" t="s">
        <v>198</v>
      </c>
      <c r="F1764" s="7" t="s">
        <v>198</v>
      </c>
      <c r="G1764" s="7" t="s">
        <v>198</v>
      </c>
      <c r="H1764" s="7" t="s">
        <v>20</v>
      </c>
      <c r="I1764" s="7" t="s">
        <v>5102</v>
      </c>
      <c r="J1764" s="7" t="s">
        <v>21</v>
      </c>
      <c r="L1764" t="s">
        <v>3098</v>
      </c>
      <c r="M1764" s="7" t="s">
        <v>22</v>
      </c>
      <c r="N1764" s="7" t="s">
        <v>23</v>
      </c>
      <c r="O1764" s="7" t="s">
        <v>27</v>
      </c>
      <c r="P1764" s="7" t="s">
        <v>5101</v>
      </c>
      <c r="Q1764" s="26">
        <v>9</v>
      </c>
      <c r="R1764" s="26">
        <v>1</v>
      </c>
      <c r="S1764" s="40">
        <v>1</v>
      </c>
      <c r="T1764" s="7"/>
      <c r="U1764" s="7" t="s">
        <v>2951</v>
      </c>
      <c r="V1764" s="7" t="str">
        <f>+IF(U1764="","",IF(U1764="FINES",CONCATENATE("R",IF(OR(B1764="16",B1764="21",B1764="22",B1764="23"),"16212223",IF(OR(B1764="15",B1764="17",B1764="24",B1764="25"),"15172425",B1764))),IF(U1764="CEBAS","UNICO",IF(VALUE(B1764)&lt;=11,"AMBA","INTERIOR"))))</f>
        <v>R01</v>
      </c>
      <c r="W1764" s="38" t="str">
        <f>+IF(U1764="","-",CONCATENATE(U1764,"_",V1764))</f>
        <v>FINES_R01</v>
      </c>
      <c r="X1764" s="42">
        <v>0.72399999999999998</v>
      </c>
    </row>
    <row r="1765" spans="1:24">
      <c r="A1765" s="21" t="s">
        <v>5100</v>
      </c>
      <c r="B1765" t="s">
        <v>19</v>
      </c>
      <c r="C1765" t="s">
        <v>449</v>
      </c>
      <c r="D1765" t="s">
        <v>2590</v>
      </c>
      <c r="E1765" s="7" t="s">
        <v>198</v>
      </c>
      <c r="F1765" s="7" t="s">
        <v>198</v>
      </c>
      <c r="G1765" s="7" t="s">
        <v>198</v>
      </c>
      <c r="H1765" s="7" t="s">
        <v>20</v>
      </c>
      <c r="I1765" s="7" t="s">
        <v>5102</v>
      </c>
      <c r="J1765" s="7" t="s">
        <v>21</v>
      </c>
      <c r="L1765" t="s">
        <v>2991</v>
      </c>
      <c r="M1765" s="7" t="s">
        <v>22</v>
      </c>
      <c r="N1765" s="7" t="s">
        <v>23</v>
      </c>
      <c r="O1765" s="7" t="s">
        <v>27</v>
      </c>
      <c r="P1765" s="7" t="s">
        <v>5101</v>
      </c>
      <c r="Q1765" s="26">
        <v>17</v>
      </c>
      <c r="R1765" s="26">
        <v>1</v>
      </c>
      <c r="S1765" s="40">
        <v>1</v>
      </c>
      <c r="T1765" s="7"/>
      <c r="U1765" s="7" t="s">
        <v>2951</v>
      </c>
      <c r="V1765" s="7" t="str">
        <f>+IF(U1765="","",IF(U1765="FINES",CONCATENATE("R",IF(OR(B1765="16",B1765="21",B1765="22",B1765="23"),"16212223",IF(OR(B1765="15",B1765="17",B1765="24",B1765="25"),"15172425",B1765))),IF(U1765="CEBAS","UNICO",IF(VALUE(B1765)&lt;=11,"AMBA","INTERIOR"))))</f>
        <v>R01</v>
      </c>
      <c r="W1765" s="38" t="str">
        <f>+IF(U1765="","-",CONCATENATE(U1765,"_",V1765))</f>
        <v>FINES_R01</v>
      </c>
      <c r="X1765" s="42">
        <v>0.72799999999999998</v>
      </c>
    </row>
    <row r="1766" spans="1:24">
      <c r="A1766" s="21" t="s">
        <v>5100</v>
      </c>
      <c r="B1766" t="s">
        <v>19</v>
      </c>
      <c r="C1766" t="s">
        <v>17</v>
      </c>
      <c r="D1766" t="s">
        <v>18</v>
      </c>
      <c r="E1766" s="7" t="s">
        <v>198</v>
      </c>
      <c r="F1766" s="7" t="s">
        <v>198</v>
      </c>
      <c r="G1766" s="7" t="s">
        <v>198</v>
      </c>
      <c r="H1766" s="7" t="s">
        <v>20</v>
      </c>
      <c r="I1766" s="7" t="s">
        <v>5102</v>
      </c>
      <c r="J1766" s="7" t="s">
        <v>21</v>
      </c>
      <c r="L1766" t="s">
        <v>3062</v>
      </c>
      <c r="M1766" s="7" t="s">
        <v>22</v>
      </c>
      <c r="N1766" s="7" t="s">
        <v>23</v>
      </c>
      <c r="O1766" s="7" t="s">
        <v>27</v>
      </c>
      <c r="P1766" s="7" t="s">
        <v>5101</v>
      </c>
      <c r="Q1766" s="26">
        <v>88</v>
      </c>
      <c r="R1766" s="26">
        <v>3</v>
      </c>
      <c r="S1766" s="40">
        <v>1</v>
      </c>
      <c r="T1766" s="7"/>
      <c r="U1766" s="7" t="s">
        <v>2951</v>
      </c>
      <c r="V1766" s="7" t="str">
        <f>+IF(U1766="","",IF(U1766="FINES",CONCATENATE("R",IF(OR(B1766="16",B1766="21",B1766="22",B1766="23"),"16212223",IF(OR(B1766="15",B1766="17",B1766="24",B1766="25"),"15172425",B1766))),IF(U1766="CEBAS","UNICO",IF(VALUE(B1766)&lt;=11,"AMBA","INTERIOR"))))</f>
        <v>R01</v>
      </c>
      <c r="W1766" s="38" t="str">
        <f>+IF(U1766="","-",CONCATENATE(U1766,"_",V1766))</f>
        <v>FINES_R01</v>
      </c>
      <c r="X1766" s="42">
        <v>0.73899999999999999</v>
      </c>
    </row>
    <row r="1767" spans="1:24">
      <c r="A1767" s="21" t="s">
        <v>5100</v>
      </c>
      <c r="B1767" t="s">
        <v>19</v>
      </c>
      <c r="C1767" t="s">
        <v>17</v>
      </c>
      <c r="D1767" t="s">
        <v>18</v>
      </c>
      <c r="E1767" s="7" t="s">
        <v>198</v>
      </c>
      <c r="F1767" s="7" t="s">
        <v>198</v>
      </c>
      <c r="G1767" s="7" t="s">
        <v>198</v>
      </c>
      <c r="H1767" s="7" t="s">
        <v>20</v>
      </c>
      <c r="I1767" s="7" t="s">
        <v>5102</v>
      </c>
      <c r="J1767" s="7" t="s">
        <v>21</v>
      </c>
      <c r="L1767" t="s">
        <v>3041</v>
      </c>
      <c r="M1767" s="7" t="s">
        <v>22</v>
      </c>
      <c r="N1767" s="7" t="s">
        <v>23</v>
      </c>
      <c r="O1767" s="7" t="s">
        <v>27</v>
      </c>
      <c r="P1767" s="7" t="s">
        <v>5101</v>
      </c>
      <c r="Q1767" s="26">
        <v>27</v>
      </c>
      <c r="R1767" s="26">
        <v>1</v>
      </c>
      <c r="S1767" s="40">
        <v>1</v>
      </c>
      <c r="T1767" s="7"/>
      <c r="U1767" s="7" t="s">
        <v>2951</v>
      </c>
      <c r="V1767" s="7" t="str">
        <f>+IF(U1767="","",IF(U1767="FINES",CONCATENATE("R",IF(OR(B1767="16",B1767="21",B1767="22",B1767="23"),"16212223",IF(OR(B1767="15",B1767="17",B1767="24",B1767="25"),"15172425",B1767))),IF(U1767="CEBAS","UNICO",IF(VALUE(B1767)&lt;=11,"AMBA","INTERIOR"))))</f>
        <v>R01</v>
      </c>
      <c r="W1767" s="38" t="str">
        <f>+IF(U1767="","-",CONCATENATE(U1767,"_",V1767))</f>
        <v>FINES_R01</v>
      </c>
      <c r="X1767" s="42">
        <v>0.746</v>
      </c>
    </row>
    <row r="1768" spans="1:24">
      <c r="A1768" s="21" t="s">
        <v>5100</v>
      </c>
      <c r="B1768" t="s">
        <v>19</v>
      </c>
      <c r="C1768" t="s">
        <v>449</v>
      </c>
      <c r="D1768" t="s">
        <v>2590</v>
      </c>
      <c r="E1768" s="7" t="s">
        <v>198</v>
      </c>
      <c r="F1768" s="7" t="s">
        <v>198</v>
      </c>
      <c r="G1768" s="7" t="s">
        <v>198</v>
      </c>
      <c r="H1768" s="7" t="s">
        <v>20</v>
      </c>
      <c r="I1768" s="7" t="s">
        <v>5102</v>
      </c>
      <c r="J1768" s="7" t="s">
        <v>21</v>
      </c>
      <c r="L1768" t="s">
        <v>2995</v>
      </c>
      <c r="M1768" s="7" t="s">
        <v>22</v>
      </c>
      <c r="N1768" s="7" t="s">
        <v>23</v>
      </c>
      <c r="O1768" s="7" t="s">
        <v>27</v>
      </c>
      <c r="P1768" s="7" t="s">
        <v>5101</v>
      </c>
      <c r="Q1768" s="26">
        <v>19</v>
      </c>
      <c r="R1768" s="26">
        <v>1</v>
      </c>
      <c r="S1768" s="40">
        <v>1</v>
      </c>
      <c r="T1768" s="7"/>
      <c r="U1768" s="7" t="s">
        <v>2951</v>
      </c>
      <c r="V1768" s="7" t="str">
        <f>+IF(U1768="","",IF(U1768="FINES",CONCATENATE("R",IF(OR(B1768="16",B1768="21",B1768="22",B1768="23"),"16212223",IF(OR(B1768="15",B1768="17",B1768="24",B1768="25"),"15172425",B1768))),IF(U1768="CEBAS","UNICO",IF(VALUE(B1768)&lt;=11,"AMBA","INTERIOR"))))</f>
        <v>R01</v>
      </c>
      <c r="W1768" s="38" t="str">
        <f>+IF(U1768="","-",CONCATENATE(U1768,"_",V1768))</f>
        <v>FINES_R01</v>
      </c>
      <c r="X1768" s="42">
        <v>0.75800000000000001</v>
      </c>
    </row>
    <row r="1769" spans="1:24">
      <c r="A1769" s="21" t="s">
        <v>5100</v>
      </c>
      <c r="B1769" t="s">
        <v>19</v>
      </c>
      <c r="C1769" t="s">
        <v>17</v>
      </c>
      <c r="D1769" t="s">
        <v>18</v>
      </c>
      <c r="E1769" s="7" t="s">
        <v>198</v>
      </c>
      <c r="F1769" s="7" t="s">
        <v>198</v>
      </c>
      <c r="G1769" s="7" t="s">
        <v>198</v>
      </c>
      <c r="H1769" s="7" t="s">
        <v>20</v>
      </c>
      <c r="I1769" s="7" t="s">
        <v>5102</v>
      </c>
      <c r="J1769" s="7" t="s">
        <v>21</v>
      </c>
      <c r="L1769" t="s">
        <v>3086</v>
      </c>
      <c r="M1769" s="7" t="s">
        <v>22</v>
      </c>
      <c r="N1769" s="7" t="s">
        <v>23</v>
      </c>
      <c r="O1769" s="7" t="s">
        <v>27</v>
      </c>
      <c r="P1769" s="7" t="s">
        <v>5101</v>
      </c>
      <c r="Q1769" s="26">
        <v>16</v>
      </c>
      <c r="R1769" s="26">
        <v>1</v>
      </c>
      <c r="S1769" s="40">
        <v>1</v>
      </c>
      <c r="T1769" s="7"/>
      <c r="U1769" s="7" t="s">
        <v>2951</v>
      </c>
      <c r="V1769" s="7" t="str">
        <f>+IF(U1769="","",IF(U1769="FINES",CONCATENATE("R",IF(OR(B1769="16",B1769="21",B1769="22",B1769="23"),"16212223",IF(OR(B1769="15",B1769="17",B1769="24",B1769="25"),"15172425",B1769))),IF(U1769="CEBAS","UNICO",IF(VALUE(B1769)&lt;=11,"AMBA","INTERIOR"))))</f>
        <v>R01</v>
      </c>
      <c r="W1769" s="38" t="str">
        <f>+IF(U1769="","-",CONCATENATE(U1769,"_",V1769))</f>
        <v>FINES_R01</v>
      </c>
      <c r="X1769" s="42">
        <v>0.76100000000000001</v>
      </c>
    </row>
    <row r="1770" spans="1:24">
      <c r="A1770" s="21" t="s">
        <v>5100</v>
      </c>
      <c r="B1770" t="s">
        <v>19</v>
      </c>
      <c r="C1770" t="s">
        <v>17</v>
      </c>
      <c r="D1770" t="s">
        <v>18</v>
      </c>
      <c r="E1770" s="7" t="s">
        <v>198</v>
      </c>
      <c r="F1770" s="7" t="s">
        <v>198</v>
      </c>
      <c r="G1770" s="7" t="s">
        <v>198</v>
      </c>
      <c r="H1770" s="7" t="s">
        <v>20</v>
      </c>
      <c r="I1770" s="7" t="s">
        <v>5102</v>
      </c>
      <c r="J1770" s="7" t="s">
        <v>21</v>
      </c>
      <c r="L1770" t="s">
        <v>3008</v>
      </c>
      <c r="M1770" s="7" t="s">
        <v>22</v>
      </c>
      <c r="N1770" s="7" t="s">
        <v>23</v>
      </c>
      <c r="O1770" s="7" t="s">
        <v>27</v>
      </c>
      <c r="P1770" s="7" t="s">
        <v>5101</v>
      </c>
      <c r="Q1770" s="26">
        <v>15</v>
      </c>
      <c r="R1770" s="26">
        <v>1</v>
      </c>
      <c r="S1770" s="40">
        <v>1</v>
      </c>
      <c r="T1770" s="7"/>
      <c r="U1770" s="7" t="s">
        <v>2951</v>
      </c>
      <c r="V1770" s="7" t="str">
        <f>+IF(U1770="","",IF(U1770="FINES",CONCATENATE("R",IF(OR(B1770="16",B1770="21",B1770="22",B1770="23"),"16212223",IF(OR(B1770="15",B1770="17",B1770="24",B1770="25"),"15172425",B1770))),IF(U1770="CEBAS","UNICO",IF(VALUE(B1770)&lt;=11,"AMBA","INTERIOR"))))</f>
        <v>R01</v>
      </c>
      <c r="W1770" s="38" t="str">
        <f>+IF(U1770="","-",CONCATENATE(U1770,"_",V1770))</f>
        <v>FINES_R01</v>
      </c>
      <c r="X1770" s="42">
        <v>0.76500000000000001</v>
      </c>
    </row>
    <row r="1771" spans="1:24">
      <c r="A1771" s="21" t="s">
        <v>5100</v>
      </c>
      <c r="B1771" t="s">
        <v>19</v>
      </c>
      <c r="C1771" t="s">
        <v>17</v>
      </c>
      <c r="D1771" t="s">
        <v>18</v>
      </c>
      <c r="E1771" s="7" t="s">
        <v>198</v>
      </c>
      <c r="F1771" s="7" t="s">
        <v>198</v>
      </c>
      <c r="G1771" s="7" t="s">
        <v>198</v>
      </c>
      <c r="H1771" s="7" t="s">
        <v>20</v>
      </c>
      <c r="I1771" s="7" t="s">
        <v>5102</v>
      </c>
      <c r="J1771" s="7" t="s">
        <v>21</v>
      </c>
      <c r="L1771" t="s">
        <v>3078</v>
      </c>
      <c r="M1771" s="7" t="s">
        <v>22</v>
      </c>
      <c r="N1771" s="7" t="s">
        <v>23</v>
      </c>
      <c r="O1771" s="7" t="s">
        <v>27</v>
      </c>
      <c r="P1771" s="7" t="s">
        <v>5101</v>
      </c>
      <c r="Q1771" s="26">
        <v>15</v>
      </c>
      <c r="R1771" s="26">
        <v>1</v>
      </c>
      <c r="S1771" s="40">
        <v>1</v>
      </c>
      <c r="T1771" s="7"/>
      <c r="U1771" s="7" t="s">
        <v>2951</v>
      </c>
      <c r="V1771" s="7" t="str">
        <f>+IF(U1771="","",IF(U1771="FINES",CONCATENATE("R",IF(OR(B1771="16",B1771="21",B1771="22",B1771="23"),"16212223",IF(OR(B1771="15",B1771="17",B1771="24",B1771="25"),"15172425",B1771))),IF(U1771="CEBAS","UNICO",IF(VALUE(B1771)&lt;=11,"AMBA","INTERIOR"))))</f>
        <v>R01</v>
      </c>
      <c r="W1771" s="38" t="str">
        <f>+IF(U1771="","-",CONCATENATE(U1771,"_",V1771))</f>
        <v>FINES_R01</v>
      </c>
      <c r="X1771" s="42">
        <v>0.76800000000000002</v>
      </c>
    </row>
    <row r="1772" spans="1:24">
      <c r="A1772" s="21" t="s">
        <v>5100</v>
      </c>
      <c r="B1772" t="s">
        <v>19</v>
      </c>
      <c r="C1772" t="s">
        <v>17</v>
      </c>
      <c r="D1772" t="s">
        <v>18</v>
      </c>
      <c r="E1772" s="7" t="s">
        <v>198</v>
      </c>
      <c r="F1772" s="7" t="s">
        <v>198</v>
      </c>
      <c r="G1772" s="7" t="s">
        <v>198</v>
      </c>
      <c r="H1772" s="7" t="s">
        <v>20</v>
      </c>
      <c r="I1772" s="7" t="s">
        <v>5102</v>
      </c>
      <c r="J1772" s="7" t="s">
        <v>21</v>
      </c>
      <c r="L1772" t="s">
        <v>3015</v>
      </c>
      <c r="M1772" s="7" t="s">
        <v>22</v>
      </c>
      <c r="N1772" s="7" t="s">
        <v>23</v>
      </c>
      <c r="O1772" s="7" t="s">
        <v>27</v>
      </c>
      <c r="P1772" s="7" t="s">
        <v>5101</v>
      </c>
      <c r="Q1772" s="26">
        <v>23</v>
      </c>
      <c r="R1772" s="26">
        <v>2</v>
      </c>
      <c r="S1772" s="40">
        <v>1</v>
      </c>
      <c r="T1772" s="7"/>
      <c r="U1772" s="7" t="s">
        <v>2951</v>
      </c>
      <c r="V1772" s="7" t="str">
        <f>+IF(U1772="","",IF(U1772="FINES",CONCATENATE("R",IF(OR(B1772="16",B1772="21",B1772="22",B1772="23"),"16212223",IF(OR(B1772="15",B1772="17",B1772="24",B1772="25"),"15172425",B1772))),IF(U1772="CEBAS","UNICO",IF(VALUE(B1772)&lt;=11,"AMBA","INTERIOR"))))</f>
        <v>R01</v>
      </c>
      <c r="W1772" s="38" t="str">
        <f>+IF(U1772="","-",CONCATENATE(U1772,"_",V1772))</f>
        <v>FINES_R01</v>
      </c>
      <c r="X1772" s="42">
        <v>0.77400000000000002</v>
      </c>
    </row>
    <row r="1773" spans="1:24">
      <c r="A1773" s="21" t="s">
        <v>5100</v>
      </c>
      <c r="B1773" t="s">
        <v>19</v>
      </c>
      <c r="C1773" t="s">
        <v>17</v>
      </c>
      <c r="D1773" t="s">
        <v>18</v>
      </c>
      <c r="E1773" s="7" t="s">
        <v>198</v>
      </c>
      <c r="F1773" s="7" t="s">
        <v>198</v>
      </c>
      <c r="G1773" s="7" t="s">
        <v>198</v>
      </c>
      <c r="H1773" s="7" t="s">
        <v>20</v>
      </c>
      <c r="I1773" s="7" t="s">
        <v>5102</v>
      </c>
      <c r="J1773" s="7" t="s">
        <v>21</v>
      </c>
      <c r="L1773" t="s">
        <v>3053</v>
      </c>
      <c r="M1773" s="7" t="s">
        <v>22</v>
      </c>
      <c r="N1773" s="7" t="s">
        <v>23</v>
      </c>
      <c r="O1773" s="7" t="s">
        <v>27</v>
      </c>
      <c r="P1773" s="7" t="s">
        <v>5101</v>
      </c>
      <c r="Q1773" s="26">
        <v>12</v>
      </c>
      <c r="R1773" s="26">
        <v>1</v>
      </c>
      <c r="S1773" s="40">
        <v>1</v>
      </c>
      <c r="T1773" s="7"/>
      <c r="U1773" s="7" t="s">
        <v>2951</v>
      </c>
      <c r="V1773" s="7" t="str">
        <f>+IF(U1773="","",IF(U1773="FINES",CONCATENATE("R",IF(OR(B1773="16",B1773="21",B1773="22",B1773="23"),"16212223",IF(OR(B1773="15",B1773="17",B1773="24",B1773="25"),"15172425",B1773))),IF(U1773="CEBAS","UNICO",IF(VALUE(B1773)&lt;=11,"AMBA","INTERIOR"))))</f>
        <v>R01</v>
      </c>
      <c r="W1773" s="38" t="str">
        <f>+IF(U1773="","-",CONCATENATE(U1773,"_",V1773))</f>
        <v>FINES_R01</v>
      </c>
      <c r="X1773" s="42">
        <v>0.77600000000000002</v>
      </c>
    </row>
    <row r="1774" spans="1:24">
      <c r="A1774" s="21" t="s">
        <v>5100</v>
      </c>
      <c r="B1774" t="s">
        <v>19</v>
      </c>
      <c r="C1774" t="s">
        <v>1480</v>
      </c>
      <c r="D1774" t="s">
        <v>1481</v>
      </c>
      <c r="E1774" s="7" t="s">
        <v>198</v>
      </c>
      <c r="F1774" s="7" t="s">
        <v>198</v>
      </c>
      <c r="G1774" s="7" t="s">
        <v>198</v>
      </c>
      <c r="H1774" s="7" t="s">
        <v>20</v>
      </c>
      <c r="I1774" s="7" t="s">
        <v>5102</v>
      </c>
      <c r="J1774" s="7" t="s">
        <v>21</v>
      </c>
      <c r="L1774" t="s">
        <v>3104</v>
      </c>
      <c r="M1774" s="7" t="s">
        <v>22</v>
      </c>
      <c r="N1774" s="7" t="s">
        <v>23</v>
      </c>
      <c r="O1774" s="7" t="s">
        <v>27</v>
      </c>
      <c r="P1774" s="7" t="s">
        <v>5101</v>
      </c>
      <c r="Q1774" s="26">
        <v>14</v>
      </c>
      <c r="R1774" s="26">
        <v>1</v>
      </c>
      <c r="S1774" s="40">
        <v>1</v>
      </c>
      <c r="T1774" s="7"/>
      <c r="U1774" s="7" t="s">
        <v>2951</v>
      </c>
      <c r="V1774" s="7" t="str">
        <f>+IF(U1774="","",IF(U1774="FINES",CONCATENATE("R",IF(OR(B1774="16",B1774="21",B1774="22",B1774="23"),"16212223",IF(OR(B1774="15",B1774="17",B1774="24",B1774="25"),"15172425",B1774))),IF(U1774="CEBAS","UNICO",IF(VALUE(B1774)&lt;=11,"AMBA","INTERIOR"))))</f>
        <v>R01</v>
      </c>
      <c r="W1774" s="38" t="str">
        <f>+IF(U1774="","-",CONCATENATE(U1774,"_",V1774))</f>
        <v>FINES_R01</v>
      </c>
      <c r="X1774" s="42">
        <v>0.79300000000000004</v>
      </c>
    </row>
    <row r="1775" spans="1:24">
      <c r="A1775" s="21" t="s">
        <v>5100</v>
      </c>
      <c r="B1775" t="s">
        <v>19</v>
      </c>
      <c r="C1775" t="s">
        <v>17</v>
      </c>
      <c r="D1775" t="s">
        <v>18</v>
      </c>
      <c r="E1775" s="7" t="s">
        <v>198</v>
      </c>
      <c r="F1775" s="7" t="s">
        <v>198</v>
      </c>
      <c r="G1775" s="7" t="s">
        <v>198</v>
      </c>
      <c r="H1775" s="7" t="s">
        <v>20</v>
      </c>
      <c r="I1775" s="7" t="s">
        <v>5102</v>
      </c>
      <c r="J1775" s="7" t="s">
        <v>21</v>
      </c>
      <c r="L1775" t="s">
        <v>3051</v>
      </c>
      <c r="M1775" s="7" t="s">
        <v>22</v>
      </c>
      <c r="N1775" s="7" t="s">
        <v>23</v>
      </c>
      <c r="O1775" s="7" t="s">
        <v>27</v>
      </c>
      <c r="P1775" s="7" t="s">
        <v>5101</v>
      </c>
      <c r="Q1775" s="26">
        <v>0</v>
      </c>
      <c r="R1775" s="26">
        <v>1</v>
      </c>
      <c r="S1775" s="40">
        <v>1</v>
      </c>
      <c r="T1775" s="7"/>
      <c r="U1775" s="7" t="s">
        <v>2951</v>
      </c>
      <c r="V1775" s="7" t="str">
        <f>+IF(U1775="","",IF(U1775="FINES",CONCATENATE("R",IF(OR(B1775="16",B1775="21",B1775="22",B1775="23"),"16212223",IF(OR(B1775="15",B1775="17",B1775="24",B1775="25"),"15172425",B1775))),IF(U1775="CEBAS","UNICO",IF(VALUE(B1775)&lt;=11,"AMBA","INTERIOR"))))</f>
        <v>R01</v>
      </c>
      <c r="W1775" s="38" t="str">
        <f>+IF(U1775="","-",CONCATENATE(U1775,"_",V1775))</f>
        <v>FINES_R01</v>
      </c>
      <c r="X1775" s="42">
        <v>0.79400000000000004</v>
      </c>
    </row>
    <row r="1776" spans="1:24">
      <c r="A1776" s="21" t="s">
        <v>5100</v>
      </c>
      <c r="B1776" t="s">
        <v>19</v>
      </c>
      <c r="C1776" t="s">
        <v>1480</v>
      </c>
      <c r="D1776" t="s">
        <v>1481</v>
      </c>
      <c r="E1776" s="7" t="s">
        <v>198</v>
      </c>
      <c r="F1776" s="7" t="s">
        <v>198</v>
      </c>
      <c r="G1776" s="7" t="s">
        <v>198</v>
      </c>
      <c r="H1776" s="7" t="s">
        <v>20</v>
      </c>
      <c r="I1776" s="7" t="s">
        <v>5102</v>
      </c>
      <c r="J1776" s="7" t="s">
        <v>21</v>
      </c>
      <c r="L1776" t="s">
        <v>3107</v>
      </c>
      <c r="M1776" s="7" t="s">
        <v>22</v>
      </c>
      <c r="N1776" s="7" t="s">
        <v>23</v>
      </c>
      <c r="O1776" s="7" t="s">
        <v>27</v>
      </c>
      <c r="P1776" s="7" t="s">
        <v>5101</v>
      </c>
      <c r="Q1776" s="26">
        <v>9</v>
      </c>
      <c r="R1776" s="26">
        <v>1</v>
      </c>
      <c r="S1776" s="40">
        <v>1</v>
      </c>
      <c r="T1776" s="7"/>
      <c r="U1776" s="7" t="s">
        <v>2951</v>
      </c>
      <c r="V1776" s="7" t="str">
        <f>+IF(U1776="","",IF(U1776="FINES",CONCATENATE("R",IF(OR(B1776="16",B1776="21",B1776="22",B1776="23"),"16212223",IF(OR(B1776="15",B1776="17",B1776="24",B1776="25"),"15172425",B1776))),IF(U1776="CEBAS","UNICO",IF(VALUE(B1776)&lt;=11,"AMBA","INTERIOR"))))</f>
        <v>R01</v>
      </c>
      <c r="W1776" s="38" t="str">
        <f>+IF(U1776="","-",CONCATENATE(U1776,"_",V1776))</f>
        <v>FINES_R01</v>
      </c>
      <c r="X1776" s="42">
        <v>0.79400000000000004</v>
      </c>
    </row>
    <row r="1777" spans="1:24">
      <c r="A1777" s="21" t="s">
        <v>5100</v>
      </c>
      <c r="B1777" t="s">
        <v>19</v>
      </c>
      <c r="C1777" t="s">
        <v>17</v>
      </c>
      <c r="D1777" t="s">
        <v>18</v>
      </c>
      <c r="E1777" s="7" t="s">
        <v>198</v>
      </c>
      <c r="F1777" s="7" t="s">
        <v>198</v>
      </c>
      <c r="G1777" s="7" t="s">
        <v>198</v>
      </c>
      <c r="H1777" s="7" t="s">
        <v>20</v>
      </c>
      <c r="I1777" s="7" t="s">
        <v>5102</v>
      </c>
      <c r="J1777" s="7" t="s">
        <v>21</v>
      </c>
      <c r="L1777" t="s">
        <v>3056</v>
      </c>
      <c r="M1777" s="7" t="s">
        <v>22</v>
      </c>
      <c r="N1777" s="7" t="s">
        <v>23</v>
      </c>
      <c r="O1777" s="7" t="s">
        <v>27</v>
      </c>
      <c r="P1777" s="7" t="s">
        <v>5101</v>
      </c>
      <c r="Q1777" s="26">
        <v>10</v>
      </c>
      <c r="R1777" s="26">
        <v>1</v>
      </c>
      <c r="S1777" s="40">
        <v>1</v>
      </c>
      <c r="T1777" s="7"/>
      <c r="U1777" s="7" t="s">
        <v>2951</v>
      </c>
      <c r="V1777" s="7" t="str">
        <f>+IF(U1777="","",IF(U1777="FINES",CONCATENATE("R",IF(OR(B1777="16",B1777="21",B1777="22",B1777="23"),"16212223",IF(OR(B1777="15",B1777="17",B1777="24",B1777="25"),"15172425",B1777))),IF(U1777="CEBAS","UNICO",IF(VALUE(B1777)&lt;=11,"AMBA","INTERIOR"))))</f>
        <v>R01</v>
      </c>
      <c r="W1777" s="38" t="str">
        <f>+IF(U1777="","-",CONCATENATE(U1777,"_",V1777))</f>
        <v>FINES_R01</v>
      </c>
      <c r="X1777" s="42">
        <v>0.81499999999999995</v>
      </c>
    </row>
    <row r="1778" spans="1:24">
      <c r="A1778" s="21" t="s">
        <v>5100</v>
      </c>
      <c r="B1778" t="s">
        <v>19</v>
      </c>
      <c r="C1778" t="s">
        <v>17</v>
      </c>
      <c r="D1778" t="s">
        <v>18</v>
      </c>
      <c r="E1778" s="7" t="s">
        <v>198</v>
      </c>
      <c r="F1778" s="7" t="s">
        <v>198</v>
      </c>
      <c r="G1778" s="7" t="s">
        <v>198</v>
      </c>
      <c r="H1778" s="7" t="s">
        <v>20</v>
      </c>
      <c r="I1778" s="7" t="s">
        <v>5102</v>
      </c>
      <c r="J1778" s="7" t="s">
        <v>21</v>
      </c>
      <c r="L1778" t="s">
        <v>3027</v>
      </c>
      <c r="M1778" s="7" t="s">
        <v>22</v>
      </c>
      <c r="N1778" s="7" t="s">
        <v>23</v>
      </c>
      <c r="O1778" s="7" t="s">
        <v>27</v>
      </c>
      <c r="P1778" s="7" t="s">
        <v>5101</v>
      </c>
      <c r="Q1778" s="26">
        <v>33</v>
      </c>
      <c r="R1778" s="26">
        <v>1</v>
      </c>
      <c r="S1778" s="40">
        <v>1</v>
      </c>
      <c r="T1778" s="7"/>
      <c r="U1778" s="7" t="s">
        <v>2951</v>
      </c>
      <c r="V1778" s="7" t="str">
        <f>+IF(U1778="","",IF(U1778="FINES",CONCATENATE("R",IF(OR(B1778="16",B1778="21",B1778="22",B1778="23"),"16212223",IF(OR(B1778="15",B1778="17",B1778="24",B1778="25"),"15172425",B1778))),IF(U1778="CEBAS","UNICO",IF(VALUE(B1778)&lt;=11,"AMBA","INTERIOR"))))</f>
        <v>R01</v>
      </c>
      <c r="W1778" s="38" t="str">
        <f>+IF(U1778="","-",CONCATENATE(U1778,"_",V1778))</f>
        <v>FINES_R01</v>
      </c>
      <c r="X1778" s="42">
        <v>0.81799999999999995</v>
      </c>
    </row>
    <row r="1779" spans="1:24">
      <c r="A1779" s="21" t="s">
        <v>5100</v>
      </c>
      <c r="B1779" t="s">
        <v>19</v>
      </c>
      <c r="C1779" t="s">
        <v>252</v>
      </c>
      <c r="D1779" t="s">
        <v>2566</v>
      </c>
      <c r="E1779" s="7" t="s">
        <v>198</v>
      </c>
      <c r="F1779" s="7" t="s">
        <v>198</v>
      </c>
      <c r="G1779" s="7" t="s">
        <v>198</v>
      </c>
      <c r="H1779" s="7" t="s">
        <v>20</v>
      </c>
      <c r="I1779" s="7" t="s">
        <v>5102</v>
      </c>
      <c r="J1779" s="7" t="s">
        <v>21</v>
      </c>
      <c r="L1779" t="s">
        <v>2961</v>
      </c>
      <c r="M1779" s="7" t="s">
        <v>22</v>
      </c>
      <c r="N1779" s="7" t="s">
        <v>23</v>
      </c>
      <c r="O1779" s="7" t="s">
        <v>27</v>
      </c>
      <c r="P1779" s="7" t="s">
        <v>5101</v>
      </c>
      <c r="Q1779" s="26">
        <v>22</v>
      </c>
      <c r="R1779" s="26">
        <v>1</v>
      </c>
      <c r="S1779" s="40">
        <v>1</v>
      </c>
      <c r="T1779" s="7"/>
      <c r="U1779" s="7" t="s">
        <v>2951</v>
      </c>
      <c r="V1779" s="7" t="str">
        <f>+IF(U1779="","",IF(U1779="FINES",CONCATENATE("R",IF(OR(B1779="16",B1779="21",B1779="22",B1779="23"),"16212223",IF(OR(B1779="15",B1779="17",B1779="24",B1779="25"),"15172425",B1779))),IF(U1779="CEBAS","UNICO",IF(VALUE(B1779)&lt;=11,"AMBA","INTERIOR"))))</f>
        <v>R01</v>
      </c>
      <c r="W1779" s="38" t="str">
        <f>+IF(U1779="","-",CONCATENATE(U1779,"_",V1779))</f>
        <v>FINES_R01</v>
      </c>
      <c r="X1779" s="42">
        <v>0.82199999999999995</v>
      </c>
    </row>
    <row r="1780" spans="1:24">
      <c r="A1780" s="21" t="s">
        <v>5100</v>
      </c>
      <c r="B1780" t="s">
        <v>19</v>
      </c>
      <c r="C1780" t="s">
        <v>644</v>
      </c>
      <c r="D1780" t="s">
        <v>2862</v>
      </c>
      <c r="E1780" s="7" t="s">
        <v>198</v>
      </c>
      <c r="F1780" s="7" t="s">
        <v>198</v>
      </c>
      <c r="G1780" s="7" t="s">
        <v>198</v>
      </c>
      <c r="H1780" s="7" t="s">
        <v>20</v>
      </c>
      <c r="I1780" s="7" t="s">
        <v>5102</v>
      </c>
      <c r="J1780" s="7" t="s">
        <v>21</v>
      </c>
      <c r="L1780" t="s">
        <v>3121</v>
      </c>
      <c r="M1780" s="7" t="s">
        <v>22</v>
      </c>
      <c r="N1780" s="7" t="s">
        <v>23</v>
      </c>
      <c r="O1780" s="7" t="s">
        <v>27</v>
      </c>
      <c r="P1780" s="7" t="s">
        <v>5101</v>
      </c>
      <c r="Q1780" s="26">
        <v>11</v>
      </c>
      <c r="R1780" s="26">
        <v>1</v>
      </c>
      <c r="S1780" s="40">
        <v>1</v>
      </c>
      <c r="T1780" s="7"/>
      <c r="U1780" s="7" t="s">
        <v>2951</v>
      </c>
      <c r="V1780" s="7" t="str">
        <f>+IF(U1780="","",IF(U1780="FINES",CONCATENATE("R",IF(OR(B1780="16",B1780="21",B1780="22",B1780="23"),"16212223",IF(OR(B1780="15",B1780="17",B1780="24",B1780="25"),"15172425",B1780))),IF(U1780="CEBAS","UNICO",IF(VALUE(B1780)&lt;=11,"AMBA","INTERIOR"))))</f>
        <v>R01</v>
      </c>
      <c r="W1780" s="38" t="str">
        <f>+IF(U1780="","-",CONCATENATE(U1780,"_",V1780))</f>
        <v>FINES_R01</v>
      </c>
      <c r="X1780" s="42">
        <v>0.82799999999999996</v>
      </c>
    </row>
    <row r="1781" spans="1:24">
      <c r="A1781" s="21" t="s">
        <v>5100</v>
      </c>
      <c r="B1781" t="s">
        <v>19</v>
      </c>
      <c r="C1781" t="s">
        <v>599</v>
      </c>
      <c r="D1781" t="s">
        <v>601</v>
      </c>
      <c r="E1781" s="7" t="s">
        <v>198</v>
      </c>
      <c r="F1781" s="7" t="s">
        <v>198</v>
      </c>
      <c r="G1781" s="7" t="s">
        <v>198</v>
      </c>
      <c r="H1781" s="7" t="s">
        <v>20</v>
      </c>
      <c r="I1781" s="7" t="s">
        <v>5102</v>
      </c>
      <c r="J1781" s="7" t="s">
        <v>21</v>
      </c>
      <c r="L1781" t="s">
        <v>2981</v>
      </c>
      <c r="M1781" s="7" t="s">
        <v>22</v>
      </c>
      <c r="N1781" s="7" t="s">
        <v>23</v>
      </c>
      <c r="O1781" s="7" t="s">
        <v>27</v>
      </c>
      <c r="P1781" s="7" t="s">
        <v>5101</v>
      </c>
      <c r="Q1781" s="26">
        <v>46</v>
      </c>
      <c r="R1781" s="26">
        <v>3</v>
      </c>
      <c r="S1781" s="40">
        <v>1</v>
      </c>
      <c r="T1781" s="7"/>
      <c r="U1781" s="7" t="s">
        <v>2951</v>
      </c>
      <c r="V1781" s="7" t="str">
        <f>+IF(U1781="","",IF(U1781="FINES",CONCATENATE("R",IF(OR(B1781="16",B1781="21",B1781="22",B1781="23"),"16212223",IF(OR(B1781="15",B1781="17",B1781="24",B1781="25"),"15172425",B1781))),IF(U1781="CEBAS","UNICO",IF(VALUE(B1781)&lt;=11,"AMBA","INTERIOR"))))</f>
        <v>R01</v>
      </c>
      <c r="W1781" s="38" t="str">
        <f>+IF(U1781="","-",CONCATENATE(U1781,"_",V1781))</f>
        <v>FINES_R01</v>
      </c>
      <c r="X1781" s="42">
        <v>0.83599999999999997</v>
      </c>
    </row>
    <row r="1782" spans="1:24">
      <c r="A1782" s="21" t="s">
        <v>5100</v>
      </c>
      <c r="B1782" t="s">
        <v>19</v>
      </c>
      <c r="C1782" t="s">
        <v>449</v>
      </c>
      <c r="D1782" t="s">
        <v>2590</v>
      </c>
      <c r="E1782" s="7" t="s">
        <v>198</v>
      </c>
      <c r="F1782" s="7" t="s">
        <v>198</v>
      </c>
      <c r="G1782" s="7" t="s">
        <v>198</v>
      </c>
      <c r="H1782" s="7" t="s">
        <v>20</v>
      </c>
      <c r="I1782" s="7" t="s">
        <v>5102</v>
      </c>
      <c r="J1782" s="7" t="s">
        <v>21</v>
      </c>
      <c r="L1782" t="s">
        <v>2321</v>
      </c>
      <c r="M1782" s="7" t="s">
        <v>22</v>
      </c>
      <c r="N1782" s="7" t="s">
        <v>23</v>
      </c>
      <c r="O1782" s="7" t="s">
        <v>27</v>
      </c>
      <c r="P1782" s="7" t="s">
        <v>5101</v>
      </c>
      <c r="Q1782" s="26">
        <v>36</v>
      </c>
      <c r="R1782" s="26">
        <v>2</v>
      </c>
      <c r="S1782" s="40">
        <v>1</v>
      </c>
      <c r="T1782" s="7"/>
      <c r="U1782" s="7" t="s">
        <v>2951</v>
      </c>
      <c r="V1782" s="7" t="str">
        <f>+IF(U1782="","",IF(U1782="FINES",CONCATENATE("R",IF(OR(B1782="16",B1782="21",B1782="22",B1782="23"),"16212223",IF(OR(B1782="15",B1782="17",B1782="24",B1782="25"),"15172425",B1782))),IF(U1782="CEBAS","UNICO",IF(VALUE(B1782)&lt;=11,"AMBA","INTERIOR"))))</f>
        <v>R01</v>
      </c>
      <c r="W1782" s="38" t="str">
        <f>+IF(U1782="","-",CONCATENATE(U1782,"_",V1782))</f>
        <v>FINES_R01</v>
      </c>
      <c r="X1782" s="42">
        <v>0.85099999999999998</v>
      </c>
    </row>
    <row r="1783" spans="1:24">
      <c r="A1783" s="21" t="s">
        <v>5100</v>
      </c>
      <c r="B1783" t="s">
        <v>19</v>
      </c>
      <c r="C1783" t="s">
        <v>17</v>
      </c>
      <c r="D1783" t="s">
        <v>18</v>
      </c>
      <c r="E1783" s="7" t="s">
        <v>198</v>
      </c>
      <c r="F1783" s="7" t="s">
        <v>198</v>
      </c>
      <c r="G1783" s="7" t="s">
        <v>198</v>
      </c>
      <c r="H1783" s="7" t="s">
        <v>20</v>
      </c>
      <c r="I1783" s="7" t="s">
        <v>5102</v>
      </c>
      <c r="J1783" s="7" t="s">
        <v>21</v>
      </c>
      <c r="L1783" t="s">
        <v>3024</v>
      </c>
      <c r="M1783" s="7" t="s">
        <v>22</v>
      </c>
      <c r="N1783" s="7" t="s">
        <v>23</v>
      </c>
      <c r="O1783" s="7" t="s">
        <v>27</v>
      </c>
      <c r="P1783" s="7" t="s">
        <v>5101</v>
      </c>
      <c r="Q1783" s="26">
        <v>32</v>
      </c>
      <c r="R1783" s="26">
        <v>2</v>
      </c>
      <c r="S1783" s="40">
        <v>1</v>
      </c>
      <c r="T1783" s="7"/>
      <c r="U1783" s="7" t="s">
        <v>2951</v>
      </c>
      <c r="V1783" s="7" t="str">
        <f>+IF(U1783="","",IF(U1783="FINES",CONCATENATE("R",IF(OR(B1783="16",B1783="21",B1783="22",B1783="23"),"16212223",IF(OR(B1783="15",B1783="17",B1783="24",B1783="25"),"15172425",B1783))),IF(U1783="CEBAS","UNICO",IF(VALUE(B1783)&lt;=11,"AMBA","INTERIOR"))))</f>
        <v>R01</v>
      </c>
      <c r="W1783" s="38" t="str">
        <f>+IF(U1783="","-",CONCATENATE(U1783,"_",V1783))</f>
        <v>FINES_R01</v>
      </c>
      <c r="X1783" s="42">
        <v>0.86599999999999999</v>
      </c>
    </row>
    <row r="1784" spans="1:24">
      <c r="A1784" s="21" t="s">
        <v>5100</v>
      </c>
      <c r="B1784" t="s">
        <v>19</v>
      </c>
      <c r="C1784" t="s">
        <v>17</v>
      </c>
      <c r="D1784" t="s">
        <v>18</v>
      </c>
      <c r="E1784" s="7" t="s">
        <v>198</v>
      </c>
      <c r="F1784" s="7" t="s">
        <v>198</v>
      </c>
      <c r="G1784" s="7" t="s">
        <v>198</v>
      </c>
      <c r="H1784" s="7" t="s">
        <v>20</v>
      </c>
      <c r="I1784" s="7" t="s">
        <v>5102</v>
      </c>
      <c r="J1784" s="7" t="s">
        <v>21</v>
      </c>
      <c r="L1784" t="s">
        <v>3016</v>
      </c>
      <c r="M1784" s="7" t="s">
        <v>22</v>
      </c>
      <c r="N1784" s="7" t="s">
        <v>23</v>
      </c>
      <c r="O1784" s="7" t="s">
        <v>27</v>
      </c>
      <c r="P1784" s="7" t="s">
        <v>5101</v>
      </c>
      <c r="Q1784" s="26">
        <v>9</v>
      </c>
      <c r="R1784" s="26">
        <v>1</v>
      </c>
      <c r="S1784" s="40">
        <v>1</v>
      </c>
      <c r="T1784" s="7"/>
      <c r="U1784" s="7" t="s">
        <v>2951</v>
      </c>
      <c r="V1784" s="7" t="str">
        <f>+IF(U1784="","",IF(U1784="FINES",CONCATENATE("R",IF(OR(B1784="16",B1784="21",B1784="22",B1784="23"),"16212223",IF(OR(B1784="15",B1784="17",B1784="24",B1784="25"),"15172425",B1784))),IF(U1784="CEBAS","UNICO",IF(VALUE(B1784)&lt;=11,"AMBA","INTERIOR"))))</f>
        <v>R01</v>
      </c>
      <c r="W1784" s="38" t="str">
        <f>+IF(U1784="","-",CONCATENATE(U1784,"_",V1784))</f>
        <v>FINES_R01</v>
      </c>
      <c r="X1784" s="42">
        <v>0.86899999999999999</v>
      </c>
    </row>
    <row r="1785" spans="1:24">
      <c r="A1785" s="21" t="s">
        <v>5100</v>
      </c>
      <c r="B1785" t="s">
        <v>19</v>
      </c>
      <c r="C1785" t="s">
        <v>17</v>
      </c>
      <c r="D1785" t="s">
        <v>18</v>
      </c>
      <c r="E1785" s="7" t="s">
        <v>198</v>
      </c>
      <c r="F1785" s="7" t="s">
        <v>198</v>
      </c>
      <c r="G1785" s="7" t="s">
        <v>198</v>
      </c>
      <c r="H1785" s="7" t="s">
        <v>20</v>
      </c>
      <c r="I1785" s="7" t="s">
        <v>5102</v>
      </c>
      <c r="J1785" s="7" t="s">
        <v>21</v>
      </c>
      <c r="L1785" t="s">
        <v>3045</v>
      </c>
      <c r="M1785" s="7" t="s">
        <v>22</v>
      </c>
      <c r="N1785" s="7" t="s">
        <v>23</v>
      </c>
      <c r="O1785" s="7" t="s">
        <v>27</v>
      </c>
      <c r="P1785" s="7" t="s">
        <v>5101</v>
      </c>
      <c r="Q1785" s="26">
        <v>11</v>
      </c>
      <c r="R1785" s="26">
        <v>1</v>
      </c>
      <c r="S1785" s="40">
        <v>1</v>
      </c>
      <c r="T1785" s="7"/>
      <c r="U1785" s="7" t="s">
        <v>2951</v>
      </c>
      <c r="V1785" s="7" t="str">
        <f>+IF(U1785="","",IF(U1785="FINES",CONCATENATE("R",IF(OR(B1785="16",B1785="21",B1785="22",B1785="23"),"16212223",IF(OR(B1785="15",B1785="17",B1785="24",B1785="25"),"15172425",B1785))),IF(U1785="CEBAS","UNICO",IF(VALUE(B1785)&lt;=11,"AMBA","INTERIOR"))))</f>
        <v>R01</v>
      </c>
      <c r="W1785" s="38" t="str">
        <f>+IF(U1785="","-",CONCATENATE(U1785,"_",V1785))</f>
        <v>FINES_R01</v>
      </c>
      <c r="X1785" s="42">
        <v>0.871</v>
      </c>
    </row>
    <row r="1786" spans="1:24">
      <c r="A1786" s="21" t="s">
        <v>5100</v>
      </c>
      <c r="B1786" t="s">
        <v>19</v>
      </c>
      <c r="C1786" t="s">
        <v>17</v>
      </c>
      <c r="D1786" t="s">
        <v>18</v>
      </c>
      <c r="E1786" s="7" t="s">
        <v>198</v>
      </c>
      <c r="F1786" s="7" t="s">
        <v>198</v>
      </c>
      <c r="G1786" s="7" t="s">
        <v>198</v>
      </c>
      <c r="H1786" s="7" t="s">
        <v>20</v>
      </c>
      <c r="I1786" s="7" t="s">
        <v>5102</v>
      </c>
      <c r="J1786" s="7" t="s">
        <v>21</v>
      </c>
      <c r="L1786" t="s">
        <v>3037</v>
      </c>
      <c r="M1786" s="7" t="s">
        <v>22</v>
      </c>
      <c r="N1786" s="7" t="s">
        <v>23</v>
      </c>
      <c r="O1786" s="7" t="s">
        <v>27</v>
      </c>
      <c r="P1786" s="7" t="s">
        <v>5101</v>
      </c>
      <c r="Q1786" s="26">
        <v>5</v>
      </c>
      <c r="R1786" s="26">
        <v>1</v>
      </c>
      <c r="S1786" s="40">
        <v>1</v>
      </c>
      <c r="T1786" s="7"/>
      <c r="U1786" s="7" t="s">
        <v>2951</v>
      </c>
      <c r="V1786" s="7" t="str">
        <f>+IF(U1786="","",IF(U1786="FINES",CONCATENATE("R",IF(OR(B1786="16",B1786="21",B1786="22",B1786="23"),"16212223",IF(OR(B1786="15",B1786="17",B1786="24",B1786="25"),"15172425",B1786))),IF(U1786="CEBAS","UNICO",IF(VALUE(B1786)&lt;=11,"AMBA","INTERIOR"))))</f>
        <v>R01</v>
      </c>
      <c r="W1786" s="38" t="str">
        <f>+IF(U1786="","-",CONCATENATE(U1786,"_",V1786))</f>
        <v>FINES_R01</v>
      </c>
      <c r="X1786" s="42">
        <v>0.873</v>
      </c>
    </row>
    <row r="1787" spans="1:24">
      <c r="A1787" s="21" t="s">
        <v>5100</v>
      </c>
      <c r="B1787" t="s">
        <v>19</v>
      </c>
      <c r="C1787" t="s">
        <v>17</v>
      </c>
      <c r="D1787" t="s">
        <v>18</v>
      </c>
      <c r="E1787" s="7" t="s">
        <v>198</v>
      </c>
      <c r="F1787" s="7" t="s">
        <v>198</v>
      </c>
      <c r="G1787" s="7" t="s">
        <v>198</v>
      </c>
      <c r="H1787" s="7" t="s">
        <v>20</v>
      </c>
      <c r="I1787" s="7" t="s">
        <v>5102</v>
      </c>
      <c r="J1787" s="7" t="s">
        <v>21</v>
      </c>
      <c r="L1787" t="s">
        <v>3048</v>
      </c>
      <c r="M1787" s="7" t="s">
        <v>22</v>
      </c>
      <c r="N1787" s="7" t="s">
        <v>23</v>
      </c>
      <c r="O1787" s="7" t="s">
        <v>27</v>
      </c>
      <c r="P1787" s="7" t="s">
        <v>5101</v>
      </c>
      <c r="Q1787" s="26">
        <v>37</v>
      </c>
      <c r="R1787" s="26">
        <v>2</v>
      </c>
      <c r="S1787" s="40">
        <v>1</v>
      </c>
      <c r="T1787" s="7"/>
      <c r="U1787" s="7" t="s">
        <v>2951</v>
      </c>
      <c r="V1787" s="7" t="str">
        <f>+IF(U1787="","",IF(U1787="FINES",CONCATENATE("R",IF(OR(B1787="16",B1787="21",B1787="22",B1787="23"),"16212223",IF(OR(B1787="15",B1787="17",B1787="24",B1787="25"),"15172425",B1787))),IF(U1787="CEBAS","UNICO",IF(VALUE(B1787)&lt;=11,"AMBA","INTERIOR"))))</f>
        <v>R01</v>
      </c>
      <c r="W1787" s="38" t="str">
        <f>+IF(U1787="","-",CONCATENATE(U1787,"_",V1787))</f>
        <v>FINES_R01</v>
      </c>
      <c r="X1787" s="42">
        <v>0.88</v>
      </c>
    </row>
    <row r="1788" spans="1:24">
      <c r="A1788" s="21" t="s">
        <v>5100</v>
      </c>
      <c r="B1788" t="s">
        <v>19</v>
      </c>
      <c r="C1788" t="s">
        <v>449</v>
      </c>
      <c r="D1788" t="s">
        <v>2590</v>
      </c>
      <c r="E1788" s="7" t="s">
        <v>198</v>
      </c>
      <c r="F1788" s="7" t="s">
        <v>198</v>
      </c>
      <c r="G1788" s="7" t="s">
        <v>198</v>
      </c>
      <c r="H1788" s="7" t="s">
        <v>20</v>
      </c>
      <c r="I1788" s="7" t="s">
        <v>5102</v>
      </c>
      <c r="J1788" s="7" t="s">
        <v>21</v>
      </c>
      <c r="L1788" t="s">
        <v>3004</v>
      </c>
      <c r="M1788" s="7" t="s">
        <v>22</v>
      </c>
      <c r="N1788" s="7" t="s">
        <v>23</v>
      </c>
      <c r="O1788" s="7" t="s">
        <v>27</v>
      </c>
      <c r="P1788" s="7" t="s">
        <v>5101</v>
      </c>
      <c r="Q1788" s="26">
        <v>30</v>
      </c>
      <c r="R1788" s="26">
        <v>1</v>
      </c>
      <c r="S1788" s="40">
        <v>1</v>
      </c>
      <c r="T1788" s="7"/>
      <c r="U1788" s="7" t="s">
        <v>2951</v>
      </c>
      <c r="V1788" s="7" t="str">
        <f>+IF(U1788="","",IF(U1788="FINES",CONCATENATE("R",IF(OR(B1788="16",B1788="21",B1788="22",B1788="23"),"16212223",IF(OR(B1788="15",B1788="17",B1788="24",B1788="25"),"15172425",B1788))),IF(U1788="CEBAS","UNICO",IF(VALUE(B1788)&lt;=11,"AMBA","INTERIOR"))))</f>
        <v>R01</v>
      </c>
      <c r="W1788" s="38" t="str">
        <f>+IF(U1788="","-",CONCATENATE(U1788,"_",V1788))</f>
        <v>FINES_R01</v>
      </c>
      <c r="X1788" s="42">
        <v>0.89100000000000001</v>
      </c>
    </row>
    <row r="1789" spans="1:24">
      <c r="A1789" s="21" t="s">
        <v>5100</v>
      </c>
      <c r="B1789" t="s">
        <v>19</v>
      </c>
      <c r="C1789" t="s">
        <v>17</v>
      </c>
      <c r="D1789" t="s">
        <v>18</v>
      </c>
      <c r="E1789" s="7" t="s">
        <v>198</v>
      </c>
      <c r="F1789" s="7" t="s">
        <v>198</v>
      </c>
      <c r="G1789" s="7" t="s">
        <v>198</v>
      </c>
      <c r="H1789" s="7" t="s">
        <v>20</v>
      </c>
      <c r="I1789" s="7" t="s">
        <v>5102</v>
      </c>
      <c r="J1789" s="7" t="s">
        <v>21</v>
      </c>
      <c r="L1789" t="s">
        <v>3065</v>
      </c>
      <c r="M1789" s="7" t="s">
        <v>22</v>
      </c>
      <c r="N1789" s="7" t="s">
        <v>23</v>
      </c>
      <c r="O1789" s="7" t="s">
        <v>27</v>
      </c>
      <c r="P1789" s="7" t="s">
        <v>5101</v>
      </c>
      <c r="Q1789" s="26">
        <v>42</v>
      </c>
      <c r="R1789" s="26">
        <v>2</v>
      </c>
      <c r="S1789" s="40">
        <v>1</v>
      </c>
      <c r="T1789" s="7"/>
      <c r="U1789" s="7" t="s">
        <v>2951</v>
      </c>
      <c r="V1789" s="7" t="str">
        <f>+IF(U1789="","",IF(U1789="FINES",CONCATENATE("R",IF(OR(B1789="16",B1789="21",B1789="22",B1789="23"),"16212223",IF(OR(B1789="15",B1789="17",B1789="24",B1789="25"),"15172425",B1789))),IF(U1789="CEBAS","UNICO",IF(VALUE(B1789)&lt;=11,"AMBA","INTERIOR"))))</f>
        <v>R01</v>
      </c>
      <c r="W1789" s="38" t="str">
        <f>+IF(U1789="","-",CONCATENATE(U1789,"_",V1789))</f>
        <v>FINES_R01</v>
      </c>
      <c r="X1789" s="42">
        <v>0.90500000000000003</v>
      </c>
    </row>
    <row r="1790" spans="1:24">
      <c r="A1790" s="21" t="s">
        <v>5100</v>
      </c>
      <c r="B1790" t="s">
        <v>19</v>
      </c>
      <c r="C1790" t="s">
        <v>252</v>
      </c>
      <c r="D1790" t="s">
        <v>2566</v>
      </c>
      <c r="E1790" s="7" t="s">
        <v>198</v>
      </c>
      <c r="F1790" s="7" t="s">
        <v>198</v>
      </c>
      <c r="G1790" s="7" t="s">
        <v>198</v>
      </c>
      <c r="H1790" s="7" t="s">
        <v>20</v>
      </c>
      <c r="I1790" s="7" t="s">
        <v>5102</v>
      </c>
      <c r="J1790" s="7" t="s">
        <v>21</v>
      </c>
      <c r="L1790" t="s">
        <v>2977</v>
      </c>
      <c r="M1790" s="7" t="s">
        <v>22</v>
      </c>
      <c r="N1790" s="7" t="s">
        <v>23</v>
      </c>
      <c r="O1790" s="7" t="s">
        <v>27</v>
      </c>
      <c r="P1790" s="7" t="s">
        <v>5101</v>
      </c>
      <c r="Q1790" s="26">
        <v>23</v>
      </c>
      <c r="R1790" s="26">
        <v>1</v>
      </c>
      <c r="S1790" s="40">
        <v>1</v>
      </c>
      <c r="T1790" s="7"/>
      <c r="U1790" s="7" t="s">
        <v>2951</v>
      </c>
      <c r="V1790" s="7" t="str">
        <f>+IF(U1790="","",IF(U1790="FINES",CONCATENATE("R",IF(OR(B1790="16",B1790="21",B1790="22",B1790="23"),"16212223",IF(OR(B1790="15",B1790="17",B1790="24",B1790="25"),"15172425",B1790))),IF(U1790="CEBAS","UNICO",IF(VALUE(B1790)&lt;=11,"AMBA","INTERIOR"))))</f>
        <v>R01</v>
      </c>
      <c r="W1790" s="38" t="str">
        <f>+IF(U1790="","-",CONCATENATE(U1790,"_",V1790))</f>
        <v>FINES_R01</v>
      </c>
      <c r="X1790" s="42">
        <v>0.91</v>
      </c>
    </row>
    <row r="1791" spans="1:24">
      <c r="A1791" s="21" t="s">
        <v>5100</v>
      </c>
      <c r="B1791" t="s">
        <v>19</v>
      </c>
      <c r="C1791" t="s">
        <v>17</v>
      </c>
      <c r="D1791" t="s">
        <v>18</v>
      </c>
      <c r="E1791" s="7" t="s">
        <v>198</v>
      </c>
      <c r="F1791" s="7" t="s">
        <v>198</v>
      </c>
      <c r="G1791" s="7" t="s">
        <v>198</v>
      </c>
      <c r="H1791" s="7" t="s">
        <v>20</v>
      </c>
      <c r="I1791" s="7" t="s">
        <v>5102</v>
      </c>
      <c r="J1791" s="7" t="s">
        <v>21</v>
      </c>
      <c r="L1791" t="s">
        <v>3096</v>
      </c>
      <c r="M1791" s="7" t="s">
        <v>22</v>
      </c>
      <c r="N1791" s="7" t="s">
        <v>23</v>
      </c>
      <c r="O1791" s="7" t="s">
        <v>27</v>
      </c>
      <c r="P1791" s="7" t="s">
        <v>5101</v>
      </c>
      <c r="Q1791" s="26">
        <v>4</v>
      </c>
      <c r="R1791" s="26">
        <v>1</v>
      </c>
      <c r="S1791" s="40">
        <v>1</v>
      </c>
      <c r="T1791" s="7"/>
      <c r="U1791" s="7" t="s">
        <v>2951</v>
      </c>
      <c r="V1791" s="7" t="str">
        <f>+IF(U1791="","",IF(U1791="FINES",CONCATENATE("R",IF(OR(B1791="16",B1791="21",B1791="22",B1791="23"),"16212223",IF(OR(B1791="15",B1791="17",B1791="24",B1791="25"),"15172425",B1791))),IF(U1791="CEBAS","UNICO",IF(VALUE(B1791)&lt;=11,"AMBA","INTERIOR"))))</f>
        <v>R01</v>
      </c>
      <c r="W1791" s="38" t="str">
        <f>+IF(U1791="","-",CONCATENATE(U1791,"_",V1791))</f>
        <v>FINES_R01</v>
      </c>
      <c r="X1791" s="42">
        <v>0.91100000000000003</v>
      </c>
    </row>
    <row r="1792" spans="1:24">
      <c r="A1792" s="21" t="s">
        <v>5100</v>
      </c>
      <c r="B1792" t="s">
        <v>19</v>
      </c>
      <c r="C1792" t="s">
        <v>17</v>
      </c>
      <c r="D1792" t="s">
        <v>18</v>
      </c>
      <c r="E1792" s="7" t="s">
        <v>198</v>
      </c>
      <c r="F1792" s="7" t="s">
        <v>198</v>
      </c>
      <c r="G1792" s="7" t="s">
        <v>198</v>
      </c>
      <c r="H1792" s="7" t="s">
        <v>20</v>
      </c>
      <c r="I1792" s="7" t="s">
        <v>5102</v>
      </c>
      <c r="J1792" s="7" t="s">
        <v>21</v>
      </c>
      <c r="L1792" t="s">
        <v>3060</v>
      </c>
      <c r="M1792" s="7" t="s">
        <v>22</v>
      </c>
      <c r="N1792" s="7" t="s">
        <v>23</v>
      </c>
      <c r="O1792" s="7" t="s">
        <v>27</v>
      </c>
      <c r="P1792" s="7" t="s">
        <v>5101</v>
      </c>
      <c r="Q1792" s="26">
        <v>21</v>
      </c>
      <c r="R1792" s="26">
        <v>1</v>
      </c>
      <c r="S1792" s="40">
        <v>1</v>
      </c>
      <c r="T1792" s="7"/>
      <c r="U1792" s="7" t="s">
        <v>2951</v>
      </c>
      <c r="V1792" s="7" t="str">
        <f>+IF(U1792="","",IF(U1792="FINES",CONCATENATE("R",IF(OR(B1792="16",B1792="21",B1792="22",B1792="23"),"16212223",IF(OR(B1792="15",B1792="17",B1792="24",B1792="25"),"15172425",B1792))),IF(U1792="CEBAS","UNICO",IF(VALUE(B1792)&lt;=11,"AMBA","INTERIOR"))))</f>
        <v>R01</v>
      </c>
      <c r="W1792" s="38" t="str">
        <f>+IF(U1792="","-",CONCATENATE(U1792,"_",V1792))</f>
        <v>FINES_R01</v>
      </c>
      <c r="X1792" s="42">
        <v>0.91200000000000003</v>
      </c>
    </row>
    <row r="1793" spans="1:24">
      <c r="A1793" s="21" t="s">
        <v>5100</v>
      </c>
      <c r="B1793" t="s">
        <v>19</v>
      </c>
      <c r="C1793" t="s">
        <v>17</v>
      </c>
      <c r="D1793" t="s">
        <v>18</v>
      </c>
      <c r="E1793" s="7" t="s">
        <v>198</v>
      </c>
      <c r="F1793" s="7" t="s">
        <v>198</v>
      </c>
      <c r="G1793" s="7" t="s">
        <v>198</v>
      </c>
      <c r="H1793" s="7" t="s">
        <v>20</v>
      </c>
      <c r="I1793" s="7" t="s">
        <v>5102</v>
      </c>
      <c r="J1793" s="7" t="s">
        <v>21</v>
      </c>
      <c r="L1793" t="s">
        <v>3046</v>
      </c>
      <c r="M1793" s="7" t="s">
        <v>22</v>
      </c>
      <c r="N1793" s="7" t="s">
        <v>23</v>
      </c>
      <c r="O1793" s="7" t="s">
        <v>27</v>
      </c>
      <c r="P1793" s="7" t="s">
        <v>5101</v>
      </c>
      <c r="Q1793" s="26">
        <v>10</v>
      </c>
      <c r="R1793" s="26">
        <v>1</v>
      </c>
      <c r="S1793" s="40">
        <v>1</v>
      </c>
      <c r="T1793" s="7"/>
      <c r="U1793" s="7" t="s">
        <v>2951</v>
      </c>
      <c r="V1793" s="7" t="str">
        <f>+IF(U1793="","",IF(U1793="FINES",CONCATENATE("R",IF(OR(B1793="16",B1793="21",B1793="22",B1793="23"),"16212223",IF(OR(B1793="15",B1793="17",B1793="24",B1793="25"),"15172425",B1793))),IF(U1793="CEBAS","UNICO",IF(VALUE(B1793)&lt;=11,"AMBA","INTERIOR"))))</f>
        <v>R01</v>
      </c>
      <c r="W1793" s="38" t="str">
        <f>+IF(U1793="","-",CONCATENATE(U1793,"_",V1793))</f>
        <v>FINES_R01</v>
      </c>
      <c r="X1793" s="42">
        <v>0.92100000000000004</v>
      </c>
    </row>
    <row r="1794" spans="1:24">
      <c r="A1794" s="21" t="s">
        <v>5100</v>
      </c>
      <c r="B1794" t="s">
        <v>19</v>
      </c>
      <c r="C1794" t="s">
        <v>17</v>
      </c>
      <c r="D1794" t="s">
        <v>18</v>
      </c>
      <c r="E1794" s="7" t="s">
        <v>198</v>
      </c>
      <c r="F1794" s="7" t="s">
        <v>198</v>
      </c>
      <c r="G1794" s="7" t="s">
        <v>198</v>
      </c>
      <c r="H1794" s="7" t="s">
        <v>20</v>
      </c>
      <c r="I1794" s="7" t="s">
        <v>5102</v>
      </c>
      <c r="J1794" s="7" t="s">
        <v>21</v>
      </c>
      <c r="L1794" t="s">
        <v>3076</v>
      </c>
      <c r="M1794" s="7" t="s">
        <v>22</v>
      </c>
      <c r="N1794" s="7" t="s">
        <v>23</v>
      </c>
      <c r="O1794" s="7" t="s">
        <v>27</v>
      </c>
      <c r="P1794" s="7" t="s">
        <v>5101</v>
      </c>
      <c r="Q1794" s="26">
        <v>16</v>
      </c>
      <c r="R1794" s="26">
        <v>1</v>
      </c>
      <c r="S1794" s="40">
        <v>1</v>
      </c>
      <c r="T1794" s="7"/>
      <c r="U1794" s="7" t="s">
        <v>2951</v>
      </c>
      <c r="V1794" s="7" t="str">
        <f>+IF(U1794="","",IF(U1794="FINES",CONCATENATE("R",IF(OR(B1794="16",B1794="21",B1794="22",B1794="23"),"16212223",IF(OR(B1794="15",B1794="17",B1794="24",B1794="25"),"15172425",B1794))),IF(U1794="CEBAS","UNICO",IF(VALUE(B1794)&lt;=11,"AMBA","INTERIOR"))))</f>
        <v>R01</v>
      </c>
      <c r="W1794" s="38" t="str">
        <f>+IF(U1794="","-",CONCATENATE(U1794,"_",V1794))</f>
        <v>FINES_R01</v>
      </c>
      <c r="X1794" s="42">
        <v>0.92900000000000005</v>
      </c>
    </row>
    <row r="1795" spans="1:24">
      <c r="A1795" s="21" t="s">
        <v>5100</v>
      </c>
      <c r="B1795" t="s">
        <v>19</v>
      </c>
      <c r="C1795" t="s">
        <v>599</v>
      </c>
      <c r="D1795" t="s">
        <v>601</v>
      </c>
      <c r="E1795" s="7" t="s">
        <v>198</v>
      </c>
      <c r="F1795" s="7" t="s">
        <v>198</v>
      </c>
      <c r="G1795" s="7" t="s">
        <v>198</v>
      </c>
      <c r="H1795" s="7" t="s">
        <v>20</v>
      </c>
      <c r="I1795" s="7" t="s">
        <v>5102</v>
      </c>
      <c r="J1795" s="7" t="s">
        <v>21</v>
      </c>
      <c r="L1795" t="s">
        <v>2984</v>
      </c>
      <c r="M1795" s="7" t="s">
        <v>22</v>
      </c>
      <c r="N1795" s="7" t="s">
        <v>23</v>
      </c>
      <c r="O1795" s="7" t="s">
        <v>27</v>
      </c>
      <c r="P1795" s="7" t="s">
        <v>5101</v>
      </c>
      <c r="Q1795" s="26">
        <v>0</v>
      </c>
      <c r="R1795" s="26">
        <v>1</v>
      </c>
      <c r="S1795" s="40">
        <v>1</v>
      </c>
      <c r="T1795" s="7"/>
      <c r="U1795" s="7" t="s">
        <v>2951</v>
      </c>
      <c r="V1795" s="7" t="str">
        <f>+IF(U1795="","",IF(U1795="FINES",CONCATENATE("R",IF(OR(B1795="16",B1795="21",B1795="22",B1795="23"),"16212223",IF(OR(B1795="15",B1795="17",B1795="24",B1795="25"),"15172425",B1795))),IF(U1795="CEBAS","UNICO",IF(VALUE(B1795)&lt;=11,"AMBA","INTERIOR"))))</f>
        <v>R01</v>
      </c>
      <c r="W1795" s="38" t="str">
        <f>+IF(U1795="","-",CONCATENATE(U1795,"_",V1795))</f>
        <v>FINES_R01</v>
      </c>
      <c r="X1795" s="42">
        <v>0.95099999999999996</v>
      </c>
    </row>
    <row r="1796" spans="1:24">
      <c r="A1796" s="21" t="s">
        <v>5100</v>
      </c>
      <c r="B1796" t="s">
        <v>19</v>
      </c>
      <c r="C1796" t="s">
        <v>17</v>
      </c>
      <c r="D1796" t="s">
        <v>18</v>
      </c>
      <c r="E1796" s="7" t="s">
        <v>198</v>
      </c>
      <c r="F1796" s="7" t="s">
        <v>198</v>
      </c>
      <c r="G1796" s="7" t="s">
        <v>198</v>
      </c>
      <c r="H1796" s="7" t="s">
        <v>20</v>
      </c>
      <c r="I1796" s="7" t="s">
        <v>5102</v>
      </c>
      <c r="J1796" s="7" t="s">
        <v>21</v>
      </c>
      <c r="L1796" t="s">
        <v>3054</v>
      </c>
      <c r="M1796" s="7" t="s">
        <v>22</v>
      </c>
      <c r="N1796" s="7" t="s">
        <v>23</v>
      </c>
      <c r="O1796" s="7" t="s">
        <v>27</v>
      </c>
      <c r="P1796" s="7" t="s">
        <v>5101</v>
      </c>
      <c r="Q1796" s="26">
        <v>32</v>
      </c>
      <c r="R1796" s="26">
        <v>1</v>
      </c>
      <c r="S1796" s="40">
        <v>1</v>
      </c>
      <c r="T1796" s="7"/>
      <c r="U1796" s="7" t="s">
        <v>2951</v>
      </c>
      <c r="V1796" s="7" t="str">
        <f>+IF(U1796="","",IF(U1796="FINES",CONCATENATE("R",IF(OR(B1796="16",B1796="21",B1796="22",B1796="23"),"16212223",IF(OR(B1796="15",B1796="17",B1796="24",B1796="25"),"15172425",B1796))),IF(U1796="CEBAS","UNICO",IF(VALUE(B1796)&lt;=11,"AMBA","INTERIOR"))))</f>
        <v>R01</v>
      </c>
      <c r="W1796" s="38" t="str">
        <f>+IF(U1796="","-",CONCATENATE(U1796,"_",V1796))</f>
        <v>FINES_R01</v>
      </c>
      <c r="X1796" s="42">
        <v>0.95599999999999996</v>
      </c>
    </row>
    <row r="1797" spans="1:24">
      <c r="A1797" s="21" t="s">
        <v>5100</v>
      </c>
      <c r="B1797" t="s">
        <v>19</v>
      </c>
      <c r="C1797" t="s">
        <v>17</v>
      </c>
      <c r="D1797" t="s">
        <v>18</v>
      </c>
      <c r="E1797" s="7" t="s">
        <v>198</v>
      </c>
      <c r="F1797" s="7" t="s">
        <v>198</v>
      </c>
      <c r="G1797" s="7" t="s">
        <v>198</v>
      </c>
      <c r="H1797" s="7" t="s">
        <v>20</v>
      </c>
      <c r="I1797" s="7" t="s">
        <v>5102</v>
      </c>
      <c r="J1797" s="7" t="s">
        <v>21</v>
      </c>
      <c r="L1797" t="s">
        <v>3077</v>
      </c>
      <c r="M1797" s="7" t="s">
        <v>22</v>
      </c>
      <c r="N1797" s="7" t="s">
        <v>23</v>
      </c>
      <c r="O1797" s="7" t="s">
        <v>27</v>
      </c>
      <c r="P1797" s="7" t="s">
        <v>5101</v>
      </c>
      <c r="Q1797" s="26">
        <v>45</v>
      </c>
      <c r="R1797" s="26">
        <v>2</v>
      </c>
      <c r="S1797" s="40">
        <v>1</v>
      </c>
      <c r="T1797" s="7"/>
      <c r="U1797" s="7" t="s">
        <v>2951</v>
      </c>
      <c r="V1797" s="7" t="str">
        <f>+IF(U1797="","",IF(U1797="FINES",CONCATENATE("R",IF(OR(B1797="16",B1797="21",B1797="22",B1797="23"),"16212223",IF(OR(B1797="15",B1797="17",B1797="24",B1797="25"),"15172425",B1797))),IF(U1797="CEBAS","UNICO",IF(VALUE(B1797)&lt;=11,"AMBA","INTERIOR"))))</f>
        <v>R01</v>
      </c>
      <c r="W1797" s="38" t="str">
        <f>+IF(U1797="","-",CONCATENATE(U1797,"_",V1797))</f>
        <v>FINES_R01</v>
      </c>
      <c r="X1797" s="42">
        <v>0.96099999999999997</v>
      </c>
    </row>
    <row r="1798" spans="1:24">
      <c r="A1798" s="21" t="s">
        <v>5100</v>
      </c>
      <c r="B1798" t="s">
        <v>19</v>
      </c>
      <c r="C1798" t="s">
        <v>17</v>
      </c>
      <c r="D1798" t="s">
        <v>18</v>
      </c>
      <c r="E1798" s="7" t="s">
        <v>198</v>
      </c>
      <c r="F1798" s="7" t="s">
        <v>198</v>
      </c>
      <c r="G1798" s="7" t="s">
        <v>198</v>
      </c>
      <c r="H1798" s="7" t="s">
        <v>20</v>
      </c>
      <c r="I1798" s="7" t="s">
        <v>5102</v>
      </c>
      <c r="J1798" s="7" t="s">
        <v>21</v>
      </c>
      <c r="L1798" t="s">
        <v>3075</v>
      </c>
      <c r="M1798" s="7" t="s">
        <v>22</v>
      </c>
      <c r="N1798" s="7" t="s">
        <v>23</v>
      </c>
      <c r="O1798" s="7" t="s">
        <v>27</v>
      </c>
      <c r="P1798" s="7" t="s">
        <v>5101</v>
      </c>
      <c r="Q1798" s="26">
        <v>0</v>
      </c>
      <c r="R1798" s="26">
        <v>1</v>
      </c>
      <c r="S1798" s="40">
        <v>1</v>
      </c>
      <c r="T1798" s="7"/>
      <c r="U1798" s="7" t="s">
        <v>2951</v>
      </c>
      <c r="V1798" s="7" t="str">
        <f>+IF(U1798="","",IF(U1798="FINES",CONCATENATE("R",IF(OR(B1798="16",B1798="21",B1798="22",B1798="23"),"16212223",IF(OR(B1798="15",B1798="17",B1798="24",B1798="25"),"15172425",B1798))),IF(U1798="CEBAS","UNICO",IF(VALUE(B1798)&lt;=11,"AMBA","INTERIOR"))))</f>
        <v>R01</v>
      </c>
      <c r="W1798" s="38" t="str">
        <f>+IF(U1798="","-",CONCATENATE(U1798,"_",V1798))</f>
        <v>FINES_R01</v>
      </c>
      <c r="X1798" s="42">
        <v>0.96299999999999997</v>
      </c>
    </row>
    <row r="1799" spans="1:24">
      <c r="A1799" s="21" t="s">
        <v>5100</v>
      </c>
      <c r="B1799" t="s">
        <v>19</v>
      </c>
      <c r="C1799" t="s">
        <v>17</v>
      </c>
      <c r="D1799" t="s">
        <v>18</v>
      </c>
      <c r="E1799" s="7" t="s">
        <v>198</v>
      </c>
      <c r="F1799" s="7" t="s">
        <v>198</v>
      </c>
      <c r="G1799" s="7" t="s">
        <v>198</v>
      </c>
      <c r="H1799" s="7" t="s">
        <v>20</v>
      </c>
      <c r="I1799" s="7" t="s">
        <v>5102</v>
      </c>
      <c r="J1799" s="7" t="s">
        <v>21</v>
      </c>
      <c r="L1799" t="s">
        <v>3094</v>
      </c>
      <c r="M1799" s="7" t="s">
        <v>22</v>
      </c>
      <c r="N1799" s="7" t="s">
        <v>23</v>
      </c>
      <c r="O1799" s="7" t="s">
        <v>27</v>
      </c>
      <c r="P1799" s="7" t="s">
        <v>5101</v>
      </c>
      <c r="Q1799" s="26">
        <v>13</v>
      </c>
      <c r="R1799" s="26">
        <v>1</v>
      </c>
      <c r="S1799" s="40">
        <v>1</v>
      </c>
      <c r="T1799" s="7"/>
      <c r="U1799" s="7" t="s">
        <v>2951</v>
      </c>
      <c r="V1799" s="7" t="str">
        <f>+IF(U1799="","",IF(U1799="FINES",CONCATENATE("R",IF(OR(B1799="16",B1799="21",B1799="22",B1799="23"),"16212223",IF(OR(B1799="15",B1799="17",B1799="24",B1799="25"),"15172425",B1799))),IF(U1799="CEBAS","UNICO",IF(VALUE(B1799)&lt;=11,"AMBA","INTERIOR"))))</f>
        <v>R01</v>
      </c>
      <c r="W1799" s="38" t="str">
        <f>+IF(U1799="","-",CONCATENATE(U1799,"_",V1799))</f>
        <v>FINES_R01</v>
      </c>
      <c r="X1799" s="42">
        <v>0.96399999999999997</v>
      </c>
    </row>
    <row r="1800" spans="1:24">
      <c r="A1800" s="21" t="s">
        <v>5100</v>
      </c>
      <c r="B1800" t="s">
        <v>19</v>
      </c>
      <c r="C1800" t="s">
        <v>17</v>
      </c>
      <c r="D1800" t="s">
        <v>18</v>
      </c>
      <c r="E1800" s="7" t="s">
        <v>198</v>
      </c>
      <c r="F1800" s="7" t="s">
        <v>198</v>
      </c>
      <c r="G1800" s="7" t="s">
        <v>198</v>
      </c>
      <c r="H1800" s="7" t="s">
        <v>20</v>
      </c>
      <c r="I1800" s="7" t="s">
        <v>5102</v>
      </c>
      <c r="J1800" s="7" t="s">
        <v>21</v>
      </c>
      <c r="L1800" t="s">
        <v>3032</v>
      </c>
      <c r="M1800" s="7" t="s">
        <v>22</v>
      </c>
      <c r="N1800" s="7" t="s">
        <v>23</v>
      </c>
      <c r="O1800" s="7" t="s">
        <v>27</v>
      </c>
      <c r="P1800" s="7" t="s">
        <v>5101</v>
      </c>
      <c r="Q1800" s="26">
        <v>63</v>
      </c>
      <c r="R1800" s="26">
        <v>2</v>
      </c>
      <c r="S1800" s="40">
        <v>1</v>
      </c>
      <c r="T1800" s="7"/>
      <c r="U1800" s="7" t="s">
        <v>2951</v>
      </c>
      <c r="V1800" s="7" t="str">
        <f>+IF(U1800="","",IF(U1800="FINES",CONCATENATE("R",IF(OR(B1800="16",B1800="21",B1800="22",B1800="23"),"16212223",IF(OR(B1800="15",B1800="17",B1800="24",B1800="25"),"15172425",B1800))),IF(U1800="CEBAS","UNICO",IF(VALUE(B1800)&lt;=11,"AMBA","INTERIOR"))))</f>
        <v>R01</v>
      </c>
      <c r="W1800" s="38" t="str">
        <f>+IF(U1800="","-",CONCATENATE(U1800,"_",V1800))</f>
        <v>FINES_R01</v>
      </c>
      <c r="X1800" s="42">
        <v>0.96699999999999997</v>
      </c>
    </row>
    <row r="1801" spans="1:24">
      <c r="A1801" s="21" t="s">
        <v>5100</v>
      </c>
      <c r="B1801" t="s">
        <v>19</v>
      </c>
      <c r="C1801" t="s">
        <v>449</v>
      </c>
      <c r="D1801" t="s">
        <v>2590</v>
      </c>
      <c r="E1801" s="7" t="s">
        <v>198</v>
      </c>
      <c r="F1801" s="7" t="s">
        <v>198</v>
      </c>
      <c r="G1801" s="7" t="s">
        <v>198</v>
      </c>
      <c r="H1801" s="7" t="s">
        <v>20</v>
      </c>
      <c r="I1801" s="7" t="s">
        <v>5102</v>
      </c>
      <c r="J1801" s="7" t="s">
        <v>21</v>
      </c>
      <c r="L1801" t="s">
        <v>2999</v>
      </c>
      <c r="M1801" s="7" t="s">
        <v>22</v>
      </c>
      <c r="N1801" s="7" t="s">
        <v>23</v>
      </c>
      <c r="O1801" s="7" t="s">
        <v>27</v>
      </c>
      <c r="P1801" s="7" t="s">
        <v>5101</v>
      </c>
      <c r="Q1801" s="26">
        <v>11</v>
      </c>
      <c r="R1801" s="26">
        <v>1</v>
      </c>
      <c r="S1801" s="40">
        <v>1</v>
      </c>
      <c r="T1801" s="7"/>
      <c r="U1801" s="7" t="s">
        <v>2951</v>
      </c>
      <c r="V1801" s="7" t="str">
        <f>+IF(U1801="","",IF(U1801="FINES",CONCATENATE("R",IF(OR(B1801="16",B1801="21",B1801="22",B1801="23"),"16212223",IF(OR(B1801="15",B1801="17",B1801="24",B1801="25"),"15172425",B1801))),IF(U1801="CEBAS","UNICO",IF(VALUE(B1801)&lt;=11,"AMBA","INTERIOR"))))</f>
        <v>R01</v>
      </c>
      <c r="W1801" s="38" t="str">
        <f>+IF(U1801="","-",CONCATENATE(U1801,"_",V1801))</f>
        <v>FINES_R01</v>
      </c>
      <c r="X1801" s="42">
        <v>0.96699999999999997</v>
      </c>
    </row>
    <row r="1802" spans="1:24">
      <c r="A1802" s="21" t="s">
        <v>5100</v>
      </c>
      <c r="B1802" t="s">
        <v>19</v>
      </c>
      <c r="C1802" t="s">
        <v>17</v>
      </c>
      <c r="D1802" t="s">
        <v>18</v>
      </c>
      <c r="E1802" s="7" t="s">
        <v>198</v>
      </c>
      <c r="F1802" s="7" t="s">
        <v>198</v>
      </c>
      <c r="G1802" s="7" t="s">
        <v>198</v>
      </c>
      <c r="H1802" s="7" t="s">
        <v>20</v>
      </c>
      <c r="I1802" s="7" t="s">
        <v>5102</v>
      </c>
      <c r="J1802" s="7" t="s">
        <v>21</v>
      </c>
      <c r="L1802" t="s">
        <v>3058</v>
      </c>
      <c r="M1802" s="7" t="s">
        <v>22</v>
      </c>
      <c r="N1802" s="7" t="s">
        <v>23</v>
      </c>
      <c r="O1802" s="7" t="s">
        <v>27</v>
      </c>
      <c r="P1802" s="7" t="s">
        <v>5101</v>
      </c>
      <c r="Q1802" s="26">
        <v>150</v>
      </c>
      <c r="R1802" s="26">
        <v>8</v>
      </c>
      <c r="S1802" s="40">
        <v>1</v>
      </c>
      <c r="T1802" s="7"/>
      <c r="U1802" s="7" t="s">
        <v>2951</v>
      </c>
      <c r="V1802" s="7" t="str">
        <f>+IF(U1802="","",IF(U1802="FINES",CONCATENATE("R",IF(OR(B1802="16",B1802="21",B1802="22",B1802="23"),"16212223",IF(OR(B1802="15",B1802="17",B1802="24",B1802="25"),"15172425",B1802))),IF(U1802="CEBAS","UNICO",IF(VALUE(B1802)&lt;=11,"AMBA","INTERIOR"))))</f>
        <v>R01</v>
      </c>
      <c r="W1802" s="38" t="str">
        <f>+IF(U1802="","-",CONCATENATE(U1802,"_",V1802))</f>
        <v>FINES_R01</v>
      </c>
      <c r="X1802" s="42">
        <v>0.97899999999999998</v>
      </c>
    </row>
    <row r="1803" spans="1:24">
      <c r="A1803" s="21" t="s">
        <v>5100</v>
      </c>
      <c r="B1803" t="s">
        <v>19</v>
      </c>
      <c r="C1803" t="s">
        <v>599</v>
      </c>
      <c r="D1803" t="s">
        <v>601</v>
      </c>
      <c r="E1803" s="7" t="s">
        <v>198</v>
      </c>
      <c r="F1803" s="7" t="s">
        <v>198</v>
      </c>
      <c r="G1803" s="7" t="s">
        <v>198</v>
      </c>
      <c r="H1803" s="7" t="s">
        <v>20</v>
      </c>
      <c r="I1803" s="7" t="s">
        <v>5102</v>
      </c>
      <c r="J1803" s="7" t="s">
        <v>21</v>
      </c>
      <c r="L1803" t="s">
        <v>2985</v>
      </c>
      <c r="M1803" s="7" t="s">
        <v>22</v>
      </c>
      <c r="N1803" s="7" t="s">
        <v>23</v>
      </c>
      <c r="O1803" s="7" t="s">
        <v>27</v>
      </c>
      <c r="P1803" s="7" t="s">
        <v>5101</v>
      </c>
      <c r="Q1803" s="26">
        <v>29</v>
      </c>
      <c r="R1803" s="26">
        <v>2</v>
      </c>
      <c r="S1803" s="40">
        <v>1</v>
      </c>
      <c r="T1803" s="7"/>
      <c r="U1803" s="7" t="s">
        <v>2951</v>
      </c>
      <c r="V1803" s="7" t="str">
        <f>+IF(U1803="","",IF(U1803="FINES",CONCATENATE("R",IF(OR(B1803="16",B1803="21",B1803="22",B1803="23"),"16212223",IF(OR(B1803="15",B1803="17",B1803="24",B1803="25"),"15172425",B1803))),IF(U1803="CEBAS","UNICO",IF(VALUE(B1803)&lt;=11,"AMBA","INTERIOR"))))</f>
        <v>R01</v>
      </c>
      <c r="W1803" s="38" t="str">
        <f>+IF(U1803="","-",CONCATENATE(U1803,"_",V1803))</f>
        <v>FINES_R01</v>
      </c>
      <c r="X1803" s="42">
        <v>0.98399999999999999</v>
      </c>
    </row>
    <row r="1804" spans="1:24">
      <c r="A1804" s="21" t="s">
        <v>5100</v>
      </c>
      <c r="B1804" t="s">
        <v>19</v>
      </c>
      <c r="C1804" t="s">
        <v>599</v>
      </c>
      <c r="D1804" t="s">
        <v>601</v>
      </c>
      <c r="E1804" s="7" t="s">
        <v>198</v>
      </c>
      <c r="F1804" s="7" t="s">
        <v>198</v>
      </c>
      <c r="G1804" s="7" t="s">
        <v>198</v>
      </c>
      <c r="H1804" s="7" t="s">
        <v>20</v>
      </c>
      <c r="I1804" s="7" t="s">
        <v>5102</v>
      </c>
      <c r="J1804" s="7" t="s">
        <v>21</v>
      </c>
      <c r="L1804" t="s">
        <v>2986</v>
      </c>
      <c r="M1804" s="7" t="s">
        <v>22</v>
      </c>
      <c r="N1804" s="7" t="s">
        <v>23</v>
      </c>
      <c r="O1804" s="7" t="s">
        <v>27</v>
      </c>
      <c r="P1804" s="7" t="s">
        <v>5101</v>
      </c>
      <c r="Q1804" s="26">
        <v>7</v>
      </c>
      <c r="R1804" s="26">
        <v>1</v>
      </c>
      <c r="S1804" s="40">
        <v>1</v>
      </c>
      <c r="T1804" s="7"/>
      <c r="U1804" s="7" t="s">
        <v>2951</v>
      </c>
      <c r="V1804" s="7" t="str">
        <f>+IF(U1804="","",IF(U1804="FINES",CONCATENATE("R",IF(OR(B1804="16",B1804="21",B1804="22",B1804="23"),"16212223",IF(OR(B1804="15",B1804="17",B1804="24",B1804="25"),"15172425",B1804))),IF(U1804="CEBAS","UNICO",IF(VALUE(B1804)&lt;=11,"AMBA","INTERIOR"))))</f>
        <v>R01</v>
      </c>
      <c r="W1804" s="38" t="str">
        <f>+IF(U1804="","-",CONCATENATE(U1804,"_",V1804))</f>
        <v>FINES_R01</v>
      </c>
      <c r="X1804" s="42">
        <v>0.98599999999999999</v>
      </c>
    </row>
    <row r="1805" spans="1:24">
      <c r="A1805" s="21" t="s">
        <v>5100</v>
      </c>
      <c r="B1805" t="s">
        <v>19</v>
      </c>
      <c r="C1805" t="s">
        <v>252</v>
      </c>
      <c r="D1805" t="s">
        <v>2566</v>
      </c>
      <c r="E1805" s="7" t="s">
        <v>198</v>
      </c>
      <c r="F1805" s="7" t="s">
        <v>198</v>
      </c>
      <c r="G1805" s="7" t="s">
        <v>198</v>
      </c>
      <c r="H1805" s="7" t="s">
        <v>20</v>
      </c>
      <c r="I1805" s="7" t="s">
        <v>5102</v>
      </c>
      <c r="J1805" s="7" t="s">
        <v>21</v>
      </c>
      <c r="L1805" t="s">
        <v>2973</v>
      </c>
      <c r="M1805" s="7" t="s">
        <v>22</v>
      </c>
      <c r="N1805" s="7" t="s">
        <v>23</v>
      </c>
      <c r="O1805" s="7" t="s">
        <v>27</v>
      </c>
      <c r="P1805" s="7" t="s">
        <v>5101</v>
      </c>
      <c r="Q1805" s="26">
        <v>0</v>
      </c>
      <c r="R1805" s="26">
        <v>1</v>
      </c>
      <c r="S1805" s="40">
        <v>1</v>
      </c>
      <c r="T1805" s="7"/>
      <c r="U1805" s="7" t="s">
        <v>2951</v>
      </c>
      <c r="V1805" s="7" t="str">
        <f>+IF(U1805="","",IF(U1805="FINES",CONCATENATE("R",IF(OR(B1805="16",B1805="21",B1805="22",B1805="23"),"16212223",IF(OR(B1805="15",B1805="17",B1805="24",B1805="25"),"15172425",B1805))),IF(U1805="CEBAS","UNICO",IF(VALUE(B1805)&lt;=11,"AMBA","INTERIOR"))))</f>
        <v>R01</v>
      </c>
      <c r="W1805" s="38" t="str">
        <f>+IF(U1805="","-",CONCATENATE(U1805,"_",V1805))</f>
        <v>FINES_R01</v>
      </c>
      <c r="X1805" s="42">
        <v>0.98899999999999999</v>
      </c>
    </row>
    <row r="1806" spans="1:24">
      <c r="A1806" s="21" t="s">
        <v>5100</v>
      </c>
      <c r="B1806" t="s">
        <v>356</v>
      </c>
      <c r="C1806" t="s">
        <v>1359</v>
      </c>
      <c r="D1806" t="s">
        <v>1360</v>
      </c>
      <c r="E1806" s="7" t="s">
        <v>198</v>
      </c>
      <c r="F1806" s="7" t="s">
        <v>198</v>
      </c>
      <c r="G1806" s="7" t="s">
        <v>198</v>
      </c>
      <c r="H1806" s="7" t="s">
        <v>20</v>
      </c>
      <c r="I1806" s="7" t="s">
        <v>5102</v>
      </c>
      <c r="J1806" s="7" t="s">
        <v>21</v>
      </c>
      <c r="L1806" t="s">
        <v>2836</v>
      </c>
      <c r="M1806" s="7" t="s">
        <v>22</v>
      </c>
      <c r="N1806" s="7" t="s">
        <v>23</v>
      </c>
      <c r="O1806" s="7" t="s">
        <v>27</v>
      </c>
      <c r="P1806" s="7" t="s">
        <v>5101</v>
      </c>
      <c r="Q1806" s="26">
        <v>13</v>
      </c>
      <c r="R1806" s="26">
        <v>1</v>
      </c>
      <c r="S1806" s="40">
        <v>1</v>
      </c>
      <c r="T1806" s="7"/>
      <c r="U1806" s="7" t="s">
        <v>2951</v>
      </c>
      <c r="V1806" s="7" t="str">
        <f>+IF(U1806="","",IF(U1806="FINES",CONCATENATE("R",IF(OR(B1806="16",B1806="21",B1806="22",B1806="23"),"16212223",IF(OR(B1806="15",B1806="17",B1806="24",B1806="25"),"15172425",B1806))),IF(U1806="CEBAS","UNICO",IF(VALUE(B1806)&lt;=11,"AMBA","INTERIOR"))))</f>
        <v>R02</v>
      </c>
      <c r="W1806" s="38" t="str">
        <f>+IF(U1806="","-",CONCATENATE(U1806,"_",V1806))</f>
        <v>FINES_R02</v>
      </c>
      <c r="X1806" s="42">
        <v>1E-3</v>
      </c>
    </row>
    <row r="1807" spans="1:24">
      <c r="A1807" s="21" t="s">
        <v>5100</v>
      </c>
      <c r="B1807" t="s">
        <v>356</v>
      </c>
      <c r="C1807" t="s">
        <v>1359</v>
      </c>
      <c r="D1807" t="s">
        <v>1360</v>
      </c>
      <c r="E1807" s="7" t="s">
        <v>198</v>
      </c>
      <c r="F1807" s="7" t="s">
        <v>198</v>
      </c>
      <c r="G1807" s="7" t="s">
        <v>198</v>
      </c>
      <c r="H1807" s="7" t="s">
        <v>20</v>
      </c>
      <c r="I1807" s="7" t="s">
        <v>5102</v>
      </c>
      <c r="J1807" s="7" t="s">
        <v>21</v>
      </c>
      <c r="L1807" t="s">
        <v>3273</v>
      </c>
      <c r="M1807" s="7" t="s">
        <v>22</v>
      </c>
      <c r="N1807" s="7" t="s">
        <v>23</v>
      </c>
      <c r="O1807" s="7" t="s">
        <v>27</v>
      </c>
      <c r="P1807" s="7" t="s">
        <v>5101</v>
      </c>
      <c r="Q1807" s="26">
        <v>30</v>
      </c>
      <c r="R1807" s="26">
        <v>2</v>
      </c>
      <c r="S1807" s="40">
        <v>1</v>
      </c>
      <c r="T1807" s="7"/>
      <c r="U1807" s="7" t="s">
        <v>2951</v>
      </c>
      <c r="V1807" s="7" t="str">
        <f>+IF(U1807="","",IF(U1807="FINES",CONCATENATE("R",IF(OR(B1807="16",B1807="21",B1807="22",B1807="23"),"16212223",IF(OR(B1807="15",B1807="17",B1807="24",B1807="25"),"15172425",B1807))),IF(U1807="CEBAS","UNICO",IF(VALUE(B1807)&lt;=11,"AMBA","INTERIOR"))))</f>
        <v>R02</v>
      </c>
      <c r="W1807" s="38" t="str">
        <f>+IF(U1807="","-",CONCATENATE(U1807,"_",V1807))</f>
        <v>FINES_R02</v>
      </c>
      <c r="X1807" s="42">
        <v>3.0000000000000001E-3</v>
      </c>
    </row>
    <row r="1808" spans="1:24">
      <c r="A1808" s="21" t="s">
        <v>5100</v>
      </c>
      <c r="B1808" t="s">
        <v>356</v>
      </c>
      <c r="C1808" t="s">
        <v>353</v>
      </c>
      <c r="D1808" t="s">
        <v>355</v>
      </c>
      <c r="E1808" s="7" t="s">
        <v>198</v>
      </c>
      <c r="F1808" s="7" t="s">
        <v>198</v>
      </c>
      <c r="G1808" s="7" t="s">
        <v>198</v>
      </c>
      <c r="H1808" s="7" t="s">
        <v>20</v>
      </c>
      <c r="I1808" s="7" t="s">
        <v>5102</v>
      </c>
      <c r="J1808" s="7" t="s">
        <v>21</v>
      </c>
      <c r="L1808" t="s">
        <v>3146</v>
      </c>
      <c r="M1808" s="7" t="s">
        <v>22</v>
      </c>
      <c r="N1808" s="7" t="s">
        <v>23</v>
      </c>
      <c r="O1808" s="7" t="s">
        <v>27</v>
      </c>
      <c r="P1808" s="7" t="s">
        <v>5101</v>
      </c>
      <c r="Q1808" s="26">
        <v>14</v>
      </c>
      <c r="R1808" s="26">
        <v>1</v>
      </c>
      <c r="S1808" s="40">
        <v>1</v>
      </c>
      <c r="T1808" s="7"/>
      <c r="U1808" s="7" t="s">
        <v>2951</v>
      </c>
      <c r="V1808" s="7" t="str">
        <f>+IF(U1808="","",IF(U1808="FINES",CONCATENATE("R",IF(OR(B1808="16",B1808="21",B1808="22",B1808="23"),"16212223",IF(OR(B1808="15",B1808="17",B1808="24",B1808="25"),"15172425",B1808))),IF(U1808="CEBAS","UNICO",IF(VALUE(B1808)&lt;=11,"AMBA","INTERIOR"))))</f>
        <v>R02</v>
      </c>
      <c r="W1808" s="38" t="str">
        <f>+IF(U1808="","-",CONCATENATE(U1808,"_",V1808))</f>
        <v>FINES_R02</v>
      </c>
      <c r="X1808" s="42">
        <v>7.0000000000000001E-3</v>
      </c>
    </row>
    <row r="1809" spans="1:24">
      <c r="A1809" s="21" t="s">
        <v>5100</v>
      </c>
      <c r="B1809" t="s">
        <v>356</v>
      </c>
      <c r="C1809" t="s">
        <v>1359</v>
      </c>
      <c r="D1809" t="s">
        <v>1360</v>
      </c>
      <c r="E1809" s="7" t="s">
        <v>198</v>
      </c>
      <c r="F1809" s="7" t="s">
        <v>198</v>
      </c>
      <c r="G1809" s="7" t="s">
        <v>198</v>
      </c>
      <c r="H1809" s="7" t="s">
        <v>20</v>
      </c>
      <c r="I1809" s="7" t="s">
        <v>5102</v>
      </c>
      <c r="J1809" s="7" t="s">
        <v>21</v>
      </c>
      <c r="L1809" t="s">
        <v>1066</v>
      </c>
      <c r="M1809" s="7" t="s">
        <v>22</v>
      </c>
      <c r="N1809" s="7" t="s">
        <v>23</v>
      </c>
      <c r="O1809" s="7" t="s">
        <v>27</v>
      </c>
      <c r="P1809" s="7" t="s">
        <v>5101</v>
      </c>
      <c r="Q1809" s="26">
        <v>35</v>
      </c>
      <c r="R1809" s="26">
        <v>3</v>
      </c>
      <c r="S1809" s="40">
        <v>1</v>
      </c>
      <c r="T1809" s="7"/>
      <c r="U1809" s="7" t="s">
        <v>2951</v>
      </c>
      <c r="V1809" s="7" t="str">
        <f>+IF(U1809="","",IF(U1809="FINES",CONCATENATE("R",IF(OR(B1809="16",B1809="21",B1809="22",B1809="23"),"16212223",IF(OR(B1809="15",B1809="17",B1809="24",B1809="25"),"15172425",B1809))),IF(U1809="CEBAS","UNICO",IF(VALUE(B1809)&lt;=11,"AMBA","INTERIOR"))))</f>
        <v>R02</v>
      </c>
      <c r="W1809" s="38" t="str">
        <f>+IF(U1809="","-",CONCATENATE(U1809,"_",V1809))</f>
        <v>FINES_R02</v>
      </c>
      <c r="X1809" s="42">
        <v>0.01</v>
      </c>
    </row>
    <row r="1810" spans="1:24">
      <c r="A1810" s="21" t="s">
        <v>5100</v>
      </c>
      <c r="B1810" t="s">
        <v>356</v>
      </c>
      <c r="C1810" t="s">
        <v>353</v>
      </c>
      <c r="D1810" t="s">
        <v>355</v>
      </c>
      <c r="E1810" s="7" t="s">
        <v>198</v>
      </c>
      <c r="F1810" s="7" t="s">
        <v>198</v>
      </c>
      <c r="G1810" s="7" t="s">
        <v>198</v>
      </c>
      <c r="H1810" s="7" t="s">
        <v>20</v>
      </c>
      <c r="I1810" s="7" t="s">
        <v>5102</v>
      </c>
      <c r="J1810" s="7" t="s">
        <v>21</v>
      </c>
      <c r="L1810" t="s">
        <v>3132</v>
      </c>
      <c r="M1810" s="7" t="s">
        <v>22</v>
      </c>
      <c r="N1810" s="7" t="s">
        <v>23</v>
      </c>
      <c r="O1810" s="7" t="s">
        <v>27</v>
      </c>
      <c r="P1810" s="7" t="s">
        <v>5101</v>
      </c>
      <c r="Q1810" s="26">
        <v>21</v>
      </c>
      <c r="R1810" s="26">
        <v>1</v>
      </c>
      <c r="S1810" s="40">
        <v>1</v>
      </c>
      <c r="T1810" s="7"/>
      <c r="U1810" s="7" t="s">
        <v>2951</v>
      </c>
      <c r="V1810" s="7" t="str">
        <f>+IF(U1810="","",IF(U1810="FINES",CONCATENATE("R",IF(OR(B1810="16",B1810="21",B1810="22",B1810="23"),"16212223",IF(OR(B1810="15",B1810="17",B1810="24",B1810="25"),"15172425",B1810))),IF(U1810="CEBAS","UNICO",IF(VALUE(B1810)&lt;=11,"AMBA","INTERIOR"))))</f>
        <v>R02</v>
      </c>
      <c r="W1810" s="38" t="str">
        <f>+IF(U1810="","-",CONCATENATE(U1810,"_",V1810))</f>
        <v>FINES_R02</v>
      </c>
      <c r="X1810" s="42">
        <v>2.1000000000000001E-2</v>
      </c>
    </row>
    <row r="1811" spans="1:24">
      <c r="A1811" s="21" t="s">
        <v>5100</v>
      </c>
      <c r="B1811" t="s">
        <v>356</v>
      </c>
      <c r="C1811" t="s">
        <v>353</v>
      </c>
      <c r="D1811" t="s">
        <v>355</v>
      </c>
      <c r="E1811" s="7" t="s">
        <v>198</v>
      </c>
      <c r="F1811" s="7" t="s">
        <v>198</v>
      </c>
      <c r="G1811" s="7" t="s">
        <v>198</v>
      </c>
      <c r="H1811" s="7" t="s">
        <v>20</v>
      </c>
      <c r="I1811" s="7" t="s">
        <v>5102</v>
      </c>
      <c r="J1811" s="7" t="s">
        <v>21</v>
      </c>
      <c r="L1811" t="s">
        <v>3151</v>
      </c>
      <c r="M1811" s="7" t="s">
        <v>22</v>
      </c>
      <c r="N1811" s="7" t="s">
        <v>23</v>
      </c>
      <c r="O1811" s="7" t="s">
        <v>27</v>
      </c>
      <c r="P1811" s="7" t="s">
        <v>5101</v>
      </c>
      <c r="Q1811" s="26">
        <v>25</v>
      </c>
      <c r="R1811" s="26">
        <v>1</v>
      </c>
      <c r="S1811" s="40">
        <v>1</v>
      </c>
      <c r="T1811" s="7"/>
      <c r="U1811" s="7" t="s">
        <v>2951</v>
      </c>
      <c r="V1811" s="7" t="str">
        <f>+IF(U1811="","",IF(U1811="FINES",CONCATENATE("R",IF(OR(B1811="16",B1811="21",B1811="22",B1811="23"),"16212223",IF(OR(B1811="15",B1811="17",B1811="24",B1811="25"),"15172425",B1811))),IF(U1811="CEBAS","UNICO",IF(VALUE(B1811)&lt;=11,"AMBA","INTERIOR"))))</f>
        <v>R02</v>
      </c>
      <c r="W1811" s="38" t="str">
        <f>+IF(U1811="","-",CONCATENATE(U1811,"_",V1811))</f>
        <v>FINES_R02</v>
      </c>
      <c r="X1811" s="42">
        <v>2.4E-2</v>
      </c>
    </row>
    <row r="1812" spans="1:24">
      <c r="A1812" s="21" t="s">
        <v>5100</v>
      </c>
      <c r="B1812" t="s">
        <v>356</v>
      </c>
      <c r="C1812" t="s">
        <v>805</v>
      </c>
      <c r="D1812" t="s">
        <v>2500</v>
      </c>
      <c r="E1812" s="7" t="s">
        <v>198</v>
      </c>
      <c r="F1812" s="7" t="s">
        <v>198</v>
      </c>
      <c r="G1812" s="7" t="s">
        <v>198</v>
      </c>
      <c r="H1812" s="7" t="s">
        <v>20</v>
      </c>
      <c r="I1812" s="7" t="s">
        <v>5102</v>
      </c>
      <c r="J1812" s="7" t="s">
        <v>21</v>
      </c>
      <c r="L1812" t="s">
        <v>3221</v>
      </c>
      <c r="M1812" s="7" t="s">
        <v>22</v>
      </c>
      <c r="N1812" s="7" t="s">
        <v>23</v>
      </c>
      <c r="O1812" s="7" t="s">
        <v>27</v>
      </c>
      <c r="P1812" s="7" t="s">
        <v>5101</v>
      </c>
      <c r="Q1812" s="26">
        <v>11</v>
      </c>
      <c r="R1812" s="26">
        <v>1</v>
      </c>
      <c r="S1812" s="40">
        <v>1</v>
      </c>
      <c r="T1812" s="7"/>
      <c r="U1812" s="7" t="s">
        <v>2951</v>
      </c>
      <c r="V1812" s="7" t="str">
        <f>+IF(U1812="","",IF(U1812="FINES",CONCATENATE("R",IF(OR(B1812="16",B1812="21",B1812="22",B1812="23"),"16212223",IF(OR(B1812="15",B1812="17",B1812="24",B1812="25"),"15172425",B1812))),IF(U1812="CEBAS","UNICO",IF(VALUE(B1812)&lt;=11,"AMBA","INTERIOR"))))</f>
        <v>R02</v>
      </c>
      <c r="W1812" s="38" t="str">
        <f>+IF(U1812="","-",CONCATENATE(U1812,"_",V1812))</f>
        <v>FINES_R02</v>
      </c>
      <c r="X1812" s="42">
        <v>3.5000000000000003E-2</v>
      </c>
    </row>
    <row r="1813" spans="1:24">
      <c r="A1813" s="21" t="s">
        <v>5100</v>
      </c>
      <c r="B1813" t="s">
        <v>356</v>
      </c>
      <c r="C1813" t="s">
        <v>1359</v>
      </c>
      <c r="D1813" t="s">
        <v>1360</v>
      </c>
      <c r="E1813" s="7" t="s">
        <v>198</v>
      </c>
      <c r="F1813" s="7" t="s">
        <v>198</v>
      </c>
      <c r="G1813" s="7" t="s">
        <v>198</v>
      </c>
      <c r="H1813" s="7" t="s">
        <v>20</v>
      </c>
      <c r="I1813" s="7" t="s">
        <v>5102</v>
      </c>
      <c r="J1813" s="7" t="s">
        <v>21</v>
      </c>
      <c r="L1813" t="s">
        <v>3228</v>
      </c>
      <c r="M1813" s="7" t="s">
        <v>22</v>
      </c>
      <c r="N1813" s="7" t="s">
        <v>23</v>
      </c>
      <c r="O1813" s="7" t="s">
        <v>27</v>
      </c>
      <c r="P1813" s="7" t="s">
        <v>5101</v>
      </c>
      <c r="Q1813" s="26">
        <v>62</v>
      </c>
      <c r="R1813" s="26">
        <v>5</v>
      </c>
      <c r="S1813" s="40">
        <v>1</v>
      </c>
      <c r="T1813" s="7"/>
      <c r="U1813" s="7" t="s">
        <v>2951</v>
      </c>
      <c r="V1813" s="7" t="str">
        <f>+IF(U1813="","",IF(U1813="FINES",CONCATENATE("R",IF(OR(B1813="16",B1813="21",B1813="22",B1813="23"),"16212223",IF(OR(B1813="15",B1813="17",B1813="24",B1813="25"),"15172425",B1813))),IF(U1813="CEBAS","UNICO",IF(VALUE(B1813)&lt;=11,"AMBA","INTERIOR"))))</f>
        <v>R02</v>
      </c>
      <c r="W1813" s="38" t="str">
        <f>+IF(U1813="","-",CONCATENATE(U1813,"_",V1813))</f>
        <v>FINES_R02</v>
      </c>
      <c r="X1813" s="42">
        <v>3.6999999999999998E-2</v>
      </c>
    </row>
    <row r="1814" spans="1:24">
      <c r="A1814" s="21" t="s">
        <v>5100</v>
      </c>
      <c r="B1814" t="s">
        <v>356</v>
      </c>
      <c r="C1814" t="s">
        <v>805</v>
      </c>
      <c r="D1814" t="s">
        <v>2500</v>
      </c>
      <c r="E1814" s="7" t="s">
        <v>198</v>
      </c>
      <c r="F1814" s="7" t="s">
        <v>198</v>
      </c>
      <c r="G1814" s="7" t="s">
        <v>198</v>
      </c>
      <c r="H1814" s="7" t="s">
        <v>20</v>
      </c>
      <c r="I1814" s="7" t="s">
        <v>5102</v>
      </c>
      <c r="J1814" s="7" t="s">
        <v>21</v>
      </c>
      <c r="L1814" t="s">
        <v>3211</v>
      </c>
      <c r="M1814" s="7" t="s">
        <v>22</v>
      </c>
      <c r="N1814" s="7" t="s">
        <v>23</v>
      </c>
      <c r="O1814" s="7" t="s">
        <v>27</v>
      </c>
      <c r="P1814" s="7" t="s">
        <v>5101</v>
      </c>
      <c r="Q1814" s="26">
        <v>37</v>
      </c>
      <c r="R1814" s="26">
        <v>2</v>
      </c>
      <c r="S1814" s="40">
        <v>1</v>
      </c>
      <c r="T1814" s="7"/>
      <c r="U1814" s="7" t="s">
        <v>2951</v>
      </c>
      <c r="V1814" s="7" t="str">
        <f>+IF(U1814="","",IF(U1814="FINES",CONCATENATE("R",IF(OR(B1814="16",B1814="21",B1814="22",B1814="23"),"16212223",IF(OR(B1814="15",B1814="17",B1814="24",B1814="25"),"15172425",B1814))),IF(U1814="CEBAS","UNICO",IF(VALUE(B1814)&lt;=11,"AMBA","INTERIOR"))))</f>
        <v>R02</v>
      </c>
      <c r="W1814" s="38" t="str">
        <f>+IF(U1814="","-",CONCATENATE(U1814,"_",V1814))</f>
        <v>FINES_R02</v>
      </c>
      <c r="X1814" s="42">
        <v>0.06</v>
      </c>
    </row>
    <row r="1815" spans="1:24">
      <c r="A1815" s="21" t="s">
        <v>5100</v>
      </c>
      <c r="B1815" t="s">
        <v>356</v>
      </c>
      <c r="C1815" t="s">
        <v>1359</v>
      </c>
      <c r="D1815" t="s">
        <v>1360</v>
      </c>
      <c r="E1815" s="7" t="s">
        <v>198</v>
      </c>
      <c r="F1815" s="7" t="s">
        <v>198</v>
      </c>
      <c r="G1815" s="7" t="s">
        <v>198</v>
      </c>
      <c r="H1815" s="7" t="s">
        <v>20</v>
      </c>
      <c r="I1815" s="7" t="s">
        <v>5102</v>
      </c>
      <c r="J1815" s="7" t="s">
        <v>21</v>
      </c>
      <c r="L1815" t="s">
        <v>3274</v>
      </c>
      <c r="M1815" s="7" t="s">
        <v>22</v>
      </c>
      <c r="N1815" s="7" t="s">
        <v>23</v>
      </c>
      <c r="O1815" s="7" t="s">
        <v>27</v>
      </c>
      <c r="P1815" s="7" t="s">
        <v>5101</v>
      </c>
      <c r="Q1815" s="26">
        <v>40</v>
      </c>
      <c r="R1815" s="26">
        <v>3</v>
      </c>
      <c r="S1815" s="40">
        <v>1</v>
      </c>
      <c r="T1815" s="7"/>
      <c r="U1815" s="7" t="s">
        <v>2951</v>
      </c>
      <c r="V1815" s="7" t="str">
        <f>+IF(U1815="","",IF(U1815="FINES",CONCATENATE("R",IF(OR(B1815="16",B1815="21",B1815="22",B1815="23"),"16212223",IF(OR(B1815="15",B1815="17",B1815="24",B1815="25"),"15172425",B1815))),IF(U1815="CEBAS","UNICO",IF(VALUE(B1815)&lt;=11,"AMBA","INTERIOR"))))</f>
        <v>R02</v>
      </c>
      <c r="W1815" s="38" t="str">
        <f>+IF(U1815="","-",CONCATENATE(U1815,"_",V1815))</f>
        <v>FINES_R02</v>
      </c>
      <c r="X1815" s="42">
        <v>6.4000000000000001E-2</v>
      </c>
    </row>
    <row r="1816" spans="1:24">
      <c r="A1816" s="21" t="s">
        <v>5100</v>
      </c>
      <c r="B1816" t="s">
        <v>356</v>
      </c>
      <c r="C1816" t="s">
        <v>1359</v>
      </c>
      <c r="D1816" t="s">
        <v>1360</v>
      </c>
      <c r="E1816" s="7" t="s">
        <v>198</v>
      </c>
      <c r="F1816" s="7" t="s">
        <v>198</v>
      </c>
      <c r="G1816" s="7" t="s">
        <v>198</v>
      </c>
      <c r="H1816" s="7" t="s">
        <v>20</v>
      </c>
      <c r="I1816" s="7" t="s">
        <v>5102</v>
      </c>
      <c r="J1816" s="7" t="s">
        <v>21</v>
      </c>
      <c r="L1816" t="s">
        <v>3296</v>
      </c>
      <c r="M1816" s="7" t="s">
        <v>22</v>
      </c>
      <c r="N1816" s="7" t="s">
        <v>23</v>
      </c>
      <c r="O1816" s="7" t="s">
        <v>27</v>
      </c>
      <c r="P1816" s="7" t="s">
        <v>5101</v>
      </c>
      <c r="Q1816" s="26">
        <v>15</v>
      </c>
      <c r="R1816" s="26">
        <v>1</v>
      </c>
      <c r="S1816" s="40">
        <v>1</v>
      </c>
      <c r="T1816" s="7"/>
      <c r="U1816" s="7" t="s">
        <v>2951</v>
      </c>
      <c r="V1816" s="7" t="str">
        <f>+IF(U1816="","",IF(U1816="FINES",CONCATENATE("R",IF(OR(B1816="16",B1816="21",B1816="22",B1816="23"),"16212223",IF(OR(B1816="15",B1816="17",B1816="24",B1816="25"),"15172425",B1816))),IF(U1816="CEBAS","UNICO",IF(VALUE(B1816)&lt;=11,"AMBA","INTERIOR"))))</f>
        <v>R02</v>
      </c>
      <c r="W1816" s="38" t="str">
        <f>+IF(U1816="","-",CONCATENATE(U1816,"_",V1816))</f>
        <v>FINES_R02</v>
      </c>
      <c r="X1816" s="42">
        <v>7.2999999999999995E-2</v>
      </c>
    </row>
    <row r="1817" spans="1:24">
      <c r="A1817" s="21" t="s">
        <v>5100</v>
      </c>
      <c r="B1817" t="s">
        <v>356</v>
      </c>
      <c r="C1817" t="s">
        <v>1359</v>
      </c>
      <c r="D1817" t="s">
        <v>1360</v>
      </c>
      <c r="E1817" s="7" t="s">
        <v>198</v>
      </c>
      <c r="F1817" s="7" t="s">
        <v>198</v>
      </c>
      <c r="G1817" s="7" t="s">
        <v>198</v>
      </c>
      <c r="H1817" s="7" t="s">
        <v>20</v>
      </c>
      <c r="I1817" s="7" t="s">
        <v>5102</v>
      </c>
      <c r="J1817" s="7" t="s">
        <v>21</v>
      </c>
      <c r="L1817" t="s">
        <v>3311</v>
      </c>
      <c r="M1817" s="7" t="s">
        <v>22</v>
      </c>
      <c r="N1817" s="7" t="s">
        <v>23</v>
      </c>
      <c r="O1817" s="7" t="s">
        <v>27</v>
      </c>
      <c r="P1817" s="7" t="s">
        <v>5101</v>
      </c>
      <c r="Q1817" s="26">
        <v>25</v>
      </c>
      <c r="R1817" s="26">
        <v>1</v>
      </c>
      <c r="S1817" s="40">
        <v>1</v>
      </c>
      <c r="T1817" s="7"/>
      <c r="U1817" s="7" t="s">
        <v>2951</v>
      </c>
      <c r="V1817" s="7" t="str">
        <f>+IF(U1817="","",IF(U1817="FINES",CONCATENATE("R",IF(OR(B1817="16",B1817="21",B1817="22",B1817="23"),"16212223",IF(OR(B1817="15",B1817="17",B1817="24",B1817="25"),"15172425",B1817))),IF(U1817="CEBAS","UNICO",IF(VALUE(B1817)&lt;=11,"AMBA","INTERIOR"))))</f>
        <v>R02</v>
      </c>
      <c r="W1817" s="38" t="str">
        <f>+IF(U1817="","-",CONCATENATE(U1817,"_",V1817))</f>
        <v>FINES_R02</v>
      </c>
      <c r="X1817" s="42">
        <v>8.2000000000000003E-2</v>
      </c>
    </row>
    <row r="1818" spans="1:24">
      <c r="A1818" s="21" t="s">
        <v>5100</v>
      </c>
      <c r="B1818" t="s">
        <v>356</v>
      </c>
      <c r="C1818" t="s">
        <v>353</v>
      </c>
      <c r="D1818" t="s">
        <v>355</v>
      </c>
      <c r="E1818" s="7" t="s">
        <v>198</v>
      </c>
      <c r="F1818" s="7" t="s">
        <v>198</v>
      </c>
      <c r="G1818" s="7" t="s">
        <v>198</v>
      </c>
      <c r="H1818" s="7" t="s">
        <v>20</v>
      </c>
      <c r="I1818" s="7" t="s">
        <v>5102</v>
      </c>
      <c r="J1818" s="7" t="s">
        <v>21</v>
      </c>
      <c r="L1818" t="s">
        <v>3193</v>
      </c>
      <c r="M1818" s="7" t="s">
        <v>22</v>
      </c>
      <c r="N1818" s="7" t="s">
        <v>23</v>
      </c>
      <c r="O1818" s="7" t="s">
        <v>27</v>
      </c>
      <c r="P1818" s="7" t="s">
        <v>5101</v>
      </c>
      <c r="Q1818" s="26">
        <v>17</v>
      </c>
      <c r="R1818" s="26">
        <v>1</v>
      </c>
      <c r="S1818" s="40">
        <v>1</v>
      </c>
      <c r="T1818" s="7"/>
      <c r="U1818" s="7" t="s">
        <v>2951</v>
      </c>
      <c r="V1818" s="7" t="str">
        <f>+IF(U1818="","",IF(U1818="FINES",CONCATENATE("R",IF(OR(B1818="16",B1818="21",B1818="22",B1818="23"),"16212223",IF(OR(B1818="15",B1818="17",B1818="24",B1818="25"),"15172425",B1818))),IF(U1818="CEBAS","UNICO",IF(VALUE(B1818)&lt;=11,"AMBA","INTERIOR"))))</f>
        <v>R02</v>
      </c>
      <c r="W1818" s="38" t="str">
        <f>+IF(U1818="","-",CONCATENATE(U1818,"_",V1818))</f>
        <v>FINES_R02</v>
      </c>
      <c r="X1818" s="42">
        <v>9.4E-2</v>
      </c>
    </row>
    <row r="1819" spans="1:24">
      <c r="A1819" s="21" t="s">
        <v>5100</v>
      </c>
      <c r="B1819" t="s">
        <v>356</v>
      </c>
      <c r="C1819" t="s">
        <v>1359</v>
      </c>
      <c r="D1819" t="s">
        <v>1360</v>
      </c>
      <c r="E1819" s="7" t="s">
        <v>198</v>
      </c>
      <c r="F1819" s="7" t="s">
        <v>198</v>
      </c>
      <c r="G1819" s="7" t="s">
        <v>198</v>
      </c>
      <c r="H1819" s="7" t="s">
        <v>20</v>
      </c>
      <c r="I1819" s="7" t="s">
        <v>5102</v>
      </c>
      <c r="J1819" s="7" t="s">
        <v>21</v>
      </c>
      <c r="L1819" t="s">
        <v>3271</v>
      </c>
      <c r="M1819" s="7" t="s">
        <v>22</v>
      </c>
      <c r="N1819" s="7" t="s">
        <v>23</v>
      </c>
      <c r="O1819" s="7" t="s">
        <v>27</v>
      </c>
      <c r="P1819" s="7" t="s">
        <v>5101</v>
      </c>
      <c r="Q1819" s="26">
        <v>17</v>
      </c>
      <c r="R1819" s="26">
        <v>1</v>
      </c>
      <c r="S1819" s="40">
        <v>1</v>
      </c>
      <c r="T1819" s="7"/>
      <c r="U1819" s="7" t="s">
        <v>2951</v>
      </c>
      <c r="V1819" s="7" t="str">
        <f>+IF(U1819="","",IF(U1819="FINES",CONCATENATE("R",IF(OR(B1819="16",B1819="21",B1819="22",B1819="23"),"16212223",IF(OR(B1819="15",B1819="17",B1819="24",B1819="25"),"15172425",B1819))),IF(U1819="CEBAS","UNICO",IF(VALUE(B1819)&lt;=11,"AMBA","INTERIOR"))))</f>
        <v>R02</v>
      </c>
      <c r="W1819" s="38" t="str">
        <f>+IF(U1819="","-",CONCATENATE(U1819,"_",V1819))</f>
        <v>FINES_R02</v>
      </c>
      <c r="X1819" s="42">
        <v>9.4E-2</v>
      </c>
    </row>
    <row r="1820" spans="1:24">
      <c r="A1820" s="21" t="s">
        <v>5100</v>
      </c>
      <c r="B1820" t="s">
        <v>356</v>
      </c>
      <c r="C1820" t="s">
        <v>353</v>
      </c>
      <c r="D1820" t="s">
        <v>355</v>
      </c>
      <c r="E1820" s="7" t="s">
        <v>198</v>
      </c>
      <c r="F1820" s="7" t="s">
        <v>198</v>
      </c>
      <c r="G1820" s="7" t="s">
        <v>198</v>
      </c>
      <c r="H1820" s="7" t="s">
        <v>20</v>
      </c>
      <c r="I1820" s="7" t="s">
        <v>5102</v>
      </c>
      <c r="J1820" s="7" t="s">
        <v>21</v>
      </c>
      <c r="L1820" t="s">
        <v>3168</v>
      </c>
      <c r="M1820" s="7" t="s">
        <v>22</v>
      </c>
      <c r="N1820" s="7" t="s">
        <v>23</v>
      </c>
      <c r="O1820" s="7" t="s">
        <v>27</v>
      </c>
      <c r="P1820" s="7" t="s">
        <v>5101</v>
      </c>
      <c r="Q1820" s="26">
        <v>15</v>
      </c>
      <c r="R1820" s="26">
        <v>1</v>
      </c>
      <c r="S1820" s="40">
        <v>1</v>
      </c>
      <c r="T1820" s="7"/>
      <c r="U1820" s="7" t="s">
        <v>2951</v>
      </c>
      <c r="V1820" s="7" t="str">
        <f>+IF(U1820="","",IF(U1820="FINES",CONCATENATE("R",IF(OR(B1820="16",B1820="21",B1820="22",B1820="23"),"16212223",IF(OR(B1820="15",B1820="17",B1820="24",B1820="25"),"15172425",B1820))),IF(U1820="CEBAS","UNICO",IF(VALUE(B1820)&lt;=11,"AMBA","INTERIOR"))))</f>
        <v>R02</v>
      </c>
      <c r="W1820" s="38" t="str">
        <f>+IF(U1820="","-",CONCATENATE(U1820,"_",V1820))</f>
        <v>FINES_R02</v>
      </c>
      <c r="X1820" s="42">
        <v>0.11</v>
      </c>
    </row>
    <row r="1821" spans="1:24">
      <c r="A1821" s="21" t="s">
        <v>5100</v>
      </c>
      <c r="B1821" t="s">
        <v>356</v>
      </c>
      <c r="C1821" t="s">
        <v>1359</v>
      </c>
      <c r="D1821" t="s">
        <v>1360</v>
      </c>
      <c r="E1821" s="7" t="s">
        <v>198</v>
      </c>
      <c r="F1821" s="7" t="s">
        <v>198</v>
      </c>
      <c r="G1821" s="7" t="s">
        <v>198</v>
      </c>
      <c r="H1821" s="7" t="s">
        <v>20</v>
      </c>
      <c r="I1821" s="7" t="s">
        <v>5102</v>
      </c>
      <c r="J1821" s="7" t="s">
        <v>21</v>
      </c>
      <c r="L1821" t="s">
        <v>3291</v>
      </c>
      <c r="M1821" s="7" t="s">
        <v>22</v>
      </c>
      <c r="N1821" s="7" t="s">
        <v>23</v>
      </c>
      <c r="O1821" s="7" t="s">
        <v>27</v>
      </c>
      <c r="P1821" s="7" t="s">
        <v>5101</v>
      </c>
      <c r="Q1821" s="26">
        <v>28</v>
      </c>
      <c r="R1821" s="26">
        <v>2</v>
      </c>
      <c r="S1821" s="40">
        <v>1</v>
      </c>
      <c r="T1821" s="7"/>
      <c r="U1821" s="7" t="s">
        <v>2951</v>
      </c>
      <c r="V1821" s="7" t="str">
        <f>+IF(U1821="","",IF(U1821="FINES",CONCATENATE("R",IF(OR(B1821="16",B1821="21",B1821="22",B1821="23"),"16212223",IF(OR(B1821="15",B1821="17",B1821="24",B1821="25"),"15172425",B1821))),IF(U1821="CEBAS","UNICO",IF(VALUE(B1821)&lt;=11,"AMBA","INTERIOR"))))</f>
        <v>R02</v>
      </c>
      <c r="W1821" s="38" t="str">
        <f>+IF(U1821="","-",CONCATENATE(U1821,"_",V1821))</f>
        <v>FINES_R02</v>
      </c>
      <c r="X1821" s="42">
        <v>0.112</v>
      </c>
    </row>
    <row r="1822" spans="1:24">
      <c r="A1822" s="21" t="s">
        <v>5100</v>
      </c>
      <c r="B1822" t="s">
        <v>356</v>
      </c>
      <c r="C1822" t="s">
        <v>353</v>
      </c>
      <c r="D1822" t="s">
        <v>355</v>
      </c>
      <c r="E1822" s="7" t="s">
        <v>198</v>
      </c>
      <c r="F1822" s="7" t="s">
        <v>198</v>
      </c>
      <c r="G1822" s="7" t="s">
        <v>198</v>
      </c>
      <c r="H1822" s="7" t="s">
        <v>20</v>
      </c>
      <c r="I1822" s="7" t="s">
        <v>5102</v>
      </c>
      <c r="J1822" s="7" t="s">
        <v>21</v>
      </c>
      <c r="L1822" t="s">
        <v>3163</v>
      </c>
      <c r="M1822" s="7" t="s">
        <v>22</v>
      </c>
      <c r="N1822" s="7" t="s">
        <v>23</v>
      </c>
      <c r="O1822" s="7" t="s">
        <v>27</v>
      </c>
      <c r="P1822" s="7" t="s">
        <v>5101</v>
      </c>
      <c r="Q1822" s="26">
        <v>18</v>
      </c>
      <c r="R1822" s="26">
        <v>1</v>
      </c>
      <c r="S1822" s="40">
        <v>1</v>
      </c>
      <c r="T1822" s="7"/>
      <c r="U1822" s="7" t="s">
        <v>2951</v>
      </c>
      <c r="V1822" s="7" t="str">
        <f>+IF(U1822="","",IF(U1822="FINES",CONCATENATE("R",IF(OR(B1822="16",B1822="21",B1822="22",B1822="23"),"16212223",IF(OR(B1822="15",B1822="17",B1822="24",B1822="25"),"15172425",B1822))),IF(U1822="CEBAS","UNICO",IF(VALUE(B1822)&lt;=11,"AMBA","INTERIOR"))))</f>
        <v>R02</v>
      </c>
      <c r="W1822" s="38" t="str">
        <f>+IF(U1822="","-",CONCATENATE(U1822,"_",V1822))</f>
        <v>FINES_R02</v>
      </c>
      <c r="X1822" s="42">
        <v>0.121</v>
      </c>
    </row>
    <row r="1823" spans="1:24">
      <c r="A1823" s="21" t="s">
        <v>5100</v>
      </c>
      <c r="B1823" t="s">
        <v>356</v>
      </c>
      <c r="C1823" t="s">
        <v>1359</v>
      </c>
      <c r="D1823" t="s">
        <v>1360</v>
      </c>
      <c r="E1823" s="7" t="s">
        <v>198</v>
      </c>
      <c r="F1823" s="7" t="s">
        <v>198</v>
      </c>
      <c r="G1823" s="7" t="s">
        <v>198</v>
      </c>
      <c r="H1823" s="7" t="s">
        <v>20</v>
      </c>
      <c r="I1823" s="7" t="s">
        <v>5102</v>
      </c>
      <c r="J1823" s="7" t="s">
        <v>21</v>
      </c>
      <c r="L1823" t="s">
        <v>3299</v>
      </c>
      <c r="M1823" s="7" t="s">
        <v>22</v>
      </c>
      <c r="N1823" s="7" t="s">
        <v>23</v>
      </c>
      <c r="O1823" s="7" t="s">
        <v>27</v>
      </c>
      <c r="P1823" s="7" t="s">
        <v>5101</v>
      </c>
      <c r="Q1823" s="26">
        <v>14</v>
      </c>
      <c r="R1823" s="26">
        <v>1</v>
      </c>
      <c r="S1823" s="40">
        <v>1</v>
      </c>
      <c r="T1823" s="7"/>
      <c r="U1823" s="7" t="s">
        <v>2951</v>
      </c>
      <c r="V1823" s="7" t="str">
        <f>+IF(U1823="","",IF(U1823="FINES",CONCATENATE("R",IF(OR(B1823="16",B1823="21",B1823="22",B1823="23"),"16212223",IF(OR(B1823="15",B1823="17",B1823="24",B1823="25"),"15172425",B1823))),IF(U1823="CEBAS","UNICO",IF(VALUE(B1823)&lt;=11,"AMBA","INTERIOR"))))</f>
        <v>R02</v>
      </c>
      <c r="W1823" s="38" t="str">
        <f>+IF(U1823="","-",CONCATENATE(U1823,"_",V1823))</f>
        <v>FINES_R02</v>
      </c>
      <c r="X1823" s="42">
        <v>0.127</v>
      </c>
    </row>
    <row r="1824" spans="1:24">
      <c r="A1824" s="21" t="s">
        <v>5100</v>
      </c>
      <c r="B1824" t="s">
        <v>356</v>
      </c>
      <c r="C1824" t="s">
        <v>805</v>
      </c>
      <c r="D1824" t="s">
        <v>2500</v>
      </c>
      <c r="E1824" s="7" t="s">
        <v>198</v>
      </c>
      <c r="F1824" s="7" t="s">
        <v>198</v>
      </c>
      <c r="G1824" s="7" t="s">
        <v>198</v>
      </c>
      <c r="H1824" s="7" t="s">
        <v>20</v>
      </c>
      <c r="I1824" s="7" t="s">
        <v>5102</v>
      </c>
      <c r="J1824" s="7" t="s">
        <v>21</v>
      </c>
      <c r="L1824" t="s">
        <v>3219</v>
      </c>
      <c r="M1824" s="7" t="s">
        <v>22</v>
      </c>
      <c r="N1824" s="7" t="s">
        <v>23</v>
      </c>
      <c r="O1824" s="7" t="s">
        <v>27</v>
      </c>
      <c r="P1824" s="7" t="s">
        <v>5101</v>
      </c>
      <c r="Q1824" s="26">
        <v>53</v>
      </c>
      <c r="R1824" s="26">
        <v>3</v>
      </c>
      <c r="S1824" s="40">
        <v>1</v>
      </c>
      <c r="T1824" s="7"/>
      <c r="U1824" s="7" t="s">
        <v>2951</v>
      </c>
      <c r="V1824" s="7" t="str">
        <f>+IF(U1824="","",IF(U1824="FINES",CONCATENATE("R",IF(OR(B1824="16",B1824="21",B1824="22",B1824="23"),"16212223",IF(OR(B1824="15",B1824="17",B1824="24",B1824="25"),"15172425",B1824))),IF(U1824="CEBAS","UNICO",IF(VALUE(B1824)&lt;=11,"AMBA","INTERIOR"))))</f>
        <v>R02</v>
      </c>
      <c r="W1824" s="38" t="str">
        <f>+IF(U1824="","-",CONCATENATE(U1824,"_",V1824))</f>
        <v>FINES_R02</v>
      </c>
      <c r="X1824" s="42">
        <v>0.13400000000000001</v>
      </c>
    </row>
    <row r="1825" spans="1:24">
      <c r="A1825" s="21" t="s">
        <v>5100</v>
      </c>
      <c r="B1825" t="s">
        <v>356</v>
      </c>
      <c r="C1825" t="s">
        <v>353</v>
      </c>
      <c r="D1825" t="s">
        <v>355</v>
      </c>
      <c r="E1825" s="7" t="s">
        <v>198</v>
      </c>
      <c r="F1825" s="7" t="s">
        <v>198</v>
      </c>
      <c r="G1825" s="7" t="s">
        <v>198</v>
      </c>
      <c r="H1825" s="7" t="s">
        <v>20</v>
      </c>
      <c r="I1825" s="7" t="s">
        <v>5102</v>
      </c>
      <c r="J1825" s="7" t="s">
        <v>21</v>
      </c>
      <c r="L1825" t="s">
        <v>3141</v>
      </c>
      <c r="M1825" s="7" t="s">
        <v>22</v>
      </c>
      <c r="N1825" s="7" t="s">
        <v>23</v>
      </c>
      <c r="O1825" s="7" t="s">
        <v>27</v>
      </c>
      <c r="P1825" s="7" t="s">
        <v>5101</v>
      </c>
      <c r="Q1825" s="26">
        <v>18</v>
      </c>
      <c r="R1825" s="26">
        <v>1</v>
      </c>
      <c r="S1825" s="40">
        <v>1</v>
      </c>
      <c r="T1825" s="7"/>
      <c r="U1825" s="7" t="s">
        <v>2951</v>
      </c>
      <c r="V1825" s="7" t="str">
        <f>+IF(U1825="","",IF(U1825="FINES",CONCATENATE("R",IF(OR(B1825="16",B1825="21",B1825="22",B1825="23"),"16212223",IF(OR(B1825="15",B1825="17",B1825="24",B1825="25"),"15172425",B1825))),IF(U1825="CEBAS","UNICO",IF(VALUE(B1825)&lt;=11,"AMBA","INTERIOR"))))</f>
        <v>R02</v>
      </c>
      <c r="W1825" s="38" t="str">
        <f>+IF(U1825="","-",CONCATENATE(U1825,"_",V1825))</f>
        <v>FINES_R02</v>
      </c>
      <c r="X1825" s="42">
        <v>0.13900000000000001</v>
      </c>
    </row>
    <row r="1826" spans="1:24">
      <c r="A1826" s="21" t="s">
        <v>5100</v>
      </c>
      <c r="B1826" t="s">
        <v>356</v>
      </c>
      <c r="C1826" t="s">
        <v>353</v>
      </c>
      <c r="D1826" t="s">
        <v>355</v>
      </c>
      <c r="E1826" s="7" t="s">
        <v>198</v>
      </c>
      <c r="F1826" s="7" t="s">
        <v>198</v>
      </c>
      <c r="G1826" s="7" t="s">
        <v>198</v>
      </c>
      <c r="H1826" s="7" t="s">
        <v>20</v>
      </c>
      <c r="I1826" s="7" t="s">
        <v>5102</v>
      </c>
      <c r="J1826" s="7" t="s">
        <v>21</v>
      </c>
      <c r="L1826" t="s">
        <v>3174</v>
      </c>
      <c r="M1826" s="7" t="s">
        <v>22</v>
      </c>
      <c r="N1826" s="7" t="s">
        <v>23</v>
      </c>
      <c r="O1826" s="7" t="s">
        <v>27</v>
      </c>
      <c r="P1826" s="7" t="s">
        <v>5101</v>
      </c>
      <c r="Q1826" s="26">
        <v>67</v>
      </c>
      <c r="R1826" s="26">
        <v>2</v>
      </c>
      <c r="S1826" s="40">
        <v>1</v>
      </c>
      <c r="T1826" s="7"/>
      <c r="U1826" s="7" t="s">
        <v>2951</v>
      </c>
      <c r="V1826" s="7" t="str">
        <f>+IF(U1826="","",IF(U1826="FINES",CONCATENATE("R",IF(OR(B1826="16",B1826="21",B1826="22",B1826="23"),"16212223",IF(OR(B1826="15",B1826="17",B1826="24",B1826="25"),"15172425",B1826))),IF(U1826="CEBAS","UNICO",IF(VALUE(B1826)&lt;=11,"AMBA","INTERIOR"))))</f>
        <v>R02</v>
      </c>
      <c r="W1826" s="38" t="str">
        <f>+IF(U1826="","-",CONCATENATE(U1826,"_",V1826))</f>
        <v>FINES_R02</v>
      </c>
      <c r="X1826" s="42">
        <v>0.14199999999999999</v>
      </c>
    </row>
    <row r="1827" spans="1:24">
      <c r="A1827" s="21" t="s">
        <v>5100</v>
      </c>
      <c r="B1827" t="s">
        <v>356</v>
      </c>
      <c r="C1827" t="s">
        <v>1359</v>
      </c>
      <c r="D1827" t="s">
        <v>1360</v>
      </c>
      <c r="E1827" s="7" t="s">
        <v>198</v>
      </c>
      <c r="F1827" s="7" t="s">
        <v>198</v>
      </c>
      <c r="G1827" s="7" t="s">
        <v>198</v>
      </c>
      <c r="H1827" s="7" t="s">
        <v>20</v>
      </c>
      <c r="I1827" s="7" t="s">
        <v>5102</v>
      </c>
      <c r="J1827" s="7" t="s">
        <v>21</v>
      </c>
      <c r="L1827" t="s">
        <v>3248</v>
      </c>
      <c r="M1827" s="7" t="s">
        <v>22</v>
      </c>
      <c r="N1827" s="7" t="s">
        <v>23</v>
      </c>
      <c r="O1827" s="7" t="s">
        <v>27</v>
      </c>
      <c r="P1827" s="7" t="s">
        <v>5101</v>
      </c>
      <c r="Q1827" s="26">
        <v>9</v>
      </c>
      <c r="R1827" s="26">
        <v>1</v>
      </c>
      <c r="S1827" s="40">
        <v>1</v>
      </c>
      <c r="T1827" s="7"/>
      <c r="U1827" s="7" t="s">
        <v>2951</v>
      </c>
      <c r="V1827" s="7" t="str">
        <f>+IF(U1827="","",IF(U1827="FINES",CONCATENATE("R",IF(OR(B1827="16",B1827="21",B1827="22",B1827="23"),"16212223",IF(OR(B1827="15",B1827="17",B1827="24",B1827="25"),"15172425",B1827))),IF(U1827="CEBAS","UNICO",IF(VALUE(B1827)&lt;=11,"AMBA","INTERIOR"))))</f>
        <v>R02</v>
      </c>
      <c r="W1827" s="38" t="str">
        <f>+IF(U1827="","-",CONCATENATE(U1827,"_",V1827))</f>
        <v>FINES_R02</v>
      </c>
      <c r="X1827" s="42">
        <v>0.14399999999999999</v>
      </c>
    </row>
    <row r="1828" spans="1:24">
      <c r="A1828" s="21" t="s">
        <v>5100</v>
      </c>
      <c r="B1828" t="s">
        <v>356</v>
      </c>
      <c r="C1828" t="s">
        <v>353</v>
      </c>
      <c r="D1828" t="s">
        <v>355</v>
      </c>
      <c r="E1828" s="7" t="s">
        <v>198</v>
      </c>
      <c r="F1828" s="7" t="s">
        <v>198</v>
      </c>
      <c r="G1828" s="7" t="s">
        <v>198</v>
      </c>
      <c r="H1828" s="7" t="s">
        <v>20</v>
      </c>
      <c r="I1828" s="7" t="s">
        <v>5102</v>
      </c>
      <c r="J1828" s="7" t="s">
        <v>21</v>
      </c>
      <c r="L1828" t="s">
        <v>3165</v>
      </c>
      <c r="M1828" s="7" t="s">
        <v>22</v>
      </c>
      <c r="N1828" s="7" t="s">
        <v>23</v>
      </c>
      <c r="O1828" s="7" t="s">
        <v>27</v>
      </c>
      <c r="P1828" s="7" t="s">
        <v>5101</v>
      </c>
      <c r="Q1828" s="26">
        <v>18</v>
      </c>
      <c r="R1828" s="26">
        <v>1</v>
      </c>
      <c r="S1828" s="40">
        <v>1</v>
      </c>
      <c r="T1828" s="7"/>
      <c r="U1828" s="7" t="s">
        <v>2951</v>
      </c>
      <c r="V1828" s="7" t="str">
        <f>+IF(U1828="","",IF(U1828="FINES",CONCATENATE("R",IF(OR(B1828="16",B1828="21",B1828="22",B1828="23"),"16212223",IF(OR(B1828="15",B1828="17",B1828="24",B1828="25"),"15172425",B1828))),IF(U1828="CEBAS","UNICO",IF(VALUE(B1828)&lt;=11,"AMBA","INTERIOR"))))</f>
        <v>R02</v>
      </c>
      <c r="W1828" s="38" t="str">
        <f>+IF(U1828="","-",CONCATENATE(U1828,"_",V1828))</f>
        <v>FINES_R02</v>
      </c>
      <c r="X1828" s="42">
        <v>0.14899999999999999</v>
      </c>
    </row>
    <row r="1829" spans="1:24">
      <c r="A1829" s="21" t="s">
        <v>5100</v>
      </c>
      <c r="B1829" t="s">
        <v>356</v>
      </c>
      <c r="C1829" t="s">
        <v>353</v>
      </c>
      <c r="D1829" t="s">
        <v>355</v>
      </c>
      <c r="E1829" s="7" t="s">
        <v>198</v>
      </c>
      <c r="F1829" s="7" t="s">
        <v>198</v>
      </c>
      <c r="G1829" s="7" t="s">
        <v>198</v>
      </c>
      <c r="H1829" s="7" t="s">
        <v>20</v>
      </c>
      <c r="I1829" s="7" t="s">
        <v>5102</v>
      </c>
      <c r="J1829" s="7" t="s">
        <v>21</v>
      </c>
      <c r="L1829" t="s">
        <v>3164</v>
      </c>
      <c r="M1829" s="7" t="s">
        <v>22</v>
      </c>
      <c r="N1829" s="7" t="s">
        <v>23</v>
      </c>
      <c r="O1829" s="7" t="s">
        <v>27</v>
      </c>
      <c r="P1829" s="7" t="s">
        <v>5101</v>
      </c>
      <c r="Q1829" s="26">
        <v>23</v>
      </c>
      <c r="R1829" s="26">
        <v>1</v>
      </c>
      <c r="S1829" s="40">
        <v>1</v>
      </c>
      <c r="T1829" s="7"/>
      <c r="U1829" s="7" t="s">
        <v>2951</v>
      </c>
      <c r="V1829" s="7" t="str">
        <f>+IF(U1829="","",IF(U1829="FINES",CONCATENATE("R",IF(OR(B1829="16",B1829="21",B1829="22",B1829="23"),"16212223",IF(OR(B1829="15",B1829="17",B1829="24",B1829="25"),"15172425",B1829))),IF(U1829="CEBAS","UNICO",IF(VALUE(B1829)&lt;=11,"AMBA","INTERIOR"))))</f>
        <v>R02</v>
      </c>
      <c r="W1829" s="38" t="str">
        <f>+IF(U1829="","-",CONCATENATE(U1829,"_",V1829))</f>
        <v>FINES_R02</v>
      </c>
      <c r="X1829" s="42">
        <v>0.155</v>
      </c>
    </row>
    <row r="1830" spans="1:24">
      <c r="A1830" s="21" t="s">
        <v>5100</v>
      </c>
      <c r="B1830" t="s">
        <v>356</v>
      </c>
      <c r="C1830" t="s">
        <v>805</v>
      </c>
      <c r="D1830" t="s">
        <v>2500</v>
      </c>
      <c r="E1830" s="7" t="s">
        <v>198</v>
      </c>
      <c r="F1830" s="7" t="s">
        <v>198</v>
      </c>
      <c r="G1830" s="7" t="s">
        <v>198</v>
      </c>
      <c r="H1830" s="7" t="s">
        <v>20</v>
      </c>
      <c r="I1830" s="7" t="s">
        <v>5102</v>
      </c>
      <c r="J1830" s="7" t="s">
        <v>21</v>
      </c>
      <c r="L1830" t="s">
        <v>3215</v>
      </c>
      <c r="M1830" s="7" t="s">
        <v>22</v>
      </c>
      <c r="N1830" s="7" t="s">
        <v>23</v>
      </c>
      <c r="O1830" s="7" t="s">
        <v>27</v>
      </c>
      <c r="P1830" s="7" t="s">
        <v>5101</v>
      </c>
      <c r="Q1830" s="26">
        <v>30</v>
      </c>
      <c r="R1830" s="26">
        <v>1</v>
      </c>
      <c r="S1830" s="40">
        <v>1</v>
      </c>
      <c r="T1830" s="7"/>
      <c r="U1830" s="7" t="s">
        <v>2951</v>
      </c>
      <c r="V1830" s="7" t="str">
        <f>+IF(U1830="","",IF(U1830="FINES",CONCATENATE("R",IF(OR(B1830="16",B1830="21",B1830="22",B1830="23"),"16212223",IF(OR(B1830="15",B1830="17",B1830="24",B1830="25"),"15172425",B1830))),IF(U1830="CEBAS","UNICO",IF(VALUE(B1830)&lt;=11,"AMBA","INTERIOR"))))</f>
        <v>R02</v>
      </c>
      <c r="W1830" s="38" t="str">
        <f>+IF(U1830="","-",CONCATENATE(U1830,"_",V1830))</f>
        <v>FINES_R02</v>
      </c>
      <c r="X1830" s="42">
        <v>0.158</v>
      </c>
    </row>
    <row r="1831" spans="1:24">
      <c r="A1831" s="21" t="s">
        <v>5100</v>
      </c>
      <c r="B1831" t="s">
        <v>356</v>
      </c>
      <c r="C1831" t="s">
        <v>1359</v>
      </c>
      <c r="D1831" t="s">
        <v>1360</v>
      </c>
      <c r="E1831" s="7" t="s">
        <v>198</v>
      </c>
      <c r="F1831" s="7" t="s">
        <v>198</v>
      </c>
      <c r="G1831" s="7" t="s">
        <v>198</v>
      </c>
      <c r="H1831" s="7" t="s">
        <v>20</v>
      </c>
      <c r="I1831" s="7" t="s">
        <v>5102</v>
      </c>
      <c r="J1831" s="7" t="s">
        <v>21</v>
      </c>
      <c r="L1831" t="s">
        <v>3243</v>
      </c>
      <c r="M1831" s="7" t="s">
        <v>22</v>
      </c>
      <c r="N1831" s="7" t="s">
        <v>23</v>
      </c>
      <c r="O1831" s="7" t="s">
        <v>27</v>
      </c>
      <c r="P1831" s="7" t="s">
        <v>5101</v>
      </c>
      <c r="Q1831" s="26">
        <v>62</v>
      </c>
      <c r="R1831" s="26">
        <v>3</v>
      </c>
      <c r="S1831" s="40">
        <v>1</v>
      </c>
      <c r="T1831" s="7"/>
      <c r="U1831" s="7" t="s">
        <v>2951</v>
      </c>
      <c r="V1831" s="7" t="str">
        <f>+IF(U1831="","",IF(U1831="FINES",CONCATENATE("R",IF(OR(B1831="16",B1831="21",B1831="22",B1831="23"),"16212223",IF(OR(B1831="15",B1831="17",B1831="24",B1831="25"),"15172425",B1831))),IF(U1831="CEBAS","UNICO",IF(VALUE(B1831)&lt;=11,"AMBA","INTERIOR"))))</f>
        <v>R02</v>
      </c>
      <c r="W1831" s="38" t="str">
        <f>+IF(U1831="","-",CONCATENATE(U1831,"_",V1831))</f>
        <v>FINES_R02</v>
      </c>
      <c r="X1831" s="42">
        <v>0.161</v>
      </c>
    </row>
    <row r="1832" spans="1:24">
      <c r="A1832" s="21" t="s">
        <v>5100</v>
      </c>
      <c r="B1832" t="s">
        <v>356</v>
      </c>
      <c r="C1832" t="s">
        <v>1359</v>
      </c>
      <c r="D1832" t="s">
        <v>1360</v>
      </c>
      <c r="E1832" s="7" t="s">
        <v>198</v>
      </c>
      <c r="F1832" s="7" t="s">
        <v>198</v>
      </c>
      <c r="G1832" s="7" t="s">
        <v>198</v>
      </c>
      <c r="H1832" s="7" t="s">
        <v>20</v>
      </c>
      <c r="I1832" s="7" t="s">
        <v>5102</v>
      </c>
      <c r="J1832" s="7" t="s">
        <v>21</v>
      </c>
      <c r="L1832" t="s">
        <v>1465</v>
      </c>
      <c r="M1832" s="7" t="s">
        <v>22</v>
      </c>
      <c r="N1832" s="7" t="s">
        <v>23</v>
      </c>
      <c r="O1832" s="7" t="s">
        <v>27</v>
      </c>
      <c r="P1832" s="7" t="s">
        <v>5101</v>
      </c>
      <c r="Q1832" s="26">
        <v>15</v>
      </c>
      <c r="R1832" s="26">
        <v>1</v>
      </c>
      <c r="S1832" s="40">
        <v>1</v>
      </c>
      <c r="T1832" s="7"/>
      <c r="U1832" s="7" t="s">
        <v>2951</v>
      </c>
      <c r="V1832" s="7" t="str">
        <f>+IF(U1832="","",IF(U1832="FINES",CONCATENATE("R",IF(OR(B1832="16",B1832="21",B1832="22",B1832="23"),"16212223",IF(OR(B1832="15",B1832="17",B1832="24",B1832="25"),"15172425",B1832))),IF(U1832="CEBAS","UNICO",IF(VALUE(B1832)&lt;=11,"AMBA","INTERIOR"))))</f>
        <v>R02</v>
      </c>
      <c r="W1832" s="38" t="str">
        <f>+IF(U1832="","-",CONCATENATE(U1832,"_",V1832))</f>
        <v>FINES_R02</v>
      </c>
      <c r="X1832" s="42">
        <v>0.16200000000000001</v>
      </c>
    </row>
    <row r="1833" spans="1:24">
      <c r="A1833" s="21" t="s">
        <v>5100</v>
      </c>
      <c r="B1833" t="s">
        <v>356</v>
      </c>
      <c r="C1833" t="s">
        <v>805</v>
      </c>
      <c r="D1833" t="s">
        <v>2500</v>
      </c>
      <c r="E1833" s="7" t="s">
        <v>198</v>
      </c>
      <c r="F1833" s="7" t="s">
        <v>198</v>
      </c>
      <c r="G1833" s="7" t="s">
        <v>198</v>
      </c>
      <c r="H1833" s="7" t="s">
        <v>20</v>
      </c>
      <c r="I1833" s="7" t="s">
        <v>5102</v>
      </c>
      <c r="J1833" s="7" t="s">
        <v>21</v>
      </c>
      <c r="L1833" t="s">
        <v>3216</v>
      </c>
      <c r="M1833" s="7" t="s">
        <v>22</v>
      </c>
      <c r="N1833" s="7" t="s">
        <v>23</v>
      </c>
      <c r="O1833" s="7" t="s">
        <v>27</v>
      </c>
      <c r="P1833" s="7" t="s">
        <v>5101</v>
      </c>
      <c r="Q1833" s="26">
        <v>33</v>
      </c>
      <c r="R1833" s="26">
        <v>2</v>
      </c>
      <c r="S1833" s="40">
        <v>1</v>
      </c>
      <c r="T1833" s="7"/>
      <c r="U1833" s="7" t="s">
        <v>2951</v>
      </c>
      <c r="V1833" s="7" t="str">
        <f>+IF(U1833="","",IF(U1833="FINES",CONCATENATE("R",IF(OR(B1833="16",B1833="21",B1833="22",B1833="23"),"16212223",IF(OR(B1833="15",B1833="17",B1833="24",B1833="25"),"15172425",B1833))),IF(U1833="CEBAS","UNICO",IF(VALUE(B1833)&lt;=11,"AMBA","INTERIOR"))))</f>
        <v>R02</v>
      </c>
      <c r="W1833" s="38" t="str">
        <f>+IF(U1833="","-",CONCATENATE(U1833,"_",V1833))</f>
        <v>FINES_R02</v>
      </c>
      <c r="X1833" s="42">
        <v>0.16500000000000001</v>
      </c>
    </row>
    <row r="1834" spans="1:24">
      <c r="A1834" s="21" t="s">
        <v>5100</v>
      </c>
      <c r="B1834" t="s">
        <v>356</v>
      </c>
      <c r="C1834" t="s">
        <v>353</v>
      </c>
      <c r="D1834" t="s">
        <v>355</v>
      </c>
      <c r="E1834" s="7" t="s">
        <v>198</v>
      </c>
      <c r="F1834" s="7" t="s">
        <v>198</v>
      </c>
      <c r="G1834" s="7" t="s">
        <v>198</v>
      </c>
      <c r="H1834" s="7" t="s">
        <v>20</v>
      </c>
      <c r="I1834" s="7" t="s">
        <v>5102</v>
      </c>
      <c r="J1834" s="7" t="s">
        <v>21</v>
      </c>
      <c r="L1834" t="s">
        <v>3133</v>
      </c>
      <c r="M1834" s="7" t="s">
        <v>22</v>
      </c>
      <c r="N1834" s="7" t="s">
        <v>23</v>
      </c>
      <c r="O1834" s="7" t="s">
        <v>27</v>
      </c>
      <c r="P1834" s="7" t="s">
        <v>5101</v>
      </c>
      <c r="Q1834" s="26">
        <v>19</v>
      </c>
      <c r="R1834" s="26">
        <v>1</v>
      </c>
      <c r="S1834" s="40">
        <v>1</v>
      </c>
      <c r="T1834" s="7"/>
      <c r="U1834" s="7" t="s">
        <v>2951</v>
      </c>
      <c r="V1834" s="7" t="str">
        <f>+IF(U1834="","",IF(U1834="FINES",CONCATENATE("R",IF(OR(B1834="16",B1834="21",B1834="22",B1834="23"),"16212223",IF(OR(B1834="15",B1834="17",B1834="24",B1834="25"),"15172425",B1834))),IF(U1834="CEBAS","UNICO",IF(VALUE(B1834)&lt;=11,"AMBA","INTERIOR"))))</f>
        <v>R02</v>
      </c>
      <c r="W1834" s="38" t="str">
        <f>+IF(U1834="","-",CONCATENATE(U1834,"_",V1834))</f>
        <v>FINES_R02</v>
      </c>
      <c r="X1834" s="42">
        <v>0.16800000000000001</v>
      </c>
    </row>
    <row r="1835" spans="1:24">
      <c r="A1835" s="21" t="s">
        <v>5100</v>
      </c>
      <c r="B1835" t="s">
        <v>356</v>
      </c>
      <c r="C1835" t="s">
        <v>1359</v>
      </c>
      <c r="D1835" t="s">
        <v>1360</v>
      </c>
      <c r="E1835" s="7" t="s">
        <v>198</v>
      </c>
      <c r="F1835" s="7" t="s">
        <v>198</v>
      </c>
      <c r="G1835" s="7" t="s">
        <v>198</v>
      </c>
      <c r="H1835" s="7" t="s">
        <v>20</v>
      </c>
      <c r="I1835" s="7" t="s">
        <v>5102</v>
      </c>
      <c r="J1835" s="7" t="s">
        <v>21</v>
      </c>
      <c r="L1835" t="s">
        <v>3249</v>
      </c>
      <c r="M1835" s="7" t="s">
        <v>22</v>
      </c>
      <c r="N1835" s="7" t="s">
        <v>23</v>
      </c>
      <c r="O1835" s="7" t="s">
        <v>27</v>
      </c>
      <c r="P1835" s="7" t="s">
        <v>5101</v>
      </c>
      <c r="Q1835" s="26">
        <v>35</v>
      </c>
      <c r="R1835" s="26">
        <v>2</v>
      </c>
      <c r="S1835" s="40">
        <v>1</v>
      </c>
      <c r="T1835" s="7"/>
      <c r="U1835" s="7" t="s">
        <v>2951</v>
      </c>
      <c r="V1835" s="7" t="str">
        <f>+IF(U1835="","",IF(U1835="FINES",CONCATENATE("R",IF(OR(B1835="16",B1835="21",B1835="22",B1835="23"),"16212223",IF(OR(B1835="15",B1835="17",B1835="24",B1835="25"),"15172425",B1835))),IF(U1835="CEBAS","UNICO",IF(VALUE(B1835)&lt;=11,"AMBA","INTERIOR"))))</f>
        <v>R02</v>
      </c>
      <c r="W1835" s="38" t="str">
        <f>+IF(U1835="","-",CONCATENATE(U1835,"_",V1835))</f>
        <v>FINES_R02</v>
      </c>
      <c r="X1835" s="42">
        <v>0.17399999999999999</v>
      </c>
    </row>
    <row r="1836" spans="1:24">
      <c r="A1836" s="21" t="s">
        <v>5100</v>
      </c>
      <c r="B1836" t="s">
        <v>356</v>
      </c>
      <c r="C1836" t="s">
        <v>1359</v>
      </c>
      <c r="D1836" t="s">
        <v>1360</v>
      </c>
      <c r="E1836" s="7" t="s">
        <v>198</v>
      </c>
      <c r="F1836" s="7" t="s">
        <v>198</v>
      </c>
      <c r="G1836" s="7" t="s">
        <v>198</v>
      </c>
      <c r="H1836" s="7" t="s">
        <v>20</v>
      </c>
      <c r="I1836" s="7" t="s">
        <v>5102</v>
      </c>
      <c r="J1836" s="7" t="s">
        <v>21</v>
      </c>
      <c r="L1836" t="s">
        <v>3283</v>
      </c>
      <c r="M1836" s="7" t="s">
        <v>22</v>
      </c>
      <c r="N1836" s="7" t="s">
        <v>23</v>
      </c>
      <c r="O1836" s="7" t="s">
        <v>27</v>
      </c>
      <c r="P1836" s="7" t="s">
        <v>5101</v>
      </c>
      <c r="Q1836" s="26">
        <v>6</v>
      </c>
      <c r="R1836" s="26">
        <v>1</v>
      </c>
      <c r="S1836" s="40">
        <v>1</v>
      </c>
      <c r="T1836" s="7"/>
      <c r="U1836" s="7" t="s">
        <v>2951</v>
      </c>
      <c r="V1836" s="7" t="str">
        <f>+IF(U1836="","",IF(U1836="FINES",CONCATENATE("R",IF(OR(B1836="16",B1836="21",B1836="22",B1836="23"),"16212223",IF(OR(B1836="15",B1836="17",B1836="24",B1836="25"),"15172425",B1836))),IF(U1836="CEBAS","UNICO",IF(VALUE(B1836)&lt;=11,"AMBA","INTERIOR"))))</f>
        <v>R02</v>
      </c>
      <c r="W1836" s="38" t="str">
        <f>+IF(U1836="","-",CONCATENATE(U1836,"_",V1836))</f>
        <v>FINES_R02</v>
      </c>
      <c r="X1836" s="42">
        <v>0.18</v>
      </c>
    </row>
    <row r="1837" spans="1:24">
      <c r="A1837" s="21" t="s">
        <v>5100</v>
      </c>
      <c r="B1837" t="s">
        <v>356</v>
      </c>
      <c r="C1837" t="s">
        <v>1359</v>
      </c>
      <c r="D1837" t="s">
        <v>1360</v>
      </c>
      <c r="E1837" s="7" t="s">
        <v>198</v>
      </c>
      <c r="F1837" s="7" t="s">
        <v>198</v>
      </c>
      <c r="G1837" s="7" t="s">
        <v>198</v>
      </c>
      <c r="H1837" s="7" t="s">
        <v>20</v>
      </c>
      <c r="I1837" s="7" t="s">
        <v>5102</v>
      </c>
      <c r="J1837" s="7" t="s">
        <v>21</v>
      </c>
      <c r="L1837" t="s">
        <v>3294</v>
      </c>
      <c r="M1837" s="7" t="s">
        <v>22</v>
      </c>
      <c r="N1837" s="7" t="s">
        <v>23</v>
      </c>
      <c r="O1837" s="7" t="s">
        <v>27</v>
      </c>
      <c r="P1837" s="7" t="s">
        <v>5101</v>
      </c>
      <c r="Q1837" s="26">
        <v>20</v>
      </c>
      <c r="R1837" s="26">
        <v>1</v>
      </c>
      <c r="S1837" s="40">
        <v>1</v>
      </c>
      <c r="T1837" s="7"/>
      <c r="U1837" s="7" t="s">
        <v>2951</v>
      </c>
      <c r="V1837" s="7" t="str">
        <f>+IF(U1837="","",IF(U1837="FINES",CONCATENATE("R",IF(OR(B1837="16",B1837="21",B1837="22",B1837="23"),"16212223",IF(OR(B1837="15",B1837="17",B1837="24",B1837="25"),"15172425",B1837))),IF(U1837="CEBAS","UNICO",IF(VALUE(B1837)&lt;=11,"AMBA","INTERIOR"))))</f>
        <v>R02</v>
      </c>
      <c r="W1837" s="38" t="str">
        <f>+IF(U1837="","-",CONCATENATE(U1837,"_",V1837))</f>
        <v>FINES_R02</v>
      </c>
      <c r="X1837" s="42">
        <v>0.183</v>
      </c>
    </row>
    <row r="1838" spans="1:24">
      <c r="A1838" s="21" t="s">
        <v>5100</v>
      </c>
      <c r="B1838" t="s">
        <v>356</v>
      </c>
      <c r="C1838" t="s">
        <v>353</v>
      </c>
      <c r="D1838" t="s">
        <v>355</v>
      </c>
      <c r="E1838" s="7" t="s">
        <v>198</v>
      </c>
      <c r="F1838" s="7" t="s">
        <v>198</v>
      </c>
      <c r="G1838" s="7" t="s">
        <v>198</v>
      </c>
      <c r="H1838" s="7" t="s">
        <v>20</v>
      </c>
      <c r="I1838" s="7" t="s">
        <v>5102</v>
      </c>
      <c r="J1838" s="7" t="s">
        <v>21</v>
      </c>
      <c r="L1838" t="s">
        <v>3175</v>
      </c>
      <c r="M1838" s="7" t="s">
        <v>22</v>
      </c>
      <c r="N1838" s="7" t="s">
        <v>23</v>
      </c>
      <c r="O1838" s="7" t="s">
        <v>27</v>
      </c>
      <c r="P1838" s="7" t="s">
        <v>5101</v>
      </c>
      <c r="Q1838" s="26">
        <v>16</v>
      </c>
      <c r="R1838" s="26">
        <v>1</v>
      </c>
      <c r="S1838" s="40">
        <v>1</v>
      </c>
      <c r="T1838" s="7"/>
      <c r="U1838" s="7" t="s">
        <v>2951</v>
      </c>
      <c r="V1838" s="7" t="str">
        <f>+IF(U1838="","",IF(U1838="FINES",CONCATENATE("R",IF(OR(B1838="16",B1838="21",B1838="22",B1838="23"),"16212223",IF(OR(B1838="15",B1838="17",B1838="24",B1838="25"),"15172425",B1838))),IF(U1838="CEBAS","UNICO",IF(VALUE(B1838)&lt;=11,"AMBA","INTERIOR"))))</f>
        <v>R02</v>
      </c>
      <c r="W1838" s="38" t="str">
        <f>+IF(U1838="","-",CONCATENATE(U1838,"_",V1838))</f>
        <v>FINES_R02</v>
      </c>
      <c r="X1838" s="42">
        <v>0.184</v>
      </c>
    </row>
    <row r="1839" spans="1:24">
      <c r="A1839" s="21" t="s">
        <v>5100</v>
      </c>
      <c r="B1839" t="s">
        <v>356</v>
      </c>
      <c r="C1839" t="s">
        <v>805</v>
      </c>
      <c r="D1839" t="s">
        <v>2500</v>
      </c>
      <c r="E1839" s="7" t="s">
        <v>198</v>
      </c>
      <c r="F1839" s="7" t="s">
        <v>198</v>
      </c>
      <c r="G1839" s="7" t="s">
        <v>198</v>
      </c>
      <c r="H1839" s="7" t="s">
        <v>20</v>
      </c>
      <c r="I1839" s="7" t="s">
        <v>5102</v>
      </c>
      <c r="J1839" s="7" t="s">
        <v>21</v>
      </c>
      <c r="L1839" t="s">
        <v>3224</v>
      </c>
      <c r="M1839" s="7" t="s">
        <v>22</v>
      </c>
      <c r="N1839" s="7" t="s">
        <v>23</v>
      </c>
      <c r="O1839" s="7" t="s">
        <v>27</v>
      </c>
      <c r="P1839" s="7" t="s">
        <v>5101</v>
      </c>
      <c r="Q1839" s="26">
        <v>12</v>
      </c>
      <c r="R1839" s="26">
        <v>1</v>
      </c>
      <c r="S1839" s="40">
        <v>1</v>
      </c>
      <c r="T1839" s="7"/>
      <c r="U1839" s="7" t="s">
        <v>2951</v>
      </c>
      <c r="V1839" s="7" t="str">
        <f>+IF(U1839="","",IF(U1839="FINES",CONCATENATE("R",IF(OR(B1839="16",B1839="21",B1839="22",B1839="23"),"16212223",IF(OR(B1839="15",B1839="17",B1839="24",B1839="25"),"15172425",B1839))),IF(U1839="CEBAS","UNICO",IF(VALUE(B1839)&lt;=11,"AMBA","INTERIOR"))))</f>
        <v>R02</v>
      </c>
      <c r="W1839" s="38" t="str">
        <f>+IF(U1839="","-",CONCATENATE(U1839,"_",V1839))</f>
        <v>FINES_R02</v>
      </c>
      <c r="X1839" s="42">
        <v>0.187</v>
      </c>
    </row>
    <row r="1840" spans="1:24">
      <c r="A1840" s="21" t="s">
        <v>5100</v>
      </c>
      <c r="B1840" t="s">
        <v>356</v>
      </c>
      <c r="C1840" t="s">
        <v>353</v>
      </c>
      <c r="D1840" t="s">
        <v>355</v>
      </c>
      <c r="E1840" s="7" t="s">
        <v>198</v>
      </c>
      <c r="F1840" s="7" t="s">
        <v>198</v>
      </c>
      <c r="G1840" s="7" t="s">
        <v>198</v>
      </c>
      <c r="H1840" s="7" t="s">
        <v>20</v>
      </c>
      <c r="I1840" s="7" t="s">
        <v>5102</v>
      </c>
      <c r="J1840" s="7" t="s">
        <v>21</v>
      </c>
      <c r="L1840" t="s">
        <v>3128</v>
      </c>
      <c r="M1840" s="7" t="s">
        <v>22</v>
      </c>
      <c r="N1840" s="7" t="s">
        <v>23</v>
      </c>
      <c r="O1840" s="7" t="s">
        <v>27</v>
      </c>
      <c r="P1840" s="7" t="s">
        <v>5101</v>
      </c>
      <c r="Q1840" s="26">
        <v>15</v>
      </c>
      <c r="R1840" s="26">
        <v>1</v>
      </c>
      <c r="S1840" s="40">
        <v>1</v>
      </c>
      <c r="T1840" s="7"/>
      <c r="U1840" s="7" t="s">
        <v>2951</v>
      </c>
      <c r="V1840" s="7" t="str">
        <f>+IF(U1840="","",IF(U1840="FINES",CONCATENATE("R",IF(OR(B1840="16",B1840="21",B1840="22",B1840="23"),"16212223",IF(OR(B1840="15",B1840="17",B1840="24",B1840="25"),"15172425",B1840))),IF(U1840="CEBAS","UNICO",IF(VALUE(B1840)&lt;=11,"AMBA","INTERIOR"))))</f>
        <v>R02</v>
      </c>
      <c r="W1840" s="38" t="str">
        <f>+IF(U1840="","-",CONCATENATE(U1840,"_",V1840))</f>
        <v>FINES_R02</v>
      </c>
      <c r="X1840" s="42">
        <v>0.20300000000000001</v>
      </c>
    </row>
    <row r="1841" spans="1:24">
      <c r="A1841" s="21" t="s">
        <v>5100</v>
      </c>
      <c r="B1841" t="s">
        <v>356</v>
      </c>
      <c r="C1841" t="s">
        <v>805</v>
      </c>
      <c r="D1841" t="s">
        <v>2500</v>
      </c>
      <c r="E1841" s="7" t="s">
        <v>198</v>
      </c>
      <c r="F1841" s="7" t="s">
        <v>198</v>
      </c>
      <c r="G1841" s="7" t="s">
        <v>198</v>
      </c>
      <c r="H1841" s="7" t="s">
        <v>20</v>
      </c>
      <c r="I1841" s="7" t="s">
        <v>5102</v>
      </c>
      <c r="J1841" s="7" t="s">
        <v>21</v>
      </c>
      <c r="L1841" t="s">
        <v>3214</v>
      </c>
      <c r="M1841" s="7" t="s">
        <v>22</v>
      </c>
      <c r="N1841" s="7" t="s">
        <v>23</v>
      </c>
      <c r="O1841" s="7" t="s">
        <v>27</v>
      </c>
      <c r="P1841" s="7" t="s">
        <v>5101</v>
      </c>
      <c r="Q1841" s="26">
        <v>65</v>
      </c>
      <c r="R1841" s="26">
        <v>3</v>
      </c>
      <c r="S1841" s="40">
        <v>1</v>
      </c>
      <c r="T1841" s="7"/>
      <c r="U1841" s="7" t="s">
        <v>2951</v>
      </c>
      <c r="V1841" s="7" t="str">
        <f>+IF(U1841="","",IF(U1841="FINES",CONCATENATE("R",IF(OR(B1841="16",B1841="21",B1841="22",B1841="23"),"16212223",IF(OR(B1841="15",B1841="17",B1841="24",B1841="25"),"15172425",B1841))),IF(U1841="CEBAS","UNICO",IF(VALUE(B1841)&lt;=11,"AMBA","INTERIOR"))))</f>
        <v>R02</v>
      </c>
      <c r="W1841" s="38" t="str">
        <f>+IF(U1841="","-",CONCATENATE(U1841,"_",V1841))</f>
        <v>FINES_R02</v>
      </c>
      <c r="X1841" s="42">
        <v>0.20899999999999999</v>
      </c>
    </row>
    <row r="1842" spans="1:24">
      <c r="A1842" s="21" t="s">
        <v>5100</v>
      </c>
      <c r="B1842" t="s">
        <v>356</v>
      </c>
      <c r="C1842" t="s">
        <v>805</v>
      </c>
      <c r="D1842" t="s">
        <v>2500</v>
      </c>
      <c r="E1842" s="7" t="s">
        <v>198</v>
      </c>
      <c r="F1842" s="7" t="s">
        <v>198</v>
      </c>
      <c r="G1842" s="7" t="s">
        <v>198</v>
      </c>
      <c r="H1842" s="7" t="s">
        <v>20</v>
      </c>
      <c r="I1842" s="7" t="s">
        <v>5102</v>
      </c>
      <c r="J1842" s="7" t="s">
        <v>21</v>
      </c>
      <c r="L1842" t="s">
        <v>3203</v>
      </c>
      <c r="M1842" s="7" t="s">
        <v>22</v>
      </c>
      <c r="N1842" s="7" t="s">
        <v>23</v>
      </c>
      <c r="O1842" s="7" t="s">
        <v>27</v>
      </c>
      <c r="P1842" s="7" t="s">
        <v>5101</v>
      </c>
      <c r="Q1842" s="26">
        <v>19</v>
      </c>
      <c r="R1842" s="26">
        <v>1</v>
      </c>
      <c r="S1842" s="40">
        <v>1</v>
      </c>
      <c r="T1842" s="7"/>
      <c r="U1842" s="7" t="s">
        <v>2951</v>
      </c>
      <c r="V1842" s="7" t="str">
        <f>+IF(U1842="","",IF(U1842="FINES",CONCATENATE("R",IF(OR(B1842="16",B1842="21",B1842="22",B1842="23"),"16212223",IF(OR(B1842="15",B1842="17",B1842="24",B1842="25"),"15172425",B1842))),IF(U1842="CEBAS","UNICO",IF(VALUE(B1842)&lt;=11,"AMBA","INTERIOR"))))</f>
        <v>R02</v>
      </c>
      <c r="W1842" s="38" t="str">
        <f>+IF(U1842="","-",CONCATENATE(U1842,"_",V1842))</f>
        <v>FINES_R02</v>
      </c>
      <c r="X1842" s="42">
        <v>0.23</v>
      </c>
    </row>
    <row r="1843" spans="1:24">
      <c r="A1843" s="21" t="s">
        <v>5100</v>
      </c>
      <c r="B1843" t="s">
        <v>356</v>
      </c>
      <c r="C1843" t="s">
        <v>1359</v>
      </c>
      <c r="D1843" t="s">
        <v>1360</v>
      </c>
      <c r="E1843" s="7" t="s">
        <v>198</v>
      </c>
      <c r="F1843" s="7" t="s">
        <v>198</v>
      </c>
      <c r="G1843" s="7" t="s">
        <v>198</v>
      </c>
      <c r="H1843" s="7" t="s">
        <v>20</v>
      </c>
      <c r="I1843" s="7" t="s">
        <v>5102</v>
      </c>
      <c r="J1843" s="7" t="s">
        <v>21</v>
      </c>
      <c r="L1843" t="s">
        <v>3263</v>
      </c>
      <c r="M1843" s="7" t="s">
        <v>22</v>
      </c>
      <c r="N1843" s="7" t="s">
        <v>23</v>
      </c>
      <c r="O1843" s="7" t="s">
        <v>27</v>
      </c>
      <c r="P1843" s="7" t="s">
        <v>5101</v>
      </c>
      <c r="Q1843" s="26">
        <v>10</v>
      </c>
      <c r="R1843" s="26">
        <v>1</v>
      </c>
      <c r="S1843" s="40">
        <v>1</v>
      </c>
      <c r="T1843" s="7"/>
      <c r="U1843" s="7" t="s">
        <v>2951</v>
      </c>
      <c r="V1843" s="7" t="str">
        <f>+IF(U1843="","",IF(U1843="FINES",CONCATENATE("R",IF(OR(B1843="16",B1843="21",B1843="22",B1843="23"),"16212223",IF(OR(B1843="15",B1843="17",B1843="24",B1843="25"),"15172425",B1843))),IF(U1843="CEBAS","UNICO",IF(VALUE(B1843)&lt;=11,"AMBA","INTERIOR"))))</f>
        <v>R02</v>
      </c>
      <c r="W1843" s="38" t="str">
        <f>+IF(U1843="","-",CONCATENATE(U1843,"_",V1843))</f>
        <v>FINES_R02</v>
      </c>
      <c r="X1843" s="42">
        <v>0.23100000000000001</v>
      </c>
    </row>
    <row r="1844" spans="1:24">
      <c r="A1844" s="21" t="s">
        <v>5100</v>
      </c>
      <c r="B1844" t="s">
        <v>356</v>
      </c>
      <c r="C1844" t="s">
        <v>353</v>
      </c>
      <c r="D1844" t="s">
        <v>355</v>
      </c>
      <c r="E1844" s="7" t="s">
        <v>198</v>
      </c>
      <c r="F1844" s="7" t="s">
        <v>198</v>
      </c>
      <c r="G1844" s="7" t="s">
        <v>198</v>
      </c>
      <c r="H1844" s="7" t="s">
        <v>20</v>
      </c>
      <c r="I1844" s="7" t="s">
        <v>5102</v>
      </c>
      <c r="J1844" s="7" t="s">
        <v>21</v>
      </c>
      <c r="L1844" t="s">
        <v>3179</v>
      </c>
      <c r="M1844" s="7" t="s">
        <v>22</v>
      </c>
      <c r="N1844" s="7" t="s">
        <v>23</v>
      </c>
      <c r="O1844" s="7" t="s">
        <v>27</v>
      </c>
      <c r="P1844" s="7" t="s">
        <v>5101</v>
      </c>
      <c r="Q1844" s="26">
        <v>18</v>
      </c>
      <c r="R1844" s="26">
        <v>1</v>
      </c>
      <c r="S1844" s="40">
        <v>1</v>
      </c>
      <c r="T1844" s="7"/>
      <c r="U1844" s="7" t="s">
        <v>2951</v>
      </c>
      <c r="V1844" s="7" t="str">
        <f>+IF(U1844="","",IF(U1844="FINES",CONCATENATE("R",IF(OR(B1844="16",B1844="21",B1844="22",B1844="23"),"16212223",IF(OR(B1844="15",B1844="17",B1844="24",B1844="25"),"15172425",B1844))),IF(U1844="CEBAS","UNICO",IF(VALUE(B1844)&lt;=11,"AMBA","INTERIOR"))))</f>
        <v>R02</v>
      </c>
      <c r="W1844" s="38" t="str">
        <f>+IF(U1844="","-",CONCATENATE(U1844,"_",V1844))</f>
        <v>FINES_R02</v>
      </c>
      <c r="X1844" s="42">
        <v>0.24099999999999999</v>
      </c>
    </row>
    <row r="1845" spans="1:24">
      <c r="A1845" s="21" t="s">
        <v>5100</v>
      </c>
      <c r="B1845" t="s">
        <v>356</v>
      </c>
      <c r="C1845" t="s">
        <v>1359</v>
      </c>
      <c r="D1845" t="s">
        <v>1360</v>
      </c>
      <c r="E1845" s="7" t="s">
        <v>198</v>
      </c>
      <c r="F1845" s="7" t="s">
        <v>198</v>
      </c>
      <c r="G1845" s="7" t="s">
        <v>198</v>
      </c>
      <c r="H1845" s="7" t="s">
        <v>20</v>
      </c>
      <c r="I1845" s="7" t="s">
        <v>5102</v>
      </c>
      <c r="J1845" s="7" t="s">
        <v>21</v>
      </c>
      <c r="L1845" t="s">
        <v>3268</v>
      </c>
      <c r="M1845" s="7" t="s">
        <v>22</v>
      </c>
      <c r="N1845" s="7" t="s">
        <v>23</v>
      </c>
      <c r="O1845" s="7" t="s">
        <v>27</v>
      </c>
      <c r="P1845" s="7" t="s">
        <v>5101</v>
      </c>
      <c r="Q1845" s="26">
        <v>16</v>
      </c>
      <c r="R1845" s="26">
        <v>1</v>
      </c>
      <c r="S1845" s="40">
        <v>1</v>
      </c>
      <c r="T1845" s="7"/>
      <c r="U1845" s="7" t="s">
        <v>2951</v>
      </c>
      <c r="V1845" s="7" t="str">
        <f>+IF(U1845="","",IF(U1845="FINES",CONCATENATE("R",IF(OR(B1845="16",B1845="21",B1845="22",B1845="23"),"16212223",IF(OR(B1845="15",B1845="17",B1845="24",B1845="25"),"15172425",B1845))),IF(U1845="CEBAS","UNICO",IF(VALUE(B1845)&lt;=11,"AMBA","INTERIOR"))))</f>
        <v>R02</v>
      </c>
      <c r="W1845" s="38" t="str">
        <f>+IF(U1845="","-",CONCATENATE(U1845,"_",V1845))</f>
        <v>FINES_R02</v>
      </c>
      <c r="X1845" s="42">
        <v>0.24399999999999999</v>
      </c>
    </row>
    <row r="1846" spans="1:24">
      <c r="A1846" s="21" t="s">
        <v>5100</v>
      </c>
      <c r="B1846" t="s">
        <v>356</v>
      </c>
      <c r="C1846" t="s">
        <v>805</v>
      </c>
      <c r="D1846" t="s">
        <v>2500</v>
      </c>
      <c r="E1846" s="7" t="s">
        <v>198</v>
      </c>
      <c r="F1846" s="7" t="s">
        <v>198</v>
      </c>
      <c r="G1846" s="7" t="s">
        <v>198</v>
      </c>
      <c r="H1846" s="7" t="s">
        <v>20</v>
      </c>
      <c r="I1846" s="7" t="s">
        <v>5102</v>
      </c>
      <c r="J1846" s="7" t="s">
        <v>21</v>
      </c>
      <c r="L1846" t="s">
        <v>3205</v>
      </c>
      <c r="M1846" s="7" t="s">
        <v>22</v>
      </c>
      <c r="N1846" s="7" t="s">
        <v>23</v>
      </c>
      <c r="O1846" s="7" t="s">
        <v>27</v>
      </c>
      <c r="P1846" s="7" t="s">
        <v>5101</v>
      </c>
      <c r="Q1846" s="26">
        <v>20</v>
      </c>
      <c r="R1846" s="26">
        <v>1</v>
      </c>
      <c r="S1846" s="40">
        <v>1</v>
      </c>
      <c r="T1846" s="7"/>
      <c r="U1846" s="7" t="s">
        <v>2951</v>
      </c>
      <c r="V1846" s="7" t="str">
        <f>+IF(U1846="","",IF(U1846="FINES",CONCATENATE("R",IF(OR(B1846="16",B1846="21",B1846="22",B1846="23"),"16212223",IF(OR(B1846="15",B1846="17",B1846="24",B1846="25"),"15172425",B1846))),IF(U1846="CEBAS","UNICO",IF(VALUE(B1846)&lt;=11,"AMBA","INTERIOR"))))</f>
        <v>R02</v>
      </c>
      <c r="W1846" s="38" t="str">
        <f>+IF(U1846="","-",CONCATENATE(U1846,"_",V1846))</f>
        <v>FINES_R02</v>
      </c>
      <c r="X1846" s="42">
        <v>0.246</v>
      </c>
    </row>
    <row r="1847" spans="1:24">
      <c r="A1847" s="21" t="s">
        <v>5100</v>
      </c>
      <c r="B1847" t="s">
        <v>356</v>
      </c>
      <c r="C1847" t="s">
        <v>353</v>
      </c>
      <c r="D1847" t="s">
        <v>355</v>
      </c>
      <c r="E1847" s="7" t="s">
        <v>198</v>
      </c>
      <c r="F1847" s="7" t="s">
        <v>198</v>
      </c>
      <c r="G1847" s="7" t="s">
        <v>198</v>
      </c>
      <c r="H1847" s="7" t="s">
        <v>20</v>
      </c>
      <c r="I1847" s="7" t="s">
        <v>5102</v>
      </c>
      <c r="J1847" s="7" t="s">
        <v>21</v>
      </c>
      <c r="L1847" t="s">
        <v>3156</v>
      </c>
      <c r="M1847" s="7" t="s">
        <v>22</v>
      </c>
      <c r="N1847" s="7" t="s">
        <v>23</v>
      </c>
      <c r="O1847" s="7" t="s">
        <v>27</v>
      </c>
      <c r="P1847" s="7" t="s">
        <v>5101</v>
      </c>
      <c r="Q1847" s="26">
        <v>121</v>
      </c>
      <c r="R1847" s="26">
        <v>6</v>
      </c>
      <c r="S1847" s="40">
        <v>1</v>
      </c>
      <c r="T1847" s="7"/>
      <c r="U1847" s="7" t="s">
        <v>2951</v>
      </c>
      <c r="V1847" s="7" t="str">
        <f>+IF(U1847="","",IF(U1847="FINES",CONCATENATE("R",IF(OR(B1847="16",B1847="21",B1847="22",B1847="23"),"16212223",IF(OR(B1847="15",B1847="17",B1847="24",B1847="25"),"15172425",B1847))),IF(U1847="CEBAS","UNICO",IF(VALUE(B1847)&lt;=11,"AMBA","INTERIOR"))))</f>
        <v>R02</v>
      </c>
      <c r="W1847" s="38" t="str">
        <f>+IF(U1847="","-",CONCATENATE(U1847,"_",V1847))</f>
        <v>FINES_R02</v>
      </c>
      <c r="X1847" s="42">
        <v>0.248</v>
      </c>
    </row>
    <row r="1848" spans="1:24">
      <c r="A1848" s="21" t="s">
        <v>5100</v>
      </c>
      <c r="B1848" t="s">
        <v>356</v>
      </c>
      <c r="C1848" t="s">
        <v>805</v>
      </c>
      <c r="D1848" t="s">
        <v>2500</v>
      </c>
      <c r="E1848" s="7" t="s">
        <v>198</v>
      </c>
      <c r="F1848" s="7" t="s">
        <v>198</v>
      </c>
      <c r="G1848" s="7" t="s">
        <v>198</v>
      </c>
      <c r="H1848" s="7" t="s">
        <v>20</v>
      </c>
      <c r="I1848" s="7" t="s">
        <v>5102</v>
      </c>
      <c r="J1848" s="7" t="s">
        <v>21</v>
      </c>
      <c r="L1848" t="s">
        <v>3194</v>
      </c>
      <c r="M1848" s="7" t="s">
        <v>22</v>
      </c>
      <c r="N1848" s="7" t="s">
        <v>23</v>
      </c>
      <c r="O1848" s="7" t="s">
        <v>27</v>
      </c>
      <c r="P1848" s="7" t="s">
        <v>5101</v>
      </c>
      <c r="Q1848" s="26">
        <v>19</v>
      </c>
      <c r="R1848" s="26">
        <v>2</v>
      </c>
      <c r="S1848" s="40">
        <v>1</v>
      </c>
      <c r="T1848" s="7"/>
      <c r="U1848" s="7" t="s">
        <v>2951</v>
      </c>
      <c r="V1848" s="7" t="str">
        <f>+IF(U1848="","",IF(U1848="FINES",CONCATENATE("R",IF(OR(B1848="16",B1848="21",B1848="22",B1848="23"),"16212223",IF(OR(B1848="15",B1848="17",B1848="24",B1848="25"),"15172425",B1848))),IF(U1848="CEBAS","UNICO",IF(VALUE(B1848)&lt;=11,"AMBA","INTERIOR"))))</f>
        <v>R02</v>
      </c>
      <c r="W1848" s="38" t="str">
        <f>+IF(U1848="","-",CONCATENATE(U1848,"_",V1848))</f>
        <v>FINES_R02</v>
      </c>
      <c r="X1848" s="42">
        <v>0.25</v>
      </c>
    </row>
    <row r="1849" spans="1:24">
      <c r="A1849" s="21" t="s">
        <v>5100</v>
      </c>
      <c r="B1849" t="s">
        <v>356</v>
      </c>
      <c r="C1849" t="s">
        <v>353</v>
      </c>
      <c r="D1849" t="s">
        <v>355</v>
      </c>
      <c r="E1849" s="7" t="s">
        <v>198</v>
      </c>
      <c r="F1849" s="7" t="s">
        <v>198</v>
      </c>
      <c r="G1849" s="7" t="s">
        <v>198</v>
      </c>
      <c r="H1849" s="7" t="s">
        <v>20</v>
      </c>
      <c r="I1849" s="7" t="s">
        <v>5102</v>
      </c>
      <c r="J1849" s="7" t="s">
        <v>21</v>
      </c>
      <c r="L1849" t="s">
        <v>3167</v>
      </c>
      <c r="M1849" s="7" t="s">
        <v>22</v>
      </c>
      <c r="N1849" s="7" t="s">
        <v>23</v>
      </c>
      <c r="O1849" s="7" t="s">
        <v>27</v>
      </c>
      <c r="P1849" s="7" t="s">
        <v>5101</v>
      </c>
      <c r="Q1849" s="26">
        <v>23</v>
      </c>
      <c r="R1849" s="26">
        <v>1</v>
      </c>
      <c r="S1849" s="40">
        <v>1</v>
      </c>
      <c r="T1849" s="7"/>
      <c r="U1849" s="7" t="s">
        <v>2951</v>
      </c>
      <c r="V1849" s="7" t="str">
        <f>+IF(U1849="","",IF(U1849="FINES",CONCATENATE("R",IF(OR(B1849="16",B1849="21",B1849="22",B1849="23"),"16212223",IF(OR(B1849="15",B1849="17",B1849="24",B1849="25"),"15172425",B1849))),IF(U1849="CEBAS","UNICO",IF(VALUE(B1849)&lt;=11,"AMBA","INTERIOR"))))</f>
        <v>R02</v>
      </c>
      <c r="W1849" s="38" t="str">
        <f>+IF(U1849="","-",CONCATENATE(U1849,"_",V1849))</f>
        <v>FINES_R02</v>
      </c>
      <c r="X1849" s="42">
        <v>0.253</v>
      </c>
    </row>
    <row r="1850" spans="1:24">
      <c r="A1850" s="21" t="s">
        <v>5100</v>
      </c>
      <c r="B1850" t="s">
        <v>356</v>
      </c>
      <c r="C1850" t="s">
        <v>1359</v>
      </c>
      <c r="D1850" t="s">
        <v>1360</v>
      </c>
      <c r="E1850" s="7" t="s">
        <v>198</v>
      </c>
      <c r="F1850" s="7" t="s">
        <v>198</v>
      </c>
      <c r="G1850" s="7" t="s">
        <v>198</v>
      </c>
      <c r="H1850" s="7" t="s">
        <v>20</v>
      </c>
      <c r="I1850" s="7" t="s">
        <v>5102</v>
      </c>
      <c r="J1850" s="7" t="s">
        <v>21</v>
      </c>
      <c r="L1850" t="s">
        <v>3262</v>
      </c>
      <c r="M1850" s="7" t="s">
        <v>22</v>
      </c>
      <c r="N1850" s="7" t="s">
        <v>23</v>
      </c>
      <c r="O1850" s="7" t="s">
        <v>27</v>
      </c>
      <c r="P1850" s="7" t="s">
        <v>5101</v>
      </c>
      <c r="Q1850" s="26">
        <v>20</v>
      </c>
      <c r="R1850" s="26">
        <v>1</v>
      </c>
      <c r="S1850" s="40">
        <v>1</v>
      </c>
      <c r="T1850" s="7"/>
      <c r="U1850" s="7" t="s">
        <v>2951</v>
      </c>
      <c r="V1850" s="7" t="str">
        <f>+IF(U1850="","",IF(U1850="FINES",CONCATENATE("R",IF(OR(B1850="16",B1850="21",B1850="22",B1850="23"),"16212223",IF(OR(B1850="15",B1850="17",B1850="24",B1850="25"),"15172425",B1850))),IF(U1850="CEBAS","UNICO",IF(VALUE(B1850)&lt;=11,"AMBA","INTERIOR"))))</f>
        <v>R02</v>
      </c>
      <c r="W1850" s="38" t="str">
        <f>+IF(U1850="","-",CONCATENATE(U1850,"_",V1850))</f>
        <v>FINES_R02</v>
      </c>
      <c r="X1850" s="42">
        <v>0.253</v>
      </c>
    </row>
    <row r="1851" spans="1:24">
      <c r="A1851" s="21" t="s">
        <v>5100</v>
      </c>
      <c r="B1851" t="s">
        <v>356</v>
      </c>
      <c r="C1851" t="s">
        <v>353</v>
      </c>
      <c r="D1851" t="s">
        <v>355</v>
      </c>
      <c r="E1851" s="7" t="s">
        <v>198</v>
      </c>
      <c r="F1851" s="7" t="s">
        <v>198</v>
      </c>
      <c r="G1851" s="7" t="s">
        <v>198</v>
      </c>
      <c r="H1851" s="7" t="s">
        <v>20</v>
      </c>
      <c r="I1851" s="7" t="s">
        <v>5102</v>
      </c>
      <c r="J1851" s="7" t="s">
        <v>21</v>
      </c>
      <c r="L1851" t="s">
        <v>3189</v>
      </c>
      <c r="M1851" s="7" t="s">
        <v>22</v>
      </c>
      <c r="N1851" s="7" t="s">
        <v>23</v>
      </c>
      <c r="O1851" s="7" t="s">
        <v>27</v>
      </c>
      <c r="P1851" s="7" t="s">
        <v>5101</v>
      </c>
      <c r="Q1851" s="26">
        <v>31</v>
      </c>
      <c r="R1851" s="26">
        <v>1</v>
      </c>
      <c r="S1851" s="40">
        <v>1</v>
      </c>
      <c r="T1851" s="7"/>
      <c r="U1851" s="7" t="s">
        <v>2951</v>
      </c>
      <c r="V1851" s="7" t="str">
        <f>+IF(U1851="","",IF(U1851="FINES",CONCATENATE("R",IF(OR(B1851="16",B1851="21",B1851="22",B1851="23"),"16212223",IF(OR(B1851="15",B1851="17",B1851="24",B1851="25"),"15172425",B1851))),IF(U1851="CEBAS","UNICO",IF(VALUE(B1851)&lt;=11,"AMBA","INTERIOR"))))</f>
        <v>R02</v>
      </c>
      <c r="W1851" s="38" t="str">
        <f>+IF(U1851="","-",CONCATENATE(U1851,"_",V1851))</f>
        <v>FINES_R02</v>
      </c>
      <c r="X1851" s="42">
        <v>0.26700000000000002</v>
      </c>
    </row>
    <row r="1852" spans="1:24">
      <c r="A1852" s="21" t="s">
        <v>5100</v>
      </c>
      <c r="B1852" t="s">
        <v>356</v>
      </c>
      <c r="C1852" t="s">
        <v>805</v>
      </c>
      <c r="D1852" t="s">
        <v>2500</v>
      </c>
      <c r="E1852" s="7" t="s">
        <v>198</v>
      </c>
      <c r="F1852" s="7" t="s">
        <v>198</v>
      </c>
      <c r="G1852" s="7" t="s">
        <v>198</v>
      </c>
      <c r="H1852" s="7" t="s">
        <v>20</v>
      </c>
      <c r="I1852" s="7" t="s">
        <v>5102</v>
      </c>
      <c r="J1852" s="7" t="s">
        <v>21</v>
      </c>
      <c r="L1852" t="s">
        <v>3218</v>
      </c>
      <c r="M1852" s="7" t="s">
        <v>22</v>
      </c>
      <c r="N1852" s="7" t="s">
        <v>23</v>
      </c>
      <c r="O1852" s="7" t="s">
        <v>27</v>
      </c>
      <c r="P1852" s="7" t="s">
        <v>5101</v>
      </c>
      <c r="Q1852" s="26">
        <v>16</v>
      </c>
      <c r="R1852" s="26">
        <v>1</v>
      </c>
      <c r="S1852" s="40">
        <v>1</v>
      </c>
      <c r="T1852" s="7"/>
      <c r="U1852" s="7" t="s">
        <v>2951</v>
      </c>
      <c r="V1852" s="7" t="str">
        <f>+IF(U1852="","",IF(U1852="FINES",CONCATENATE("R",IF(OR(B1852="16",B1852="21",B1852="22",B1852="23"),"16212223",IF(OR(B1852="15",B1852="17",B1852="24",B1852="25"),"15172425",B1852))),IF(U1852="CEBAS","UNICO",IF(VALUE(B1852)&lt;=11,"AMBA","INTERIOR"))))</f>
        <v>R02</v>
      </c>
      <c r="W1852" s="38" t="str">
        <f>+IF(U1852="","-",CONCATENATE(U1852,"_",V1852))</f>
        <v>FINES_R02</v>
      </c>
      <c r="X1852" s="42">
        <v>0.26700000000000002</v>
      </c>
    </row>
    <row r="1853" spans="1:24">
      <c r="A1853" s="21" t="s">
        <v>5100</v>
      </c>
      <c r="B1853" t="s">
        <v>356</v>
      </c>
      <c r="C1853" t="s">
        <v>1359</v>
      </c>
      <c r="D1853" t="s">
        <v>1360</v>
      </c>
      <c r="E1853" s="7" t="s">
        <v>198</v>
      </c>
      <c r="F1853" s="7" t="s">
        <v>198</v>
      </c>
      <c r="G1853" s="7" t="s">
        <v>198</v>
      </c>
      <c r="H1853" s="7" t="s">
        <v>20</v>
      </c>
      <c r="I1853" s="7" t="s">
        <v>5102</v>
      </c>
      <c r="J1853" s="7" t="s">
        <v>21</v>
      </c>
      <c r="L1853" t="s">
        <v>3250</v>
      </c>
      <c r="M1853" s="7" t="s">
        <v>22</v>
      </c>
      <c r="N1853" s="7" t="s">
        <v>23</v>
      </c>
      <c r="O1853" s="7" t="s">
        <v>27</v>
      </c>
      <c r="P1853" s="7" t="s">
        <v>5101</v>
      </c>
      <c r="Q1853" s="26">
        <v>18</v>
      </c>
      <c r="R1853" s="26">
        <v>1</v>
      </c>
      <c r="S1853" s="40">
        <v>1</v>
      </c>
      <c r="T1853" s="7"/>
      <c r="U1853" s="7" t="s">
        <v>2951</v>
      </c>
      <c r="V1853" s="7" t="str">
        <f>+IF(U1853="","",IF(U1853="FINES",CONCATENATE("R",IF(OR(B1853="16",B1853="21",B1853="22",B1853="23"),"16212223",IF(OR(B1853="15",B1853="17",B1853="24",B1853="25"),"15172425",B1853))),IF(U1853="CEBAS","UNICO",IF(VALUE(B1853)&lt;=11,"AMBA","INTERIOR"))))</f>
        <v>R02</v>
      </c>
      <c r="W1853" s="38" t="str">
        <f>+IF(U1853="","-",CONCATENATE(U1853,"_",V1853))</f>
        <v>FINES_R02</v>
      </c>
      <c r="X1853" s="42">
        <v>0.26900000000000002</v>
      </c>
    </row>
    <row r="1854" spans="1:24">
      <c r="A1854" s="21" t="s">
        <v>5100</v>
      </c>
      <c r="B1854" t="s">
        <v>356</v>
      </c>
      <c r="C1854" t="s">
        <v>1359</v>
      </c>
      <c r="D1854" t="s">
        <v>1360</v>
      </c>
      <c r="E1854" s="7" t="s">
        <v>198</v>
      </c>
      <c r="F1854" s="7" t="s">
        <v>198</v>
      </c>
      <c r="G1854" s="7" t="s">
        <v>198</v>
      </c>
      <c r="H1854" s="7" t="s">
        <v>20</v>
      </c>
      <c r="I1854" s="7" t="s">
        <v>5102</v>
      </c>
      <c r="J1854" s="7" t="s">
        <v>21</v>
      </c>
      <c r="L1854" t="s">
        <v>3254</v>
      </c>
      <c r="M1854" s="7" t="s">
        <v>22</v>
      </c>
      <c r="N1854" s="7" t="s">
        <v>23</v>
      </c>
      <c r="O1854" s="7" t="s">
        <v>27</v>
      </c>
      <c r="P1854" s="7" t="s">
        <v>5101</v>
      </c>
      <c r="Q1854" s="26">
        <v>16</v>
      </c>
      <c r="R1854" s="26">
        <v>1</v>
      </c>
      <c r="S1854" s="40">
        <v>1</v>
      </c>
      <c r="T1854" s="7"/>
      <c r="U1854" s="7" t="s">
        <v>2951</v>
      </c>
      <c r="V1854" s="7" t="str">
        <f>+IF(U1854="","",IF(U1854="FINES",CONCATENATE("R",IF(OR(B1854="16",B1854="21",B1854="22",B1854="23"),"16212223",IF(OR(B1854="15",B1854="17",B1854="24",B1854="25"),"15172425",B1854))),IF(U1854="CEBAS","UNICO",IF(VALUE(B1854)&lt;=11,"AMBA","INTERIOR"))))</f>
        <v>R02</v>
      </c>
      <c r="W1854" s="38" t="str">
        <f>+IF(U1854="","-",CONCATENATE(U1854,"_",V1854))</f>
        <v>FINES_R02</v>
      </c>
      <c r="X1854" s="42">
        <v>0.27</v>
      </c>
    </row>
    <row r="1855" spans="1:24">
      <c r="A1855" s="21" t="s">
        <v>5100</v>
      </c>
      <c r="B1855" t="s">
        <v>356</v>
      </c>
      <c r="C1855" t="s">
        <v>1359</v>
      </c>
      <c r="D1855" t="s">
        <v>1360</v>
      </c>
      <c r="E1855" s="7" t="s">
        <v>198</v>
      </c>
      <c r="F1855" s="7" t="s">
        <v>198</v>
      </c>
      <c r="G1855" s="7" t="s">
        <v>198</v>
      </c>
      <c r="H1855" s="7" t="s">
        <v>20</v>
      </c>
      <c r="I1855" s="7" t="s">
        <v>5102</v>
      </c>
      <c r="J1855" s="7" t="s">
        <v>21</v>
      </c>
      <c r="L1855" t="s">
        <v>3286</v>
      </c>
      <c r="M1855" s="7" t="s">
        <v>22</v>
      </c>
      <c r="N1855" s="7" t="s">
        <v>23</v>
      </c>
      <c r="O1855" s="7" t="s">
        <v>27</v>
      </c>
      <c r="P1855" s="7" t="s">
        <v>5101</v>
      </c>
      <c r="Q1855" s="26">
        <v>14</v>
      </c>
      <c r="R1855" s="26">
        <v>1</v>
      </c>
      <c r="S1855" s="40">
        <v>1</v>
      </c>
      <c r="T1855" s="7"/>
      <c r="U1855" s="7" t="s">
        <v>2951</v>
      </c>
      <c r="V1855" s="7" t="str">
        <f>+IF(U1855="","",IF(U1855="FINES",CONCATENATE("R",IF(OR(B1855="16",B1855="21",B1855="22",B1855="23"),"16212223",IF(OR(B1855="15",B1855="17",B1855="24",B1855="25"),"15172425",B1855))),IF(U1855="CEBAS","UNICO",IF(VALUE(B1855)&lt;=11,"AMBA","INTERIOR"))))</f>
        <v>R02</v>
      </c>
      <c r="W1855" s="38" t="str">
        <f>+IF(U1855="","-",CONCATENATE(U1855,"_",V1855))</f>
        <v>FINES_R02</v>
      </c>
      <c r="X1855" s="42">
        <v>0.27100000000000002</v>
      </c>
    </row>
    <row r="1856" spans="1:24">
      <c r="A1856" s="21" t="s">
        <v>5100</v>
      </c>
      <c r="B1856" t="s">
        <v>356</v>
      </c>
      <c r="C1856" t="s">
        <v>1359</v>
      </c>
      <c r="D1856" t="s">
        <v>1360</v>
      </c>
      <c r="E1856" s="7" t="s">
        <v>198</v>
      </c>
      <c r="F1856" s="7" t="s">
        <v>198</v>
      </c>
      <c r="G1856" s="7" t="s">
        <v>198</v>
      </c>
      <c r="H1856" s="7" t="s">
        <v>20</v>
      </c>
      <c r="I1856" s="7" t="s">
        <v>5102</v>
      </c>
      <c r="J1856" s="7" t="s">
        <v>21</v>
      </c>
      <c r="L1856" t="s">
        <v>3288</v>
      </c>
      <c r="M1856" s="7" t="s">
        <v>22</v>
      </c>
      <c r="N1856" s="7" t="s">
        <v>23</v>
      </c>
      <c r="O1856" s="7" t="s">
        <v>27</v>
      </c>
      <c r="P1856" s="7" t="s">
        <v>5101</v>
      </c>
      <c r="Q1856" s="26">
        <v>162</v>
      </c>
      <c r="R1856" s="26">
        <v>10</v>
      </c>
      <c r="S1856" s="40">
        <v>1</v>
      </c>
      <c r="T1856" s="7"/>
      <c r="U1856" s="7" t="s">
        <v>2951</v>
      </c>
      <c r="V1856" s="7" t="str">
        <f>+IF(U1856="","",IF(U1856="FINES",CONCATENATE("R",IF(OR(B1856="16",B1856="21",B1856="22",B1856="23"),"16212223",IF(OR(B1856="15",B1856="17",B1856="24",B1856="25"),"15172425",B1856))),IF(U1856="CEBAS","UNICO",IF(VALUE(B1856)&lt;=11,"AMBA","INTERIOR"))))</f>
        <v>R02</v>
      </c>
      <c r="W1856" s="38" t="str">
        <f>+IF(U1856="","-",CONCATENATE(U1856,"_",V1856))</f>
        <v>FINES_R02</v>
      </c>
      <c r="X1856" s="42">
        <v>0.28999999999999998</v>
      </c>
    </row>
    <row r="1857" spans="1:24">
      <c r="A1857" s="21" t="s">
        <v>5100</v>
      </c>
      <c r="B1857" t="s">
        <v>356</v>
      </c>
      <c r="C1857" t="s">
        <v>353</v>
      </c>
      <c r="D1857" t="s">
        <v>355</v>
      </c>
      <c r="E1857" s="7" t="s">
        <v>198</v>
      </c>
      <c r="F1857" s="7" t="s">
        <v>198</v>
      </c>
      <c r="G1857" s="7" t="s">
        <v>198</v>
      </c>
      <c r="H1857" s="7" t="s">
        <v>20</v>
      </c>
      <c r="I1857" s="7" t="s">
        <v>5102</v>
      </c>
      <c r="J1857" s="7" t="s">
        <v>21</v>
      </c>
      <c r="L1857" t="s">
        <v>3176</v>
      </c>
      <c r="M1857" s="7" t="s">
        <v>22</v>
      </c>
      <c r="N1857" s="7" t="s">
        <v>23</v>
      </c>
      <c r="O1857" s="7" t="s">
        <v>27</v>
      </c>
      <c r="P1857" s="7" t="s">
        <v>5101</v>
      </c>
      <c r="Q1857" s="26">
        <v>42</v>
      </c>
      <c r="R1857" s="26">
        <v>2</v>
      </c>
      <c r="S1857" s="40">
        <v>1</v>
      </c>
      <c r="T1857" s="7"/>
      <c r="U1857" s="7" t="s">
        <v>2951</v>
      </c>
      <c r="V1857" s="7" t="str">
        <f>+IF(U1857="","",IF(U1857="FINES",CONCATENATE("R",IF(OR(B1857="16",B1857="21",B1857="22",B1857="23"),"16212223",IF(OR(B1857="15",B1857="17",B1857="24",B1857="25"),"15172425",B1857))),IF(U1857="CEBAS","UNICO",IF(VALUE(B1857)&lt;=11,"AMBA","INTERIOR"))))</f>
        <v>R02</v>
      </c>
      <c r="W1857" s="38" t="str">
        <f>+IF(U1857="","-",CONCATENATE(U1857,"_",V1857))</f>
        <v>FINES_R02</v>
      </c>
      <c r="X1857" s="42">
        <v>0.29199999999999998</v>
      </c>
    </row>
    <row r="1858" spans="1:24">
      <c r="A1858" s="21" t="s">
        <v>5100</v>
      </c>
      <c r="B1858" t="s">
        <v>356</v>
      </c>
      <c r="C1858" t="s">
        <v>353</v>
      </c>
      <c r="D1858" t="s">
        <v>355</v>
      </c>
      <c r="E1858" s="7" t="s">
        <v>198</v>
      </c>
      <c r="F1858" s="7" t="s">
        <v>198</v>
      </c>
      <c r="G1858" s="7" t="s">
        <v>198</v>
      </c>
      <c r="H1858" s="7" t="s">
        <v>20</v>
      </c>
      <c r="I1858" s="7" t="s">
        <v>5102</v>
      </c>
      <c r="J1858" s="7" t="s">
        <v>21</v>
      </c>
      <c r="L1858" t="s">
        <v>3160</v>
      </c>
      <c r="M1858" s="7" t="s">
        <v>22</v>
      </c>
      <c r="N1858" s="7" t="s">
        <v>23</v>
      </c>
      <c r="O1858" s="7" t="s">
        <v>27</v>
      </c>
      <c r="P1858" s="7" t="s">
        <v>5101</v>
      </c>
      <c r="Q1858" s="26">
        <v>15</v>
      </c>
      <c r="R1858" s="26">
        <v>1</v>
      </c>
      <c r="S1858" s="40">
        <v>1</v>
      </c>
      <c r="T1858" s="7"/>
      <c r="U1858" s="7" t="s">
        <v>2951</v>
      </c>
      <c r="V1858" s="7" t="str">
        <f>+IF(U1858="","",IF(U1858="FINES",CONCATENATE("R",IF(OR(B1858="16",B1858="21",B1858="22",B1858="23"),"16212223",IF(OR(B1858="15",B1858="17",B1858="24",B1858="25"),"15172425",B1858))),IF(U1858="CEBAS","UNICO",IF(VALUE(B1858)&lt;=11,"AMBA","INTERIOR"))))</f>
        <v>R02</v>
      </c>
      <c r="W1858" s="38" t="str">
        <f>+IF(U1858="","-",CONCATENATE(U1858,"_",V1858))</f>
        <v>FINES_R02</v>
      </c>
      <c r="X1858" s="42">
        <v>0.314</v>
      </c>
    </row>
    <row r="1859" spans="1:24">
      <c r="A1859" s="21" t="s">
        <v>5100</v>
      </c>
      <c r="B1859" t="s">
        <v>356</v>
      </c>
      <c r="C1859" t="s">
        <v>353</v>
      </c>
      <c r="D1859" t="s">
        <v>355</v>
      </c>
      <c r="E1859" s="7" t="s">
        <v>198</v>
      </c>
      <c r="F1859" s="7" t="s">
        <v>198</v>
      </c>
      <c r="G1859" s="7" t="s">
        <v>198</v>
      </c>
      <c r="H1859" s="7" t="s">
        <v>20</v>
      </c>
      <c r="I1859" s="7" t="s">
        <v>5102</v>
      </c>
      <c r="J1859" s="7" t="s">
        <v>21</v>
      </c>
      <c r="L1859" t="s">
        <v>3139</v>
      </c>
      <c r="M1859" s="7" t="s">
        <v>22</v>
      </c>
      <c r="N1859" s="7" t="s">
        <v>23</v>
      </c>
      <c r="O1859" s="7" t="s">
        <v>27</v>
      </c>
      <c r="P1859" s="7" t="s">
        <v>5101</v>
      </c>
      <c r="Q1859" s="26">
        <v>17</v>
      </c>
      <c r="R1859" s="26">
        <v>1</v>
      </c>
      <c r="S1859" s="40">
        <v>1</v>
      </c>
      <c r="T1859" s="7"/>
      <c r="U1859" s="7" t="s">
        <v>2951</v>
      </c>
      <c r="V1859" s="7" t="str">
        <f>+IF(U1859="","",IF(U1859="FINES",CONCATENATE("R",IF(OR(B1859="16",B1859="21",B1859="22",B1859="23"),"16212223",IF(OR(B1859="15",B1859="17",B1859="24",B1859="25"),"15172425",B1859))),IF(U1859="CEBAS","UNICO",IF(VALUE(B1859)&lt;=11,"AMBA","INTERIOR"))))</f>
        <v>R02</v>
      </c>
      <c r="W1859" s="38" t="str">
        <f>+IF(U1859="","-",CONCATENATE(U1859,"_",V1859))</f>
        <v>FINES_R02</v>
      </c>
      <c r="X1859" s="42">
        <v>0.32</v>
      </c>
    </row>
    <row r="1860" spans="1:24">
      <c r="A1860" s="21" t="s">
        <v>5100</v>
      </c>
      <c r="B1860" t="s">
        <v>356</v>
      </c>
      <c r="C1860" t="s">
        <v>1359</v>
      </c>
      <c r="D1860" t="s">
        <v>1360</v>
      </c>
      <c r="E1860" s="7" t="s">
        <v>198</v>
      </c>
      <c r="F1860" s="7" t="s">
        <v>198</v>
      </c>
      <c r="G1860" s="7" t="s">
        <v>198</v>
      </c>
      <c r="H1860" s="7" t="s">
        <v>20</v>
      </c>
      <c r="I1860" s="7" t="s">
        <v>5102</v>
      </c>
      <c r="J1860" s="7" t="s">
        <v>21</v>
      </c>
      <c r="L1860" t="s">
        <v>3265</v>
      </c>
      <c r="M1860" s="7" t="s">
        <v>22</v>
      </c>
      <c r="N1860" s="7" t="s">
        <v>23</v>
      </c>
      <c r="O1860" s="7" t="s">
        <v>27</v>
      </c>
      <c r="P1860" s="7" t="s">
        <v>5101</v>
      </c>
      <c r="Q1860" s="26">
        <v>45</v>
      </c>
      <c r="R1860" s="26">
        <v>3</v>
      </c>
      <c r="S1860" s="40">
        <v>1</v>
      </c>
      <c r="T1860" s="7"/>
      <c r="U1860" s="7" t="s">
        <v>2951</v>
      </c>
      <c r="V1860" s="7" t="str">
        <f>+IF(U1860="","",IF(U1860="FINES",CONCATENATE("R",IF(OR(B1860="16",B1860="21",B1860="22",B1860="23"),"16212223",IF(OR(B1860="15",B1860="17",B1860="24",B1860="25"),"15172425",B1860))),IF(U1860="CEBAS","UNICO",IF(VALUE(B1860)&lt;=11,"AMBA","INTERIOR"))))</f>
        <v>R02</v>
      </c>
      <c r="W1860" s="38" t="str">
        <f>+IF(U1860="","-",CONCATENATE(U1860,"_",V1860))</f>
        <v>FINES_R02</v>
      </c>
      <c r="X1860" s="42">
        <v>0.32</v>
      </c>
    </row>
    <row r="1861" spans="1:24">
      <c r="A1861" s="21" t="s">
        <v>5100</v>
      </c>
      <c r="B1861" t="s">
        <v>356</v>
      </c>
      <c r="C1861" t="s">
        <v>353</v>
      </c>
      <c r="D1861" t="s">
        <v>355</v>
      </c>
      <c r="E1861" s="7" t="s">
        <v>198</v>
      </c>
      <c r="F1861" s="7" t="s">
        <v>198</v>
      </c>
      <c r="G1861" s="7" t="s">
        <v>198</v>
      </c>
      <c r="H1861" s="7" t="s">
        <v>20</v>
      </c>
      <c r="I1861" s="7" t="s">
        <v>5102</v>
      </c>
      <c r="J1861" s="7" t="s">
        <v>21</v>
      </c>
      <c r="L1861" t="s">
        <v>3134</v>
      </c>
      <c r="M1861" s="7" t="s">
        <v>22</v>
      </c>
      <c r="N1861" s="7" t="s">
        <v>23</v>
      </c>
      <c r="O1861" s="7" t="s">
        <v>27</v>
      </c>
      <c r="P1861" s="7" t="s">
        <v>5101</v>
      </c>
      <c r="Q1861" s="26">
        <v>18</v>
      </c>
      <c r="R1861" s="26">
        <v>1</v>
      </c>
      <c r="S1861" s="40">
        <v>1</v>
      </c>
      <c r="T1861" s="7"/>
      <c r="U1861" s="7" t="s">
        <v>2951</v>
      </c>
      <c r="V1861" s="7" t="str">
        <f>+IF(U1861="","",IF(U1861="FINES",CONCATENATE("R",IF(OR(B1861="16",B1861="21",B1861="22",B1861="23"),"16212223",IF(OR(B1861="15",B1861="17",B1861="24",B1861="25"),"15172425",B1861))),IF(U1861="CEBAS","UNICO",IF(VALUE(B1861)&lt;=11,"AMBA","INTERIOR"))))</f>
        <v>R02</v>
      </c>
      <c r="W1861" s="38" t="str">
        <f>+IF(U1861="","-",CONCATENATE(U1861,"_",V1861))</f>
        <v>FINES_R02</v>
      </c>
      <c r="X1861" s="42">
        <v>0.32200000000000001</v>
      </c>
    </row>
    <row r="1862" spans="1:24">
      <c r="A1862" s="21" t="s">
        <v>5100</v>
      </c>
      <c r="B1862" t="s">
        <v>356</v>
      </c>
      <c r="C1862" t="s">
        <v>1359</v>
      </c>
      <c r="D1862" t="s">
        <v>1360</v>
      </c>
      <c r="E1862" s="7" t="s">
        <v>198</v>
      </c>
      <c r="F1862" s="7" t="s">
        <v>198</v>
      </c>
      <c r="G1862" s="7" t="s">
        <v>198</v>
      </c>
      <c r="H1862" s="7" t="s">
        <v>20</v>
      </c>
      <c r="I1862" s="7" t="s">
        <v>5102</v>
      </c>
      <c r="J1862" s="7" t="s">
        <v>21</v>
      </c>
      <c r="L1862" t="s">
        <v>3292</v>
      </c>
      <c r="M1862" s="7" t="s">
        <v>22</v>
      </c>
      <c r="N1862" s="7" t="s">
        <v>23</v>
      </c>
      <c r="O1862" s="7" t="s">
        <v>27</v>
      </c>
      <c r="P1862" s="7" t="s">
        <v>5101</v>
      </c>
      <c r="Q1862" s="26">
        <v>13</v>
      </c>
      <c r="R1862" s="26">
        <v>1</v>
      </c>
      <c r="S1862" s="40">
        <v>1</v>
      </c>
      <c r="T1862" s="7"/>
      <c r="U1862" s="7" t="s">
        <v>2951</v>
      </c>
      <c r="V1862" s="7" t="str">
        <f>+IF(U1862="","",IF(U1862="FINES",CONCATENATE("R",IF(OR(B1862="16",B1862="21",B1862="22",B1862="23"),"16212223",IF(OR(B1862="15",B1862="17",B1862="24",B1862="25"),"15172425",B1862))),IF(U1862="CEBAS","UNICO",IF(VALUE(B1862)&lt;=11,"AMBA","INTERIOR"))))</f>
        <v>R02</v>
      </c>
      <c r="W1862" s="38" t="str">
        <f>+IF(U1862="","-",CONCATENATE(U1862,"_",V1862))</f>
        <v>FINES_R02</v>
      </c>
      <c r="X1862" s="42">
        <v>0.32400000000000001</v>
      </c>
    </row>
    <row r="1863" spans="1:24">
      <c r="A1863" s="21" t="s">
        <v>5100</v>
      </c>
      <c r="B1863" t="s">
        <v>356</v>
      </c>
      <c r="C1863" t="s">
        <v>805</v>
      </c>
      <c r="D1863" t="s">
        <v>2500</v>
      </c>
      <c r="E1863" s="7" t="s">
        <v>198</v>
      </c>
      <c r="F1863" s="7" t="s">
        <v>198</v>
      </c>
      <c r="G1863" s="7" t="s">
        <v>198</v>
      </c>
      <c r="H1863" s="7" t="s">
        <v>20</v>
      </c>
      <c r="I1863" s="7" t="s">
        <v>5102</v>
      </c>
      <c r="J1863" s="7" t="s">
        <v>21</v>
      </c>
      <c r="L1863" t="s">
        <v>3210</v>
      </c>
      <c r="M1863" s="7" t="s">
        <v>22</v>
      </c>
      <c r="N1863" s="7" t="s">
        <v>23</v>
      </c>
      <c r="O1863" s="7" t="s">
        <v>27</v>
      </c>
      <c r="P1863" s="7" t="s">
        <v>5101</v>
      </c>
      <c r="Q1863" s="26">
        <v>57</v>
      </c>
      <c r="R1863" s="26">
        <v>3</v>
      </c>
      <c r="S1863" s="40">
        <v>1</v>
      </c>
      <c r="T1863" s="7"/>
      <c r="U1863" s="7" t="s">
        <v>2951</v>
      </c>
      <c r="V1863" s="7" t="str">
        <f>+IF(U1863="","",IF(U1863="FINES",CONCATENATE("R",IF(OR(B1863="16",B1863="21",B1863="22",B1863="23"),"16212223",IF(OR(B1863="15",B1863="17",B1863="24",B1863="25"),"15172425",B1863))),IF(U1863="CEBAS","UNICO",IF(VALUE(B1863)&lt;=11,"AMBA","INTERIOR"))))</f>
        <v>R02</v>
      </c>
      <c r="W1863" s="38" t="str">
        <f>+IF(U1863="","-",CONCATENATE(U1863,"_",V1863))</f>
        <v>FINES_R02</v>
      </c>
      <c r="X1863" s="42">
        <v>0.32700000000000001</v>
      </c>
    </row>
    <row r="1864" spans="1:24">
      <c r="A1864" s="21" t="s">
        <v>5100</v>
      </c>
      <c r="B1864" t="s">
        <v>356</v>
      </c>
      <c r="C1864" t="s">
        <v>353</v>
      </c>
      <c r="D1864" t="s">
        <v>355</v>
      </c>
      <c r="E1864" s="7" t="s">
        <v>198</v>
      </c>
      <c r="F1864" s="7" t="s">
        <v>198</v>
      </c>
      <c r="G1864" s="7" t="s">
        <v>198</v>
      </c>
      <c r="H1864" s="7" t="s">
        <v>20</v>
      </c>
      <c r="I1864" s="7" t="s">
        <v>5102</v>
      </c>
      <c r="J1864" s="7" t="s">
        <v>21</v>
      </c>
      <c r="L1864" t="s">
        <v>3173</v>
      </c>
      <c r="M1864" s="7" t="s">
        <v>22</v>
      </c>
      <c r="N1864" s="7" t="s">
        <v>23</v>
      </c>
      <c r="O1864" s="7" t="s">
        <v>27</v>
      </c>
      <c r="P1864" s="7" t="s">
        <v>5101</v>
      </c>
      <c r="Q1864" s="26">
        <v>17</v>
      </c>
      <c r="R1864" s="26">
        <v>1</v>
      </c>
      <c r="S1864" s="40">
        <v>1</v>
      </c>
      <c r="T1864" s="7"/>
      <c r="U1864" s="7" t="s">
        <v>2951</v>
      </c>
      <c r="V1864" s="7" t="str">
        <f>+IF(U1864="","",IF(U1864="FINES",CONCATENATE("R",IF(OR(B1864="16",B1864="21",B1864="22",B1864="23"),"16212223",IF(OR(B1864="15",B1864="17",B1864="24",B1864="25"),"15172425",B1864))),IF(U1864="CEBAS","UNICO",IF(VALUE(B1864)&lt;=11,"AMBA","INTERIOR"))))</f>
        <v>R02</v>
      </c>
      <c r="W1864" s="38" t="str">
        <f>+IF(U1864="","-",CONCATENATE(U1864,"_",V1864))</f>
        <v>FINES_R02</v>
      </c>
      <c r="X1864" s="42">
        <v>0.33</v>
      </c>
    </row>
    <row r="1865" spans="1:24">
      <c r="A1865" s="21" t="s">
        <v>5100</v>
      </c>
      <c r="B1865" t="s">
        <v>356</v>
      </c>
      <c r="C1865" t="s">
        <v>1359</v>
      </c>
      <c r="D1865" t="s">
        <v>1360</v>
      </c>
      <c r="E1865" s="7" t="s">
        <v>198</v>
      </c>
      <c r="F1865" s="7" t="s">
        <v>198</v>
      </c>
      <c r="G1865" s="7" t="s">
        <v>198</v>
      </c>
      <c r="H1865" s="7" t="s">
        <v>20</v>
      </c>
      <c r="I1865" s="7" t="s">
        <v>5102</v>
      </c>
      <c r="J1865" s="7" t="s">
        <v>21</v>
      </c>
      <c r="L1865" t="s">
        <v>3245</v>
      </c>
      <c r="M1865" s="7" t="s">
        <v>22</v>
      </c>
      <c r="N1865" s="7" t="s">
        <v>23</v>
      </c>
      <c r="O1865" s="7" t="s">
        <v>27</v>
      </c>
      <c r="P1865" s="7" t="s">
        <v>5101</v>
      </c>
      <c r="Q1865" s="26">
        <v>39</v>
      </c>
      <c r="R1865" s="26">
        <v>3</v>
      </c>
      <c r="S1865" s="40">
        <v>1</v>
      </c>
      <c r="T1865" s="7"/>
      <c r="U1865" s="7" t="s">
        <v>2951</v>
      </c>
      <c r="V1865" s="7" t="str">
        <f>+IF(U1865="","",IF(U1865="FINES",CONCATENATE("R",IF(OR(B1865="16",B1865="21",B1865="22",B1865="23"),"16212223",IF(OR(B1865="15",B1865="17",B1865="24",B1865="25"),"15172425",B1865))),IF(U1865="CEBAS","UNICO",IF(VALUE(B1865)&lt;=11,"AMBA","INTERIOR"))))</f>
        <v>R02</v>
      </c>
      <c r="W1865" s="38" t="str">
        <f>+IF(U1865="","-",CONCATENATE(U1865,"_",V1865))</f>
        <v>FINES_R02</v>
      </c>
      <c r="X1865" s="42">
        <v>0.33200000000000002</v>
      </c>
    </row>
    <row r="1866" spans="1:24">
      <c r="A1866" s="21" t="s">
        <v>5100</v>
      </c>
      <c r="B1866" t="s">
        <v>356</v>
      </c>
      <c r="C1866" t="s">
        <v>1359</v>
      </c>
      <c r="D1866" t="s">
        <v>1360</v>
      </c>
      <c r="E1866" s="7" t="s">
        <v>198</v>
      </c>
      <c r="F1866" s="7" t="s">
        <v>198</v>
      </c>
      <c r="G1866" s="7" t="s">
        <v>198</v>
      </c>
      <c r="H1866" s="7" t="s">
        <v>20</v>
      </c>
      <c r="I1866" s="7" t="s">
        <v>5102</v>
      </c>
      <c r="J1866" s="7" t="s">
        <v>21</v>
      </c>
      <c r="L1866" t="s">
        <v>3235</v>
      </c>
      <c r="M1866" s="7" t="s">
        <v>22</v>
      </c>
      <c r="N1866" s="7" t="s">
        <v>23</v>
      </c>
      <c r="O1866" s="7" t="s">
        <v>27</v>
      </c>
      <c r="P1866" s="7" t="s">
        <v>5101</v>
      </c>
      <c r="Q1866" s="26">
        <v>21</v>
      </c>
      <c r="R1866" s="26">
        <v>1</v>
      </c>
      <c r="S1866" s="40">
        <v>1</v>
      </c>
      <c r="T1866" s="7"/>
      <c r="U1866" s="7" t="s">
        <v>2951</v>
      </c>
      <c r="V1866" s="7" t="str">
        <f>+IF(U1866="","",IF(U1866="FINES",CONCATENATE("R",IF(OR(B1866="16",B1866="21",B1866="22",B1866="23"),"16212223",IF(OR(B1866="15",B1866="17",B1866="24",B1866="25"),"15172425",B1866))),IF(U1866="CEBAS","UNICO",IF(VALUE(B1866)&lt;=11,"AMBA","INTERIOR"))))</f>
        <v>R02</v>
      </c>
      <c r="W1866" s="38" t="str">
        <f>+IF(U1866="","-",CONCATENATE(U1866,"_",V1866))</f>
        <v>FINES_R02</v>
      </c>
      <c r="X1866" s="42">
        <v>0.33600000000000002</v>
      </c>
    </row>
    <row r="1867" spans="1:24">
      <c r="A1867" s="21" t="s">
        <v>5100</v>
      </c>
      <c r="B1867" t="s">
        <v>356</v>
      </c>
      <c r="C1867" t="s">
        <v>353</v>
      </c>
      <c r="D1867" t="s">
        <v>355</v>
      </c>
      <c r="E1867" s="7" t="s">
        <v>198</v>
      </c>
      <c r="F1867" s="7" t="s">
        <v>198</v>
      </c>
      <c r="G1867" s="7" t="s">
        <v>198</v>
      </c>
      <c r="H1867" s="7" t="s">
        <v>20</v>
      </c>
      <c r="I1867" s="7" t="s">
        <v>5102</v>
      </c>
      <c r="J1867" s="7" t="s">
        <v>21</v>
      </c>
      <c r="L1867" t="s">
        <v>3148</v>
      </c>
      <c r="M1867" s="7" t="s">
        <v>22</v>
      </c>
      <c r="N1867" s="7" t="s">
        <v>23</v>
      </c>
      <c r="O1867" s="7" t="s">
        <v>27</v>
      </c>
      <c r="P1867" s="7" t="s">
        <v>5101</v>
      </c>
      <c r="Q1867" s="26">
        <v>23</v>
      </c>
      <c r="R1867" s="26">
        <v>1</v>
      </c>
      <c r="S1867" s="40">
        <v>1</v>
      </c>
      <c r="T1867" s="7"/>
      <c r="U1867" s="7" t="s">
        <v>2951</v>
      </c>
      <c r="V1867" s="7" t="str">
        <f>+IF(U1867="","",IF(U1867="FINES",CONCATENATE("R",IF(OR(B1867="16",B1867="21",B1867="22",B1867="23"),"16212223",IF(OR(B1867="15",B1867="17",B1867="24",B1867="25"),"15172425",B1867))),IF(U1867="CEBAS","UNICO",IF(VALUE(B1867)&lt;=11,"AMBA","INTERIOR"))))</f>
        <v>R02</v>
      </c>
      <c r="W1867" s="38" t="str">
        <f>+IF(U1867="","-",CONCATENATE(U1867,"_",V1867))</f>
        <v>FINES_R02</v>
      </c>
      <c r="X1867" s="42">
        <v>0.34200000000000003</v>
      </c>
    </row>
    <row r="1868" spans="1:24">
      <c r="A1868" s="21" t="s">
        <v>5100</v>
      </c>
      <c r="B1868" t="s">
        <v>356</v>
      </c>
      <c r="C1868" t="s">
        <v>1359</v>
      </c>
      <c r="D1868" t="s">
        <v>1360</v>
      </c>
      <c r="E1868" s="7" t="s">
        <v>198</v>
      </c>
      <c r="F1868" s="7" t="s">
        <v>198</v>
      </c>
      <c r="G1868" s="7" t="s">
        <v>198</v>
      </c>
      <c r="H1868" s="7" t="s">
        <v>20</v>
      </c>
      <c r="I1868" s="7" t="s">
        <v>5102</v>
      </c>
      <c r="J1868" s="7" t="s">
        <v>21</v>
      </c>
      <c r="L1868" t="s">
        <v>3229</v>
      </c>
      <c r="M1868" s="7" t="s">
        <v>22</v>
      </c>
      <c r="N1868" s="7" t="s">
        <v>23</v>
      </c>
      <c r="O1868" s="7" t="s">
        <v>27</v>
      </c>
      <c r="P1868" s="7" t="s">
        <v>5101</v>
      </c>
      <c r="Q1868" s="26">
        <v>20</v>
      </c>
      <c r="R1868" s="26">
        <v>2</v>
      </c>
      <c r="S1868" s="40">
        <v>1</v>
      </c>
      <c r="T1868" s="7"/>
      <c r="U1868" s="7" t="s">
        <v>2951</v>
      </c>
      <c r="V1868" s="7" t="str">
        <f>+IF(U1868="","",IF(U1868="FINES",CONCATENATE("R",IF(OR(B1868="16",B1868="21",B1868="22",B1868="23"),"16212223",IF(OR(B1868="15",B1868="17",B1868="24",B1868="25"),"15172425",B1868))),IF(U1868="CEBAS","UNICO",IF(VALUE(B1868)&lt;=11,"AMBA","INTERIOR"))))</f>
        <v>R02</v>
      </c>
      <c r="W1868" s="38" t="str">
        <f>+IF(U1868="","-",CONCATENATE(U1868,"_",V1868))</f>
        <v>FINES_R02</v>
      </c>
      <c r="X1868" s="42">
        <v>0.34899999999999998</v>
      </c>
    </row>
    <row r="1869" spans="1:24">
      <c r="A1869" s="21" t="s">
        <v>5100</v>
      </c>
      <c r="B1869" t="s">
        <v>356</v>
      </c>
      <c r="C1869" t="s">
        <v>353</v>
      </c>
      <c r="D1869" t="s">
        <v>355</v>
      </c>
      <c r="E1869" s="7" t="s">
        <v>198</v>
      </c>
      <c r="F1869" s="7" t="s">
        <v>198</v>
      </c>
      <c r="G1869" s="7" t="s">
        <v>198</v>
      </c>
      <c r="H1869" s="7" t="s">
        <v>20</v>
      </c>
      <c r="I1869" s="7" t="s">
        <v>5102</v>
      </c>
      <c r="J1869" s="7" t="s">
        <v>21</v>
      </c>
      <c r="L1869" t="s">
        <v>3188</v>
      </c>
      <c r="M1869" s="7" t="s">
        <v>22</v>
      </c>
      <c r="N1869" s="7" t="s">
        <v>23</v>
      </c>
      <c r="O1869" s="7" t="s">
        <v>27</v>
      </c>
      <c r="P1869" s="7" t="s">
        <v>5101</v>
      </c>
      <c r="Q1869" s="26">
        <v>43</v>
      </c>
      <c r="R1869" s="26">
        <v>2</v>
      </c>
      <c r="S1869" s="40">
        <v>1</v>
      </c>
      <c r="T1869" s="7"/>
      <c r="U1869" s="7" t="s">
        <v>2951</v>
      </c>
      <c r="V1869" s="7" t="str">
        <f>+IF(U1869="","",IF(U1869="FINES",CONCATENATE("R",IF(OR(B1869="16",B1869="21",B1869="22",B1869="23"),"16212223",IF(OR(B1869="15",B1869="17",B1869="24",B1869="25"),"15172425",B1869))),IF(U1869="CEBAS","UNICO",IF(VALUE(B1869)&lt;=11,"AMBA","INTERIOR"))))</f>
        <v>R02</v>
      </c>
      <c r="W1869" s="38" t="str">
        <f>+IF(U1869="","-",CONCATENATE(U1869,"_",V1869))</f>
        <v>FINES_R02</v>
      </c>
      <c r="X1869" s="42">
        <v>0.35099999999999998</v>
      </c>
    </row>
    <row r="1870" spans="1:24">
      <c r="A1870" s="21" t="s">
        <v>5100</v>
      </c>
      <c r="B1870" t="s">
        <v>356</v>
      </c>
      <c r="C1870" t="s">
        <v>805</v>
      </c>
      <c r="D1870" t="s">
        <v>2500</v>
      </c>
      <c r="E1870" s="7" t="s">
        <v>198</v>
      </c>
      <c r="F1870" s="7" t="s">
        <v>198</v>
      </c>
      <c r="G1870" s="7" t="s">
        <v>198</v>
      </c>
      <c r="H1870" s="7" t="s">
        <v>20</v>
      </c>
      <c r="I1870" s="7" t="s">
        <v>5102</v>
      </c>
      <c r="J1870" s="7" t="s">
        <v>21</v>
      </c>
      <c r="L1870" t="s">
        <v>3198</v>
      </c>
      <c r="M1870" s="7" t="s">
        <v>22</v>
      </c>
      <c r="N1870" s="7" t="s">
        <v>23</v>
      </c>
      <c r="O1870" s="7" t="s">
        <v>27</v>
      </c>
      <c r="P1870" s="7" t="s">
        <v>5101</v>
      </c>
      <c r="Q1870" s="26">
        <v>32</v>
      </c>
      <c r="R1870" s="26">
        <v>2</v>
      </c>
      <c r="S1870" s="40">
        <v>1</v>
      </c>
      <c r="T1870" s="7"/>
      <c r="U1870" s="7" t="s">
        <v>2951</v>
      </c>
      <c r="V1870" s="7" t="str">
        <f>+IF(U1870="","",IF(U1870="FINES",CONCATENATE("R",IF(OR(B1870="16",B1870="21",B1870="22",B1870="23"),"16212223",IF(OR(B1870="15",B1870="17",B1870="24",B1870="25"),"15172425",B1870))),IF(U1870="CEBAS","UNICO",IF(VALUE(B1870)&lt;=11,"AMBA","INTERIOR"))))</f>
        <v>R02</v>
      </c>
      <c r="W1870" s="38" t="str">
        <f>+IF(U1870="","-",CONCATENATE(U1870,"_",V1870))</f>
        <v>FINES_R02</v>
      </c>
      <c r="X1870" s="42">
        <v>0.371</v>
      </c>
    </row>
    <row r="1871" spans="1:24">
      <c r="A1871" s="21" t="s">
        <v>5100</v>
      </c>
      <c r="B1871" t="s">
        <v>356</v>
      </c>
      <c r="C1871" t="s">
        <v>353</v>
      </c>
      <c r="D1871" t="s">
        <v>355</v>
      </c>
      <c r="E1871" s="7" t="s">
        <v>198</v>
      </c>
      <c r="F1871" s="7" t="s">
        <v>198</v>
      </c>
      <c r="G1871" s="7" t="s">
        <v>198</v>
      </c>
      <c r="H1871" s="7" t="s">
        <v>20</v>
      </c>
      <c r="I1871" s="7" t="s">
        <v>5102</v>
      </c>
      <c r="J1871" s="7" t="s">
        <v>21</v>
      </c>
      <c r="L1871" t="s">
        <v>3143</v>
      </c>
      <c r="M1871" s="7" t="s">
        <v>22</v>
      </c>
      <c r="N1871" s="7" t="s">
        <v>23</v>
      </c>
      <c r="O1871" s="7" t="s">
        <v>27</v>
      </c>
      <c r="P1871" s="7" t="s">
        <v>5101</v>
      </c>
      <c r="Q1871" s="26">
        <v>22</v>
      </c>
      <c r="R1871" s="26">
        <v>1</v>
      </c>
      <c r="S1871" s="40">
        <v>1</v>
      </c>
      <c r="T1871" s="7"/>
      <c r="U1871" s="7" t="s">
        <v>2951</v>
      </c>
      <c r="V1871" s="7" t="str">
        <f>+IF(U1871="","",IF(U1871="FINES",CONCATENATE("R",IF(OR(B1871="16",B1871="21",B1871="22",B1871="23"),"16212223",IF(OR(B1871="15",B1871="17",B1871="24",B1871="25"),"15172425",B1871))),IF(U1871="CEBAS","UNICO",IF(VALUE(B1871)&lt;=11,"AMBA","INTERIOR"))))</f>
        <v>R02</v>
      </c>
      <c r="W1871" s="38" t="str">
        <f>+IF(U1871="","-",CONCATENATE(U1871,"_",V1871))</f>
        <v>FINES_R02</v>
      </c>
      <c r="X1871" s="42">
        <v>0.372</v>
      </c>
    </row>
    <row r="1872" spans="1:24">
      <c r="A1872" s="21" t="s">
        <v>5100</v>
      </c>
      <c r="B1872" t="s">
        <v>356</v>
      </c>
      <c r="C1872" t="s">
        <v>353</v>
      </c>
      <c r="D1872" t="s">
        <v>355</v>
      </c>
      <c r="E1872" s="7" t="s">
        <v>198</v>
      </c>
      <c r="F1872" s="7" t="s">
        <v>198</v>
      </c>
      <c r="G1872" s="7" t="s">
        <v>198</v>
      </c>
      <c r="H1872" s="7" t="s">
        <v>20</v>
      </c>
      <c r="I1872" s="7" t="s">
        <v>5102</v>
      </c>
      <c r="J1872" s="7" t="s">
        <v>21</v>
      </c>
      <c r="L1872" t="s">
        <v>3177</v>
      </c>
      <c r="M1872" s="7" t="s">
        <v>22</v>
      </c>
      <c r="N1872" s="7" t="s">
        <v>23</v>
      </c>
      <c r="O1872" s="7" t="s">
        <v>27</v>
      </c>
      <c r="P1872" s="7" t="s">
        <v>5101</v>
      </c>
      <c r="Q1872" s="26">
        <v>30</v>
      </c>
      <c r="R1872" s="26">
        <v>1</v>
      </c>
      <c r="S1872" s="40">
        <v>1</v>
      </c>
      <c r="T1872" s="7"/>
      <c r="U1872" s="7" t="s">
        <v>2951</v>
      </c>
      <c r="V1872" s="7" t="str">
        <f>+IF(U1872="","",IF(U1872="FINES",CONCATENATE("R",IF(OR(B1872="16",B1872="21",B1872="22",B1872="23"),"16212223",IF(OR(B1872="15",B1872="17",B1872="24",B1872="25"),"15172425",B1872))),IF(U1872="CEBAS","UNICO",IF(VALUE(B1872)&lt;=11,"AMBA","INTERIOR"))))</f>
        <v>R02</v>
      </c>
      <c r="W1872" s="38" t="str">
        <f>+IF(U1872="","-",CONCATENATE(U1872,"_",V1872))</f>
        <v>FINES_R02</v>
      </c>
      <c r="X1872" s="42">
        <v>0.374</v>
      </c>
    </row>
    <row r="1873" spans="1:24">
      <c r="A1873" s="21" t="s">
        <v>5100</v>
      </c>
      <c r="B1873" t="s">
        <v>356</v>
      </c>
      <c r="C1873" t="s">
        <v>353</v>
      </c>
      <c r="D1873" t="s">
        <v>355</v>
      </c>
      <c r="E1873" s="7" t="s">
        <v>198</v>
      </c>
      <c r="F1873" s="7" t="s">
        <v>198</v>
      </c>
      <c r="G1873" s="7" t="s">
        <v>198</v>
      </c>
      <c r="H1873" s="7" t="s">
        <v>20</v>
      </c>
      <c r="I1873" s="7" t="s">
        <v>5102</v>
      </c>
      <c r="J1873" s="7" t="s">
        <v>21</v>
      </c>
      <c r="L1873" t="s">
        <v>3178</v>
      </c>
      <c r="M1873" s="7" t="s">
        <v>22</v>
      </c>
      <c r="N1873" s="7" t="s">
        <v>23</v>
      </c>
      <c r="O1873" s="7" t="s">
        <v>27</v>
      </c>
      <c r="P1873" s="7" t="s">
        <v>5101</v>
      </c>
      <c r="Q1873" s="26">
        <v>26</v>
      </c>
      <c r="R1873" s="26">
        <v>1</v>
      </c>
      <c r="S1873" s="40">
        <v>1</v>
      </c>
      <c r="T1873" s="7"/>
      <c r="U1873" s="7" t="s">
        <v>2951</v>
      </c>
      <c r="V1873" s="7" t="str">
        <f>+IF(U1873="","",IF(U1873="FINES",CONCATENATE("R",IF(OR(B1873="16",B1873="21",B1873="22",B1873="23"),"16212223",IF(OR(B1873="15",B1873="17",B1873="24",B1873="25"),"15172425",B1873))),IF(U1873="CEBAS","UNICO",IF(VALUE(B1873)&lt;=11,"AMBA","INTERIOR"))))</f>
        <v>R02</v>
      </c>
      <c r="W1873" s="38" t="str">
        <f>+IF(U1873="","-",CONCATENATE(U1873,"_",V1873))</f>
        <v>FINES_R02</v>
      </c>
      <c r="X1873" s="42">
        <v>0.378</v>
      </c>
    </row>
    <row r="1874" spans="1:24">
      <c r="A1874" s="21" t="s">
        <v>5100</v>
      </c>
      <c r="B1874" t="s">
        <v>356</v>
      </c>
      <c r="C1874" t="s">
        <v>805</v>
      </c>
      <c r="D1874" t="s">
        <v>2500</v>
      </c>
      <c r="E1874" s="7" t="s">
        <v>198</v>
      </c>
      <c r="F1874" s="7" t="s">
        <v>198</v>
      </c>
      <c r="G1874" s="7" t="s">
        <v>198</v>
      </c>
      <c r="H1874" s="7" t="s">
        <v>20</v>
      </c>
      <c r="I1874" s="7" t="s">
        <v>5102</v>
      </c>
      <c r="J1874" s="7" t="s">
        <v>21</v>
      </c>
      <c r="L1874" t="s">
        <v>3200</v>
      </c>
      <c r="M1874" s="7" t="s">
        <v>22</v>
      </c>
      <c r="N1874" s="7" t="s">
        <v>23</v>
      </c>
      <c r="O1874" s="7" t="s">
        <v>27</v>
      </c>
      <c r="P1874" s="7" t="s">
        <v>5101</v>
      </c>
      <c r="Q1874" s="26">
        <v>30</v>
      </c>
      <c r="R1874" s="26">
        <v>2</v>
      </c>
      <c r="S1874" s="40">
        <v>1</v>
      </c>
      <c r="T1874" s="7"/>
      <c r="U1874" s="7" t="s">
        <v>2951</v>
      </c>
      <c r="V1874" s="7" t="str">
        <f>+IF(U1874="","",IF(U1874="FINES",CONCATENATE("R",IF(OR(B1874="16",B1874="21",B1874="22",B1874="23"),"16212223",IF(OR(B1874="15",B1874="17",B1874="24",B1874="25"),"15172425",B1874))),IF(U1874="CEBAS","UNICO",IF(VALUE(B1874)&lt;=11,"AMBA","INTERIOR"))))</f>
        <v>R02</v>
      </c>
      <c r="W1874" s="38" t="str">
        <f>+IF(U1874="","-",CONCATENATE(U1874,"_",V1874))</f>
        <v>FINES_R02</v>
      </c>
      <c r="X1874" s="42">
        <v>0.38900000000000001</v>
      </c>
    </row>
    <row r="1875" spans="1:24">
      <c r="A1875" s="21" t="s">
        <v>5100</v>
      </c>
      <c r="B1875" t="s">
        <v>356</v>
      </c>
      <c r="C1875" t="s">
        <v>1359</v>
      </c>
      <c r="D1875" t="s">
        <v>1360</v>
      </c>
      <c r="E1875" s="7" t="s">
        <v>198</v>
      </c>
      <c r="F1875" s="7" t="s">
        <v>198</v>
      </c>
      <c r="G1875" s="7" t="s">
        <v>198</v>
      </c>
      <c r="H1875" s="7" t="s">
        <v>20</v>
      </c>
      <c r="I1875" s="7" t="s">
        <v>5102</v>
      </c>
      <c r="J1875" s="7" t="s">
        <v>21</v>
      </c>
      <c r="L1875" t="s">
        <v>3264</v>
      </c>
      <c r="M1875" s="7" t="s">
        <v>22</v>
      </c>
      <c r="N1875" s="7" t="s">
        <v>23</v>
      </c>
      <c r="O1875" s="7" t="s">
        <v>27</v>
      </c>
      <c r="P1875" s="7" t="s">
        <v>5101</v>
      </c>
      <c r="Q1875" s="26">
        <v>15</v>
      </c>
      <c r="R1875" s="26">
        <v>1</v>
      </c>
      <c r="S1875" s="40">
        <v>1</v>
      </c>
      <c r="T1875" s="7"/>
      <c r="U1875" s="7" t="s">
        <v>2951</v>
      </c>
      <c r="V1875" s="7" t="str">
        <f>+IF(U1875="","",IF(U1875="FINES",CONCATENATE("R",IF(OR(B1875="16",B1875="21",B1875="22",B1875="23"),"16212223",IF(OR(B1875="15",B1875="17",B1875="24",B1875="25"),"15172425",B1875))),IF(U1875="CEBAS","UNICO",IF(VALUE(B1875)&lt;=11,"AMBA","INTERIOR"))))</f>
        <v>R02</v>
      </c>
      <c r="W1875" s="38" t="str">
        <f>+IF(U1875="","-",CONCATENATE(U1875,"_",V1875))</f>
        <v>FINES_R02</v>
      </c>
      <c r="X1875" s="42">
        <v>0.39600000000000002</v>
      </c>
    </row>
    <row r="1876" spans="1:24">
      <c r="A1876" s="21" t="s">
        <v>5100</v>
      </c>
      <c r="B1876" t="s">
        <v>356</v>
      </c>
      <c r="C1876" t="s">
        <v>353</v>
      </c>
      <c r="D1876" t="s">
        <v>355</v>
      </c>
      <c r="E1876" s="7" t="s">
        <v>198</v>
      </c>
      <c r="F1876" s="7" t="s">
        <v>198</v>
      </c>
      <c r="G1876" s="7" t="s">
        <v>198</v>
      </c>
      <c r="H1876" s="7" t="s">
        <v>20</v>
      </c>
      <c r="I1876" s="7" t="s">
        <v>5102</v>
      </c>
      <c r="J1876" s="7" t="s">
        <v>21</v>
      </c>
      <c r="L1876" t="s">
        <v>3130</v>
      </c>
      <c r="M1876" s="7" t="s">
        <v>22</v>
      </c>
      <c r="N1876" s="7" t="s">
        <v>23</v>
      </c>
      <c r="O1876" s="7" t="s">
        <v>27</v>
      </c>
      <c r="P1876" s="7" t="s">
        <v>5101</v>
      </c>
      <c r="Q1876" s="26">
        <v>50</v>
      </c>
      <c r="R1876" s="26">
        <v>3</v>
      </c>
      <c r="S1876" s="40">
        <v>1</v>
      </c>
      <c r="T1876" s="7"/>
      <c r="U1876" s="7" t="s">
        <v>2951</v>
      </c>
      <c r="V1876" s="7" t="str">
        <f>+IF(U1876="","",IF(U1876="FINES",CONCATENATE("R",IF(OR(B1876="16",B1876="21",B1876="22",B1876="23"),"16212223",IF(OR(B1876="15",B1876="17",B1876="24",B1876="25"),"15172425",B1876))),IF(U1876="CEBAS","UNICO",IF(VALUE(B1876)&lt;=11,"AMBA","INTERIOR"))))</f>
        <v>R02</v>
      </c>
      <c r="W1876" s="38" t="str">
        <f>+IF(U1876="","-",CONCATENATE(U1876,"_",V1876))</f>
        <v>FINES_R02</v>
      </c>
      <c r="X1876" s="42">
        <v>0.41199999999999998</v>
      </c>
    </row>
    <row r="1877" spans="1:24">
      <c r="A1877" s="21" t="s">
        <v>5100</v>
      </c>
      <c r="B1877" t="s">
        <v>356</v>
      </c>
      <c r="C1877" t="s">
        <v>805</v>
      </c>
      <c r="D1877" t="s">
        <v>2500</v>
      </c>
      <c r="E1877" s="7" t="s">
        <v>198</v>
      </c>
      <c r="F1877" s="7" t="s">
        <v>198</v>
      </c>
      <c r="G1877" s="7" t="s">
        <v>198</v>
      </c>
      <c r="H1877" s="7" t="s">
        <v>20</v>
      </c>
      <c r="I1877" s="7" t="s">
        <v>5102</v>
      </c>
      <c r="J1877" s="7" t="s">
        <v>21</v>
      </c>
      <c r="L1877" t="s">
        <v>3225</v>
      </c>
      <c r="M1877" s="7" t="s">
        <v>22</v>
      </c>
      <c r="N1877" s="7" t="s">
        <v>23</v>
      </c>
      <c r="O1877" s="7" t="s">
        <v>27</v>
      </c>
      <c r="P1877" s="7" t="s">
        <v>5101</v>
      </c>
      <c r="Q1877" s="26">
        <v>68</v>
      </c>
      <c r="R1877" s="26">
        <v>3</v>
      </c>
      <c r="S1877" s="40">
        <v>1</v>
      </c>
      <c r="T1877" s="7"/>
      <c r="U1877" s="7" t="s">
        <v>2951</v>
      </c>
      <c r="V1877" s="7" t="str">
        <f>+IF(U1877="","",IF(U1877="FINES",CONCATENATE("R",IF(OR(B1877="16",B1877="21",B1877="22",B1877="23"),"16212223",IF(OR(B1877="15",B1877="17",B1877="24",B1877="25"),"15172425",B1877))),IF(U1877="CEBAS","UNICO",IF(VALUE(B1877)&lt;=11,"AMBA","INTERIOR"))))</f>
        <v>R02</v>
      </c>
      <c r="W1877" s="38" t="str">
        <f>+IF(U1877="","-",CONCATENATE(U1877,"_",V1877))</f>
        <v>FINES_R02</v>
      </c>
      <c r="X1877" s="42">
        <v>0.41599999999999998</v>
      </c>
    </row>
    <row r="1878" spans="1:24">
      <c r="A1878" s="21" t="s">
        <v>5100</v>
      </c>
      <c r="B1878" t="s">
        <v>356</v>
      </c>
      <c r="C1878" t="s">
        <v>1359</v>
      </c>
      <c r="D1878" t="s">
        <v>1360</v>
      </c>
      <c r="E1878" s="7" t="s">
        <v>198</v>
      </c>
      <c r="F1878" s="7" t="s">
        <v>198</v>
      </c>
      <c r="G1878" s="7" t="s">
        <v>198</v>
      </c>
      <c r="H1878" s="7" t="s">
        <v>20</v>
      </c>
      <c r="I1878" s="7" t="s">
        <v>5102</v>
      </c>
      <c r="J1878" s="7" t="s">
        <v>21</v>
      </c>
      <c r="L1878" t="s">
        <v>3230</v>
      </c>
      <c r="M1878" s="7" t="s">
        <v>22</v>
      </c>
      <c r="N1878" s="7" t="s">
        <v>23</v>
      </c>
      <c r="O1878" s="7" t="s">
        <v>27</v>
      </c>
      <c r="P1878" s="7" t="s">
        <v>5101</v>
      </c>
      <c r="Q1878" s="26">
        <v>13</v>
      </c>
      <c r="R1878" s="26">
        <v>1</v>
      </c>
      <c r="S1878" s="40">
        <v>1</v>
      </c>
      <c r="T1878" s="7"/>
      <c r="U1878" s="7" t="s">
        <v>2951</v>
      </c>
      <c r="V1878" s="7" t="str">
        <f>+IF(U1878="","",IF(U1878="FINES",CONCATENATE("R",IF(OR(B1878="16",B1878="21",B1878="22",B1878="23"),"16212223",IF(OR(B1878="15",B1878="17",B1878="24",B1878="25"),"15172425",B1878))),IF(U1878="CEBAS","UNICO",IF(VALUE(B1878)&lt;=11,"AMBA","INTERIOR"))))</f>
        <v>R02</v>
      </c>
      <c r="W1878" s="38" t="str">
        <f>+IF(U1878="","-",CONCATENATE(U1878,"_",V1878))</f>
        <v>FINES_R02</v>
      </c>
      <c r="X1878" s="42">
        <v>0.41699999999999998</v>
      </c>
    </row>
    <row r="1879" spans="1:24">
      <c r="A1879" s="21" t="s">
        <v>5100</v>
      </c>
      <c r="B1879" t="s">
        <v>356</v>
      </c>
      <c r="C1879" t="s">
        <v>805</v>
      </c>
      <c r="D1879" t="s">
        <v>2500</v>
      </c>
      <c r="E1879" s="7" t="s">
        <v>198</v>
      </c>
      <c r="F1879" s="7" t="s">
        <v>198</v>
      </c>
      <c r="G1879" s="7" t="s">
        <v>198</v>
      </c>
      <c r="H1879" s="7" t="s">
        <v>20</v>
      </c>
      <c r="I1879" s="7" t="s">
        <v>5102</v>
      </c>
      <c r="J1879" s="7" t="s">
        <v>21</v>
      </c>
      <c r="L1879" t="s">
        <v>3199</v>
      </c>
      <c r="M1879" s="7" t="s">
        <v>22</v>
      </c>
      <c r="N1879" s="7" t="s">
        <v>23</v>
      </c>
      <c r="O1879" s="7" t="s">
        <v>27</v>
      </c>
      <c r="P1879" s="7" t="s">
        <v>5101</v>
      </c>
      <c r="Q1879" s="26">
        <v>19</v>
      </c>
      <c r="R1879" s="26">
        <v>1</v>
      </c>
      <c r="S1879" s="40">
        <v>1</v>
      </c>
      <c r="T1879" s="7"/>
      <c r="U1879" s="7" t="s">
        <v>2951</v>
      </c>
      <c r="V1879" s="7" t="str">
        <f>+IF(U1879="","",IF(U1879="FINES",CONCATENATE("R",IF(OR(B1879="16",B1879="21",B1879="22",B1879="23"),"16212223",IF(OR(B1879="15",B1879="17",B1879="24",B1879="25"),"15172425",B1879))),IF(U1879="CEBAS","UNICO",IF(VALUE(B1879)&lt;=11,"AMBA","INTERIOR"))))</f>
        <v>R02</v>
      </c>
      <c r="W1879" s="38" t="str">
        <f>+IF(U1879="","-",CONCATENATE(U1879,"_",V1879))</f>
        <v>FINES_R02</v>
      </c>
      <c r="X1879" s="42">
        <v>0.41899999999999998</v>
      </c>
    </row>
    <row r="1880" spans="1:24">
      <c r="A1880" s="21" t="s">
        <v>5100</v>
      </c>
      <c r="B1880" t="s">
        <v>356</v>
      </c>
      <c r="C1880" t="s">
        <v>1359</v>
      </c>
      <c r="D1880" t="s">
        <v>1360</v>
      </c>
      <c r="E1880" s="7" t="s">
        <v>198</v>
      </c>
      <c r="F1880" s="7" t="s">
        <v>198</v>
      </c>
      <c r="G1880" s="7" t="s">
        <v>198</v>
      </c>
      <c r="H1880" s="7" t="s">
        <v>20</v>
      </c>
      <c r="I1880" s="7" t="s">
        <v>5102</v>
      </c>
      <c r="J1880" s="7" t="s">
        <v>21</v>
      </c>
      <c r="L1880" t="s">
        <v>3306</v>
      </c>
      <c r="M1880" s="7" t="s">
        <v>22</v>
      </c>
      <c r="N1880" s="7" t="s">
        <v>23</v>
      </c>
      <c r="O1880" s="7" t="s">
        <v>27</v>
      </c>
      <c r="P1880" s="7" t="s">
        <v>5101</v>
      </c>
      <c r="Q1880" s="26">
        <v>23</v>
      </c>
      <c r="R1880" s="26">
        <v>1</v>
      </c>
      <c r="S1880" s="40">
        <v>1</v>
      </c>
      <c r="T1880" s="7"/>
      <c r="U1880" s="7" t="s">
        <v>2951</v>
      </c>
      <c r="V1880" s="7" t="str">
        <f>+IF(U1880="","",IF(U1880="FINES",CONCATENATE("R",IF(OR(B1880="16",B1880="21",B1880="22",B1880="23"),"16212223",IF(OR(B1880="15",B1880="17",B1880="24",B1880="25"),"15172425",B1880))),IF(U1880="CEBAS","UNICO",IF(VALUE(B1880)&lt;=11,"AMBA","INTERIOR"))))</f>
        <v>R02</v>
      </c>
      <c r="W1880" s="38" t="str">
        <f>+IF(U1880="","-",CONCATENATE(U1880,"_",V1880))</f>
        <v>FINES_R02</v>
      </c>
      <c r="X1880" s="42">
        <v>0.41899999999999998</v>
      </c>
    </row>
    <row r="1881" spans="1:24">
      <c r="A1881" s="21" t="s">
        <v>5100</v>
      </c>
      <c r="B1881" t="s">
        <v>356</v>
      </c>
      <c r="C1881" t="s">
        <v>805</v>
      </c>
      <c r="D1881" t="s">
        <v>2500</v>
      </c>
      <c r="E1881" s="7" t="s">
        <v>198</v>
      </c>
      <c r="F1881" s="7" t="s">
        <v>198</v>
      </c>
      <c r="G1881" s="7" t="s">
        <v>198</v>
      </c>
      <c r="H1881" s="7" t="s">
        <v>20</v>
      </c>
      <c r="I1881" s="7" t="s">
        <v>5102</v>
      </c>
      <c r="J1881" s="7" t="s">
        <v>21</v>
      </c>
      <c r="L1881" t="s">
        <v>3202</v>
      </c>
      <c r="M1881" s="7" t="s">
        <v>22</v>
      </c>
      <c r="N1881" s="7" t="s">
        <v>23</v>
      </c>
      <c r="O1881" s="7" t="s">
        <v>27</v>
      </c>
      <c r="P1881" s="7" t="s">
        <v>5101</v>
      </c>
      <c r="Q1881" s="26">
        <v>21</v>
      </c>
      <c r="R1881" s="26">
        <v>1</v>
      </c>
      <c r="S1881" s="40">
        <v>1</v>
      </c>
      <c r="T1881" s="7"/>
      <c r="U1881" s="7" t="s">
        <v>2951</v>
      </c>
      <c r="V1881" s="7" t="str">
        <f>+IF(U1881="","",IF(U1881="FINES",CONCATENATE("R",IF(OR(B1881="16",B1881="21",B1881="22",B1881="23"),"16212223",IF(OR(B1881="15",B1881="17",B1881="24",B1881="25"),"15172425",B1881))),IF(U1881="CEBAS","UNICO",IF(VALUE(B1881)&lt;=11,"AMBA","INTERIOR"))))</f>
        <v>R02</v>
      </c>
      <c r="W1881" s="38" t="str">
        <f>+IF(U1881="","-",CONCATENATE(U1881,"_",V1881))</f>
        <v>FINES_R02</v>
      </c>
      <c r="X1881" s="42">
        <v>0.42599999999999999</v>
      </c>
    </row>
    <row r="1882" spans="1:24">
      <c r="A1882" s="21" t="s">
        <v>5100</v>
      </c>
      <c r="B1882" t="s">
        <v>356</v>
      </c>
      <c r="C1882" t="s">
        <v>1359</v>
      </c>
      <c r="D1882" t="s">
        <v>1360</v>
      </c>
      <c r="E1882" s="7" t="s">
        <v>198</v>
      </c>
      <c r="F1882" s="7" t="s">
        <v>198</v>
      </c>
      <c r="G1882" s="7" t="s">
        <v>198</v>
      </c>
      <c r="H1882" s="7" t="s">
        <v>20</v>
      </c>
      <c r="I1882" s="7" t="s">
        <v>5102</v>
      </c>
      <c r="J1882" s="7" t="s">
        <v>21</v>
      </c>
      <c r="L1882" t="s">
        <v>3253</v>
      </c>
      <c r="M1882" s="7" t="s">
        <v>22</v>
      </c>
      <c r="N1882" s="7" t="s">
        <v>23</v>
      </c>
      <c r="O1882" s="7" t="s">
        <v>27</v>
      </c>
      <c r="P1882" s="7" t="s">
        <v>5101</v>
      </c>
      <c r="Q1882" s="26">
        <v>9</v>
      </c>
      <c r="R1882" s="26">
        <v>1</v>
      </c>
      <c r="S1882" s="40">
        <v>1</v>
      </c>
      <c r="T1882" s="7"/>
      <c r="U1882" s="7" t="s">
        <v>2951</v>
      </c>
      <c r="V1882" s="7" t="str">
        <f>+IF(U1882="","",IF(U1882="FINES",CONCATENATE("R",IF(OR(B1882="16",B1882="21",B1882="22",B1882="23"),"16212223",IF(OR(B1882="15",B1882="17",B1882="24",B1882="25"),"15172425",B1882))),IF(U1882="CEBAS","UNICO",IF(VALUE(B1882)&lt;=11,"AMBA","INTERIOR"))))</f>
        <v>R02</v>
      </c>
      <c r="W1882" s="38" t="str">
        <f>+IF(U1882="","-",CONCATENATE(U1882,"_",V1882))</f>
        <v>FINES_R02</v>
      </c>
      <c r="X1882" s="42">
        <v>0.42599999999999999</v>
      </c>
    </row>
    <row r="1883" spans="1:24">
      <c r="A1883" s="21" t="s">
        <v>5100</v>
      </c>
      <c r="B1883" t="s">
        <v>356</v>
      </c>
      <c r="C1883" t="s">
        <v>805</v>
      </c>
      <c r="D1883" t="s">
        <v>2500</v>
      </c>
      <c r="E1883" s="7" t="s">
        <v>198</v>
      </c>
      <c r="F1883" s="7" t="s">
        <v>198</v>
      </c>
      <c r="G1883" s="7" t="s">
        <v>198</v>
      </c>
      <c r="H1883" s="7" t="s">
        <v>20</v>
      </c>
      <c r="I1883" s="7" t="s">
        <v>5102</v>
      </c>
      <c r="J1883" s="7" t="s">
        <v>21</v>
      </c>
      <c r="L1883" t="s">
        <v>3209</v>
      </c>
      <c r="M1883" s="7" t="s">
        <v>22</v>
      </c>
      <c r="N1883" s="7" t="s">
        <v>23</v>
      </c>
      <c r="O1883" s="7" t="s">
        <v>27</v>
      </c>
      <c r="P1883" s="7" t="s">
        <v>5101</v>
      </c>
      <c r="Q1883" s="26">
        <v>20</v>
      </c>
      <c r="R1883" s="26">
        <v>2</v>
      </c>
      <c r="S1883" s="40">
        <v>1</v>
      </c>
      <c r="T1883" s="7"/>
      <c r="U1883" s="7" t="s">
        <v>2951</v>
      </c>
      <c r="V1883" s="7" t="str">
        <f>+IF(U1883="","",IF(U1883="FINES",CONCATENATE("R",IF(OR(B1883="16",B1883="21",B1883="22",B1883="23"),"16212223",IF(OR(B1883="15",B1883="17",B1883="24",B1883="25"),"15172425",B1883))),IF(U1883="CEBAS","UNICO",IF(VALUE(B1883)&lt;=11,"AMBA","INTERIOR"))))</f>
        <v>R02</v>
      </c>
      <c r="W1883" s="38" t="str">
        <f>+IF(U1883="","-",CONCATENATE(U1883,"_",V1883))</f>
        <v>FINES_R02</v>
      </c>
      <c r="X1883" s="42">
        <v>0.42699999999999999</v>
      </c>
    </row>
    <row r="1884" spans="1:24">
      <c r="A1884" s="21" t="s">
        <v>5100</v>
      </c>
      <c r="B1884" t="s">
        <v>356</v>
      </c>
      <c r="C1884" t="s">
        <v>1359</v>
      </c>
      <c r="D1884" t="s">
        <v>1360</v>
      </c>
      <c r="E1884" s="7" t="s">
        <v>198</v>
      </c>
      <c r="F1884" s="7" t="s">
        <v>198</v>
      </c>
      <c r="G1884" s="7" t="s">
        <v>198</v>
      </c>
      <c r="H1884" s="7" t="s">
        <v>20</v>
      </c>
      <c r="I1884" s="7" t="s">
        <v>5102</v>
      </c>
      <c r="J1884" s="7" t="s">
        <v>21</v>
      </c>
      <c r="L1884" t="s">
        <v>3255</v>
      </c>
      <c r="M1884" s="7" t="s">
        <v>22</v>
      </c>
      <c r="N1884" s="7" t="s">
        <v>23</v>
      </c>
      <c r="O1884" s="7" t="s">
        <v>27</v>
      </c>
      <c r="P1884" s="7" t="s">
        <v>5101</v>
      </c>
      <c r="Q1884" s="26">
        <v>27</v>
      </c>
      <c r="R1884" s="26">
        <v>1</v>
      </c>
      <c r="S1884" s="40">
        <v>1</v>
      </c>
      <c r="T1884" s="7"/>
      <c r="U1884" s="7" t="s">
        <v>2951</v>
      </c>
      <c r="V1884" s="7" t="str">
        <f>+IF(U1884="","",IF(U1884="FINES",CONCATENATE("R",IF(OR(B1884="16",B1884="21",B1884="22",B1884="23"),"16212223",IF(OR(B1884="15",B1884="17",B1884="24",B1884="25"),"15172425",B1884))),IF(U1884="CEBAS","UNICO",IF(VALUE(B1884)&lt;=11,"AMBA","INTERIOR"))))</f>
        <v>R02</v>
      </c>
      <c r="W1884" s="38" t="str">
        <f>+IF(U1884="","-",CONCATENATE(U1884,"_",V1884))</f>
        <v>FINES_R02</v>
      </c>
      <c r="X1884" s="42">
        <v>0.434</v>
      </c>
    </row>
    <row r="1885" spans="1:24">
      <c r="A1885" s="21" t="s">
        <v>5100</v>
      </c>
      <c r="B1885" t="s">
        <v>356</v>
      </c>
      <c r="C1885" t="s">
        <v>1359</v>
      </c>
      <c r="D1885" t="s">
        <v>1360</v>
      </c>
      <c r="E1885" s="7" t="s">
        <v>198</v>
      </c>
      <c r="F1885" s="7" t="s">
        <v>198</v>
      </c>
      <c r="G1885" s="7" t="s">
        <v>198</v>
      </c>
      <c r="H1885" s="7" t="s">
        <v>20</v>
      </c>
      <c r="I1885" s="7" t="s">
        <v>5102</v>
      </c>
      <c r="J1885" s="7" t="s">
        <v>21</v>
      </c>
      <c r="L1885" t="s">
        <v>3279</v>
      </c>
      <c r="M1885" s="7" t="s">
        <v>22</v>
      </c>
      <c r="N1885" s="7" t="s">
        <v>23</v>
      </c>
      <c r="O1885" s="7" t="s">
        <v>27</v>
      </c>
      <c r="P1885" s="7" t="s">
        <v>5101</v>
      </c>
      <c r="Q1885" s="26">
        <v>21</v>
      </c>
      <c r="R1885" s="26">
        <v>1</v>
      </c>
      <c r="S1885" s="40">
        <v>1</v>
      </c>
      <c r="T1885" s="7"/>
      <c r="U1885" s="7" t="s">
        <v>2951</v>
      </c>
      <c r="V1885" s="7" t="str">
        <f>+IF(U1885="","",IF(U1885="FINES",CONCATENATE("R",IF(OR(B1885="16",B1885="21",B1885="22",B1885="23"),"16212223",IF(OR(B1885="15",B1885="17",B1885="24",B1885="25"),"15172425",B1885))),IF(U1885="CEBAS","UNICO",IF(VALUE(B1885)&lt;=11,"AMBA","INTERIOR"))))</f>
        <v>R02</v>
      </c>
      <c r="W1885" s="38" t="str">
        <f>+IF(U1885="","-",CONCATENATE(U1885,"_",V1885))</f>
        <v>FINES_R02</v>
      </c>
      <c r="X1885" s="42">
        <v>0.435</v>
      </c>
    </row>
    <row r="1886" spans="1:24">
      <c r="A1886" s="21" t="s">
        <v>5100</v>
      </c>
      <c r="B1886" t="s">
        <v>356</v>
      </c>
      <c r="C1886" t="s">
        <v>1359</v>
      </c>
      <c r="D1886" t="s">
        <v>1360</v>
      </c>
      <c r="E1886" s="7" t="s">
        <v>198</v>
      </c>
      <c r="F1886" s="7" t="s">
        <v>198</v>
      </c>
      <c r="G1886" s="7" t="s">
        <v>198</v>
      </c>
      <c r="H1886" s="7" t="s">
        <v>20</v>
      </c>
      <c r="I1886" s="7" t="s">
        <v>5102</v>
      </c>
      <c r="J1886" s="7" t="s">
        <v>21</v>
      </c>
      <c r="L1886" t="s">
        <v>3278</v>
      </c>
      <c r="M1886" s="7" t="s">
        <v>22</v>
      </c>
      <c r="N1886" s="7" t="s">
        <v>23</v>
      </c>
      <c r="O1886" s="7" t="s">
        <v>27</v>
      </c>
      <c r="P1886" s="7" t="s">
        <v>5101</v>
      </c>
      <c r="Q1886" s="26">
        <v>38</v>
      </c>
      <c r="R1886" s="26">
        <v>3</v>
      </c>
      <c r="S1886" s="40">
        <v>1</v>
      </c>
      <c r="T1886" s="7"/>
      <c r="U1886" s="7" t="s">
        <v>2951</v>
      </c>
      <c r="V1886" s="7" t="str">
        <f>+IF(U1886="","",IF(U1886="FINES",CONCATENATE("R",IF(OR(B1886="16",B1886="21",B1886="22",B1886="23"),"16212223",IF(OR(B1886="15",B1886="17",B1886="24",B1886="25"),"15172425",B1886))),IF(U1886="CEBAS","UNICO",IF(VALUE(B1886)&lt;=11,"AMBA","INTERIOR"))))</f>
        <v>R02</v>
      </c>
      <c r="W1886" s="38" t="str">
        <f>+IF(U1886="","-",CONCATENATE(U1886,"_",V1886))</f>
        <v>FINES_R02</v>
      </c>
      <c r="X1886" s="42">
        <v>0.436</v>
      </c>
    </row>
    <row r="1887" spans="1:24">
      <c r="A1887" s="21" t="s">
        <v>5100</v>
      </c>
      <c r="B1887" t="s">
        <v>356</v>
      </c>
      <c r="C1887" t="s">
        <v>1359</v>
      </c>
      <c r="D1887" t="s">
        <v>1360</v>
      </c>
      <c r="E1887" s="7" t="s">
        <v>198</v>
      </c>
      <c r="F1887" s="7" t="s">
        <v>198</v>
      </c>
      <c r="G1887" s="7" t="s">
        <v>198</v>
      </c>
      <c r="H1887" s="7" t="s">
        <v>20</v>
      </c>
      <c r="I1887" s="7" t="s">
        <v>5102</v>
      </c>
      <c r="J1887" s="7" t="s">
        <v>21</v>
      </c>
      <c r="L1887" t="s">
        <v>3309</v>
      </c>
      <c r="M1887" s="7" t="s">
        <v>22</v>
      </c>
      <c r="N1887" s="7" t="s">
        <v>23</v>
      </c>
      <c r="O1887" s="7" t="s">
        <v>27</v>
      </c>
      <c r="P1887" s="7" t="s">
        <v>5101</v>
      </c>
      <c r="Q1887" s="26">
        <v>19</v>
      </c>
      <c r="R1887" s="26">
        <v>1</v>
      </c>
      <c r="S1887" s="40">
        <v>1</v>
      </c>
      <c r="T1887" s="7"/>
      <c r="U1887" s="7" t="s">
        <v>2951</v>
      </c>
      <c r="V1887" s="7" t="str">
        <f>+IF(U1887="","",IF(U1887="FINES",CONCATENATE("R",IF(OR(B1887="16",B1887="21",B1887="22",B1887="23"),"16212223",IF(OR(B1887="15",B1887="17",B1887="24",B1887="25"),"15172425",B1887))),IF(U1887="CEBAS","UNICO",IF(VALUE(B1887)&lt;=11,"AMBA","INTERIOR"))))</f>
        <v>R02</v>
      </c>
      <c r="W1887" s="38" t="str">
        <f>+IF(U1887="","-",CONCATENATE(U1887,"_",V1887))</f>
        <v>FINES_R02</v>
      </c>
      <c r="X1887" s="42">
        <v>0.443</v>
      </c>
    </row>
    <row r="1888" spans="1:24">
      <c r="A1888" s="21" t="s">
        <v>5100</v>
      </c>
      <c r="B1888" t="s">
        <v>356</v>
      </c>
      <c r="C1888" t="s">
        <v>1359</v>
      </c>
      <c r="D1888" t="s">
        <v>1360</v>
      </c>
      <c r="E1888" s="7" t="s">
        <v>198</v>
      </c>
      <c r="F1888" s="7" t="s">
        <v>198</v>
      </c>
      <c r="G1888" s="7" t="s">
        <v>198</v>
      </c>
      <c r="H1888" s="7" t="s">
        <v>20</v>
      </c>
      <c r="I1888" s="7" t="s">
        <v>5102</v>
      </c>
      <c r="J1888" s="7" t="s">
        <v>21</v>
      </c>
      <c r="L1888" t="s">
        <v>3244</v>
      </c>
      <c r="M1888" s="7" t="s">
        <v>22</v>
      </c>
      <c r="N1888" s="7" t="s">
        <v>23</v>
      </c>
      <c r="O1888" s="7" t="s">
        <v>27</v>
      </c>
      <c r="P1888" s="7" t="s">
        <v>5101</v>
      </c>
      <c r="Q1888" s="26">
        <v>14</v>
      </c>
      <c r="R1888" s="26">
        <v>1</v>
      </c>
      <c r="S1888" s="40">
        <v>1</v>
      </c>
      <c r="T1888" s="7"/>
      <c r="U1888" s="7" t="s">
        <v>2951</v>
      </c>
      <c r="V1888" s="7" t="str">
        <f>+IF(U1888="","",IF(U1888="FINES",CONCATENATE("R",IF(OR(B1888="16",B1888="21",B1888="22",B1888="23"),"16212223",IF(OR(B1888="15",B1888="17",B1888="24",B1888="25"),"15172425",B1888))),IF(U1888="CEBAS","UNICO",IF(VALUE(B1888)&lt;=11,"AMBA","INTERIOR"))))</f>
        <v>R02</v>
      </c>
      <c r="W1888" s="38" t="str">
        <f>+IF(U1888="","-",CONCATENATE(U1888,"_",V1888))</f>
        <v>FINES_R02</v>
      </c>
      <c r="X1888" s="42">
        <v>0.44900000000000001</v>
      </c>
    </row>
    <row r="1889" spans="1:24">
      <c r="A1889" s="21" t="s">
        <v>5100</v>
      </c>
      <c r="B1889" t="s">
        <v>356</v>
      </c>
      <c r="C1889" t="s">
        <v>1359</v>
      </c>
      <c r="D1889" t="s">
        <v>1360</v>
      </c>
      <c r="E1889" s="7" t="s">
        <v>198</v>
      </c>
      <c r="F1889" s="7" t="s">
        <v>198</v>
      </c>
      <c r="G1889" s="7" t="s">
        <v>198</v>
      </c>
      <c r="H1889" s="7" t="s">
        <v>20</v>
      </c>
      <c r="I1889" s="7" t="s">
        <v>5102</v>
      </c>
      <c r="J1889" s="7" t="s">
        <v>21</v>
      </c>
      <c r="L1889" t="s">
        <v>3295</v>
      </c>
      <c r="M1889" s="7" t="s">
        <v>22</v>
      </c>
      <c r="N1889" s="7" t="s">
        <v>23</v>
      </c>
      <c r="O1889" s="7" t="s">
        <v>27</v>
      </c>
      <c r="P1889" s="7" t="s">
        <v>5101</v>
      </c>
      <c r="Q1889" s="26">
        <v>32</v>
      </c>
      <c r="R1889" s="26">
        <v>1</v>
      </c>
      <c r="S1889" s="40">
        <v>1</v>
      </c>
      <c r="T1889" s="7"/>
      <c r="U1889" s="7" t="s">
        <v>2951</v>
      </c>
      <c r="V1889" s="7" t="str">
        <f>+IF(U1889="","",IF(U1889="FINES",CONCATENATE("R",IF(OR(B1889="16",B1889="21",B1889="22",B1889="23"),"16212223",IF(OR(B1889="15",B1889="17",B1889="24",B1889="25"),"15172425",B1889))),IF(U1889="CEBAS","UNICO",IF(VALUE(B1889)&lt;=11,"AMBA","INTERIOR"))))</f>
        <v>R02</v>
      </c>
      <c r="W1889" s="38" t="str">
        <f>+IF(U1889="","-",CONCATENATE(U1889,"_",V1889))</f>
        <v>FINES_R02</v>
      </c>
      <c r="X1889" s="42">
        <v>0.45300000000000001</v>
      </c>
    </row>
    <row r="1890" spans="1:24">
      <c r="A1890" s="21" t="s">
        <v>5100</v>
      </c>
      <c r="B1890" t="s">
        <v>356</v>
      </c>
      <c r="C1890" t="s">
        <v>1359</v>
      </c>
      <c r="D1890" t="s">
        <v>1360</v>
      </c>
      <c r="E1890" s="7" t="s">
        <v>198</v>
      </c>
      <c r="F1890" s="7" t="s">
        <v>198</v>
      </c>
      <c r="G1890" s="7" t="s">
        <v>198</v>
      </c>
      <c r="H1890" s="7" t="s">
        <v>20</v>
      </c>
      <c r="I1890" s="7" t="s">
        <v>5102</v>
      </c>
      <c r="J1890" s="7" t="s">
        <v>21</v>
      </c>
      <c r="L1890" t="s">
        <v>3252</v>
      </c>
      <c r="M1890" s="7" t="s">
        <v>22</v>
      </c>
      <c r="N1890" s="7" t="s">
        <v>23</v>
      </c>
      <c r="O1890" s="7" t="s">
        <v>27</v>
      </c>
      <c r="P1890" s="7" t="s">
        <v>5101</v>
      </c>
      <c r="Q1890" s="26">
        <v>46</v>
      </c>
      <c r="R1890" s="26">
        <v>3</v>
      </c>
      <c r="S1890" s="40">
        <v>1</v>
      </c>
      <c r="T1890" s="7"/>
      <c r="U1890" s="7" t="s">
        <v>2951</v>
      </c>
      <c r="V1890" s="7" t="str">
        <f>+IF(U1890="","",IF(U1890="FINES",CONCATENATE("R",IF(OR(B1890="16",B1890="21",B1890="22",B1890="23"),"16212223",IF(OR(B1890="15",B1890="17",B1890="24",B1890="25"),"15172425",B1890))),IF(U1890="CEBAS","UNICO",IF(VALUE(B1890)&lt;=11,"AMBA","INTERIOR"))))</f>
        <v>R02</v>
      </c>
      <c r="W1890" s="38" t="str">
        <f>+IF(U1890="","-",CONCATENATE(U1890,"_",V1890))</f>
        <v>FINES_R02</v>
      </c>
      <c r="X1890" s="42">
        <v>0.46700000000000003</v>
      </c>
    </row>
    <row r="1891" spans="1:24">
      <c r="A1891" s="21" t="s">
        <v>5100</v>
      </c>
      <c r="B1891" t="s">
        <v>356</v>
      </c>
      <c r="C1891" t="s">
        <v>353</v>
      </c>
      <c r="D1891" t="s">
        <v>355</v>
      </c>
      <c r="E1891" s="7" t="s">
        <v>198</v>
      </c>
      <c r="F1891" s="7" t="s">
        <v>198</v>
      </c>
      <c r="G1891" s="7" t="s">
        <v>198</v>
      </c>
      <c r="H1891" s="7" t="s">
        <v>20</v>
      </c>
      <c r="I1891" s="7" t="s">
        <v>5102</v>
      </c>
      <c r="J1891" s="7" t="s">
        <v>21</v>
      </c>
      <c r="L1891" t="s">
        <v>3135</v>
      </c>
      <c r="M1891" s="7" t="s">
        <v>22</v>
      </c>
      <c r="N1891" s="7" t="s">
        <v>23</v>
      </c>
      <c r="O1891" s="7" t="s">
        <v>27</v>
      </c>
      <c r="P1891" s="7" t="s">
        <v>5101</v>
      </c>
      <c r="Q1891" s="26">
        <v>24</v>
      </c>
      <c r="R1891" s="26">
        <v>1</v>
      </c>
      <c r="S1891" s="40">
        <v>1</v>
      </c>
      <c r="T1891" s="7"/>
      <c r="U1891" s="7" t="s">
        <v>2951</v>
      </c>
      <c r="V1891" s="7" t="str">
        <f>+IF(U1891="","",IF(U1891="FINES",CONCATENATE("R",IF(OR(B1891="16",B1891="21",B1891="22",B1891="23"),"16212223",IF(OR(B1891="15",B1891="17",B1891="24",B1891="25"),"15172425",B1891))),IF(U1891="CEBAS","UNICO",IF(VALUE(B1891)&lt;=11,"AMBA","INTERIOR"))))</f>
        <v>R02</v>
      </c>
      <c r="W1891" s="38" t="str">
        <f>+IF(U1891="","-",CONCATENATE(U1891,"_",V1891))</f>
        <v>FINES_R02</v>
      </c>
      <c r="X1891" s="42">
        <v>0.47</v>
      </c>
    </row>
    <row r="1892" spans="1:24">
      <c r="A1892" s="21" t="s">
        <v>5100</v>
      </c>
      <c r="B1892" t="s">
        <v>356</v>
      </c>
      <c r="C1892" t="s">
        <v>805</v>
      </c>
      <c r="D1892" t="s">
        <v>2500</v>
      </c>
      <c r="E1892" s="7" t="s">
        <v>198</v>
      </c>
      <c r="F1892" s="7" t="s">
        <v>198</v>
      </c>
      <c r="G1892" s="7" t="s">
        <v>198</v>
      </c>
      <c r="H1892" s="7" t="s">
        <v>20</v>
      </c>
      <c r="I1892" s="7" t="s">
        <v>5102</v>
      </c>
      <c r="J1892" s="7" t="s">
        <v>21</v>
      </c>
      <c r="L1892" t="s">
        <v>3226</v>
      </c>
      <c r="M1892" s="7" t="s">
        <v>22</v>
      </c>
      <c r="N1892" s="7" t="s">
        <v>23</v>
      </c>
      <c r="O1892" s="7" t="s">
        <v>27</v>
      </c>
      <c r="P1892" s="7" t="s">
        <v>5101</v>
      </c>
      <c r="Q1892" s="26">
        <v>16</v>
      </c>
      <c r="R1892" s="26">
        <v>1</v>
      </c>
      <c r="S1892" s="40">
        <v>1</v>
      </c>
      <c r="T1892" s="7"/>
      <c r="U1892" s="7" t="s">
        <v>2951</v>
      </c>
      <c r="V1892" s="7" t="str">
        <f>+IF(U1892="","",IF(U1892="FINES",CONCATENATE("R",IF(OR(B1892="16",B1892="21",B1892="22",B1892="23"),"16212223",IF(OR(B1892="15",B1892="17",B1892="24",B1892="25"),"15172425",B1892))),IF(U1892="CEBAS","UNICO",IF(VALUE(B1892)&lt;=11,"AMBA","INTERIOR"))))</f>
        <v>R02</v>
      </c>
      <c r="W1892" s="38" t="str">
        <f>+IF(U1892="","-",CONCATENATE(U1892,"_",V1892))</f>
        <v>FINES_R02</v>
      </c>
      <c r="X1892" s="42">
        <v>0.47299999999999998</v>
      </c>
    </row>
    <row r="1893" spans="1:24">
      <c r="A1893" s="21" t="s">
        <v>5100</v>
      </c>
      <c r="B1893" t="s">
        <v>356</v>
      </c>
      <c r="C1893" t="s">
        <v>1359</v>
      </c>
      <c r="D1893" t="s">
        <v>1360</v>
      </c>
      <c r="E1893" s="7" t="s">
        <v>198</v>
      </c>
      <c r="F1893" s="7" t="s">
        <v>198</v>
      </c>
      <c r="G1893" s="7" t="s">
        <v>198</v>
      </c>
      <c r="H1893" s="7" t="s">
        <v>20</v>
      </c>
      <c r="I1893" s="7" t="s">
        <v>5102</v>
      </c>
      <c r="J1893" s="7" t="s">
        <v>21</v>
      </c>
      <c r="L1893" t="s">
        <v>3287</v>
      </c>
      <c r="M1893" s="7" t="s">
        <v>22</v>
      </c>
      <c r="N1893" s="7" t="s">
        <v>23</v>
      </c>
      <c r="O1893" s="7" t="s">
        <v>27</v>
      </c>
      <c r="P1893" s="7" t="s">
        <v>5101</v>
      </c>
      <c r="Q1893" s="26">
        <v>69</v>
      </c>
      <c r="R1893" s="26">
        <v>2</v>
      </c>
      <c r="S1893" s="40">
        <v>1</v>
      </c>
      <c r="T1893" s="7"/>
      <c r="U1893" s="7" t="s">
        <v>2951</v>
      </c>
      <c r="V1893" s="7" t="str">
        <f>+IF(U1893="","",IF(U1893="FINES",CONCATENATE("R",IF(OR(B1893="16",B1893="21",B1893="22",B1893="23"),"16212223",IF(OR(B1893="15",B1893="17",B1893="24",B1893="25"),"15172425",B1893))),IF(U1893="CEBAS","UNICO",IF(VALUE(B1893)&lt;=11,"AMBA","INTERIOR"))))</f>
        <v>R02</v>
      </c>
      <c r="W1893" s="38" t="str">
        <f>+IF(U1893="","-",CONCATENATE(U1893,"_",V1893))</f>
        <v>FINES_R02</v>
      </c>
      <c r="X1893" s="42">
        <v>0.47299999999999998</v>
      </c>
    </row>
    <row r="1894" spans="1:24">
      <c r="A1894" s="21" t="s">
        <v>5100</v>
      </c>
      <c r="B1894" t="s">
        <v>356</v>
      </c>
      <c r="C1894" t="s">
        <v>353</v>
      </c>
      <c r="D1894" t="s">
        <v>355</v>
      </c>
      <c r="E1894" s="7" t="s">
        <v>198</v>
      </c>
      <c r="F1894" s="7" t="s">
        <v>198</v>
      </c>
      <c r="G1894" s="7" t="s">
        <v>198</v>
      </c>
      <c r="H1894" s="7" t="s">
        <v>20</v>
      </c>
      <c r="I1894" s="7" t="s">
        <v>5102</v>
      </c>
      <c r="J1894" s="7" t="s">
        <v>21</v>
      </c>
      <c r="L1894" t="s">
        <v>3181</v>
      </c>
      <c r="M1894" s="7" t="s">
        <v>22</v>
      </c>
      <c r="N1894" s="7" t="s">
        <v>23</v>
      </c>
      <c r="O1894" s="7" t="s">
        <v>27</v>
      </c>
      <c r="P1894" s="7" t="s">
        <v>5101</v>
      </c>
      <c r="Q1894" s="26">
        <v>47</v>
      </c>
      <c r="R1894" s="26">
        <v>3</v>
      </c>
      <c r="S1894" s="40">
        <v>1</v>
      </c>
      <c r="T1894" s="7"/>
      <c r="U1894" s="7" t="s">
        <v>2951</v>
      </c>
      <c r="V1894" s="7" t="str">
        <f>+IF(U1894="","",IF(U1894="FINES",CONCATENATE("R",IF(OR(B1894="16",B1894="21",B1894="22",B1894="23"),"16212223",IF(OR(B1894="15",B1894="17",B1894="24",B1894="25"),"15172425",B1894))),IF(U1894="CEBAS","UNICO",IF(VALUE(B1894)&lt;=11,"AMBA","INTERIOR"))))</f>
        <v>R02</v>
      </c>
      <c r="W1894" s="38" t="str">
        <f>+IF(U1894="","-",CONCATENATE(U1894,"_",V1894))</f>
        <v>FINES_R02</v>
      </c>
      <c r="X1894" s="42">
        <v>0.47599999999999998</v>
      </c>
    </row>
    <row r="1895" spans="1:24">
      <c r="A1895" s="21" t="s">
        <v>5100</v>
      </c>
      <c r="B1895" t="s">
        <v>356</v>
      </c>
      <c r="C1895" t="s">
        <v>1359</v>
      </c>
      <c r="D1895" t="s">
        <v>1360</v>
      </c>
      <c r="E1895" s="7" t="s">
        <v>198</v>
      </c>
      <c r="F1895" s="7" t="s">
        <v>198</v>
      </c>
      <c r="G1895" s="7" t="s">
        <v>198</v>
      </c>
      <c r="H1895" s="7" t="s">
        <v>20</v>
      </c>
      <c r="I1895" s="7" t="s">
        <v>5102</v>
      </c>
      <c r="J1895" s="7" t="s">
        <v>21</v>
      </c>
      <c r="L1895" t="s">
        <v>3258</v>
      </c>
      <c r="M1895" s="7" t="s">
        <v>22</v>
      </c>
      <c r="N1895" s="7" t="s">
        <v>23</v>
      </c>
      <c r="O1895" s="7" t="s">
        <v>27</v>
      </c>
      <c r="P1895" s="7" t="s">
        <v>5101</v>
      </c>
      <c r="Q1895" s="26">
        <v>26</v>
      </c>
      <c r="R1895" s="26">
        <v>1</v>
      </c>
      <c r="S1895" s="40">
        <v>1</v>
      </c>
      <c r="T1895" s="7"/>
      <c r="U1895" s="7" t="s">
        <v>2951</v>
      </c>
      <c r="V1895" s="7" t="str">
        <f>+IF(U1895="","",IF(U1895="FINES",CONCATENATE("R",IF(OR(B1895="16",B1895="21",B1895="22",B1895="23"),"16212223",IF(OR(B1895="15",B1895="17",B1895="24",B1895="25"),"15172425",B1895))),IF(U1895="CEBAS","UNICO",IF(VALUE(B1895)&lt;=11,"AMBA","INTERIOR"))))</f>
        <v>R02</v>
      </c>
      <c r="W1895" s="38" t="str">
        <f>+IF(U1895="","-",CONCATENATE(U1895,"_",V1895))</f>
        <v>FINES_R02</v>
      </c>
      <c r="X1895" s="42">
        <v>0.48099999999999998</v>
      </c>
    </row>
    <row r="1896" spans="1:24">
      <c r="A1896" s="21" t="s">
        <v>5100</v>
      </c>
      <c r="B1896" t="s">
        <v>356</v>
      </c>
      <c r="C1896" t="s">
        <v>353</v>
      </c>
      <c r="D1896" t="s">
        <v>355</v>
      </c>
      <c r="E1896" s="7" t="s">
        <v>198</v>
      </c>
      <c r="F1896" s="7" t="s">
        <v>198</v>
      </c>
      <c r="G1896" s="7" t="s">
        <v>198</v>
      </c>
      <c r="H1896" s="7" t="s">
        <v>20</v>
      </c>
      <c r="I1896" s="7" t="s">
        <v>5102</v>
      </c>
      <c r="J1896" s="7" t="s">
        <v>21</v>
      </c>
      <c r="L1896" t="s">
        <v>3180</v>
      </c>
      <c r="M1896" s="7" t="s">
        <v>22</v>
      </c>
      <c r="N1896" s="7" t="s">
        <v>23</v>
      </c>
      <c r="O1896" s="7" t="s">
        <v>27</v>
      </c>
      <c r="P1896" s="7" t="s">
        <v>5101</v>
      </c>
      <c r="Q1896" s="26">
        <v>29</v>
      </c>
      <c r="R1896" s="26">
        <v>1</v>
      </c>
      <c r="S1896" s="40">
        <v>1</v>
      </c>
      <c r="T1896" s="7"/>
      <c r="U1896" s="7" t="s">
        <v>2951</v>
      </c>
      <c r="V1896" s="7" t="str">
        <f>+IF(U1896="","",IF(U1896="FINES",CONCATENATE("R",IF(OR(B1896="16",B1896="21",B1896="22",B1896="23"),"16212223",IF(OR(B1896="15",B1896="17",B1896="24",B1896="25"),"15172425",B1896))),IF(U1896="CEBAS","UNICO",IF(VALUE(B1896)&lt;=11,"AMBA","INTERIOR"))))</f>
        <v>R02</v>
      </c>
      <c r="W1896" s="38" t="str">
        <f>+IF(U1896="","-",CONCATENATE(U1896,"_",V1896))</f>
        <v>FINES_R02</v>
      </c>
      <c r="X1896" s="42">
        <v>0.495</v>
      </c>
    </row>
    <row r="1897" spans="1:24">
      <c r="A1897" s="21" t="s">
        <v>5100</v>
      </c>
      <c r="B1897" t="s">
        <v>356</v>
      </c>
      <c r="C1897" t="s">
        <v>805</v>
      </c>
      <c r="D1897" t="s">
        <v>2500</v>
      </c>
      <c r="E1897" s="7" t="s">
        <v>198</v>
      </c>
      <c r="F1897" s="7" t="s">
        <v>198</v>
      </c>
      <c r="G1897" s="7" t="s">
        <v>198</v>
      </c>
      <c r="H1897" s="7" t="s">
        <v>20</v>
      </c>
      <c r="I1897" s="7" t="s">
        <v>5102</v>
      </c>
      <c r="J1897" s="7" t="s">
        <v>21</v>
      </c>
      <c r="L1897" t="s">
        <v>3197</v>
      </c>
      <c r="M1897" s="7" t="s">
        <v>22</v>
      </c>
      <c r="N1897" s="7" t="s">
        <v>23</v>
      </c>
      <c r="O1897" s="7" t="s">
        <v>27</v>
      </c>
      <c r="P1897" s="7" t="s">
        <v>5101</v>
      </c>
      <c r="Q1897" s="26">
        <v>15</v>
      </c>
      <c r="R1897" s="26">
        <v>1</v>
      </c>
      <c r="S1897" s="40">
        <v>1</v>
      </c>
      <c r="T1897" s="7"/>
      <c r="U1897" s="7" t="s">
        <v>2951</v>
      </c>
      <c r="V1897" s="7" t="str">
        <f>+IF(U1897="","",IF(U1897="FINES",CONCATENATE("R",IF(OR(B1897="16",B1897="21",B1897="22",B1897="23"),"16212223",IF(OR(B1897="15",B1897="17",B1897="24",B1897="25"),"15172425",B1897))),IF(U1897="CEBAS","UNICO",IF(VALUE(B1897)&lt;=11,"AMBA","INTERIOR"))))</f>
        <v>R02</v>
      </c>
      <c r="W1897" s="38" t="str">
        <f>+IF(U1897="","-",CONCATENATE(U1897,"_",V1897))</f>
        <v>FINES_R02</v>
      </c>
      <c r="X1897" s="42">
        <v>0.504</v>
      </c>
    </row>
    <row r="1898" spans="1:24">
      <c r="A1898" s="21" t="s">
        <v>5100</v>
      </c>
      <c r="B1898" t="s">
        <v>356</v>
      </c>
      <c r="C1898" t="s">
        <v>1359</v>
      </c>
      <c r="D1898" t="s">
        <v>1360</v>
      </c>
      <c r="E1898" s="7" t="s">
        <v>198</v>
      </c>
      <c r="F1898" s="7" t="s">
        <v>198</v>
      </c>
      <c r="G1898" s="7" t="s">
        <v>198</v>
      </c>
      <c r="H1898" s="7" t="s">
        <v>20</v>
      </c>
      <c r="I1898" s="7" t="s">
        <v>5102</v>
      </c>
      <c r="J1898" s="7" t="s">
        <v>21</v>
      </c>
      <c r="L1898" t="s">
        <v>3285</v>
      </c>
      <c r="M1898" s="7" t="s">
        <v>22</v>
      </c>
      <c r="N1898" s="7" t="s">
        <v>23</v>
      </c>
      <c r="O1898" s="7" t="s">
        <v>27</v>
      </c>
      <c r="P1898" s="7" t="s">
        <v>5101</v>
      </c>
      <c r="Q1898" s="26">
        <v>72</v>
      </c>
      <c r="R1898" s="26">
        <v>4</v>
      </c>
      <c r="S1898" s="40">
        <v>1</v>
      </c>
      <c r="T1898" s="7"/>
      <c r="U1898" s="7" t="s">
        <v>2951</v>
      </c>
      <c r="V1898" s="7" t="str">
        <f>+IF(U1898="","",IF(U1898="FINES",CONCATENATE("R",IF(OR(B1898="16",B1898="21",B1898="22",B1898="23"),"16212223",IF(OR(B1898="15",B1898="17",B1898="24",B1898="25"),"15172425",B1898))),IF(U1898="CEBAS","UNICO",IF(VALUE(B1898)&lt;=11,"AMBA","INTERIOR"))))</f>
        <v>R02</v>
      </c>
      <c r="W1898" s="38" t="str">
        <f>+IF(U1898="","-",CONCATENATE(U1898,"_",V1898))</f>
        <v>FINES_R02</v>
      </c>
      <c r="X1898" s="42">
        <v>0.51700000000000002</v>
      </c>
    </row>
    <row r="1899" spans="1:24">
      <c r="A1899" s="21" t="s">
        <v>5100</v>
      </c>
      <c r="B1899" t="s">
        <v>356</v>
      </c>
      <c r="C1899" t="s">
        <v>1359</v>
      </c>
      <c r="D1899" t="s">
        <v>1360</v>
      </c>
      <c r="E1899" s="7" t="s">
        <v>198</v>
      </c>
      <c r="F1899" s="7" t="s">
        <v>198</v>
      </c>
      <c r="G1899" s="7" t="s">
        <v>198</v>
      </c>
      <c r="H1899" s="7" t="s">
        <v>20</v>
      </c>
      <c r="I1899" s="7" t="s">
        <v>5102</v>
      </c>
      <c r="J1899" s="7" t="s">
        <v>21</v>
      </c>
      <c r="L1899" t="s">
        <v>3227</v>
      </c>
      <c r="M1899" s="7" t="s">
        <v>22</v>
      </c>
      <c r="N1899" s="7" t="s">
        <v>23</v>
      </c>
      <c r="O1899" s="7" t="s">
        <v>27</v>
      </c>
      <c r="P1899" s="7" t="s">
        <v>5101</v>
      </c>
      <c r="Q1899" s="26">
        <v>7</v>
      </c>
      <c r="R1899" s="26">
        <v>1</v>
      </c>
      <c r="S1899" s="40">
        <v>1</v>
      </c>
      <c r="T1899" s="7"/>
      <c r="U1899" s="7" t="s">
        <v>2951</v>
      </c>
      <c r="V1899" s="7" t="str">
        <f>+IF(U1899="","",IF(U1899="FINES",CONCATENATE("R",IF(OR(B1899="16",B1899="21",B1899="22",B1899="23"),"16212223",IF(OR(B1899="15",B1899="17",B1899="24",B1899="25"),"15172425",B1899))),IF(U1899="CEBAS","UNICO",IF(VALUE(B1899)&lt;=11,"AMBA","INTERIOR"))))</f>
        <v>R02</v>
      </c>
      <c r="W1899" s="38" t="str">
        <f>+IF(U1899="","-",CONCATENATE(U1899,"_",V1899))</f>
        <v>FINES_R02</v>
      </c>
      <c r="X1899" s="42">
        <v>0.51800000000000002</v>
      </c>
    </row>
    <row r="1900" spans="1:24">
      <c r="A1900" s="21" t="s">
        <v>5100</v>
      </c>
      <c r="B1900" t="s">
        <v>356</v>
      </c>
      <c r="C1900" t="s">
        <v>1359</v>
      </c>
      <c r="D1900" t="s">
        <v>1360</v>
      </c>
      <c r="E1900" s="7" t="s">
        <v>198</v>
      </c>
      <c r="F1900" s="7" t="s">
        <v>198</v>
      </c>
      <c r="G1900" s="7" t="s">
        <v>198</v>
      </c>
      <c r="H1900" s="7" t="s">
        <v>20</v>
      </c>
      <c r="I1900" s="7" t="s">
        <v>5102</v>
      </c>
      <c r="J1900" s="7" t="s">
        <v>21</v>
      </c>
      <c r="L1900" t="s">
        <v>3241</v>
      </c>
      <c r="M1900" s="7" t="s">
        <v>22</v>
      </c>
      <c r="N1900" s="7" t="s">
        <v>23</v>
      </c>
      <c r="O1900" s="7" t="s">
        <v>27</v>
      </c>
      <c r="P1900" s="7" t="s">
        <v>5101</v>
      </c>
      <c r="Q1900" s="26">
        <v>33</v>
      </c>
      <c r="R1900" s="26">
        <v>2</v>
      </c>
      <c r="S1900" s="40">
        <v>1</v>
      </c>
      <c r="T1900" s="7"/>
      <c r="U1900" s="7" t="s">
        <v>2951</v>
      </c>
      <c r="V1900" s="7" t="str">
        <f>+IF(U1900="","",IF(U1900="FINES",CONCATENATE("R",IF(OR(B1900="16",B1900="21",B1900="22",B1900="23"),"16212223",IF(OR(B1900="15",B1900="17",B1900="24",B1900="25"),"15172425",B1900))),IF(U1900="CEBAS","UNICO",IF(VALUE(B1900)&lt;=11,"AMBA","INTERIOR"))))</f>
        <v>R02</v>
      </c>
      <c r="W1900" s="38" t="str">
        <f>+IF(U1900="","-",CONCATENATE(U1900,"_",V1900))</f>
        <v>FINES_R02</v>
      </c>
      <c r="X1900" s="42">
        <v>0.51800000000000002</v>
      </c>
    </row>
    <row r="1901" spans="1:24">
      <c r="A1901" s="21" t="s">
        <v>5100</v>
      </c>
      <c r="B1901" t="s">
        <v>356</v>
      </c>
      <c r="C1901" t="s">
        <v>1359</v>
      </c>
      <c r="D1901" t="s">
        <v>1360</v>
      </c>
      <c r="E1901" s="7" t="s">
        <v>198</v>
      </c>
      <c r="F1901" s="7" t="s">
        <v>198</v>
      </c>
      <c r="G1901" s="7" t="s">
        <v>198</v>
      </c>
      <c r="H1901" s="7" t="s">
        <v>20</v>
      </c>
      <c r="I1901" s="7" t="s">
        <v>5102</v>
      </c>
      <c r="J1901" s="7" t="s">
        <v>21</v>
      </c>
      <c r="L1901" t="s">
        <v>3256</v>
      </c>
      <c r="M1901" s="7" t="s">
        <v>22</v>
      </c>
      <c r="N1901" s="7" t="s">
        <v>23</v>
      </c>
      <c r="O1901" s="7" t="s">
        <v>27</v>
      </c>
      <c r="P1901" s="7" t="s">
        <v>5101</v>
      </c>
      <c r="Q1901" s="26">
        <v>13</v>
      </c>
      <c r="R1901" s="26">
        <v>1</v>
      </c>
      <c r="S1901" s="40">
        <v>1</v>
      </c>
      <c r="T1901" s="7"/>
      <c r="U1901" s="7" t="s">
        <v>2951</v>
      </c>
      <c r="V1901" s="7" t="str">
        <f>+IF(U1901="","",IF(U1901="FINES",CONCATENATE("R",IF(OR(B1901="16",B1901="21",B1901="22",B1901="23"),"16212223",IF(OR(B1901="15",B1901="17",B1901="24",B1901="25"),"15172425",B1901))),IF(U1901="CEBAS","UNICO",IF(VALUE(B1901)&lt;=11,"AMBA","INTERIOR"))))</f>
        <v>R02</v>
      </c>
      <c r="W1901" s="38" t="str">
        <f>+IF(U1901="","-",CONCATENATE(U1901,"_",V1901))</f>
        <v>FINES_R02</v>
      </c>
      <c r="X1901" s="42">
        <v>0.51900000000000002</v>
      </c>
    </row>
    <row r="1902" spans="1:24">
      <c r="A1902" s="21" t="s">
        <v>5100</v>
      </c>
      <c r="B1902" t="s">
        <v>356</v>
      </c>
      <c r="C1902" t="s">
        <v>353</v>
      </c>
      <c r="D1902" t="s">
        <v>355</v>
      </c>
      <c r="E1902" s="7" t="s">
        <v>198</v>
      </c>
      <c r="F1902" s="7" t="s">
        <v>198</v>
      </c>
      <c r="G1902" s="7" t="s">
        <v>198</v>
      </c>
      <c r="H1902" s="7" t="s">
        <v>20</v>
      </c>
      <c r="I1902" s="7" t="s">
        <v>5102</v>
      </c>
      <c r="J1902" s="7" t="s">
        <v>21</v>
      </c>
      <c r="L1902" t="s">
        <v>3184</v>
      </c>
      <c r="M1902" s="7" t="s">
        <v>22</v>
      </c>
      <c r="N1902" s="7" t="s">
        <v>23</v>
      </c>
      <c r="O1902" s="7" t="s">
        <v>27</v>
      </c>
      <c r="P1902" s="7" t="s">
        <v>5101</v>
      </c>
      <c r="Q1902" s="26">
        <v>23</v>
      </c>
      <c r="R1902" s="26">
        <v>1</v>
      </c>
      <c r="S1902" s="40">
        <v>1</v>
      </c>
      <c r="T1902" s="7"/>
      <c r="U1902" s="7" t="s">
        <v>2951</v>
      </c>
      <c r="V1902" s="7" t="str">
        <f>+IF(U1902="","",IF(U1902="FINES",CONCATENATE("R",IF(OR(B1902="16",B1902="21",B1902="22",B1902="23"),"16212223",IF(OR(B1902="15",B1902="17",B1902="24",B1902="25"),"15172425",B1902))),IF(U1902="CEBAS","UNICO",IF(VALUE(B1902)&lt;=11,"AMBA","INTERIOR"))))</f>
        <v>R02</v>
      </c>
      <c r="W1902" s="38" t="str">
        <f>+IF(U1902="","-",CONCATENATE(U1902,"_",V1902))</f>
        <v>FINES_R02</v>
      </c>
      <c r="X1902" s="42">
        <v>0.52200000000000002</v>
      </c>
    </row>
    <row r="1903" spans="1:24">
      <c r="A1903" s="21" t="s">
        <v>5100</v>
      </c>
      <c r="B1903" t="s">
        <v>356</v>
      </c>
      <c r="C1903" t="s">
        <v>353</v>
      </c>
      <c r="D1903" t="s">
        <v>355</v>
      </c>
      <c r="E1903" s="7" t="s">
        <v>198</v>
      </c>
      <c r="F1903" s="7" t="s">
        <v>198</v>
      </c>
      <c r="G1903" s="7" t="s">
        <v>198</v>
      </c>
      <c r="H1903" s="7" t="s">
        <v>20</v>
      </c>
      <c r="I1903" s="7" t="s">
        <v>5102</v>
      </c>
      <c r="J1903" s="7" t="s">
        <v>21</v>
      </c>
      <c r="L1903" t="s">
        <v>3169</v>
      </c>
      <c r="M1903" s="7" t="s">
        <v>22</v>
      </c>
      <c r="N1903" s="7" t="s">
        <v>23</v>
      </c>
      <c r="O1903" s="7" t="s">
        <v>27</v>
      </c>
      <c r="P1903" s="7" t="s">
        <v>5101</v>
      </c>
      <c r="Q1903" s="26">
        <v>16</v>
      </c>
      <c r="R1903" s="26">
        <v>1</v>
      </c>
      <c r="S1903" s="40">
        <v>1</v>
      </c>
      <c r="T1903" s="7"/>
      <c r="U1903" s="7" t="s">
        <v>2951</v>
      </c>
      <c r="V1903" s="7" t="str">
        <f>+IF(U1903="","",IF(U1903="FINES",CONCATENATE("R",IF(OR(B1903="16",B1903="21",B1903="22",B1903="23"),"16212223",IF(OR(B1903="15",B1903="17",B1903="24",B1903="25"),"15172425",B1903))),IF(U1903="CEBAS","UNICO",IF(VALUE(B1903)&lt;=11,"AMBA","INTERIOR"))))</f>
        <v>R02</v>
      </c>
      <c r="W1903" s="38" t="str">
        <f>+IF(U1903="","-",CONCATENATE(U1903,"_",V1903))</f>
        <v>FINES_R02</v>
      </c>
      <c r="X1903" s="42">
        <v>0.52600000000000002</v>
      </c>
    </row>
    <row r="1904" spans="1:24">
      <c r="A1904" s="21" t="s">
        <v>5100</v>
      </c>
      <c r="B1904" t="s">
        <v>356</v>
      </c>
      <c r="C1904" t="s">
        <v>805</v>
      </c>
      <c r="D1904" t="s">
        <v>2500</v>
      </c>
      <c r="E1904" s="7" t="s">
        <v>198</v>
      </c>
      <c r="F1904" s="7" t="s">
        <v>198</v>
      </c>
      <c r="G1904" s="7" t="s">
        <v>198</v>
      </c>
      <c r="H1904" s="7" t="s">
        <v>20</v>
      </c>
      <c r="I1904" s="7" t="s">
        <v>5102</v>
      </c>
      <c r="J1904" s="7" t="s">
        <v>21</v>
      </c>
      <c r="L1904" t="s">
        <v>3002</v>
      </c>
      <c r="M1904" s="7" t="s">
        <v>22</v>
      </c>
      <c r="N1904" s="7" t="s">
        <v>23</v>
      </c>
      <c r="O1904" s="7" t="s">
        <v>27</v>
      </c>
      <c r="P1904" s="7" t="s">
        <v>5101</v>
      </c>
      <c r="Q1904" s="26">
        <v>12</v>
      </c>
      <c r="R1904" s="26">
        <v>1</v>
      </c>
      <c r="S1904" s="40">
        <v>1</v>
      </c>
      <c r="T1904" s="7"/>
      <c r="U1904" s="7" t="s">
        <v>2951</v>
      </c>
      <c r="V1904" s="7" t="str">
        <f>+IF(U1904="","",IF(U1904="FINES",CONCATENATE("R",IF(OR(B1904="16",B1904="21",B1904="22",B1904="23"),"16212223",IF(OR(B1904="15",B1904="17",B1904="24",B1904="25"),"15172425",B1904))),IF(U1904="CEBAS","UNICO",IF(VALUE(B1904)&lt;=11,"AMBA","INTERIOR"))))</f>
        <v>R02</v>
      </c>
      <c r="W1904" s="38" t="str">
        <f>+IF(U1904="","-",CONCATENATE(U1904,"_",V1904))</f>
        <v>FINES_R02</v>
      </c>
      <c r="X1904" s="42">
        <v>0.53800000000000003</v>
      </c>
    </row>
    <row r="1905" spans="1:24">
      <c r="A1905" s="21" t="s">
        <v>5100</v>
      </c>
      <c r="B1905" t="s">
        <v>356</v>
      </c>
      <c r="C1905" t="s">
        <v>353</v>
      </c>
      <c r="D1905" t="s">
        <v>355</v>
      </c>
      <c r="E1905" s="7" t="s">
        <v>198</v>
      </c>
      <c r="F1905" s="7" t="s">
        <v>198</v>
      </c>
      <c r="G1905" s="7" t="s">
        <v>198</v>
      </c>
      <c r="H1905" s="7" t="s">
        <v>20</v>
      </c>
      <c r="I1905" s="7" t="s">
        <v>5102</v>
      </c>
      <c r="J1905" s="7" t="s">
        <v>21</v>
      </c>
      <c r="L1905" t="s">
        <v>3157</v>
      </c>
      <c r="M1905" s="7" t="s">
        <v>22</v>
      </c>
      <c r="N1905" s="7" t="s">
        <v>23</v>
      </c>
      <c r="O1905" s="7" t="s">
        <v>27</v>
      </c>
      <c r="P1905" s="7" t="s">
        <v>5101</v>
      </c>
      <c r="Q1905" s="26">
        <v>17</v>
      </c>
      <c r="R1905" s="26">
        <v>1</v>
      </c>
      <c r="S1905" s="40">
        <v>1</v>
      </c>
      <c r="T1905" s="7"/>
      <c r="U1905" s="7" t="s">
        <v>2951</v>
      </c>
      <c r="V1905" s="7" t="str">
        <f>+IF(U1905="","",IF(U1905="FINES",CONCATENATE("R",IF(OR(B1905="16",B1905="21",B1905="22",B1905="23"),"16212223",IF(OR(B1905="15",B1905="17",B1905="24",B1905="25"),"15172425",B1905))),IF(U1905="CEBAS","UNICO",IF(VALUE(B1905)&lt;=11,"AMBA","INTERIOR"))))</f>
        <v>R02</v>
      </c>
      <c r="W1905" s="38" t="str">
        <f>+IF(U1905="","-",CONCATENATE(U1905,"_",V1905))</f>
        <v>FINES_R02</v>
      </c>
      <c r="X1905" s="42">
        <v>0.53900000000000003</v>
      </c>
    </row>
    <row r="1906" spans="1:24">
      <c r="A1906" s="21" t="s">
        <v>5100</v>
      </c>
      <c r="B1906" t="s">
        <v>356</v>
      </c>
      <c r="C1906" t="s">
        <v>353</v>
      </c>
      <c r="D1906" t="s">
        <v>355</v>
      </c>
      <c r="E1906" s="7" t="s">
        <v>198</v>
      </c>
      <c r="F1906" s="7" t="s">
        <v>198</v>
      </c>
      <c r="G1906" s="7" t="s">
        <v>198</v>
      </c>
      <c r="H1906" s="7" t="s">
        <v>20</v>
      </c>
      <c r="I1906" s="7" t="s">
        <v>5102</v>
      </c>
      <c r="J1906" s="7" t="s">
        <v>21</v>
      </c>
      <c r="L1906" t="s">
        <v>3166</v>
      </c>
      <c r="M1906" s="7" t="s">
        <v>22</v>
      </c>
      <c r="N1906" s="7" t="s">
        <v>23</v>
      </c>
      <c r="O1906" s="7" t="s">
        <v>27</v>
      </c>
      <c r="P1906" s="7" t="s">
        <v>5101</v>
      </c>
      <c r="Q1906" s="26">
        <v>16</v>
      </c>
      <c r="R1906" s="26">
        <v>1</v>
      </c>
      <c r="S1906" s="40">
        <v>1</v>
      </c>
      <c r="T1906" s="7"/>
      <c r="U1906" s="7" t="s">
        <v>2951</v>
      </c>
      <c r="V1906" s="7" t="str">
        <f>+IF(U1906="","",IF(U1906="FINES",CONCATENATE("R",IF(OR(B1906="16",B1906="21",B1906="22",B1906="23"),"16212223",IF(OR(B1906="15",B1906="17",B1906="24",B1906="25"),"15172425",B1906))),IF(U1906="CEBAS","UNICO",IF(VALUE(B1906)&lt;=11,"AMBA","INTERIOR"))))</f>
        <v>R02</v>
      </c>
      <c r="W1906" s="38" t="str">
        <f>+IF(U1906="","-",CONCATENATE(U1906,"_",V1906))</f>
        <v>FINES_R02</v>
      </c>
      <c r="X1906" s="42">
        <v>0.53900000000000003</v>
      </c>
    </row>
    <row r="1907" spans="1:24">
      <c r="A1907" s="21" t="s">
        <v>5100</v>
      </c>
      <c r="B1907" t="s">
        <v>356</v>
      </c>
      <c r="C1907" t="s">
        <v>353</v>
      </c>
      <c r="D1907" t="s">
        <v>355</v>
      </c>
      <c r="E1907" s="7" t="s">
        <v>198</v>
      </c>
      <c r="F1907" s="7" t="s">
        <v>198</v>
      </c>
      <c r="G1907" s="7" t="s">
        <v>198</v>
      </c>
      <c r="H1907" s="7" t="s">
        <v>20</v>
      </c>
      <c r="I1907" s="7" t="s">
        <v>5102</v>
      </c>
      <c r="J1907" s="7" t="s">
        <v>21</v>
      </c>
      <c r="L1907" t="s">
        <v>3154</v>
      </c>
      <c r="M1907" s="7" t="s">
        <v>22</v>
      </c>
      <c r="N1907" s="7" t="s">
        <v>23</v>
      </c>
      <c r="O1907" s="7" t="s">
        <v>27</v>
      </c>
      <c r="P1907" s="7" t="s">
        <v>5101</v>
      </c>
      <c r="Q1907" s="26">
        <v>24</v>
      </c>
      <c r="R1907" s="26">
        <v>1</v>
      </c>
      <c r="S1907" s="40">
        <v>1</v>
      </c>
      <c r="T1907" s="7"/>
      <c r="U1907" s="7" t="s">
        <v>2951</v>
      </c>
      <c r="V1907" s="7" t="str">
        <f>+IF(U1907="","",IF(U1907="FINES",CONCATENATE("R",IF(OR(B1907="16",B1907="21",B1907="22",B1907="23"),"16212223",IF(OR(B1907="15",B1907="17",B1907="24",B1907="25"),"15172425",B1907))),IF(U1907="CEBAS","UNICO",IF(VALUE(B1907)&lt;=11,"AMBA","INTERIOR"))))</f>
        <v>R02</v>
      </c>
      <c r="W1907" s="38" t="str">
        <f>+IF(U1907="","-",CONCATENATE(U1907,"_",V1907))</f>
        <v>FINES_R02</v>
      </c>
      <c r="X1907" s="42">
        <v>0.54500000000000004</v>
      </c>
    </row>
    <row r="1908" spans="1:24">
      <c r="A1908" s="21" t="s">
        <v>5100</v>
      </c>
      <c r="B1908" t="s">
        <v>356</v>
      </c>
      <c r="C1908" t="s">
        <v>805</v>
      </c>
      <c r="D1908" t="s">
        <v>2500</v>
      </c>
      <c r="E1908" s="7" t="s">
        <v>198</v>
      </c>
      <c r="F1908" s="7" t="s">
        <v>198</v>
      </c>
      <c r="G1908" s="7" t="s">
        <v>198</v>
      </c>
      <c r="H1908" s="7" t="s">
        <v>20</v>
      </c>
      <c r="I1908" s="7" t="s">
        <v>5102</v>
      </c>
      <c r="J1908" s="7" t="s">
        <v>21</v>
      </c>
      <c r="L1908" t="s">
        <v>3213</v>
      </c>
      <c r="M1908" s="7" t="s">
        <v>22</v>
      </c>
      <c r="N1908" s="7" t="s">
        <v>23</v>
      </c>
      <c r="O1908" s="7" t="s">
        <v>27</v>
      </c>
      <c r="P1908" s="7" t="s">
        <v>5101</v>
      </c>
      <c r="Q1908" s="26">
        <v>21</v>
      </c>
      <c r="R1908" s="26">
        <v>1</v>
      </c>
      <c r="S1908" s="40">
        <v>1</v>
      </c>
      <c r="T1908" s="7"/>
      <c r="U1908" s="7" t="s">
        <v>2951</v>
      </c>
      <c r="V1908" s="7" t="str">
        <f>+IF(U1908="","",IF(U1908="FINES",CONCATENATE("R",IF(OR(B1908="16",B1908="21",B1908="22",B1908="23"),"16212223",IF(OR(B1908="15",B1908="17",B1908="24",B1908="25"),"15172425",B1908))),IF(U1908="CEBAS","UNICO",IF(VALUE(B1908)&lt;=11,"AMBA","INTERIOR"))))</f>
        <v>R02</v>
      </c>
      <c r="W1908" s="38" t="str">
        <f>+IF(U1908="","-",CONCATENATE(U1908,"_",V1908))</f>
        <v>FINES_R02</v>
      </c>
      <c r="X1908" s="42">
        <v>0.55900000000000005</v>
      </c>
    </row>
    <row r="1909" spans="1:24">
      <c r="A1909" s="21" t="s">
        <v>5100</v>
      </c>
      <c r="B1909" t="s">
        <v>356</v>
      </c>
      <c r="C1909" t="s">
        <v>353</v>
      </c>
      <c r="D1909" t="s">
        <v>355</v>
      </c>
      <c r="E1909" s="7" t="s">
        <v>198</v>
      </c>
      <c r="F1909" s="7" t="s">
        <v>198</v>
      </c>
      <c r="G1909" s="7" t="s">
        <v>198</v>
      </c>
      <c r="H1909" s="7" t="s">
        <v>20</v>
      </c>
      <c r="I1909" s="7" t="s">
        <v>5102</v>
      </c>
      <c r="J1909" s="7" t="s">
        <v>21</v>
      </c>
      <c r="L1909" t="s">
        <v>3187</v>
      </c>
      <c r="M1909" s="7" t="s">
        <v>22</v>
      </c>
      <c r="N1909" s="7" t="s">
        <v>23</v>
      </c>
      <c r="O1909" s="7" t="s">
        <v>27</v>
      </c>
      <c r="P1909" s="7" t="s">
        <v>5101</v>
      </c>
      <c r="Q1909" s="26">
        <v>31</v>
      </c>
      <c r="R1909" s="26">
        <v>1</v>
      </c>
      <c r="S1909" s="40">
        <v>1</v>
      </c>
      <c r="T1909" s="7"/>
      <c r="U1909" s="7" t="s">
        <v>2951</v>
      </c>
      <c r="V1909" s="7" t="str">
        <f>+IF(U1909="","",IF(U1909="FINES",CONCATENATE("R",IF(OR(B1909="16",B1909="21",B1909="22",B1909="23"),"16212223",IF(OR(B1909="15",B1909="17",B1909="24",B1909="25"),"15172425",B1909))),IF(U1909="CEBAS","UNICO",IF(VALUE(B1909)&lt;=11,"AMBA","INTERIOR"))))</f>
        <v>R02</v>
      </c>
      <c r="W1909" s="38" t="str">
        <f>+IF(U1909="","-",CONCATENATE(U1909,"_",V1909))</f>
        <v>FINES_R02</v>
      </c>
      <c r="X1909" s="42">
        <v>0.55900000000000005</v>
      </c>
    </row>
    <row r="1910" spans="1:24">
      <c r="A1910" s="21" t="s">
        <v>5100</v>
      </c>
      <c r="B1910" t="s">
        <v>356</v>
      </c>
      <c r="C1910" t="s">
        <v>353</v>
      </c>
      <c r="D1910" t="s">
        <v>355</v>
      </c>
      <c r="E1910" s="7" t="s">
        <v>198</v>
      </c>
      <c r="F1910" s="7" t="s">
        <v>198</v>
      </c>
      <c r="G1910" s="7" t="s">
        <v>198</v>
      </c>
      <c r="H1910" s="7" t="s">
        <v>20</v>
      </c>
      <c r="I1910" s="7" t="s">
        <v>5102</v>
      </c>
      <c r="J1910" s="7" t="s">
        <v>21</v>
      </c>
      <c r="L1910" t="s">
        <v>3161</v>
      </c>
      <c r="M1910" s="7" t="s">
        <v>22</v>
      </c>
      <c r="N1910" s="7" t="s">
        <v>23</v>
      </c>
      <c r="O1910" s="7" t="s">
        <v>27</v>
      </c>
      <c r="P1910" s="7" t="s">
        <v>5101</v>
      </c>
      <c r="Q1910" s="26">
        <v>19</v>
      </c>
      <c r="R1910" s="26">
        <v>1</v>
      </c>
      <c r="S1910" s="40">
        <v>1</v>
      </c>
      <c r="T1910" s="7"/>
      <c r="U1910" s="7" t="s">
        <v>2951</v>
      </c>
      <c r="V1910" s="7" t="str">
        <f>+IF(U1910="","",IF(U1910="FINES",CONCATENATE("R",IF(OR(B1910="16",B1910="21",B1910="22",B1910="23"),"16212223",IF(OR(B1910="15",B1910="17",B1910="24",B1910="25"),"15172425",B1910))),IF(U1910="CEBAS","UNICO",IF(VALUE(B1910)&lt;=11,"AMBA","INTERIOR"))))</f>
        <v>R02</v>
      </c>
      <c r="W1910" s="38" t="str">
        <f>+IF(U1910="","-",CONCATENATE(U1910,"_",V1910))</f>
        <v>FINES_R02</v>
      </c>
      <c r="X1910" s="42">
        <v>0.56200000000000006</v>
      </c>
    </row>
    <row r="1911" spans="1:24">
      <c r="A1911" s="21" t="s">
        <v>5100</v>
      </c>
      <c r="B1911" t="s">
        <v>356</v>
      </c>
      <c r="C1911" t="s">
        <v>1359</v>
      </c>
      <c r="D1911" t="s">
        <v>1360</v>
      </c>
      <c r="E1911" s="7" t="s">
        <v>198</v>
      </c>
      <c r="F1911" s="7" t="s">
        <v>198</v>
      </c>
      <c r="G1911" s="7" t="s">
        <v>198</v>
      </c>
      <c r="H1911" s="7" t="s">
        <v>20</v>
      </c>
      <c r="I1911" s="7" t="s">
        <v>5102</v>
      </c>
      <c r="J1911" s="7" t="s">
        <v>21</v>
      </c>
      <c r="L1911" t="s">
        <v>3238</v>
      </c>
      <c r="M1911" s="7" t="s">
        <v>22</v>
      </c>
      <c r="N1911" s="7" t="s">
        <v>23</v>
      </c>
      <c r="O1911" s="7" t="s">
        <v>27</v>
      </c>
      <c r="P1911" s="7" t="s">
        <v>5101</v>
      </c>
      <c r="Q1911" s="26">
        <v>12</v>
      </c>
      <c r="R1911" s="26">
        <v>1</v>
      </c>
      <c r="S1911" s="40">
        <v>1</v>
      </c>
      <c r="T1911" s="7"/>
      <c r="U1911" s="7" t="s">
        <v>2951</v>
      </c>
      <c r="V1911" s="7" t="str">
        <f>+IF(U1911="","",IF(U1911="FINES",CONCATENATE("R",IF(OR(B1911="16",B1911="21",B1911="22",B1911="23"),"16212223",IF(OR(B1911="15",B1911="17",B1911="24",B1911="25"),"15172425",B1911))),IF(U1911="CEBAS","UNICO",IF(VALUE(B1911)&lt;=11,"AMBA","INTERIOR"))))</f>
        <v>R02</v>
      </c>
      <c r="W1911" s="38" t="str">
        <f>+IF(U1911="","-",CONCATENATE(U1911,"_",V1911))</f>
        <v>FINES_R02</v>
      </c>
      <c r="X1911" s="42">
        <v>0.56399999999999995</v>
      </c>
    </row>
    <row r="1912" spans="1:24">
      <c r="A1912" s="21" t="s">
        <v>5100</v>
      </c>
      <c r="B1912" t="s">
        <v>356</v>
      </c>
      <c r="C1912" t="s">
        <v>1359</v>
      </c>
      <c r="D1912" t="s">
        <v>1360</v>
      </c>
      <c r="E1912" s="7" t="s">
        <v>198</v>
      </c>
      <c r="F1912" s="7" t="s">
        <v>198</v>
      </c>
      <c r="G1912" s="7" t="s">
        <v>198</v>
      </c>
      <c r="H1912" s="7" t="s">
        <v>20</v>
      </c>
      <c r="I1912" s="7" t="s">
        <v>5102</v>
      </c>
      <c r="J1912" s="7" t="s">
        <v>21</v>
      </c>
      <c r="L1912" t="s">
        <v>3302</v>
      </c>
      <c r="M1912" s="7" t="s">
        <v>22</v>
      </c>
      <c r="N1912" s="7" t="s">
        <v>23</v>
      </c>
      <c r="O1912" s="7" t="s">
        <v>27</v>
      </c>
      <c r="P1912" s="7" t="s">
        <v>5101</v>
      </c>
      <c r="Q1912" s="26">
        <v>15</v>
      </c>
      <c r="R1912" s="26">
        <v>1</v>
      </c>
      <c r="S1912" s="40">
        <v>1</v>
      </c>
      <c r="T1912" s="7"/>
      <c r="U1912" s="7" t="s">
        <v>2951</v>
      </c>
      <c r="V1912" s="7" t="str">
        <f>+IF(U1912="","",IF(U1912="FINES",CONCATENATE("R",IF(OR(B1912="16",B1912="21",B1912="22",B1912="23"),"16212223",IF(OR(B1912="15",B1912="17",B1912="24",B1912="25"),"15172425",B1912))),IF(U1912="CEBAS","UNICO",IF(VALUE(B1912)&lt;=11,"AMBA","INTERIOR"))))</f>
        <v>R02</v>
      </c>
      <c r="W1912" s="38" t="str">
        <f>+IF(U1912="","-",CONCATENATE(U1912,"_",V1912))</f>
        <v>FINES_R02</v>
      </c>
      <c r="X1912" s="42">
        <v>0.56799999999999995</v>
      </c>
    </row>
    <row r="1913" spans="1:24">
      <c r="A1913" s="21" t="s">
        <v>5100</v>
      </c>
      <c r="B1913" t="s">
        <v>356</v>
      </c>
      <c r="C1913" t="s">
        <v>1359</v>
      </c>
      <c r="D1913" t="s">
        <v>1360</v>
      </c>
      <c r="E1913" s="7" t="s">
        <v>198</v>
      </c>
      <c r="F1913" s="7" t="s">
        <v>198</v>
      </c>
      <c r="G1913" s="7" t="s">
        <v>198</v>
      </c>
      <c r="H1913" s="7" t="s">
        <v>20</v>
      </c>
      <c r="I1913" s="7" t="s">
        <v>5102</v>
      </c>
      <c r="J1913" s="7" t="s">
        <v>21</v>
      </c>
      <c r="L1913" t="s">
        <v>3289</v>
      </c>
      <c r="M1913" s="7" t="s">
        <v>22</v>
      </c>
      <c r="N1913" s="7" t="s">
        <v>23</v>
      </c>
      <c r="O1913" s="7" t="s">
        <v>27</v>
      </c>
      <c r="P1913" s="7" t="s">
        <v>5101</v>
      </c>
      <c r="Q1913" s="26">
        <v>30</v>
      </c>
      <c r="R1913" s="26">
        <v>1</v>
      </c>
      <c r="S1913" s="40">
        <v>1</v>
      </c>
      <c r="T1913" s="7"/>
      <c r="U1913" s="7" t="s">
        <v>2951</v>
      </c>
      <c r="V1913" s="7" t="str">
        <f>+IF(U1913="","",IF(U1913="FINES",CONCATENATE("R",IF(OR(B1913="16",B1913="21",B1913="22",B1913="23"),"16212223",IF(OR(B1913="15",B1913="17",B1913="24",B1913="25"),"15172425",B1913))),IF(U1913="CEBAS","UNICO",IF(VALUE(B1913)&lt;=11,"AMBA","INTERIOR"))))</f>
        <v>R02</v>
      </c>
      <c r="W1913" s="38" t="str">
        <f>+IF(U1913="","-",CONCATENATE(U1913,"_",V1913))</f>
        <v>FINES_R02</v>
      </c>
      <c r="X1913" s="42">
        <v>0.56799999999999995</v>
      </c>
    </row>
    <row r="1914" spans="1:24">
      <c r="A1914" s="21" t="s">
        <v>5100</v>
      </c>
      <c r="B1914" t="s">
        <v>356</v>
      </c>
      <c r="C1914" t="s">
        <v>353</v>
      </c>
      <c r="D1914" t="s">
        <v>355</v>
      </c>
      <c r="E1914" s="7" t="s">
        <v>198</v>
      </c>
      <c r="F1914" s="7" t="s">
        <v>198</v>
      </c>
      <c r="G1914" s="7" t="s">
        <v>198</v>
      </c>
      <c r="H1914" s="7" t="s">
        <v>20</v>
      </c>
      <c r="I1914" s="7" t="s">
        <v>5102</v>
      </c>
      <c r="J1914" s="7" t="s">
        <v>21</v>
      </c>
      <c r="L1914" t="s">
        <v>3183</v>
      </c>
      <c r="M1914" s="7" t="s">
        <v>22</v>
      </c>
      <c r="N1914" s="7" t="s">
        <v>23</v>
      </c>
      <c r="O1914" s="7" t="s">
        <v>27</v>
      </c>
      <c r="P1914" s="7" t="s">
        <v>5101</v>
      </c>
      <c r="Q1914" s="26">
        <v>19</v>
      </c>
      <c r="R1914" s="26">
        <v>1</v>
      </c>
      <c r="S1914" s="40">
        <v>1</v>
      </c>
      <c r="T1914" s="7"/>
      <c r="U1914" s="7" t="s">
        <v>2951</v>
      </c>
      <c r="V1914" s="7" t="str">
        <f>+IF(U1914="","",IF(U1914="FINES",CONCATENATE("R",IF(OR(B1914="16",B1914="21",B1914="22",B1914="23"),"16212223",IF(OR(B1914="15",B1914="17",B1914="24",B1914="25"),"15172425",B1914))),IF(U1914="CEBAS","UNICO",IF(VALUE(B1914)&lt;=11,"AMBA","INTERIOR"))))</f>
        <v>R02</v>
      </c>
      <c r="W1914" s="38" t="str">
        <f>+IF(U1914="","-",CONCATENATE(U1914,"_",V1914))</f>
        <v>FINES_R02</v>
      </c>
      <c r="X1914" s="42">
        <v>0.56799999999999995</v>
      </c>
    </row>
    <row r="1915" spans="1:24">
      <c r="A1915" s="21" t="s">
        <v>5100</v>
      </c>
      <c r="B1915" t="s">
        <v>356</v>
      </c>
      <c r="C1915" t="s">
        <v>353</v>
      </c>
      <c r="D1915" t="s">
        <v>355</v>
      </c>
      <c r="E1915" s="7" t="s">
        <v>198</v>
      </c>
      <c r="F1915" s="7" t="s">
        <v>198</v>
      </c>
      <c r="G1915" s="7" t="s">
        <v>198</v>
      </c>
      <c r="H1915" s="7" t="s">
        <v>20</v>
      </c>
      <c r="I1915" s="7" t="s">
        <v>5102</v>
      </c>
      <c r="J1915" s="7" t="s">
        <v>21</v>
      </c>
      <c r="L1915" t="s">
        <v>3140</v>
      </c>
      <c r="M1915" s="7" t="s">
        <v>22</v>
      </c>
      <c r="N1915" s="7" t="s">
        <v>23</v>
      </c>
      <c r="O1915" s="7" t="s">
        <v>27</v>
      </c>
      <c r="P1915" s="7" t="s">
        <v>5101</v>
      </c>
      <c r="Q1915" s="26">
        <v>18</v>
      </c>
      <c r="R1915" s="26">
        <v>1</v>
      </c>
      <c r="S1915" s="40">
        <v>1</v>
      </c>
      <c r="T1915" s="7"/>
      <c r="U1915" s="7" t="s">
        <v>2951</v>
      </c>
      <c r="V1915" s="7" t="str">
        <f>+IF(U1915="","",IF(U1915="FINES",CONCATENATE("R",IF(OR(B1915="16",B1915="21",B1915="22",B1915="23"),"16212223",IF(OR(B1915="15",B1915="17",B1915="24",B1915="25"),"15172425",B1915))),IF(U1915="CEBAS","UNICO",IF(VALUE(B1915)&lt;=11,"AMBA","INTERIOR"))))</f>
        <v>R02</v>
      </c>
      <c r="W1915" s="38" t="str">
        <f>+IF(U1915="","-",CONCATENATE(U1915,"_",V1915))</f>
        <v>FINES_R02</v>
      </c>
      <c r="X1915" s="42">
        <v>0.57599999999999996</v>
      </c>
    </row>
    <row r="1916" spans="1:24">
      <c r="A1916" s="21" t="s">
        <v>5100</v>
      </c>
      <c r="B1916" t="s">
        <v>356</v>
      </c>
      <c r="C1916" t="s">
        <v>1359</v>
      </c>
      <c r="D1916" t="s">
        <v>1360</v>
      </c>
      <c r="E1916" s="7" t="s">
        <v>198</v>
      </c>
      <c r="F1916" s="7" t="s">
        <v>198</v>
      </c>
      <c r="G1916" s="7" t="s">
        <v>198</v>
      </c>
      <c r="H1916" s="7" t="s">
        <v>20</v>
      </c>
      <c r="I1916" s="7" t="s">
        <v>5102</v>
      </c>
      <c r="J1916" s="7" t="s">
        <v>21</v>
      </c>
      <c r="L1916" t="s">
        <v>3277</v>
      </c>
      <c r="M1916" s="7" t="s">
        <v>22</v>
      </c>
      <c r="N1916" s="7" t="s">
        <v>23</v>
      </c>
      <c r="O1916" s="7" t="s">
        <v>27</v>
      </c>
      <c r="P1916" s="7" t="s">
        <v>5101</v>
      </c>
      <c r="Q1916" s="26">
        <v>71</v>
      </c>
      <c r="R1916" s="26">
        <v>4</v>
      </c>
      <c r="S1916" s="40">
        <v>1</v>
      </c>
      <c r="T1916" s="7"/>
      <c r="U1916" s="7" t="s">
        <v>2951</v>
      </c>
      <c r="V1916" s="7" t="str">
        <f>+IF(U1916="","",IF(U1916="FINES",CONCATENATE("R",IF(OR(B1916="16",B1916="21",B1916="22",B1916="23"),"16212223",IF(OR(B1916="15",B1916="17",B1916="24",B1916="25"),"15172425",B1916))),IF(U1916="CEBAS","UNICO",IF(VALUE(B1916)&lt;=11,"AMBA","INTERIOR"))))</f>
        <v>R02</v>
      </c>
      <c r="W1916" s="38" t="str">
        <f>+IF(U1916="","-",CONCATENATE(U1916,"_",V1916))</f>
        <v>FINES_R02</v>
      </c>
      <c r="X1916" s="42">
        <v>0.57899999999999996</v>
      </c>
    </row>
    <row r="1917" spans="1:24">
      <c r="A1917" s="21" t="s">
        <v>5100</v>
      </c>
      <c r="B1917" t="s">
        <v>356</v>
      </c>
      <c r="C1917" t="s">
        <v>1359</v>
      </c>
      <c r="D1917" t="s">
        <v>1360</v>
      </c>
      <c r="E1917" s="7" t="s">
        <v>198</v>
      </c>
      <c r="F1917" s="7" t="s">
        <v>198</v>
      </c>
      <c r="G1917" s="7" t="s">
        <v>198</v>
      </c>
      <c r="H1917" s="7" t="s">
        <v>20</v>
      </c>
      <c r="I1917" s="7" t="s">
        <v>5102</v>
      </c>
      <c r="J1917" s="7" t="s">
        <v>21</v>
      </c>
      <c r="L1917" t="s">
        <v>3282</v>
      </c>
      <c r="M1917" s="7" t="s">
        <v>22</v>
      </c>
      <c r="N1917" s="7" t="s">
        <v>23</v>
      </c>
      <c r="O1917" s="7" t="s">
        <v>27</v>
      </c>
      <c r="P1917" s="7" t="s">
        <v>5101</v>
      </c>
      <c r="Q1917" s="26">
        <v>17</v>
      </c>
      <c r="R1917" s="26">
        <v>1</v>
      </c>
      <c r="S1917" s="40">
        <v>1</v>
      </c>
      <c r="T1917" s="7"/>
      <c r="U1917" s="7" t="s">
        <v>2951</v>
      </c>
      <c r="V1917" s="7" t="str">
        <f>+IF(U1917="","",IF(U1917="FINES",CONCATENATE("R",IF(OR(B1917="16",B1917="21",B1917="22",B1917="23"),"16212223",IF(OR(B1917="15",B1917="17",B1917="24",B1917="25"),"15172425",B1917))),IF(U1917="CEBAS","UNICO",IF(VALUE(B1917)&lt;=11,"AMBA","INTERIOR"))))</f>
        <v>R02</v>
      </c>
      <c r="W1917" s="38" t="str">
        <f>+IF(U1917="","-",CONCATENATE(U1917,"_",V1917))</f>
        <v>FINES_R02</v>
      </c>
      <c r="X1917" s="42">
        <v>0.58099999999999996</v>
      </c>
    </row>
    <row r="1918" spans="1:24">
      <c r="A1918" s="21" t="s">
        <v>5100</v>
      </c>
      <c r="B1918" t="s">
        <v>356</v>
      </c>
      <c r="C1918" t="s">
        <v>1359</v>
      </c>
      <c r="D1918" t="s">
        <v>1360</v>
      </c>
      <c r="E1918" s="7" t="s">
        <v>198</v>
      </c>
      <c r="F1918" s="7" t="s">
        <v>198</v>
      </c>
      <c r="G1918" s="7" t="s">
        <v>198</v>
      </c>
      <c r="H1918" s="7" t="s">
        <v>20</v>
      </c>
      <c r="I1918" s="7" t="s">
        <v>5102</v>
      </c>
      <c r="J1918" s="7" t="s">
        <v>21</v>
      </c>
      <c r="L1918" t="s">
        <v>588</v>
      </c>
      <c r="M1918" s="7" t="s">
        <v>22</v>
      </c>
      <c r="N1918" s="7" t="s">
        <v>23</v>
      </c>
      <c r="O1918" s="7" t="s">
        <v>27</v>
      </c>
      <c r="P1918" s="7" t="s">
        <v>5101</v>
      </c>
      <c r="Q1918" s="26">
        <v>13</v>
      </c>
      <c r="R1918" s="26">
        <v>1</v>
      </c>
      <c r="S1918" s="40">
        <v>1</v>
      </c>
      <c r="T1918" s="7"/>
      <c r="U1918" s="7" t="s">
        <v>2951</v>
      </c>
      <c r="V1918" s="7" t="str">
        <f>+IF(U1918="","",IF(U1918="FINES",CONCATENATE("R",IF(OR(B1918="16",B1918="21",B1918="22",B1918="23"),"16212223",IF(OR(B1918="15",B1918="17",B1918="24",B1918="25"),"15172425",B1918))),IF(U1918="CEBAS","UNICO",IF(VALUE(B1918)&lt;=11,"AMBA","INTERIOR"))))</f>
        <v>R02</v>
      </c>
      <c r="W1918" s="38" t="str">
        <f>+IF(U1918="","-",CONCATENATE(U1918,"_",V1918))</f>
        <v>FINES_R02</v>
      </c>
      <c r="X1918" s="42">
        <v>0.58799999999999997</v>
      </c>
    </row>
    <row r="1919" spans="1:24">
      <c r="A1919" s="21" t="s">
        <v>5100</v>
      </c>
      <c r="B1919" t="s">
        <v>356</v>
      </c>
      <c r="C1919" t="s">
        <v>353</v>
      </c>
      <c r="D1919" t="s">
        <v>355</v>
      </c>
      <c r="E1919" s="7" t="s">
        <v>198</v>
      </c>
      <c r="F1919" s="7" t="s">
        <v>198</v>
      </c>
      <c r="G1919" s="7" t="s">
        <v>198</v>
      </c>
      <c r="H1919" s="7" t="s">
        <v>20</v>
      </c>
      <c r="I1919" s="7" t="s">
        <v>5102</v>
      </c>
      <c r="J1919" s="7" t="s">
        <v>21</v>
      </c>
      <c r="L1919" t="s">
        <v>3170</v>
      </c>
      <c r="M1919" s="7" t="s">
        <v>22</v>
      </c>
      <c r="N1919" s="7" t="s">
        <v>23</v>
      </c>
      <c r="O1919" s="7" t="s">
        <v>27</v>
      </c>
      <c r="P1919" s="7" t="s">
        <v>5101</v>
      </c>
      <c r="Q1919" s="26">
        <v>26</v>
      </c>
      <c r="R1919" s="26">
        <v>1</v>
      </c>
      <c r="S1919" s="40">
        <v>1</v>
      </c>
      <c r="T1919" s="7"/>
      <c r="U1919" s="7" t="s">
        <v>2951</v>
      </c>
      <c r="V1919" s="7" t="str">
        <f>+IF(U1919="","",IF(U1919="FINES",CONCATENATE("R",IF(OR(B1919="16",B1919="21",B1919="22",B1919="23"),"16212223",IF(OR(B1919="15",B1919="17",B1919="24",B1919="25"),"15172425",B1919))),IF(U1919="CEBAS","UNICO",IF(VALUE(B1919)&lt;=11,"AMBA","INTERIOR"))))</f>
        <v>R02</v>
      </c>
      <c r="W1919" s="38" t="str">
        <f>+IF(U1919="","-",CONCATENATE(U1919,"_",V1919))</f>
        <v>FINES_R02</v>
      </c>
      <c r="X1919" s="42">
        <v>0.59</v>
      </c>
    </row>
    <row r="1920" spans="1:24">
      <c r="A1920" s="21" t="s">
        <v>5100</v>
      </c>
      <c r="B1920" t="s">
        <v>356</v>
      </c>
      <c r="C1920" t="s">
        <v>1359</v>
      </c>
      <c r="D1920" t="s">
        <v>1360</v>
      </c>
      <c r="E1920" s="7" t="s">
        <v>198</v>
      </c>
      <c r="F1920" s="7" t="s">
        <v>198</v>
      </c>
      <c r="G1920" s="7" t="s">
        <v>198</v>
      </c>
      <c r="H1920" s="7" t="s">
        <v>20</v>
      </c>
      <c r="I1920" s="7" t="s">
        <v>5102</v>
      </c>
      <c r="J1920" s="7" t="s">
        <v>21</v>
      </c>
      <c r="L1920" t="s">
        <v>3233</v>
      </c>
      <c r="M1920" s="7" t="s">
        <v>22</v>
      </c>
      <c r="N1920" s="7" t="s">
        <v>23</v>
      </c>
      <c r="O1920" s="7" t="s">
        <v>27</v>
      </c>
      <c r="P1920" s="7" t="s">
        <v>5101</v>
      </c>
      <c r="Q1920" s="26">
        <v>10</v>
      </c>
      <c r="R1920" s="26">
        <v>1</v>
      </c>
      <c r="S1920" s="40">
        <v>1</v>
      </c>
      <c r="T1920" s="7"/>
      <c r="U1920" s="7" t="s">
        <v>2951</v>
      </c>
      <c r="V1920" s="7" t="str">
        <f>+IF(U1920="","",IF(U1920="FINES",CONCATENATE("R",IF(OR(B1920="16",B1920="21",B1920="22",B1920="23"),"16212223",IF(OR(B1920="15",B1920="17",B1920="24",B1920="25"),"15172425",B1920))),IF(U1920="CEBAS","UNICO",IF(VALUE(B1920)&lt;=11,"AMBA","INTERIOR"))))</f>
        <v>R02</v>
      </c>
      <c r="W1920" s="38" t="str">
        <f>+IF(U1920="","-",CONCATENATE(U1920,"_",V1920))</f>
        <v>FINES_R02</v>
      </c>
      <c r="X1920" s="42">
        <v>0.59599999999999997</v>
      </c>
    </row>
    <row r="1921" spans="1:24">
      <c r="A1921" s="21" t="s">
        <v>5100</v>
      </c>
      <c r="B1921" t="s">
        <v>356</v>
      </c>
      <c r="C1921" t="s">
        <v>1359</v>
      </c>
      <c r="D1921" t="s">
        <v>1360</v>
      </c>
      <c r="E1921" s="7" t="s">
        <v>198</v>
      </c>
      <c r="F1921" s="7" t="s">
        <v>198</v>
      </c>
      <c r="G1921" s="7" t="s">
        <v>198</v>
      </c>
      <c r="H1921" s="7" t="s">
        <v>20</v>
      </c>
      <c r="I1921" s="7" t="s">
        <v>5102</v>
      </c>
      <c r="J1921" s="7" t="s">
        <v>21</v>
      </c>
      <c r="L1921" t="s">
        <v>3272</v>
      </c>
      <c r="M1921" s="7" t="s">
        <v>22</v>
      </c>
      <c r="N1921" s="7" t="s">
        <v>23</v>
      </c>
      <c r="O1921" s="7" t="s">
        <v>27</v>
      </c>
      <c r="P1921" s="7" t="s">
        <v>5101</v>
      </c>
      <c r="Q1921" s="26">
        <v>17</v>
      </c>
      <c r="R1921" s="26">
        <v>1</v>
      </c>
      <c r="S1921" s="40">
        <v>1</v>
      </c>
      <c r="T1921" s="7"/>
      <c r="U1921" s="7" t="s">
        <v>2951</v>
      </c>
      <c r="V1921" s="7" t="str">
        <f>+IF(U1921="","",IF(U1921="FINES",CONCATENATE("R",IF(OR(B1921="16",B1921="21",B1921="22",B1921="23"),"16212223",IF(OR(B1921="15",B1921="17",B1921="24",B1921="25"),"15172425",B1921))),IF(U1921="CEBAS","UNICO",IF(VALUE(B1921)&lt;=11,"AMBA","INTERIOR"))))</f>
        <v>R02</v>
      </c>
      <c r="W1921" s="38" t="str">
        <f>+IF(U1921="","-",CONCATENATE(U1921,"_",V1921))</f>
        <v>FINES_R02</v>
      </c>
      <c r="X1921" s="42">
        <v>0.6</v>
      </c>
    </row>
    <row r="1922" spans="1:24">
      <c r="A1922" s="21" t="s">
        <v>5100</v>
      </c>
      <c r="B1922" t="s">
        <v>356</v>
      </c>
      <c r="C1922" t="s">
        <v>1359</v>
      </c>
      <c r="D1922" t="s">
        <v>1360</v>
      </c>
      <c r="E1922" s="7" t="s">
        <v>198</v>
      </c>
      <c r="F1922" s="7" t="s">
        <v>198</v>
      </c>
      <c r="G1922" s="7" t="s">
        <v>198</v>
      </c>
      <c r="H1922" s="7" t="s">
        <v>20</v>
      </c>
      <c r="I1922" s="7" t="s">
        <v>5102</v>
      </c>
      <c r="J1922" s="7" t="s">
        <v>21</v>
      </c>
      <c r="L1922" t="s">
        <v>3236</v>
      </c>
      <c r="M1922" s="7" t="s">
        <v>22</v>
      </c>
      <c r="N1922" s="7" t="s">
        <v>23</v>
      </c>
      <c r="O1922" s="7" t="s">
        <v>27</v>
      </c>
      <c r="P1922" s="7" t="s">
        <v>5101</v>
      </c>
      <c r="Q1922" s="26">
        <v>20</v>
      </c>
      <c r="R1922" s="26">
        <v>1</v>
      </c>
      <c r="S1922" s="40">
        <v>1</v>
      </c>
      <c r="T1922" s="7"/>
      <c r="U1922" s="7" t="s">
        <v>2951</v>
      </c>
      <c r="V1922" s="7" t="str">
        <f>+IF(U1922="","",IF(U1922="FINES",CONCATENATE("R",IF(OR(B1922="16",B1922="21",B1922="22",B1922="23"),"16212223",IF(OR(B1922="15",B1922="17",B1922="24",B1922="25"),"15172425",B1922))),IF(U1922="CEBAS","UNICO",IF(VALUE(B1922)&lt;=11,"AMBA","INTERIOR"))))</f>
        <v>R02</v>
      </c>
      <c r="W1922" s="38" t="str">
        <f>+IF(U1922="","-",CONCATENATE(U1922,"_",V1922))</f>
        <v>FINES_R02</v>
      </c>
      <c r="X1922" s="42">
        <v>0.60099999999999998</v>
      </c>
    </row>
    <row r="1923" spans="1:24">
      <c r="A1923" s="21" t="s">
        <v>5100</v>
      </c>
      <c r="B1923" t="s">
        <v>356</v>
      </c>
      <c r="C1923" t="s">
        <v>1359</v>
      </c>
      <c r="D1923" t="s">
        <v>1360</v>
      </c>
      <c r="E1923" s="7" t="s">
        <v>198</v>
      </c>
      <c r="F1923" s="7" t="s">
        <v>198</v>
      </c>
      <c r="G1923" s="7" t="s">
        <v>198</v>
      </c>
      <c r="H1923" s="7" t="s">
        <v>20</v>
      </c>
      <c r="I1923" s="7" t="s">
        <v>5102</v>
      </c>
      <c r="J1923" s="7" t="s">
        <v>21</v>
      </c>
      <c r="L1923" t="s">
        <v>3300</v>
      </c>
      <c r="M1923" s="7" t="s">
        <v>22</v>
      </c>
      <c r="N1923" s="7" t="s">
        <v>23</v>
      </c>
      <c r="O1923" s="7" t="s">
        <v>27</v>
      </c>
      <c r="P1923" s="7" t="s">
        <v>5101</v>
      </c>
      <c r="Q1923" s="26">
        <v>10</v>
      </c>
      <c r="R1923" s="26">
        <v>1</v>
      </c>
      <c r="S1923" s="40">
        <v>1</v>
      </c>
      <c r="T1923" s="7"/>
      <c r="U1923" s="7" t="s">
        <v>2951</v>
      </c>
      <c r="V1923" s="7" t="str">
        <f>+IF(U1923="","",IF(U1923="FINES",CONCATENATE("R",IF(OR(B1923="16",B1923="21",B1923="22",B1923="23"),"16212223",IF(OR(B1923="15",B1923="17",B1923="24",B1923="25"),"15172425",B1923))),IF(U1923="CEBAS","UNICO",IF(VALUE(B1923)&lt;=11,"AMBA","INTERIOR"))))</f>
        <v>R02</v>
      </c>
      <c r="W1923" s="38" t="str">
        <f>+IF(U1923="","-",CONCATENATE(U1923,"_",V1923))</f>
        <v>FINES_R02</v>
      </c>
      <c r="X1923" s="42">
        <v>0.621</v>
      </c>
    </row>
    <row r="1924" spans="1:24">
      <c r="A1924" s="21" t="s">
        <v>5100</v>
      </c>
      <c r="B1924" t="s">
        <v>356</v>
      </c>
      <c r="C1924" t="s">
        <v>353</v>
      </c>
      <c r="D1924" t="s">
        <v>355</v>
      </c>
      <c r="E1924" s="7" t="s">
        <v>198</v>
      </c>
      <c r="F1924" s="7" t="s">
        <v>198</v>
      </c>
      <c r="G1924" s="7" t="s">
        <v>198</v>
      </c>
      <c r="H1924" s="7" t="s">
        <v>20</v>
      </c>
      <c r="I1924" s="7" t="s">
        <v>5102</v>
      </c>
      <c r="J1924" s="7" t="s">
        <v>21</v>
      </c>
      <c r="L1924" t="s">
        <v>3137</v>
      </c>
      <c r="M1924" s="7" t="s">
        <v>22</v>
      </c>
      <c r="N1924" s="7" t="s">
        <v>23</v>
      </c>
      <c r="O1924" s="7" t="s">
        <v>27</v>
      </c>
      <c r="P1924" s="7" t="s">
        <v>5101</v>
      </c>
      <c r="Q1924" s="26">
        <v>18</v>
      </c>
      <c r="R1924" s="26">
        <v>1</v>
      </c>
      <c r="S1924" s="40">
        <v>1</v>
      </c>
      <c r="T1924" s="7"/>
      <c r="U1924" s="7" t="s">
        <v>2951</v>
      </c>
      <c r="V1924" s="7" t="str">
        <f>+IF(U1924="","",IF(U1924="FINES",CONCATENATE("R",IF(OR(B1924="16",B1924="21",B1924="22",B1924="23"),"16212223",IF(OR(B1924="15",B1924="17",B1924="24",B1924="25"),"15172425",B1924))),IF(U1924="CEBAS","UNICO",IF(VALUE(B1924)&lt;=11,"AMBA","INTERIOR"))))</f>
        <v>R02</v>
      </c>
      <c r="W1924" s="38" t="str">
        <f>+IF(U1924="","-",CONCATENATE(U1924,"_",V1924))</f>
        <v>FINES_R02</v>
      </c>
      <c r="X1924" s="42">
        <v>0.622</v>
      </c>
    </row>
    <row r="1925" spans="1:24">
      <c r="A1925" s="21" t="s">
        <v>5100</v>
      </c>
      <c r="B1925" t="s">
        <v>356</v>
      </c>
      <c r="C1925" t="s">
        <v>1359</v>
      </c>
      <c r="D1925" t="s">
        <v>1360</v>
      </c>
      <c r="E1925" s="7" t="s">
        <v>198</v>
      </c>
      <c r="F1925" s="7" t="s">
        <v>198</v>
      </c>
      <c r="G1925" s="7" t="s">
        <v>198</v>
      </c>
      <c r="H1925" s="7" t="s">
        <v>20</v>
      </c>
      <c r="I1925" s="7" t="s">
        <v>5102</v>
      </c>
      <c r="J1925" s="7" t="s">
        <v>21</v>
      </c>
      <c r="L1925" t="s">
        <v>3270</v>
      </c>
      <c r="M1925" s="7" t="s">
        <v>22</v>
      </c>
      <c r="N1925" s="7" t="s">
        <v>23</v>
      </c>
      <c r="O1925" s="7" t="s">
        <v>27</v>
      </c>
      <c r="P1925" s="7" t="s">
        <v>5101</v>
      </c>
      <c r="Q1925" s="26">
        <v>64</v>
      </c>
      <c r="R1925" s="26">
        <v>3</v>
      </c>
      <c r="S1925" s="40">
        <v>1</v>
      </c>
      <c r="T1925" s="7"/>
      <c r="U1925" s="7" t="s">
        <v>2951</v>
      </c>
      <c r="V1925" s="7" t="str">
        <f>+IF(U1925="","",IF(U1925="FINES",CONCATENATE("R",IF(OR(B1925="16",B1925="21",B1925="22",B1925="23"),"16212223",IF(OR(B1925="15",B1925="17",B1925="24",B1925="25"),"15172425",B1925))),IF(U1925="CEBAS","UNICO",IF(VALUE(B1925)&lt;=11,"AMBA","INTERIOR"))))</f>
        <v>R02</v>
      </c>
      <c r="W1925" s="38" t="str">
        <f>+IF(U1925="","-",CONCATENATE(U1925,"_",V1925))</f>
        <v>FINES_R02</v>
      </c>
      <c r="X1925" s="42">
        <v>0.624</v>
      </c>
    </row>
    <row r="1926" spans="1:24">
      <c r="A1926" s="21" t="s">
        <v>5100</v>
      </c>
      <c r="B1926" t="s">
        <v>356</v>
      </c>
      <c r="C1926" t="s">
        <v>353</v>
      </c>
      <c r="D1926" t="s">
        <v>355</v>
      </c>
      <c r="E1926" s="7" t="s">
        <v>198</v>
      </c>
      <c r="F1926" s="7" t="s">
        <v>198</v>
      </c>
      <c r="G1926" s="7" t="s">
        <v>198</v>
      </c>
      <c r="H1926" s="7" t="s">
        <v>20</v>
      </c>
      <c r="I1926" s="7" t="s">
        <v>5102</v>
      </c>
      <c r="J1926" s="7" t="s">
        <v>21</v>
      </c>
      <c r="L1926" t="s">
        <v>3191</v>
      </c>
      <c r="M1926" s="7" t="s">
        <v>22</v>
      </c>
      <c r="N1926" s="7" t="s">
        <v>23</v>
      </c>
      <c r="O1926" s="7" t="s">
        <v>27</v>
      </c>
      <c r="P1926" s="7" t="s">
        <v>5101</v>
      </c>
      <c r="Q1926" s="26">
        <v>17</v>
      </c>
      <c r="R1926" s="26">
        <v>1</v>
      </c>
      <c r="S1926" s="40">
        <v>1</v>
      </c>
      <c r="T1926" s="7"/>
      <c r="U1926" s="7" t="s">
        <v>2951</v>
      </c>
      <c r="V1926" s="7" t="str">
        <f>+IF(U1926="","",IF(U1926="FINES",CONCATENATE("R",IF(OR(B1926="16",B1926="21",B1926="22",B1926="23"),"16212223",IF(OR(B1926="15",B1926="17",B1926="24",B1926="25"),"15172425",B1926))),IF(U1926="CEBAS","UNICO",IF(VALUE(B1926)&lt;=11,"AMBA","INTERIOR"))))</f>
        <v>R02</v>
      </c>
      <c r="W1926" s="38" t="str">
        <f>+IF(U1926="","-",CONCATENATE(U1926,"_",V1926))</f>
        <v>FINES_R02</v>
      </c>
      <c r="X1926" s="42">
        <v>0.63700000000000001</v>
      </c>
    </row>
    <row r="1927" spans="1:24">
      <c r="A1927" s="21" t="s">
        <v>5100</v>
      </c>
      <c r="B1927" t="s">
        <v>356</v>
      </c>
      <c r="C1927" t="s">
        <v>1359</v>
      </c>
      <c r="D1927" t="s">
        <v>1360</v>
      </c>
      <c r="E1927" s="7" t="s">
        <v>198</v>
      </c>
      <c r="F1927" s="7" t="s">
        <v>198</v>
      </c>
      <c r="G1927" s="7" t="s">
        <v>198</v>
      </c>
      <c r="H1927" s="7" t="s">
        <v>20</v>
      </c>
      <c r="I1927" s="7" t="s">
        <v>5102</v>
      </c>
      <c r="J1927" s="7" t="s">
        <v>21</v>
      </c>
      <c r="L1927" t="s">
        <v>3269</v>
      </c>
      <c r="M1927" s="7" t="s">
        <v>22</v>
      </c>
      <c r="N1927" s="7" t="s">
        <v>23</v>
      </c>
      <c r="O1927" s="7" t="s">
        <v>27</v>
      </c>
      <c r="P1927" s="7" t="s">
        <v>5101</v>
      </c>
      <c r="Q1927" s="26">
        <v>40</v>
      </c>
      <c r="R1927" s="26">
        <v>2</v>
      </c>
      <c r="S1927" s="40">
        <v>1</v>
      </c>
      <c r="T1927" s="7"/>
      <c r="U1927" s="7" t="s">
        <v>2951</v>
      </c>
      <c r="V1927" s="7" t="str">
        <f>+IF(U1927="","",IF(U1927="FINES",CONCATENATE("R",IF(OR(B1927="16",B1927="21",B1927="22",B1927="23"),"16212223",IF(OR(B1927="15",B1927="17",B1927="24",B1927="25"),"15172425",B1927))),IF(U1927="CEBAS","UNICO",IF(VALUE(B1927)&lt;=11,"AMBA","INTERIOR"))))</f>
        <v>R02</v>
      </c>
      <c r="W1927" s="38" t="str">
        <f>+IF(U1927="","-",CONCATENATE(U1927,"_",V1927))</f>
        <v>FINES_R02</v>
      </c>
      <c r="X1927" s="42">
        <v>0.64200000000000002</v>
      </c>
    </row>
    <row r="1928" spans="1:24">
      <c r="A1928" s="21" t="s">
        <v>5100</v>
      </c>
      <c r="B1928" t="s">
        <v>356</v>
      </c>
      <c r="C1928" t="s">
        <v>805</v>
      </c>
      <c r="D1928" t="s">
        <v>2500</v>
      </c>
      <c r="E1928" s="7" t="s">
        <v>198</v>
      </c>
      <c r="F1928" s="7" t="s">
        <v>198</v>
      </c>
      <c r="G1928" s="7" t="s">
        <v>198</v>
      </c>
      <c r="H1928" s="7" t="s">
        <v>20</v>
      </c>
      <c r="I1928" s="7" t="s">
        <v>5102</v>
      </c>
      <c r="J1928" s="7" t="s">
        <v>21</v>
      </c>
      <c r="L1928" t="s">
        <v>3196</v>
      </c>
      <c r="M1928" s="7" t="s">
        <v>22</v>
      </c>
      <c r="N1928" s="7" t="s">
        <v>23</v>
      </c>
      <c r="O1928" s="7" t="s">
        <v>27</v>
      </c>
      <c r="P1928" s="7" t="s">
        <v>5101</v>
      </c>
      <c r="Q1928" s="26">
        <v>15</v>
      </c>
      <c r="R1928" s="26">
        <v>1</v>
      </c>
      <c r="S1928" s="40">
        <v>1</v>
      </c>
      <c r="T1928" s="7"/>
      <c r="U1928" s="7" t="s">
        <v>2951</v>
      </c>
      <c r="V1928" s="7" t="str">
        <f>+IF(U1928="","",IF(U1928="FINES",CONCATENATE("R",IF(OR(B1928="16",B1928="21",B1928="22",B1928="23"),"16212223",IF(OR(B1928="15",B1928="17",B1928="24",B1928="25"),"15172425",B1928))),IF(U1928="CEBAS","UNICO",IF(VALUE(B1928)&lt;=11,"AMBA","INTERIOR"))))</f>
        <v>R02</v>
      </c>
      <c r="W1928" s="38" t="str">
        <f>+IF(U1928="","-",CONCATENATE(U1928,"_",V1928))</f>
        <v>FINES_R02</v>
      </c>
      <c r="X1928" s="42">
        <v>0.64400000000000002</v>
      </c>
    </row>
    <row r="1929" spans="1:24">
      <c r="A1929" s="21" t="s">
        <v>5100</v>
      </c>
      <c r="B1929" t="s">
        <v>356</v>
      </c>
      <c r="C1929" t="s">
        <v>1359</v>
      </c>
      <c r="D1929" t="s">
        <v>1360</v>
      </c>
      <c r="E1929" s="7" t="s">
        <v>198</v>
      </c>
      <c r="F1929" s="7" t="s">
        <v>198</v>
      </c>
      <c r="G1929" s="7" t="s">
        <v>198</v>
      </c>
      <c r="H1929" s="7" t="s">
        <v>20</v>
      </c>
      <c r="I1929" s="7" t="s">
        <v>5102</v>
      </c>
      <c r="J1929" s="7" t="s">
        <v>21</v>
      </c>
      <c r="L1929" t="s">
        <v>3298</v>
      </c>
      <c r="M1929" s="7" t="s">
        <v>22</v>
      </c>
      <c r="N1929" s="7" t="s">
        <v>23</v>
      </c>
      <c r="O1929" s="7" t="s">
        <v>27</v>
      </c>
      <c r="P1929" s="7" t="s">
        <v>5101</v>
      </c>
      <c r="Q1929" s="26">
        <v>33</v>
      </c>
      <c r="R1929" s="26">
        <v>1</v>
      </c>
      <c r="S1929" s="40">
        <v>1</v>
      </c>
      <c r="T1929" s="7"/>
      <c r="U1929" s="7" t="s">
        <v>2951</v>
      </c>
      <c r="V1929" s="7" t="str">
        <f>+IF(U1929="","",IF(U1929="FINES",CONCATENATE("R",IF(OR(B1929="16",B1929="21",B1929="22",B1929="23"),"16212223",IF(OR(B1929="15",B1929="17",B1929="24",B1929="25"),"15172425",B1929))),IF(U1929="CEBAS","UNICO",IF(VALUE(B1929)&lt;=11,"AMBA","INTERIOR"))))</f>
        <v>R02</v>
      </c>
      <c r="W1929" s="38" t="str">
        <f>+IF(U1929="","-",CONCATENATE(U1929,"_",V1929))</f>
        <v>FINES_R02</v>
      </c>
      <c r="X1929" s="42">
        <v>0.64700000000000002</v>
      </c>
    </row>
    <row r="1930" spans="1:24">
      <c r="A1930" s="21" t="s">
        <v>5100</v>
      </c>
      <c r="B1930" t="s">
        <v>356</v>
      </c>
      <c r="C1930" t="s">
        <v>1359</v>
      </c>
      <c r="D1930" t="s">
        <v>1360</v>
      </c>
      <c r="E1930" s="7" t="s">
        <v>198</v>
      </c>
      <c r="F1930" s="7" t="s">
        <v>198</v>
      </c>
      <c r="G1930" s="7" t="s">
        <v>198</v>
      </c>
      <c r="H1930" s="7" t="s">
        <v>20</v>
      </c>
      <c r="I1930" s="7" t="s">
        <v>5102</v>
      </c>
      <c r="J1930" s="7" t="s">
        <v>21</v>
      </c>
      <c r="L1930" t="s">
        <v>3281</v>
      </c>
      <c r="M1930" s="7" t="s">
        <v>22</v>
      </c>
      <c r="N1930" s="7" t="s">
        <v>23</v>
      </c>
      <c r="O1930" s="7" t="s">
        <v>27</v>
      </c>
      <c r="P1930" s="7" t="s">
        <v>5101</v>
      </c>
      <c r="Q1930" s="26">
        <v>11</v>
      </c>
      <c r="R1930" s="26">
        <v>1</v>
      </c>
      <c r="S1930" s="40">
        <v>1</v>
      </c>
      <c r="T1930" s="7"/>
      <c r="U1930" s="7" t="s">
        <v>2951</v>
      </c>
      <c r="V1930" s="7" t="str">
        <f>+IF(U1930="","",IF(U1930="FINES",CONCATENATE("R",IF(OR(B1930="16",B1930="21",B1930="22",B1930="23"),"16212223",IF(OR(B1930="15",B1930="17",B1930="24",B1930="25"),"15172425",B1930))),IF(U1930="CEBAS","UNICO",IF(VALUE(B1930)&lt;=11,"AMBA","INTERIOR"))))</f>
        <v>R02</v>
      </c>
      <c r="W1930" s="38" t="str">
        <f>+IF(U1930="","-",CONCATENATE(U1930,"_",V1930))</f>
        <v>FINES_R02</v>
      </c>
      <c r="X1930" s="42">
        <v>0.65300000000000002</v>
      </c>
    </row>
    <row r="1931" spans="1:24">
      <c r="A1931" s="21" t="s">
        <v>5100</v>
      </c>
      <c r="B1931" t="s">
        <v>356</v>
      </c>
      <c r="C1931" t="s">
        <v>1359</v>
      </c>
      <c r="D1931" t="s">
        <v>1360</v>
      </c>
      <c r="E1931" s="7" t="s">
        <v>198</v>
      </c>
      <c r="F1931" s="7" t="s">
        <v>198</v>
      </c>
      <c r="G1931" s="7" t="s">
        <v>198</v>
      </c>
      <c r="H1931" s="7" t="s">
        <v>20</v>
      </c>
      <c r="I1931" s="7" t="s">
        <v>5102</v>
      </c>
      <c r="J1931" s="7" t="s">
        <v>21</v>
      </c>
      <c r="L1931" t="s">
        <v>3308</v>
      </c>
      <c r="M1931" s="7" t="s">
        <v>22</v>
      </c>
      <c r="N1931" s="7" t="s">
        <v>23</v>
      </c>
      <c r="O1931" s="7" t="s">
        <v>27</v>
      </c>
      <c r="P1931" s="7" t="s">
        <v>5101</v>
      </c>
      <c r="Q1931" s="26">
        <v>8</v>
      </c>
      <c r="R1931" s="26">
        <v>1</v>
      </c>
      <c r="S1931" s="40">
        <v>1</v>
      </c>
      <c r="T1931" s="7"/>
      <c r="U1931" s="7" t="s">
        <v>2951</v>
      </c>
      <c r="V1931" s="7" t="str">
        <f>+IF(U1931="","",IF(U1931="FINES",CONCATENATE("R",IF(OR(B1931="16",B1931="21",B1931="22",B1931="23"),"16212223",IF(OR(B1931="15",B1931="17",B1931="24",B1931="25"),"15172425",B1931))),IF(U1931="CEBAS","UNICO",IF(VALUE(B1931)&lt;=11,"AMBA","INTERIOR"))))</f>
        <v>R02</v>
      </c>
      <c r="W1931" s="38" t="str">
        <f>+IF(U1931="","-",CONCATENATE(U1931,"_",V1931))</f>
        <v>FINES_R02</v>
      </c>
      <c r="X1931" s="42">
        <v>0.65300000000000002</v>
      </c>
    </row>
    <row r="1932" spans="1:24">
      <c r="A1932" s="21" t="s">
        <v>5100</v>
      </c>
      <c r="B1932" t="s">
        <v>356</v>
      </c>
      <c r="C1932" t="s">
        <v>1359</v>
      </c>
      <c r="D1932" t="s">
        <v>1360</v>
      </c>
      <c r="E1932" s="7" t="s">
        <v>198</v>
      </c>
      <c r="F1932" s="7" t="s">
        <v>198</v>
      </c>
      <c r="G1932" s="7" t="s">
        <v>198</v>
      </c>
      <c r="H1932" s="7" t="s">
        <v>20</v>
      </c>
      <c r="I1932" s="7" t="s">
        <v>5102</v>
      </c>
      <c r="J1932" s="7" t="s">
        <v>21</v>
      </c>
      <c r="L1932" t="s">
        <v>3307</v>
      </c>
      <c r="M1932" s="7" t="s">
        <v>22</v>
      </c>
      <c r="N1932" s="7" t="s">
        <v>23</v>
      </c>
      <c r="O1932" s="7" t="s">
        <v>27</v>
      </c>
      <c r="P1932" s="7" t="s">
        <v>5101</v>
      </c>
      <c r="Q1932" s="26">
        <v>30</v>
      </c>
      <c r="R1932" s="26">
        <v>2</v>
      </c>
      <c r="S1932" s="40">
        <v>1</v>
      </c>
      <c r="T1932" s="7"/>
      <c r="U1932" s="7" t="s">
        <v>2951</v>
      </c>
      <c r="V1932" s="7" t="str">
        <f>+IF(U1932="","",IF(U1932="FINES",CONCATENATE("R",IF(OR(B1932="16",B1932="21",B1932="22",B1932="23"),"16212223",IF(OR(B1932="15",B1932="17",B1932="24",B1932="25"),"15172425",B1932))),IF(U1932="CEBAS","UNICO",IF(VALUE(B1932)&lt;=11,"AMBA","INTERIOR"))))</f>
        <v>R02</v>
      </c>
      <c r="W1932" s="38" t="str">
        <f>+IF(U1932="","-",CONCATENATE(U1932,"_",V1932))</f>
        <v>FINES_R02</v>
      </c>
      <c r="X1932" s="42">
        <v>0.65700000000000003</v>
      </c>
    </row>
    <row r="1933" spans="1:24">
      <c r="A1933" s="21" t="s">
        <v>5100</v>
      </c>
      <c r="B1933" t="s">
        <v>356</v>
      </c>
      <c r="C1933" t="s">
        <v>1359</v>
      </c>
      <c r="D1933" t="s">
        <v>1360</v>
      </c>
      <c r="E1933" s="7" t="s">
        <v>198</v>
      </c>
      <c r="F1933" s="7" t="s">
        <v>198</v>
      </c>
      <c r="G1933" s="7" t="s">
        <v>198</v>
      </c>
      <c r="H1933" s="7" t="s">
        <v>20</v>
      </c>
      <c r="I1933" s="7" t="s">
        <v>5102</v>
      </c>
      <c r="J1933" s="7" t="s">
        <v>21</v>
      </c>
      <c r="L1933" t="s">
        <v>3275</v>
      </c>
      <c r="M1933" s="7" t="s">
        <v>22</v>
      </c>
      <c r="N1933" s="7" t="s">
        <v>23</v>
      </c>
      <c r="O1933" s="7" t="s">
        <v>27</v>
      </c>
      <c r="P1933" s="7" t="s">
        <v>5101</v>
      </c>
      <c r="Q1933" s="26">
        <v>7</v>
      </c>
      <c r="R1933" s="26">
        <v>1</v>
      </c>
      <c r="S1933" s="40">
        <v>1</v>
      </c>
      <c r="T1933" s="7"/>
      <c r="U1933" s="7" t="s">
        <v>2951</v>
      </c>
      <c r="V1933" s="7" t="str">
        <f>+IF(U1933="","",IF(U1933="FINES",CONCATENATE("R",IF(OR(B1933="16",B1933="21",B1933="22",B1933="23"),"16212223",IF(OR(B1933="15",B1933="17",B1933="24",B1933="25"),"15172425",B1933))),IF(U1933="CEBAS","UNICO",IF(VALUE(B1933)&lt;=11,"AMBA","INTERIOR"))))</f>
        <v>R02</v>
      </c>
      <c r="W1933" s="38" t="str">
        <f>+IF(U1933="","-",CONCATENATE(U1933,"_",V1933))</f>
        <v>FINES_R02</v>
      </c>
      <c r="X1933" s="42">
        <v>0.66100000000000003</v>
      </c>
    </row>
    <row r="1934" spans="1:24">
      <c r="A1934" s="21" t="s">
        <v>5100</v>
      </c>
      <c r="B1934" t="s">
        <v>356</v>
      </c>
      <c r="C1934" t="s">
        <v>1359</v>
      </c>
      <c r="D1934" t="s">
        <v>1360</v>
      </c>
      <c r="E1934" s="7" t="s">
        <v>198</v>
      </c>
      <c r="F1934" s="7" t="s">
        <v>198</v>
      </c>
      <c r="G1934" s="7" t="s">
        <v>198</v>
      </c>
      <c r="H1934" s="7" t="s">
        <v>20</v>
      </c>
      <c r="I1934" s="7" t="s">
        <v>5102</v>
      </c>
      <c r="J1934" s="7" t="s">
        <v>21</v>
      </c>
      <c r="L1934" t="s">
        <v>3310</v>
      </c>
      <c r="M1934" s="7" t="s">
        <v>22</v>
      </c>
      <c r="N1934" s="7" t="s">
        <v>23</v>
      </c>
      <c r="O1934" s="7" t="s">
        <v>27</v>
      </c>
      <c r="P1934" s="7" t="s">
        <v>5101</v>
      </c>
      <c r="Q1934" s="26">
        <v>20</v>
      </c>
      <c r="R1934" s="26">
        <v>1</v>
      </c>
      <c r="S1934" s="40">
        <v>1</v>
      </c>
      <c r="T1934" s="7"/>
      <c r="U1934" s="7" t="s">
        <v>2951</v>
      </c>
      <c r="V1934" s="7" t="str">
        <f>+IF(U1934="","",IF(U1934="FINES",CONCATENATE("R",IF(OR(B1934="16",B1934="21",B1934="22",B1934="23"),"16212223",IF(OR(B1934="15",B1934="17",B1934="24",B1934="25"),"15172425",B1934))),IF(U1934="CEBAS","UNICO",IF(VALUE(B1934)&lt;=11,"AMBA","INTERIOR"))))</f>
        <v>R02</v>
      </c>
      <c r="W1934" s="38" t="str">
        <f>+IF(U1934="","-",CONCATENATE(U1934,"_",V1934))</f>
        <v>FINES_R02</v>
      </c>
      <c r="X1934" s="42">
        <v>0.66200000000000003</v>
      </c>
    </row>
    <row r="1935" spans="1:24">
      <c r="A1935" s="21" t="s">
        <v>5100</v>
      </c>
      <c r="B1935" t="s">
        <v>356</v>
      </c>
      <c r="C1935" t="s">
        <v>1359</v>
      </c>
      <c r="D1935" t="s">
        <v>1360</v>
      </c>
      <c r="E1935" s="7" t="s">
        <v>198</v>
      </c>
      <c r="F1935" s="7" t="s">
        <v>198</v>
      </c>
      <c r="G1935" s="7" t="s">
        <v>198</v>
      </c>
      <c r="H1935" s="7" t="s">
        <v>20</v>
      </c>
      <c r="I1935" s="7" t="s">
        <v>5102</v>
      </c>
      <c r="J1935" s="7" t="s">
        <v>21</v>
      </c>
      <c r="L1935" t="s">
        <v>3237</v>
      </c>
      <c r="M1935" s="7" t="s">
        <v>22</v>
      </c>
      <c r="N1935" s="7" t="s">
        <v>23</v>
      </c>
      <c r="O1935" s="7" t="s">
        <v>27</v>
      </c>
      <c r="P1935" s="7" t="s">
        <v>5101</v>
      </c>
      <c r="Q1935" s="26">
        <v>27</v>
      </c>
      <c r="R1935" s="26">
        <v>2</v>
      </c>
      <c r="S1935" s="40">
        <v>1</v>
      </c>
      <c r="T1935" s="7"/>
      <c r="U1935" s="7" t="s">
        <v>2951</v>
      </c>
      <c r="V1935" s="7" t="str">
        <f>+IF(U1935="","",IF(U1935="FINES",CONCATENATE("R",IF(OR(B1935="16",B1935="21",B1935="22",B1935="23"),"16212223",IF(OR(B1935="15",B1935="17",B1935="24",B1935="25"),"15172425",B1935))),IF(U1935="CEBAS","UNICO",IF(VALUE(B1935)&lt;=11,"AMBA","INTERIOR"))))</f>
        <v>R02</v>
      </c>
      <c r="W1935" s="38" t="str">
        <f>+IF(U1935="","-",CONCATENATE(U1935,"_",V1935))</f>
        <v>FINES_R02</v>
      </c>
      <c r="X1935" s="42">
        <v>0.66400000000000003</v>
      </c>
    </row>
    <row r="1936" spans="1:24">
      <c r="A1936" s="21" t="s">
        <v>5100</v>
      </c>
      <c r="B1936" t="s">
        <v>356</v>
      </c>
      <c r="C1936" t="s">
        <v>805</v>
      </c>
      <c r="D1936" t="s">
        <v>2500</v>
      </c>
      <c r="E1936" s="7" t="s">
        <v>198</v>
      </c>
      <c r="F1936" s="7" t="s">
        <v>198</v>
      </c>
      <c r="G1936" s="7" t="s">
        <v>198</v>
      </c>
      <c r="H1936" s="7" t="s">
        <v>20</v>
      </c>
      <c r="I1936" s="7" t="s">
        <v>5102</v>
      </c>
      <c r="J1936" s="7" t="s">
        <v>21</v>
      </c>
      <c r="L1936" t="s">
        <v>3204</v>
      </c>
      <c r="M1936" s="7" t="s">
        <v>22</v>
      </c>
      <c r="N1936" s="7" t="s">
        <v>23</v>
      </c>
      <c r="O1936" s="7" t="s">
        <v>27</v>
      </c>
      <c r="P1936" s="7" t="s">
        <v>5101</v>
      </c>
      <c r="Q1936" s="26">
        <v>265</v>
      </c>
      <c r="R1936" s="26">
        <v>10</v>
      </c>
      <c r="S1936" s="40">
        <v>1</v>
      </c>
      <c r="T1936" s="7"/>
      <c r="U1936" s="7" t="s">
        <v>2951</v>
      </c>
      <c r="V1936" s="7" t="str">
        <f>+IF(U1936="","",IF(U1936="FINES",CONCATENATE("R",IF(OR(B1936="16",B1936="21",B1936="22",B1936="23"),"16212223",IF(OR(B1936="15",B1936="17",B1936="24",B1936="25"),"15172425",B1936))),IF(U1936="CEBAS","UNICO",IF(VALUE(B1936)&lt;=11,"AMBA","INTERIOR"))))</f>
        <v>R02</v>
      </c>
      <c r="W1936" s="38" t="str">
        <f>+IF(U1936="","-",CONCATENATE(U1936,"_",V1936))</f>
        <v>FINES_R02</v>
      </c>
      <c r="X1936" s="42">
        <v>0.67</v>
      </c>
    </row>
    <row r="1937" spans="1:24">
      <c r="A1937" s="21" t="s">
        <v>5100</v>
      </c>
      <c r="B1937" t="s">
        <v>356</v>
      </c>
      <c r="C1937" t="s">
        <v>1359</v>
      </c>
      <c r="D1937" t="s">
        <v>1360</v>
      </c>
      <c r="E1937" s="7" t="s">
        <v>198</v>
      </c>
      <c r="F1937" s="7" t="s">
        <v>198</v>
      </c>
      <c r="G1937" s="7" t="s">
        <v>198</v>
      </c>
      <c r="H1937" s="7" t="s">
        <v>20</v>
      </c>
      <c r="I1937" s="7" t="s">
        <v>5102</v>
      </c>
      <c r="J1937" s="7" t="s">
        <v>21</v>
      </c>
      <c r="L1937" t="s">
        <v>3257</v>
      </c>
      <c r="M1937" s="7" t="s">
        <v>22</v>
      </c>
      <c r="N1937" s="7" t="s">
        <v>23</v>
      </c>
      <c r="O1937" s="7" t="s">
        <v>27</v>
      </c>
      <c r="P1937" s="7" t="s">
        <v>5101</v>
      </c>
      <c r="Q1937" s="26">
        <v>8</v>
      </c>
      <c r="R1937" s="26">
        <v>1</v>
      </c>
      <c r="S1937" s="40">
        <v>1</v>
      </c>
      <c r="T1937" s="7"/>
      <c r="U1937" s="7" t="s">
        <v>2951</v>
      </c>
      <c r="V1937" s="7" t="str">
        <f>+IF(U1937="","",IF(U1937="FINES",CONCATENATE("R",IF(OR(B1937="16",B1937="21",B1937="22",B1937="23"),"16212223",IF(OR(B1937="15",B1937="17",B1937="24",B1937="25"),"15172425",B1937))),IF(U1937="CEBAS","UNICO",IF(VALUE(B1937)&lt;=11,"AMBA","INTERIOR"))))</f>
        <v>R02</v>
      </c>
      <c r="W1937" s="38" t="str">
        <f>+IF(U1937="","-",CONCATENATE(U1937,"_",V1937))</f>
        <v>FINES_R02</v>
      </c>
      <c r="X1937" s="42">
        <v>0.67100000000000004</v>
      </c>
    </row>
    <row r="1938" spans="1:24">
      <c r="A1938" s="21" t="s">
        <v>5100</v>
      </c>
      <c r="B1938" t="s">
        <v>356</v>
      </c>
      <c r="C1938" t="s">
        <v>353</v>
      </c>
      <c r="D1938" t="s">
        <v>355</v>
      </c>
      <c r="E1938" s="7" t="s">
        <v>198</v>
      </c>
      <c r="F1938" s="7" t="s">
        <v>198</v>
      </c>
      <c r="G1938" s="7" t="s">
        <v>198</v>
      </c>
      <c r="H1938" s="7" t="s">
        <v>20</v>
      </c>
      <c r="I1938" s="7" t="s">
        <v>5102</v>
      </c>
      <c r="J1938" s="7" t="s">
        <v>21</v>
      </c>
      <c r="L1938" t="s">
        <v>3145</v>
      </c>
      <c r="M1938" s="7" t="s">
        <v>22</v>
      </c>
      <c r="N1938" s="7" t="s">
        <v>23</v>
      </c>
      <c r="O1938" s="7" t="s">
        <v>27</v>
      </c>
      <c r="P1938" s="7" t="s">
        <v>5101</v>
      </c>
      <c r="Q1938" s="26">
        <v>35</v>
      </c>
      <c r="R1938" s="26">
        <v>2</v>
      </c>
      <c r="S1938" s="40">
        <v>1</v>
      </c>
      <c r="T1938" s="7"/>
      <c r="U1938" s="7" t="s">
        <v>2951</v>
      </c>
      <c r="V1938" s="7" t="str">
        <f>+IF(U1938="","",IF(U1938="FINES",CONCATENATE("R",IF(OR(B1938="16",B1938="21",B1938="22",B1938="23"),"16212223",IF(OR(B1938="15",B1938="17",B1938="24",B1938="25"),"15172425",B1938))),IF(U1938="CEBAS","UNICO",IF(VALUE(B1938)&lt;=11,"AMBA","INTERIOR"))))</f>
        <v>R02</v>
      </c>
      <c r="W1938" s="38" t="str">
        <f>+IF(U1938="","-",CONCATENATE(U1938,"_",V1938))</f>
        <v>FINES_R02</v>
      </c>
      <c r="X1938" s="42">
        <v>0.67300000000000004</v>
      </c>
    </row>
    <row r="1939" spans="1:24">
      <c r="A1939" s="21" t="s">
        <v>5100</v>
      </c>
      <c r="B1939" t="s">
        <v>356</v>
      </c>
      <c r="C1939" t="s">
        <v>353</v>
      </c>
      <c r="D1939" t="s">
        <v>355</v>
      </c>
      <c r="E1939" s="7" t="s">
        <v>198</v>
      </c>
      <c r="F1939" s="7" t="s">
        <v>198</v>
      </c>
      <c r="G1939" s="7" t="s">
        <v>198</v>
      </c>
      <c r="H1939" s="7" t="s">
        <v>20</v>
      </c>
      <c r="I1939" s="7" t="s">
        <v>5102</v>
      </c>
      <c r="J1939" s="7" t="s">
        <v>21</v>
      </c>
      <c r="L1939" t="s">
        <v>3147</v>
      </c>
      <c r="M1939" s="7" t="s">
        <v>22</v>
      </c>
      <c r="N1939" s="7" t="s">
        <v>23</v>
      </c>
      <c r="O1939" s="7" t="s">
        <v>27</v>
      </c>
      <c r="P1939" s="7" t="s">
        <v>5101</v>
      </c>
      <c r="Q1939" s="26">
        <v>16</v>
      </c>
      <c r="R1939" s="26">
        <v>1</v>
      </c>
      <c r="S1939" s="40">
        <v>1</v>
      </c>
      <c r="T1939" s="7"/>
      <c r="U1939" s="7" t="s">
        <v>2951</v>
      </c>
      <c r="V1939" s="7" t="str">
        <f>+IF(U1939="","",IF(U1939="FINES",CONCATENATE("R",IF(OR(B1939="16",B1939="21",B1939="22",B1939="23"),"16212223",IF(OR(B1939="15",B1939="17",B1939="24",B1939="25"),"15172425",B1939))),IF(U1939="CEBAS","UNICO",IF(VALUE(B1939)&lt;=11,"AMBA","INTERIOR"))))</f>
        <v>R02</v>
      </c>
      <c r="W1939" s="38" t="str">
        <f>+IF(U1939="","-",CONCATENATE(U1939,"_",V1939))</f>
        <v>FINES_R02</v>
      </c>
      <c r="X1939" s="42">
        <v>0.67700000000000005</v>
      </c>
    </row>
    <row r="1940" spans="1:24">
      <c r="A1940" s="21" t="s">
        <v>5100</v>
      </c>
      <c r="B1940" t="s">
        <v>356</v>
      </c>
      <c r="C1940" t="s">
        <v>1359</v>
      </c>
      <c r="D1940" t="s">
        <v>1360</v>
      </c>
      <c r="E1940" s="7" t="s">
        <v>198</v>
      </c>
      <c r="F1940" s="7" t="s">
        <v>198</v>
      </c>
      <c r="G1940" s="7" t="s">
        <v>198</v>
      </c>
      <c r="H1940" s="7" t="s">
        <v>20</v>
      </c>
      <c r="I1940" s="7" t="s">
        <v>5102</v>
      </c>
      <c r="J1940" s="7" t="s">
        <v>21</v>
      </c>
      <c r="L1940" t="s">
        <v>3231</v>
      </c>
      <c r="M1940" s="7" t="s">
        <v>22</v>
      </c>
      <c r="N1940" s="7" t="s">
        <v>23</v>
      </c>
      <c r="O1940" s="7" t="s">
        <v>27</v>
      </c>
      <c r="P1940" s="7" t="s">
        <v>5101</v>
      </c>
      <c r="Q1940" s="26">
        <v>21</v>
      </c>
      <c r="R1940" s="26">
        <v>1</v>
      </c>
      <c r="S1940" s="40">
        <v>1</v>
      </c>
      <c r="T1940" s="7"/>
      <c r="U1940" s="7" t="s">
        <v>2951</v>
      </c>
      <c r="V1940" s="7" t="str">
        <f>+IF(U1940="","",IF(U1940="FINES",CONCATENATE("R",IF(OR(B1940="16",B1940="21",B1940="22",B1940="23"),"16212223",IF(OR(B1940="15",B1940="17",B1940="24",B1940="25"),"15172425",B1940))),IF(U1940="CEBAS","UNICO",IF(VALUE(B1940)&lt;=11,"AMBA","INTERIOR"))))</f>
        <v>R02</v>
      </c>
      <c r="W1940" s="38" t="str">
        <f>+IF(U1940="","-",CONCATENATE(U1940,"_",V1940))</f>
        <v>FINES_R02</v>
      </c>
      <c r="X1940" s="42">
        <v>0.69</v>
      </c>
    </row>
    <row r="1941" spans="1:24">
      <c r="A1941" s="21" t="s">
        <v>5100</v>
      </c>
      <c r="B1941" t="s">
        <v>356</v>
      </c>
      <c r="C1941" t="s">
        <v>1359</v>
      </c>
      <c r="D1941" t="s">
        <v>1360</v>
      </c>
      <c r="E1941" s="7" t="s">
        <v>198</v>
      </c>
      <c r="F1941" s="7" t="s">
        <v>198</v>
      </c>
      <c r="G1941" s="7" t="s">
        <v>198</v>
      </c>
      <c r="H1941" s="7" t="s">
        <v>20</v>
      </c>
      <c r="I1941" s="7" t="s">
        <v>5102</v>
      </c>
      <c r="J1941" s="7" t="s">
        <v>21</v>
      </c>
      <c r="L1941" t="s">
        <v>3297</v>
      </c>
      <c r="M1941" s="7" t="s">
        <v>22</v>
      </c>
      <c r="N1941" s="7" t="s">
        <v>23</v>
      </c>
      <c r="O1941" s="7" t="s">
        <v>27</v>
      </c>
      <c r="P1941" s="7" t="s">
        <v>5101</v>
      </c>
      <c r="Q1941" s="26">
        <v>10</v>
      </c>
      <c r="R1941" s="26">
        <v>1</v>
      </c>
      <c r="S1941" s="40">
        <v>1</v>
      </c>
      <c r="T1941" s="7"/>
      <c r="U1941" s="7" t="s">
        <v>2951</v>
      </c>
      <c r="V1941" s="7" t="str">
        <f>+IF(U1941="","",IF(U1941="FINES",CONCATENATE("R",IF(OR(B1941="16",B1941="21",B1941="22",B1941="23"),"16212223",IF(OR(B1941="15",B1941="17",B1941="24",B1941="25"),"15172425",B1941))),IF(U1941="CEBAS","UNICO",IF(VALUE(B1941)&lt;=11,"AMBA","INTERIOR"))))</f>
        <v>R02</v>
      </c>
      <c r="W1941" s="38" t="str">
        <f>+IF(U1941="","-",CONCATENATE(U1941,"_",V1941))</f>
        <v>FINES_R02</v>
      </c>
      <c r="X1941" s="42">
        <v>0.69299999999999995</v>
      </c>
    </row>
    <row r="1942" spans="1:24">
      <c r="A1942" s="21" t="s">
        <v>5100</v>
      </c>
      <c r="B1942" t="s">
        <v>356</v>
      </c>
      <c r="C1942" t="s">
        <v>353</v>
      </c>
      <c r="D1942" t="s">
        <v>355</v>
      </c>
      <c r="E1942" s="7" t="s">
        <v>198</v>
      </c>
      <c r="F1942" s="7" t="s">
        <v>198</v>
      </c>
      <c r="G1942" s="7" t="s">
        <v>198</v>
      </c>
      <c r="H1942" s="7" t="s">
        <v>20</v>
      </c>
      <c r="I1942" s="7" t="s">
        <v>5102</v>
      </c>
      <c r="J1942" s="7" t="s">
        <v>21</v>
      </c>
      <c r="L1942" t="s">
        <v>3142</v>
      </c>
      <c r="M1942" s="7" t="s">
        <v>22</v>
      </c>
      <c r="N1942" s="7" t="s">
        <v>23</v>
      </c>
      <c r="O1942" s="7" t="s">
        <v>27</v>
      </c>
      <c r="P1942" s="7" t="s">
        <v>5101</v>
      </c>
      <c r="Q1942" s="26">
        <v>16</v>
      </c>
      <c r="R1942" s="26">
        <v>1</v>
      </c>
      <c r="S1942" s="40">
        <v>1</v>
      </c>
      <c r="T1942" s="7"/>
      <c r="U1942" s="7" t="s">
        <v>2951</v>
      </c>
      <c r="V1942" s="7" t="str">
        <f>+IF(U1942="","",IF(U1942="FINES",CONCATENATE("R",IF(OR(B1942="16",B1942="21",B1942="22",B1942="23"),"16212223",IF(OR(B1942="15",B1942="17",B1942="24",B1942="25"),"15172425",B1942))),IF(U1942="CEBAS","UNICO",IF(VALUE(B1942)&lt;=11,"AMBA","INTERIOR"))))</f>
        <v>R02</v>
      </c>
      <c r="W1942" s="38" t="str">
        <f>+IF(U1942="","-",CONCATENATE(U1942,"_",V1942))</f>
        <v>FINES_R02</v>
      </c>
      <c r="X1942" s="42">
        <v>0.69399999999999995</v>
      </c>
    </row>
    <row r="1943" spans="1:24">
      <c r="A1943" s="21" t="s">
        <v>5100</v>
      </c>
      <c r="B1943" t="s">
        <v>356</v>
      </c>
      <c r="C1943" t="s">
        <v>1359</v>
      </c>
      <c r="D1943" t="s">
        <v>1360</v>
      </c>
      <c r="E1943" s="7" t="s">
        <v>198</v>
      </c>
      <c r="F1943" s="7" t="s">
        <v>198</v>
      </c>
      <c r="G1943" s="7" t="s">
        <v>198</v>
      </c>
      <c r="H1943" s="7" t="s">
        <v>20</v>
      </c>
      <c r="I1943" s="7" t="s">
        <v>5102</v>
      </c>
      <c r="J1943" s="7" t="s">
        <v>21</v>
      </c>
      <c r="L1943" t="s">
        <v>3246</v>
      </c>
      <c r="M1943" s="7" t="s">
        <v>22</v>
      </c>
      <c r="N1943" s="7" t="s">
        <v>23</v>
      </c>
      <c r="O1943" s="7" t="s">
        <v>27</v>
      </c>
      <c r="P1943" s="7" t="s">
        <v>5101</v>
      </c>
      <c r="Q1943" s="26">
        <v>8</v>
      </c>
      <c r="R1943" s="26">
        <v>1</v>
      </c>
      <c r="S1943" s="40">
        <v>1</v>
      </c>
      <c r="T1943" s="7"/>
      <c r="U1943" s="7" t="s">
        <v>2951</v>
      </c>
      <c r="V1943" s="7" t="str">
        <f>+IF(U1943="","",IF(U1943="FINES",CONCATENATE("R",IF(OR(B1943="16",B1943="21",B1943="22",B1943="23"),"16212223",IF(OR(B1943="15",B1943="17",B1943="24",B1943="25"),"15172425",B1943))),IF(U1943="CEBAS","UNICO",IF(VALUE(B1943)&lt;=11,"AMBA","INTERIOR"))))</f>
        <v>R02</v>
      </c>
      <c r="W1943" s="38" t="str">
        <f>+IF(U1943="","-",CONCATENATE(U1943,"_",V1943))</f>
        <v>FINES_R02</v>
      </c>
      <c r="X1943" s="42">
        <v>0.70199999999999996</v>
      </c>
    </row>
    <row r="1944" spans="1:24">
      <c r="A1944" s="21" t="s">
        <v>5100</v>
      </c>
      <c r="B1944" t="s">
        <v>356</v>
      </c>
      <c r="C1944" t="s">
        <v>1359</v>
      </c>
      <c r="D1944" t="s">
        <v>1360</v>
      </c>
      <c r="E1944" s="7" t="s">
        <v>198</v>
      </c>
      <c r="F1944" s="7" t="s">
        <v>198</v>
      </c>
      <c r="G1944" s="7" t="s">
        <v>198</v>
      </c>
      <c r="H1944" s="7" t="s">
        <v>20</v>
      </c>
      <c r="I1944" s="7" t="s">
        <v>5102</v>
      </c>
      <c r="J1944" s="7" t="s">
        <v>21</v>
      </c>
      <c r="L1944" t="s">
        <v>3303</v>
      </c>
      <c r="M1944" s="7" t="s">
        <v>22</v>
      </c>
      <c r="N1944" s="7" t="s">
        <v>23</v>
      </c>
      <c r="O1944" s="7" t="s">
        <v>27</v>
      </c>
      <c r="P1944" s="7" t="s">
        <v>5101</v>
      </c>
      <c r="Q1944" s="26">
        <v>22</v>
      </c>
      <c r="R1944" s="26">
        <v>2</v>
      </c>
      <c r="S1944" s="40">
        <v>1</v>
      </c>
      <c r="T1944" s="7"/>
      <c r="U1944" s="7" t="s">
        <v>2951</v>
      </c>
      <c r="V1944" s="7" t="str">
        <f>+IF(U1944="","",IF(U1944="FINES",CONCATENATE("R",IF(OR(B1944="16",B1944="21",B1944="22",B1944="23"),"16212223",IF(OR(B1944="15",B1944="17",B1944="24",B1944="25"),"15172425",B1944))),IF(U1944="CEBAS","UNICO",IF(VALUE(B1944)&lt;=11,"AMBA","INTERIOR"))))</f>
        <v>R02</v>
      </c>
      <c r="W1944" s="38" t="str">
        <f>+IF(U1944="","-",CONCATENATE(U1944,"_",V1944))</f>
        <v>FINES_R02</v>
      </c>
      <c r="X1944" s="42">
        <v>0.70899999999999996</v>
      </c>
    </row>
    <row r="1945" spans="1:24">
      <c r="A1945" s="21" t="s">
        <v>5100</v>
      </c>
      <c r="B1945" t="s">
        <v>356</v>
      </c>
      <c r="C1945" t="s">
        <v>1359</v>
      </c>
      <c r="D1945" t="s">
        <v>1360</v>
      </c>
      <c r="E1945" s="7" t="s">
        <v>198</v>
      </c>
      <c r="F1945" s="7" t="s">
        <v>198</v>
      </c>
      <c r="G1945" s="7" t="s">
        <v>198</v>
      </c>
      <c r="H1945" s="7" t="s">
        <v>20</v>
      </c>
      <c r="I1945" s="7" t="s">
        <v>5102</v>
      </c>
      <c r="J1945" s="7" t="s">
        <v>21</v>
      </c>
      <c r="L1945" t="s">
        <v>3247</v>
      </c>
      <c r="M1945" s="7" t="s">
        <v>22</v>
      </c>
      <c r="N1945" s="7" t="s">
        <v>23</v>
      </c>
      <c r="O1945" s="7" t="s">
        <v>27</v>
      </c>
      <c r="P1945" s="7" t="s">
        <v>5101</v>
      </c>
      <c r="Q1945" s="26">
        <v>9</v>
      </c>
      <c r="R1945" s="26">
        <v>1</v>
      </c>
      <c r="S1945" s="40">
        <v>1</v>
      </c>
      <c r="T1945" s="7"/>
      <c r="U1945" s="7" t="s">
        <v>2951</v>
      </c>
      <c r="V1945" s="7" t="str">
        <f>+IF(U1945="","",IF(U1945="FINES",CONCATENATE("R",IF(OR(B1945="16",B1945="21",B1945="22",B1945="23"),"16212223",IF(OR(B1945="15",B1945="17",B1945="24",B1945="25"),"15172425",B1945))),IF(U1945="CEBAS","UNICO",IF(VALUE(B1945)&lt;=11,"AMBA","INTERIOR"))))</f>
        <v>R02</v>
      </c>
      <c r="W1945" s="38" t="str">
        <f>+IF(U1945="","-",CONCATENATE(U1945,"_",V1945))</f>
        <v>FINES_R02</v>
      </c>
      <c r="X1945" s="42">
        <v>0.72499999999999998</v>
      </c>
    </row>
    <row r="1946" spans="1:24">
      <c r="A1946" s="21" t="s">
        <v>5100</v>
      </c>
      <c r="B1946" t="s">
        <v>356</v>
      </c>
      <c r="C1946" t="s">
        <v>805</v>
      </c>
      <c r="D1946" t="s">
        <v>2500</v>
      </c>
      <c r="E1946" s="7" t="s">
        <v>198</v>
      </c>
      <c r="F1946" s="7" t="s">
        <v>198</v>
      </c>
      <c r="G1946" s="7" t="s">
        <v>198</v>
      </c>
      <c r="H1946" s="7" t="s">
        <v>20</v>
      </c>
      <c r="I1946" s="7" t="s">
        <v>5102</v>
      </c>
      <c r="J1946" s="7" t="s">
        <v>21</v>
      </c>
      <c r="L1946" t="s">
        <v>3217</v>
      </c>
      <c r="M1946" s="7" t="s">
        <v>22</v>
      </c>
      <c r="N1946" s="7" t="s">
        <v>23</v>
      </c>
      <c r="O1946" s="7" t="s">
        <v>27</v>
      </c>
      <c r="P1946" s="7" t="s">
        <v>5101</v>
      </c>
      <c r="Q1946" s="26">
        <v>17</v>
      </c>
      <c r="R1946" s="26">
        <v>1</v>
      </c>
      <c r="S1946" s="40">
        <v>1</v>
      </c>
      <c r="T1946" s="7"/>
      <c r="U1946" s="7" t="s">
        <v>2951</v>
      </c>
      <c r="V1946" s="7" t="str">
        <f>+IF(U1946="","",IF(U1946="FINES",CONCATENATE("R",IF(OR(B1946="16",B1946="21",B1946="22",B1946="23"),"16212223",IF(OR(B1946="15",B1946="17",B1946="24",B1946="25"),"15172425",B1946))),IF(U1946="CEBAS","UNICO",IF(VALUE(B1946)&lt;=11,"AMBA","INTERIOR"))))</f>
        <v>R02</v>
      </c>
      <c r="W1946" s="38" t="str">
        <f>+IF(U1946="","-",CONCATENATE(U1946,"_",V1946))</f>
        <v>FINES_R02</v>
      </c>
      <c r="X1946" s="42">
        <v>0.72899999999999998</v>
      </c>
    </row>
    <row r="1947" spans="1:24">
      <c r="A1947" s="21" t="s">
        <v>5100</v>
      </c>
      <c r="B1947" t="s">
        <v>356</v>
      </c>
      <c r="C1947" t="s">
        <v>805</v>
      </c>
      <c r="D1947" t="s">
        <v>2500</v>
      </c>
      <c r="E1947" s="7" t="s">
        <v>198</v>
      </c>
      <c r="F1947" s="7" t="s">
        <v>198</v>
      </c>
      <c r="G1947" s="7" t="s">
        <v>198</v>
      </c>
      <c r="H1947" s="7" t="s">
        <v>20</v>
      </c>
      <c r="I1947" s="7" t="s">
        <v>5102</v>
      </c>
      <c r="J1947" s="7" t="s">
        <v>21</v>
      </c>
      <c r="L1947" t="s">
        <v>3206</v>
      </c>
      <c r="M1947" s="7" t="s">
        <v>22</v>
      </c>
      <c r="N1947" s="7" t="s">
        <v>23</v>
      </c>
      <c r="O1947" s="7" t="s">
        <v>27</v>
      </c>
      <c r="P1947" s="7" t="s">
        <v>5101</v>
      </c>
      <c r="Q1947" s="26">
        <v>51</v>
      </c>
      <c r="R1947" s="26">
        <v>3</v>
      </c>
      <c r="S1947" s="40">
        <v>1</v>
      </c>
      <c r="T1947" s="7"/>
      <c r="U1947" s="7" t="s">
        <v>2951</v>
      </c>
      <c r="V1947" s="7" t="str">
        <f>+IF(U1947="","",IF(U1947="FINES",CONCATENATE("R",IF(OR(B1947="16",B1947="21",B1947="22",B1947="23"),"16212223",IF(OR(B1947="15",B1947="17",B1947="24",B1947="25"),"15172425",B1947))),IF(U1947="CEBAS","UNICO",IF(VALUE(B1947)&lt;=11,"AMBA","INTERIOR"))))</f>
        <v>R02</v>
      </c>
      <c r="W1947" s="38" t="str">
        <f>+IF(U1947="","-",CONCATENATE(U1947,"_",V1947))</f>
        <v>FINES_R02</v>
      </c>
      <c r="X1947" s="42">
        <v>0.73199999999999998</v>
      </c>
    </row>
    <row r="1948" spans="1:24">
      <c r="A1948" s="21" t="s">
        <v>5100</v>
      </c>
      <c r="B1948" t="s">
        <v>356</v>
      </c>
      <c r="C1948" t="s">
        <v>805</v>
      </c>
      <c r="D1948" t="s">
        <v>2500</v>
      </c>
      <c r="E1948" s="7" t="s">
        <v>198</v>
      </c>
      <c r="F1948" s="7" t="s">
        <v>198</v>
      </c>
      <c r="G1948" s="7" t="s">
        <v>198</v>
      </c>
      <c r="H1948" s="7" t="s">
        <v>20</v>
      </c>
      <c r="I1948" s="7" t="s">
        <v>5102</v>
      </c>
      <c r="J1948" s="7" t="s">
        <v>21</v>
      </c>
      <c r="L1948" t="s">
        <v>3195</v>
      </c>
      <c r="M1948" s="7" t="s">
        <v>22</v>
      </c>
      <c r="N1948" s="7" t="s">
        <v>23</v>
      </c>
      <c r="O1948" s="7" t="s">
        <v>27</v>
      </c>
      <c r="P1948" s="7" t="s">
        <v>5101</v>
      </c>
      <c r="Q1948" s="26">
        <v>18</v>
      </c>
      <c r="R1948" s="26">
        <v>1</v>
      </c>
      <c r="S1948" s="40">
        <v>1</v>
      </c>
      <c r="T1948" s="7"/>
      <c r="U1948" s="7" t="s">
        <v>2951</v>
      </c>
      <c r="V1948" s="7" t="str">
        <f>+IF(U1948="","",IF(U1948="FINES",CONCATENATE("R",IF(OR(B1948="16",B1948="21",B1948="22",B1948="23"),"16212223",IF(OR(B1948="15",B1948="17",B1948="24",B1948="25"),"15172425",B1948))),IF(U1948="CEBAS","UNICO",IF(VALUE(B1948)&lt;=11,"AMBA","INTERIOR"))))</f>
        <v>R02</v>
      </c>
      <c r="W1948" s="38" t="str">
        <f>+IF(U1948="","-",CONCATENATE(U1948,"_",V1948))</f>
        <v>FINES_R02</v>
      </c>
      <c r="X1948" s="42">
        <v>0.73599999999999999</v>
      </c>
    </row>
    <row r="1949" spans="1:24">
      <c r="A1949" s="21" t="s">
        <v>5100</v>
      </c>
      <c r="B1949" t="s">
        <v>356</v>
      </c>
      <c r="C1949" t="s">
        <v>1359</v>
      </c>
      <c r="D1949" t="s">
        <v>1360</v>
      </c>
      <c r="E1949" s="7" t="s">
        <v>198</v>
      </c>
      <c r="F1949" s="7" t="s">
        <v>198</v>
      </c>
      <c r="G1949" s="7" t="s">
        <v>198</v>
      </c>
      <c r="H1949" s="7" t="s">
        <v>20</v>
      </c>
      <c r="I1949" s="7" t="s">
        <v>5102</v>
      </c>
      <c r="J1949" s="7" t="s">
        <v>21</v>
      </c>
      <c r="L1949" t="s">
        <v>3239</v>
      </c>
      <c r="M1949" s="7" t="s">
        <v>22</v>
      </c>
      <c r="N1949" s="7" t="s">
        <v>23</v>
      </c>
      <c r="O1949" s="7" t="s">
        <v>27</v>
      </c>
      <c r="P1949" s="7" t="s">
        <v>5101</v>
      </c>
      <c r="Q1949" s="26">
        <v>12</v>
      </c>
      <c r="R1949" s="26">
        <v>1</v>
      </c>
      <c r="S1949" s="40">
        <v>1</v>
      </c>
      <c r="T1949" s="7"/>
      <c r="U1949" s="7" t="s">
        <v>2951</v>
      </c>
      <c r="V1949" s="7" t="str">
        <f>+IF(U1949="","",IF(U1949="FINES",CONCATENATE("R",IF(OR(B1949="16",B1949="21",B1949="22",B1949="23"),"16212223",IF(OR(B1949="15",B1949="17",B1949="24",B1949="25"),"15172425",B1949))),IF(U1949="CEBAS","UNICO",IF(VALUE(B1949)&lt;=11,"AMBA","INTERIOR"))))</f>
        <v>R02</v>
      </c>
      <c r="W1949" s="38" t="str">
        <f>+IF(U1949="","-",CONCATENATE(U1949,"_",V1949))</f>
        <v>FINES_R02</v>
      </c>
      <c r="X1949" s="42">
        <v>0.74099999999999999</v>
      </c>
    </row>
    <row r="1950" spans="1:24">
      <c r="A1950" s="21" t="s">
        <v>5100</v>
      </c>
      <c r="B1950" t="s">
        <v>356</v>
      </c>
      <c r="C1950" t="s">
        <v>1359</v>
      </c>
      <c r="D1950" t="s">
        <v>1360</v>
      </c>
      <c r="E1950" s="7" t="s">
        <v>198</v>
      </c>
      <c r="F1950" s="7" t="s">
        <v>198</v>
      </c>
      <c r="G1950" s="7" t="s">
        <v>198</v>
      </c>
      <c r="H1950" s="7" t="s">
        <v>20</v>
      </c>
      <c r="I1950" s="7" t="s">
        <v>5102</v>
      </c>
      <c r="J1950" s="7" t="s">
        <v>21</v>
      </c>
      <c r="L1950" t="s">
        <v>3242</v>
      </c>
      <c r="M1950" s="7" t="s">
        <v>22</v>
      </c>
      <c r="N1950" s="7" t="s">
        <v>23</v>
      </c>
      <c r="O1950" s="7" t="s">
        <v>27</v>
      </c>
      <c r="P1950" s="7" t="s">
        <v>5101</v>
      </c>
      <c r="Q1950" s="26">
        <v>8</v>
      </c>
      <c r="R1950" s="26">
        <v>1</v>
      </c>
      <c r="S1950" s="40">
        <v>1</v>
      </c>
      <c r="T1950" s="7"/>
      <c r="U1950" s="7" t="s">
        <v>2951</v>
      </c>
      <c r="V1950" s="7" t="str">
        <f>+IF(U1950="","",IF(U1950="FINES",CONCATENATE("R",IF(OR(B1950="16",B1950="21",B1950="22",B1950="23"),"16212223",IF(OR(B1950="15",B1950="17",B1950="24",B1950="25"),"15172425",B1950))),IF(U1950="CEBAS","UNICO",IF(VALUE(B1950)&lt;=11,"AMBA","INTERIOR"))))</f>
        <v>R02</v>
      </c>
      <c r="W1950" s="38" t="str">
        <f>+IF(U1950="","-",CONCATENATE(U1950,"_",V1950))</f>
        <v>FINES_R02</v>
      </c>
      <c r="X1950" s="42">
        <v>0.75900000000000001</v>
      </c>
    </row>
    <row r="1951" spans="1:24">
      <c r="A1951" s="21" t="s">
        <v>5100</v>
      </c>
      <c r="B1951" t="s">
        <v>356</v>
      </c>
      <c r="C1951" t="s">
        <v>353</v>
      </c>
      <c r="D1951" t="s">
        <v>355</v>
      </c>
      <c r="E1951" s="7" t="s">
        <v>198</v>
      </c>
      <c r="F1951" s="7" t="s">
        <v>198</v>
      </c>
      <c r="G1951" s="7" t="s">
        <v>198</v>
      </c>
      <c r="H1951" s="7" t="s">
        <v>20</v>
      </c>
      <c r="I1951" s="7" t="s">
        <v>5102</v>
      </c>
      <c r="J1951" s="7" t="s">
        <v>21</v>
      </c>
      <c r="L1951" t="s">
        <v>3152</v>
      </c>
      <c r="M1951" s="7" t="s">
        <v>22</v>
      </c>
      <c r="N1951" s="7" t="s">
        <v>23</v>
      </c>
      <c r="O1951" s="7" t="s">
        <v>27</v>
      </c>
      <c r="P1951" s="7" t="s">
        <v>5101</v>
      </c>
      <c r="Q1951" s="26">
        <v>17</v>
      </c>
      <c r="R1951" s="26">
        <v>1</v>
      </c>
      <c r="S1951" s="40">
        <v>1</v>
      </c>
      <c r="T1951" s="7"/>
      <c r="U1951" s="7" t="s">
        <v>2951</v>
      </c>
      <c r="V1951" s="7" t="str">
        <f>+IF(U1951="","",IF(U1951="FINES",CONCATENATE("R",IF(OR(B1951="16",B1951="21",B1951="22",B1951="23"),"16212223",IF(OR(B1951="15",B1951="17",B1951="24",B1951="25"),"15172425",B1951))),IF(U1951="CEBAS","UNICO",IF(VALUE(B1951)&lt;=11,"AMBA","INTERIOR"))))</f>
        <v>R02</v>
      </c>
      <c r="W1951" s="38" t="str">
        <f>+IF(U1951="","-",CONCATENATE(U1951,"_",V1951))</f>
        <v>FINES_R02</v>
      </c>
      <c r="X1951" s="42">
        <v>0.76</v>
      </c>
    </row>
    <row r="1952" spans="1:24">
      <c r="A1952" s="21" t="s">
        <v>5100</v>
      </c>
      <c r="B1952" t="s">
        <v>356</v>
      </c>
      <c r="C1952" t="s">
        <v>353</v>
      </c>
      <c r="D1952" t="s">
        <v>355</v>
      </c>
      <c r="E1952" s="7" t="s">
        <v>198</v>
      </c>
      <c r="F1952" s="7" t="s">
        <v>198</v>
      </c>
      <c r="G1952" s="7" t="s">
        <v>198</v>
      </c>
      <c r="H1952" s="7" t="s">
        <v>20</v>
      </c>
      <c r="I1952" s="7" t="s">
        <v>5102</v>
      </c>
      <c r="J1952" s="7" t="s">
        <v>21</v>
      </c>
      <c r="L1952" t="s">
        <v>3131</v>
      </c>
      <c r="M1952" s="7" t="s">
        <v>22</v>
      </c>
      <c r="N1952" s="7" t="s">
        <v>23</v>
      </c>
      <c r="O1952" s="7" t="s">
        <v>27</v>
      </c>
      <c r="P1952" s="7" t="s">
        <v>5101</v>
      </c>
      <c r="Q1952" s="26">
        <v>68</v>
      </c>
      <c r="R1952" s="26">
        <v>3</v>
      </c>
      <c r="S1952" s="40">
        <v>1</v>
      </c>
      <c r="T1952" s="7"/>
      <c r="U1952" s="7" t="s">
        <v>2951</v>
      </c>
      <c r="V1952" s="7" t="str">
        <f>+IF(U1952="","",IF(U1952="FINES",CONCATENATE("R",IF(OR(B1952="16",B1952="21",B1952="22",B1952="23"),"16212223",IF(OR(B1952="15",B1952="17",B1952="24",B1952="25"),"15172425",B1952))),IF(U1952="CEBAS","UNICO",IF(VALUE(B1952)&lt;=11,"AMBA","INTERIOR"))))</f>
        <v>R02</v>
      </c>
      <c r="W1952" s="38" t="str">
        <f>+IF(U1952="","-",CONCATENATE(U1952,"_",V1952))</f>
        <v>FINES_R02</v>
      </c>
      <c r="X1952" s="42">
        <v>0.76</v>
      </c>
    </row>
    <row r="1953" spans="1:24">
      <c r="A1953" s="21" t="s">
        <v>5100</v>
      </c>
      <c r="B1953" t="s">
        <v>356</v>
      </c>
      <c r="C1953" t="s">
        <v>353</v>
      </c>
      <c r="D1953" t="s">
        <v>355</v>
      </c>
      <c r="E1953" s="7" t="s">
        <v>198</v>
      </c>
      <c r="F1953" s="7" t="s">
        <v>198</v>
      </c>
      <c r="G1953" s="7" t="s">
        <v>198</v>
      </c>
      <c r="H1953" s="7" t="s">
        <v>20</v>
      </c>
      <c r="I1953" s="7" t="s">
        <v>5102</v>
      </c>
      <c r="J1953" s="7" t="s">
        <v>21</v>
      </c>
      <c r="L1953" t="s">
        <v>3192</v>
      </c>
      <c r="M1953" s="7" t="s">
        <v>22</v>
      </c>
      <c r="N1953" s="7" t="s">
        <v>23</v>
      </c>
      <c r="O1953" s="7" t="s">
        <v>27</v>
      </c>
      <c r="P1953" s="7" t="s">
        <v>5101</v>
      </c>
      <c r="Q1953" s="26">
        <v>32</v>
      </c>
      <c r="R1953" s="26">
        <v>1</v>
      </c>
      <c r="S1953" s="40">
        <v>1</v>
      </c>
      <c r="T1953" s="7"/>
      <c r="U1953" s="7" t="s">
        <v>2951</v>
      </c>
      <c r="V1953" s="7" t="str">
        <f>+IF(U1953="","",IF(U1953="FINES",CONCATENATE("R",IF(OR(B1953="16",B1953="21",B1953="22",B1953="23"),"16212223",IF(OR(B1953="15",B1953="17",B1953="24",B1953="25"),"15172425",B1953))),IF(U1953="CEBAS","UNICO",IF(VALUE(B1953)&lt;=11,"AMBA","INTERIOR"))))</f>
        <v>R02</v>
      </c>
      <c r="W1953" s="38" t="str">
        <f>+IF(U1953="","-",CONCATENATE(U1953,"_",V1953))</f>
        <v>FINES_R02</v>
      </c>
      <c r="X1953" s="42">
        <v>0.76300000000000001</v>
      </c>
    </row>
    <row r="1954" spans="1:24">
      <c r="A1954" s="21" t="s">
        <v>5100</v>
      </c>
      <c r="B1954" t="s">
        <v>356</v>
      </c>
      <c r="C1954" t="s">
        <v>353</v>
      </c>
      <c r="D1954" t="s">
        <v>355</v>
      </c>
      <c r="E1954" s="7" t="s">
        <v>198</v>
      </c>
      <c r="F1954" s="7" t="s">
        <v>198</v>
      </c>
      <c r="G1954" s="7" t="s">
        <v>198</v>
      </c>
      <c r="H1954" s="7" t="s">
        <v>20</v>
      </c>
      <c r="I1954" s="7" t="s">
        <v>5102</v>
      </c>
      <c r="J1954" s="7" t="s">
        <v>21</v>
      </c>
      <c r="L1954" t="s">
        <v>3129</v>
      </c>
      <c r="M1954" s="7" t="s">
        <v>22</v>
      </c>
      <c r="N1954" s="7" t="s">
        <v>23</v>
      </c>
      <c r="O1954" s="7" t="s">
        <v>27</v>
      </c>
      <c r="P1954" s="7" t="s">
        <v>5101</v>
      </c>
      <c r="Q1954" s="26">
        <v>0</v>
      </c>
      <c r="R1954" s="26">
        <v>1</v>
      </c>
      <c r="S1954" s="40">
        <v>1</v>
      </c>
      <c r="T1954" s="7"/>
      <c r="U1954" s="7" t="s">
        <v>2951</v>
      </c>
      <c r="V1954" s="7" t="str">
        <f>+IF(U1954="","",IF(U1954="FINES",CONCATENATE("R",IF(OR(B1954="16",B1954="21",B1954="22",B1954="23"),"16212223",IF(OR(B1954="15",B1954="17",B1954="24",B1954="25"),"15172425",B1954))),IF(U1954="CEBAS","UNICO",IF(VALUE(B1954)&lt;=11,"AMBA","INTERIOR"))))</f>
        <v>R02</v>
      </c>
      <c r="W1954" s="38" t="str">
        <f>+IF(U1954="","-",CONCATENATE(U1954,"_",V1954))</f>
        <v>FINES_R02</v>
      </c>
      <c r="X1954" s="42">
        <v>0.76400000000000001</v>
      </c>
    </row>
    <row r="1955" spans="1:24">
      <c r="A1955" s="21" t="s">
        <v>5100</v>
      </c>
      <c r="B1955" t="s">
        <v>356</v>
      </c>
      <c r="C1955" t="s">
        <v>1359</v>
      </c>
      <c r="D1955" t="s">
        <v>1360</v>
      </c>
      <c r="E1955" s="7" t="s">
        <v>198</v>
      </c>
      <c r="F1955" s="7" t="s">
        <v>198</v>
      </c>
      <c r="G1955" s="7" t="s">
        <v>198</v>
      </c>
      <c r="H1955" s="7" t="s">
        <v>20</v>
      </c>
      <c r="I1955" s="7" t="s">
        <v>5102</v>
      </c>
      <c r="J1955" s="7" t="s">
        <v>21</v>
      </c>
      <c r="L1955" t="s">
        <v>3290</v>
      </c>
      <c r="M1955" s="7" t="s">
        <v>22</v>
      </c>
      <c r="N1955" s="7" t="s">
        <v>23</v>
      </c>
      <c r="O1955" s="7" t="s">
        <v>27</v>
      </c>
      <c r="P1955" s="7" t="s">
        <v>5101</v>
      </c>
      <c r="Q1955" s="26">
        <v>16</v>
      </c>
      <c r="R1955" s="26">
        <v>1</v>
      </c>
      <c r="S1955" s="40">
        <v>1</v>
      </c>
      <c r="T1955" s="7"/>
      <c r="U1955" s="7" t="s">
        <v>2951</v>
      </c>
      <c r="V1955" s="7" t="str">
        <f>+IF(U1955="","",IF(U1955="FINES",CONCATENATE("R",IF(OR(B1955="16",B1955="21",B1955="22",B1955="23"),"16212223",IF(OR(B1955="15",B1955="17",B1955="24",B1955="25"),"15172425",B1955))),IF(U1955="CEBAS","UNICO",IF(VALUE(B1955)&lt;=11,"AMBA","INTERIOR"))))</f>
        <v>R02</v>
      </c>
      <c r="W1955" s="38" t="str">
        <f>+IF(U1955="","-",CONCATENATE(U1955,"_",V1955))</f>
        <v>FINES_R02</v>
      </c>
      <c r="X1955" s="42">
        <v>0.76600000000000001</v>
      </c>
    </row>
    <row r="1956" spans="1:24">
      <c r="A1956" s="21" t="s">
        <v>5100</v>
      </c>
      <c r="B1956" t="s">
        <v>356</v>
      </c>
      <c r="C1956" t="s">
        <v>353</v>
      </c>
      <c r="D1956" t="s">
        <v>355</v>
      </c>
      <c r="E1956" s="7" t="s">
        <v>198</v>
      </c>
      <c r="F1956" s="7" t="s">
        <v>198</v>
      </c>
      <c r="G1956" s="7" t="s">
        <v>198</v>
      </c>
      <c r="H1956" s="7" t="s">
        <v>20</v>
      </c>
      <c r="I1956" s="7" t="s">
        <v>5102</v>
      </c>
      <c r="J1956" s="7" t="s">
        <v>21</v>
      </c>
      <c r="L1956" t="s">
        <v>3190</v>
      </c>
      <c r="M1956" s="7" t="s">
        <v>22</v>
      </c>
      <c r="N1956" s="7" t="s">
        <v>23</v>
      </c>
      <c r="O1956" s="7" t="s">
        <v>27</v>
      </c>
      <c r="P1956" s="7" t="s">
        <v>5101</v>
      </c>
      <c r="Q1956" s="26">
        <v>24</v>
      </c>
      <c r="R1956" s="26">
        <v>1</v>
      </c>
      <c r="S1956" s="40">
        <v>1</v>
      </c>
      <c r="T1956" s="7"/>
      <c r="U1956" s="7" t="s">
        <v>2951</v>
      </c>
      <c r="V1956" s="7" t="str">
        <f>+IF(U1956="","",IF(U1956="FINES",CONCATENATE("R",IF(OR(B1956="16",B1956="21",B1956="22",B1956="23"),"16212223",IF(OR(B1956="15",B1956="17",B1956="24",B1956="25"),"15172425",B1956))),IF(U1956="CEBAS","UNICO",IF(VALUE(B1956)&lt;=11,"AMBA","INTERIOR"))))</f>
        <v>R02</v>
      </c>
      <c r="W1956" s="38" t="str">
        <f>+IF(U1956="","-",CONCATENATE(U1956,"_",V1956))</f>
        <v>FINES_R02</v>
      </c>
      <c r="X1956" s="42">
        <v>0.76700000000000002</v>
      </c>
    </row>
    <row r="1957" spans="1:24">
      <c r="A1957" s="21" t="s">
        <v>5100</v>
      </c>
      <c r="B1957" t="s">
        <v>356</v>
      </c>
      <c r="C1957" t="s">
        <v>1359</v>
      </c>
      <c r="D1957" t="s">
        <v>1360</v>
      </c>
      <c r="E1957" s="7" t="s">
        <v>198</v>
      </c>
      <c r="F1957" s="7" t="s">
        <v>198</v>
      </c>
      <c r="G1957" s="7" t="s">
        <v>198</v>
      </c>
      <c r="H1957" s="7" t="s">
        <v>20</v>
      </c>
      <c r="I1957" s="7" t="s">
        <v>5102</v>
      </c>
      <c r="J1957" s="7" t="s">
        <v>21</v>
      </c>
      <c r="L1957" t="s">
        <v>3304</v>
      </c>
      <c r="M1957" s="7" t="s">
        <v>22</v>
      </c>
      <c r="N1957" s="7" t="s">
        <v>23</v>
      </c>
      <c r="O1957" s="7" t="s">
        <v>27</v>
      </c>
      <c r="P1957" s="7" t="s">
        <v>5101</v>
      </c>
      <c r="Q1957" s="26">
        <v>126</v>
      </c>
      <c r="R1957" s="26">
        <v>7</v>
      </c>
      <c r="S1957" s="40">
        <v>1</v>
      </c>
      <c r="T1957" s="7"/>
      <c r="U1957" s="7" t="s">
        <v>2951</v>
      </c>
      <c r="V1957" s="7" t="str">
        <f>+IF(U1957="","",IF(U1957="FINES",CONCATENATE("R",IF(OR(B1957="16",B1957="21",B1957="22",B1957="23"),"16212223",IF(OR(B1957="15",B1957="17",B1957="24",B1957="25"),"15172425",B1957))),IF(U1957="CEBAS","UNICO",IF(VALUE(B1957)&lt;=11,"AMBA","INTERIOR"))))</f>
        <v>R02</v>
      </c>
      <c r="W1957" s="38" t="str">
        <f>+IF(U1957="","-",CONCATENATE(U1957,"_",V1957))</f>
        <v>FINES_R02</v>
      </c>
      <c r="X1957" s="42">
        <v>0.77200000000000002</v>
      </c>
    </row>
    <row r="1958" spans="1:24">
      <c r="A1958" s="21" t="s">
        <v>5100</v>
      </c>
      <c r="B1958" t="s">
        <v>356</v>
      </c>
      <c r="C1958" t="s">
        <v>353</v>
      </c>
      <c r="D1958" t="s">
        <v>355</v>
      </c>
      <c r="E1958" s="7" t="s">
        <v>198</v>
      </c>
      <c r="F1958" s="7" t="s">
        <v>198</v>
      </c>
      <c r="G1958" s="7" t="s">
        <v>198</v>
      </c>
      <c r="H1958" s="7" t="s">
        <v>20</v>
      </c>
      <c r="I1958" s="7" t="s">
        <v>5102</v>
      </c>
      <c r="J1958" s="7" t="s">
        <v>21</v>
      </c>
      <c r="L1958" t="s">
        <v>3162</v>
      </c>
      <c r="M1958" s="7" t="s">
        <v>22</v>
      </c>
      <c r="N1958" s="7" t="s">
        <v>23</v>
      </c>
      <c r="O1958" s="7" t="s">
        <v>27</v>
      </c>
      <c r="P1958" s="7" t="s">
        <v>5101</v>
      </c>
      <c r="Q1958" s="26">
        <v>17</v>
      </c>
      <c r="R1958" s="26">
        <v>1</v>
      </c>
      <c r="S1958" s="40">
        <v>1</v>
      </c>
      <c r="T1958" s="7"/>
      <c r="U1958" s="7" t="s">
        <v>2951</v>
      </c>
      <c r="V1958" s="7" t="str">
        <f>+IF(U1958="","",IF(U1958="FINES",CONCATENATE("R",IF(OR(B1958="16",B1958="21",B1958="22",B1958="23"),"16212223",IF(OR(B1958="15",B1958="17",B1958="24",B1958="25"),"15172425",B1958))),IF(U1958="CEBAS","UNICO",IF(VALUE(B1958)&lt;=11,"AMBA","INTERIOR"))))</f>
        <v>R02</v>
      </c>
      <c r="W1958" s="38" t="str">
        <f>+IF(U1958="","-",CONCATENATE(U1958,"_",V1958))</f>
        <v>FINES_R02</v>
      </c>
      <c r="X1958" s="42">
        <v>0.77300000000000002</v>
      </c>
    </row>
    <row r="1959" spans="1:24">
      <c r="A1959" s="21" t="s">
        <v>5100</v>
      </c>
      <c r="B1959" t="s">
        <v>356</v>
      </c>
      <c r="C1959" t="s">
        <v>805</v>
      </c>
      <c r="D1959" t="s">
        <v>2500</v>
      </c>
      <c r="E1959" s="7" t="s">
        <v>198</v>
      </c>
      <c r="F1959" s="7" t="s">
        <v>198</v>
      </c>
      <c r="G1959" s="7" t="s">
        <v>198</v>
      </c>
      <c r="H1959" s="7" t="s">
        <v>20</v>
      </c>
      <c r="I1959" s="7" t="s">
        <v>5102</v>
      </c>
      <c r="J1959" s="7" t="s">
        <v>21</v>
      </c>
      <c r="L1959" t="s">
        <v>2552</v>
      </c>
      <c r="M1959" s="7" t="s">
        <v>22</v>
      </c>
      <c r="N1959" s="7" t="s">
        <v>23</v>
      </c>
      <c r="O1959" s="7" t="s">
        <v>27</v>
      </c>
      <c r="P1959" s="7" t="s">
        <v>5101</v>
      </c>
      <c r="Q1959" s="26">
        <v>14</v>
      </c>
      <c r="R1959" s="26">
        <v>1</v>
      </c>
      <c r="S1959" s="40">
        <v>1</v>
      </c>
      <c r="T1959" s="7"/>
      <c r="U1959" s="7" t="s">
        <v>2951</v>
      </c>
      <c r="V1959" s="7" t="str">
        <f>+IF(U1959="","",IF(U1959="FINES",CONCATENATE("R",IF(OR(B1959="16",B1959="21",B1959="22",B1959="23"),"16212223",IF(OR(B1959="15",B1959="17",B1959="24",B1959="25"),"15172425",B1959))),IF(U1959="CEBAS","UNICO",IF(VALUE(B1959)&lt;=11,"AMBA","INTERIOR"))))</f>
        <v>R02</v>
      </c>
      <c r="W1959" s="38" t="str">
        <f>+IF(U1959="","-",CONCATENATE(U1959,"_",V1959))</f>
        <v>FINES_R02</v>
      </c>
      <c r="X1959" s="42">
        <v>0.77700000000000002</v>
      </c>
    </row>
    <row r="1960" spans="1:24">
      <c r="A1960" s="21" t="s">
        <v>5100</v>
      </c>
      <c r="B1960" t="s">
        <v>356</v>
      </c>
      <c r="C1960" t="s">
        <v>353</v>
      </c>
      <c r="D1960" t="s">
        <v>355</v>
      </c>
      <c r="E1960" s="7" t="s">
        <v>198</v>
      </c>
      <c r="F1960" s="7" t="s">
        <v>198</v>
      </c>
      <c r="G1960" s="7" t="s">
        <v>198</v>
      </c>
      <c r="H1960" s="7" t="s">
        <v>20</v>
      </c>
      <c r="I1960" s="7" t="s">
        <v>5102</v>
      </c>
      <c r="J1960" s="7" t="s">
        <v>21</v>
      </c>
      <c r="L1960" t="s">
        <v>3186</v>
      </c>
      <c r="M1960" s="7" t="s">
        <v>22</v>
      </c>
      <c r="N1960" s="7" t="s">
        <v>23</v>
      </c>
      <c r="O1960" s="7" t="s">
        <v>27</v>
      </c>
      <c r="P1960" s="7" t="s">
        <v>5101</v>
      </c>
      <c r="Q1960" s="26">
        <v>22</v>
      </c>
      <c r="R1960" s="26">
        <v>1</v>
      </c>
      <c r="S1960" s="40">
        <v>1</v>
      </c>
      <c r="T1960" s="7"/>
      <c r="U1960" s="7" t="s">
        <v>2951</v>
      </c>
      <c r="V1960" s="7" t="str">
        <f>+IF(U1960="","",IF(U1960="FINES",CONCATENATE("R",IF(OR(B1960="16",B1960="21",B1960="22",B1960="23"),"16212223",IF(OR(B1960="15",B1960="17",B1960="24",B1960="25"),"15172425",B1960))),IF(U1960="CEBAS","UNICO",IF(VALUE(B1960)&lt;=11,"AMBA","INTERIOR"))))</f>
        <v>R02</v>
      </c>
      <c r="W1960" s="38" t="str">
        <f>+IF(U1960="","-",CONCATENATE(U1960,"_",V1960))</f>
        <v>FINES_R02</v>
      </c>
      <c r="X1960" s="42">
        <v>0.77900000000000003</v>
      </c>
    </row>
    <row r="1961" spans="1:24">
      <c r="A1961" s="21" t="s">
        <v>5100</v>
      </c>
      <c r="B1961" t="s">
        <v>356</v>
      </c>
      <c r="C1961" t="s">
        <v>805</v>
      </c>
      <c r="D1961" t="s">
        <v>2500</v>
      </c>
      <c r="E1961" s="7" t="s">
        <v>198</v>
      </c>
      <c r="F1961" s="7" t="s">
        <v>198</v>
      </c>
      <c r="G1961" s="7" t="s">
        <v>198</v>
      </c>
      <c r="H1961" s="7" t="s">
        <v>20</v>
      </c>
      <c r="I1961" s="7" t="s">
        <v>5102</v>
      </c>
      <c r="J1961" s="7" t="s">
        <v>21</v>
      </c>
      <c r="L1961" t="s">
        <v>3222</v>
      </c>
      <c r="M1961" s="7" t="s">
        <v>22</v>
      </c>
      <c r="N1961" s="7" t="s">
        <v>23</v>
      </c>
      <c r="O1961" s="7" t="s">
        <v>27</v>
      </c>
      <c r="P1961" s="7" t="s">
        <v>5101</v>
      </c>
      <c r="Q1961" s="26">
        <v>7</v>
      </c>
      <c r="R1961" s="26">
        <v>1</v>
      </c>
      <c r="S1961" s="40">
        <v>1</v>
      </c>
      <c r="T1961" s="7"/>
      <c r="U1961" s="7" t="s">
        <v>2951</v>
      </c>
      <c r="V1961" s="7" t="str">
        <f>+IF(U1961="","",IF(U1961="FINES",CONCATENATE("R",IF(OR(B1961="16",B1961="21",B1961="22",B1961="23"),"16212223",IF(OR(B1961="15",B1961="17",B1961="24",B1961="25"),"15172425",B1961))),IF(U1961="CEBAS","UNICO",IF(VALUE(B1961)&lt;=11,"AMBA","INTERIOR"))))</f>
        <v>R02</v>
      </c>
      <c r="W1961" s="38" t="str">
        <f>+IF(U1961="","-",CONCATENATE(U1961,"_",V1961))</f>
        <v>FINES_R02</v>
      </c>
      <c r="X1961" s="42">
        <v>0.78100000000000003</v>
      </c>
    </row>
    <row r="1962" spans="1:24">
      <c r="A1962" s="21" t="s">
        <v>5100</v>
      </c>
      <c r="B1962" t="s">
        <v>356</v>
      </c>
      <c r="C1962" t="s">
        <v>353</v>
      </c>
      <c r="D1962" t="s">
        <v>355</v>
      </c>
      <c r="E1962" s="7" t="s">
        <v>198</v>
      </c>
      <c r="F1962" s="7" t="s">
        <v>198</v>
      </c>
      <c r="G1962" s="7" t="s">
        <v>198</v>
      </c>
      <c r="H1962" s="7" t="s">
        <v>20</v>
      </c>
      <c r="I1962" s="7" t="s">
        <v>5102</v>
      </c>
      <c r="J1962" s="7" t="s">
        <v>21</v>
      </c>
      <c r="L1962" t="s">
        <v>3172</v>
      </c>
      <c r="M1962" s="7" t="s">
        <v>22</v>
      </c>
      <c r="N1962" s="7" t="s">
        <v>23</v>
      </c>
      <c r="O1962" s="7" t="s">
        <v>27</v>
      </c>
      <c r="P1962" s="7" t="s">
        <v>5101</v>
      </c>
      <c r="Q1962" s="26">
        <v>35</v>
      </c>
      <c r="R1962" s="26">
        <v>2</v>
      </c>
      <c r="S1962" s="40">
        <v>1</v>
      </c>
      <c r="T1962" s="7"/>
      <c r="U1962" s="7" t="s">
        <v>2951</v>
      </c>
      <c r="V1962" s="7" t="str">
        <f>+IF(U1962="","",IF(U1962="FINES",CONCATENATE("R",IF(OR(B1962="16",B1962="21",B1962="22",B1962="23"),"16212223",IF(OR(B1962="15",B1962="17",B1962="24",B1962="25"),"15172425",B1962))),IF(U1962="CEBAS","UNICO",IF(VALUE(B1962)&lt;=11,"AMBA","INTERIOR"))))</f>
        <v>R02</v>
      </c>
      <c r="W1962" s="38" t="str">
        <f>+IF(U1962="","-",CONCATENATE(U1962,"_",V1962))</f>
        <v>FINES_R02</v>
      </c>
      <c r="X1962" s="42">
        <v>0.78100000000000003</v>
      </c>
    </row>
    <row r="1963" spans="1:24">
      <c r="A1963" s="21" t="s">
        <v>5100</v>
      </c>
      <c r="B1963" t="s">
        <v>356</v>
      </c>
      <c r="C1963" t="s">
        <v>805</v>
      </c>
      <c r="D1963" t="s">
        <v>2500</v>
      </c>
      <c r="E1963" s="7" t="s">
        <v>198</v>
      </c>
      <c r="F1963" s="7" t="s">
        <v>198</v>
      </c>
      <c r="G1963" s="7" t="s">
        <v>198</v>
      </c>
      <c r="H1963" s="7" t="s">
        <v>20</v>
      </c>
      <c r="I1963" s="7" t="s">
        <v>5102</v>
      </c>
      <c r="J1963" s="7" t="s">
        <v>21</v>
      </c>
      <c r="L1963" t="s">
        <v>3207</v>
      </c>
      <c r="M1963" s="7" t="s">
        <v>22</v>
      </c>
      <c r="N1963" s="7" t="s">
        <v>23</v>
      </c>
      <c r="O1963" s="7" t="s">
        <v>27</v>
      </c>
      <c r="P1963" s="7" t="s">
        <v>5101</v>
      </c>
      <c r="Q1963" s="26">
        <v>118</v>
      </c>
      <c r="R1963" s="26">
        <v>4</v>
      </c>
      <c r="S1963" s="40">
        <v>1</v>
      </c>
      <c r="T1963" s="7"/>
      <c r="U1963" s="7" t="s">
        <v>2951</v>
      </c>
      <c r="V1963" s="7" t="str">
        <f>+IF(U1963="","",IF(U1963="FINES",CONCATENATE("R",IF(OR(B1963="16",B1963="21",B1963="22",B1963="23"),"16212223",IF(OR(B1963="15",B1963="17",B1963="24",B1963="25"),"15172425",B1963))),IF(U1963="CEBAS","UNICO",IF(VALUE(B1963)&lt;=11,"AMBA","INTERIOR"))))</f>
        <v>R02</v>
      </c>
      <c r="W1963" s="38" t="str">
        <f>+IF(U1963="","-",CONCATENATE(U1963,"_",V1963))</f>
        <v>FINES_R02</v>
      </c>
      <c r="X1963" s="42">
        <v>0.78600000000000003</v>
      </c>
    </row>
    <row r="1964" spans="1:24">
      <c r="A1964" s="21" t="s">
        <v>5100</v>
      </c>
      <c r="B1964" t="s">
        <v>356</v>
      </c>
      <c r="C1964" t="s">
        <v>353</v>
      </c>
      <c r="D1964" t="s">
        <v>355</v>
      </c>
      <c r="E1964" s="7" t="s">
        <v>198</v>
      </c>
      <c r="F1964" s="7" t="s">
        <v>198</v>
      </c>
      <c r="G1964" s="7" t="s">
        <v>198</v>
      </c>
      <c r="H1964" s="7" t="s">
        <v>20</v>
      </c>
      <c r="I1964" s="7" t="s">
        <v>5102</v>
      </c>
      <c r="J1964" s="7" t="s">
        <v>21</v>
      </c>
      <c r="L1964" t="s">
        <v>3159</v>
      </c>
      <c r="M1964" s="7" t="s">
        <v>22</v>
      </c>
      <c r="N1964" s="7" t="s">
        <v>23</v>
      </c>
      <c r="O1964" s="7" t="s">
        <v>27</v>
      </c>
      <c r="P1964" s="7" t="s">
        <v>5101</v>
      </c>
      <c r="Q1964" s="26">
        <v>46</v>
      </c>
      <c r="R1964" s="26">
        <v>2</v>
      </c>
      <c r="S1964" s="40">
        <v>1</v>
      </c>
      <c r="T1964" s="7"/>
      <c r="U1964" s="7" t="s">
        <v>2951</v>
      </c>
      <c r="V1964" s="7" t="str">
        <f>+IF(U1964="","",IF(U1964="FINES",CONCATENATE("R",IF(OR(B1964="16",B1964="21",B1964="22",B1964="23"),"16212223",IF(OR(B1964="15",B1964="17",B1964="24",B1964="25"),"15172425",B1964))),IF(U1964="CEBAS","UNICO",IF(VALUE(B1964)&lt;=11,"AMBA","INTERIOR"))))</f>
        <v>R02</v>
      </c>
      <c r="W1964" s="38" t="str">
        <f>+IF(U1964="","-",CONCATENATE(U1964,"_",V1964))</f>
        <v>FINES_R02</v>
      </c>
      <c r="X1964" s="42">
        <v>0.78700000000000003</v>
      </c>
    </row>
    <row r="1965" spans="1:24">
      <c r="A1965" s="21" t="s">
        <v>5100</v>
      </c>
      <c r="B1965" t="s">
        <v>356</v>
      </c>
      <c r="C1965" t="s">
        <v>1359</v>
      </c>
      <c r="D1965" t="s">
        <v>1360</v>
      </c>
      <c r="E1965" s="7" t="s">
        <v>198</v>
      </c>
      <c r="F1965" s="7" t="s">
        <v>198</v>
      </c>
      <c r="G1965" s="7" t="s">
        <v>198</v>
      </c>
      <c r="H1965" s="7" t="s">
        <v>20</v>
      </c>
      <c r="I1965" s="7" t="s">
        <v>5102</v>
      </c>
      <c r="J1965" s="7" t="s">
        <v>21</v>
      </c>
      <c r="L1965" t="s">
        <v>3261</v>
      </c>
      <c r="M1965" s="7" t="s">
        <v>22</v>
      </c>
      <c r="N1965" s="7" t="s">
        <v>23</v>
      </c>
      <c r="O1965" s="7" t="s">
        <v>27</v>
      </c>
      <c r="P1965" s="7" t="s">
        <v>5101</v>
      </c>
      <c r="Q1965" s="26">
        <v>16</v>
      </c>
      <c r="R1965" s="26">
        <v>1</v>
      </c>
      <c r="S1965" s="40">
        <v>1</v>
      </c>
      <c r="T1965" s="7"/>
      <c r="U1965" s="7" t="s">
        <v>2951</v>
      </c>
      <c r="V1965" s="7" t="str">
        <f>+IF(U1965="","",IF(U1965="FINES",CONCATENATE("R",IF(OR(B1965="16",B1965="21",B1965="22",B1965="23"),"16212223",IF(OR(B1965="15",B1965="17",B1965="24",B1965="25"),"15172425",B1965))),IF(U1965="CEBAS","UNICO",IF(VALUE(B1965)&lt;=11,"AMBA","INTERIOR"))))</f>
        <v>R02</v>
      </c>
      <c r="W1965" s="38" t="str">
        <f>+IF(U1965="","-",CONCATENATE(U1965,"_",V1965))</f>
        <v>FINES_R02</v>
      </c>
      <c r="X1965" s="42">
        <v>0.79800000000000004</v>
      </c>
    </row>
    <row r="1966" spans="1:24">
      <c r="A1966" s="21" t="s">
        <v>5100</v>
      </c>
      <c r="B1966" t="s">
        <v>356</v>
      </c>
      <c r="C1966" t="s">
        <v>353</v>
      </c>
      <c r="D1966" t="s">
        <v>355</v>
      </c>
      <c r="E1966" s="7" t="s">
        <v>198</v>
      </c>
      <c r="F1966" s="7" t="s">
        <v>198</v>
      </c>
      <c r="G1966" s="7" t="s">
        <v>198</v>
      </c>
      <c r="H1966" s="7" t="s">
        <v>20</v>
      </c>
      <c r="I1966" s="7" t="s">
        <v>5102</v>
      </c>
      <c r="J1966" s="7" t="s">
        <v>21</v>
      </c>
      <c r="L1966" t="s">
        <v>3149</v>
      </c>
      <c r="M1966" s="7" t="s">
        <v>22</v>
      </c>
      <c r="N1966" s="7" t="s">
        <v>23</v>
      </c>
      <c r="O1966" s="7" t="s">
        <v>27</v>
      </c>
      <c r="P1966" s="7" t="s">
        <v>5101</v>
      </c>
      <c r="Q1966" s="26">
        <v>0</v>
      </c>
      <c r="R1966" s="26">
        <v>1</v>
      </c>
      <c r="S1966" s="40">
        <v>1</v>
      </c>
      <c r="T1966" s="7"/>
      <c r="U1966" s="7" t="s">
        <v>2951</v>
      </c>
      <c r="V1966" s="7" t="str">
        <f>+IF(U1966="","",IF(U1966="FINES",CONCATENATE("R",IF(OR(B1966="16",B1966="21",B1966="22",B1966="23"),"16212223",IF(OR(B1966="15",B1966="17",B1966="24",B1966="25"),"15172425",B1966))),IF(U1966="CEBAS","UNICO",IF(VALUE(B1966)&lt;=11,"AMBA","INTERIOR"))))</f>
        <v>R02</v>
      </c>
      <c r="W1966" s="38" t="str">
        <f>+IF(U1966="","-",CONCATENATE(U1966,"_",V1966))</f>
        <v>FINES_R02</v>
      </c>
      <c r="X1966" s="42">
        <v>0.8</v>
      </c>
    </row>
    <row r="1967" spans="1:24">
      <c r="A1967" s="21" t="s">
        <v>5100</v>
      </c>
      <c r="B1967" t="s">
        <v>356</v>
      </c>
      <c r="C1967" t="s">
        <v>1359</v>
      </c>
      <c r="D1967" t="s">
        <v>1360</v>
      </c>
      <c r="E1967" s="7" t="s">
        <v>198</v>
      </c>
      <c r="F1967" s="7" t="s">
        <v>198</v>
      </c>
      <c r="G1967" s="7" t="s">
        <v>198</v>
      </c>
      <c r="H1967" s="7" t="s">
        <v>20</v>
      </c>
      <c r="I1967" s="7" t="s">
        <v>5102</v>
      </c>
      <c r="J1967" s="7" t="s">
        <v>21</v>
      </c>
      <c r="L1967" t="s">
        <v>3259</v>
      </c>
      <c r="M1967" s="7" t="s">
        <v>22</v>
      </c>
      <c r="N1967" s="7" t="s">
        <v>23</v>
      </c>
      <c r="O1967" s="7" t="s">
        <v>27</v>
      </c>
      <c r="P1967" s="7" t="s">
        <v>5101</v>
      </c>
      <c r="Q1967" s="26">
        <v>28</v>
      </c>
      <c r="R1967" s="26">
        <v>2</v>
      </c>
      <c r="S1967" s="40">
        <v>1</v>
      </c>
      <c r="T1967" s="7"/>
      <c r="U1967" s="7" t="s">
        <v>2951</v>
      </c>
      <c r="V1967" s="7" t="str">
        <f>+IF(U1967="","",IF(U1967="FINES",CONCATENATE("R",IF(OR(B1967="16",B1967="21",B1967="22",B1967="23"),"16212223",IF(OR(B1967="15",B1967="17",B1967="24",B1967="25"),"15172425",B1967))),IF(U1967="CEBAS","UNICO",IF(VALUE(B1967)&lt;=11,"AMBA","INTERIOR"))))</f>
        <v>R02</v>
      </c>
      <c r="W1967" s="38" t="str">
        <f>+IF(U1967="","-",CONCATENATE(U1967,"_",V1967))</f>
        <v>FINES_R02</v>
      </c>
      <c r="X1967" s="42">
        <v>0.80800000000000005</v>
      </c>
    </row>
    <row r="1968" spans="1:24">
      <c r="A1968" s="21" t="s">
        <v>5100</v>
      </c>
      <c r="B1968" t="s">
        <v>356</v>
      </c>
      <c r="C1968" t="s">
        <v>1359</v>
      </c>
      <c r="D1968" t="s">
        <v>1360</v>
      </c>
      <c r="E1968" s="7" t="s">
        <v>198</v>
      </c>
      <c r="F1968" s="7" t="s">
        <v>198</v>
      </c>
      <c r="G1968" s="7" t="s">
        <v>198</v>
      </c>
      <c r="H1968" s="7" t="s">
        <v>20</v>
      </c>
      <c r="I1968" s="7" t="s">
        <v>5102</v>
      </c>
      <c r="J1968" s="7" t="s">
        <v>21</v>
      </c>
      <c r="L1968" t="s">
        <v>3260</v>
      </c>
      <c r="M1968" s="7" t="s">
        <v>22</v>
      </c>
      <c r="N1968" s="7" t="s">
        <v>23</v>
      </c>
      <c r="O1968" s="7" t="s">
        <v>27</v>
      </c>
      <c r="P1968" s="7" t="s">
        <v>5101</v>
      </c>
      <c r="Q1968" s="26">
        <v>24</v>
      </c>
      <c r="R1968" s="26">
        <v>2</v>
      </c>
      <c r="S1968" s="40">
        <v>1</v>
      </c>
      <c r="T1968" s="7"/>
      <c r="U1968" s="7" t="s">
        <v>2951</v>
      </c>
      <c r="V1968" s="7" t="str">
        <f>+IF(U1968="","",IF(U1968="FINES",CONCATENATE("R",IF(OR(B1968="16",B1968="21",B1968="22",B1968="23"),"16212223",IF(OR(B1968="15",B1968="17",B1968="24",B1968="25"),"15172425",B1968))),IF(U1968="CEBAS","UNICO",IF(VALUE(B1968)&lt;=11,"AMBA","INTERIOR"))))</f>
        <v>R02</v>
      </c>
      <c r="W1968" s="38" t="str">
        <f>+IF(U1968="","-",CONCATENATE(U1968,"_",V1968))</f>
        <v>FINES_R02</v>
      </c>
      <c r="X1968" s="42">
        <v>0.82099999999999995</v>
      </c>
    </row>
    <row r="1969" spans="1:24">
      <c r="A1969" s="21" t="s">
        <v>5100</v>
      </c>
      <c r="B1969" t="s">
        <v>356</v>
      </c>
      <c r="C1969" t="s">
        <v>1359</v>
      </c>
      <c r="D1969" t="s">
        <v>1360</v>
      </c>
      <c r="E1969" s="7" t="s">
        <v>198</v>
      </c>
      <c r="F1969" s="7" t="s">
        <v>198</v>
      </c>
      <c r="G1969" s="7" t="s">
        <v>198</v>
      </c>
      <c r="H1969" s="7" t="s">
        <v>20</v>
      </c>
      <c r="I1969" s="7" t="s">
        <v>5102</v>
      </c>
      <c r="J1969" s="7" t="s">
        <v>21</v>
      </c>
      <c r="L1969" t="s">
        <v>3266</v>
      </c>
      <c r="M1969" s="7" t="s">
        <v>22</v>
      </c>
      <c r="N1969" s="7" t="s">
        <v>23</v>
      </c>
      <c r="O1969" s="7" t="s">
        <v>27</v>
      </c>
      <c r="P1969" s="7" t="s">
        <v>5101</v>
      </c>
      <c r="Q1969" s="26">
        <v>15</v>
      </c>
      <c r="R1969" s="26">
        <v>1</v>
      </c>
      <c r="S1969" s="40">
        <v>1</v>
      </c>
      <c r="T1969" s="7"/>
      <c r="U1969" s="7" t="s">
        <v>2951</v>
      </c>
      <c r="V1969" s="7" t="str">
        <f>+IF(U1969="","",IF(U1969="FINES",CONCATENATE("R",IF(OR(B1969="16",B1969="21",B1969="22",B1969="23"),"16212223",IF(OR(B1969="15",B1969="17",B1969="24",B1969="25"),"15172425",B1969))),IF(U1969="CEBAS","UNICO",IF(VALUE(B1969)&lt;=11,"AMBA","INTERIOR"))))</f>
        <v>R02</v>
      </c>
      <c r="W1969" s="38" t="str">
        <f>+IF(U1969="","-",CONCATENATE(U1969,"_",V1969))</f>
        <v>FINES_R02</v>
      </c>
      <c r="X1969" s="42">
        <v>0.82099999999999995</v>
      </c>
    </row>
    <row r="1970" spans="1:24">
      <c r="A1970" s="21" t="s">
        <v>5100</v>
      </c>
      <c r="B1970" t="s">
        <v>356</v>
      </c>
      <c r="C1970" t="s">
        <v>1359</v>
      </c>
      <c r="D1970" t="s">
        <v>1360</v>
      </c>
      <c r="E1970" s="7" t="s">
        <v>198</v>
      </c>
      <c r="F1970" s="7" t="s">
        <v>198</v>
      </c>
      <c r="G1970" s="7" t="s">
        <v>198</v>
      </c>
      <c r="H1970" s="7" t="s">
        <v>20</v>
      </c>
      <c r="I1970" s="7" t="s">
        <v>5102</v>
      </c>
      <c r="J1970" s="7" t="s">
        <v>21</v>
      </c>
      <c r="L1970" t="s">
        <v>3280</v>
      </c>
      <c r="M1970" s="7" t="s">
        <v>22</v>
      </c>
      <c r="N1970" s="7" t="s">
        <v>23</v>
      </c>
      <c r="O1970" s="7" t="s">
        <v>27</v>
      </c>
      <c r="P1970" s="7" t="s">
        <v>5101</v>
      </c>
      <c r="Q1970" s="26">
        <v>15</v>
      </c>
      <c r="R1970" s="26">
        <v>1</v>
      </c>
      <c r="S1970" s="40">
        <v>1</v>
      </c>
      <c r="T1970" s="7"/>
      <c r="U1970" s="7" t="s">
        <v>2951</v>
      </c>
      <c r="V1970" s="7" t="str">
        <f>+IF(U1970="","",IF(U1970="FINES",CONCATENATE("R",IF(OR(B1970="16",B1970="21",B1970="22",B1970="23"),"16212223",IF(OR(B1970="15",B1970="17",B1970="24",B1970="25"),"15172425",B1970))),IF(U1970="CEBAS","UNICO",IF(VALUE(B1970)&lt;=11,"AMBA","INTERIOR"))))</f>
        <v>R02</v>
      </c>
      <c r="W1970" s="38" t="str">
        <f>+IF(U1970="","-",CONCATENATE(U1970,"_",V1970))</f>
        <v>FINES_R02</v>
      </c>
      <c r="X1970" s="42">
        <v>0.82099999999999995</v>
      </c>
    </row>
    <row r="1971" spans="1:24">
      <c r="A1971" s="21" t="s">
        <v>5100</v>
      </c>
      <c r="B1971" t="s">
        <v>356</v>
      </c>
      <c r="C1971" t="s">
        <v>1359</v>
      </c>
      <c r="D1971" t="s">
        <v>1360</v>
      </c>
      <c r="E1971" s="7" t="s">
        <v>198</v>
      </c>
      <c r="F1971" s="7" t="s">
        <v>198</v>
      </c>
      <c r="G1971" s="7" t="s">
        <v>198</v>
      </c>
      <c r="H1971" s="7" t="s">
        <v>20</v>
      </c>
      <c r="I1971" s="7" t="s">
        <v>5102</v>
      </c>
      <c r="J1971" s="7" t="s">
        <v>21</v>
      </c>
      <c r="L1971" t="s">
        <v>3293</v>
      </c>
      <c r="M1971" s="7" t="s">
        <v>22</v>
      </c>
      <c r="N1971" s="7" t="s">
        <v>23</v>
      </c>
      <c r="O1971" s="7" t="s">
        <v>27</v>
      </c>
      <c r="P1971" s="7" t="s">
        <v>5101</v>
      </c>
      <c r="Q1971" s="26">
        <v>30</v>
      </c>
      <c r="R1971" s="26">
        <v>1</v>
      </c>
      <c r="S1971" s="40">
        <v>1</v>
      </c>
      <c r="T1971" s="7"/>
      <c r="U1971" s="7" t="s">
        <v>2951</v>
      </c>
      <c r="V1971" s="7" t="str">
        <f>+IF(U1971="","",IF(U1971="FINES",CONCATENATE("R",IF(OR(B1971="16",B1971="21",B1971="22",B1971="23"),"16212223",IF(OR(B1971="15",B1971="17",B1971="24",B1971="25"),"15172425",B1971))),IF(U1971="CEBAS","UNICO",IF(VALUE(B1971)&lt;=11,"AMBA","INTERIOR"))))</f>
        <v>R02</v>
      </c>
      <c r="W1971" s="38" t="str">
        <f>+IF(U1971="","-",CONCATENATE(U1971,"_",V1971))</f>
        <v>FINES_R02</v>
      </c>
      <c r="X1971" s="42">
        <v>0.82299999999999995</v>
      </c>
    </row>
    <row r="1972" spans="1:24">
      <c r="A1972" s="21" t="s">
        <v>5100</v>
      </c>
      <c r="B1972" t="s">
        <v>356</v>
      </c>
      <c r="C1972" t="s">
        <v>1359</v>
      </c>
      <c r="D1972" t="s">
        <v>1360</v>
      </c>
      <c r="E1972" s="7" t="s">
        <v>198</v>
      </c>
      <c r="F1972" s="7" t="s">
        <v>198</v>
      </c>
      <c r="G1972" s="7" t="s">
        <v>198</v>
      </c>
      <c r="H1972" s="7" t="s">
        <v>20</v>
      </c>
      <c r="I1972" s="7" t="s">
        <v>5102</v>
      </c>
      <c r="J1972" s="7" t="s">
        <v>21</v>
      </c>
      <c r="L1972" t="s">
        <v>3240</v>
      </c>
      <c r="M1972" s="7" t="s">
        <v>22</v>
      </c>
      <c r="N1972" s="7" t="s">
        <v>23</v>
      </c>
      <c r="O1972" s="7" t="s">
        <v>27</v>
      </c>
      <c r="P1972" s="7" t="s">
        <v>5101</v>
      </c>
      <c r="Q1972" s="26">
        <v>18</v>
      </c>
      <c r="R1972" s="26">
        <v>1</v>
      </c>
      <c r="S1972" s="40">
        <v>1</v>
      </c>
      <c r="T1972" s="7"/>
      <c r="U1972" s="7" t="s">
        <v>2951</v>
      </c>
      <c r="V1972" s="7" t="str">
        <f>+IF(U1972="","",IF(U1972="FINES",CONCATENATE("R",IF(OR(B1972="16",B1972="21",B1972="22",B1972="23"),"16212223",IF(OR(B1972="15",B1972="17",B1972="24",B1972="25"),"15172425",B1972))),IF(U1972="CEBAS","UNICO",IF(VALUE(B1972)&lt;=11,"AMBA","INTERIOR"))))</f>
        <v>R02</v>
      </c>
      <c r="W1972" s="38" t="str">
        <f>+IF(U1972="","-",CONCATENATE(U1972,"_",V1972))</f>
        <v>FINES_R02</v>
      </c>
      <c r="X1972" s="42">
        <v>0.82899999999999996</v>
      </c>
    </row>
    <row r="1973" spans="1:24">
      <c r="A1973" s="21" t="s">
        <v>5100</v>
      </c>
      <c r="B1973" t="s">
        <v>356</v>
      </c>
      <c r="C1973" t="s">
        <v>353</v>
      </c>
      <c r="D1973" t="s">
        <v>355</v>
      </c>
      <c r="E1973" s="7" t="s">
        <v>198</v>
      </c>
      <c r="F1973" s="7" t="s">
        <v>198</v>
      </c>
      <c r="G1973" s="7" t="s">
        <v>198</v>
      </c>
      <c r="H1973" s="7" t="s">
        <v>20</v>
      </c>
      <c r="I1973" s="7" t="s">
        <v>5102</v>
      </c>
      <c r="J1973" s="7" t="s">
        <v>21</v>
      </c>
      <c r="L1973">
        <v>46029</v>
      </c>
      <c r="M1973" s="7" t="s">
        <v>22</v>
      </c>
      <c r="N1973" s="7" t="s">
        <v>23</v>
      </c>
      <c r="O1973" s="7" t="s">
        <v>27</v>
      </c>
      <c r="P1973" s="7" t="s">
        <v>5101</v>
      </c>
      <c r="Q1973" s="26">
        <v>20</v>
      </c>
      <c r="R1973" s="26">
        <v>1</v>
      </c>
      <c r="S1973" s="40">
        <v>1</v>
      </c>
      <c r="T1973" s="7"/>
      <c r="U1973" s="7" t="s">
        <v>2951</v>
      </c>
      <c r="V1973" s="7" t="str">
        <f>+IF(U1973="","",IF(U1973="FINES",CONCATENATE("R",IF(OR(B1973="16",B1973="21",B1973="22",B1973="23"),"16212223",IF(OR(B1973="15",B1973="17",B1973="24",B1973="25"),"15172425",B1973))),IF(U1973="CEBAS","UNICO",IF(VALUE(B1973)&lt;=11,"AMBA","INTERIOR"))))</f>
        <v>R02</v>
      </c>
      <c r="W1973" s="38" t="str">
        <f>+IF(U1973="","-",CONCATENATE(U1973,"_",V1973))</f>
        <v>FINES_R02</v>
      </c>
      <c r="X1973" s="42">
        <v>0.83499999999999996</v>
      </c>
    </row>
    <row r="1974" spans="1:24">
      <c r="A1974" s="21" t="s">
        <v>5100</v>
      </c>
      <c r="B1974" t="s">
        <v>356</v>
      </c>
      <c r="C1974" t="s">
        <v>1359</v>
      </c>
      <c r="D1974" t="s">
        <v>1360</v>
      </c>
      <c r="E1974" s="7" t="s">
        <v>198</v>
      </c>
      <c r="F1974" s="7" t="s">
        <v>198</v>
      </c>
      <c r="G1974" s="7" t="s">
        <v>198</v>
      </c>
      <c r="H1974" s="7" t="s">
        <v>20</v>
      </c>
      <c r="I1974" s="7" t="s">
        <v>5102</v>
      </c>
      <c r="J1974" s="7" t="s">
        <v>21</v>
      </c>
      <c r="L1974" t="s">
        <v>3301</v>
      </c>
      <c r="M1974" s="7" t="s">
        <v>22</v>
      </c>
      <c r="N1974" s="7" t="s">
        <v>23</v>
      </c>
      <c r="O1974" s="7" t="s">
        <v>27</v>
      </c>
      <c r="P1974" s="7" t="s">
        <v>5101</v>
      </c>
      <c r="Q1974" s="26">
        <v>13</v>
      </c>
      <c r="R1974" s="26">
        <v>1</v>
      </c>
      <c r="S1974" s="40">
        <v>1</v>
      </c>
      <c r="T1974" s="7"/>
      <c r="U1974" s="7" t="s">
        <v>2951</v>
      </c>
      <c r="V1974" s="7" t="str">
        <f>+IF(U1974="","",IF(U1974="FINES",CONCATENATE("R",IF(OR(B1974="16",B1974="21",B1974="22",B1974="23"),"16212223",IF(OR(B1974="15",B1974="17",B1974="24",B1974="25"),"15172425",B1974))),IF(U1974="CEBAS","UNICO",IF(VALUE(B1974)&lt;=11,"AMBA","INTERIOR"))))</f>
        <v>R02</v>
      </c>
      <c r="W1974" s="38" t="str">
        <f>+IF(U1974="","-",CONCATENATE(U1974,"_",V1974))</f>
        <v>FINES_R02</v>
      </c>
      <c r="X1974" s="42">
        <v>0.84199999999999997</v>
      </c>
    </row>
    <row r="1975" spans="1:24">
      <c r="A1975" s="21" t="s">
        <v>5100</v>
      </c>
      <c r="B1975" t="s">
        <v>356</v>
      </c>
      <c r="C1975" t="s">
        <v>353</v>
      </c>
      <c r="D1975" t="s">
        <v>355</v>
      </c>
      <c r="E1975" s="7" t="s">
        <v>198</v>
      </c>
      <c r="F1975" s="7" t="s">
        <v>198</v>
      </c>
      <c r="G1975" s="7" t="s">
        <v>198</v>
      </c>
      <c r="H1975" s="7" t="s">
        <v>20</v>
      </c>
      <c r="I1975" s="7" t="s">
        <v>5102</v>
      </c>
      <c r="J1975" s="7" t="s">
        <v>21</v>
      </c>
      <c r="L1975" t="s">
        <v>3182</v>
      </c>
      <c r="M1975" s="7" t="s">
        <v>22</v>
      </c>
      <c r="N1975" s="7" t="s">
        <v>23</v>
      </c>
      <c r="O1975" s="7" t="s">
        <v>27</v>
      </c>
      <c r="P1975" s="7" t="s">
        <v>5101</v>
      </c>
      <c r="Q1975" s="26">
        <v>45</v>
      </c>
      <c r="R1975" s="26">
        <v>2</v>
      </c>
      <c r="S1975" s="40">
        <v>1</v>
      </c>
      <c r="T1975" s="7"/>
      <c r="U1975" s="7" t="s">
        <v>2951</v>
      </c>
      <c r="V1975" s="7" t="str">
        <f>+IF(U1975="","",IF(U1975="FINES",CONCATENATE("R",IF(OR(B1975="16",B1975="21",B1975="22",B1975="23"),"16212223",IF(OR(B1975="15",B1975="17",B1975="24",B1975="25"),"15172425",B1975))),IF(U1975="CEBAS","UNICO",IF(VALUE(B1975)&lt;=11,"AMBA","INTERIOR"))))</f>
        <v>R02</v>
      </c>
      <c r="W1975" s="38" t="str">
        <f>+IF(U1975="","-",CONCATENATE(U1975,"_",V1975))</f>
        <v>FINES_R02</v>
      </c>
      <c r="X1975" s="42">
        <v>0.85</v>
      </c>
    </row>
    <row r="1976" spans="1:24">
      <c r="A1976" s="21" t="s">
        <v>5100</v>
      </c>
      <c r="B1976" t="s">
        <v>356</v>
      </c>
      <c r="C1976" t="s">
        <v>353</v>
      </c>
      <c r="D1976" t="s">
        <v>355</v>
      </c>
      <c r="E1976" s="7" t="s">
        <v>198</v>
      </c>
      <c r="F1976" s="7" t="s">
        <v>198</v>
      </c>
      <c r="G1976" s="7" t="s">
        <v>198</v>
      </c>
      <c r="H1976" s="7" t="s">
        <v>20</v>
      </c>
      <c r="I1976" s="7" t="s">
        <v>5102</v>
      </c>
      <c r="J1976" s="7" t="s">
        <v>21</v>
      </c>
      <c r="L1976" t="s">
        <v>3136</v>
      </c>
      <c r="M1976" s="7" t="s">
        <v>22</v>
      </c>
      <c r="N1976" s="7" t="s">
        <v>23</v>
      </c>
      <c r="O1976" s="7" t="s">
        <v>27</v>
      </c>
      <c r="P1976" s="7" t="s">
        <v>5101</v>
      </c>
      <c r="Q1976" s="26">
        <v>102</v>
      </c>
      <c r="R1976" s="26">
        <v>5</v>
      </c>
      <c r="S1976" s="40">
        <v>1</v>
      </c>
      <c r="T1976" s="7"/>
      <c r="U1976" s="7" t="s">
        <v>2951</v>
      </c>
      <c r="V1976" s="7" t="str">
        <f>+IF(U1976="","",IF(U1976="FINES",CONCATENATE("R",IF(OR(B1976="16",B1976="21",B1976="22",B1976="23"),"16212223",IF(OR(B1976="15",B1976="17",B1976="24",B1976="25"),"15172425",B1976))),IF(U1976="CEBAS","UNICO",IF(VALUE(B1976)&lt;=11,"AMBA","INTERIOR"))))</f>
        <v>R02</v>
      </c>
      <c r="W1976" s="38" t="str">
        <f>+IF(U1976="","-",CONCATENATE(U1976,"_",V1976))</f>
        <v>FINES_R02</v>
      </c>
      <c r="X1976" s="42">
        <v>0.85899999999999999</v>
      </c>
    </row>
    <row r="1977" spans="1:24">
      <c r="A1977" s="21" t="s">
        <v>5100</v>
      </c>
      <c r="B1977" t="s">
        <v>356</v>
      </c>
      <c r="C1977" t="s">
        <v>353</v>
      </c>
      <c r="D1977" t="s">
        <v>355</v>
      </c>
      <c r="E1977" s="7" t="s">
        <v>198</v>
      </c>
      <c r="F1977" s="7" t="s">
        <v>198</v>
      </c>
      <c r="G1977" s="7" t="s">
        <v>198</v>
      </c>
      <c r="H1977" s="7" t="s">
        <v>20</v>
      </c>
      <c r="I1977" s="7" t="s">
        <v>5102</v>
      </c>
      <c r="J1977" s="7" t="s">
        <v>21</v>
      </c>
      <c r="L1977" t="s">
        <v>3158</v>
      </c>
      <c r="M1977" s="7" t="s">
        <v>22</v>
      </c>
      <c r="N1977" s="7" t="s">
        <v>23</v>
      </c>
      <c r="O1977" s="7" t="s">
        <v>27</v>
      </c>
      <c r="P1977" s="7" t="s">
        <v>5101</v>
      </c>
      <c r="Q1977" s="26">
        <v>101</v>
      </c>
      <c r="R1977" s="26">
        <v>5</v>
      </c>
      <c r="S1977" s="40">
        <v>1</v>
      </c>
      <c r="T1977" s="7"/>
      <c r="U1977" s="7" t="s">
        <v>2951</v>
      </c>
      <c r="V1977" s="7" t="str">
        <f>+IF(U1977="","",IF(U1977="FINES",CONCATENATE("R",IF(OR(B1977="16",B1977="21",B1977="22",B1977="23"),"16212223",IF(OR(B1977="15",B1977="17",B1977="24",B1977="25"),"15172425",B1977))),IF(U1977="CEBAS","UNICO",IF(VALUE(B1977)&lt;=11,"AMBA","INTERIOR"))))</f>
        <v>R02</v>
      </c>
      <c r="W1977" s="38" t="str">
        <f>+IF(U1977="","-",CONCATENATE(U1977,"_",V1977))</f>
        <v>FINES_R02</v>
      </c>
      <c r="X1977" s="42">
        <v>0.85899999999999999</v>
      </c>
    </row>
    <row r="1978" spans="1:24">
      <c r="A1978" s="21" t="s">
        <v>5100</v>
      </c>
      <c r="B1978" t="s">
        <v>356</v>
      </c>
      <c r="C1978" t="s">
        <v>353</v>
      </c>
      <c r="D1978" t="s">
        <v>355</v>
      </c>
      <c r="E1978" s="7" t="s">
        <v>198</v>
      </c>
      <c r="F1978" s="7" t="s">
        <v>198</v>
      </c>
      <c r="G1978" s="7" t="s">
        <v>198</v>
      </c>
      <c r="H1978" s="7" t="s">
        <v>20</v>
      </c>
      <c r="I1978" s="7" t="s">
        <v>5102</v>
      </c>
      <c r="J1978" s="7" t="s">
        <v>21</v>
      </c>
      <c r="L1978" t="s">
        <v>3153</v>
      </c>
      <c r="M1978" s="7" t="s">
        <v>22</v>
      </c>
      <c r="N1978" s="7" t="s">
        <v>23</v>
      </c>
      <c r="O1978" s="7" t="s">
        <v>27</v>
      </c>
      <c r="P1978" s="7" t="s">
        <v>5101</v>
      </c>
      <c r="Q1978" s="26">
        <v>21</v>
      </c>
      <c r="R1978" s="26">
        <v>1</v>
      </c>
      <c r="S1978" s="40">
        <v>1</v>
      </c>
      <c r="T1978" s="7"/>
      <c r="U1978" s="7" t="s">
        <v>2951</v>
      </c>
      <c r="V1978" s="7" t="str">
        <f>+IF(U1978="","",IF(U1978="FINES",CONCATENATE("R",IF(OR(B1978="16",B1978="21",B1978="22",B1978="23"),"16212223",IF(OR(B1978="15",B1978="17",B1978="24",B1978="25"),"15172425",B1978))),IF(U1978="CEBAS","UNICO",IF(VALUE(B1978)&lt;=11,"AMBA","INTERIOR"))))</f>
        <v>R02</v>
      </c>
      <c r="W1978" s="38" t="str">
        <f>+IF(U1978="","-",CONCATENATE(U1978,"_",V1978))</f>
        <v>FINES_R02</v>
      </c>
      <c r="X1978" s="42">
        <v>0.88800000000000001</v>
      </c>
    </row>
    <row r="1979" spans="1:24">
      <c r="A1979" s="21" t="s">
        <v>5100</v>
      </c>
      <c r="B1979" t="s">
        <v>356</v>
      </c>
      <c r="C1979" t="s">
        <v>1359</v>
      </c>
      <c r="D1979" t="s">
        <v>1360</v>
      </c>
      <c r="E1979" s="7" t="s">
        <v>198</v>
      </c>
      <c r="F1979" s="7" t="s">
        <v>198</v>
      </c>
      <c r="G1979" s="7" t="s">
        <v>198</v>
      </c>
      <c r="H1979" s="7" t="s">
        <v>20</v>
      </c>
      <c r="I1979" s="7" t="s">
        <v>5102</v>
      </c>
      <c r="J1979" s="7" t="s">
        <v>21</v>
      </c>
      <c r="L1979" t="s">
        <v>3276</v>
      </c>
      <c r="M1979" s="7" t="s">
        <v>22</v>
      </c>
      <c r="N1979" s="7" t="s">
        <v>23</v>
      </c>
      <c r="O1979" s="7" t="s">
        <v>27</v>
      </c>
      <c r="P1979" s="7" t="s">
        <v>5101</v>
      </c>
      <c r="Q1979" s="26">
        <v>87</v>
      </c>
      <c r="R1979" s="26">
        <v>4</v>
      </c>
      <c r="S1979" s="40">
        <v>1</v>
      </c>
      <c r="T1979" s="7"/>
      <c r="U1979" s="7" t="s">
        <v>2951</v>
      </c>
      <c r="V1979" s="7" t="str">
        <f>+IF(U1979="","",IF(U1979="FINES",CONCATENATE("R",IF(OR(B1979="16",B1979="21",B1979="22",B1979="23"),"16212223",IF(OR(B1979="15",B1979="17",B1979="24",B1979="25"),"15172425",B1979))),IF(U1979="CEBAS","UNICO",IF(VALUE(B1979)&lt;=11,"AMBA","INTERIOR"))))</f>
        <v>R02</v>
      </c>
      <c r="W1979" s="38" t="str">
        <f>+IF(U1979="","-",CONCATENATE(U1979,"_",V1979))</f>
        <v>FINES_R02</v>
      </c>
      <c r="X1979" s="42">
        <v>0.89500000000000002</v>
      </c>
    </row>
    <row r="1980" spans="1:24">
      <c r="A1980" s="21" t="s">
        <v>5100</v>
      </c>
      <c r="B1980" t="s">
        <v>356</v>
      </c>
      <c r="C1980" t="s">
        <v>353</v>
      </c>
      <c r="D1980" t="s">
        <v>355</v>
      </c>
      <c r="E1980" s="7" t="s">
        <v>198</v>
      </c>
      <c r="F1980" s="7" t="s">
        <v>198</v>
      </c>
      <c r="G1980" s="7" t="s">
        <v>198</v>
      </c>
      <c r="H1980" s="7" t="s">
        <v>20</v>
      </c>
      <c r="I1980" s="7" t="s">
        <v>5102</v>
      </c>
      <c r="J1980" s="7" t="s">
        <v>21</v>
      </c>
      <c r="L1980" t="s">
        <v>3150</v>
      </c>
      <c r="M1980" s="7" t="s">
        <v>22</v>
      </c>
      <c r="N1980" s="7" t="s">
        <v>23</v>
      </c>
      <c r="O1980" s="7" t="s">
        <v>27</v>
      </c>
      <c r="P1980" s="7" t="s">
        <v>5101</v>
      </c>
      <c r="Q1980" s="26">
        <v>28</v>
      </c>
      <c r="R1980" s="26">
        <v>1</v>
      </c>
      <c r="S1980" s="40">
        <v>1</v>
      </c>
      <c r="T1980" s="7"/>
      <c r="U1980" s="7" t="s">
        <v>2951</v>
      </c>
      <c r="V1980" s="7" t="str">
        <f>+IF(U1980="","",IF(U1980="FINES",CONCATENATE("R",IF(OR(B1980="16",B1980="21",B1980="22",B1980="23"),"16212223",IF(OR(B1980="15",B1980="17",B1980="24",B1980="25"),"15172425",B1980))),IF(U1980="CEBAS","UNICO",IF(VALUE(B1980)&lt;=11,"AMBA","INTERIOR"))))</f>
        <v>R02</v>
      </c>
      <c r="W1980" s="38" t="str">
        <f>+IF(U1980="","-",CONCATENATE(U1980,"_",V1980))</f>
        <v>FINES_R02</v>
      </c>
      <c r="X1980" s="42">
        <v>0.89900000000000002</v>
      </c>
    </row>
    <row r="1981" spans="1:24">
      <c r="A1981" s="21" t="s">
        <v>5100</v>
      </c>
      <c r="B1981" t="s">
        <v>356</v>
      </c>
      <c r="C1981" t="s">
        <v>353</v>
      </c>
      <c r="D1981" t="s">
        <v>355</v>
      </c>
      <c r="E1981" s="7" t="s">
        <v>198</v>
      </c>
      <c r="F1981" s="7" t="s">
        <v>198</v>
      </c>
      <c r="G1981" s="7" t="s">
        <v>198</v>
      </c>
      <c r="H1981" s="7" t="s">
        <v>20</v>
      </c>
      <c r="I1981" s="7" t="s">
        <v>5102</v>
      </c>
      <c r="J1981" s="7" t="s">
        <v>21</v>
      </c>
      <c r="L1981" t="s">
        <v>3155</v>
      </c>
      <c r="M1981" s="7" t="s">
        <v>22</v>
      </c>
      <c r="N1981" s="7" t="s">
        <v>23</v>
      </c>
      <c r="O1981" s="7" t="s">
        <v>27</v>
      </c>
      <c r="P1981" s="7" t="s">
        <v>5101</v>
      </c>
      <c r="Q1981" s="26">
        <v>87</v>
      </c>
      <c r="R1981" s="26">
        <v>3</v>
      </c>
      <c r="S1981" s="40">
        <v>1</v>
      </c>
      <c r="T1981" s="7"/>
      <c r="U1981" s="7" t="s">
        <v>2951</v>
      </c>
      <c r="V1981" s="7" t="str">
        <f>+IF(U1981="","",IF(U1981="FINES",CONCATENATE("R",IF(OR(B1981="16",B1981="21",B1981="22",B1981="23"),"16212223",IF(OR(B1981="15",B1981="17",B1981="24",B1981="25"),"15172425",B1981))),IF(U1981="CEBAS","UNICO",IF(VALUE(B1981)&lt;=11,"AMBA","INTERIOR"))))</f>
        <v>R02</v>
      </c>
      <c r="W1981" s="38" t="str">
        <f>+IF(U1981="","-",CONCATENATE(U1981,"_",V1981))</f>
        <v>FINES_R02</v>
      </c>
      <c r="X1981" s="42">
        <v>0.89900000000000002</v>
      </c>
    </row>
    <row r="1982" spans="1:24">
      <c r="A1982" s="21" t="s">
        <v>5100</v>
      </c>
      <c r="B1982" t="s">
        <v>356</v>
      </c>
      <c r="C1982" t="s">
        <v>1359</v>
      </c>
      <c r="D1982" t="s">
        <v>1360</v>
      </c>
      <c r="E1982" s="7" t="s">
        <v>198</v>
      </c>
      <c r="F1982" s="7" t="s">
        <v>198</v>
      </c>
      <c r="G1982" s="7" t="s">
        <v>198</v>
      </c>
      <c r="H1982" s="7" t="s">
        <v>20</v>
      </c>
      <c r="I1982" s="7" t="s">
        <v>5102</v>
      </c>
      <c r="J1982" s="7" t="s">
        <v>21</v>
      </c>
      <c r="L1982" t="s">
        <v>3232</v>
      </c>
      <c r="M1982" s="7" t="s">
        <v>22</v>
      </c>
      <c r="N1982" s="7" t="s">
        <v>23</v>
      </c>
      <c r="O1982" s="7" t="s">
        <v>27</v>
      </c>
      <c r="P1982" s="7" t="s">
        <v>5101</v>
      </c>
      <c r="Q1982" s="26">
        <v>20</v>
      </c>
      <c r="R1982" s="26">
        <v>1</v>
      </c>
      <c r="S1982" s="40">
        <v>1</v>
      </c>
      <c r="T1982" s="7"/>
      <c r="U1982" s="7" t="s">
        <v>2951</v>
      </c>
      <c r="V1982" s="7" t="str">
        <f>+IF(U1982="","",IF(U1982="FINES",CONCATENATE("R",IF(OR(B1982="16",B1982="21",B1982="22",B1982="23"),"16212223",IF(OR(B1982="15",B1982="17",B1982="24",B1982="25"),"15172425",B1982))),IF(U1982="CEBAS","UNICO",IF(VALUE(B1982)&lt;=11,"AMBA","INTERIOR"))))</f>
        <v>R02</v>
      </c>
      <c r="W1982" s="38" t="str">
        <f>+IF(U1982="","-",CONCATENATE(U1982,"_",V1982))</f>
        <v>FINES_R02</v>
      </c>
      <c r="X1982" s="42">
        <v>0.90500000000000003</v>
      </c>
    </row>
    <row r="1983" spans="1:24">
      <c r="A1983" s="21" t="s">
        <v>5100</v>
      </c>
      <c r="B1983" t="s">
        <v>356</v>
      </c>
      <c r="C1983" t="s">
        <v>1359</v>
      </c>
      <c r="D1983" t="s">
        <v>1360</v>
      </c>
      <c r="E1983" s="7" t="s">
        <v>198</v>
      </c>
      <c r="F1983" s="7" t="s">
        <v>198</v>
      </c>
      <c r="G1983" s="7" t="s">
        <v>198</v>
      </c>
      <c r="H1983" s="7" t="s">
        <v>20</v>
      </c>
      <c r="I1983" s="7" t="s">
        <v>5102</v>
      </c>
      <c r="J1983" s="7" t="s">
        <v>21</v>
      </c>
      <c r="L1983" t="s">
        <v>3251</v>
      </c>
      <c r="M1983" s="7" t="s">
        <v>22</v>
      </c>
      <c r="N1983" s="7" t="s">
        <v>23</v>
      </c>
      <c r="O1983" s="7" t="s">
        <v>27</v>
      </c>
      <c r="P1983" s="7" t="s">
        <v>5101</v>
      </c>
      <c r="Q1983" s="26">
        <v>11</v>
      </c>
      <c r="R1983" s="26">
        <v>1</v>
      </c>
      <c r="S1983" s="40">
        <v>1</v>
      </c>
      <c r="T1983" s="7"/>
      <c r="U1983" s="7" t="s">
        <v>2951</v>
      </c>
      <c r="V1983" s="7" t="str">
        <f>+IF(U1983="","",IF(U1983="FINES",CONCATENATE("R",IF(OR(B1983="16",B1983="21",B1983="22",B1983="23"),"16212223",IF(OR(B1983="15",B1983="17",B1983="24",B1983="25"),"15172425",B1983))),IF(U1983="CEBAS","UNICO",IF(VALUE(B1983)&lt;=11,"AMBA","INTERIOR"))))</f>
        <v>R02</v>
      </c>
      <c r="W1983" s="38" t="str">
        <f>+IF(U1983="","-",CONCATENATE(U1983,"_",V1983))</f>
        <v>FINES_R02</v>
      </c>
      <c r="X1983" s="42">
        <v>0.90700000000000003</v>
      </c>
    </row>
    <row r="1984" spans="1:24">
      <c r="A1984" s="21" t="s">
        <v>5100</v>
      </c>
      <c r="B1984" t="s">
        <v>356</v>
      </c>
      <c r="C1984" t="s">
        <v>1359</v>
      </c>
      <c r="D1984" t="s">
        <v>1360</v>
      </c>
      <c r="E1984" s="7" t="s">
        <v>198</v>
      </c>
      <c r="F1984" s="7" t="s">
        <v>198</v>
      </c>
      <c r="G1984" s="7" t="s">
        <v>198</v>
      </c>
      <c r="H1984" s="7" t="s">
        <v>20</v>
      </c>
      <c r="I1984" s="7" t="s">
        <v>5102</v>
      </c>
      <c r="J1984" s="7" t="s">
        <v>21</v>
      </c>
      <c r="L1984" t="s">
        <v>3284</v>
      </c>
      <c r="M1984" s="7" t="s">
        <v>22</v>
      </c>
      <c r="N1984" s="7" t="s">
        <v>23</v>
      </c>
      <c r="O1984" s="7" t="s">
        <v>27</v>
      </c>
      <c r="P1984" s="7" t="s">
        <v>5101</v>
      </c>
      <c r="Q1984" s="26">
        <v>17</v>
      </c>
      <c r="R1984" s="26">
        <v>1</v>
      </c>
      <c r="S1984" s="40">
        <v>1</v>
      </c>
      <c r="T1984" s="7"/>
      <c r="U1984" s="7" t="s">
        <v>2951</v>
      </c>
      <c r="V1984" s="7" t="str">
        <f>+IF(U1984="","",IF(U1984="FINES",CONCATENATE("R",IF(OR(B1984="16",B1984="21",B1984="22",B1984="23"),"16212223",IF(OR(B1984="15",B1984="17",B1984="24",B1984="25"),"15172425",B1984))),IF(U1984="CEBAS","UNICO",IF(VALUE(B1984)&lt;=11,"AMBA","INTERIOR"))))</f>
        <v>R02</v>
      </c>
      <c r="W1984" s="38" t="str">
        <f>+IF(U1984="","-",CONCATENATE(U1984,"_",V1984))</f>
        <v>FINES_R02</v>
      </c>
      <c r="X1984" s="42">
        <v>0.91</v>
      </c>
    </row>
    <row r="1985" spans="1:24">
      <c r="A1985" s="21" t="s">
        <v>5100</v>
      </c>
      <c r="B1985" t="s">
        <v>356</v>
      </c>
      <c r="C1985" t="s">
        <v>353</v>
      </c>
      <c r="D1985" t="s">
        <v>355</v>
      </c>
      <c r="E1985" s="7" t="s">
        <v>198</v>
      </c>
      <c r="F1985" s="7" t="s">
        <v>198</v>
      </c>
      <c r="G1985" s="7" t="s">
        <v>198</v>
      </c>
      <c r="H1985" s="7" t="s">
        <v>20</v>
      </c>
      <c r="I1985" s="7" t="s">
        <v>5102</v>
      </c>
      <c r="J1985" s="7" t="s">
        <v>21</v>
      </c>
      <c r="L1985" t="s">
        <v>3171</v>
      </c>
      <c r="M1985" s="7" t="s">
        <v>22</v>
      </c>
      <c r="N1985" s="7" t="s">
        <v>23</v>
      </c>
      <c r="O1985" s="7" t="s">
        <v>27</v>
      </c>
      <c r="P1985" s="7" t="s">
        <v>5101</v>
      </c>
      <c r="Q1985" s="26">
        <v>69</v>
      </c>
      <c r="R1985" s="26">
        <v>3</v>
      </c>
      <c r="S1985" s="40">
        <v>1</v>
      </c>
      <c r="T1985" s="7"/>
      <c r="U1985" s="7" t="s">
        <v>2951</v>
      </c>
      <c r="V1985" s="7" t="str">
        <f>+IF(U1985="","",IF(U1985="FINES",CONCATENATE("R",IF(OR(B1985="16",B1985="21",B1985="22",B1985="23"),"16212223",IF(OR(B1985="15",B1985="17",B1985="24",B1985="25"),"15172425",B1985))),IF(U1985="CEBAS","UNICO",IF(VALUE(B1985)&lt;=11,"AMBA","INTERIOR"))))</f>
        <v>R02</v>
      </c>
      <c r="W1985" s="38" t="str">
        <f>+IF(U1985="","-",CONCATENATE(U1985,"_",V1985))</f>
        <v>FINES_R02</v>
      </c>
      <c r="X1985" s="42">
        <v>0.91</v>
      </c>
    </row>
    <row r="1986" spans="1:24">
      <c r="A1986" s="21" t="s">
        <v>5100</v>
      </c>
      <c r="B1986" t="s">
        <v>356</v>
      </c>
      <c r="C1986" t="s">
        <v>805</v>
      </c>
      <c r="D1986" t="s">
        <v>2500</v>
      </c>
      <c r="E1986" s="7" t="s">
        <v>198</v>
      </c>
      <c r="F1986" s="7" t="s">
        <v>198</v>
      </c>
      <c r="G1986" s="7" t="s">
        <v>198</v>
      </c>
      <c r="H1986" s="7" t="s">
        <v>20</v>
      </c>
      <c r="I1986" s="7" t="s">
        <v>5102</v>
      </c>
      <c r="J1986" s="7" t="s">
        <v>21</v>
      </c>
      <c r="L1986" t="s">
        <v>3223</v>
      </c>
      <c r="M1986" s="7" t="s">
        <v>22</v>
      </c>
      <c r="N1986" s="7" t="s">
        <v>23</v>
      </c>
      <c r="O1986" s="7" t="s">
        <v>27</v>
      </c>
      <c r="P1986" s="7" t="s">
        <v>5101</v>
      </c>
      <c r="Q1986" s="26">
        <v>15</v>
      </c>
      <c r="R1986" s="26">
        <v>1</v>
      </c>
      <c r="S1986" s="40">
        <v>1</v>
      </c>
      <c r="T1986" s="7"/>
      <c r="U1986" s="7" t="s">
        <v>2951</v>
      </c>
      <c r="V1986" s="7" t="str">
        <f>+IF(U1986="","",IF(U1986="FINES",CONCATENATE("R",IF(OR(B1986="16",B1986="21",B1986="22",B1986="23"),"16212223",IF(OR(B1986="15",B1986="17",B1986="24",B1986="25"),"15172425",B1986))),IF(U1986="CEBAS","UNICO",IF(VALUE(B1986)&lt;=11,"AMBA","INTERIOR"))))</f>
        <v>R02</v>
      </c>
      <c r="W1986" s="38" t="str">
        <f>+IF(U1986="","-",CONCATENATE(U1986,"_",V1986))</f>
        <v>FINES_R02</v>
      </c>
      <c r="X1986" s="42">
        <v>0.91100000000000003</v>
      </c>
    </row>
    <row r="1987" spans="1:24">
      <c r="A1987" s="21" t="s">
        <v>5100</v>
      </c>
      <c r="B1987" t="s">
        <v>356</v>
      </c>
      <c r="C1987" t="s">
        <v>805</v>
      </c>
      <c r="D1987" t="s">
        <v>2500</v>
      </c>
      <c r="E1987" s="7" t="s">
        <v>198</v>
      </c>
      <c r="F1987" s="7" t="s">
        <v>198</v>
      </c>
      <c r="G1987" s="7" t="s">
        <v>198</v>
      </c>
      <c r="H1987" s="7" t="s">
        <v>20</v>
      </c>
      <c r="I1987" s="7" t="s">
        <v>5102</v>
      </c>
      <c r="J1987" s="7" t="s">
        <v>21</v>
      </c>
      <c r="L1987" t="s">
        <v>3220</v>
      </c>
      <c r="M1987" s="7" t="s">
        <v>22</v>
      </c>
      <c r="N1987" s="7" t="s">
        <v>23</v>
      </c>
      <c r="O1987" s="7" t="s">
        <v>27</v>
      </c>
      <c r="P1987" s="7" t="s">
        <v>5101</v>
      </c>
      <c r="Q1987" s="26">
        <v>18</v>
      </c>
      <c r="R1987" s="26">
        <v>1</v>
      </c>
      <c r="S1987" s="40">
        <v>1</v>
      </c>
      <c r="T1987" s="7"/>
      <c r="U1987" s="7" t="s">
        <v>2951</v>
      </c>
      <c r="V1987" s="7" t="str">
        <f>+IF(U1987="","",IF(U1987="FINES",CONCATENATE("R",IF(OR(B1987="16",B1987="21",B1987="22",B1987="23"),"16212223",IF(OR(B1987="15",B1987="17",B1987="24",B1987="25"),"15172425",B1987))),IF(U1987="CEBAS","UNICO",IF(VALUE(B1987)&lt;=11,"AMBA","INTERIOR"))))</f>
        <v>R02</v>
      </c>
      <c r="W1987" s="38" t="str">
        <f>+IF(U1987="","-",CONCATENATE(U1987,"_",V1987))</f>
        <v>FINES_R02</v>
      </c>
      <c r="X1987" s="42">
        <v>0.92300000000000004</v>
      </c>
    </row>
    <row r="1988" spans="1:24">
      <c r="A1988" s="21" t="s">
        <v>5100</v>
      </c>
      <c r="B1988" t="s">
        <v>356</v>
      </c>
      <c r="C1988" t="s">
        <v>805</v>
      </c>
      <c r="D1988" t="s">
        <v>2500</v>
      </c>
      <c r="E1988" s="7" t="s">
        <v>198</v>
      </c>
      <c r="F1988" s="7" t="s">
        <v>198</v>
      </c>
      <c r="G1988" s="7" t="s">
        <v>198</v>
      </c>
      <c r="H1988" s="7" t="s">
        <v>20</v>
      </c>
      <c r="I1988" s="7" t="s">
        <v>5102</v>
      </c>
      <c r="J1988" s="7" t="s">
        <v>21</v>
      </c>
      <c r="L1988" t="s">
        <v>3201</v>
      </c>
      <c r="M1988" s="7" t="s">
        <v>22</v>
      </c>
      <c r="N1988" s="7" t="s">
        <v>23</v>
      </c>
      <c r="O1988" s="7" t="s">
        <v>27</v>
      </c>
      <c r="P1988" s="7" t="s">
        <v>5101</v>
      </c>
      <c r="Q1988" s="26">
        <v>28</v>
      </c>
      <c r="R1988" s="26">
        <v>1</v>
      </c>
      <c r="S1988" s="40">
        <v>1</v>
      </c>
      <c r="T1988" s="7"/>
      <c r="U1988" s="7" t="s">
        <v>2951</v>
      </c>
      <c r="V1988" s="7" t="str">
        <f>+IF(U1988="","",IF(U1988="FINES",CONCATENATE("R",IF(OR(B1988="16",B1988="21",B1988="22",B1988="23"),"16212223",IF(OR(B1988="15",B1988="17",B1988="24",B1988="25"),"15172425",B1988))),IF(U1988="CEBAS","UNICO",IF(VALUE(B1988)&lt;=11,"AMBA","INTERIOR"))))</f>
        <v>R02</v>
      </c>
      <c r="W1988" s="38" t="str">
        <f>+IF(U1988="","-",CONCATENATE(U1988,"_",V1988))</f>
        <v>FINES_R02</v>
      </c>
      <c r="X1988" s="42">
        <v>0.92800000000000005</v>
      </c>
    </row>
    <row r="1989" spans="1:24">
      <c r="A1989" s="21" t="s">
        <v>5100</v>
      </c>
      <c r="B1989" t="s">
        <v>356</v>
      </c>
      <c r="C1989" t="s">
        <v>805</v>
      </c>
      <c r="D1989" t="s">
        <v>2500</v>
      </c>
      <c r="E1989" s="7" t="s">
        <v>198</v>
      </c>
      <c r="F1989" s="7" t="s">
        <v>198</v>
      </c>
      <c r="G1989" s="7" t="s">
        <v>198</v>
      </c>
      <c r="H1989" s="7" t="s">
        <v>20</v>
      </c>
      <c r="I1989" s="7" t="s">
        <v>5102</v>
      </c>
      <c r="J1989" s="7" t="s">
        <v>21</v>
      </c>
      <c r="L1989" t="s">
        <v>3212</v>
      </c>
      <c r="M1989" s="7" t="s">
        <v>22</v>
      </c>
      <c r="N1989" s="7" t="s">
        <v>23</v>
      </c>
      <c r="O1989" s="7" t="s">
        <v>27</v>
      </c>
      <c r="P1989" s="7" t="s">
        <v>5101</v>
      </c>
      <c r="Q1989" s="26">
        <v>18</v>
      </c>
      <c r="R1989" s="26">
        <v>1</v>
      </c>
      <c r="S1989" s="40">
        <v>1</v>
      </c>
      <c r="T1989" s="7"/>
      <c r="U1989" s="7" t="s">
        <v>2951</v>
      </c>
      <c r="V1989" s="7" t="str">
        <f>+IF(U1989="","",IF(U1989="FINES",CONCATENATE("R",IF(OR(B1989="16",B1989="21",B1989="22",B1989="23"),"16212223",IF(OR(B1989="15",B1989="17",B1989="24",B1989="25"),"15172425",B1989))),IF(U1989="CEBAS","UNICO",IF(VALUE(B1989)&lt;=11,"AMBA","INTERIOR"))))</f>
        <v>R02</v>
      </c>
      <c r="W1989" s="38" t="str">
        <f>+IF(U1989="","-",CONCATENATE(U1989,"_",V1989))</f>
        <v>FINES_R02</v>
      </c>
      <c r="X1989" s="42">
        <v>0.95699999999999996</v>
      </c>
    </row>
    <row r="1990" spans="1:24">
      <c r="A1990" s="21" t="s">
        <v>5100</v>
      </c>
      <c r="B1990" t="s">
        <v>356</v>
      </c>
      <c r="C1990" t="s">
        <v>353</v>
      </c>
      <c r="D1990" t="s">
        <v>355</v>
      </c>
      <c r="E1990" s="7" t="s">
        <v>198</v>
      </c>
      <c r="F1990" s="7" t="s">
        <v>198</v>
      </c>
      <c r="G1990" s="7" t="s">
        <v>198</v>
      </c>
      <c r="H1990" s="7" t="s">
        <v>20</v>
      </c>
      <c r="I1990" s="7" t="s">
        <v>5102</v>
      </c>
      <c r="J1990" s="7" t="s">
        <v>21</v>
      </c>
      <c r="L1990" t="s">
        <v>3138</v>
      </c>
      <c r="M1990" s="7" t="s">
        <v>22</v>
      </c>
      <c r="N1990" s="7" t="s">
        <v>23</v>
      </c>
      <c r="O1990" s="7" t="s">
        <v>27</v>
      </c>
      <c r="P1990" s="7" t="s">
        <v>5101</v>
      </c>
      <c r="Q1990" s="26">
        <v>22</v>
      </c>
      <c r="R1990" s="26">
        <v>1</v>
      </c>
      <c r="S1990" s="40">
        <v>1</v>
      </c>
      <c r="T1990" s="7"/>
      <c r="U1990" s="7" t="s">
        <v>2951</v>
      </c>
      <c r="V1990" s="7" t="str">
        <f>+IF(U1990="","",IF(U1990="FINES",CONCATENATE("R",IF(OR(B1990="16",B1990="21",B1990="22",B1990="23"),"16212223",IF(OR(B1990="15",B1990="17",B1990="24",B1990="25"),"15172425",B1990))),IF(U1990="CEBAS","UNICO",IF(VALUE(B1990)&lt;=11,"AMBA","INTERIOR"))))</f>
        <v>R02</v>
      </c>
      <c r="W1990" s="38" t="str">
        <f>+IF(U1990="","-",CONCATENATE(U1990,"_",V1990))</f>
        <v>FINES_R02</v>
      </c>
      <c r="X1990" s="42">
        <v>0.96499999999999997</v>
      </c>
    </row>
    <row r="1991" spans="1:24">
      <c r="A1991" s="21" t="s">
        <v>5100</v>
      </c>
      <c r="B1991" t="s">
        <v>356</v>
      </c>
      <c r="C1991" t="s">
        <v>353</v>
      </c>
      <c r="D1991" t="s">
        <v>355</v>
      </c>
      <c r="E1991" s="7" t="s">
        <v>198</v>
      </c>
      <c r="F1991" s="7" t="s">
        <v>198</v>
      </c>
      <c r="G1991" s="7" t="s">
        <v>198</v>
      </c>
      <c r="H1991" s="7" t="s">
        <v>20</v>
      </c>
      <c r="I1991" s="7" t="s">
        <v>5102</v>
      </c>
      <c r="J1991" s="7" t="s">
        <v>21</v>
      </c>
      <c r="L1991" t="s">
        <v>3185</v>
      </c>
      <c r="M1991" s="7" t="s">
        <v>22</v>
      </c>
      <c r="N1991" s="7" t="s">
        <v>23</v>
      </c>
      <c r="O1991" s="7" t="s">
        <v>27</v>
      </c>
      <c r="P1991" s="7" t="s">
        <v>5101</v>
      </c>
      <c r="Q1991" s="26">
        <v>32</v>
      </c>
      <c r="R1991" s="26">
        <v>1</v>
      </c>
      <c r="S1991" s="40">
        <v>1</v>
      </c>
      <c r="T1991" s="7"/>
      <c r="U1991" s="7" t="s">
        <v>2951</v>
      </c>
      <c r="V1991" s="7" t="str">
        <f>+IF(U1991="","",IF(U1991="FINES",CONCATENATE("R",IF(OR(B1991="16",B1991="21",B1991="22",B1991="23"),"16212223",IF(OR(B1991="15",B1991="17",B1991="24",B1991="25"),"15172425",B1991))),IF(U1991="CEBAS","UNICO",IF(VALUE(B1991)&lt;=11,"AMBA","INTERIOR"))))</f>
        <v>R02</v>
      </c>
      <c r="W1991" s="38" t="str">
        <f>+IF(U1991="","-",CONCATENATE(U1991,"_",V1991))</f>
        <v>FINES_R02</v>
      </c>
      <c r="X1991" s="42">
        <v>0.96799999999999997</v>
      </c>
    </row>
    <row r="1992" spans="1:24">
      <c r="A1992" s="21" t="s">
        <v>5100</v>
      </c>
      <c r="B1992" t="s">
        <v>356</v>
      </c>
      <c r="C1992" t="s">
        <v>1359</v>
      </c>
      <c r="D1992" t="s">
        <v>1360</v>
      </c>
      <c r="E1992" s="7" t="s">
        <v>198</v>
      </c>
      <c r="F1992" s="7" t="s">
        <v>198</v>
      </c>
      <c r="G1992" s="7" t="s">
        <v>198</v>
      </c>
      <c r="H1992" s="7" t="s">
        <v>20</v>
      </c>
      <c r="I1992" s="7" t="s">
        <v>5102</v>
      </c>
      <c r="J1992" s="7" t="s">
        <v>21</v>
      </c>
      <c r="L1992" t="s">
        <v>3305</v>
      </c>
      <c r="M1992" s="7" t="s">
        <v>22</v>
      </c>
      <c r="N1992" s="7" t="s">
        <v>23</v>
      </c>
      <c r="O1992" s="7" t="s">
        <v>27</v>
      </c>
      <c r="P1992" s="7" t="s">
        <v>5101</v>
      </c>
      <c r="Q1992" s="26">
        <v>22</v>
      </c>
      <c r="R1992" s="26">
        <v>1</v>
      </c>
      <c r="S1992" s="40">
        <v>1</v>
      </c>
      <c r="T1992" s="7"/>
      <c r="U1992" s="7" t="s">
        <v>2951</v>
      </c>
      <c r="V1992" s="7" t="str">
        <f>+IF(U1992="","",IF(U1992="FINES",CONCATENATE("R",IF(OR(B1992="16",B1992="21",B1992="22",B1992="23"),"16212223",IF(OR(B1992="15",B1992="17",B1992="24",B1992="25"),"15172425",B1992))),IF(U1992="CEBAS","UNICO",IF(VALUE(B1992)&lt;=11,"AMBA","INTERIOR"))))</f>
        <v>R02</v>
      </c>
      <c r="W1992" s="38" t="str">
        <f>+IF(U1992="","-",CONCATENATE(U1992,"_",V1992))</f>
        <v>FINES_R02</v>
      </c>
      <c r="X1992" s="42">
        <v>0.96799999999999997</v>
      </c>
    </row>
    <row r="1993" spans="1:24">
      <c r="A1993" s="21" t="s">
        <v>5100</v>
      </c>
      <c r="B1993" t="s">
        <v>356</v>
      </c>
      <c r="C1993" t="s">
        <v>1359</v>
      </c>
      <c r="D1993" t="s">
        <v>1360</v>
      </c>
      <c r="E1993" s="7" t="s">
        <v>198</v>
      </c>
      <c r="F1993" s="7" t="s">
        <v>198</v>
      </c>
      <c r="G1993" s="7" t="s">
        <v>198</v>
      </c>
      <c r="H1993" s="7" t="s">
        <v>20</v>
      </c>
      <c r="I1993" s="7" t="s">
        <v>5102</v>
      </c>
      <c r="J1993" s="7" t="s">
        <v>21</v>
      </c>
      <c r="L1993" t="s">
        <v>3267</v>
      </c>
      <c r="M1993" s="7" t="s">
        <v>22</v>
      </c>
      <c r="N1993" s="7" t="s">
        <v>23</v>
      </c>
      <c r="O1993" s="7" t="s">
        <v>27</v>
      </c>
      <c r="P1993" s="7" t="s">
        <v>5101</v>
      </c>
      <c r="Q1993" s="26">
        <v>21</v>
      </c>
      <c r="R1993" s="26">
        <v>1</v>
      </c>
      <c r="S1993" s="40">
        <v>1</v>
      </c>
      <c r="T1993" s="7"/>
      <c r="U1993" s="7" t="s">
        <v>2951</v>
      </c>
      <c r="V1993" s="7" t="str">
        <f>+IF(U1993="","",IF(U1993="FINES",CONCATENATE("R",IF(OR(B1993="16",B1993="21",B1993="22",B1993="23"),"16212223",IF(OR(B1993="15",B1993="17",B1993="24",B1993="25"),"15172425",B1993))),IF(U1993="CEBAS","UNICO",IF(VALUE(B1993)&lt;=11,"AMBA","INTERIOR"))))</f>
        <v>R02</v>
      </c>
      <c r="W1993" s="38" t="str">
        <f>+IF(U1993="","-",CONCATENATE(U1993,"_",V1993))</f>
        <v>FINES_R02</v>
      </c>
      <c r="X1993" s="42">
        <v>0.97199999999999998</v>
      </c>
    </row>
    <row r="1994" spans="1:24">
      <c r="A1994" s="21" t="s">
        <v>5100</v>
      </c>
      <c r="B1994" t="s">
        <v>356</v>
      </c>
      <c r="C1994" t="s">
        <v>353</v>
      </c>
      <c r="D1994" t="s">
        <v>355</v>
      </c>
      <c r="E1994" s="7" t="s">
        <v>198</v>
      </c>
      <c r="F1994" s="7" t="s">
        <v>198</v>
      </c>
      <c r="G1994" s="7" t="s">
        <v>198</v>
      </c>
      <c r="H1994" s="7" t="s">
        <v>20</v>
      </c>
      <c r="I1994" s="7" t="s">
        <v>5102</v>
      </c>
      <c r="J1994" s="7" t="s">
        <v>21</v>
      </c>
      <c r="L1994" t="s">
        <v>3144</v>
      </c>
      <c r="M1994" s="7" t="s">
        <v>22</v>
      </c>
      <c r="N1994" s="7" t="s">
        <v>23</v>
      </c>
      <c r="O1994" s="7" t="s">
        <v>27</v>
      </c>
      <c r="P1994" s="7" t="s">
        <v>5101</v>
      </c>
      <c r="Q1994" s="26">
        <v>52</v>
      </c>
      <c r="R1994" s="26">
        <v>3</v>
      </c>
      <c r="S1994" s="40">
        <v>1</v>
      </c>
      <c r="T1994" s="7"/>
      <c r="U1994" s="7" t="s">
        <v>2951</v>
      </c>
      <c r="V1994" s="7" t="str">
        <f>+IF(U1994="","",IF(U1994="FINES",CONCATENATE("R",IF(OR(B1994="16",B1994="21",B1994="22",B1994="23"),"16212223",IF(OR(B1994="15",B1994="17",B1994="24",B1994="25"),"15172425",B1994))),IF(U1994="CEBAS","UNICO",IF(VALUE(B1994)&lt;=11,"AMBA","INTERIOR"))))</f>
        <v>R02</v>
      </c>
      <c r="W1994" s="38" t="str">
        <f>+IF(U1994="","-",CONCATENATE(U1994,"_",V1994))</f>
        <v>FINES_R02</v>
      </c>
      <c r="X1994" s="42">
        <v>0.97499999999999998</v>
      </c>
    </row>
    <row r="1995" spans="1:24">
      <c r="A1995" s="21" t="s">
        <v>5100</v>
      </c>
      <c r="B1995" t="s">
        <v>356</v>
      </c>
      <c r="C1995" t="s">
        <v>805</v>
      </c>
      <c r="D1995" t="s">
        <v>2500</v>
      </c>
      <c r="E1995" s="7" t="s">
        <v>198</v>
      </c>
      <c r="F1995" s="7" t="s">
        <v>198</v>
      </c>
      <c r="G1995" s="7" t="s">
        <v>198</v>
      </c>
      <c r="H1995" s="7" t="s">
        <v>20</v>
      </c>
      <c r="I1995" s="7" t="s">
        <v>5102</v>
      </c>
      <c r="J1995" s="7" t="s">
        <v>21</v>
      </c>
      <c r="L1995" t="s">
        <v>3208</v>
      </c>
      <c r="M1995" s="7" t="s">
        <v>22</v>
      </c>
      <c r="N1995" s="7" t="s">
        <v>23</v>
      </c>
      <c r="O1995" s="7" t="s">
        <v>27</v>
      </c>
      <c r="P1995" s="7" t="s">
        <v>5101</v>
      </c>
      <c r="Q1995" s="26">
        <v>34</v>
      </c>
      <c r="R1995" s="26">
        <v>2</v>
      </c>
      <c r="S1995" s="40">
        <v>1</v>
      </c>
      <c r="T1995" s="7"/>
      <c r="U1995" s="7" t="s">
        <v>2951</v>
      </c>
      <c r="V1995" s="7" t="str">
        <f>+IF(U1995="","",IF(U1995="FINES",CONCATENATE("R",IF(OR(B1995="16",B1995="21",B1995="22",B1995="23"),"16212223",IF(OR(B1995="15",B1995="17",B1995="24",B1995="25"),"15172425",B1995))),IF(U1995="CEBAS","UNICO",IF(VALUE(B1995)&lt;=11,"AMBA","INTERIOR"))))</f>
        <v>R02</v>
      </c>
      <c r="W1995" s="38" t="str">
        <f>+IF(U1995="","-",CONCATENATE(U1995,"_",V1995))</f>
        <v>FINES_R02</v>
      </c>
      <c r="X1995" s="42">
        <v>0.98099999999999998</v>
      </c>
    </row>
    <row r="1996" spans="1:24">
      <c r="A1996" s="21" t="s">
        <v>5100</v>
      </c>
      <c r="B1996" t="s">
        <v>356</v>
      </c>
      <c r="C1996" t="s">
        <v>1359</v>
      </c>
      <c r="D1996" t="s">
        <v>1360</v>
      </c>
      <c r="E1996" s="7" t="s">
        <v>198</v>
      </c>
      <c r="F1996" s="7" t="s">
        <v>198</v>
      </c>
      <c r="G1996" s="7" t="s">
        <v>198</v>
      </c>
      <c r="H1996" s="7" t="s">
        <v>20</v>
      </c>
      <c r="I1996" s="7" t="s">
        <v>5102</v>
      </c>
      <c r="J1996" s="7" t="s">
        <v>21</v>
      </c>
      <c r="L1996" t="s">
        <v>3234</v>
      </c>
      <c r="M1996" s="7" t="s">
        <v>22</v>
      </c>
      <c r="N1996" s="7" t="s">
        <v>23</v>
      </c>
      <c r="O1996" s="7" t="s">
        <v>27</v>
      </c>
      <c r="P1996" s="7" t="s">
        <v>5101</v>
      </c>
      <c r="Q1996" s="26">
        <v>6</v>
      </c>
      <c r="R1996" s="26">
        <v>1</v>
      </c>
      <c r="S1996" s="40">
        <v>1</v>
      </c>
      <c r="T1996" s="7"/>
      <c r="U1996" s="7" t="s">
        <v>2951</v>
      </c>
      <c r="V1996" s="7" t="str">
        <f>+IF(U1996="","",IF(U1996="FINES",CONCATENATE("R",IF(OR(B1996="16",B1996="21",B1996="22",B1996="23"),"16212223",IF(OR(B1996="15",B1996="17",B1996="24",B1996="25"),"15172425",B1996))),IF(U1996="CEBAS","UNICO",IF(VALUE(B1996)&lt;=11,"AMBA","INTERIOR"))))</f>
        <v>R02</v>
      </c>
      <c r="W1996" s="38" t="str">
        <f>+IF(U1996="","-",CONCATENATE(U1996,"_",V1996))</f>
        <v>FINES_R02</v>
      </c>
      <c r="X1996" s="42">
        <v>0.99299999999999999</v>
      </c>
    </row>
    <row r="1997" spans="1:24">
      <c r="A1997" s="21" t="s">
        <v>5100</v>
      </c>
      <c r="B1997" t="s">
        <v>1532</v>
      </c>
      <c r="C1997" t="s">
        <v>1530</v>
      </c>
      <c r="D1997" t="s">
        <v>1531</v>
      </c>
      <c r="E1997" s="7" t="s">
        <v>198</v>
      </c>
      <c r="F1997" s="7" t="s">
        <v>198</v>
      </c>
      <c r="G1997" s="7" t="s">
        <v>198</v>
      </c>
      <c r="H1997" s="7" t="s">
        <v>20</v>
      </c>
      <c r="I1997" s="7" t="s">
        <v>5102</v>
      </c>
      <c r="J1997" s="7" t="s">
        <v>21</v>
      </c>
      <c r="L1997" t="s">
        <v>3369</v>
      </c>
      <c r="M1997" s="7" t="s">
        <v>22</v>
      </c>
      <c r="N1997" s="7" t="s">
        <v>23</v>
      </c>
      <c r="O1997" s="7" t="s">
        <v>27</v>
      </c>
      <c r="P1997" s="7" t="s">
        <v>5101</v>
      </c>
      <c r="Q1997" s="26">
        <v>22</v>
      </c>
      <c r="R1997" s="26">
        <v>1</v>
      </c>
      <c r="S1997" s="40">
        <v>1</v>
      </c>
      <c r="T1997" s="7"/>
      <c r="U1997" s="7" t="s">
        <v>2951</v>
      </c>
      <c r="V1997" s="7" t="str">
        <f>+IF(U1997="","",IF(U1997="FINES",CONCATENATE("R",IF(OR(B1997="16",B1997="21",B1997="22",B1997="23"),"16212223",IF(OR(B1997="15",B1997="17",B1997="24",B1997="25"),"15172425",B1997))),IF(U1997="CEBAS","UNICO",IF(VALUE(B1997)&lt;=11,"AMBA","INTERIOR"))))</f>
        <v>R03</v>
      </c>
      <c r="W1997" s="38" t="str">
        <f>+IF(U1997="","-",CONCATENATE(U1997,"_",V1997))</f>
        <v>FINES_R03</v>
      </c>
      <c r="X1997" s="42">
        <v>2E-3</v>
      </c>
    </row>
    <row r="1998" spans="1:24">
      <c r="A1998" s="21" t="s">
        <v>5100</v>
      </c>
      <c r="B1998" t="s">
        <v>1532</v>
      </c>
      <c r="C1998" t="s">
        <v>1530</v>
      </c>
      <c r="D1998" t="s">
        <v>1531</v>
      </c>
      <c r="E1998" s="7" t="s">
        <v>198</v>
      </c>
      <c r="F1998" s="7" t="s">
        <v>198</v>
      </c>
      <c r="G1998" s="7" t="s">
        <v>198</v>
      </c>
      <c r="H1998" s="7" t="s">
        <v>20</v>
      </c>
      <c r="I1998" s="7" t="s">
        <v>5102</v>
      </c>
      <c r="J1998" s="7" t="s">
        <v>21</v>
      </c>
      <c r="L1998" t="s">
        <v>3525</v>
      </c>
      <c r="M1998" s="7" t="s">
        <v>22</v>
      </c>
      <c r="N1998" s="7" t="s">
        <v>23</v>
      </c>
      <c r="O1998" s="7" t="s">
        <v>27</v>
      </c>
      <c r="P1998" s="7" t="s">
        <v>5101</v>
      </c>
      <c r="Q1998" s="26">
        <v>19</v>
      </c>
      <c r="R1998" s="26">
        <v>1</v>
      </c>
      <c r="S1998" s="40">
        <v>1</v>
      </c>
      <c r="T1998" s="7"/>
      <c r="U1998" s="7" t="s">
        <v>2951</v>
      </c>
      <c r="V1998" s="7" t="str">
        <f>+IF(U1998="","",IF(U1998="FINES",CONCATENATE("R",IF(OR(B1998="16",B1998="21",B1998="22",B1998="23"),"16212223",IF(OR(B1998="15",B1998="17",B1998="24",B1998="25"),"15172425",B1998))),IF(U1998="CEBAS","UNICO",IF(VALUE(B1998)&lt;=11,"AMBA","INTERIOR"))))</f>
        <v>R03</v>
      </c>
      <c r="W1998" s="38" t="str">
        <f>+IF(U1998="","-",CONCATENATE(U1998,"_",V1998))</f>
        <v>FINES_R03</v>
      </c>
      <c r="X1998" s="42">
        <v>8.0000000000000002E-3</v>
      </c>
    </row>
    <row r="1999" spans="1:24">
      <c r="A1999" s="21" t="s">
        <v>5100</v>
      </c>
      <c r="B1999" t="s">
        <v>1532</v>
      </c>
      <c r="C1999" t="s">
        <v>1530</v>
      </c>
      <c r="D1999" t="s">
        <v>1531</v>
      </c>
      <c r="E1999" s="7" t="s">
        <v>198</v>
      </c>
      <c r="F1999" s="7" t="s">
        <v>198</v>
      </c>
      <c r="G1999" s="7" t="s">
        <v>198</v>
      </c>
      <c r="H1999" s="7" t="s">
        <v>20</v>
      </c>
      <c r="I1999" s="7" t="s">
        <v>5102</v>
      </c>
      <c r="J1999" s="7" t="s">
        <v>21</v>
      </c>
      <c r="L1999" t="s">
        <v>3358</v>
      </c>
      <c r="M1999" s="7" t="s">
        <v>22</v>
      </c>
      <c r="N1999" s="7" t="s">
        <v>23</v>
      </c>
      <c r="O1999" s="7" t="s">
        <v>27</v>
      </c>
      <c r="P1999" s="7" t="s">
        <v>5101</v>
      </c>
      <c r="Q1999" s="26">
        <v>38</v>
      </c>
      <c r="R1999" s="26">
        <v>2</v>
      </c>
      <c r="S1999" s="40">
        <v>1</v>
      </c>
      <c r="T1999" s="7"/>
      <c r="U1999" s="7" t="s">
        <v>2951</v>
      </c>
      <c r="V1999" s="7" t="str">
        <f>+IF(U1999="","",IF(U1999="FINES",CONCATENATE("R",IF(OR(B1999="16",B1999="21",B1999="22",B1999="23"),"16212223",IF(OR(B1999="15",B1999="17",B1999="24",B1999="25"),"15172425",B1999))),IF(U1999="CEBAS","UNICO",IF(VALUE(B1999)&lt;=11,"AMBA","INTERIOR"))))</f>
        <v>R03</v>
      </c>
      <c r="W1999" s="38" t="str">
        <f>+IF(U1999="","-",CONCATENATE(U1999,"_",V1999))</f>
        <v>FINES_R03</v>
      </c>
      <c r="X1999" s="42">
        <v>1.2E-2</v>
      </c>
    </row>
    <row r="2000" spans="1:24">
      <c r="A2000" s="21" t="s">
        <v>5100</v>
      </c>
      <c r="B2000" t="s">
        <v>1532</v>
      </c>
      <c r="C2000" t="s">
        <v>1530</v>
      </c>
      <c r="D2000" t="s">
        <v>1531</v>
      </c>
      <c r="E2000" s="7" t="s">
        <v>198</v>
      </c>
      <c r="F2000" s="7" t="s">
        <v>198</v>
      </c>
      <c r="G2000" s="7" t="s">
        <v>198</v>
      </c>
      <c r="H2000" s="7" t="s">
        <v>20</v>
      </c>
      <c r="I2000" s="7" t="s">
        <v>5102</v>
      </c>
      <c r="J2000" s="7" t="s">
        <v>21</v>
      </c>
      <c r="L2000" t="s">
        <v>3501</v>
      </c>
      <c r="M2000" s="7" t="s">
        <v>22</v>
      </c>
      <c r="N2000" s="7" t="s">
        <v>23</v>
      </c>
      <c r="O2000" s="7" t="s">
        <v>27</v>
      </c>
      <c r="P2000" s="7" t="s">
        <v>5101</v>
      </c>
      <c r="Q2000" s="26">
        <v>63</v>
      </c>
      <c r="R2000" s="26">
        <v>3</v>
      </c>
      <c r="S2000" s="40">
        <v>1</v>
      </c>
      <c r="T2000" s="7"/>
      <c r="U2000" s="7" t="s">
        <v>2951</v>
      </c>
      <c r="V2000" s="7" t="str">
        <f>+IF(U2000="","",IF(U2000="FINES",CONCATENATE("R",IF(OR(B2000="16",B2000="21",B2000="22",B2000="23"),"16212223",IF(OR(B2000="15",B2000="17",B2000="24",B2000="25"),"15172425",B2000))),IF(U2000="CEBAS","UNICO",IF(VALUE(B2000)&lt;=11,"AMBA","INTERIOR"))))</f>
        <v>R03</v>
      </c>
      <c r="W2000" s="38" t="str">
        <f>+IF(U2000="","-",CONCATENATE(U2000,"_",V2000))</f>
        <v>FINES_R03</v>
      </c>
      <c r="X2000" s="42">
        <v>1.2E-2</v>
      </c>
    </row>
    <row r="2001" spans="1:24">
      <c r="A2001" s="21" t="s">
        <v>5100</v>
      </c>
      <c r="B2001" t="s">
        <v>1532</v>
      </c>
      <c r="C2001" t="s">
        <v>1530</v>
      </c>
      <c r="D2001" t="s">
        <v>1531</v>
      </c>
      <c r="E2001" s="7" t="s">
        <v>198</v>
      </c>
      <c r="F2001" s="7" t="s">
        <v>198</v>
      </c>
      <c r="G2001" s="7" t="s">
        <v>198</v>
      </c>
      <c r="H2001" s="7" t="s">
        <v>20</v>
      </c>
      <c r="I2001" s="7" t="s">
        <v>5102</v>
      </c>
      <c r="J2001" s="7" t="s">
        <v>21</v>
      </c>
      <c r="L2001" t="s">
        <v>3381</v>
      </c>
      <c r="M2001" s="7" t="s">
        <v>22</v>
      </c>
      <c r="N2001" s="7" t="s">
        <v>23</v>
      </c>
      <c r="O2001" s="7" t="s">
        <v>27</v>
      </c>
      <c r="P2001" s="7" t="s">
        <v>5101</v>
      </c>
      <c r="Q2001" s="26">
        <v>249</v>
      </c>
      <c r="R2001" s="26">
        <v>9</v>
      </c>
      <c r="S2001" s="40">
        <v>1</v>
      </c>
      <c r="T2001" s="7"/>
      <c r="U2001" s="7" t="s">
        <v>2951</v>
      </c>
      <c r="V2001" s="7" t="str">
        <f>+IF(U2001="","",IF(U2001="FINES",CONCATENATE("R",IF(OR(B2001="16",B2001="21",B2001="22",B2001="23"),"16212223",IF(OR(B2001="15",B2001="17",B2001="24",B2001="25"),"15172425",B2001))),IF(U2001="CEBAS","UNICO",IF(VALUE(B2001)&lt;=11,"AMBA","INTERIOR"))))</f>
        <v>R03</v>
      </c>
      <c r="W2001" s="38" t="str">
        <f>+IF(U2001="","-",CONCATENATE(U2001,"_",V2001))</f>
        <v>FINES_R03</v>
      </c>
      <c r="X2001" s="42">
        <v>2.3E-2</v>
      </c>
    </row>
    <row r="2002" spans="1:24">
      <c r="A2002" s="21" t="s">
        <v>5100</v>
      </c>
      <c r="B2002" t="s">
        <v>1532</v>
      </c>
      <c r="C2002" t="s">
        <v>1530</v>
      </c>
      <c r="D2002" t="s">
        <v>1531</v>
      </c>
      <c r="E2002" s="7" t="s">
        <v>198</v>
      </c>
      <c r="F2002" s="7" t="s">
        <v>198</v>
      </c>
      <c r="G2002" s="7" t="s">
        <v>198</v>
      </c>
      <c r="H2002" s="7" t="s">
        <v>20</v>
      </c>
      <c r="I2002" s="7" t="s">
        <v>5102</v>
      </c>
      <c r="J2002" s="7" t="s">
        <v>21</v>
      </c>
      <c r="L2002" t="s">
        <v>3377</v>
      </c>
      <c r="M2002" s="7" t="s">
        <v>22</v>
      </c>
      <c r="N2002" s="7" t="s">
        <v>23</v>
      </c>
      <c r="O2002" s="7" t="s">
        <v>27</v>
      </c>
      <c r="P2002" s="7" t="s">
        <v>5101</v>
      </c>
      <c r="Q2002" s="26">
        <v>31</v>
      </c>
      <c r="R2002" s="26">
        <v>1</v>
      </c>
      <c r="S2002" s="40">
        <v>1</v>
      </c>
      <c r="T2002" s="7"/>
      <c r="U2002" s="7" t="s">
        <v>2951</v>
      </c>
      <c r="V2002" s="7" t="str">
        <f>+IF(U2002="","",IF(U2002="FINES",CONCATENATE("R",IF(OR(B2002="16",B2002="21",B2002="22",B2002="23"),"16212223",IF(OR(B2002="15",B2002="17",B2002="24",B2002="25"),"15172425",B2002))),IF(U2002="CEBAS","UNICO",IF(VALUE(B2002)&lt;=11,"AMBA","INTERIOR"))))</f>
        <v>R03</v>
      </c>
      <c r="W2002" s="38" t="str">
        <f>+IF(U2002="","-",CONCATENATE(U2002,"_",V2002))</f>
        <v>FINES_R03</v>
      </c>
      <c r="X2002" s="42">
        <v>2.3E-2</v>
      </c>
    </row>
    <row r="2003" spans="1:24">
      <c r="A2003" s="21" t="s">
        <v>5100</v>
      </c>
      <c r="B2003" t="s">
        <v>1532</v>
      </c>
      <c r="C2003" t="s">
        <v>1530</v>
      </c>
      <c r="D2003" t="s">
        <v>1531</v>
      </c>
      <c r="E2003" s="7" t="s">
        <v>198</v>
      </c>
      <c r="F2003" s="7" t="s">
        <v>198</v>
      </c>
      <c r="G2003" s="7" t="s">
        <v>198</v>
      </c>
      <c r="H2003" s="7" t="s">
        <v>20</v>
      </c>
      <c r="I2003" s="7" t="s">
        <v>5102</v>
      </c>
      <c r="J2003" s="7" t="s">
        <v>21</v>
      </c>
      <c r="L2003" t="s">
        <v>3406</v>
      </c>
      <c r="M2003" s="7" t="s">
        <v>22</v>
      </c>
      <c r="N2003" s="7" t="s">
        <v>23</v>
      </c>
      <c r="O2003" s="7" t="s">
        <v>27</v>
      </c>
      <c r="P2003" s="7" t="s">
        <v>5101</v>
      </c>
      <c r="Q2003" s="26">
        <v>32</v>
      </c>
      <c r="R2003" s="26">
        <v>1</v>
      </c>
      <c r="S2003" s="40">
        <v>1</v>
      </c>
      <c r="T2003" s="7"/>
      <c r="U2003" s="7" t="s">
        <v>2951</v>
      </c>
      <c r="V2003" s="7" t="str">
        <f>+IF(U2003="","",IF(U2003="FINES",CONCATENATE("R",IF(OR(B2003="16",B2003="21",B2003="22",B2003="23"),"16212223",IF(OR(B2003="15",B2003="17",B2003="24",B2003="25"),"15172425",B2003))),IF(U2003="CEBAS","UNICO",IF(VALUE(B2003)&lt;=11,"AMBA","INTERIOR"))))</f>
        <v>R03</v>
      </c>
      <c r="W2003" s="38" t="str">
        <f>+IF(U2003="","-",CONCATENATE(U2003,"_",V2003))</f>
        <v>FINES_R03</v>
      </c>
      <c r="X2003" s="42">
        <v>2.4E-2</v>
      </c>
    </row>
    <row r="2004" spans="1:24">
      <c r="A2004" s="21" t="s">
        <v>5100</v>
      </c>
      <c r="B2004" t="s">
        <v>1532</v>
      </c>
      <c r="C2004" t="s">
        <v>1530</v>
      </c>
      <c r="D2004" t="s">
        <v>1531</v>
      </c>
      <c r="E2004" s="7" t="s">
        <v>198</v>
      </c>
      <c r="F2004" s="7" t="s">
        <v>198</v>
      </c>
      <c r="G2004" s="7" t="s">
        <v>198</v>
      </c>
      <c r="H2004" s="7" t="s">
        <v>20</v>
      </c>
      <c r="I2004" s="7" t="s">
        <v>5102</v>
      </c>
      <c r="J2004" s="7" t="s">
        <v>21</v>
      </c>
      <c r="L2004" t="s">
        <v>3458</v>
      </c>
      <c r="M2004" s="7" t="s">
        <v>22</v>
      </c>
      <c r="N2004" s="7" t="s">
        <v>23</v>
      </c>
      <c r="O2004" s="7" t="s">
        <v>27</v>
      </c>
      <c r="P2004" s="7" t="s">
        <v>5101</v>
      </c>
      <c r="Q2004" s="26">
        <v>79</v>
      </c>
      <c r="R2004" s="26">
        <v>4</v>
      </c>
      <c r="S2004" s="40">
        <v>1</v>
      </c>
      <c r="T2004" s="7"/>
      <c r="U2004" s="7" t="s">
        <v>2951</v>
      </c>
      <c r="V2004" s="7" t="str">
        <f>+IF(U2004="","",IF(U2004="FINES",CONCATENATE("R",IF(OR(B2004="16",B2004="21",B2004="22",B2004="23"),"16212223",IF(OR(B2004="15",B2004="17",B2004="24",B2004="25"),"15172425",B2004))),IF(U2004="CEBAS","UNICO",IF(VALUE(B2004)&lt;=11,"AMBA","INTERIOR"))))</f>
        <v>R03</v>
      </c>
      <c r="W2004" s="38" t="str">
        <f>+IF(U2004="","-",CONCATENATE(U2004,"_",V2004))</f>
        <v>FINES_R03</v>
      </c>
      <c r="X2004" s="42">
        <v>4.1000000000000002E-2</v>
      </c>
    </row>
    <row r="2005" spans="1:24">
      <c r="A2005" s="21" t="s">
        <v>5100</v>
      </c>
      <c r="B2005" t="s">
        <v>1532</v>
      </c>
      <c r="C2005" t="s">
        <v>1530</v>
      </c>
      <c r="D2005" t="s">
        <v>1531</v>
      </c>
      <c r="E2005" s="7" t="s">
        <v>198</v>
      </c>
      <c r="F2005" s="7" t="s">
        <v>198</v>
      </c>
      <c r="G2005" s="7" t="s">
        <v>198</v>
      </c>
      <c r="H2005" s="7" t="s">
        <v>20</v>
      </c>
      <c r="I2005" s="7" t="s">
        <v>5102</v>
      </c>
      <c r="J2005" s="7" t="s">
        <v>21</v>
      </c>
      <c r="L2005" t="s">
        <v>3515</v>
      </c>
      <c r="M2005" s="7" t="s">
        <v>22</v>
      </c>
      <c r="N2005" s="7" t="s">
        <v>23</v>
      </c>
      <c r="O2005" s="7" t="s">
        <v>27</v>
      </c>
      <c r="P2005" s="7" t="s">
        <v>5101</v>
      </c>
      <c r="Q2005" s="26">
        <v>32</v>
      </c>
      <c r="R2005" s="26">
        <v>2</v>
      </c>
      <c r="S2005" s="40">
        <v>1</v>
      </c>
      <c r="T2005" s="7"/>
      <c r="U2005" s="7" t="s">
        <v>2951</v>
      </c>
      <c r="V2005" s="7" t="str">
        <f>+IF(U2005="","",IF(U2005="FINES",CONCATENATE("R",IF(OR(B2005="16",B2005="21",B2005="22",B2005="23"),"16212223",IF(OR(B2005="15",B2005="17",B2005="24",B2005="25"),"15172425",B2005))),IF(U2005="CEBAS","UNICO",IF(VALUE(B2005)&lt;=11,"AMBA","INTERIOR"))))</f>
        <v>R03</v>
      </c>
      <c r="W2005" s="38" t="str">
        <f>+IF(U2005="","-",CONCATENATE(U2005,"_",V2005))</f>
        <v>FINES_R03</v>
      </c>
      <c r="X2005" s="42">
        <v>4.3999999999999997E-2</v>
      </c>
    </row>
    <row r="2006" spans="1:24">
      <c r="A2006" s="21" t="s">
        <v>5100</v>
      </c>
      <c r="B2006" t="s">
        <v>1532</v>
      </c>
      <c r="C2006" t="s">
        <v>1530</v>
      </c>
      <c r="D2006" t="s">
        <v>1531</v>
      </c>
      <c r="E2006" s="7" t="s">
        <v>198</v>
      </c>
      <c r="F2006" s="7" t="s">
        <v>198</v>
      </c>
      <c r="G2006" s="7" t="s">
        <v>198</v>
      </c>
      <c r="H2006" s="7" t="s">
        <v>20</v>
      </c>
      <c r="I2006" s="7" t="s">
        <v>5102</v>
      </c>
      <c r="J2006" s="7" t="s">
        <v>21</v>
      </c>
      <c r="L2006" t="s">
        <v>3510</v>
      </c>
      <c r="M2006" s="7" t="s">
        <v>22</v>
      </c>
      <c r="N2006" s="7" t="s">
        <v>23</v>
      </c>
      <c r="O2006" s="7" t="s">
        <v>27</v>
      </c>
      <c r="P2006" s="7" t="s">
        <v>5101</v>
      </c>
      <c r="Q2006" s="26">
        <v>86</v>
      </c>
      <c r="R2006" s="26">
        <v>4</v>
      </c>
      <c r="S2006" s="40">
        <v>1</v>
      </c>
      <c r="T2006" s="7"/>
      <c r="U2006" s="7" t="s">
        <v>2951</v>
      </c>
      <c r="V2006" s="7" t="str">
        <f>+IF(U2006="","",IF(U2006="FINES",CONCATENATE("R",IF(OR(B2006="16",B2006="21",B2006="22",B2006="23"),"16212223",IF(OR(B2006="15",B2006="17",B2006="24",B2006="25"),"15172425",B2006))),IF(U2006="CEBAS","UNICO",IF(VALUE(B2006)&lt;=11,"AMBA","INTERIOR"))))</f>
        <v>R03</v>
      </c>
      <c r="W2006" s="38" t="str">
        <f>+IF(U2006="","-",CONCATENATE(U2006,"_",V2006))</f>
        <v>FINES_R03</v>
      </c>
      <c r="X2006" s="42">
        <v>0.05</v>
      </c>
    </row>
    <row r="2007" spans="1:24">
      <c r="A2007" s="21" t="s">
        <v>5100</v>
      </c>
      <c r="B2007" t="s">
        <v>1532</v>
      </c>
      <c r="C2007" t="s">
        <v>1530</v>
      </c>
      <c r="D2007" t="s">
        <v>1531</v>
      </c>
      <c r="E2007" s="7" t="s">
        <v>198</v>
      </c>
      <c r="F2007" s="7" t="s">
        <v>198</v>
      </c>
      <c r="G2007" s="7" t="s">
        <v>198</v>
      </c>
      <c r="H2007" s="7" t="s">
        <v>20</v>
      </c>
      <c r="I2007" s="7" t="s">
        <v>5102</v>
      </c>
      <c r="J2007" s="7" t="s">
        <v>21</v>
      </c>
      <c r="L2007" t="s">
        <v>3480</v>
      </c>
      <c r="M2007" s="7" t="s">
        <v>22</v>
      </c>
      <c r="N2007" s="7" t="s">
        <v>23</v>
      </c>
      <c r="O2007" s="7" t="s">
        <v>27</v>
      </c>
      <c r="P2007" s="7" t="s">
        <v>5101</v>
      </c>
      <c r="Q2007" s="26">
        <v>19</v>
      </c>
      <c r="R2007" s="26">
        <v>1</v>
      </c>
      <c r="S2007" s="40">
        <v>1</v>
      </c>
      <c r="T2007" s="7"/>
      <c r="U2007" s="7" t="s">
        <v>2951</v>
      </c>
      <c r="V2007" s="7" t="str">
        <f>+IF(U2007="","",IF(U2007="FINES",CONCATENATE("R",IF(OR(B2007="16",B2007="21",B2007="22",B2007="23"),"16212223",IF(OR(B2007="15",B2007="17",B2007="24",B2007="25"),"15172425",B2007))),IF(U2007="CEBAS","UNICO",IF(VALUE(B2007)&lt;=11,"AMBA","INTERIOR"))))</f>
        <v>R03</v>
      </c>
      <c r="W2007" s="38" t="str">
        <f>+IF(U2007="","-",CONCATENATE(U2007,"_",V2007))</f>
        <v>FINES_R03</v>
      </c>
      <c r="X2007" s="42">
        <v>5.6000000000000001E-2</v>
      </c>
    </row>
    <row r="2008" spans="1:24">
      <c r="A2008" s="21" t="s">
        <v>5100</v>
      </c>
      <c r="B2008" t="s">
        <v>1532</v>
      </c>
      <c r="C2008" t="s">
        <v>1530</v>
      </c>
      <c r="D2008" t="s">
        <v>1531</v>
      </c>
      <c r="E2008" s="7" t="s">
        <v>198</v>
      </c>
      <c r="F2008" s="7" t="s">
        <v>198</v>
      </c>
      <c r="G2008" s="7" t="s">
        <v>198</v>
      </c>
      <c r="H2008" s="7" t="s">
        <v>20</v>
      </c>
      <c r="I2008" s="7" t="s">
        <v>5102</v>
      </c>
      <c r="J2008" s="7" t="s">
        <v>21</v>
      </c>
      <c r="L2008" t="s">
        <v>3387</v>
      </c>
      <c r="M2008" s="7" t="s">
        <v>22</v>
      </c>
      <c r="N2008" s="7" t="s">
        <v>23</v>
      </c>
      <c r="O2008" s="7" t="s">
        <v>27</v>
      </c>
      <c r="P2008" s="7" t="s">
        <v>5101</v>
      </c>
      <c r="Q2008" s="26">
        <v>45</v>
      </c>
      <c r="R2008" s="26">
        <v>2</v>
      </c>
      <c r="S2008" s="40">
        <v>1</v>
      </c>
      <c r="T2008" s="7"/>
      <c r="U2008" s="7" t="s">
        <v>2951</v>
      </c>
      <c r="V2008" s="7" t="str">
        <f>+IF(U2008="","",IF(U2008="FINES",CONCATENATE("R",IF(OR(B2008="16",B2008="21",B2008="22",B2008="23"),"16212223",IF(OR(B2008="15",B2008="17",B2008="24",B2008="25"),"15172425",B2008))),IF(U2008="CEBAS","UNICO",IF(VALUE(B2008)&lt;=11,"AMBA","INTERIOR"))))</f>
        <v>R03</v>
      </c>
      <c r="W2008" s="38" t="str">
        <f>+IF(U2008="","-",CONCATENATE(U2008,"_",V2008))</f>
        <v>FINES_R03</v>
      </c>
      <c r="X2008" s="42">
        <v>5.8000000000000003E-2</v>
      </c>
    </row>
    <row r="2009" spans="1:24">
      <c r="A2009" s="21" t="s">
        <v>5100</v>
      </c>
      <c r="B2009" t="s">
        <v>1532</v>
      </c>
      <c r="C2009" t="s">
        <v>1530</v>
      </c>
      <c r="D2009" t="s">
        <v>1531</v>
      </c>
      <c r="E2009" s="7" t="s">
        <v>198</v>
      </c>
      <c r="F2009" s="7" t="s">
        <v>198</v>
      </c>
      <c r="G2009" s="7" t="s">
        <v>198</v>
      </c>
      <c r="H2009" s="7" t="s">
        <v>20</v>
      </c>
      <c r="I2009" s="7" t="s">
        <v>5102</v>
      </c>
      <c r="J2009" s="7" t="s">
        <v>21</v>
      </c>
      <c r="L2009" t="s">
        <v>3392</v>
      </c>
      <c r="M2009" s="7" t="s">
        <v>22</v>
      </c>
      <c r="N2009" s="7" t="s">
        <v>23</v>
      </c>
      <c r="O2009" s="7" t="s">
        <v>27</v>
      </c>
      <c r="P2009" s="7" t="s">
        <v>5101</v>
      </c>
      <c r="Q2009" s="26">
        <v>31</v>
      </c>
      <c r="R2009" s="26">
        <v>1</v>
      </c>
      <c r="S2009" s="40">
        <v>1</v>
      </c>
      <c r="T2009" s="7"/>
      <c r="U2009" s="7" t="s">
        <v>2951</v>
      </c>
      <c r="V2009" s="7" t="str">
        <f>+IF(U2009="","",IF(U2009="FINES",CONCATENATE("R",IF(OR(B2009="16",B2009="21",B2009="22",B2009="23"),"16212223",IF(OR(B2009="15",B2009="17",B2009="24",B2009="25"),"15172425",B2009))),IF(U2009="CEBAS","UNICO",IF(VALUE(B2009)&lt;=11,"AMBA","INTERIOR"))))</f>
        <v>R03</v>
      </c>
      <c r="W2009" s="38" t="str">
        <f>+IF(U2009="","-",CONCATENATE(U2009,"_",V2009))</f>
        <v>FINES_R03</v>
      </c>
      <c r="X2009" s="42">
        <v>6.0999999999999999E-2</v>
      </c>
    </row>
    <row r="2010" spans="1:24">
      <c r="A2010" s="21" t="s">
        <v>5100</v>
      </c>
      <c r="B2010" t="s">
        <v>1532</v>
      </c>
      <c r="C2010" t="s">
        <v>1530</v>
      </c>
      <c r="D2010" t="s">
        <v>1531</v>
      </c>
      <c r="E2010" s="7" t="s">
        <v>198</v>
      </c>
      <c r="F2010" s="7" t="s">
        <v>198</v>
      </c>
      <c r="G2010" s="7" t="s">
        <v>198</v>
      </c>
      <c r="H2010" s="7" t="s">
        <v>20</v>
      </c>
      <c r="I2010" s="7" t="s">
        <v>5102</v>
      </c>
      <c r="J2010" s="7" t="s">
        <v>21</v>
      </c>
      <c r="L2010" t="s">
        <v>3526</v>
      </c>
      <c r="M2010" s="7" t="s">
        <v>22</v>
      </c>
      <c r="N2010" s="7" t="s">
        <v>23</v>
      </c>
      <c r="O2010" s="7" t="s">
        <v>27</v>
      </c>
      <c r="P2010" s="7" t="s">
        <v>5101</v>
      </c>
      <c r="Q2010" s="26">
        <v>17</v>
      </c>
      <c r="R2010" s="26">
        <v>1</v>
      </c>
      <c r="S2010" s="40">
        <v>1</v>
      </c>
      <c r="T2010" s="7"/>
      <c r="U2010" s="7" t="s">
        <v>2951</v>
      </c>
      <c r="V2010" s="7" t="str">
        <f>+IF(U2010="","",IF(U2010="FINES",CONCATENATE("R",IF(OR(B2010="16",B2010="21",B2010="22",B2010="23"),"16212223",IF(OR(B2010="15",B2010="17",B2010="24",B2010="25"),"15172425",B2010))),IF(U2010="CEBAS","UNICO",IF(VALUE(B2010)&lt;=11,"AMBA","INTERIOR"))))</f>
        <v>R03</v>
      </c>
      <c r="W2010" s="38" t="str">
        <f>+IF(U2010="","-",CONCATENATE(U2010,"_",V2010))</f>
        <v>FINES_R03</v>
      </c>
      <c r="X2010" s="42">
        <v>6.4000000000000001E-2</v>
      </c>
    </row>
    <row r="2011" spans="1:24">
      <c r="A2011" s="21" t="s">
        <v>5100</v>
      </c>
      <c r="B2011" t="s">
        <v>1532</v>
      </c>
      <c r="C2011" t="s">
        <v>1530</v>
      </c>
      <c r="D2011" t="s">
        <v>1531</v>
      </c>
      <c r="E2011" s="7" t="s">
        <v>198</v>
      </c>
      <c r="F2011" s="7" t="s">
        <v>198</v>
      </c>
      <c r="G2011" s="7" t="s">
        <v>198</v>
      </c>
      <c r="H2011" s="7" t="s">
        <v>20</v>
      </c>
      <c r="I2011" s="7" t="s">
        <v>5102</v>
      </c>
      <c r="J2011" s="7" t="s">
        <v>21</v>
      </c>
      <c r="L2011" t="s">
        <v>3519</v>
      </c>
      <c r="M2011" s="7" t="s">
        <v>22</v>
      </c>
      <c r="N2011" s="7" t="s">
        <v>23</v>
      </c>
      <c r="O2011" s="7" t="s">
        <v>27</v>
      </c>
      <c r="P2011" s="7" t="s">
        <v>5101</v>
      </c>
      <c r="Q2011" s="26">
        <v>11</v>
      </c>
      <c r="R2011" s="26">
        <v>1</v>
      </c>
      <c r="S2011" s="40">
        <v>1</v>
      </c>
      <c r="T2011" s="7"/>
      <c r="U2011" s="7" t="s">
        <v>2951</v>
      </c>
      <c r="V2011" s="7" t="str">
        <f>+IF(U2011="","",IF(U2011="FINES",CONCATENATE("R",IF(OR(B2011="16",B2011="21",B2011="22",B2011="23"),"16212223",IF(OR(B2011="15",B2011="17",B2011="24",B2011="25"),"15172425",B2011))),IF(U2011="CEBAS","UNICO",IF(VALUE(B2011)&lt;=11,"AMBA","INTERIOR"))))</f>
        <v>R03</v>
      </c>
      <c r="W2011" s="38" t="str">
        <f>+IF(U2011="","-",CONCATENATE(U2011,"_",V2011))</f>
        <v>FINES_R03</v>
      </c>
      <c r="X2011" s="42">
        <v>7.8E-2</v>
      </c>
    </row>
    <row r="2012" spans="1:24">
      <c r="A2012" s="21" t="s">
        <v>5100</v>
      </c>
      <c r="B2012" t="s">
        <v>1532</v>
      </c>
      <c r="C2012" t="s">
        <v>1530</v>
      </c>
      <c r="D2012" t="s">
        <v>1531</v>
      </c>
      <c r="E2012" s="7" t="s">
        <v>198</v>
      </c>
      <c r="F2012" s="7" t="s">
        <v>198</v>
      </c>
      <c r="G2012" s="7" t="s">
        <v>198</v>
      </c>
      <c r="H2012" s="7" t="s">
        <v>20</v>
      </c>
      <c r="I2012" s="7" t="s">
        <v>5102</v>
      </c>
      <c r="J2012" s="7" t="s">
        <v>21</v>
      </c>
      <c r="L2012" t="s">
        <v>3350</v>
      </c>
      <c r="M2012" s="7" t="s">
        <v>22</v>
      </c>
      <c r="N2012" s="7" t="s">
        <v>23</v>
      </c>
      <c r="O2012" s="7" t="s">
        <v>27</v>
      </c>
      <c r="P2012" s="7" t="s">
        <v>5101</v>
      </c>
      <c r="Q2012" s="26">
        <v>64</v>
      </c>
      <c r="R2012" s="26">
        <v>2</v>
      </c>
      <c r="S2012" s="40">
        <v>1</v>
      </c>
      <c r="T2012" s="7"/>
      <c r="U2012" s="7" t="s">
        <v>2951</v>
      </c>
      <c r="V2012" s="7" t="str">
        <f>+IF(U2012="","",IF(U2012="FINES",CONCATENATE("R",IF(OR(B2012="16",B2012="21",B2012="22",B2012="23"),"16212223",IF(OR(B2012="15",B2012="17",B2012="24",B2012="25"),"15172425",B2012))),IF(U2012="CEBAS","UNICO",IF(VALUE(B2012)&lt;=11,"AMBA","INTERIOR"))))</f>
        <v>R03</v>
      </c>
      <c r="W2012" s="38" t="str">
        <f>+IF(U2012="","-",CONCATENATE(U2012,"_",V2012))</f>
        <v>FINES_R03</v>
      </c>
      <c r="X2012" s="42">
        <v>7.9000000000000001E-2</v>
      </c>
    </row>
    <row r="2013" spans="1:24">
      <c r="A2013" s="21" t="s">
        <v>5100</v>
      </c>
      <c r="B2013" t="s">
        <v>1532</v>
      </c>
      <c r="C2013" t="s">
        <v>1530</v>
      </c>
      <c r="D2013" t="s">
        <v>1531</v>
      </c>
      <c r="E2013" s="7" t="s">
        <v>198</v>
      </c>
      <c r="F2013" s="7" t="s">
        <v>198</v>
      </c>
      <c r="G2013" s="7" t="s">
        <v>198</v>
      </c>
      <c r="H2013" s="7" t="s">
        <v>20</v>
      </c>
      <c r="I2013" s="7" t="s">
        <v>5102</v>
      </c>
      <c r="J2013" s="7" t="s">
        <v>21</v>
      </c>
      <c r="L2013" t="s">
        <v>3416</v>
      </c>
      <c r="M2013" s="7" t="s">
        <v>22</v>
      </c>
      <c r="N2013" s="7" t="s">
        <v>23</v>
      </c>
      <c r="O2013" s="7" t="s">
        <v>27</v>
      </c>
      <c r="P2013" s="7" t="s">
        <v>5101</v>
      </c>
      <c r="Q2013" s="26">
        <v>16</v>
      </c>
      <c r="R2013" s="26">
        <v>1</v>
      </c>
      <c r="S2013" s="40">
        <v>1</v>
      </c>
      <c r="T2013" s="7"/>
      <c r="U2013" s="7" t="s">
        <v>2951</v>
      </c>
      <c r="V2013" s="7" t="str">
        <f>+IF(U2013="","",IF(U2013="FINES",CONCATENATE("R",IF(OR(B2013="16",B2013="21",B2013="22",B2013="23"),"16212223",IF(OR(B2013="15",B2013="17",B2013="24",B2013="25"),"15172425",B2013))),IF(U2013="CEBAS","UNICO",IF(VALUE(B2013)&lt;=11,"AMBA","INTERIOR"))))</f>
        <v>R03</v>
      </c>
      <c r="W2013" s="38" t="str">
        <f>+IF(U2013="","-",CONCATENATE(U2013,"_",V2013))</f>
        <v>FINES_R03</v>
      </c>
      <c r="X2013" s="42">
        <v>0.08</v>
      </c>
    </row>
    <row r="2014" spans="1:24">
      <c r="A2014" s="21" t="s">
        <v>5100</v>
      </c>
      <c r="B2014" t="s">
        <v>1532</v>
      </c>
      <c r="C2014" t="s">
        <v>1530</v>
      </c>
      <c r="D2014" t="s">
        <v>1531</v>
      </c>
      <c r="E2014" s="7" t="s">
        <v>198</v>
      </c>
      <c r="F2014" s="7" t="s">
        <v>198</v>
      </c>
      <c r="G2014" s="7" t="s">
        <v>198</v>
      </c>
      <c r="H2014" s="7" t="s">
        <v>20</v>
      </c>
      <c r="I2014" s="7" t="s">
        <v>5102</v>
      </c>
      <c r="J2014" s="7" t="s">
        <v>21</v>
      </c>
      <c r="L2014" t="s">
        <v>3380</v>
      </c>
      <c r="M2014" s="7" t="s">
        <v>22</v>
      </c>
      <c r="N2014" s="7" t="s">
        <v>23</v>
      </c>
      <c r="O2014" s="7" t="s">
        <v>27</v>
      </c>
      <c r="P2014" s="7" t="s">
        <v>5101</v>
      </c>
      <c r="Q2014" s="26">
        <v>31</v>
      </c>
      <c r="R2014" s="26">
        <v>1</v>
      </c>
      <c r="S2014" s="40">
        <v>1</v>
      </c>
      <c r="T2014" s="7"/>
      <c r="U2014" s="7" t="s">
        <v>2951</v>
      </c>
      <c r="V2014" s="7" t="str">
        <f>+IF(U2014="","",IF(U2014="FINES",CONCATENATE("R",IF(OR(B2014="16",B2014="21",B2014="22",B2014="23"),"16212223",IF(OR(B2014="15",B2014="17",B2014="24",B2014="25"),"15172425",B2014))),IF(U2014="CEBAS","UNICO",IF(VALUE(B2014)&lt;=11,"AMBA","INTERIOR"))))</f>
        <v>R03</v>
      </c>
      <c r="W2014" s="38" t="str">
        <f>+IF(U2014="","-",CONCATENATE(U2014,"_",V2014))</f>
        <v>FINES_R03</v>
      </c>
      <c r="X2014" s="42">
        <v>8.2000000000000003E-2</v>
      </c>
    </row>
    <row r="2015" spans="1:24">
      <c r="A2015" s="21" t="s">
        <v>5100</v>
      </c>
      <c r="B2015" t="s">
        <v>1532</v>
      </c>
      <c r="C2015" t="s">
        <v>1530</v>
      </c>
      <c r="D2015" t="s">
        <v>1531</v>
      </c>
      <c r="E2015" s="7" t="s">
        <v>198</v>
      </c>
      <c r="F2015" s="7" t="s">
        <v>198</v>
      </c>
      <c r="G2015" s="7" t="s">
        <v>198</v>
      </c>
      <c r="H2015" s="7" t="s">
        <v>20</v>
      </c>
      <c r="I2015" s="7" t="s">
        <v>5102</v>
      </c>
      <c r="J2015" s="7" t="s">
        <v>21</v>
      </c>
      <c r="L2015" t="s">
        <v>3488</v>
      </c>
      <c r="M2015" s="7" t="s">
        <v>22</v>
      </c>
      <c r="N2015" s="7" t="s">
        <v>23</v>
      </c>
      <c r="O2015" s="7" t="s">
        <v>27</v>
      </c>
      <c r="P2015" s="7" t="s">
        <v>5101</v>
      </c>
      <c r="Q2015" s="26">
        <v>132</v>
      </c>
      <c r="R2015" s="26">
        <v>5</v>
      </c>
      <c r="S2015" s="40">
        <v>1</v>
      </c>
      <c r="T2015" s="7"/>
      <c r="U2015" s="7" t="s">
        <v>2951</v>
      </c>
      <c r="V2015" s="7" t="str">
        <f>+IF(U2015="","",IF(U2015="FINES",CONCATENATE("R",IF(OR(B2015="16",B2015="21",B2015="22",B2015="23"),"16212223",IF(OR(B2015="15",B2015="17",B2015="24",B2015="25"),"15172425",B2015))),IF(U2015="CEBAS","UNICO",IF(VALUE(B2015)&lt;=11,"AMBA","INTERIOR"))))</f>
        <v>R03</v>
      </c>
      <c r="W2015" s="38" t="str">
        <f>+IF(U2015="","-",CONCATENATE(U2015,"_",V2015))</f>
        <v>FINES_R03</v>
      </c>
      <c r="X2015" s="42">
        <v>8.7999999999999995E-2</v>
      </c>
    </row>
    <row r="2016" spans="1:24">
      <c r="A2016" s="21" t="s">
        <v>5100</v>
      </c>
      <c r="B2016" t="s">
        <v>1532</v>
      </c>
      <c r="C2016" t="s">
        <v>1530</v>
      </c>
      <c r="D2016" t="s">
        <v>1531</v>
      </c>
      <c r="E2016" s="7" t="s">
        <v>198</v>
      </c>
      <c r="F2016" s="7" t="s">
        <v>198</v>
      </c>
      <c r="G2016" s="7" t="s">
        <v>198</v>
      </c>
      <c r="H2016" s="7" t="s">
        <v>20</v>
      </c>
      <c r="I2016" s="7" t="s">
        <v>5102</v>
      </c>
      <c r="J2016" s="7" t="s">
        <v>21</v>
      </c>
      <c r="L2016" t="s">
        <v>3361</v>
      </c>
      <c r="M2016" s="7" t="s">
        <v>22</v>
      </c>
      <c r="N2016" s="7" t="s">
        <v>23</v>
      </c>
      <c r="O2016" s="7" t="s">
        <v>27</v>
      </c>
      <c r="P2016" s="7" t="s">
        <v>5101</v>
      </c>
      <c r="Q2016" s="26">
        <v>10</v>
      </c>
      <c r="R2016" s="26">
        <v>1</v>
      </c>
      <c r="S2016" s="40">
        <v>1</v>
      </c>
      <c r="T2016" s="7"/>
      <c r="U2016" s="7" t="s">
        <v>2951</v>
      </c>
      <c r="V2016" s="7" t="str">
        <f>+IF(U2016="","",IF(U2016="FINES",CONCATENATE("R",IF(OR(B2016="16",B2016="21",B2016="22",B2016="23"),"16212223",IF(OR(B2016="15",B2016="17",B2016="24",B2016="25"),"15172425",B2016))),IF(U2016="CEBAS","UNICO",IF(VALUE(B2016)&lt;=11,"AMBA","INTERIOR"))))</f>
        <v>R03</v>
      </c>
      <c r="W2016" s="38" t="str">
        <f>+IF(U2016="","-",CONCATENATE(U2016,"_",V2016))</f>
        <v>FINES_R03</v>
      </c>
      <c r="X2016" s="42">
        <v>9.1999999999999998E-2</v>
      </c>
    </row>
    <row r="2017" spans="1:24">
      <c r="A2017" s="21" t="s">
        <v>5100</v>
      </c>
      <c r="B2017" t="s">
        <v>1532</v>
      </c>
      <c r="C2017" t="s">
        <v>1530</v>
      </c>
      <c r="D2017" t="s">
        <v>1531</v>
      </c>
      <c r="E2017" s="7" t="s">
        <v>198</v>
      </c>
      <c r="F2017" s="7" t="s">
        <v>198</v>
      </c>
      <c r="G2017" s="7" t="s">
        <v>198</v>
      </c>
      <c r="H2017" s="7" t="s">
        <v>20</v>
      </c>
      <c r="I2017" s="7" t="s">
        <v>5102</v>
      </c>
      <c r="J2017" s="7" t="s">
        <v>21</v>
      </c>
      <c r="L2017" t="s">
        <v>3315</v>
      </c>
      <c r="M2017" s="7" t="s">
        <v>22</v>
      </c>
      <c r="N2017" s="7" t="s">
        <v>23</v>
      </c>
      <c r="O2017" s="7" t="s">
        <v>27</v>
      </c>
      <c r="P2017" s="7" t="s">
        <v>5101</v>
      </c>
      <c r="Q2017" s="26">
        <v>133</v>
      </c>
      <c r="R2017" s="26">
        <v>6</v>
      </c>
      <c r="S2017" s="40">
        <v>1</v>
      </c>
      <c r="T2017" s="7"/>
      <c r="U2017" s="7" t="s">
        <v>2951</v>
      </c>
      <c r="V2017" s="7" t="str">
        <f>+IF(U2017="","",IF(U2017="FINES",CONCATENATE("R",IF(OR(B2017="16",B2017="21",B2017="22",B2017="23"),"16212223",IF(OR(B2017="15",B2017="17",B2017="24",B2017="25"),"15172425",B2017))),IF(U2017="CEBAS","UNICO",IF(VALUE(B2017)&lt;=11,"AMBA","INTERIOR"))))</f>
        <v>R03</v>
      </c>
      <c r="W2017" s="38" t="str">
        <f>+IF(U2017="","-",CONCATENATE(U2017,"_",V2017))</f>
        <v>FINES_R03</v>
      </c>
      <c r="X2017" s="42">
        <v>9.2999999999999999E-2</v>
      </c>
    </row>
    <row r="2018" spans="1:24">
      <c r="A2018" s="21" t="s">
        <v>5100</v>
      </c>
      <c r="B2018" t="s">
        <v>1532</v>
      </c>
      <c r="C2018" t="s">
        <v>1530</v>
      </c>
      <c r="D2018" t="s">
        <v>1531</v>
      </c>
      <c r="E2018" s="7" t="s">
        <v>198</v>
      </c>
      <c r="F2018" s="7" t="s">
        <v>198</v>
      </c>
      <c r="G2018" s="7" t="s">
        <v>198</v>
      </c>
      <c r="H2018" s="7" t="s">
        <v>20</v>
      </c>
      <c r="I2018" s="7" t="s">
        <v>5102</v>
      </c>
      <c r="J2018" s="7" t="s">
        <v>21</v>
      </c>
      <c r="L2018" t="s">
        <v>3409</v>
      </c>
      <c r="M2018" s="7" t="s">
        <v>22</v>
      </c>
      <c r="N2018" s="7" t="s">
        <v>23</v>
      </c>
      <c r="O2018" s="7" t="s">
        <v>27</v>
      </c>
      <c r="P2018" s="7" t="s">
        <v>5101</v>
      </c>
      <c r="Q2018" s="26">
        <v>21</v>
      </c>
      <c r="R2018" s="26">
        <v>1</v>
      </c>
      <c r="S2018" s="40">
        <v>1</v>
      </c>
      <c r="T2018" s="7"/>
      <c r="U2018" s="7" t="s">
        <v>2951</v>
      </c>
      <c r="V2018" s="7" t="str">
        <f>+IF(U2018="","",IF(U2018="FINES",CONCATENATE("R",IF(OR(B2018="16",B2018="21",B2018="22",B2018="23"),"16212223",IF(OR(B2018="15",B2018="17",B2018="24",B2018="25"),"15172425",B2018))),IF(U2018="CEBAS","UNICO",IF(VALUE(B2018)&lt;=11,"AMBA","INTERIOR"))))</f>
        <v>R03</v>
      </c>
      <c r="W2018" s="38" t="str">
        <f>+IF(U2018="","-",CONCATENATE(U2018,"_",V2018))</f>
        <v>FINES_R03</v>
      </c>
      <c r="X2018" s="42">
        <v>9.4E-2</v>
      </c>
    </row>
    <row r="2019" spans="1:24">
      <c r="A2019" s="21" t="s">
        <v>5100</v>
      </c>
      <c r="B2019" t="s">
        <v>1532</v>
      </c>
      <c r="C2019" t="s">
        <v>1530</v>
      </c>
      <c r="D2019" t="s">
        <v>1531</v>
      </c>
      <c r="E2019" s="7" t="s">
        <v>198</v>
      </c>
      <c r="F2019" s="7" t="s">
        <v>198</v>
      </c>
      <c r="G2019" s="7" t="s">
        <v>198</v>
      </c>
      <c r="H2019" s="7" t="s">
        <v>20</v>
      </c>
      <c r="I2019" s="7" t="s">
        <v>5102</v>
      </c>
      <c r="J2019" s="7" t="s">
        <v>21</v>
      </c>
      <c r="L2019" t="s">
        <v>3470</v>
      </c>
      <c r="M2019" s="7" t="s">
        <v>22</v>
      </c>
      <c r="N2019" s="7" t="s">
        <v>23</v>
      </c>
      <c r="O2019" s="7" t="s">
        <v>27</v>
      </c>
      <c r="P2019" s="7" t="s">
        <v>5101</v>
      </c>
      <c r="Q2019" s="26">
        <v>41</v>
      </c>
      <c r="R2019" s="26">
        <v>2</v>
      </c>
      <c r="S2019" s="40">
        <v>1</v>
      </c>
      <c r="T2019" s="7"/>
      <c r="U2019" s="7" t="s">
        <v>2951</v>
      </c>
      <c r="V2019" s="7" t="str">
        <f>+IF(U2019="","",IF(U2019="FINES",CONCATENATE("R",IF(OR(B2019="16",B2019="21",B2019="22",B2019="23"),"16212223",IF(OR(B2019="15",B2019="17",B2019="24",B2019="25"),"15172425",B2019))),IF(U2019="CEBAS","UNICO",IF(VALUE(B2019)&lt;=11,"AMBA","INTERIOR"))))</f>
        <v>R03</v>
      </c>
      <c r="W2019" s="38" t="str">
        <f>+IF(U2019="","-",CONCATENATE(U2019,"_",V2019))</f>
        <v>FINES_R03</v>
      </c>
      <c r="X2019" s="42">
        <v>9.7000000000000003E-2</v>
      </c>
    </row>
    <row r="2020" spans="1:24">
      <c r="A2020" s="21" t="s">
        <v>5100</v>
      </c>
      <c r="B2020" t="s">
        <v>1532</v>
      </c>
      <c r="C2020" t="s">
        <v>1530</v>
      </c>
      <c r="D2020" t="s">
        <v>1531</v>
      </c>
      <c r="E2020" s="7" t="s">
        <v>198</v>
      </c>
      <c r="F2020" s="7" t="s">
        <v>198</v>
      </c>
      <c r="G2020" s="7" t="s">
        <v>198</v>
      </c>
      <c r="H2020" s="7" t="s">
        <v>20</v>
      </c>
      <c r="I2020" s="7" t="s">
        <v>5102</v>
      </c>
      <c r="J2020" s="7" t="s">
        <v>21</v>
      </c>
      <c r="L2020" t="s">
        <v>3478</v>
      </c>
      <c r="M2020" s="7" t="s">
        <v>22</v>
      </c>
      <c r="N2020" s="7" t="s">
        <v>23</v>
      </c>
      <c r="O2020" s="7" t="s">
        <v>27</v>
      </c>
      <c r="P2020" s="7" t="s">
        <v>5101</v>
      </c>
      <c r="Q2020" s="26">
        <v>51</v>
      </c>
      <c r="R2020" s="26">
        <v>2</v>
      </c>
      <c r="S2020" s="40">
        <v>1</v>
      </c>
      <c r="T2020" s="7"/>
      <c r="U2020" s="7" t="s">
        <v>2951</v>
      </c>
      <c r="V2020" s="7" t="str">
        <f>+IF(U2020="","",IF(U2020="FINES",CONCATENATE("R",IF(OR(B2020="16",B2020="21",B2020="22",B2020="23"),"16212223",IF(OR(B2020="15",B2020="17",B2020="24",B2020="25"),"15172425",B2020))),IF(U2020="CEBAS","UNICO",IF(VALUE(B2020)&lt;=11,"AMBA","INTERIOR"))))</f>
        <v>R03</v>
      </c>
      <c r="W2020" s="38" t="str">
        <f>+IF(U2020="","-",CONCATENATE(U2020,"_",V2020))</f>
        <v>FINES_R03</v>
      </c>
      <c r="X2020" s="42">
        <v>0.1</v>
      </c>
    </row>
    <row r="2021" spans="1:24">
      <c r="A2021" s="21" t="s">
        <v>5100</v>
      </c>
      <c r="B2021" t="s">
        <v>1532</v>
      </c>
      <c r="C2021" t="s">
        <v>1530</v>
      </c>
      <c r="D2021" t="s">
        <v>1531</v>
      </c>
      <c r="E2021" s="7" t="s">
        <v>198</v>
      </c>
      <c r="F2021" s="7" t="s">
        <v>198</v>
      </c>
      <c r="G2021" s="7" t="s">
        <v>198</v>
      </c>
      <c r="H2021" s="7" t="s">
        <v>20</v>
      </c>
      <c r="I2021" s="7" t="s">
        <v>5102</v>
      </c>
      <c r="J2021" s="7" t="s">
        <v>21</v>
      </c>
      <c r="L2021" t="s">
        <v>3419</v>
      </c>
      <c r="M2021" s="7" t="s">
        <v>22</v>
      </c>
      <c r="N2021" s="7" t="s">
        <v>23</v>
      </c>
      <c r="O2021" s="7" t="s">
        <v>27</v>
      </c>
      <c r="P2021" s="7" t="s">
        <v>5101</v>
      </c>
      <c r="Q2021" s="26">
        <v>56</v>
      </c>
      <c r="R2021" s="26">
        <v>2</v>
      </c>
      <c r="S2021" s="40">
        <v>1</v>
      </c>
      <c r="T2021" s="7"/>
      <c r="U2021" s="7" t="s">
        <v>2951</v>
      </c>
      <c r="V2021" s="7" t="str">
        <f>+IF(U2021="","",IF(U2021="FINES",CONCATENATE("R",IF(OR(B2021="16",B2021="21",B2021="22",B2021="23"),"16212223",IF(OR(B2021="15",B2021="17",B2021="24",B2021="25"),"15172425",B2021))),IF(U2021="CEBAS","UNICO",IF(VALUE(B2021)&lt;=11,"AMBA","INTERIOR"))))</f>
        <v>R03</v>
      </c>
      <c r="W2021" s="38" t="str">
        <f>+IF(U2021="","-",CONCATENATE(U2021,"_",V2021))</f>
        <v>FINES_R03</v>
      </c>
      <c r="X2021" s="42">
        <v>0.11</v>
      </c>
    </row>
    <row r="2022" spans="1:24">
      <c r="A2022" s="21" t="s">
        <v>5100</v>
      </c>
      <c r="B2022" t="s">
        <v>1532</v>
      </c>
      <c r="C2022" t="s">
        <v>1530</v>
      </c>
      <c r="D2022" t="s">
        <v>1531</v>
      </c>
      <c r="E2022" s="7" t="s">
        <v>198</v>
      </c>
      <c r="F2022" s="7" t="s">
        <v>198</v>
      </c>
      <c r="G2022" s="7" t="s">
        <v>198</v>
      </c>
      <c r="H2022" s="7" t="s">
        <v>20</v>
      </c>
      <c r="I2022" s="7" t="s">
        <v>5102</v>
      </c>
      <c r="J2022" s="7" t="s">
        <v>21</v>
      </c>
      <c r="L2022" t="s">
        <v>3464</v>
      </c>
      <c r="M2022" s="7" t="s">
        <v>22</v>
      </c>
      <c r="N2022" s="7" t="s">
        <v>23</v>
      </c>
      <c r="O2022" s="7" t="s">
        <v>27</v>
      </c>
      <c r="P2022" s="7" t="s">
        <v>5101</v>
      </c>
      <c r="Q2022" s="26">
        <v>73</v>
      </c>
      <c r="R2022" s="26">
        <v>3</v>
      </c>
      <c r="S2022" s="40">
        <v>1</v>
      </c>
      <c r="T2022" s="7"/>
      <c r="U2022" s="7" t="s">
        <v>2951</v>
      </c>
      <c r="V2022" s="7" t="str">
        <f>+IF(U2022="","",IF(U2022="FINES",CONCATENATE("R",IF(OR(B2022="16",B2022="21",B2022="22",B2022="23"),"16212223",IF(OR(B2022="15",B2022="17",B2022="24",B2022="25"),"15172425",B2022))),IF(U2022="CEBAS","UNICO",IF(VALUE(B2022)&lt;=11,"AMBA","INTERIOR"))))</f>
        <v>R03</v>
      </c>
      <c r="W2022" s="38" t="str">
        <f>+IF(U2022="","-",CONCATENATE(U2022,"_",V2022))</f>
        <v>FINES_R03</v>
      </c>
      <c r="X2022" s="42">
        <v>0.111</v>
      </c>
    </row>
    <row r="2023" spans="1:24">
      <c r="A2023" s="21" t="s">
        <v>5100</v>
      </c>
      <c r="B2023" t="s">
        <v>1532</v>
      </c>
      <c r="C2023" t="s">
        <v>1530</v>
      </c>
      <c r="D2023" t="s">
        <v>1531</v>
      </c>
      <c r="E2023" s="7" t="s">
        <v>198</v>
      </c>
      <c r="F2023" s="7" t="s">
        <v>198</v>
      </c>
      <c r="G2023" s="7" t="s">
        <v>198</v>
      </c>
      <c r="H2023" s="7" t="s">
        <v>20</v>
      </c>
      <c r="I2023" s="7" t="s">
        <v>5102</v>
      </c>
      <c r="J2023" s="7" t="s">
        <v>21</v>
      </c>
      <c r="L2023" t="s">
        <v>3507</v>
      </c>
      <c r="M2023" s="7" t="s">
        <v>22</v>
      </c>
      <c r="N2023" s="7" t="s">
        <v>23</v>
      </c>
      <c r="O2023" s="7" t="s">
        <v>27</v>
      </c>
      <c r="P2023" s="7" t="s">
        <v>5101</v>
      </c>
      <c r="Q2023" s="26">
        <v>20</v>
      </c>
      <c r="R2023" s="26">
        <v>1</v>
      </c>
      <c r="S2023" s="40">
        <v>1</v>
      </c>
      <c r="T2023" s="7"/>
      <c r="U2023" s="7" t="s">
        <v>2951</v>
      </c>
      <c r="V2023" s="7" t="str">
        <f>+IF(U2023="","",IF(U2023="FINES",CONCATENATE("R",IF(OR(B2023="16",B2023="21",B2023="22",B2023="23"),"16212223",IF(OR(B2023="15",B2023="17",B2023="24",B2023="25"),"15172425",B2023))),IF(U2023="CEBAS","UNICO",IF(VALUE(B2023)&lt;=11,"AMBA","INTERIOR"))))</f>
        <v>R03</v>
      </c>
      <c r="W2023" s="38" t="str">
        <f>+IF(U2023="","-",CONCATENATE(U2023,"_",V2023))</f>
        <v>FINES_R03</v>
      </c>
      <c r="X2023" s="42">
        <v>0.125</v>
      </c>
    </row>
    <row r="2024" spans="1:24">
      <c r="A2024" s="21" t="s">
        <v>5100</v>
      </c>
      <c r="B2024" t="s">
        <v>1532</v>
      </c>
      <c r="C2024" t="s">
        <v>1530</v>
      </c>
      <c r="D2024" t="s">
        <v>1531</v>
      </c>
      <c r="E2024" s="7" t="s">
        <v>198</v>
      </c>
      <c r="F2024" s="7" t="s">
        <v>198</v>
      </c>
      <c r="G2024" s="7" t="s">
        <v>198</v>
      </c>
      <c r="H2024" s="7" t="s">
        <v>20</v>
      </c>
      <c r="I2024" s="7" t="s">
        <v>5102</v>
      </c>
      <c r="J2024" s="7" t="s">
        <v>21</v>
      </c>
      <c r="L2024" t="s">
        <v>3376</v>
      </c>
      <c r="M2024" s="7" t="s">
        <v>22</v>
      </c>
      <c r="N2024" s="7" t="s">
        <v>23</v>
      </c>
      <c r="O2024" s="7" t="s">
        <v>27</v>
      </c>
      <c r="P2024" s="7" t="s">
        <v>5101</v>
      </c>
      <c r="Q2024" s="26">
        <v>47</v>
      </c>
      <c r="R2024" s="26">
        <v>2</v>
      </c>
      <c r="S2024" s="40">
        <v>1</v>
      </c>
      <c r="T2024" s="7"/>
      <c r="U2024" s="7" t="s">
        <v>2951</v>
      </c>
      <c r="V2024" s="7" t="str">
        <f>+IF(U2024="","",IF(U2024="FINES",CONCATENATE("R",IF(OR(B2024="16",B2024="21",B2024="22",B2024="23"),"16212223",IF(OR(B2024="15",B2024="17",B2024="24",B2024="25"),"15172425",B2024))),IF(U2024="CEBAS","UNICO",IF(VALUE(B2024)&lt;=11,"AMBA","INTERIOR"))))</f>
        <v>R03</v>
      </c>
      <c r="W2024" s="38" t="str">
        <f>+IF(U2024="","-",CONCATENATE(U2024,"_",V2024))</f>
        <v>FINES_R03</v>
      </c>
      <c r="X2024" s="42">
        <v>0.128</v>
      </c>
    </row>
    <row r="2025" spans="1:24">
      <c r="A2025" s="21" t="s">
        <v>5100</v>
      </c>
      <c r="B2025" t="s">
        <v>1532</v>
      </c>
      <c r="C2025" t="s">
        <v>1530</v>
      </c>
      <c r="D2025" t="s">
        <v>1531</v>
      </c>
      <c r="E2025" s="7" t="s">
        <v>198</v>
      </c>
      <c r="F2025" s="7" t="s">
        <v>198</v>
      </c>
      <c r="G2025" s="7" t="s">
        <v>198</v>
      </c>
      <c r="H2025" s="7" t="s">
        <v>20</v>
      </c>
      <c r="I2025" s="7" t="s">
        <v>5102</v>
      </c>
      <c r="J2025" s="7" t="s">
        <v>21</v>
      </c>
      <c r="L2025" t="s">
        <v>3534</v>
      </c>
      <c r="M2025" s="7" t="s">
        <v>22</v>
      </c>
      <c r="N2025" s="7" t="s">
        <v>23</v>
      </c>
      <c r="O2025" s="7" t="s">
        <v>27</v>
      </c>
      <c r="P2025" s="7" t="s">
        <v>5101</v>
      </c>
      <c r="Q2025" s="26">
        <v>52</v>
      </c>
      <c r="R2025" s="26">
        <v>2</v>
      </c>
      <c r="S2025" s="40">
        <v>1</v>
      </c>
      <c r="T2025" s="7"/>
      <c r="U2025" s="7" t="s">
        <v>2951</v>
      </c>
      <c r="V2025" s="7" t="str">
        <f>+IF(U2025="","",IF(U2025="FINES",CONCATENATE("R",IF(OR(B2025="16",B2025="21",B2025="22",B2025="23"),"16212223",IF(OR(B2025="15",B2025="17",B2025="24",B2025="25"),"15172425",B2025))),IF(U2025="CEBAS","UNICO",IF(VALUE(B2025)&lt;=11,"AMBA","INTERIOR"))))</f>
        <v>R03</v>
      </c>
      <c r="W2025" s="38" t="str">
        <f>+IF(U2025="","-",CONCATENATE(U2025,"_",V2025))</f>
        <v>FINES_R03</v>
      </c>
      <c r="X2025" s="42">
        <v>0.13100000000000001</v>
      </c>
    </row>
    <row r="2026" spans="1:24">
      <c r="A2026" s="21" t="s">
        <v>5100</v>
      </c>
      <c r="B2026" t="s">
        <v>1532</v>
      </c>
      <c r="C2026" t="s">
        <v>1530</v>
      </c>
      <c r="D2026" t="s">
        <v>1531</v>
      </c>
      <c r="E2026" s="7" t="s">
        <v>198</v>
      </c>
      <c r="F2026" s="7" t="s">
        <v>198</v>
      </c>
      <c r="G2026" s="7" t="s">
        <v>198</v>
      </c>
      <c r="H2026" s="7" t="s">
        <v>20</v>
      </c>
      <c r="I2026" s="7" t="s">
        <v>5102</v>
      </c>
      <c r="J2026" s="7" t="s">
        <v>21</v>
      </c>
      <c r="L2026" t="s">
        <v>3346</v>
      </c>
      <c r="M2026" s="7" t="s">
        <v>22</v>
      </c>
      <c r="N2026" s="7" t="s">
        <v>23</v>
      </c>
      <c r="O2026" s="7" t="s">
        <v>27</v>
      </c>
      <c r="P2026" s="7" t="s">
        <v>5101</v>
      </c>
      <c r="Q2026" s="26">
        <v>96</v>
      </c>
      <c r="R2026" s="26">
        <v>4</v>
      </c>
      <c r="S2026" s="40">
        <v>1</v>
      </c>
      <c r="T2026" s="7"/>
      <c r="U2026" s="7" t="s">
        <v>2951</v>
      </c>
      <c r="V2026" s="7" t="str">
        <f>+IF(U2026="","",IF(U2026="FINES",CONCATENATE("R",IF(OR(B2026="16",B2026="21",B2026="22",B2026="23"),"16212223",IF(OR(B2026="15",B2026="17",B2026="24",B2026="25"),"15172425",B2026))),IF(U2026="CEBAS","UNICO",IF(VALUE(B2026)&lt;=11,"AMBA","INTERIOR"))))</f>
        <v>R03</v>
      </c>
      <c r="W2026" s="38" t="str">
        <f>+IF(U2026="","-",CONCATENATE(U2026,"_",V2026))</f>
        <v>FINES_R03</v>
      </c>
      <c r="X2026" s="42">
        <v>0.13200000000000001</v>
      </c>
    </row>
    <row r="2027" spans="1:24">
      <c r="A2027" s="21" t="s">
        <v>5100</v>
      </c>
      <c r="B2027" t="s">
        <v>1532</v>
      </c>
      <c r="C2027" t="s">
        <v>1530</v>
      </c>
      <c r="D2027" t="s">
        <v>1531</v>
      </c>
      <c r="E2027" s="7" t="s">
        <v>198</v>
      </c>
      <c r="F2027" s="7" t="s">
        <v>198</v>
      </c>
      <c r="G2027" s="7" t="s">
        <v>198</v>
      </c>
      <c r="H2027" s="7" t="s">
        <v>20</v>
      </c>
      <c r="I2027" s="7" t="s">
        <v>5102</v>
      </c>
      <c r="J2027" s="7" t="s">
        <v>21</v>
      </c>
      <c r="L2027" t="s">
        <v>3509</v>
      </c>
      <c r="M2027" s="7" t="s">
        <v>22</v>
      </c>
      <c r="N2027" s="7" t="s">
        <v>23</v>
      </c>
      <c r="O2027" s="7" t="s">
        <v>27</v>
      </c>
      <c r="P2027" s="7" t="s">
        <v>5101</v>
      </c>
      <c r="Q2027" s="26">
        <v>56</v>
      </c>
      <c r="R2027" s="26">
        <v>3</v>
      </c>
      <c r="S2027" s="40">
        <v>1</v>
      </c>
      <c r="T2027" s="7"/>
      <c r="U2027" s="7" t="s">
        <v>2951</v>
      </c>
      <c r="V2027" s="7" t="str">
        <f>+IF(U2027="","",IF(U2027="FINES",CONCATENATE("R",IF(OR(B2027="16",B2027="21",B2027="22",B2027="23"),"16212223",IF(OR(B2027="15",B2027="17",B2027="24",B2027="25"),"15172425",B2027))),IF(U2027="CEBAS","UNICO",IF(VALUE(B2027)&lt;=11,"AMBA","INTERIOR"))))</f>
        <v>R03</v>
      </c>
      <c r="W2027" s="38" t="str">
        <f>+IF(U2027="","-",CONCATENATE(U2027,"_",V2027))</f>
        <v>FINES_R03</v>
      </c>
      <c r="X2027" s="42">
        <v>0.13300000000000001</v>
      </c>
    </row>
    <row r="2028" spans="1:24">
      <c r="A2028" s="21" t="s">
        <v>5100</v>
      </c>
      <c r="B2028" t="s">
        <v>1532</v>
      </c>
      <c r="C2028" t="s">
        <v>1530</v>
      </c>
      <c r="D2028" t="s">
        <v>1531</v>
      </c>
      <c r="E2028" s="7" t="s">
        <v>198</v>
      </c>
      <c r="F2028" s="7" t="s">
        <v>198</v>
      </c>
      <c r="G2028" s="7" t="s">
        <v>198</v>
      </c>
      <c r="H2028" s="7" t="s">
        <v>20</v>
      </c>
      <c r="I2028" s="7" t="s">
        <v>5102</v>
      </c>
      <c r="J2028" s="7" t="s">
        <v>21</v>
      </c>
      <c r="L2028" t="s">
        <v>3382</v>
      </c>
      <c r="M2028" s="7" t="s">
        <v>22</v>
      </c>
      <c r="N2028" s="7" t="s">
        <v>23</v>
      </c>
      <c r="O2028" s="7" t="s">
        <v>27</v>
      </c>
      <c r="P2028" s="7" t="s">
        <v>5101</v>
      </c>
      <c r="Q2028" s="26">
        <v>0</v>
      </c>
      <c r="R2028" s="26">
        <v>1</v>
      </c>
      <c r="S2028" s="40">
        <v>1</v>
      </c>
      <c r="T2028" s="7"/>
      <c r="U2028" s="7" t="s">
        <v>2951</v>
      </c>
      <c r="V2028" s="7" t="str">
        <f>+IF(U2028="","",IF(U2028="FINES",CONCATENATE("R",IF(OR(B2028="16",B2028="21",B2028="22",B2028="23"),"16212223",IF(OR(B2028="15",B2028="17",B2028="24",B2028="25"),"15172425",B2028))),IF(U2028="CEBAS","UNICO",IF(VALUE(B2028)&lt;=11,"AMBA","INTERIOR"))))</f>
        <v>R03</v>
      </c>
      <c r="W2028" s="38" t="str">
        <f>+IF(U2028="","-",CONCATENATE(U2028,"_",V2028))</f>
        <v>FINES_R03</v>
      </c>
      <c r="X2028" s="42">
        <v>0.13500000000000001</v>
      </c>
    </row>
    <row r="2029" spans="1:24">
      <c r="A2029" s="21" t="s">
        <v>5100</v>
      </c>
      <c r="B2029" t="s">
        <v>1532</v>
      </c>
      <c r="C2029" t="s">
        <v>1530</v>
      </c>
      <c r="D2029" t="s">
        <v>1531</v>
      </c>
      <c r="E2029" s="7" t="s">
        <v>198</v>
      </c>
      <c r="F2029" s="7" t="s">
        <v>198</v>
      </c>
      <c r="G2029" s="7" t="s">
        <v>198</v>
      </c>
      <c r="H2029" s="7" t="s">
        <v>20</v>
      </c>
      <c r="I2029" s="7" t="s">
        <v>5102</v>
      </c>
      <c r="J2029" s="7" t="s">
        <v>21</v>
      </c>
      <c r="L2029" t="s">
        <v>3513</v>
      </c>
      <c r="M2029" s="7" t="s">
        <v>22</v>
      </c>
      <c r="N2029" s="7" t="s">
        <v>23</v>
      </c>
      <c r="O2029" s="7" t="s">
        <v>27</v>
      </c>
      <c r="P2029" s="7" t="s">
        <v>5101</v>
      </c>
      <c r="Q2029" s="26">
        <v>19</v>
      </c>
      <c r="R2029" s="26">
        <v>1</v>
      </c>
      <c r="S2029" s="40">
        <v>1</v>
      </c>
      <c r="T2029" s="7"/>
      <c r="U2029" s="7" t="s">
        <v>2951</v>
      </c>
      <c r="V2029" s="7" t="str">
        <f>+IF(U2029="","",IF(U2029="FINES",CONCATENATE("R",IF(OR(B2029="16",B2029="21",B2029="22",B2029="23"),"16212223",IF(OR(B2029="15",B2029="17",B2029="24",B2029="25"),"15172425",B2029))),IF(U2029="CEBAS","UNICO",IF(VALUE(B2029)&lt;=11,"AMBA","INTERIOR"))))</f>
        <v>R03</v>
      </c>
      <c r="W2029" s="38" t="str">
        <f>+IF(U2029="","-",CONCATENATE(U2029,"_",V2029))</f>
        <v>FINES_R03</v>
      </c>
      <c r="X2029" s="42">
        <v>0.13600000000000001</v>
      </c>
    </row>
    <row r="2030" spans="1:24">
      <c r="A2030" s="21" t="s">
        <v>5100</v>
      </c>
      <c r="B2030" t="s">
        <v>1532</v>
      </c>
      <c r="C2030" t="s">
        <v>1530</v>
      </c>
      <c r="D2030" t="s">
        <v>1531</v>
      </c>
      <c r="E2030" s="7" t="s">
        <v>198</v>
      </c>
      <c r="F2030" s="7" t="s">
        <v>198</v>
      </c>
      <c r="G2030" s="7" t="s">
        <v>198</v>
      </c>
      <c r="H2030" s="7" t="s">
        <v>20</v>
      </c>
      <c r="I2030" s="7" t="s">
        <v>5102</v>
      </c>
      <c r="J2030" s="7" t="s">
        <v>21</v>
      </c>
      <c r="L2030" t="s">
        <v>3338</v>
      </c>
      <c r="M2030" s="7" t="s">
        <v>22</v>
      </c>
      <c r="N2030" s="7" t="s">
        <v>23</v>
      </c>
      <c r="O2030" s="7" t="s">
        <v>27</v>
      </c>
      <c r="P2030" s="7" t="s">
        <v>5101</v>
      </c>
      <c r="Q2030" s="26">
        <v>26</v>
      </c>
      <c r="R2030" s="26">
        <v>1</v>
      </c>
      <c r="S2030" s="40">
        <v>1</v>
      </c>
      <c r="T2030" s="7"/>
      <c r="U2030" s="7" t="s">
        <v>2951</v>
      </c>
      <c r="V2030" s="7" t="str">
        <f>+IF(U2030="","",IF(U2030="FINES",CONCATENATE("R",IF(OR(B2030="16",B2030="21",B2030="22",B2030="23"),"16212223",IF(OR(B2030="15",B2030="17",B2030="24",B2030="25"),"15172425",B2030))),IF(U2030="CEBAS","UNICO",IF(VALUE(B2030)&lt;=11,"AMBA","INTERIOR"))))</f>
        <v>R03</v>
      </c>
      <c r="W2030" s="38" t="str">
        <f>+IF(U2030="","-",CONCATENATE(U2030,"_",V2030))</f>
        <v>FINES_R03</v>
      </c>
      <c r="X2030" s="42">
        <v>0.13800000000000001</v>
      </c>
    </row>
    <row r="2031" spans="1:24">
      <c r="A2031" s="21" t="s">
        <v>5100</v>
      </c>
      <c r="B2031" t="s">
        <v>1532</v>
      </c>
      <c r="C2031" t="s">
        <v>1530</v>
      </c>
      <c r="D2031" t="s">
        <v>1531</v>
      </c>
      <c r="E2031" s="7" t="s">
        <v>198</v>
      </c>
      <c r="F2031" s="7" t="s">
        <v>198</v>
      </c>
      <c r="G2031" s="7" t="s">
        <v>198</v>
      </c>
      <c r="H2031" s="7" t="s">
        <v>20</v>
      </c>
      <c r="I2031" s="7" t="s">
        <v>5102</v>
      </c>
      <c r="J2031" s="7" t="s">
        <v>21</v>
      </c>
      <c r="L2031" t="s">
        <v>3483</v>
      </c>
      <c r="M2031" s="7" t="s">
        <v>22</v>
      </c>
      <c r="N2031" s="7" t="s">
        <v>23</v>
      </c>
      <c r="O2031" s="7" t="s">
        <v>27</v>
      </c>
      <c r="P2031" s="7" t="s">
        <v>5101</v>
      </c>
      <c r="Q2031" s="26">
        <v>20</v>
      </c>
      <c r="R2031" s="26">
        <v>1</v>
      </c>
      <c r="S2031" s="40">
        <v>1</v>
      </c>
      <c r="T2031" s="7"/>
      <c r="U2031" s="7" t="s">
        <v>2951</v>
      </c>
      <c r="V2031" s="7" t="str">
        <f>+IF(U2031="","",IF(U2031="FINES",CONCATENATE("R",IF(OR(B2031="16",B2031="21",B2031="22",B2031="23"),"16212223",IF(OR(B2031="15",B2031="17",B2031="24",B2031="25"),"15172425",B2031))),IF(U2031="CEBAS","UNICO",IF(VALUE(B2031)&lt;=11,"AMBA","INTERIOR"))))</f>
        <v>R03</v>
      </c>
      <c r="W2031" s="38" t="str">
        <f>+IF(U2031="","-",CONCATENATE(U2031,"_",V2031))</f>
        <v>FINES_R03</v>
      </c>
      <c r="X2031" s="42">
        <v>0.14399999999999999</v>
      </c>
    </row>
    <row r="2032" spans="1:24">
      <c r="A2032" s="21" t="s">
        <v>5100</v>
      </c>
      <c r="B2032" t="s">
        <v>1532</v>
      </c>
      <c r="C2032" t="s">
        <v>1530</v>
      </c>
      <c r="D2032" t="s">
        <v>1531</v>
      </c>
      <c r="E2032" s="7" t="s">
        <v>198</v>
      </c>
      <c r="F2032" s="7" t="s">
        <v>198</v>
      </c>
      <c r="G2032" s="7" t="s">
        <v>198</v>
      </c>
      <c r="H2032" s="7" t="s">
        <v>20</v>
      </c>
      <c r="I2032" s="7" t="s">
        <v>5102</v>
      </c>
      <c r="J2032" s="7" t="s">
        <v>21</v>
      </c>
      <c r="L2032" t="s">
        <v>3417</v>
      </c>
      <c r="M2032" s="7" t="s">
        <v>22</v>
      </c>
      <c r="N2032" s="7" t="s">
        <v>23</v>
      </c>
      <c r="O2032" s="7" t="s">
        <v>27</v>
      </c>
      <c r="P2032" s="7" t="s">
        <v>5101</v>
      </c>
      <c r="Q2032" s="26">
        <v>75</v>
      </c>
      <c r="R2032" s="26">
        <v>4</v>
      </c>
      <c r="S2032" s="40">
        <v>1</v>
      </c>
      <c r="T2032" s="7"/>
      <c r="U2032" s="7" t="s">
        <v>2951</v>
      </c>
      <c r="V2032" s="7" t="str">
        <f>+IF(U2032="","",IF(U2032="FINES",CONCATENATE("R",IF(OR(B2032="16",B2032="21",B2032="22",B2032="23"),"16212223",IF(OR(B2032="15",B2032="17",B2032="24",B2032="25"),"15172425",B2032))),IF(U2032="CEBAS","UNICO",IF(VALUE(B2032)&lt;=11,"AMBA","INTERIOR"))))</f>
        <v>R03</v>
      </c>
      <c r="W2032" s="38" t="str">
        <f>+IF(U2032="","-",CONCATENATE(U2032,"_",V2032))</f>
        <v>FINES_R03</v>
      </c>
      <c r="X2032" s="42">
        <v>0.14799999999999999</v>
      </c>
    </row>
    <row r="2033" spans="1:24">
      <c r="A2033" s="21" t="s">
        <v>5100</v>
      </c>
      <c r="B2033" t="s">
        <v>1532</v>
      </c>
      <c r="C2033" t="s">
        <v>1530</v>
      </c>
      <c r="D2033" t="s">
        <v>1531</v>
      </c>
      <c r="E2033" s="7" t="s">
        <v>198</v>
      </c>
      <c r="F2033" s="7" t="s">
        <v>198</v>
      </c>
      <c r="G2033" s="7" t="s">
        <v>198</v>
      </c>
      <c r="H2033" s="7" t="s">
        <v>20</v>
      </c>
      <c r="I2033" s="7" t="s">
        <v>5102</v>
      </c>
      <c r="J2033" s="7" t="s">
        <v>21</v>
      </c>
      <c r="L2033" t="s">
        <v>3368</v>
      </c>
      <c r="M2033" s="7" t="s">
        <v>22</v>
      </c>
      <c r="N2033" s="7" t="s">
        <v>23</v>
      </c>
      <c r="O2033" s="7" t="s">
        <v>27</v>
      </c>
      <c r="P2033" s="7" t="s">
        <v>5101</v>
      </c>
      <c r="Q2033" s="26">
        <v>26</v>
      </c>
      <c r="R2033" s="26">
        <v>1</v>
      </c>
      <c r="S2033" s="40">
        <v>1</v>
      </c>
      <c r="T2033" s="7"/>
      <c r="U2033" s="7" t="s">
        <v>2951</v>
      </c>
      <c r="V2033" s="7" t="str">
        <f>+IF(U2033="","",IF(U2033="FINES",CONCATENATE("R",IF(OR(B2033="16",B2033="21",B2033="22",B2033="23"),"16212223",IF(OR(B2033="15",B2033="17",B2033="24",B2033="25"),"15172425",B2033))),IF(U2033="CEBAS","UNICO",IF(VALUE(B2033)&lt;=11,"AMBA","INTERIOR"))))</f>
        <v>R03</v>
      </c>
      <c r="W2033" s="38" t="str">
        <f>+IF(U2033="","-",CONCATENATE(U2033,"_",V2033))</f>
        <v>FINES_R03</v>
      </c>
      <c r="X2033" s="42">
        <v>0.153</v>
      </c>
    </row>
    <row r="2034" spans="1:24">
      <c r="A2034" s="21" t="s">
        <v>5100</v>
      </c>
      <c r="B2034" t="s">
        <v>1532</v>
      </c>
      <c r="C2034" t="s">
        <v>1530</v>
      </c>
      <c r="D2034" t="s">
        <v>1531</v>
      </c>
      <c r="E2034" s="7" t="s">
        <v>198</v>
      </c>
      <c r="F2034" s="7" t="s">
        <v>198</v>
      </c>
      <c r="G2034" s="7" t="s">
        <v>198</v>
      </c>
      <c r="H2034" s="7" t="s">
        <v>20</v>
      </c>
      <c r="I2034" s="7" t="s">
        <v>5102</v>
      </c>
      <c r="J2034" s="7" t="s">
        <v>21</v>
      </c>
      <c r="L2034" t="s">
        <v>3498</v>
      </c>
      <c r="M2034" s="7" t="s">
        <v>22</v>
      </c>
      <c r="N2034" s="7" t="s">
        <v>23</v>
      </c>
      <c r="O2034" s="7" t="s">
        <v>27</v>
      </c>
      <c r="P2034" s="7" t="s">
        <v>5101</v>
      </c>
      <c r="Q2034" s="26">
        <v>62</v>
      </c>
      <c r="R2034" s="26">
        <v>2</v>
      </c>
      <c r="S2034" s="40">
        <v>1</v>
      </c>
      <c r="T2034" s="7"/>
      <c r="U2034" s="7" t="s">
        <v>2951</v>
      </c>
      <c r="V2034" s="7" t="str">
        <f>+IF(U2034="","",IF(U2034="FINES",CONCATENATE("R",IF(OR(B2034="16",B2034="21",B2034="22",B2034="23"),"16212223",IF(OR(B2034="15",B2034="17",B2034="24",B2034="25"),"15172425",B2034))),IF(U2034="CEBAS","UNICO",IF(VALUE(B2034)&lt;=11,"AMBA","INTERIOR"))))</f>
        <v>R03</v>
      </c>
      <c r="W2034" s="38" t="str">
        <f>+IF(U2034="","-",CONCATENATE(U2034,"_",V2034))</f>
        <v>FINES_R03</v>
      </c>
      <c r="X2034" s="42">
        <v>0.17299999999999999</v>
      </c>
    </row>
    <row r="2035" spans="1:24">
      <c r="A2035" s="21" t="s">
        <v>5100</v>
      </c>
      <c r="B2035" t="s">
        <v>1532</v>
      </c>
      <c r="C2035" t="s">
        <v>1530</v>
      </c>
      <c r="D2035" t="s">
        <v>1531</v>
      </c>
      <c r="E2035" s="7" t="s">
        <v>198</v>
      </c>
      <c r="F2035" s="7" t="s">
        <v>198</v>
      </c>
      <c r="G2035" s="7" t="s">
        <v>198</v>
      </c>
      <c r="H2035" s="7" t="s">
        <v>20</v>
      </c>
      <c r="I2035" s="7" t="s">
        <v>5102</v>
      </c>
      <c r="J2035" s="7" t="s">
        <v>21</v>
      </c>
      <c r="L2035" t="s">
        <v>3511</v>
      </c>
      <c r="M2035" s="7" t="s">
        <v>22</v>
      </c>
      <c r="N2035" s="7" t="s">
        <v>23</v>
      </c>
      <c r="O2035" s="7" t="s">
        <v>27</v>
      </c>
      <c r="P2035" s="7" t="s">
        <v>5101</v>
      </c>
      <c r="Q2035" s="26">
        <v>19</v>
      </c>
      <c r="R2035" s="26">
        <v>1</v>
      </c>
      <c r="S2035" s="40">
        <v>1</v>
      </c>
      <c r="T2035" s="7"/>
      <c r="U2035" s="7" t="s">
        <v>2951</v>
      </c>
      <c r="V2035" s="7" t="str">
        <f>+IF(U2035="","",IF(U2035="FINES",CONCATENATE("R",IF(OR(B2035="16",B2035="21",B2035="22",B2035="23"),"16212223",IF(OR(B2035="15",B2035="17",B2035="24",B2035="25"),"15172425",B2035))),IF(U2035="CEBAS","UNICO",IF(VALUE(B2035)&lt;=11,"AMBA","INTERIOR"))))</f>
        <v>R03</v>
      </c>
      <c r="W2035" s="38" t="str">
        <f>+IF(U2035="","-",CONCATENATE(U2035,"_",V2035))</f>
        <v>FINES_R03</v>
      </c>
      <c r="X2035" s="42">
        <v>0.182</v>
      </c>
    </row>
    <row r="2036" spans="1:24">
      <c r="A2036" s="21" t="s">
        <v>5100</v>
      </c>
      <c r="B2036" t="s">
        <v>1532</v>
      </c>
      <c r="C2036" t="s">
        <v>1530</v>
      </c>
      <c r="D2036" t="s">
        <v>1531</v>
      </c>
      <c r="E2036" s="7" t="s">
        <v>198</v>
      </c>
      <c r="F2036" s="7" t="s">
        <v>198</v>
      </c>
      <c r="G2036" s="7" t="s">
        <v>198</v>
      </c>
      <c r="H2036" s="7" t="s">
        <v>20</v>
      </c>
      <c r="I2036" s="7" t="s">
        <v>5102</v>
      </c>
      <c r="J2036" s="7" t="s">
        <v>21</v>
      </c>
      <c r="L2036" t="s">
        <v>3443</v>
      </c>
      <c r="M2036" s="7" t="s">
        <v>22</v>
      </c>
      <c r="N2036" s="7" t="s">
        <v>23</v>
      </c>
      <c r="O2036" s="7" t="s">
        <v>27</v>
      </c>
      <c r="P2036" s="7" t="s">
        <v>5101</v>
      </c>
      <c r="Q2036" s="26">
        <v>28</v>
      </c>
      <c r="R2036" s="26">
        <v>1</v>
      </c>
      <c r="S2036" s="40">
        <v>1</v>
      </c>
      <c r="T2036" s="7"/>
      <c r="U2036" s="7" t="s">
        <v>2951</v>
      </c>
      <c r="V2036" s="7" t="str">
        <f>+IF(U2036="","",IF(U2036="FINES",CONCATENATE("R",IF(OR(B2036="16",B2036="21",B2036="22",B2036="23"),"16212223",IF(OR(B2036="15",B2036="17",B2036="24",B2036="25"),"15172425",B2036))),IF(U2036="CEBAS","UNICO",IF(VALUE(B2036)&lt;=11,"AMBA","INTERIOR"))))</f>
        <v>R03</v>
      </c>
      <c r="W2036" s="38" t="str">
        <f>+IF(U2036="","-",CONCATENATE(U2036,"_",V2036))</f>
        <v>FINES_R03</v>
      </c>
      <c r="X2036" s="42">
        <v>0.184</v>
      </c>
    </row>
    <row r="2037" spans="1:24">
      <c r="A2037" s="21" t="s">
        <v>5100</v>
      </c>
      <c r="B2037" t="s">
        <v>1532</v>
      </c>
      <c r="C2037" t="s">
        <v>1530</v>
      </c>
      <c r="D2037" t="s">
        <v>1531</v>
      </c>
      <c r="E2037" s="7" t="s">
        <v>198</v>
      </c>
      <c r="F2037" s="7" t="s">
        <v>198</v>
      </c>
      <c r="G2037" s="7" t="s">
        <v>198</v>
      </c>
      <c r="H2037" s="7" t="s">
        <v>20</v>
      </c>
      <c r="I2037" s="7" t="s">
        <v>5102</v>
      </c>
      <c r="J2037" s="7" t="s">
        <v>21</v>
      </c>
      <c r="L2037" t="s">
        <v>3433</v>
      </c>
      <c r="M2037" s="7" t="s">
        <v>22</v>
      </c>
      <c r="N2037" s="7" t="s">
        <v>23</v>
      </c>
      <c r="O2037" s="7" t="s">
        <v>27</v>
      </c>
      <c r="P2037" s="7" t="s">
        <v>5101</v>
      </c>
      <c r="Q2037" s="26">
        <v>19</v>
      </c>
      <c r="R2037" s="26">
        <v>1</v>
      </c>
      <c r="S2037" s="40">
        <v>1</v>
      </c>
      <c r="T2037" s="7"/>
      <c r="U2037" s="7" t="s">
        <v>2951</v>
      </c>
      <c r="V2037" s="7" t="str">
        <f>+IF(U2037="","",IF(U2037="FINES",CONCATENATE("R",IF(OR(B2037="16",B2037="21",B2037="22",B2037="23"),"16212223",IF(OR(B2037="15",B2037="17",B2037="24",B2037="25"),"15172425",B2037))),IF(U2037="CEBAS","UNICO",IF(VALUE(B2037)&lt;=11,"AMBA","INTERIOR"))))</f>
        <v>R03</v>
      </c>
      <c r="W2037" s="38" t="str">
        <f>+IF(U2037="","-",CONCATENATE(U2037,"_",V2037))</f>
        <v>FINES_R03</v>
      </c>
      <c r="X2037" s="42">
        <v>0.193</v>
      </c>
    </row>
    <row r="2038" spans="1:24">
      <c r="A2038" s="21" t="s">
        <v>5100</v>
      </c>
      <c r="B2038" t="s">
        <v>1532</v>
      </c>
      <c r="C2038" t="s">
        <v>1530</v>
      </c>
      <c r="D2038" t="s">
        <v>1531</v>
      </c>
      <c r="E2038" s="7" t="s">
        <v>198</v>
      </c>
      <c r="F2038" s="7" t="s">
        <v>198</v>
      </c>
      <c r="G2038" s="7" t="s">
        <v>198</v>
      </c>
      <c r="H2038" s="7" t="s">
        <v>20</v>
      </c>
      <c r="I2038" s="7" t="s">
        <v>5102</v>
      </c>
      <c r="J2038" s="7" t="s">
        <v>21</v>
      </c>
      <c r="L2038" t="s">
        <v>3524</v>
      </c>
      <c r="M2038" s="7" t="s">
        <v>22</v>
      </c>
      <c r="N2038" s="7" t="s">
        <v>23</v>
      </c>
      <c r="O2038" s="7" t="s">
        <v>27</v>
      </c>
      <c r="P2038" s="7" t="s">
        <v>5101</v>
      </c>
      <c r="Q2038" s="26">
        <v>18</v>
      </c>
      <c r="R2038" s="26">
        <v>1</v>
      </c>
      <c r="S2038" s="40">
        <v>1</v>
      </c>
      <c r="T2038" s="7"/>
      <c r="U2038" s="7" t="s">
        <v>2951</v>
      </c>
      <c r="V2038" s="7" t="str">
        <f>+IF(U2038="","",IF(U2038="FINES",CONCATENATE("R",IF(OR(B2038="16",B2038="21",B2038="22",B2038="23"),"16212223",IF(OR(B2038="15",B2038="17",B2038="24",B2038="25"),"15172425",B2038))),IF(U2038="CEBAS","UNICO",IF(VALUE(B2038)&lt;=11,"AMBA","INTERIOR"))))</f>
        <v>R03</v>
      </c>
      <c r="W2038" s="38" t="str">
        <f>+IF(U2038="","-",CONCATENATE(U2038,"_",V2038))</f>
        <v>FINES_R03</v>
      </c>
      <c r="X2038" s="42">
        <v>0.2</v>
      </c>
    </row>
    <row r="2039" spans="1:24">
      <c r="A2039" s="21" t="s">
        <v>5100</v>
      </c>
      <c r="B2039" t="s">
        <v>1532</v>
      </c>
      <c r="C2039" t="s">
        <v>1530</v>
      </c>
      <c r="D2039" t="s">
        <v>1531</v>
      </c>
      <c r="E2039" s="7" t="s">
        <v>198</v>
      </c>
      <c r="F2039" s="7" t="s">
        <v>198</v>
      </c>
      <c r="G2039" s="7" t="s">
        <v>198</v>
      </c>
      <c r="H2039" s="7" t="s">
        <v>20</v>
      </c>
      <c r="I2039" s="7" t="s">
        <v>5102</v>
      </c>
      <c r="J2039" s="7" t="s">
        <v>21</v>
      </c>
      <c r="L2039" t="s">
        <v>3541</v>
      </c>
      <c r="M2039" s="7" t="s">
        <v>22</v>
      </c>
      <c r="N2039" s="7" t="s">
        <v>23</v>
      </c>
      <c r="O2039" s="7" t="s">
        <v>27</v>
      </c>
      <c r="P2039" s="7" t="s">
        <v>5101</v>
      </c>
      <c r="Q2039" s="26">
        <v>34</v>
      </c>
      <c r="R2039" s="26">
        <v>1</v>
      </c>
      <c r="S2039" s="40">
        <v>1</v>
      </c>
      <c r="T2039" s="7"/>
      <c r="U2039" s="7" t="s">
        <v>2951</v>
      </c>
      <c r="V2039" s="7" t="str">
        <f>+IF(U2039="","",IF(U2039="FINES",CONCATENATE("R",IF(OR(B2039="16",B2039="21",B2039="22",B2039="23"),"16212223",IF(OR(B2039="15",B2039="17",B2039="24",B2039="25"),"15172425",B2039))),IF(U2039="CEBAS","UNICO",IF(VALUE(B2039)&lt;=11,"AMBA","INTERIOR"))))</f>
        <v>R03</v>
      </c>
      <c r="W2039" s="38" t="str">
        <f>+IF(U2039="","-",CONCATENATE(U2039,"_",V2039))</f>
        <v>FINES_R03</v>
      </c>
      <c r="X2039" s="42">
        <v>0.20300000000000001</v>
      </c>
    </row>
    <row r="2040" spans="1:24">
      <c r="A2040" s="21" t="s">
        <v>5100</v>
      </c>
      <c r="B2040" t="s">
        <v>1532</v>
      </c>
      <c r="C2040" t="s">
        <v>1530</v>
      </c>
      <c r="D2040" t="s">
        <v>1531</v>
      </c>
      <c r="E2040" s="7" t="s">
        <v>198</v>
      </c>
      <c r="F2040" s="7" t="s">
        <v>198</v>
      </c>
      <c r="G2040" s="7" t="s">
        <v>198</v>
      </c>
      <c r="H2040" s="7" t="s">
        <v>20</v>
      </c>
      <c r="I2040" s="7" t="s">
        <v>5102</v>
      </c>
      <c r="J2040" s="7" t="s">
        <v>21</v>
      </c>
      <c r="L2040" t="s">
        <v>3425</v>
      </c>
      <c r="M2040" s="7" t="s">
        <v>22</v>
      </c>
      <c r="N2040" s="7" t="s">
        <v>23</v>
      </c>
      <c r="O2040" s="7" t="s">
        <v>27</v>
      </c>
      <c r="P2040" s="7" t="s">
        <v>5101</v>
      </c>
      <c r="Q2040" s="26">
        <v>14</v>
      </c>
      <c r="R2040" s="26">
        <v>1</v>
      </c>
      <c r="S2040" s="40">
        <v>1</v>
      </c>
      <c r="T2040" s="7"/>
      <c r="U2040" s="7" t="s">
        <v>2951</v>
      </c>
      <c r="V2040" s="7" t="str">
        <f>+IF(U2040="","",IF(U2040="FINES",CONCATENATE("R",IF(OR(B2040="16",B2040="21",B2040="22",B2040="23"),"16212223",IF(OR(B2040="15",B2040="17",B2040="24",B2040="25"),"15172425",B2040))),IF(U2040="CEBAS","UNICO",IF(VALUE(B2040)&lt;=11,"AMBA","INTERIOR"))))</f>
        <v>R03</v>
      </c>
      <c r="W2040" s="38" t="str">
        <f>+IF(U2040="","-",CONCATENATE(U2040,"_",V2040))</f>
        <v>FINES_R03</v>
      </c>
      <c r="X2040" s="42">
        <v>0.20300000000000001</v>
      </c>
    </row>
    <row r="2041" spans="1:24">
      <c r="A2041" s="21" t="s">
        <v>5100</v>
      </c>
      <c r="B2041" t="s">
        <v>1532</v>
      </c>
      <c r="C2041" t="s">
        <v>1530</v>
      </c>
      <c r="D2041" t="s">
        <v>1531</v>
      </c>
      <c r="E2041" s="7" t="s">
        <v>198</v>
      </c>
      <c r="F2041" s="7" t="s">
        <v>198</v>
      </c>
      <c r="G2041" s="7" t="s">
        <v>198</v>
      </c>
      <c r="H2041" s="7" t="s">
        <v>20</v>
      </c>
      <c r="I2041" s="7" t="s">
        <v>5102</v>
      </c>
      <c r="J2041" s="7" t="s">
        <v>21</v>
      </c>
      <c r="L2041" t="s">
        <v>3328</v>
      </c>
      <c r="M2041" s="7" t="s">
        <v>22</v>
      </c>
      <c r="N2041" s="7" t="s">
        <v>23</v>
      </c>
      <c r="O2041" s="7" t="s">
        <v>27</v>
      </c>
      <c r="P2041" s="7" t="s">
        <v>5101</v>
      </c>
      <c r="Q2041" s="26">
        <v>120</v>
      </c>
      <c r="R2041" s="26">
        <v>4</v>
      </c>
      <c r="S2041" s="40">
        <v>1</v>
      </c>
      <c r="T2041" s="7"/>
      <c r="U2041" s="7" t="s">
        <v>2951</v>
      </c>
      <c r="V2041" s="7" t="str">
        <f>+IF(U2041="","",IF(U2041="FINES",CONCATENATE("R",IF(OR(B2041="16",B2041="21",B2041="22",B2041="23"),"16212223",IF(OR(B2041="15",B2041="17",B2041="24",B2041="25"),"15172425",B2041))),IF(U2041="CEBAS","UNICO",IF(VALUE(B2041)&lt;=11,"AMBA","INTERIOR"))))</f>
        <v>R03</v>
      </c>
      <c r="W2041" s="38" t="str">
        <f>+IF(U2041="","-",CONCATENATE(U2041,"_",V2041))</f>
        <v>FINES_R03</v>
      </c>
      <c r="X2041" s="42">
        <v>0.21099999999999999</v>
      </c>
    </row>
    <row r="2042" spans="1:24">
      <c r="A2042" s="21" t="s">
        <v>5100</v>
      </c>
      <c r="B2042" t="s">
        <v>1532</v>
      </c>
      <c r="C2042" t="s">
        <v>1530</v>
      </c>
      <c r="D2042" t="s">
        <v>1531</v>
      </c>
      <c r="E2042" s="7" t="s">
        <v>198</v>
      </c>
      <c r="F2042" s="7" t="s">
        <v>198</v>
      </c>
      <c r="G2042" s="7" t="s">
        <v>198</v>
      </c>
      <c r="H2042" s="7" t="s">
        <v>20</v>
      </c>
      <c r="I2042" s="7" t="s">
        <v>5102</v>
      </c>
      <c r="J2042" s="7" t="s">
        <v>21</v>
      </c>
      <c r="L2042" t="s">
        <v>3493</v>
      </c>
      <c r="M2042" s="7" t="s">
        <v>22</v>
      </c>
      <c r="N2042" s="7" t="s">
        <v>23</v>
      </c>
      <c r="O2042" s="7" t="s">
        <v>27</v>
      </c>
      <c r="P2042" s="7" t="s">
        <v>5101</v>
      </c>
      <c r="Q2042" s="26">
        <v>12</v>
      </c>
      <c r="R2042" s="26">
        <v>1</v>
      </c>
      <c r="S2042" s="40">
        <v>1</v>
      </c>
      <c r="T2042" s="7"/>
      <c r="U2042" s="7" t="s">
        <v>2951</v>
      </c>
      <c r="V2042" s="7" t="str">
        <f>+IF(U2042="","",IF(U2042="FINES",CONCATENATE("R",IF(OR(B2042="16",B2042="21",B2042="22",B2042="23"),"16212223",IF(OR(B2042="15",B2042="17",B2042="24",B2042="25"),"15172425",B2042))),IF(U2042="CEBAS","UNICO",IF(VALUE(B2042)&lt;=11,"AMBA","INTERIOR"))))</f>
        <v>R03</v>
      </c>
      <c r="W2042" s="38" t="str">
        <f>+IF(U2042="","-",CONCATENATE(U2042,"_",V2042))</f>
        <v>FINES_R03</v>
      </c>
      <c r="X2042" s="42">
        <v>0.218</v>
      </c>
    </row>
    <row r="2043" spans="1:24">
      <c r="A2043" s="21" t="s">
        <v>5100</v>
      </c>
      <c r="B2043" t="s">
        <v>1532</v>
      </c>
      <c r="C2043" t="s">
        <v>1530</v>
      </c>
      <c r="D2043" t="s">
        <v>1531</v>
      </c>
      <c r="E2043" s="7" t="s">
        <v>198</v>
      </c>
      <c r="F2043" s="7" t="s">
        <v>198</v>
      </c>
      <c r="G2043" s="7" t="s">
        <v>198</v>
      </c>
      <c r="H2043" s="7" t="s">
        <v>20</v>
      </c>
      <c r="I2043" s="7" t="s">
        <v>5102</v>
      </c>
      <c r="J2043" s="7" t="s">
        <v>21</v>
      </c>
      <c r="L2043" t="s">
        <v>3340</v>
      </c>
      <c r="M2043" s="7" t="s">
        <v>22</v>
      </c>
      <c r="N2043" s="7" t="s">
        <v>23</v>
      </c>
      <c r="O2043" s="7" t="s">
        <v>27</v>
      </c>
      <c r="P2043" s="7" t="s">
        <v>5101</v>
      </c>
      <c r="Q2043" s="26">
        <v>56</v>
      </c>
      <c r="R2043" s="26">
        <v>3</v>
      </c>
      <c r="S2043" s="40">
        <v>1</v>
      </c>
      <c r="T2043" s="7"/>
      <c r="U2043" s="7" t="s">
        <v>2951</v>
      </c>
      <c r="V2043" s="7" t="str">
        <f>+IF(U2043="","",IF(U2043="FINES",CONCATENATE("R",IF(OR(B2043="16",B2043="21",B2043="22",B2043="23"),"16212223",IF(OR(B2043="15",B2043="17",B2043="24",B2043="25"),"15172425",B2043))),IF(U2043="CEBAS","UNICO",IF(VALUE(B2043)&lt;=11,"AMBA","INTERIOR"))))</f>
        <v>R03</v>
      </c>
      <c r="W2043" s="38" t="str">
        <f>+IF(U2043="","-",CONCATENATE(U2043,"_",V2043))</f>
        <v>FINES_R03</v>
      </c>
      <c r="X2043" s="42">
        <v>0.22</v>
      </c>
    </row>
    <row r="2044" spans="1:24">
      <c r="A2044" s="21" t="s">
        <v>5100</v>
      </c>
      <c r="B2044" t="s">
        <v>1532</v>
      </c>
      <c r="C2044" t="s">
        <v>1530</v>
      </c>
      <c r="D2044" t="s">
        <v>1531</v>
      </c>
      <c r="E2044" s="7" t="s">
        <v>198</v>
      </c>
      <c r="F2044" s="7" t="s">
        <v>198</v>
      </c>
      <c r="G2044" s="7" t="s">
        <v>198</v>
      </c>
      <c r="H2044" s="7" t="s">
        <v>20</v>
      </c>
      <c r="I2044" s="7" t="s">
        <v>5102</v>
      </c>
      <c r="J2044" s="7" t="s">
        <v>21</v>
      </c>
      <c r="L2044" t="s">
        <v>3324</v>
      </c>
      <c r="M2044" s="7" t="s">
        <v>22</v>
      </c>
      <c r="N2044" s="7" t="s">
        <v>23</v>
      </c>
      <c r="O2044" s="7" t="s">
        <v>27</v>
      </c>
      <c r="P2044" s="7" t="s">
        <v>5101</v>
      </c>
      <c r="Q2044" s="26">
        <v>0</v>
      </c>
      <c r="R2044" s="26">
        <v>1</v>
      </c>
      <c r="S2044" s="40">
        <v>1</v>
      </c>
      <c r="T2044" s="7"/>
      <c r="U2044" s="7" t="s">
        <v>2951</v>
      </c>
      <c r="V2044" s="7" t="str">
        <f>+IF(U2044="","",IF(U2044="FINES",CONCATENATE("R",IF(OR(B2044="16",B2044="21",B2044="22",B2044="23"),"16212223",IF(OR(B2044="15",B2044="17",B2044="24",B2044="25"),"15172425",B2044))),IF(U2044="CEBAS","UNICO",IF(VALUE(B2044)&lt;=11,"AMBA","INTERIOR"))))</f>
        <v>R03</v>
      </c>
      <c r="W2044" s="38" t="str">
        <f>+IF(U2044="","-",CONCATENATE(U2044,"_",V2044))</f>
        <v>FINES_R03</v>
      </c>
      <c r="X2044" s="42">
        <v>0.222</v>
      </c>
    </row>
    <row r="2045" spans="1:24">
      <c r="A2045" s="21" t="s">
        <v>5100</v>
      </c>
      <c r="B2045" t="s">
        <v>1532</v>
      </c>
      <c r="C2045" t="s">
        <v>1530</v>
      </c>
      <c r="D2045" t="s">
        <v>1531</v>
      </c>
      <c r="E2045" s="7" t="s">
        <v>198</v>
      </c>
      <c r="F2045" s="7" t="s">
        <v>198</v>
      </c>
      <c r="G2045" s="7" t="s">
        <v>198</v>
      </c>
      <c r="H2045" s="7" t="s">
        <v>20</v>
      </c>
      <c r="I2045" s="7" t="s">
        <v>5102</v>
      </c>
      <c r="J2045" s="7" t="s">
        <v>21</v>
      </c>
      <c r="L2045" t="s">
        <v>3396</v>
      </c>
      <c r="M2045" s="7" t="s">
        <v>22</v>
      </c>
      <c r="N2045" s="7" t="s">
        <v>23</v>
      </c>
      <c r="O2045" s="7" t="s">
        <v>27</v>
      </c>
      <c r="P2045" s="7" t="s">
        <v>5101</v>
      </c>
      <c r="Q2045" s="26">
        <v>23</v>
      </c>
      <c r="R2045" s="26">
        <v>1</v>
      </c>
      <c r="S2045" s="40">
        <v>1</v>
      </c>
      <c r="T2045" s="7"/>
      <c r="U2045" s="7" t="s">
        <v>2951</v>
      </c>
      <c r="V2045" s="7" t="str">
        <f>+IF(U2045="","",IF(U2045="FINES",CONCATENATE("R",IF(OR(B2045="16",B2045="21",B2045="22",B2045="23"),"16212223",IF(OR(B2045="15",B2045="17",B2045="24",B2045="25"),"15172425",B2045))),IF(U2045="CEBAS","UNICO",IF(VALUE(B2045)&lt;=11,"AMBA","INTERIOR"))))</f>
        <v>R03</v>
      </c>
      <c r="W2045" s="38" t="str">
        <f>+IF(U2045="","-",CONCATENATE(U2045,"_",V2045))</f>
        <v>FINES_R03</v>
      </c>
      <c r="X2045" s="42">
        <v>0.223</v>
      </c>
    </row>
    <row r="2046" spans="1:24">
      <c r="A2046" s="21" t="s">
        <v>5100</v>
      </c>
      <c r="B2046" t="s">
        <v>1532</v>
      </c>
      <c r="C2046" t="s">
        <v>1530</v>
      </c>
      <c r="D2046" t="s">
        <v>1531</v>
      </c>
      <c r="E2046" s="7" t="s">
        <v>198</v>
      </c>
      <c r="F2046" s="7" t="s">
        <v>198</v>
      </c>
      <c r="G2046" s="7" t="s">
        <v>198</v>
      </c>
      <c r="H2046" s="7" t="s">
        <v>20</v>
      </c>
      <c r="I2046" s="7" t="s">
        <v>5102</v>
      </c>
      <c r="J2046" s="7" t="s">
        <v>21</v>
      </c>
      <c r="L2046" t="s">
        <v>3520</v>
      </c>
      <c r="M2046" s="7" t="s">
        <v>22</v>
      </c>
      <c r="N2046" s="7" t="s">
        <v>23</v>
      </c>
      <c r="O2046" s="7" t="s">
        <v>27</v>
      </c>
      <c r="P2046" s="7" t="s">
        <v>5101</v>
      </c>
      <c r="Q2046" s="26">
        <v>17</v>
      </c>
      <c r="R2046" s="26">
        <v>1</v>
      </c>
      <c r="S2046" s="40">
        <v>1</v>
      </c>
      <c r="T2046" s="7"/>
      <c r="U2046" s="7" t="s">
        <v>2951</v>
      </c>
      <c r="V2046" s="7" t="str">
        <f>+IF(U2046="","",IF(U2046="FINES",CONCATENATE("R",IF(OR(B2046="16",B2046="21",B2046="22",B2046="23"),"16212223",IF(OR(B2046="15",B2046="17",B2046="24",B2046="25"),"15172425",B2046))),IF(U2046="CEBAS","UNICO",IF(VALUE(B2046)&lt;=11,"AMBA","INTERIOR"))))</f>
        <v>R03</v>
      </c>
      <c r="W2046" s="38" t="str">
        <f>+IF(U2046="","-",CONCATENATE(U2046,"_",V2046))</f>
        <v>FINES_R03</v>
      </c>
      <c r="X2046" s="42">
        <v>0.224</v>
      </c>
    </row>
    <row r="2047" spans="1:24">
      <c r="A2047" s="21" t="s">
        <v>5100</v>
      </c>
      <c r="B2047" t="s">
        <v>1532</v>
      </c>
      <c r="C2047" t="s">
        <v>1530</v>
      </c>
      <c r="D2047" t="s">
        <v>1531</v>
      </c>
      <c r="E2047" s="7" t="s">
        <v>198</v>
      </c>
      <c r="F2047" s="7" t="s">
        <v>198</v>
      </c>
      <c r="G2047" s="7" t="s">
        <v>198</v>
      </c>
      <c r="H2047" s="7" t="s">
        <v>20</v>
      </c>
      <c r="I2047" s="7" t="s">
        <v>5102</v>
      </c>
      <c r="J2047" s="7" t="s">
        <v>21</v>
      </c>
      <c r="L2047" t="s">
        <v>3314</v>
      </c>
      <c r="M2047" s="7" t="s">
        <v>22</v>
      </c>
      <c r="N2047" s="7" t="s">
        <v>23</v>
      </c>
      <c r="O2047" s="7" t="s">
        <v>27</v>
      </c>
      <c r="P2047" s="7" t="s">
        <v>5101</v>
      </c>
      <c r="Q2047" s="26">
        <v>11</v>
      </c>
      <c r="R2047" s="26">
        <v>1</v>
      </c>
      <c r="S2047" s="40">
        <v>1</v>
      </c>
      <c r="T2047" s="7"/>
      <c r="U2047" s="7" t="s">
        <v>2951</v>
      </c>
      <c r="V2047" s="7" t="str">
        <f>+IF(U2047="","",IF(U2047="FINES",CONCATENATE("R",IF(OR(B2047="16",B2047="21",B2047="22",B2047="23"),"16212223",IF(OR(B2047="15",B2047="17",B2047="24",B2047="25"),"15172425",B2047))),IF(U2047="CEBAS","UNICO",IF(VALUE(B2047)&lt;=11,"AMBA","INTERIOR"))))</f>
        <v>R03</v>
      </c>
      <c r="W2047" s="38" t="str">
        <f>+IF(U2047="","-",CONCATENATE(U2047,"_",V2047))</f>
        <v>FINES_R03</v>
      </c>
      <c r="X2047" s="42">
        <v>0.22600000000000001</v>
      </c>
    </row>
    <row r="2048" spans="1:24">
      <c r="A2048" s="21" t="s">
        <v>5100</v>
      </c>
      <c r="B2048" t="s">
        <v>1532</v>
      </c>
      <c r="C2048" t="s">
        <v>1530</v>
      </c>
      <c r="D2048" t="s">
        <v>1531</v>
      </c>
      <c r="E2048" s="7" t="s">
        <v>198</v>
      </c>
      <c r="F2048" s="7" t="s">
        <v>198</v>
      </c>
      <c r="G2048" s="7" t="s">
        <v>198</v>
      </c>
      <c r="H2048" s="7" t="s">
        <v>20</v>
      </c>
      <c r="I2048" s="7" t="s">
        <v>5102</v>
      </c>
      <c r="J2048" s="7" t="s">
        <v>21</v>
      </c>
      <c r="L2048" t="s">
        <v>3426</v>
      </c>
      <c r="M2048" s="7" t="s">
        <v>22</v>
      </c>
      <c r="N2048" s="7" t="s">
        <v>23</v>
      </c>
      <c r="O2048" s="7" t="s">
        <v>27</v>
      </c>
      <c r="P2048" s="7" t="s">
        <v>5101</v>
      </c>
      <c r="Q2048" s="26">
        <v>13</v>
      </c>
      <c r="R2048" s="26">
        <v>1</v>
      </c>
      <c r="S2048" s="40">
        <v>1</v>
      </c>
      <c r="T2048" s="7"/>
      <c r="U2048" s="7" t="s">
        <v>2951</v>
      </c>
      <c r="V2048" s="7" t="str">
        <f>+IF(U2048="","",IF(U2048="FINES",CONCATENATE("R",IF(OR(B2048="16",B2048="21",B2048="22",B2048="23"),"16212223",IF(OR(B2048="15",B2048="17",B2048="24",B2048="25"),"15172425",B2048))),IF(U2048="CEBAS","UNICO",IF(VALUE(B2048)&lt;=11,"AMBA","INTERIOR"))))</f>
        <v>R03</v>
      </c>
      <c r="W2048" s="38" t="str">
        <f>+IF(U2048="","-",CONCATENATE(U2048,"_",V2048))</f>
        <v>FINES_R03</v>
      </c>
      <c r="X2048" s="42">
        <v>0.23</v>
      </c>
    </row>
    <row r="2049" spans="1:24">
      <c r="A2049" s="21" t="s">
        <v>5100</v>
      </c>
      <c r="B2049" t="s">
        <v>1532</v>
      </c>
      <c r="C2049" t="s">
        <v>1530</v>
      </c>
      <c r="D2049" t="s">
        <v>1531</v>
      </c>
      <c r="E2049" s="7" t="s">
        <v>198</v>
      </c>
      <c r="F2049" s="7" t="s">
        <v>198</v>
      </c>
      <c r="G2049" s="7" t="s">
        <v>198</v>
      </c>
      <c r="H2049" s="7" t="s">
        <v>20</v>
      </c>
      <c r="I2049" s="7" t="s">
        <v>5102</v>
      </c>
      <c r="J2049" s="7" t="s">
        <v>21</v>
      </c>
      <c r="L2049" t="s">
        <v>3339</v>
      </c>
      <c r="M2049" s="7" t="s">
        <v>22</v>
      </c>
      <c r="N2049" s="7" t="s">
        <v>23</v>
      </c>
      <c r="O2049" s="7" t="s">
        <v>27</v>
      </c>
      <c r="P2049" s="7" t="s">
        <v>5101</v>
      </c>
      <c r="Q2049" s="26">
        <v>29</v>
      </c>
      <c r="R2049" s="26">
        <v>2</v>
      </c>
      <c r="S2049" s="40">
        <v>1</v>
      </c>
      <c r="T2049" s="7"/>
      <c r="U2049" s="7" t="s">
        <v>2951</v>
      </c>
      <c r="V2049" s="7" t="str">
        <f>+IF(U2049="","",IF(U2049="FINES",CONCATENATE("R",IF(OR(B2049="16",B2049="21",B2049="22",B2049="23"),"16212223",IF(OR(B2049="15",B2049="17",B2049="24",B2049="25"),"15172425",B2049))),IF(U2049="CEBAS","UNICO",IF(VALUE(B2049)&lt;=11,"AMBA","INTERIOR"))))</f>
        <v>R03</v>
      </c>
      <c r="W2049" s="38" t="str">
        <f>+IF(U2049="","-",CONCATENATE(U2049,"_",V2049))</f>
        <v>FINES_R03</v>
      </c>
      <c r="X2049" s="42">
        <v>0.23599999999999999</v>
      </c>
    </row>
    <row r="2050" spans="1:24">
      <c r="A2050" s="21" t="s">
        <v>5100</v>
      </c>
      <c r="B2050" t="s">
        <v>1532</v>
      </c>
      <c r="C2050" t="s">
        <v>1530</v>
      </c>
      <c r="D2050" t="s">
        <v>1531</v>
      </c>
      <c r="E2050" s="7" t="s">
        <v>198</v>
      </c>
      <c r="F2050" s="7" t="s">
        <v>198</v>
      </c>
      <c r="G2050" s="7" t="s">
        <v>198</v>
      </c>
      <c r="H2050" s="7" t="s">
        <v>20</v>
      </c>
      <c r="I2050" s="7" t="s">
        <v>5102</v>
      </c>
      <c r="J2050" s="7" t="s">
        <v>21</v>
      </c>
      <c r="L2050" t="s">
        <v>3477</v>
      </c>
      <c r="M2050" s="7" t="s">
        <v>22</v>
      </c>
      <c r="N2050" s="7" t="s">
        <v>23</v>
      </c>
      <c r="O2050" s="7" t="s">
        <v>27</v>
      </c>
      <c r="P2050" s="7" t="s">
        <v>5101</v>
      </c>
      <c r="Q2050" s="26">
        <v>16</v>
      </c>
      <c r="R2050" s="26">
        <v>1</v>
      </c>
      <c r="S2050" s="40">
        <v>1</v>
      </c>
      <c r="T2050" s="7"/>
      <c r="U2050" s="7" t="s">
        <v>2951</v>
      </c>
      <c r="V2050" s="7" t="str">
        <f>+IF(U2050="","",IF(U2050="FINES",CONCATENATE("R",IF(OR(B2050="16",B2050="21",B2050="22",B2050="23"),"16212223",IF(OR(B2050="15",B2050="17",B2050="24",B2050="25"),"15172425",B2050))),IF(U2050="CEBAS","UNICO",IF(VALUE(B2050)&lt;=11,"AMBA","INTERIOR"))))</f>
        <v>R03</v>
      </c>
      <c r="W2050" s="38" t="str">
        <f>+IF(U2050="","-",CONCATENATE(U2050,"_",V2050))</f>
        <v>FINES_R03</v>
      </c>
      <c r="X2050" s="42">
        <v>0.23599999999999999</v>
      </c>
    </row>
    <row r="2051" spans="1:24">
      <c r="A2051" s="21" t="s">
        <v>5100</v>
      </c>
      <c r="B2051" t="s">
        <v>1532</v>
      </c>
      <c r="C2051" t="s">
        <v>1530</v>
      </c>
      <c r="D2051" t="s">
        <v>1531</v>
      </c>
      <c r="E2051" s="7" t="s">
        <v>198</v>
      </c>
      <c r="F2051" s="7" t="s">
        <v>198</v>
      </c>
      <c r="G2051" s="7" t="s">
        <v>198</v>
      </c>
      <c r="H2051" s="7" t="s">
        <v>20</v>
      </c>
      <c r="I2051" s="7" t="s">
        <v>5102</v>
      </c>
      <c r="J2051" s="7" t="s">
        <v>21</v>
      </c>
      <c r="L2051" t="s">
        <v>3466</v>
      </c>
      <c r="M2051" s="7" t="s">
        <v>22</v>
      </c>
      <c r="N2051" s="7" t="s">
        <v>23</v>
      </c>
      <c r="O2051" s="7" t="s">
        <v>27</v>
      </c>
      <c r="P2051" s="7" t="s">
        <v>5101</v>
      </c>
      <c r="Q2051" s="26">
        <v>38</v>
      </c>
      <c r="R2051" s="26">
        <v>2</v>
      </c>
      <c r="S2051" s="40">
        <v>1</v>
      </c>
      <c r="T2051" s="7"/>
      <c r="U2051" s="7" t="s">
        <v>2951</v>
      </c>
      <c r="V2051" s="7" t="str">
        <f>+IF(U2051="","",IF(U2051="FINES",CONCATENATE("R",IF(OR(B2051="16",B2051="21",B2051="22",B2051="23"),"16212223",IF(OR(B2051="15",B2051="17",B2051="24",B2051="25"),"15172425",B2051))),IF(U2051="CEBAS","UNICO",IF(VALUE(B2051)&lt;=11,"AMBA","INTERIOR"))))</f>
        <v>R03</v>
      </c>
      <c r="W2051" s="38" t="str">
        <f>+IF(U2051="","-",CONCATENATE(U2051,"_",V2051))</f>
        <v>FINES_R03</v>
      </c>
      <c r="X2051" s="42">
        <v>0.24099999999999999</v>
      </c>
    </row>
    <row r="2052" spans="1:24">
      <c r="A2052" s="21" t="s">
        <v>5100</v>
      </c>
      <c r="B2052" t="s">
        <v>1532</v>
      </c>
      <c r="C2052" t="s">
        <v>1530</v>
      </c>
      <c r="D2052" t="s">
        <v>1531</v>
      </c>
      <c r="E2052" s="7" t="s">
        <v>198</v>
      </c>
      <c r="F2052" s="7" t="s">
        <v>198</v>
      </c>
      <c r="G2052" s="7" t="s">
        <v>198</v>
      </c>
      <c r="H2052" s="7" t="s">
        <v>20</v>
      </c>
      <c r="I2052" s="7" t="s">
        <v>5102</v>
      </c>
      <c r="J2052" s="7" t="s">
        <v>21</v>
      </c>
      <c r="L2052" t="s">
        <v>3539</v>
      </c>
      <c r="M2052" s="7" t="s">
        <v>22</v>
      </c>
      <c r="N2052" s="7" t="s">
        <v>23</v>
      </c>
      <c r="O2052" s="7" t="s">
        <v>27</v>
      </c>
      <c r="P2052" s="7" t="s">
        <v>5101</v>
      </c>
      <c r="Q2052" s="26">
        <v>52</v>
      </c>
      <c r="R2052" s="26">
        <v>2</v>
      </c>
      <c r="S2052" s="40">
        <v>1</v>
      </c>
      <c r="T2052" s="7"/>
      <c r="U2052" s="7" t="s">
        <v>2951</v>
      </c>
      <c r="V2052" s="7" t="str">
        <f>+IF(U2052="","",IF(U2052="FINES",CONCATENATE("R",IF(OR(B2052="16",B2052="21",B2052="22",B2052="23"),"16212223",IF(OR(B2052="15",B2052="17",B2052="24",B2052="25"),"15172425",B2052))),IF(U2052="CEBAS","UNICO",IF(VALUE(B2052)&lt;=11,"AMBA","INTERIOR"))))</f>
        <v>R03</v>
      </c>
      <c r="W2052" s="38" t="str">
        <f>+IF(U2052="","-",CONCATENATE(U2052,"_",V2052))</f>
        <v>FINES_R03</v>
      </c>
      <c r="X2052" s="42">
        <v>0.245</v>
      </c>
    </row>
    <row r="2053" spans="1:24">
      <c r="A2053" s="21" t="s">
        <v>5100</v>
      </c>
      <c r="B2053" t="s">
        <v>1532</v>
      </c>
      <c r="C2053" t="s">
        <v>1530</v>
      </c>
      <c r="D2053" t="s">
        <v>1531</v>
      </c>
      <c r="E2053" s="7" t="s">
        <v>198</v>
      </c>
      <c r="F2053" s="7" t="s">
        <v>198</v>
      </c>
      <c r="G2053" s="7" t="s">
        <v>198</v>
      </c>
      <c r="H2053" s="7" t="s">
        <v>20</v>
      </c>
      <c r="I2053" s="7" t="s">
        <v>5102</v>
      </c>
      <c r="J2053" s="7" t="s">
        <v>21</v>
      </c>
      <c r="L2053" t="s">
        <v>3422</v>
      </c>
      <c r="M2053" s="7" t="s">
        <v>22</v>
      </c>
      <c r="N2053" s="7" t="s">
        <v>23</v>
      </c>
      <c r="O2053" s="7" t="s">
        <v>27</v>
      </c>
      <c r="P2053" s="7" t="s">
        <v>5101</v>
      </c>
      <c r="Q2053" s="26">
        <v>60</v>
      </c>
      <c r="R2053" s="26">
        <v>2</v>
      </c>
      <c r="S2053" s="40">
        <v>1</v>
      </c>
      <c r="T2053" s="7"/>
      <c r="U2053" s="7" t="s">
        <v>2951</v>
      </c>
      <c r="V2053" s="7" t="str">
        <f>+IF(U2053="","",IF(U2053="FINES",CONCATENATE("R",IF(OR(B2053="16",B2053="21",B2053="22",B2053="23"),"16212223",IF(OR(B2053="15",B2053="17",B2053="24",B2053="25"),"15172425",B2053))),IF(U2053="CEBAS","UNICO",IF(VALUE(B2053)&lt;=11,"AMBA","INTERIOR"))))</f>
        <v>R03</v>
      </c>
      <c r="W2053" s="38" t="str">
        <f>+IF(U2053="","-",CONCATENATE(U2053,"_",V2053))</f>
        <v>FINES_R03</v>
      </c>
      <c r="X2053" s="42">
        <v>0.255</v>
      </c>
    </row>
    <row r="2054" spans="1:24">
      <c r="A2054" s="21" t="s">
        <v>5100</v>
      </c>
      <c r="B2054" t="s">
        <v>1532</v>
      </c>
      <c r="C2054" t="s">
        <v>1530</v>
      </c>
      <c r="D2054" t="s">
        <v>1531</v>
      </c>
      <c r="E2054" s="7" t="s">
        <v>198</v>
      </c>
      <c r="F2054" s="7" t="s">
        <v>198</v>
      </c>
      <c r="G2054" s="7" t="s">
        <v>198</v>
      </c>
      <c r="H2054" s="7" t="s">
        <v>20</v>
      </c>
      <c r="I2054" s="7" t="s">
        <v>5102</v>
      </c>
      <c r="J2054" s="7" t="s">
        <v>21</v>
      </c>
      <c r="L2054" t="s">
        <v>3436</v>
      </c>
      <c r="M2054" s="7" t="s">
        <v>22</v>
      </c>
      <c r="N2054" s="7" t="s">
        <v>23</v>
      </c>
      <c r="O2054" s="7" t="s">
        <v>27</v>
      </c>
      <c r="P2054" s="7" t="s">
        <v>5101</v>
      </c>
      <c r="Q2054" s="26">
        <v>20</v>
      </c>
      <c r="R2054" s="26">
        <v>1</v>
      </c>
      <c r="S2054" s="40">
        <v>1</v>
      </c>
      <c r="T2054" s="7"/>
      <c r="U2054" s="7" t="s">
        <v>2951</v>
      </c>
      <c r="V2054" s="7" t="str">
        <f>+IF(U2054="","",IF(U2054="FINES",CONCATENATE("R",IF(OR(B2054="16",B2054="21",B2054="22",B2054="23"),"16212223",IF(OR(B2054="15",B2054="17",B2054="24",B2054="25"),"15172425",B2054))),IF(U2054="CEBAS","UNICO",IF(VALUE(B2054)&lt;=11,"AMBA","INTERIOR"))))</f>
        <v>R03</v>
      </c>
      <c r="W2054" s="38" t="str">
        <f>+IF(U2054="","-",CONCATENATE(U2054,"_",V2054))</f>
        <v>FINES_R03</v>
      </c>
      <c r="X2054" s="42">
        <v>0.25600000000000001</v>
      </c>
    </row>
    <row r="2055" spans="1:24">
      <c r="A2055" s="21" t="s">
        <v>5100</v>
      </c>
      <c r="B2055" t="s">
        <v>1532</v>
      </c>
      <c r="C2055" t="s">
        <v>1530</v>
      </c>
      <c r="D2055" t="s">
        <v>1531</v>
      </c>
      <c r="E2055" s="7" t="s">
        <v>198</v>
      </c>
      <c r="F2055" s="7" t="s">
        <v>198</v>
      </c>
      <c r="G2055" s="7" t="s">
        <v>198</v>
      </c>
      <c r="H2055" s="7" t="s">
        <v>20</v>
      </c>
      <c r="I2055" s="7" t="s">
        <v>5102</v>
      </c>
      <c r="J2055" s="7" t="s">
        <v>21</v>
      </c>
      <c r="L2055" t="s">
        <v>3398</v>
      </c>
      <c r="M2055" s="7" t="s">
        <v>22</v>
      </c>
      <c r="N2055" s="7" t="s">
        <v>23</v>
      </c>
      <c r="O2055" s="7" t="s">
        <v>27</v>
      </c>
      <c r="P2055" s="7" t="s">
        <v>5101</v>
      </c>
      <c r="Q2055" s="26">
        <v>22</v>
      </c>
      <c r="R2055" s="26">
        <v>1</v>
      </c>
      <c r="S2055" s="40">
        <v>1</v>
      </c>
      <c r="T2055" s="7"/>
      <c r="U2055" s="7" t="s">
        <v>2951</v>
      </c>
      <c r="V2055" s="7" t="str">
        <f>+IF(U2055="","",IF(U2055="FINES",CONCATENATE("R",IF(OR(B2055="16",B2055="21",B2055="22",B2055="23"),"16212223",IF(OR(B2055="15",B2055="17",B2055="24",B2055="25"),"15172425",B2055))),IF(U2055="CEBAS","UNICO",IF(VALUE(B2055)&lt;=11,"AMBA","INTERIOR"))))</f>
        <v>R03</v>
      </c>
      <c r="W2055" s="38" t="str">
        <f>+IF(U2055="","-",CONCATENATE(U2055,"_",V2055))</f>
        <v>FINES_R03</v>
      </c>
      <c r="X2055" s="42">
        <v>0.26</v>
      </c>
    </row>
    <row r="2056" spans="1:24">
      <c r="A2056" s="21" t="s">
        <v>5100</v>
      </c>
      <c r="B2056" t="s">
        <v>1532</v>
      </c>
      <c r="C2056" t="s">
        <v>1530</v>
      </c>
      <c r="D2056" t="s">
        <v>1531</v>
      </c>
      <c r="E2056" s="7" t="s">
        <v>198</v>
      </c>
      <c r="F2056" s="7" t="s">
        <v>198</v>
      </c>
      <c r="G2056" s="7" t="s">
        <v>198</v>
      </c>
      <c r="H2056" s="7" t="s">
        <v>20</v>
      </c>
      <c r="I2056" s="7" t="s">
        <v>5102</v>
      </c>
      <c r="J2056" s="7" t="s">
        <v>21</v>
      </c>
      <c r="L2056" t="s">
        <v>3504</v>
      </c>
      <c r="M2056" s="7" t="s">
        <v>22</v>
      </c>
      <c r="N2056" s="7" t="s">
        <v>23</v>
      </c>
      <c r="O2056" s="7" t="s">
        <v>27</v>
      </c>
      <c r="P2056" s="7" t="s">
        <v>5101</v>
      </c>
      <c r="Q2056" s="26">
        <v>21</v>
      </c>
      <c r="R2056" s="26">
        <v>1</v>
      </c>
      <c r="S2056" s="40">
        <v>1</v>
      </c>
      <c r="T2056" s="7"/>
      <c r="U2056" s="7" t="s">
        <v>2951</v>
      </c>
      <c r="V2056" s="7" t="str">
        <f>+IF(U2056="","",IF(U2056="FINES",CONCATENATE("R",IF(OR(B2056="16",B2056="21",B2056="22",B2056="23"),"16212223",IF(OR(B2056="15",B2056="17",B2056="24",B2056="25"),"15172425",B2056))),IF(U2056="CEBAS","UNICO",IF(VALUE(B2056)&lt;=11,"AMBA","INTERIOR"))))</f>
        <v>R03</v>
      </c>
      <c r="W2056" s="38" t="str">
        <f>+IF(U2056="","-",CONCATENATE(U2056,"_",V2056))</f>
        <v>FINES_R03</v>
      </c>
      <c r="X2056" s="42">
        <v>0.26200000000000001</v>
      </c>
    </row>
    <row r="2057" spans="1:24">
      <c r="A2057" s="21" t="s">
        <v>5100</v>
      </c>
      <c r="B2057" t="s">
        <v>1532</v>
      </c>
      <c r="C2057" t="s">
        <v>1530</v>
      </c>
      <c r="D2057" t="s">
        <v>1531</v>
      </c>
      <c r="E2057" s="7" t="s">
        <v>198</v>
      </c>
      <c r="F2057" s="7" t="s">
        <v>198</v>
      </c>
      <c r="G2057" s="7" t="s">
        <v>198</v>
      </c>
      <c r="H2057" s="7" t="s">
        <v>20</v>
      </c>
      <c r="I2057" s="7" t="s">
        <v>5102</v>
      </c>
      <c r="J2057" s="7" t="s">
        <v>21</v>
      </c>
      <c r="L2057" t="s">
        <v>3485</v>
      </c>
      <c r="M2057" s="7" t="s">
        <v>22</v>
      </c>
      <c r="N2057" s="7" t="s">
        <v>23</v>
      </c>
      <c r="O2057" s="7" t="s">
        <v>27</v>
      </c>
      <c r="P2057" s="7" t="s">
        <v>5101</v>
      </c>
      <c r="Q2057" s="26">
        <v>117</v>
      </c>
      <c r="R2057" s="26">
        <v>4</v>
      </c>
      <c r="S2057" s="40">
        <v>1</v>
      </c>
      <c r="T2057" s="7"/>
      <c r="U2057" s="7" t="s">
        <v>2951</v>
      </c>
      <c r="V2057" s="7" t="str">
        <f>+IF(U2057="","",IF(U2057="FINES",CONCATENATE("R",IF(OR(B2057="16",B2057="21",B2057="22",B2057="23"),"16212223",IF(OR(B2057="15",B2057="17",B2057="24",B2057="25"),"15172425",B2057))),IF(U2057="CEBAS","UNICO",IF(VALUE(B2057)&lt;=11,"AMBA","INTERIOR"))))</f>
        <v>R03</v>
      </c>
      <c r="W2057" s="38" t="str">
        <f>+IF(U2057="","-",CONCATENATE(U2057,"_",V2057))</f>
        <v>FINES_R03</v>
      </c>
      <c r="X2057" s="42">
        <v>0.26800000000000002</v>
      </c>
    </row>
    <row r="2058" spans="1:24">
      <c r="A2058" s="21" t="s">
        <v>5100</v>
      </c>
      <c r="B2058" t="s">
        <v>1532</v>
      </c>
      <c r="C2058" t="s">
        <v>1530</v>
      </c>
      <c r="D2058" t="s">
        <v>1531</v>
      </c>
      <c r="E2058" s="7" t="s">
        <v>198</v>
      </c>
      <c r="F2058" s="7" t="s">
        <v>198</v>
      </c>
      <c r="G2058" s="7" t="s">
        <v>198</v>
      </c>
      <c r="H2058" s="7" t="s">
        <v>20</v>
      </c>
      <c r="I2058" s="7" t="s">
        <v>5102</v>
      </c>
      <c r="J2058" s="7" t="s">
        <v>21</v>
      </c>
      <c r="L2058" t="s">
        <v>3362</v>
      </c>
      <c r="M2058" s="7" t="s">
        <v>22</v>
      </c>
      <c r="N2058" s="7" t="s">
        <v>23</v>
      </c>
      <c r="O2058" s="7" t="s">
        <v>27</v>
      </c>
      <c r="P2058" s="7" t="s">
        <v>5101</v>
      </c>
      <c r="Q2058" s="26">
        <v>21</v>
      </c>
      <c r="R2058" s="26">
        <v>1</v>
      </c>
      <c r="S2058" s="40">
        <v>1</v>
      </c>
      <c r="T2058" s="7"/>
      <c r="U2058" s="7" t="s">
        <v>2951</v>
      </c>
      <c r="V2058" s="7" t="str">
        <f>+IF(U2058="","",IF(U2058="FINES",CONCATENATE("R",IF(OR(B2058="16",B2058="21",B2058="22",B2058="23"),"16212223",IF(OR(B2058="15",B2058="17",B2058="24",B2058="25"),"15172425",B2058))),IF(U2058="CEBAS","UNICO",IF(VALUE(B2058)&lt;=11,"AMBA","INTERIOR"))))</f>
        <v>R03</v>
      </c>
      <c r="W2058" s="38" t="str">
        <f>+IF(U2058="","-",CONCATENATE(U2058,"_",V2058))</f>
        <v>FINES_R03</v>
      </c>
      <c r="X2058" s="42">
        <v>0.27300000000000002</v>
      </c>
    </row>
    <row r="2059" spans="1:24">
      <c r="A2059" s="21" t="s">
        <v>5100</v>
      </c>
      <c r="B2059" t="s">
        <v>1532</v>
      </c>
      <c r="C2059" t="s">
        <v>1530</v>
      </c>
      <c r="D2059" t="s">
        <v>1531</v>
      </c>
      <c r="E2059" s="7" t="s">
        <v>198</v>
      </c>
      <c r="F2059" s="7" t="s">
        <v>198</v>
      </c>
      <c r="G2059" s="7" t="s">
        <v>198</v>
      </c>
      <c r="H2059" s="7" t="s">
        <v>20</v>
      </c>
      <c r="I2059" s="7" t="s">
        <v>5102</v>
      </c>
      <c r="J2059" s="7" t="s">
        <v>21</v>
      </c>
      <c r="L2059" t="s">
        <v>3432</v>
      </c>
      <c r="M2059" s="7" t="s">
        <v>22</v>
      </c>
      <c r="N2059" s="7" t="s">
        <v>23</v>
      </c>
      <c r="O2059" s="7" t="s">
        <v>27</v>
      </c>
      <c r="P2059" s="7" t="s">
        <v>5101</v>
      </c>
      <c r="Q2059" s="26">
        <v>49</v>
      </c>
      <c r="R2059" s="26">
        <v>2</v>
      </c>
      <c r="S2059" s="40">
        <v>1</v>
      </c>
      <c r="T2059" s="7"/>
      <c r="U2059" s="7" t="s">
        <v>2951</v>
      </c>
      <c r="V2059" s="7" t="str">
        <f>+IF(U2059="","",IF(U2059="FINES",CONCATENATE("R",IF(OR(B2059="16",B2059="21",B2059="22",B2059="23"),"16212223",IF(OR(B2059="15",B2059="17",B2059="24",B2059="25"),"15172425",B2059))),IF(U2059="CEBAS","UNICO",IF(VALUE(B2059)&lt;=11,"AMBA","INTERIOR"))))</f>
        <v>R03</v>
      </c>
      <c r="W2059" s="38" t="str">
        <f>+IF(U2059="","-",CONCATENATE(U2059,"_",V2059))</f>
        <v>FINES_R03</v>
      </c>
      <c r="X2059" s="42">
        <v>0.27700000000000002</v>
      </c>
    </row>
    <row r="2060" spans="1:24">
      <c r="A2060" s="21" t="s">
        <v>5100</v>
      </c>
      <c r="B2060" t="s">
        <v>1532</v>
      </c>
      <c r="C2060" t="s">
        <v>1530</v>
      </c>
      <c r="D2060" t="s">
        <v>1531</v>
      </c>
      <c r="E2060" s="7" t="s">
        <v>198</v>
      </c>
      <c r="F2060" s="7" t="s">
        <v>198</v>
      </c>
      <c r="G2060" s="7" t="s">
        <v>198</v>
      </c>
      <c r="H2060" s="7" t="s">
        <v>20</v>
      </c>
      <c r="I2060" s="7" t="s">
        <v>5102</v>
      </c>
      <c r="J2060" s="7" t="s">
        <v>21</v>
      </c>
      <c r="L2060" t="s">
        <v>3479</v>
      </c>
      <c r="M2060" s="7" t="s">
        <v>22</v>
      </c>
      <c r="N2060" s="7" t="s">
        <v>23</v>
      </c>
      <c r="O2060" s="7" t="s">
        <v>27</v>
      </c>
      <c r="P2060" s="7" t="s">
        <v>5101</v>
      </c>
      <c r="Q2060" s="26">
        <v>25</v>
      </c>
      <c r="R2060" s="26">
        <v>1</v>
      </c>
      <c r="S2060" s="40">
        <v>1</v>
      </c>
      <c r="T2060" s="7"/>
      <c r="U2060" s="7" t="s">
        <v>2951</v>
      </c>
      <c r="V2060" s="7" t="str">
        <f>+IF(U2060="","",IF(U2060="FINES",CONCATENATE("R",IF(OR(B2060="16",B2060="21",B2060="22",B2060="23"),"16212223",IF(OR(B2060="15",B2060="17",B2060="24",B2060="25"),"15172425",B2060))),IF(U2060="CEBAS","UNICO",IF(VALUE(B2060)&lt;=11,"AMBA","INTERIOR"))))</f>
        <v>R03</v>
      </c>
      <c r="W2060" s="38" t="str">
        <f>+IF(U2060="","-",CONCATENATE(U2060,"_",V2060))</f>
        <v>FINES_R03</v>
      </c>
      <c r="X2060" s="42">
        <v>0.28100000000000003</v>
      </c>
    </row>
    <row r="2061" spans="1:24">
      <c r="A2061" s="21" t="s">
        <v>5100</v>
      </c>
      <c r="B2061" t="s">
        <v>1532</v>
      </c>
      <c r="C2061" t="s">
        <v>1530</v>
      </c>
      <c r="D2061" t="s">
        <v>1531</v>
      </c>
      <c r="E2061" s="7" t="s">
        <v>198</v>
      </c>
      <c r="F2061" s="7" t="s">
        <v>198</v>
      </c>
      <c r="G2061" s="7" t="s">
        <v>198</v>
      </c>
      <c r="H2061" s="7" t="s">
        <v>20</v>
      </c>
      <c r="I2061" s="7" t="s">
        <v>5102</v>
      </c>
      <c r="J2061" s="7" t="s">
        <v>21</v>
      </c>
      <c r="L2061" t="s">
        <v>3411</v>
      </c>
      <c r="M2061" s="7" t="s">
        <v>22</v>
      </c>
      <c r="N2061" s="7" t="s">
        <v>23</v>
      </c>
      <c r="O2061" s="7" t="s">
        <v>27</v>
      </c>
      <c r="P2061" s="7" t="s">
        <v>5101</v>
      </c>
      <c r="Q2061" s="26">
        <v>35</v>
      </c>
      <c r="R2061" s="26">
        <v>1</v>
      </c>
      <c r="S2061" s="40">
        <v>1</v>
      </c>
      <c r="T2061" s="7"/>
      <c r="U2061" s="7" t="s">
        <v>2951</v>
      </c>
      <c r="V2061" s="7" t="str">
        <f>+IF(U2061="","",IF(U2061="FINES",CONCATENATE("R",IF(OR(B2061="16",B2061="21",B2061="22",B2061="23"),"16212223",IF(OR(B2061="15",B2061="17",B2061="24",B2061="25"),"15172425",B2061))),IF(U2061="CEBAS","UNICO",IF(VALUE(B2061)&lt;=11,"AMBA","INTERIOR"))))</f>
        <v>R03</v>
      </c>
      <c r="W2061" s="38" t="str">
        <f>+IF(U2061="","-",CONCATENATE(U2061,"_",V2061))</f>
        <v>FINES_R03</v>
      </c>
      <c r="X2061" s="42">
        <v>0.28199999999999997</v>
      </c>
    </row>
    <row r="2062" spans="1:24">
      <c r="A2062" s="21" t="s">
        <v>5100</v>
      </c>
      <c r="B2062" t="s">
        <v>1532</v>
      </c>
      <c r="C2062" t="s">
        <v>1530</v>
      </c>
      <c r="D2062" t="s">
        <v>1531</v>
      </c>
      <c r="E2062" s="7" t="s">
        <v>198</v>
      </c>
      <c r="F2062" s="7" t="s">
        <v>198</v>
      </c>
      <c r="G2062" s="7" t="s">
        <v>198</v>
      </c>
      <c r="H2062" s="7" t="s">
        <v>20</v>
      </c>
      <c r="I2062" s="7" t="s">
        <v>5102</v>
      </c>
      <c r="J2062" s="7" t="s">
        <v>21</v>
      </c>
      <c r="L2062" t="s">
        <v>3487</v>
      </c>
      <c r="M2062" s="7" t="s">
        <v>22</v>
      </c>
      <c r="N2062" s="7" t="s">
        <v>23</v>
      </c>
      <c r="O2062" s="7" t="s">
        <v>27</v>
      </c>
      <c r="P2062" s="7" t="s">
        <v>5101</v>
      </c>
      <c r="Q2062" s="26">
        <v>127</v>
      </c>
      <c r="R2062" s="26">
        <v>5</v>
      </c>
      <c r="S2062" s="40">
        <v>1</v>
      </c>
      <c r="T2062" s="7"/>
      <c r="U2062" s="7" t="s">
        <v>2951</v>
      </c>
      <c r="V2062" s="7" t="str">
        <f>+IF(U2062="","",IF(U2062="FINES",CONCATENATE("R",IF(OR(B2062="16",B2062="21",B2062="22",B2062="23"),"16212223",IF(OR(B2062="15",B2062="17",B2062="24",B2062="25"),"15172425",B2062))),IF(U2062="CEBAS","UNICO",IF(VALUE(B2062)&lt;=11,"AMBA","INTERIOR"))))</f>
        <v>R03</v>
      </c>
      <c r="W2062" s="38" t="str">
        <f>+IF(U2062="","-",CONCATENATE(U2062,"_",V2062))</f>
        <v>FINES_R03</v>
      </c>
      <c r="X2062" s="42">
        <v>0.28199999999999997</v>
      </c>
    </row>
    <row r="2063" spans="1:24">
      <c r="A2063" s="21" t="s">
        <v>5100</v>
      </c>
      <c r="B2063" t="s">
        <v>1532</v>
      </c>
      <c r="C2063" t="s">
        <v>1530</v>
      </c>
      <c r="D2063" t="s">
        <v>1531</v>
      </c>
      <c r="E2063" s="7" t="s">
        <v>198</v>
      </c>
      <c r="F2063" s="7" t="s">
        <v>198</v>
      </c>
      <c r="G2063" s="7" t="s">
        <v>198</v>
      </c>
      <c r="H2063" s="7" t="s">
        <v>20</v>
      </c>
      <c r="I2063" s="7" t="s">
        <v>5102</v>
      </c>
      <c r="J2063" s="7" t="s">
        <v>21</v>
      </c>
      <c r="L2063" t="s">
        <v>3347</v>
      </c>
      <c r="M2063" s="7" t="s">
        <v>22</v>
      </c>
      <c r="N2063" s="7" t="s">
        <v>23</v>
      </c>
      <c r="O2063" s="7" t="s">
        <v>27</v>
      </c>
      <c r="P2063" s="7" t="s">
        <v>5101</v>
      </c>
      <c r="Q2063" s="26">
        <v>20</v>
      </c>
      <c r="R2063" s="26">
        <v>1</v>
      </c>
      <c r="S2063" s="40">
        <v>1</v>
      </c>
      <c r="T2063" s="7"/>
      <c r="U2063" s="7" t="s">
        <v>2951</v>
      </c>
      <c r="V2063" s="7" t="str">
        <f>+IF(U2063="","",IF(U2063="FINES",CONCATENATE("R",IF(OR(B2063="16",B2063="21",B2063="22",B2063="23"),"16212223",IF(OR(B2063="15",B2063="17",B2063="24",B2063="25"),"15172425",B2063))),IF(U2063="CEBAS","UNICO",IF(VALUE(B2063)&lt;=11,"AMBA","INTERIOR"))))</f>
        <v>R03</v>
      </c>
      <c r="W2063" s="38" t="str">
        <f>+IF(U2063="","-",CONCATENATE(U2063,"_",V2063))</f>
        <v>FINES_R03</v>
      </c>
      <c r="X2063" s="42">
        <v>0.28499999999999998</v>
      </c>
    </row>
    <row r="2064" spans="1:24">
      <c r="A2064" s="21" t="s">
        <v>5100</v>
      </c>
      <c r="B2064" t="s">
        <v>1532</v>
      </c>
      <c r="C2064" t="s">
        <v>1530</v>
      </c>
      <c r="D2064" t="s">
        <v>1531</v>
      </c>
      <c r="E2064" s="7" t="s">
        <v>198</v>
      </c>
      <c r="F2064" s="7" t="s">
        <v>198</v>
      </c>
      <c r="G2064" s="7" t="s">
        <v>198</v>
      </c>
      <c r="H2064" s="7" t="s">
        <v>20</v>
      </c>
      <c r="I2064" s="7" t="s">
        <v>5102</v>
      </c>
      <c r="J2064" s="7" t="s">
        <v>21</v>
      </c>
      <c r="L2064" t="s">
        <v>3375</v>
      </c>
      <c r="M2064" s="7" t="s">
        <v>22</v>
      </c>
      <c r="N2064" s="7" t="s">
        <v>23</v>
      </c>
      <c r="O2064" s="7" t="s">
        <v>27</v>
      </c>
      <c r="P2064" s="7" t="s">
        <v>5101</v>
      </c>
      <c r="Q2064" s="26">
        <v>23</v>
      </c>
      <c r="R2064" s="26">
        <v>1</v>
      </c>
      <c r="S2064" s="40">
        <v>1</v>
      </c>
      <c r="T2064" s="7"/>
      <c r="U2064" s="7" t="s">
        <v>2951</v>
      </c>
      <c r="V2064" s="7" t="str">
        <f>+IF(U2064="","",IF(U2064="FINES",CONCATENATE("R",IF(OR(B2064="16",B2064="21",B2064="22",B2064="23"),"16212223",IF(OR(B2064="15",B2064="17",B2064="24",B2064="25"),"15172425",B2064))),IF(U2064="CEBAS","UNICO",IF(VALUE(B2064)&lt;=11,"AMBA","INTERIOR"))))</f>
        <v>R03</v>
      </c>
      <c r="W2064" s="38" t="str">
        <f>+IF(U2064="","-",CONCATENATE(U2064,"_",V2064))</f>
        <v>FINES_R03</v>
      </c>
      <c r="X2064" s="42">
        <v>0.30099999999999999</v>
      </c>
    </row>
    <row r="2065" spans="1:24">
      <c r="A2065" s="21" t="s">
        <v>5100</v>
      </c>
      <c r="B2065" t="s">
        <v>1532</v>
      </c>
      <c r="C2065" t="s">
        <v>1530</v>
      </c>
      <c r="D2065" t="s">
        <v>1531</v>
      </c>
      <c r="E2065" s="7" t="s">
        <v>198</v>
      </c>
      <c r="F2065" s="7" t="s">
        <v>198</v>
      </c>
      <c r="G2065" s="7" t="s">
        <v>198</v>
      </c>
      <c r="H2065" s="7" t="s">
        <v>20</v>
      </c>
      <c r="I2065" s="7" t="s">
        <v>5102</v>
      </c>
      <c r="J2065" s="7" t="s">
        <v>21</v>
      </c>
      <c r="L2065" t="s">
        <v>3439</v>
      </c>
      <c r="M2065" s="7" t="s">
        <v>22</v>
      </c>
      <c r="N2065" s="7" t="s">
        <v>23</v>
      </c>
      <c r="O2065" s="7" t="s">
        <v>27</v>
      </c>
      <c r="P2065" s="7" t="s">
        <v>5101</v>
      </c>
      <c r="Q2065" s="26">
        <v>24</v>
      </c>
      <c r="R2065" s="26">
        <v>1</v>
      </c>
      <c r="S2065" s="40">
        <v>1</v>
      </c>
      <c r="T2065" s="7"/>
      <c r="U2065" s="7" t="s">
        <v>2951</v>
      </c>
      <c r="V2065" s="7" t="str">
        <f>+IF(U2065="","",IF(U2065="FINES",CONCATENATE("R",IF(OR(B2065="16",B2065="21",B2065="22",B2065="23"),"16212223",IF(OR(B2065="15",B2065="17",B2065="24",B2065="25"),"15172425",B2065))),IF(U2065="CEBAS","UNICO",IF(VALUE(B2065)&lt;=11,"AMBA","INTERIOR"))))</f>
        <v>R03</v>
      </c>
      <c r="W2065" s="38" t="str">
        <f>+IF(U2065="","-",CONCATENATE(U2065,"_",V2065))</f>
        <v>FINES_R03</v>
      </c>
      <c r="X2065" s="42">
        <v>0.30199999999999999</v>
      </c>
    </row>
    <row r="2066" spans="1:24">
      <c r="A2066" s="21" t="s">
        <v>5100</v>
      </c>
      <c r="B2066" t="s">
        <v>1532</v>
      </c>
      <c r="C2066" t="s">
        <v>1530</v>
      </c>
      <c r="D2066" t="s">
        <v>1531</v>
      </c>
      <c r="E2066" s="7" t="s">
        <v>198</v>
      </c>
      <c r="F2066" s="7" t="s">
        <v>198</v>
      </c>
      <c r="G2066" s="7" t="s">
        <v>198</v>
      </c>
      <c r="H2066" s="7" t="s">
        <v>20</v>
      </c>
      <c r="I2066" s="7" t="s">
        <v>5102</v>
      </c>
      <c r="J2066" s="7" t="s">
        <v>21</v>
      </c>
      <c r="L2066" t="s">
        <v>3518</v>
      </c>
      <c r="M2066" s="7" t="s">
        <v>22</v>
      </c>
      <c r="N2066" s="7" t="s">
        <v>23</v>
      </c>
      <c r="O2066" s="7" t="s">
        <v>27</v>
      </c>
      <c r="P2066" s="7" t="s">
        <v>5101</v>
      </c>
      <c r="Q2066" s="26">
        <v>20</v>
      </c>
      <c r="R2066" s="26">
        <v>1</v>
      </c>
      <c r="S2066" s="40">
        <v>1</v>
      </c>
      <c r="T2066" s="7"/>
      <c r="U2066" s="7" t="s">
        <v>2951</v>
      </c>
      <c r="V2066" s="7" t="str">
        <f>+IF(U2066="","",IF(U2066="FINES",CONCATENATE("R",IF(OR(B2066="16",B2066="21",B2066="22",B2066="23"),"16212223",IF(OR(B2066="15",B2066="17",B2066="24",B2066="25"),"15172425",B2066))),IF(U2066="CEBAS","UNICO",IF(VALUE(B2066)&lt;=11,"AMBA","INTERIOR"))))</f>
        <v>R03</v>
      </c>
      <c r="W2066" s="38" t="str">
        <f>+IF(U2066="","-",CONCATENATE(U2066,"_",V2066))</f>
        <v>FINES_R03</v>
      </c>
      <c r="X2066" s="42">
        <v>0.30399999999999999</v>
      </c>
    </row>
    <row r="2067" spans="1:24">
      <c r="A2067" s="21" t="s">
        <v>5100</v>
      </c>
      <c r="B2067" t="s">
        <v>1532</v>
      </c>
      <c r="C2067" t="s">
        <v>1530</v>
      </c>
      <c r="D2067" t="s">
        <v>1531</v>
      </c>
      <c r="E2067" s="7" t="s">
        <v>198</v>
      </c>
      <c r="F2067" s="7" t="s">
        <v>198</v>
      </c>
      <c r="G2067" s="7" t="s">
        <v>198</v>
      </c>
      <c r="H2067" s="7" t="s">
        <v>20</v>
      </c>
      <c r="I2067" s="7" t="s">
        <v>5102</v>
      </c>
      <c r="J2067" s="7" t="s">
        <v>21</v>
      </c>
      <c r="L2067" t="s">
        <v>3348</v>
      </c>
      <c r="M2067" s="7" t="s">
        <v>22</v>
      </c>
      <c r="N2067" s="7" t="s">
        <v>23</v>
      </c>
      <c r="O2067" s="7" t="s">
        <v>27</v>
      </c>
      <c r="P2067" s="7" t="s">
        <v>5101</v>
      </c>
      <c r="Q2067" s="26">
        <v>15</v>
      </c>
      <c r="R2067" s="26">
        <v>1</v>
      </c>
      <c r="S2067" s="40">
        <v>1</v>
      </c>
      <c r="T2067" s="7"/>
      <c r="U2067" s="7" t="s">
        <v>2951</v>
      </c>
      <c r="V2067" s="7" t="str">
        <f>+IF(U2067="","",IF(U2067="FINES",CONCATENATE("R",IF(OR(B2067="16",B2067="21",B2067="22",B2067="23"),"16212223",IF(OR(B2067="15",B2067="17",B2067="24",B2067="25"),"15172425",B2067))),IF(U2067="CEBAS","UNICO",IF(VALUE(B2067)&lt;=11,"AMBA","INTERIOR"))))</f>
        <v>R03</v>
      </c>
      <c r="W2067" s="38" t="str">
        <f>+IF(U2067="","-",CONCATENATE(U2067,"_",V2067))</f>
        <v>FINES_R03</v>
      </c>
      <c r="X2067" s="42">
        <v>0.309</v>
      </c>
    </row>
    <row r="2068" spans="1:24">
      <c r="A2068" s="21" t="s">
        <v>5100</v>
      </c>
      <c r="B2068" t="s">
        <v>1532</v>
      </c>
      <c r="C2068" t="s">
        <v>1530</v>
      </c>
      <c r="D2068" t="s">
        <v>1531</v>
      </c>
      <c r="E2068" s="7" t="s">
        <v>198</v>
      </c>
      <c r="F2068" s="7" t="s">
        <v>198</v>
      </c>
      <c r="G2068" s="7" t="s">
        <v>198</v>
      </c>
      <c r="H2068" s="7" t="s">
        <v>20</v>
      </c>
      <c r="I2068" s="7" t="s">
        <v>5102</v>
      </c>
      <c r="J2068" s="7" t="s">
        <v>21</v>
      </c>
      <c r="L2068" t="s">
        <v>3491</v>
      </c>
      <c r="M2068" s="7" t="s">
        <v>22</v>
      </c>
      <c r="N2068" s="7" t="s">
        <v>23</v>
      </c>
      <c r="O2068" s="7" t="s">
        <v>27</v>
      </c>
      <c r="P2068" s="7" t="s">
        <v>5101</v>
      </c>
      <c r="Q2068" s="26">
        <v>86</v>
      </c>
      <c r="R2068" s="26">
        <v>3</v>
      </c>
      <c r="S2068" s="40">
        <v>1</v>
      </c>
      <c r="T2068" s="7"/>
      <c r="U2068" s="7" t="s">
        <v>2951</v>
      </c>
      <c r="V2068" s="7" t="str">
        <f>+IF(U2068="","",IF(U2068="FINES",CONCATENATE("R",IF(OR(B2068="16",B2068="21",B2068="22",B2068="23"),"16212223",IF(OR(B2068="15",B2068="17",B2068="24",B2068="25"),"15172425",B2068))),IF(U2068="CEBAS","UNICO",IF(VALUE(B2068)&lt;=11,"AMBA","INTERIOR"))))</f>
        <v>R03</v>
      </c>
      <c r="W2068" s="38" t="str">
        <f>+IF(U2068="","-",CONCATENATE(U2068,"_",V2068))</f>
        <v>FINES_R03</v>
      </c>
      <c r="X2068" s="42">
        <v>0.309</v>
      </c>
    </row>
    <row r="2069" spans="1:24">
      <c r="A2069" s="21" t="s">
        <v>5100</v>
      </c>
      <c r="B2069" t="s">
        <v>1532</v>
      </c>
      <c r="C2069" t="s">
        <v>1530</v>
      </c>
      <c r="D2069" t="s">
        <v>1531</v>
      </c>
      <c r="E2069" s="7" t="s">
        <v>198</v>
      </c>
      <c r="F2069" s="7" t="s">
        <v>198</v>
      </c>
      <c r="G2069" s="7" t="s">
        <v>198</v>
      </c>
      <c r="H2069" s="7" t="s">
        <v>20</v>
      </c>
      <c r="I2069" s="7" t="s">
        <v>5102</v>
      </c>
      <c r="J2069" s="7" t="s">
        <v>21</v>
      </c>
      <c r="L2069" t="s">
        <v>3349</v>
      </c>
      <c r="M2069" s="7" t="s">
        <v>22</v>
      </c>
      <c r="N2069" s="7" t="s">
        <v>23</v>
      </c>
      <c r="O2069" s="7" t="s">
        <v>27</v>
      </c>
      <c r="P2069" s="7" t="s">
        <v>5101</v>
      </c>
      <c r="Q2069" s="26">
        <v>25</v>
      </c>
      <c r="R2069" s="26">
        <v>1</v>
      </c>
      <c r="S2069" s="40">
        <v>1</v>
      </c>
      <c r="T2069" s="7"/>
      <c r="U2069" s="7" t="s">
        <v>2951</v>
      </c>
      <c r="V2069" s="7" t="str">
        <f>+IF(U2069="","",IF(U2069="FINES",CONCATENATE("R",IF(OR(B2069="16",B2069="21",B2069="22",B2069="23"),"16212223",IF(OR(B2069="15",B2069="17",B2069="24",B2069="25"),"15172425",B2069))),IF(U2069="CEBAS","UNICO",IF(VALUE(B2069)&lt;=11,"AMBA","INTERIOR"))))</f>
        <v>R03</v>
      </c>
      <c r="W2069" s="38" t="str">
        <f>+IF(U2069="","-",CONCATENATE(U2069,"_",V2069))</f>
        <v>FINES_R03</v>
      </c>
      <c r="X2069" s="42">
        <v>0.316</v>
      </c>
    </row>
    <row r="2070" spans="1:24">
      <c r="A2070" s="21" t="s">
        <v>5100</v>
      </c>
      <c r="B2070" t="s">
        <v>1532</v>
      </c>
      <c r="C2070" t="s">
        <v>1530</v>
      </c>
      <c r="D2070" t="s">
        <v>1531</v>
      </c>
      <c r="E2070" s="7" t="s">
        <v>198</v>
      </c>
      <c r="F2070" s="7" t="s">
        <v>198</v>
      </c>
      <c r="G2070" s="7" t="s">
        <v>198</v>
      </c>
      <c r="H2070" s="7" t="s">
        <v>20</v>
      </c>
      <c r="I2070" s="7" t="s">
        <v>5102</v>
      </c>
      <c r="J2070" s="7" t="s">
        <v>21</v>
      </c>
      <c r="L2070" t="s">
        <v>3469</v>
      </c>
      <c r="M2070" s="7" t="s">
        <v>22</v>
      </c>
      <c r="N2070" s="7" t="s">
        <v>23</v>
      </c>
      <c r="O2070" s="7" t="s">
        <v>27</v>
      </c>
      <c r="P2070" s="7" t="s">
        <v>5101</v>
      </c>
      <c r="Q2070" s="26">
        <v>16</v>
      </c>
      <c r="R2070" s="26">
        <v>1</v>
      </c>
      <c r="S2070" s="40">
        <v>1</v>
      </c>
      <c r="T2070" s="7"/>
      <c r="U2070" s="7" t="s">
        <v>2951</v>
      </c>
      <c r="V2070" s="7" t="str">
        <f>+IF(U2070="","",IF(U2070="FINES",CONCATENATE("R",IF(OR(B2070="16",B2070="21",B2070="22",B2070="23"),"16212223",IF(OR(B2070="15",B2070="17",B2070="24",B2070="25"),"15172425",B2070))),IF(U2070="CEBAS","UNICO",IF(VALUE(B2070)&lt;=11,"AMBA","INTERIOR"))))</f>
        <v>R03</v>
      </c>
      <c r="W2070" s="38" t="str">
        <f>+IF(U2070="","-",CONCATENATE(U2070,"_",V2070))</f>
        <v>FINES_R03</v>
      </c>
      <c r="X2070" s="42">
        <v>0.316</v>
      </c>
    </row>
    <row r="2071" spans="1:24">
      <c r="A2071" s="21" t="s">
        <v>5100</v>
      </c>
      <c r="B2071" t="s">
        <v>1532</v>
      </c>
      <c r="C2071" t="s">
        <v>1530</v>
      </c>
      <c r="D2071" t="s">
        <v>1531</v>
      </c>
      <c r="E2071" s="7" t="s">
        <v>198</v>
      </c>
      <c r="F2071" s="7" t="s">
        <v>198</v>
      </c>
      <c r="G2071" s="7" t="s">
        <v>198</v>
      </c>
      <c r="H2071" s="7" t="s">
        <v>20</v>
      </c>
      <c r="I2071" s="7" t="s">
        <v>5102</v>
      </c>
      <c r="J2071" s="7" t="s">
        <v>21</v>
      </c>
      <c r="L2071" t="s">
        <v>3437</v>
      </c>
      <c r="M2071" s="7" t="s">
        <v>22</v>
      </c>
      <c r="N2071" s="7" t="s">
        <v>23</v>
      </c>
      <c r="O2071" s="7" t="s">
        <v>27</v>
      </c>
      <c r="P2071" s="7" t="s">
        <v>5101</v>
      </c>
      <c r="Q2071" s="26">
        <v>41</v>
      </c>
      <c r="R2071" s="26">
        <v>2</v>
      </c>
      <c r="S2071" s="40">
        <v>1</v>
      </c>
      <c r="T2071" s="7"/>
      <c r="U2071" s="7" t="s">
        <v>2951</v>
      </c>
      <c r="V2071" s="7" t="str">
        <f>+IF(U2071="","",IF(U2071="FINES",CONCATENATE("R",IF(OR(B2071="16",B2071="21",B2071="22",B2071="23"),"16212223",IF(OR(B2071="15",B2071="17",B2071="24",B2071="25"),"15172425",B2071))),IF(U2071="CEBAS","UNICO",IF(VALUE(B2071)&lt;=11,"AMBA","INTERIOR"))))</f>
        <v>R03</v>
      </c>
      <c r="W2071" s="38" t="str">
        <f>+IF(U2071="","-",CONCATENATE(U2071,"_",V2071))</f>
        <v>FINES_R03</v>
      </c>
      <c r="X2071" s="42">
        <v>0.33</v>
      </c>
    </row>
    <row r="2072" spans="1:24">
      <c r="A2072" s="21" t="s">
        <v>5100</v>
      </c>
      <c r="B2072" t="s">
        <v>1532</v>
      </c>
      <c r="C2072" t="s">
        <v>1530</v>
      </c>
      <c r="D2072" t="s">
        <v>1531</v>
      </c>
      <c r="E2072" s="7" t="s">
        <v>198</v>
      </c>
      <c r="F2072" s="7" t="s">
        <v>198</v>
      </c>
      <c r="G2072" s="7" t="s">
        <v>198</v>
      </c>
      <c r="H2072" s="7" t="s">
        <v>20</v>
      </c>
      <c r="I2072" s="7" t="s">
        <v>5102</v>
      </c>
      <c r="J2072" s="7" t="s">
        <v>21</v>
      </c>
      <c r="L2072" t="s">
        <v>3355</v>
      </c>
      <c r="M2072" s="7" t="s">
        <v>22</v>
      </c>
      <c r="N2072" s="7" t="s">
        <v>23</v>
      </c>
      <c r="O2072" s="7" t="s">
        <v>27</v>
      </c>
      <c r="P2072" s="7" t="s">
        <v>5101</v>
      </c>
      <c r="Q2072" s="26">
        <v>24</v>
      </c>
      <c r="R2072" s="26">
        <v>1</v>
      </c>
      <c r="S2072" s="40">
        <v>1</v>
      </c>
      <c r="T2072" s="7"/>
      <c r="U2072" s="7" t="s">
        <v>2951</v>
      </c>
      <c r="V2072" s="7" t="str">
        <f>+IF(U2072="","",IF(U2072="FINES",CONCATENATE("R",IF(OR(B2072="16",B2072="21",B2072="22",B2072="23"),"16212223",IF(OR(B2072="15",B2072="17",B2072="24",B2072="25"),"15172425",B2072))),IF(U2072="CEBAS","UNICO",IF(VALUE(B2072)&lt;=11,"AMBA","INTERIOR"))))</f>
        <v>R03</v>
      </c>
      <c r="W2072" s="38" t="str">
        <f>+IF(U2072="","-",CONCATENATE(U2072,"_",V2072))</f>
        <v>FINES_R03</v>
      </c>
      <c r="X2072" s="42">
        <v>0.34</v>
      </c>
    </row>
    <row r="2073" spans="1:24">
      <c r="A2073" s="21" t="s">
        <v>5100</v>
      </c>
      <c r="B2073" t="s">
        <v>1532</v>
      </c>
      <c r="C2073" t="s">
        <v>1530</v>
      </c>
      <c r="D2073" t="s">
        <v>1531</v>
      </c>
      <c r="E2073" s="7" t="s">
        <v>198</v>
      </c>
      <c r="F2073" s="7" t="s">
        <v>198</v>
      </c>
      <c r="G2073" s="7" t="s">
        <v>198</v>
      </c>
      <c r="H2073" s="7" t="s">
        <v>20</v>
      </c>
      <c r="I2073" s="7" t="s">
        <v>5102</v>
      </c>
      <c r="J2073" s="7" t="s">
        <v>21</v>
      </c>
      <c r="L2073" t="s">
        <v>3482</v>
      </c>
      <c r="M2073" s="7" t="s">
        <v>22</v>
      </c>
      <c r="N2073" s="7" t="s">
        <v>23</v>
      </c>
      <c r="O2073" s="7" t="s">
        <v>27</v>
      </c>
      <c r="P2073" s="7" t="s">
        <v>5101</v>
      </c>
      <c r="Q2073" s="26">
        <v>27</v>
      </c>
      <c r="R2073" s="26">
        <v>1</v>
      </c>
      <c r="S2073" s="40">
        <v>1</v>
      </c>
      <c r="T2073" s="7"/>
      <c r="U2073" s="7" t="s">
        <v>2951</v>
      </c>
      <c r="V2073" s="7" t="str">
        <f>+IF(U2073="","",IF(U2073="FINES",CONCATENATE("R",IF(OR(B2073="16",B2073="21",B2073="22",B2073="23"),"16212223",IF(OR(B2073="15",B2073="17",B2073="24",B2073="25"),"15172425",B2073))),IF(U2073="CEBAS","UNICO",IF(VALUE(B2073)&lt;=11,"AMBA","INTERIOR"))))</f>
        <v>R03</v>
      </c>
      <c r="W2073" s="38" t="str">
        <f>+IF(U2073="","-",CONCATENATE(U2073,"_",V2073))</f>
        <v>FINES_R03</v>
      </c>
      <c r="X2073" s="42">
        <v>0.34300000000000003</v>
      </c>
    </row>
    <row r="2074" spans="1:24">
      <c r="A2074" s="21" t="s">
        <v>5100</v>
      </c>
      <c r="B2074" t="s">
        <v>1532</v>
      </c>
      <c r="C2074" t="s">
        <v>1530</v>
      </c>
      <c r="D2074" t="s">
        <v>1531</v>
      </c>
      <c r="E2074" s="7" t="s">
        <v>198</v>
      </c>
      <c r="F2074" s="7" t="s">
        <v>198</v>
      </c>
      <c r="G2074" s="7" t="s">
        <v>198</v>
      </c>
      <c r="H2074" s="7" t="s">
        <v>20</v>
      </c>
      <c r="I2074" s="7" t="s">
        <v>5102</v>
      </c>
      <c r="J2074" s="7" t="s">
        <v>21</v>
      </c>
      <c r="L2074" t="s">
        <v>3408</v>
      </c>
      <c r="M2074" s="7" t="s">
        <v>22</v>
      </c>
      <c r="N2074" s="7" t="s">
        <v>23</v>
      </c>
      <c r="O2074" s="7" t="s">
        <v>27</v>
      </c>
      <c r="P2074" s="7" t="s">
        <v>5101</v>
      </c>
      <c r="Q2074" s="26">
        <v>51</v>
      </c>
      <c r="R2074" s="26">
        <v>2</v>
      </c>
      <c r="S2074" s="40">
        <v>1</v>
      </c>
      <c r="T2074" s="7"/>
      <c r="U2074" s="7" t="s">
        <v>2951</v>
      </c>
      <c r="V2074" s="7" t="str">
        <f>+IF(U2074="","",IF(U2074="FINES",CONCATENATE("R",IF(OR(B2074="16",B2074="21",B2074="22",B2074="23"),"16212223",IF(OR(B2074="15",B2074="17",B2074="24",B2074="25"),"15172425",B2074))),IF(U2074="CEBAS","UNICO",IF(VALUE(B2074)&lt;=11,"AMBA","INTERIOR"))))</f>
        <v>R03</v>
      </c>
      <c r="W2074" s="38" t="str">
        <f>+IF(U2074="","-",CONCATENATE(U2074,"_",V2074))</f>
        <v>FINES_R03</v>
      </c>
      <c r="X2074" s="42">
        <v>0.34699999999999998</v>
      </c>
    </row>
    <row r="2075" spans="1:24">
      <c r="A2075" s="21" t="s">
        <v>5100</v>
      </c>
      <c r="B2075" t="s">
        <v>1532</v>
      </c>
      <c r="C2075" t="s">
        <v>1530</v>
      </c>
      <c r="D2075" t="s">
        <v>1531</v>
      </c>
      <c r="E2075" s="7" t="s">
        <v>198</v>
      </c>
      <c r="F2075" s="7" t="s">
        <v>198</v>
      </c>
      <c r="G2075" s="7" t="s">
        <v>198</v>
      </c>
      <c r="H2075" s="7" t="s">
        <v>20</v>
      </c>
      <c r="I2075" s="7" t="s">
        <v>5102</v>
      </c>
      <c r="J2075" s="7" t="s">
        <v>21</v>
      </c>
      <c r="L2075" t="s">
        <v>3429</v>
      </c>
      <c r="M2075" s="7" t="s">
        <v>22</v>
      </c>
      <c r="N2075" s="7" t="s">
        <v>23</v>
      </c>
      <c r="O2075" s="7" t="s">
        <v>27</v>
      </c>
      <c r="P2075" s="7" t="s">
        <v>5101</v>
      </c>
      <c r="Q2075" s="26">
        <v>21</v>
      </c>
      <c r="R2075" s="26">
        <v>1</v>
      </c>
      <c r="S2075" s="40">
        <v>1</v>
      </c>
      <c r="T2075" s="7"/>
      <c r="U2075" s="7" t="s">
        <v>2951</v>
      </c>
      <c r="V2075" s="7" t="str">
        <f>+IF(U2075="","",IF(U2075="FINES",CONCATENATE("R",IF(OR(B2075="16",B2075="21",B2075="22",B2075="23"),"16212223",IF(OR(B2075="15",B2075="17",B2075="24",B2075="25"),"15172425",B2075))),IF(U2075="CEBAS","UNICO",IF(VALUE(B2075)&lt;=11,"AMBA","INTERIOR"))))</f>
        <v>R03</v>
      </c>
      <c r="W2075" s="38" t="str">
        <f>+IF(U2075="","-",CONCATENATE(U2075,"_",V2075))</f>
        <v>FINES_R03</v>
      </c>
      <c r="X2075" s="42">
        <v>0.36199999999999999</v>
      </c>
    </row>
    <row r="2076" spans="1:24">
      <c r="A2076" s="21" t="s">
        <v>5100</v>
      </c>
      <c r="B2076" t="s">
        <v>1532</v>
      </c>
      <c r="C2076" t="s">
        <v>1530</v>
      </c>
      <c r="D2076" t="s">
        <v>1531</v>
      </c>
      <c r="E2076" s="7" t="s">
        <v>198</v>
      </c>
      <c r="F2076" s="7" t="s">
        <v>198</v>
      </c>
      <c r="G2076" s="7" t="s">
        <v>198</v>
      </c>
      <c r="H2076" s="7" t="s">
        <v>20</v>
      </c>
      <c r="I2076" s="7" t="s">
        <v>5102</v>
      </c>
      <c r="J2076" s="7" t="s">
        <v>21</v>
      </c>
      <c r="L2076" t="s">
        <v>3528</v>
      </c>
      <c r="M2076" s="7" t="s">
        <v>22</v>
      </c>
      <c r="N2076" s="7" t="s">
        <v>23</v>
      </c>
      <c r="O2076" s="7" t="s">
        <v>27</v>
      </c>
      <c r="P2076" s="7" t="s">
        <v>5101</v>
      </c>
      <c r="Q2076" s="26">
        <v>0</v>
      </c>
      <c r="R2076" s="26">
        <v>1</v>
      </c>
      <c r="S2076" s="40">
        <v>1</v>
      </c>
      <c r="T2076" s="7"/>
      <c r="U2076" s="7" t="s">
        <v>2951</v>
      </c>
      <c r="V2076" s="7" t="str">
        <f>+IF(U2076="","",IF(U2076="FINES",CONCATENATE("R",IF(OR(B2076="16",B2076="21",B2076="22",B2076="23"),"16212223",IF(OR(B2076="15",B2076="17",B2076="24",B2076="25"),"15172425",B2076))),IF(U2076="CEBAS","UNICO",IF(VALUE(B2076)&lt;=11,"AMBA","INTERIOR"))))</f>
        <v>R03</v>
      </c>
      <c r="W2076" s="38" t="str">
        <f>+IF(U2076="","-",CONCATENATE(U2076,"_",V2076))</f>
        <v>FINES_R03</v>
      </c>
      <c r="X2076" s="42">
        <v>0.36599999999999999</v>
      </c>
    </row>
    <row r="2077" spans="1:24">
      <c r="A2077" s="21" t="s">
        <v>5100</v>
      </c>
      <c r="B2077" t="s">
        <v>1532</v>
      </c>
      <c r="C2077" t="s">
        <v>1530</v>
      </c>
      <c r="D2077" t="s">
        <v>1531</v>
      </c>
      <c r="E2077" s="7" t="s">
        <v>198</v>
      </c>
      <c r="F2077" s="7" t="s">
        <v>198</v>
      </c>
      <c r="G2077" s="7" t="s">
        <v>198</v>
      </c>
      <c r="H2077" s="7" t="s">
        <v>20</v>
      </c>
      <c r="I2077" s="7" t="s">
        <v>5102</v>
      </c>
      <c r="J2077" s="7" t="s">
        <v>21</v>
      </c>
      <c r="L2077" t="s">
        <v>3523</v>
      </c>
      <c r="M2077" s="7" t="s">
        <v>22</v>
      </c>
      <c r="N2077" s="7" t="s">
        <v>23</v>
      </c>
      <c r="O2077" s="7" t="s">
        <v>27</v>
      </c>
      <c r="P2077" s="7" t="s">
        <v>5101</v>
      </c>
      <c r="Q2077" s="26">
        <v>48</v>
      </c>
      <c r="R2077" s="26">
        <v>2</v>
      </c>
      <c r="S2077" s="40">
        <v>1</v>
      </c>
      <c r="T2077" s="7"/>
      <c r="U2077" s="7" t="s">
        <v>2951</v>
      </c>
      <c r="V2077" s="7" t="str">
        <f>+IF(U2077="","",IF(U2077="FINES",CONCATENATE("R",IF(OR(B2077="16",B2077="21",B2077="22",B2077="23"),"16212223",IF(OR(B2077="15",B2077="17",B2077="24",B2077="25"),"15172425",B2077))),IF(U2077="CEBAS","UNICO",IF(VALUE(B2077)&lt;=11,"AMBA","INTERIOR"))))</f>
        <v>R03</v>
      </c>
      <c r="W2077" s="38" t="str">
        <f>+IF(U2077="","-",CONCATENATE(U2077,"_",V2077))</f>
        <v>FINES_R03</v>
      </c>
      <c r="X2077" s="42">
        <v>0.36699999999999999</v>
      </c>
    </row>
    <row r="2078" spans="1:24">
      <c r="A2078" s="21" t="s">
        <v>5100</v>
      </c>
      <c r="B2078" t="s">
        <v>1532</v>
      </c>
      <c r="C2078" t="s">
        <v>1530</v>
      </c>
      <c r="D2078" t="s">
        <v>1531</v>
      </c>
      <c r="E2078" s="7" t="s">
        <v>198</v>
      </c>
      <c r="F2078" s="7" t="s">
        <v>198</v>
      </c>
      <c r="G2078" s="7" t="s">
        <v>198</v>
      </c>
      <c r="H2078" s="7" t="s">
        <v>20</v>
      </c>
      <c r="I2078" s="7" t="s">
        <v>5102</v>
      </c>
      <c r="J2078" s="7" t="s">
        <v>21</v>
      </c>
      <c r="L2078" t="s">
        <v>3371</v>
      </c>
      <c r="M2078" s="7" t="s">
        <v>22</v>
      </c>
      <c r="N2078" s="7" t="s">
        <v>23</v>
      </c>
      <c r="O2078" s="7" t="s">
        <v>27</v>
      </c>
      <c r="P2078" s="7" t="s">
        <v>5101</v>
      </c>
      <c r="Q2078" s="26">
        <v>25</v>
      </c>
      <c r="R2078" s="26">
        <v>1</v>
      </c>
      <c r="S2078" s="40">
        <v>1</v>
      </c>
      <c r="T2078" s="7"/>
      <c r="U2078" s="7" t="s">
        <v>2951</v>
      </c>
      <c r="V2078" s="7" t="str">
        <f>+IF(U2078="","",IF(U2078="FINES",CONCATENATE("R",IF(OR(B2078="16",B2078="21",B2078="22",B2078="23"),"16212223",IF(OR(B2078="15",B2078="17",B2078="24",B2078="25"),"15172425",B2078))),IF(U2078="CEBAS","UNICO",IF(VALUE(B2078)&lt;=11,"AMBA","INTERIOR"))))</f>
        <v>R03</v>
      </c>
      <c r="W2078" s="38" t="str">
        <f>+IF(U2078="","-",CONCATENATE(U2078,"_",V2078))</f>
        <v>FINES_R03</v>
      </c>
      <c r="X2078" s="42">
        <v>0.36899999999999999</v>
      </c>
    </row>
    <row r="2079" spans="1:24">
      <c r="A2079" s="21" t="s">
        <v>5100</v>
      </c>
      <c r="B2079" t="s">
        <v>1532</v>
      </c>
      <c r="C2079" t="s">
        <v>1530</v>
      </c>
      <c r="D2079" t="s">
        <v>1531</v>
      </c>
      <c r="E2079" s="7" t="s">
        <v>198</v>
      </c>
      <c r="F2079" s="7" t="s">
        <v>198</v>
      </c>
      <c r="G2079" s="7" t="s">
        <v>198</v>
      </c>
      <c r="H2079" s="7" t="s">
        <v>20</v>
      </c>
      <c r="I2079" s="7" t="s">
        <v>5102</v>
      </c>
      <c r="J2079" s="7" t="s">
        <v>21</v>
      </c>
      <c r="L2079" t="s">
        <v>3499</v>
      </c>
      <c r="M2079" s="7" t="s">
        <v>22</v>
      </c>
      <c r="N2079" s="7" t="s">
        <v>23</v>
      </c>
      <c r="O2079" s="7" t="s">
        <v>27</v>
      </c>
      <c r="P2079" s="7" t="s">
        <v>5101</v>
      </c>
      <c r="Q2079" s="26">
        <v>144</v>
      </c>
      <c r="R2079" s="26">
        <v>7</v>
      </c>
      <c r="S2079" s="40">
        <v>1</v>
      </c>
      <c r="T2079" s="7"/>
      <c r="U2079" s="7" t="s">
        <v>2951</v>
      </c>
      <c r="V2079" s="7" t="str">
        <f>+IF(U2079="","",IF(U2079="FINES",CONCATENATE("R",IF(OR(B2079="16",B2079="21",B2079="22",B2079="23"),"16212223",IF(OR(B2079="15",B2079="17",B2079="24",B2079="25"),"15172425",B2079))),IF(U2079="CEBAS","UNICO",IF(VALUE(B2079)&lt;=11,"AMBA","INTERIOR"))))</f>
        <v>R03</v>
      </c>
      <c r="W2079" s="38" t="str">
        <f>+IF(U2079="","-",CONCATENATE(U2079,"_",V2079))</f>
        <v>FINES_R03</v>
      </c>
      <c r="X2079" s="42">
        <v>0.38800000000000001</v>
      </c>
    </row>
    <row r="2080" spans="1:24">
      <c r="A2080" s="21" t="s">
        <v>5100</v>
      </c>
      <c r="B2080" t="s">
        <v>1532</v>
      </c>
      <c r="C2080" t="s">
        <v>1530</v>
      </c>
      <c r="D2080" t="s">
        <v>1531</v>
      </c>
      <c r="E2080" s="7" t="s">
        <v>198</v>
      </c>
      <c r="F2080" s="7" t="s">
        <v>198</v>
      </c>
      <c r="G2080" s="7" t="s">
        <v>198</v>
      </c>
      <c r="H2080" s="7" t="s">
        <v>20</v>
      </c>
      <c r="I2080" s="7" t="s">
        <v>5102</v>
      </c>
      <c r="J2080" s="7" t="s">
        <v>21</v>
      </c>
      <c r="L2080" t="s">
        <v>3402</v>
      </c>
      <c r="M2080" s="7" t="s">
        <v>22</v>
      </c>
      <c r="N2080" s="7" t="s">
        <v>23</v>
      </c>
      <c r="O2080" s="7" t="s">
        <v>27</v>
      </c>
      <c r="P2080" s="7" t="s">
        <v>5101</v>
      </c>
      <c r="Q2080" s="26">
        <v>26</v>
      </c>
      <c r="R2080" s="26">
        <v>1</v>
      </c>
      <c r="S2080" s="40">
        <v>1</v>
      </c>
      <c r="T2080" s="7"/>
      <c r="U2080" s="7" t="s">
        <v>2951</v>
      </c>
      <c r="V2080" s="7" t="str">
        <f>+IF(U2080="","",IF(U2080="FINES",CONCATENATE("R",IF(OR(B2080="16",B2080="21",B2080="22",B2080="23"),"16212223",IF(OR(B2080="15",B2080="17",B2080="24",B2080="25"),"15172425",B2080))),IF(U2080="CEBAS","UNICO",IF(VALUE(B2080)&lt;=11,"AMBA","INTERIOR"))))</f>
        <v>R03</v>
      </c>
      <c r="W2080" s="38" t="str">
        <f>+IF(U2080="","-",CONCATENATE(U2080,"_",V2080))</f>
        <v>FINES_R03</v>
      </c>
      <c r="X2080" s="42">
        <v>0.39300000000000002</v>
      </c>
    </row>
    <row r="2081" spans="1:24">
      <c r="A2081" s="21" t="s">
        <v>5100</v>
      </c>
      <c r="B2081" t="s">
        <v>1532</v>
      </c>
      <c r="C2081" t="s">
        <v>1530</v>
      </c>
      <c r="D2081" t="s">
        <v>1531</v>
      </c>
      <c r="E2081" s="7" t="s">
        <v>198</v>
      </c>
      <c r="F2081" s="7" t="s">
        <v>198</v>
      </c>
      <c r="G2081" s="7" t="s">
        <v>198</v>
      </c>
      <c r="H2081" s="7" t="s">
        <v>20</v>
      </c>
      <c r="I2081" s="7" t="s">
        <v>5102</v>
      </c>
      <c r="J2081" s="7" t="s">
        <v>21</v>
      </c>
      <c r="L2081" t="s">
        <v>3357</v>
      </c>
      <c r="M2081" s="7" t="s">
        <v>22</v>
      </c>
      <c r="N2081" s="7" t="s">
        <v>23</v>
      </c>
      <c r="O2081" s="7" t="s">
        <v>27</v>
      </c>
      <c r="P2081" s="7" t="s">
        <v>5101</v>
      </c>
      <c r="Q2081" s="26">
        <v>46</v>
      </c>
      <c r="R2081" s="26">
        <v>2</v>
      </c>
      <c r="S2081" s="40">
        <v>1</v>
      </c>
      <c r="T2081" s="7"/>
      <c r="U2081" s="7" t="s">
        <v>2951</v>
      </c>
      <c r="V2081" s="7" t="str">
        <f>+IF(U2081="","",IF(U2081="FINES",CONCATENATE("R",IF(OR(B2081="16",B2081="21",B2081="22",B2081="23"),"16212223",IF(OR(B2081="15",B2081="17",B2081="24",B2081="25"),"15172425",B2081))),IF(U2081="CEBAS","UNICO",IF(VALUE(B2081)&lt;=11,"AMBA","INTERIOR"))))</f>
        <v>R03</v>
      </c>
      <c r="W2081" s="38" t="str">
        <f>+IF(U2081="","-",CONCATENATE(U2081,"_",V2081))</f>
        <v>FINES_R03</v>
      </c>
      <c r="X2081" s="42">
        <v>0.39500000000000002</v>
      </c>
    </row>
    <row r="2082" spans="1:24">
      <c r="A2082" s="21" t="s">
        <v>5100</v>
      </c>
      <c r="B2082" t="s">
        <v>1532</v>
      </c>
      <c r="C2082" t="s">
        <v>1530</v>
      </c>
      <c r="D2082" t="s">
        <v>1531</v>
      </c>
      <c r="E2082" s="7" t="s">
        <v>198</v>
      </c>
      <c r="F2082" s="7" t="s">
        <v>198</v>
      </c>
      <c r="G2082" s="7" t="s">
        <v>198</v>
      </c>
      <c r="H2082" s="7" t="s">
        <v>20</v>
      </c>
      <c r="I2082" s="7" t="s">
        <v>5102</v>
      </c>
      <c r="J2082" s="7" t="s">
        <v>21</v>
      </c>
      <c r="L2082" t="s">
        <v>3533</v>
      </c>
      <c r="M2082" s="7" t="s">
        <v>22</v>
      </c>
      <c r="N2082" s="7" t="s">
        <v>23</v>
      </c>
      <c r="O2082" s="7" t="s">
        <v>27</v>
      </c>
      <c r="P2082" s="7" t="s">
        <v>5101</v>
      </c>
      <c r="Q2082" s="26">
        <v>26</v>
      </c>
      <c r="R2082" s="26">
        <v>1</v>
      </c>
      <c r="S2082" s="40">
        <v>1</v>
      </c>
      <c r="T2082" s="7"/>
      <c r="U2082" s="7" t="s">
        <v>2951</v>
      </c>
      <c r="V2082" s="7" t="str">
        <f>+IF(U2082="","",IF(U2082="FINES",CONCATENATE("R",IF(OR(B2082="16",B2082="21",B2082="22",B2082="23"),"16212223",IF(OR(B2082="15",B2082="17",B2082="24",B2082="25"),"15172425",B2082))),IF(U2082="CEBAS","UNICO",IF(VALUE(B2082)&lt;=11,"AMBA","INTERIOR"))))</f>
        <v>R03</v>
      </c>
      <c r="W2082" s="38" t="str">
        <f>+IF(U2082="","-",CONCATENATE(U2082,"_",V2082))</f>
        <v>FINES_R03</v>
      </c>
      <c r="X2082" s="42">
        <v>0.39600000000000002</v>
      </c>
    </row>
    <row r="2083" spans="1:24">
      <c r="A2083" s="21" t="s">
        <v>5100</v>
      </c>
      <c r="B2083" t="s">
        <v>1532</v>
      </c>
      <c r="C2083" t="s">
        <v>1530</v>
      </c>
      <c r="D2083" t="s">
        <v>1531</v>
      </c>
      <c r="E2083" s="7" t="s">
        <v>198</v>
      </c>
      <c r="F2083" s="7" t="s">
        <v>198</v>
      </c>
      <c r="G2083" s="7" t="s">
        <v>198</v>
      </c>
      <c r="H2083" s="7" t="s">
        <v>20</v>
      </c>
      <c r="I2083" s="7" t="s">
        <v>5102</v>
      </c>
      <c r="J2083" s="7" t="s">
        <v>21</v>
      </c>
      <c r="L2083" t="s">
        <v>3395</v>
      </c>
      <c r="M2083" s="7" t="s">
        <v>22</v>
      </c>
      <c r="N2083" s="7" t="s">
        <v>23</v>
      </c>
      <c r="O2083" s="7" t="s">
        <v>27</v>
      </c>
      <c r="P2083" s="7" t="s">
        <v>5101</v>
      </c>
      <c r="Q2083" s="26">
        <v>22</v>
      </c>
      <c r="R2083" s="26">
        <v>1</v>
      </c>
      <c r="S2083" s="40">
        <v>1</v>
      </c>
      <c r="T2083" s="7"/>
      <c r="U2083" s="7" t="s">
        <v>2951</v>
      </c>
      <c r="V2083" s="7" t="str">
        <f>+IF(U2083="","",IF(U2083="FINES",CONCATENATE("R",IF(OR(B2083="16",B2083="21",B2083="22",B2083="23"),"16212223",IF(OR(B2083="15",B2083="17",B2083="24",B2083="25"),"15172425",B2083))),IF(U2083="CEBAS","UNICO",IF(VALUE(B2083)&lt;=11,"AMBA","INTERIOR"))))</f>
        <v>R03</v>
      </c>
      <c r="W2083" s="38" t="str">
        <f>+IF(U2083="","-",CONCATENATE(U2083,"_",V2083))</f>
        <v>FINES_R03</v>
      </c>
      <c r="X2083" s="42">
        <v>0.4</v>
      </c>
    </row>
    <row r="2084" spans="1:24">
      <c r="A2084" s="21" t="s">
        <v>5100</v>
      </c>
      <c r="B2084" t="s">
        <v>1532</v>
      </c>
      <c r="C2084" t="s">
        <v>1530</v>
      </c>
      <c r="D2084" t="s">
        <v>1531</v>
      </c>
      <c r="E2084" s="7" t="s">
        <v>198</v>
      </c>
      <c r="F2084" s="7" t="s">
        <v>198</v>
      </c>
      <c r="G2084" s="7" t="s">
        <v>198</v>
      </c>
      <c r="H2084" s="7" t="s">
        <v>20</v>
      </c>
      <c r="I2084" s="7" t="s">
        <v>5102</v>
      </c>
      <c r="J2084" s="7" t="s">
        <v>21</v>
      </c>
      <c r="L2084" t="s">
        <v>3540</v>
      </c>
      <c r="M2084" s="7" t="s">
        <v>22</v>
      </c>
      <c r="N2084" s="7" t="s">
        <v>23</v>
      </c>
      <c r="O2084" s="7" t="s">
        <v>27</v>
      </c>
      <c r="P2084" s="7" t="s">
        <v>5101</v>
      </c>
      <c r="Q2084" s="26">
        <v>30</v>
      </c>
      <c r="R2084" s="26">
        <v>2</v>
      </c>
      <c r="S2084" s="40">
        <v>1</v>
      </c>
      <c r="T2084" s="7"/>
      <c r="U2084" s="7" t="s">
        <v>2951</v>
      </c>
      <c r="V2084" s="7" t="str">
        <f>+IF(U2084="","",IF(U2084="FINES",CONCATENATE("R",IF(OR(B2084="16",B2084="21",B2084="22",B2084="23"),"16212223",IF(OR(B2084="15",B2084="17",B2084="24",B2084="25"),"15172425",B2084))),IF(U2084="CEBAS","UNICO",IF(VALUE(B2084)&lt;=11,"AMBA","INTERIOR"))))</f>
        <v>R03</v>
      </c>
      <c r="W2084" s="38" t="str">
        <f>+IF(U2084="","-",CONCATENATE(U2084,"_",V2084))</f>
        <v>FINES_R03</v>
      </c>
      <c r="X2084" s="42">
        <v>0.40100000000000002</v>
      </c>
    </row>
    <row r="2085" spans="1:24">
      <c r="A2085" s="21" t="s">
        <v>5100</v>
      </c>
      <c r="B2085" t="s">
        <v>1532</v>
      </c>
      <c r="C2085" t="s">
        <v>1530</v>
      </c>
      <c r="D2085" t="s">
        <v>1531</v>
      </c>
      <c r="E2085" s="7" t="s">
        <v>198</v>
      </c>
      <c r="F2085" s="7" t="s">
        <v>198</v>
      </c>
      <c r="G2085" s="7" t="s">
        <v>198</v>
      </c>
      <c r="H2085" s="7" t="s">
        <v>20</v>
      </c>
      <c r="I2085" s="7" t="s">
        <v>5102</v>
      </c>
      <c r="J2085" s="7" t="s">
        <v>21</v>
      </c>
      <c r="L2085" t="s">
        <v>3530</v>
      </c>
      <c r="M2085" s="7" t="s">
        <v>22</v>
      </c>
      <c r="N2085" s="7" t="s">
        <v>23</v>
      </c>
      <c r="O2085" s="7" t="s">
        <v>27</v>
      </c>
      <c r="P2085" s="7" t="s">
        <v>5101</v>
      </c>
      <c r="Q2085" s="26">
        <v>36</v>
      </c>
      <c r="R2085" s="26">
        <v>2</v>
      </c>
      <c r="S2085" s="40">
        <v>1</v>
      </c>
      <c r="T2085" s="7"/>
      <c r="U2085" s="7" t="s">
        <v>2951</v>
      </c>
      <c r="V2085" s="7" t="str">
        <f>+IF(U2085="","",IF(U2085="FINES",CONCATENATE("R",IF(OR(B2085="16",B2085="21",B2085="22",B2085="23"),"16212223",IF(OR(B2085="15",B2085="17",B2085="24",B2085="25"),"15172425",B2085))),IF(U2085="CEBAS","UNICO",IF(VALUE(B2085)&lt;=11,"AMBA","INTERIOR"))))</f>
        <v>R03</v>
      </c>
      <c r="W2085" s="38" t="str">
        <f>+IF(U2085="","-",CONCATENATE(U2085,"_",V2085))</f>
        <v>FINES_R03</v>
      </c>
      <c r="X2085" s="42">
        <v>0.40100000000000002</v>
      </c>
    </row>
    <row r="2086" spans="1:24">
      <c r="A2086" s="21" t="s">
        <v>5100</v>
      </c>
      <c r="B2086" t="s">
        <v>1532</v>
      </c>
      <c r="C2086" t="s">
        <v>1530</v>
      </c>
      <c r="D2086" t="s">
        <v>1531</v>
      </c>
      <c r="E2086" s="7" t="s">
        <v>198</v>
      </c>
      <c r="F2086" s="7" t="s">
        <v>198</v>
      </c>
      <c r="G2086" s="7" t="s">
        <v>198</v>
      </c>
      <c r="H2086" s="7" t="s">
        <v>20</v>
      </c>
      <c r="I2086" s="7" t="s">
        <v>5102</v>
      </c>
      <c r="J2086" s="7" t="s">
        <v>21</v>
      </c>
      <c r="L2086" t="s">
        <v>3462</v>
      </c>
      <c r="M2086" s="7" t="s">
        <v>22</v>
      </c>
      <c r="N2086" s="7" t="s">
        <v>23</v>
      </c>
      <c r="O2086" s="7" t="s">
        <v>27</v>
      </c>
      <c r="P2086" s="7" t="s">
        <v>5101</v>
      </c>
      <c r="Q2086" s="26">
        <v>112</v>
      </c>
      <c r="R2086" s="26">
        <v>6</v>
      </c>
      <c r="S2086" s="40">
        <v>1</v>
      </c>
      <c r="T2086" s="7"/>
      <c r="U2086" s="7" t="s">
        <v>2951</v>
      </c>
      <c r="V2086" s="7" t="str">
        <f>+IF(U2086="","",IF(U2086="FINES",CONCATENATE("R",IF(OR(B2086="16",B2086="21",B2086="22",B2086="23"),"16212223",IF(OR(B2086="15",B2086="17",B2086="24",B2086="25"),"15172425",B2086))),IF(U2086="CEBAS","UNICO",IF(VALUE(B2086)&lt;=11,"AMBA","INTERIOR"))))</f>
        <v>R03</v>
      </c>
      <c r="W2086" s="38" t="str">
        <f>+IF(U2086="","-",CONCATENATE(U2086,"_",V2086))</f>
        <v>FINES_R03</v>
      </c>
      <c r="X2086" s="42">
        <v>0.40200000000000002</v>
      </c>
    </row>
    <row r="2087" spans="1:24">
      <c r="A2087" s="21" t="s">
        <v>5100</v>
      </c>
      <c r="B2087" t="s">
        <v>1532</v>
      </c>
      <c r="C2087" t="s">
        <v>1530</v>
      </c>
      <c r="D2087" t="s">
        <v>1531</v>
      </c>
      <c r="E2087" s="7" t="s">
        <v>198</v>
      </c>
      <c r="F2087" s="7" t="s">
        <v>198</v>
      </c>
      <c r="G2087" s="7" t="s">
        <v>198</v>
      </c>
      <c r="H2087" s="7" t="s">
        <v>20</v>
      </c>
      <c r="I2087" s="7" t="s">
        <v>5102</v>
      </c>
      <c r="J2087" s="7" t="s">
        <v>21</v>
      </c>
      <c r="L2087" t="s">
        <v>3476</v>
      </c>
      <c r="M2087" s="7" t="s">
        <v>22</v>
      </c>
      <c r="N2087" s="7" t="s">
        <v>23</v>
      </c>
      <c r="O2087" s="7" t="s">
        <v>27</v>
      </c>
      <c r="P2087" s="7" t="s">
        <v>5101</v>
      </c>
      <c r="Q2087" s="26">
        <v>125</v>
      </c>
      <c r="R2087" s="26">
        <v>6</v>
      </c>
      <c r="S2087" s="40">
        <v>1</v>
      </c>
      <c r="T2087" s="7"/>
      <c r="U2087" s="7" t="s">
        <v>2951</v>
      </c>
      <c r="V2087" s="7" t="str">
        <f>+IF(U2087="","",IF(U2087="FINES",CONCATENATE("R",IF(OR(B2087="16",B2087="21",B2087="22",B2087="23"),"16212223",IF(OR(B2087="15",B2087="17",B2087="24",B2087="25"),"15172425",B2087))),IF(U2087="CEBAS","UNICO",IF(VALUE(B2087)&lt;=11,"AMBA","INTERIOR"))))</f>
        <v>R03</v>
      </c>
      <c r="W2087" s="38" t="str">
        <f>+IF(U2087="","-",CONCATENATE(U2087,"_",V2087))</f>
        <v>FINES_R03</v>
      </c>
      <c r="X2087" s="42">
        <v>0.41299999999999998</v>
      </c>
    </row>
    <row r="2088" spans="1:24">
      <c r="A2088" s="21" t="s">
        <v>5100</v>
      </c>
      <c r="B2088" t="s">
        <v>1532</v>
      </c>
      <c r="C2088" t="s">
        <v>1530</v>
      </c>
      <c r="D2088" t="s">
        <v>1531</v>
      </c>
      <c r="E2088" s="7" t="s">
        <v>198</v>
      </c>
      <c r="F2088" s="7" t="s">
        <v>198</v>
      </c>
      <c r="G2088" s="7" t="s">
        <v>198</v>
      </c>
      <c r="H2088" s="7" t="s">
        <v>20</v>
      </c>
      <c r="I2088" s="7" t="s">
        <v>5102</v>
      </c>
      <c r="J2088" s="7" t="s">
        <v>21</v>
      </c>
      <c r="L2088" t="s">
        <v>3344</v>
      </c>
      <c r="M2088" s="7" t="s">
        <v>22</v>
      </c>
      <c r="N2088" s="7" t="s">
        <v>23</v>
      </c>
      <c r="O2088" s="7" t="s">
        <v>27</v>
      </c>
      <c r="P2088" s="7" t="s">
        <v>5101</v>
      </c>
      <c r="Q2088" s="26">
        <v>15</v>
      </c>
      <c r="R2088" s="26">
        <v>1</v>
      </c>
      <c r="S2088" s="40">
        <v>1</v>
      </c>
      <c r="T2088" s="7"/>
      <c r="U2088" s="7" t="s">
        <v>2951</v>
      </c>
      <c r="V2088" s="7" t="str">
        <f>+IF(U2088="","",IF(U2088="FINES",CONCATENATE("R",IF(OR(B2088="16",B2088="21",B2088="22",B2088="23"),"16212223",IF(OR(B2088="15",B2088="17",B2088="24",B2088="25"),"15172425",B2088))),IF(U2088="CEBAS","UNICO",IF(VALUE(B2088)&lt;=11,"AMBA","INTERIOR"))))</f>
        <v>R03</v>
      </c>
      <c r="W2088" s="38" t="str">
        <f>+IF(U2088="","-",CONCATENATE(U2088,"_",V2088))</f>
        <v>FINES_R03</v>
      </c>
      <c r="X2088" s="42">
        <v>0.41499999999999998</v>
      </c>
    </row>
    <row r="2089" spans="1:24">
      <c r="A2089" s="21" t="s">
        <v>5100</v>
      </c>
      <c r="B2089" t="s">
        <v>1532</v>
      </c>
      <c r="C2089" t="s">
        <v>1530</v>
      </c>
      <c r="D2089" t="s">
        <v>1531</v>
      </c>
      <c r="E2089" s="7" t="s">
        <v>198</v>
      </c>
      <c r="F2089" s="7" t="s">
        <v>198</v>
      </c>
      <c r="G2089" s="7" t="s">
        <v>198</v>
      </c>
      <c r="H2089" s="7" t="s">
        <v>20</v>
      </c>
      <c r="I2089" s="7" t="s">
        <v>5102</v>
      </c>
      <c r="J2089" s="7" t="s">
        <v>21</v>
      </c>
      <c r="L2089" t="s">
        <v>3385</v>
      </c>
      <c r="M2089" s="7" t="s">
        <v>22</v>
      </c>
      <c r="N2089" s="7" t="s">
        <v>23</v>
      </c>
      <c r="O2089" s="7" t="s">
        <v>27</v>
      </c>
      <c r="P2089" s="7" t="s">
        <v>5101</v>
      </c>
      <c r="Q2089" s="26">
        <v>56</v>
      </c>
      <c r="R2089" s="26">
        <v>3</v>
      </c>
      <c r="S2089" s="40">
        <v>1</v>
      </c>
      <c r="T2089" s="7"/>
      <c r="U2089" s="7" t="s">
        <v>2951</v>
      </c>
      <c r="V2089" s="7" t="str">
        <f>+IF(U2089="","",IF(U2089="FINES",CONCATENATE("R",IF(OR(B2089="16",B2089="21",B2089="22",B2089="23"),"16212223",IF(OR(B2089="15",B2089="17",B2089="24",B2089="25"),"15172425",B2089))),IF(U2089="CEBAS","UNICO",IF(VALUE(B2089)&lt;=11,"AMBA","INTERIOR"))))</f>
        <v>R03</v>
      </c>
      <c r="W2089" s="38" t="str">
        <f>+IF(U2089="","-",CONCATENATE(U2089,"_",V2089))</f>
        <v>FINES_R03</v>
      </c>
      <c r="X2089" s="42">
        <v>0.42</v>
      </c>
    </row>
    <row r="2090" spans="1:24">
      <c r="A2090" s="21" t="s">
        <v>5100</v>
      </c>
      <c r="B2090" t="s">
        <v>1532</v>
      </c>
      <c r="C2090" t="s">
        <v>1530</v>
      </c>
      <c r="D2090" t="s">
        <v>1531</v>
      </c>
      <c r="E2090" s="7" t="s">
        <v>198</v>
      </c>
      <c r="F2090" s="7" t="s">
        <v>198</v>
      </c>
      <c r="G2090" s="7" t="s">
        <v>198</v>
      </c>
      <c r="H2090" s="7" t="s">
        <v>20</v>
      </c>
      <c r="I2090" s="7" t="s">
        <v>5102</v>
      </c>
      <c r="J2090" s="7" t="s">
        <v>21</v>
      </c>
      <c r="L2090" t="s">
        <v>3490</v>
      </c>
      <c r="M2090" s="7" t="s">
        <v>22</v>
      </c>
      <c r="N2090" s="7" t="s">
        <v>23</v>
      </c>
      <c r="O2090" s="7" t="s">
        <v>27</v>
      </c>
      <c r="P2090" s="7" t="s">
        <v>5101</v>
      </c>
      <c r="Q2090" s="26">
        <v>67</v>
      </c>
      <c r="R2090" s="26">
        <v>4</v>
      </c>
      <c r="S2090" s="40">
        <v>1</v>
      </c>
      <c r="T2090" s="7"/>
      <c r="U2090" s="7" t="s">
        <v>2951</v>
      </c>
      <c r="V2090" s="7" t="str">
        <f>+IF(U2090="","",IF(U2090="FINES",CONCATENATE("R",IF(OR(B2090="16",B2090="21",B2090="22",B2090="23"),"16212223",IF(OR(B2090="15",B2090="17",B2090="24",B2090="25"),"15172425",B2090))),IF(U2090="CEBAS","UNICO",IF(VALUE(B2090)&lt;=11,"AMBA","INTERIOR"))))</f>
        <v>R03</v>
      </c>
      <c r="W2090" s="38" t="str">
        <f>+IF(U2090="","-",CONCATENATE(U2090,"_",V2090))</f>
        <v>FINES_R03</v>
      </c>
      <c r="X2090" s="42">
        <v>0.42699999999999999</v>
      </c>
    </row>
    <row r="2091" spans="1:24">
      <c r="A2091" s="21" t="s">
        <v>5100</v>
      </c>
      <c r="B2091" t="s">
        <v>1532</v>
      </c>
      <c r="C2091" t="s">
        <v>1530</v>
      </c>
      <c r="D2091" t="s">
        <v>1531</v>
      </c>
      <c r="E2091" s="7" t="s">
        <v>198</v>
      </c>
      <c r="F2091" s="7" t="s">
        <v>198</v>
      </c>
      <c r="G2091" s="7" t="s">
        <v>198</v>
      </c>
      <c r="H2091" s="7" t="s">
        <v>20</v>
      </c>
      <c r="I2091" s="7" t="s">
        <v>5102</v>
      </c>
      <c r="J2091" s="7" t="s">
        <v>21</v>
      </c>
      <c r="L2091" t="s">
        <v>3459</v>
      </c>
      <c r="M2091" s="7" t="s">
        <v>22</v>
      </c>
      <c r="N2091" s="7" t="s">
        <v>23</v>
      </c>
      <c r="O2091" s="7" t="s">
        <v>27</v>
      </c>
      <c r="P2091" s="7" t="s">
        <v>5101</v>
      </c>
      <c r="Q2091" s="26">
        <v>47</v>
      </c>
      <c r="R2091" s="26">
        <v>2</v>
      </c>
      <c r="S2091" s="40">
        <v>1</v>
      </c>
      <c r="T2091" s="7"/>
      <c r="U2091" s="7" t="s">
        <v>2951</v>
      </c>
      <c r="V2091" s="7" t="str">
        <f>+IF(U2091="","",IF(U2091="FINES",CONCATENATE("R",IF(OR(B2091="16",B2091="21",B2091="22",B2091="23"),"16212223",IF(OR(B2091="15",B2091="17",B2091="24",B2091="25"),"15172425",B2091))),IF(U2091="CEBAS","UNICO",IF(VALUE(B2091)&lt;=11,"AMBA","INTERIOR"))))</f>
        <v>R03</v>
      </c>
      <c r="W2091" s="38" t="str">
        <f>+IF(U2091="","-",CONCATENATE(U2091,"_",V2091))</f>
        <v>FINES_R03</v>
      </c>
      <c r="X2091" s="42">
        <v>0.435</v>
      </c>
    </row>
    <row r="2092" spans="1:24">
      <c r="A2092" s="21" t="s">
        <v>5100</v>
      </c>
      <c r="B2092" t="s">
        <v>1532</v>
      </c>
      <c r="C2092" t="s">
        <v>1530</v>
      </c>
      <c r="D2092" t="s">
        <v>1531</v>
      </c>
      <c r="E2092" s="7" t="s">
        <v>198</v>
      </c>
      <c r="F2092" s="7" t="s">
        <v>198</v>
      </c>
      <c r="G2092" s="7" t="s">
        <v>198</v>
      </c>
      <c r="H2092" s="7" t="s">
        <v>20</v>
      </c>
      <c r="I2092" s="7" t="s">
        <v>5102</v>
      </c>
      <c r="J2092" s="7" t="s">
        <v>21</v>
      </c>
      <c r="L2092" t="s">
        <v>3410</v>
      </c>
      <c r="M2092" s="7" t="s">
        <v>22</v>
      </c>
      <c r="N2092" s="7" t="s">
        <v>23</v>
      </c>
      <c r="O2092" s="7" t="s">
        <v>27</v>
      </c>
      <c r="P2092" s="7" t="s">
        <v>5101</v>
      </c>
      <c r="Q2092" s="26">
        <v>29</v>
      </c>
      <c r="R2092" s="26">
        <v>1</v>
      </c>
      <c r="S2092" s="40">
        <v>1</v>
      </c>
      <c r="T2092" s="7"/>
      <c r="U2092" s="7" t="s">
        <v>2951</v>
      </c>
      <c r="V2092" s="7" t="str">
        <f>+IF(U2092="","",IF(U2092="FINES",CONCATENATE("R",IF(OR(B2092="16",B2092="21",B2092="22",B2092="23"),"16212223",IF(OR(B2092="15",B2092="17",B2092="24",B2092="25"),"15172425",B2092))),IF(U2092="CEBAS","UNICO",IF(VALUE(B2092)&lt;=11,"AMBA","INTERIOR"))))</f>
        <v>R03</v>
      </c>
      <c r="W2092" s="38" t="str">
        <f>+IF(U2092="","-",CONCATENATE(U2092,"_",V2092))</f>
        <v>FINES_R03</v>
      </c>
      <c r="X2092" s="42">
        <v>0.44</v>
      </c>
    </row>
    <row r="2093" spans="1:24">
      <c r="A2093" s="21" t="s">
        <v>5100</v>
      </c>
      <c r="B2093" t="s">
        <v>1532</v>
      </c>
      <c r="C2093" t="s">
        <v>1530</v>
      </c>
      <c r="D2093" t="s">
        <v>1531</v>
      </c>
      <c r="E2093" s="7" t="s">
        <v>198</v>
      </c>
      <c r="F2093" s="7" t="s">
        <v>198</v>
      </c>
      <c r="G2093" s="7" t="s">
        <v>198</v>
      </c>
      <c r="H2093" s="7" t="s">
        <v>20</v>
      </c>
      <c r="I2093" s="7" t="s">
        <v>5102</v>
      </c>
      <c r="J2093" s="7" t="s">
        <v>21</v>
      </c>
      <c r="L2093" t="s">
        <v>3365</v>
      </c>
      <c r="M2093" s="7" t="s">
        <v>22</v>
      </c>
      <c r="N2093" s="7" t="s">
        <v>23</v>
      </c>
      <c r="O2093" s="7" t="s">
        <v>27</v>
      </c>
      <c r="P2093" s="7" t="s">
        <v>5101</v>
      </c>
      <c r="Q2093" s="26">
        <v>58</v>
      </c>
      <c r="R2093" s="26">
        <v>3</v>
      </c>
      <c r="S2093" s="40">
        <v>1</v>
      </c>
      <c r="T2093" s="7"/>
      <c r="U2093" s="7" t="s">
        <v>2951</v>
      </c>
      <c r="V2093" s="7" t="str">
        <f>+IF(U2093="","",IF(U2093="FINES",CONCATENATE("R",IF(OR(B2093="16",B2093="21",B2093="22",B2093="23"),"16212223",IF(OR(B2093="15",B2093="17",B2093="24",B2093="25"),"15172425",B2093))),IF(U2093="CEBAS","UNICO",IF(VALUE(B2093)&lt;=11,"AMBA","INTERIOR"))))</f>
        <v>R03</v>
      </c>
      <c r="W2093" s="38" t="str">
        <f>+IF(U2093="","-",CONCATENATE(U2093,"_",V2093))</f>
        <v>FINES_R03</v>
      </c>
      <c r="X2093" s="42">
        <v>0.44400000000000001</v>
      </c>
    </row>
    <row r="2094" spans="1:24">
      <c r="A2094" s="21" t="s">
        <v>5100</v>
      </c>
      <c r="B2094" t="s">
        <v>1532</v>
      </c>
      <c r="C2094" t="s">
        <v>1530</v>
      </c>
      <c r="D2094" t="s">
        <v>1531</v>
      </c>
      <c r="E2094" s="7" t="s">
        <v>198</v>
      </c>
      <c r="F2094" s="7" t="s">
        <v>198</v>
      </c>
      <c r="G2094" s="7" t="s">
        <v>198</v>
      </c>
      <c r="H2094" s="7" t="s">
        <v>20</v>
      </c>
      <c r="I2094" s="7" t="s">
        <v>5102</v>
      </c>
      <c r="J2094" s="7" t="s">
        <v>21</v>
      </c>
      <c r="L2094" t="s">
        <v>3427</v>
      </c>
      <c r="M2094" s="7" t="s">
        <v>22</v>
      </c>
      <c r="N2094" s="7" t="s">
        <v>23</v>
      </c>
      <c r="O2094" s="7" t="s">
        <v>27</v>
      </c>
      <c r="P2094" s="7" t="s">
        <v>5101</v>
      </c>
      <c r="Q2094" s="26">
        <v>26</v>
      </c>
      <c r="R2094" s="26">
        <v>1</v>
      </c>
      <c r="S2094" s="40">
        <v>1</v>
      </c>
      <c r="T2094" s="7"/>
      <c r="U2094" s="7" t="s">
        <v>2951</v>
      </c>
      <c r="V2094" s="7" t="str">
        <f>+IF(U2094="","",IF(U2094="FINES",CONCATENATE("R",IF(OR(B2094="16",B2094="21",B2094="22",B2094="23"),"16212223",IF(OR(B2094="15",B2094="17",B2094="24",B2094="25"),"15172425",B2094))),IF(U2094="CEBAS","UNICO",IF(VALUE(B2094)&lt;=11,"AMBA","INTERIOR"))))</f>
        <v>R03</v>
      </c>
      <c r="W2094" s="38" t="str">
        <f>+IF(U2094="","-",CONCATENATE(U2094,"_",V2094))</f>
        <v>FINES_R03</v>
      </c>
      <c r="X2094" s="42">
        <v>0.45300000000000001</v>
      </c>
    </row>
    <row r="2095" spans="1:24">
      <c r="A2095" s="21" t="s">
        <v>5100</v>
      </c>
      <c r="B2095" t="s">
        <v>1532</v>
      </c>
      <c r="C2095" t="s">
        <v>1530</v>
      </c>
      <c r="D2095" t="s">
        <v>1531</v>
      </c>
      <c r="E2095" s="7" t="s">
        <v>198</v>
      </c>
      <c r="F2095" s="7" t="s">
        <v>198</v>
      </c>
      <c r="G2095" s="7" t="s">
        <v>198</v>
      </c>
      <c r="H2095" s="7" t="s">
        <v>20</v>
      </c>
      <c r="I2095" s="7" t="s">
        <v>5102</v>
      </c>
      <c r="J2095" s="7" t="s">
        <v>21</v>
      </c>
      <c r="L2095" t="s">
        <v>3394</v>
      </c>
      <c r="M2095" s="7" t="s">
        <v>22</v>
      </c>
      <c r="N2095" s="7" t="s">
        <v>23</v>
      </c>
      <c r="O2095" s="7" t="s">
        <v>27</v>
      </c>
      <c r="P2095" s="7" t="s">
        <v>5101</v>
      </c>
      <c r="Q2095" s="26">
        <v>22</v>
      </c>
      <c r="R2095" s="26">
        <v>1</v>
      </c>
      <c r="S2095" s="40">
        <v>1</v>
      </c>
      <c r="T2095" s="7"/>
      <c r="U2095" s="7" t="s">
        <v>2951</v>
      </c>
      <c r="V2095" s="7" t="str">
        <f>+IF(U2095="","",IF(U2095="FINES",CONCATENATE("R",IF(OR(B2095="16",B2095="21",B2095="22",B2095="23"),"16212223",IF(OR(B2095="15",B2095="17",B2095="24",B2095="25"),"15172425",B2095))),IF(U2095="CEBAS","UNICO",IF(VALUE(B2095)&lt;=11,"AMBA","INTERIOR"))))</f>
        <v>R03</v>
      </c>
      <c r="W2095" s="38" t="str">
        <f>+IF(U2095="","-",CONCATENATE(U2095,"_",V2095))</f>
        <v>FINES_R03</v>
      </c>
      <c r="X2095" s="42">
        <v>0.45600000000000002</v>
      </c>
    </row>
    <row r="2096" spans="1:24">
      <c r="A2096" s="21" t="s">
        <v>5100</v>
      </c>
      <c r="B2096" t="s">
        <v>1532</v>
      </c>
      <c r="C2096" t="s">
        <v>1530</v>
      </c>
      <c r="D2096" t="s">
        <v>1531</v>
      </c>
      <c r="E2096" s="7" t="s">
        <v>198</v>
      </c>
      <c r="F2096" s="7" t="s">
        <v>198</v>
      </c>
      <c r="G2096" s="7" t="s">
        <v>198</v>
      </c>
      <c r="H2096" s="7" t="s">
        <v>20</v>
      </c>
      <c r="I2096" s="7" t="s">
        <v>5102</v>
      </c>
      <c r="J2096" s="7" t="s">
        <v>21</v>
      </c>
      <c r="L2096" t="s">
        <v>3538</v>
      </c>
      <c r="M2096" s="7" t="s">
        <v>22</v>
      </c>
      <c r="N2096" s="7" t="s">
        <v>23</v>
      </c>
      <c r="O2096" s="7" t="s">
        <v>27</v>
      </c>
      <c r="P2096" s="7" t="s">
        <v>5101</v>
      </c>
      <c r="Q2096" s="26">
        <v>19</v>
      </c>
      <c r="R2096" s="26">
        <v>1</v>
      </c>
      <c r="S2096" s="40">
        <v>1</v>
      </c>
      <c r="T2096" s="7"/>
      <c r="U2096" s="7" t="s">
        <v>2951</v>
      </c>
      <c r="V2096" s="7" t="str">
        <f>+IF(U2096="","",IF(U2096="FINES",CONCATENATE("R",IF(OR(B2096="16",B2096="21",B2096="22",B2096="23"),"16212223",IF(OR(B2096="15",B2096="17",B2096="24",B2096="25"),"15172425",B2096))),IF(U2096="CEBAS","UNICO",IF(VALUE(B2096)&lt;=11,"AMBA","INTERIOR"))))</f>
        <v>R03</v>
      </c>
      <c r="W2096" s="38" t="str">
        <f>+IF(U2096="","-",CONCATENATE(U2096,"_",V2096))</f>
        <v>FINES_R03</v>
      </c>
      <c r="X2096" s="42">
        <v>0.45900000000000002</v>
      </c>
    </row>
    <row r="2097" spans="1:24">
      <c r="A2097" s="21" t="s">
        <v>5100</v>
      </c>
      <c r="B2097" t="s">
        <v>1532</v>
      </c>
      <c r="C2097" t="s">
        <v>1530</v>
      </c>
      <c r="D2097" t="s">
        <v>1531</v>
      </c>
      <c r="E2097" s="7" t="s">
        <v>198</v>
      </c>
      <c r="F2097" s="7" t="s">
        <v>198</v>
      </c>
      <c r="G2097" s="7" t="s">
        <v>198</v>
      </c>
      <c r="H2097" s="7" t="s">
        <v>20</v>
      </c>
      <c r="I2097" s="7" t="s">
        <v>5102</v>
      </c>
      <c r="J2097" s="7" t="s">
        <v>21</v>
      </c>
      <c r="L2097" t="s">
        <v>3418</v>
      </c>
      <c r="M2097" s="7" t="s">
        <v>22</v>
      </c>
      <c r="N2097" s="7" t="s">
        <v>23</v>
      </c>
      <c r="O2097" s="7" t="s">
        <v>27</v>
      </c>
      <c r="P2097" s="7" t="s">
        <v>5101</v>
      </c>
      <c r="Q2097" s="26">
        <v>63</v>
      </c>
      <c r="R2097" s="26">
        <v>3</v>
      </c>
      <c r="S2097" s="40">
        <v>1</v>
      </c>
      <c r="T2097" s="7"/>
      <c r="U2097" s="7" t="s">
        <v>2951</v>
      </c>
      <c r="V2097" s="7" t="str">
        <f>+IF(U2097="","",IF(U2097="FINES",CONCATENATE("R",IF(OR(B2097="16",B2097="21",B2097="22",B2097="23"),"16212223",IF(OR(B2097="15",B2097="17",B2097="24",B2097="25"),"15172425",B2097))),IF(U2097="CEBAS","UNICO",IF(VALUE(B2097)&lt;=11,"AMBA","INTERIOR"))))</f>
        <v>R03</v>
      </c>
      <c r="W2097" s="38" t="str">
        <f>+IF(U2097="","-",CONCATENATE(U2097,"_",V2097))</f>
        <v>FINES_R03</v>
      </c>
      <c r="X2097" s="42">
        <v>0.46700000000000003</v>
      </c>
    </row>
    <row r="2098" spans="1:24">
      <c r="A2098" s="21" t="s">
        <v>5100</v>
      </c>
      <c r="B2098" t="s">
        <v>1532</v>
      </c>
      <c r="C2098" t="s">
        <v>1530</v>
      </c>
      <c r="D2098" t="s">
        <v>1531</v>
      </c>
      <c r="E2098" s="7" t="s">
        <v>198</v>
      </c>
      <c r="F2098" s="7" t="s">
        <v>198</v>
      </c>
      <c r="G2098" s="7" t="s">
        <v>198</v>
      </c>
      <c r="H2098" s="7" t="s">
        <v>20</v>
      </c>
      <c r="I2098" s="7" t="s">
        <v>5102</v>
      </c>
      <c r="J2098" s="7" t="s">
        <v>21</v>
      </c>
      <c r="L2098" t="s">
        <v>3449</v>
      </c>
      <c r="M2098" s="7" t="s">
        <v>22</v>
      </c>
      <c r="N2098" s="7" t="s">
        <v>23</v>
      </c>
      <c r="O2098" s="7" t="s">
        <v>27</v>
      </c>
      <c r="P2098" s="7" t="s">
        <v>5101</v>
      </c>
      <c r="Q2098" s="26">
        <v>17</v>
      </c>
      <c r="R2098" s="26">
        <v>1</v>
      </c>
      <c r="S2098" s="40">
        <v>1</v>
      </c>
      <c r="T2098" s="7"/>
      <c r="U2098" s="7" t="s">
        <v>2951</v>
      </c>
      <c r="V2098" s="7" t="str">
        <f>+IF(U2098="","",IF(U2098="FINES",CONCATENATE("R",IF(OR(B2098="16",B2098="21",B2098="22",B2098="23"),"16212223",IF(OR(B2098="15",B2098="17",B2098="24",B2098="25"),"15172425",B2098))),IF(U2098="CEBAS","UNICO",IF(VALUE(B2098)&lt;=11,"AMBA","INTERIOR"))))</f>
        <v>R03</v>
      </c>
      <c r="W2098" s="38" t="str">
        <f>+IF(U2098="","-",CONCATENATE(U2098,"_",V2098))</f>
        <v>FINES_R03</v>
      </c>
      <c r="X2098" s="42">
        <v>0.48199999999999998</v>
      </c>
    </row>
    <row r="2099" spans="1:24">
      <c r="A2099" s="21" t="s">
        <v>5100</v>
      </c>
      <c r="B2099" t="s">
        <v>1532</v>
      </c>
      <c r="C2099" t="s">
        <v>1530</v>
      </c>
      <c r="D2099" t="s">
        <v>1531</v>
      </c>
      <c r="E2099" s="7" t="s">
        <v>198</v>
      </c>
      <c r="F2099" s="7" t="s">
        <v>198</v>
      </c>
      <c r="G2099" s="7" t="s">
        <v>198</v>
      </c>
      <c r="H2099" s="7" t="s">
        <v>20</v>
      </c>
      <c r="I2099" s="7" t="s">
        <v>5102</v>
      </c>
      <c r="J2099" s="7" t="s">
        <v>21</v>
      </c>
      <c r="L2099" t="s">
        <v>3320</v>
      </c>
      <c r="M2099" s="7" t="s">
        <v>22</v>
      </c>
      <c r="N2099" s="7" t="s">
        <v>23</v>
      </c>
      <c r="O2099" s="7" t="s">
        <v>27</v>
      </c>
      <c r="P2099" s="7" t="s">
        <v>5101</v>
      </c>
      <c r="Q2099" s="26">
        <v>47</v>
      </c>
      <c r="R2099" s="26">
        <v>2</v>
      </c>
      <c r="S2099" s="40">
        <v>1</v>
      </c>
      <c r="T2099" s="7"/>
      <c r="U2099" s="7" t="s">
        <v>2951</v>
      </c>
      <c r="V2099" s="7" t="str">
        <f>+IF(U2099="","",IF(U2099="FINES",CONCATENATE("R",IF(OR(B2099="16",B2099="21",B2099="22",B2099="23"),"16212223",IF(OR(B2099="15",B2099="17",B2099="24",B2099="25"),"15172425",B2099))),IF(U2099="CEBAS","UNICO",IF(VALUE(B2099)&lt;=11,"AMBA","INTERIOR"))))</f>
        <v>R03</v>
      </c>
      <c r="W2099" s="38" t="str">
        <f>+IF(U2099="","-",CONCATENATE(U2099,"_",V2099))</f>
        <v>FINES_R03</v>
      </c>
      <c r="X2099" s="42">
        <v>0.48399999999999999</v>
      </c>
    </row>
    <row r="2100" spans="1:24">
      <c r="A2100" s="21" t="s">
        <v>5100</v>
      </c>
      <c r="B2100" t="s">
        <v>1532</v>
      </c>
      <c r="C2100" t="s">
        <v>1530</v>
      </c>
      <c r="D2100" t="s">
        <v>1531</v>
      </c>
      <c r="E2100" s="7" t="s">
        <v>198</v>
      </c>
      <c r="F2100" s="7" t="s">
        <v>198</v>
      </c>
      <c r="G2100" s="7" t="s">
        <v>198</v>
      </c>
      <c r="H2100" s="7" t="s">
        <v>20</v>
      </c>
      <c r="I2100" s="7" t="s">
        <v>5102</v>
      </c>
      <c r="J2100" s="7" t="s">
        <v>21</v>
      </c>
      <c r="L2100" t="s">
        <v>3445</v>
      </c>
      <c r="M2100" s="7" t="s">
        <v>22</v>
      </c>
      <c r="N2100" s="7" t="s">
        <v>23</v>
      </c>
      <c r="O2100" s="7" t="s">
        <v>27</v>
      </c>
      <c r="P2100" s="7" t="s">
        <v>5101</v>
      </c>
      <c r="Q2100" s="26">
        <v>17</v>
      </c>
      <c r="R2100" s="26">
        <v>1</v>
      </c>
      <c r="S2100" s="40">
        <v>1</v>
      </c>
      <c r="T2100" s="7"/>
      <c r="U2100" s="7" t="s">
        <v>2951</v>
      </c>
      <c r="V2100" s="7" t="str">
        <f>+IF(U2100="","",IF(U2100="FINES",CONCATENATE("R",IF(OR(B2100="16",B2100="21",B2100="22",B2100="23"),"16212223",IF(OR(B2100="15",B2100="17",B2100="24",B2100="25"),"15172425",B2100))),IF(U2100="CEBAS","UNICO",IF(VALUE(B2100)&lt;=11,"AMBA","INTERIOR"))))</f>
        <v>R03</v>
      </c>
      <c r="W2100" s="38" t="str">
        <f>+IF(U2100="","-",CONCATENATE(U2100,"_",V2100))</f>
        <v>FINES_R03</v>
      </c>
      <c r="X2100" s="42">
        <v>0.48699999999999999</v>
      </c>
    </row>
    <row r="2101" spans="1:24">
      <c r="A2101" s="21" t="s">
        <v>5100</v>
      </c>
      <c r="B2101" t="s">
        <v>1532</v>
      </c>
      <c r="C2101" t="s">
        <v>1530</v>
      </c>
      <c r="D2101" t="s">
        <v>1531</v>
      </c>
      <c r="E2101" s="7" t="s">
        <v>198</v>
      </c>
      <c r="F2101" s="7" t="s">
        <v>198</v>
      </c>
      <c r="G2101" s="7" t="s">
        <v>198</v>
      </c>
      <c r="H2101" s="7" t="s">
        <v>20</v>
      </c>
      <c r="I2101" s="7" t="s">
        <v>5102</v>
      </c>
      <c r="J2101" s="7" t="s">
        <v>21</v>
      </c>
      <c r="L2101" t="s">
        <v>3326</v>
      </c>
      <c r="M2101" s="7" t="s">
        <v>22</v>
      </c>
      <c r="N2101" s="7" t="s">
        <v>23</v>
      </c>
      <c r="O2101" s="7" t="s">
        <v>27</v>
      </c>
      <c r="P2101" s="7" t="s">
        <v>5101</v>
      </c>
      <c r="Q2101" s="26">
        <v>99</v>
      </c>
      <c r="R2101" s="26">
        <v>4</v>
      </c>
      <c r="S2101" s="40">
        <v>1</v>
      </c>
      <c r="T2101" s="7"/>
      <c r="U2101" s="7" t="s">
        <v>2951</v>
      </c>
      <c r="V2101" s="7" t="str">
        <f>+IF(U2101="","",IF(U2101="FINES",CONCATENATE("R",IF(OR(B2101="16",B2101="21",B2101="22",B2101="23"),"16212223",IF(OR(B2101="15",B2101="17",B2101="24",B2101="25"),"15172425",B2101))),IF(U2101="CEBAS","UNICO",IF(VALUE(B2101)&lt;=11,"AMBA","INTERIOR"))))</f>
        <v>R03</v>
      </c>
      <c r="W2101" s="38" t="str">
        <f>+IF(U2101="","-",CONCATENATE(U2101,"_",V2101))</f>
        <v>FINES_R03</v>
      </c>
      <c r="X2101" s="42">
        <v>0.48699999999999999</v>
      </c>
    </row>
    <row r="2102" spans="1:24">
      <c r="A2102" s="21" t="s">
        <v>5100</v>
      </c>
      <c r="B2102" t="s">
        <v>1532</v>
      </c>
      <c r="C2102" t="s">
        <v>1530</v>
      </c>
      <c r="D2102" t="s">
        <v>1531</v>
      </c>
      <c r="E2102" s="7" t="s">
        <v>198</v>
      </c>
      <c r="F2102" s="7" t="s">
        <v>198</v>
      </c>
      <c r="G2102" s="7" t="s">
        <v>198</v>
      </c>
      <c r="H2102" s="7" t="s">
        <v>20</v>
      </c>
      <c r="I2102" s="7" t="s">
        <v>5102</v>
      </c>
      <c r="J2102" s="7" t="s">
        <v>21</v>
      </c>
      <c r="L2102" t="s">
        <v>3460</v>
      </c>
      <c r="M2102" s="7" t="s">
        <v>22</v>
      </c>
      <c r="N2102" s="7" t="s">
        <v>23</v>
      </c>
      <c r="O2102" s="7" t="s">
        <v>27</v>
      </c>
      <c r="P2102" s="7" t="s">
        <v>5101</v>
      </c>
      <c r="Q2102" s="26">
        <v>34</v>
      </c>
      <c r="R2102" s="26">
        <v>2</v>
      </c>
      <c r="S2102" s="40">
        <v>1</v>
      </c>
      <c r="T2102" s="7"/>
      <c r="U2102" s="7" t="s">
        <v>2951</v>
      </c>
      <c r="V2102" s="7" t="str">
        <f>+IF(U2102="","",IF(U2102="FINES",CONCATENATE("R",IF(OR(B2102="16",B2102="21",B2102="22",B2102="23"),"16212223",IF(OR(B2102="15",B2102="17",B2102="24",B2102="25"),"15172425",B2102))),IF(U2102="CEBAS","UNICO",IF(VALUE(B2102)&lt;=11,"AMBA","INTERIOR"))))</f>
        <v>R03</v>
      </c>
      <c r="W2102" s="38" t="str">
        <f>+IF(U2102="","-",CONCATENATE(U2102,"_",V2102))</f>
        <v>FINES_R03</v>
      </c>
      <c r="X2102" s="42">
        <v>0.48899999999999999</v>
      </c>
    </row>
    <row r="2103" spans="1:24">
      <c r="A2103" s="21" t="s">
        <v>5100</v>
      </c>
      <c r="B2103" t="s">
        <v>1532</v>
      </c>
      <c r="C2103" t="s">
        <v>1530</v>
      </c>
      <c r="D2103" t="s">
        <v>1531</v>
      </c>
      <c r="E2103" s="7" t="s">
        <v>198</v>
      </c>
      <c r="F2103" s="7" t="s">
        <v>198</v>
      </c>
      <c r="G2103" s="7" t="s">
        <v>198</v>
      </c>
      <c r="H2103" s="7" t="s">
        <v>20</v>
      </c>
      <c r="I2103" s="7" t="s">
        <v>5102</v>
      </c>
      <c r="J2103" s="7" t="s">
        <v>21</v>
      </c>
      <c r="L2103" t="s">
        <v>3331</v>
      </c>
      <c r="M2103" s="7" t="s">
        <v>22</v>
      </c>
      <c r="N2103" s="7" t="s">
        <v>23</v>
      </c>
      <c r="O2103" s="7" t="s">
        <v>27</v>
      </c>
      <c r="P2103" s="7" t="s">
        <v>5101</v>
      </c>
      <c r="Q2103" s="26">
        <v>167</v>
      </c>
      <c r="R2103" s="26">
        <v>6</v>
      </c>
      <c r="S2103" s="40">
        <v>1</v>
      </c>
      <c r="T2103" s="7"/>
      <c r="U2103" s="7" t="s">
        <v>2951</v>
      </c>
      <c r="V2103" s="7" t="str">
        <f>+IF(U2103="","",IF(U2103="FINES",CONCATENATE("R",IF(OR(B2103="16",B2103="21",B2103="22",B2103="23"),"16212223",IF(OR(B2103="15",B2103="17",B2103="24",B2103="25"),"15172425",B2103))),IF(U2103="CEBAS","UNICO",IF(VALUE(B2103)&lt;=11,"AMBA","INTERIOR"))))</f>
        <v>R03</v>
      </c>
      <c r="W2103" s="38" t="str">
        <f>+IF(U2103="","-",CONCATENATE(U2103,"_",V2103))</f>
        <v>FINES_R03</v>
      </c>
      <c r="X2103" s="42">
        <v>0.49399999999999999</v>
      </c>
    </row>
    <row r="2104" spans="1:24">
      <c r="A2104" s="21" t="s">
        <v>5100</v>
      </c>
      <c r="B2104" t="s">
        <v>1532</v>
      </c>
      <c r="C2104" t="s">
        <v>1530</v>
      </c>
      <c r="D2104" t="s">
        <v>1531</v>
      </c>
      <c r="E2104" s="7" t="s">
        <v>198</v>
      </c>
      <c r="F2104" s="7" t="s">
        <v>198</v>
      </c>
      <c r="G2104" s="7" t="s">
        <v>198</v>
      </c>
      <c r="H2104" s="7" t="s">
        <v>20</v>
      </c>
      <c r="I2104" s="7" t="s">
        <v>5102</v>
      </c>
      <c r="J2104" s="7" t="s">
        <v>21</v>
      </c>
      <c r="L2104" t="s">
        <v>3363</v>
      </c>
      <c r="M2104" s="7" t="s">
        <v>22</v>
      </c>
      <c r="N2104" s="7" t="s">
        <v>23</v>
      </c>
      <c r="O2104" s="7" t="s">
        <v>27</v>
      </c>
      <c r="P2104" s="7" t="s">
        <v>5101</v>
      </c>
      <c r="Q2104" s="26">
        <v>77</v>
      </c>
      <c r="R2104" s="26">
        <v>3</v>
      </c>
      <c r="S2104" s="40">
        <v>1</v>
      </c>
      <c r="T2104" s="7"/>
      <c r="U2104" s="7" t="s">
        <v>2951</v>
      </c>
      <c r="V2104" s="7" t="str">
        <f>+IF(U2104="","",IF(U2104="FINES",CONCATENATE("R",IF(OR(B2104="16",B2104="21",B2104="22",B2104="23"),"16212223",IF(OR(B2104="15",B2104="17",B2104="24",B2104="25"),"15172425",B2104))),IF(U2104="CEBAS","UNICO",IF(VALUE(B2104)&lt;=11,"AMBA","INTERIOR"))))</f>
        <v>R03</v>
      </c>
      <c r="W2104" s="38" t="str">
        <f>+IF(U2104="","-",CONCATENATE(U2104,"_",V2104))</f>
        <v>FINES_R03</v>
      </c>
      <c r="X2104" s="42">
        <v>0.499</v>
      </c>
    </row>
    <row r="2105" spans="1:24">
      <c r="A2105" s="21" t="s">
        <v>5100</v>
      </c>
      <c r="B2105" t="s">
        <v>1532</v>
      </c>
      <c r="C2105" t="s">
        <v>1530</v>
      </c>
      <c r="D2105" t="s">
        <v>1531</v>
      </c>
      <c r="E2105" s="7" t="s">
        <v>198</v>
      </c>
      <c r="F2105" s="7" t="s">
        <v>198</v>
      </c>
      <c r="G2105" s="7" t="s">
        <v>198</v>
      </c>
      <c r="H2105" s="7" t="s">
        <v>20</v>
      </c>
      <c r="I2105" s="7" t="s">
        <v>5102</v>
      </c>
      <c r="J2105" s="7" t="s">
        <v>21</v>
      </c>
      <c r="L2105" t="s">
        <v>3335</v>
      </c>
      <c r="M2105" s="7" t="s">
        <v>22</v>
      </c>
      <c r="N2105" s="7" t="s">
        <v>23</v>
      </c>
      <c r="O2105" s="7" t="s">
        <v>27</v>
      </c>
      <c r="P2105" s="7" t="s">
        <v>5101</v>
      </c>
      <c r="Q2105" s="26">
        <v>34</v>
      </c>
      <c r="R2105" s="26">
        <v>3</v>
      </c>
      <c r="S2105" s="40">
        <v>1</v>
      </c>
      <c r="T2105" s="7"/>
      <c r="U2105" s="7" t="s">
        <v>2951</v>
      </c>
      <c r="V2105" s="7" t="str">
        <f>+IF(U2105="","",IF(U2105="FINES",CONCATENATE("R",IF(OR(B2105="16",B2105="21",B2105="22",B2105="23"),"16212223",IF(OR(B2105="15",B2105="17",B2105="24",B2105="25"),"15172425",B2105))),IF(U2105="CEBAS","UNICO",IF(VALUE(B2105)&lt;=11,"AMBA","INTERIOR"))))</f>
        <v>R03</v>
      </c>
      <c r="W2105" s="38" t="str">
        <f>+IF(U2105="","-",CONCATENATE(U2105,"_",V2105))</f>
        <v>FINES_R03</v>
      </c>
      <c r="X2105" s="42">
        <v>0.502</v>
      </c>
    </row>
    <row r="2106" spans="1:24">
      <c r="A2106" s="21" t="s">
        <v>5100</v>
      </c>
      <c r="B2106" t="s">
        <v>1532</v>
      </c>
      <c r="C2106" t="s">
        <v>1530</v>
      </c>
      <c r="D2106" t="s">
        <v>1531</v>
      </c>
      <c r="E2106" s="7" t="s">
        <v>198</v>
      </c>
      <c r="F2106" s="7" t="s">
        <v>198</v>
      </c>
      <c r="G2106" s="7" t="s">
        <v>198</v>
      </c>
      <c r="H2106" s="7" t="s">
        <v>20</v>
      </c>
      <c r="I2106" s="7" t="s">
        <v>5102</v>
      </c>
      <c r="J2106" s="7" t="s">
        <v>21</v>
      </c>
      <c r="L2106" t="s">
        <v>3421</v>
      </c>
      <c r="M2106" s="7" t="s">
        <v>22</v>
      </c>
      <c r="N2106" s="7" t="s">
        <v>23</v>
      </c>
      <c r="O2106" s="7" t="s">
        <v>27</v>
      </c>
      <c r="P2106" s="7" t="s">
        <v>5101</v>
      </c>
      <c r="Q2106" s="26">
        <v>22</v>
      </c>
      <c r="R2106" s="26">
        <v>1</v>
      </c>
      <c r="S2106" s="40">
        <v>1</v>
      </c>
      <c r="T2106" s="7"/>
      <c r="U2106" s="7" t="s">
        <v>2951</v>
      </c>
      <c r="V2106" s="7" t="str">
        <f>+IF(U2106="","",IF(U2106="FINES",CONCATENATE("R",IF(OR(B2106="16",B2106="21",B2106="22",B2106="23"),"16212223",IF(OR(B2106="15",B2106="17",B2106="24",B2106="25"),"15172425",B2106))),IF(U2106="CEBAS","UNICO",IF(VALUE(B2106)&lt;=11,"AMBA","INTERIOR"))))</f>
        <v>R03</v>
      </c>
      <c r="W2106" s="38" t="str">
        <f>+IF(U2106="","-",CONCATENATE(U2106,"_",V2106))</f>
        <v>FINES_R03</v>
      </c>
      <c r="X2106" s="42">
        <v>0.502</v>
      </c>
    </row>
    <row r="2107" spans="1:24">
      <c r="A2107" s="21" t="s">
        <v>5100</v>
      </c>
      <c r="B2107" t="s">
        <v>1532</v>
      </c>
      <c r="C2107" t="s">
        <v>1530</v>
      </c>
      <c r="D2107" t="s">
        <v>1531</v>
      </c>
      <c r="E2107" s="7" t="s">
        <v>198</v>
      </c>
      <c r="F2107" s="7" t="s">
        <v>198</v>
      </c>
      <c r="G2107" s="7" t="s">
        <v>198</v>
      </c>
      <c r="H2107" s="7" t="s">
        <v>20</v>
      </c>
      <c r="I2107" s="7" t="s">
        <v>5102</v>
      </c>
      <c r="J2107" s="7" t="s">
        <v>21</v>
      </c>
      <c r="L2107" t="s">
        <v>3329</v>
      </c>
      <c r="M2107" s="7" t="s">
        <v>22</v>
      </c>
      <c r="N2107" s="7" t="s">
        <v>23</v>
      </c>
      <c r="O2107" s="7" t="s">
        <v>27</v>
      </c>
      <c r="P2107" s="7" t="s">
        <v>5101</v>
      </c>
      <c r="Q2107" s="26">
        <v>195</v>
      </c>
      <c r="R2107" s="26">
        <v>7</v>
      </c>
      <c r="S2107" s="40">
        <v>1</v>
      </c>
      <c r="T2107" s="7"/>
      <c r="U2107" s="7" t="s">
        <v>2951</v>
      </c>
      <c r="V2107" s="7" t="str">
        <f>+IF(U2107="","",IF(U2107="FINES",CONCATENATE("R",IF(OR(B2107="16",B2107="21",B2107="22",B2107="23"),"16212223",IF(OR(B2107="15",B2107="17",B2107="24",B2107="25"),"15172425",B2107))),IF(U2107="CEBAS","UNICO",IF(VALUE(B2107)&lt;=11,"AMBA","INTERIOR"))))</f>
        <v>R03</v>
      </c>
      <c r="W2107" s="38" t="str">
        <f>+IF(U2107="","-",CONCATENATE(U2107,"_",V2107))</f>
        <v>FINES_R03</v>
      </c>
      <c r="X2107" s="42">
        <v>0.503</v>
      </c>
    </row>
    <row r="2108" spans="1:24">
      <c r="A2108" s="21" t="s">
        <v>5100</v>
      </c>
      <c r="B2108" t="s">
        <v>1532</v>
      </c>
      <c r="C2108" t="s">
        <v>1530</v>
      </c>
      <c r="D2108" t="s">
        <v>1531</v>
      </c>
      <c r="E2108" s="7" t="s">
        <v>198</v>
      </c>
      <c r="F2108" s="7" t="s">
        <v>198</v>
      </c>
      <c r="G2108" s="7" t="s">
        <v>198</v>
      </c>
      <c r="H2108" s="7" t="s">
        <v>20</v>
      </c>
      <c r="I2108" s="7" t="s">
        <v>5102</v>
      </c>
      <c r="J2108" s="7" t="s">
        <v>21</v>
      </c>
      <c r="L2108" t="s">
        <v>3317</v>
      </c>
      <c r="M2108" s="7" t="s">
        <v>22</v>
      </c>
      <c r="N2108" s="7" t="s">
        <v>23</v>
      </c>
      <c r="O2108" s="7" t="s">
        <v>27</v>
      </c>
      <c r="P2108" s="7" t="s">
        <v>5101</v>
      </c>
      <c r="Q2108" s="26">
        <v>11</v>
      </c>
      <c r="R2108" s="26">
        <v>1</v>
      </c>
      <c r="S2108" s="40">
        <v>1</v>
      </c>
      <c r="T2108" s="7"/>
      <c r="U2108" s="7" t="s">
        <v>2951</v>
      </c>
      <c r="V2108" s="7" t="str">
        <f>+IF(U2108="","",IF(U2108="FINES",CONCATENATE("R",IF(OR(B2108="16",B2108="21",B2108="22",B2108="23"),"16212223",IF(OR(B2108="15",B2108="17",B2108="24",B2108="25"),"15172425",B2108))),IF(U2108="CEBAS","UNICO",IF(VALUE(B2108)&lt;=11,"AMBA","INTERIOR"))))</f>
        <v>R03</v>
      </c>
      <c r="W2108" s="38" t="str">
        <f>+IF(U2108="","-",CONCATENATE(U2108,"_",V2108))</f>
        <v>FINES_R03</v>
      </c>
      <c r="X2108" s="42">
        <v>0.504</v>
      </c>
    </row>
    <row r="2109" spans="1:24">
      <c r="A2109" s="21" t="s">
        <v>5100</v>
      </c>
      <c r="B2109" t="s">
        <v>1532</v>
      </c>
      <c r="C2109" t="s">
        <v>1530</v>
      </c>
      <c r="D2109" t="s">
        <v>1531</v>
      </c>
      <c r="E2109" s="7" t="s">
        <v>198</v>
      </c>
      <c r="F2109" s="7" t="s">
        <v>198</v>
      </c>
      <c r="G2109" s="7" t="s">
        <v>198</v>
      </c>
      <c r="H2109" s="7" t="s">
        <v>20</v>
      </c>
      <c r="I2109" s="7" t="s">
        <v>5102</v>
      </c>
      <c r="J2109" s="7" t="s">
        <v>21</v>
      </c>
      <c r="L2109" t="s">
        <v>3452</v>
      </c>
      <c r="M2109" s="7" t="s">
        <v>22</v>
      </c>
      <c r="N2109" s="7" t="s">
        <v>23</v>
      </c>
      <c r="O2109" s="7" t="s">
        <v>27</v>
      </c>
      <c r="P2109" s="7" t="s">
        <v>5101</v>
      </c>
      <c r="Q2109" s="26">
        <v>23</v>
      </c>
      <c r="R2109" s="26">
        <v>1</v>
      </c>
      <c r="S2109" s="40">
        <v>1</v>
      </c>
      <c r="T2109" s="7"/>
      <c r="U2109" s="7" t="s">
        <v>2951</v>
      </c>
      <c r="V2109" s="7" t="str">
        <f>+IF(U2109="","",IF(U2109="FINES",CONCATENATE("R",IF(OR(B2109="16",B2109="21",B2109="22",B2109="23"),"16212223",IF(OR(B2109="15",B2109="17",B2109="24",B2109="25"),"15172425",B2109))),IF(U2109="CEBAS","UNICO",IF(VALUE(B2109)&lt;=11,"AMBA","INTERIOR"))))</f>
        <v>R03</v>
      </c>
      <c r="W2109" s="38" t="str">
        <f>+IF(U2109="","-",CONCATENATE(U2109,"_",V2109))</f>
        <v>FINES_R03</v>
      </c>
      <c r="X2109" s="42">
        <v>0.50600000000000001</v>
      </c>
    </row>
    <row r="2110" spans="1:24">
      <c r="A2110" s="21" t="s">
        <v>5100</v>
      </c>
      <c r="B2110" t="s">
        <v>1532</v>
      </c>
      <c r="C2110" t="s">
        <v>1530</v>
      </c>
      <c r="D2110" t="s">
        <v>1531</v>
      </c>
      <c r="E2110" s="7" t="s">
        <v>198</v>
      </c>
      <c r="F2110" s="7" t="s">
        <v>198</v>
      </c>
      <c r="G2110" s="7" t="s">
        <v>198</v>
      </c>
      <c r="H2110" s="7" t="s">
        <v>20</v>
      </c>
      <c r="I2110" s="7" t="s">
        <v>5102</v>
      </c>
      <c r="J2110" s="7" t="s">
        <v>21</v>
      </c>
      <c r="L2110" t="s">
        <v>3440</v>
      </c>
      <c r="M2110" s="7" t="s">
        <v>22</v>
      </c>
      <c r="N2110" s="7" t="s">
        <v>23</v>
      </c>
      <c r="O2110" s="7" t="s">
        <v>27</v>
      </c>
      <c r="P2110" s="7" t="s">
        <v>5101</v>
      </c>
      <c r="Q2110" s="26">
        <v>26</v>
      </c>
      <c r="R2110" s="26">
        <v>1</v>
      </c>
      <c r="S2110" s="40">
        <v>1</v>
      </c>
      <c r="T2110" s="7"/>
      <c r="U2110" s="7" t="s">
        <v>2951</v>
      </c>
      <c r="V2110" s="7" t="str">
        <f>+IF(U2110="","",IF(U2110="FINES",CONCATENATE("R",IF(OR(B2110="16",B2110="21",B2110="22",B2110="23"),"16212223",IF(OR(B2110="15",B2110="17",B2110="24",B2110="25"),"15172425",B2110))),IF(U2110="CEBAS","UNICO",IF(VALUE(B2110)&lt;=11,"AMBA","INTERIOR"))))</f>
        <v>R03</v>
      </c>
      <c r="W2110" s="38" t="str">
        <f>+IF(U2110="","-",CONCATENATE(U2110,"_",V2110))</f>
        <v>FINES_R03</v>
      </c>
      <c r="X2110" s="42">
        <v>0.50900000000000001</v>
      </c>
    </row>
    <row r="2111" spans="1:24">
      <c r="A2111" s="21" t="s">
        <v>5100</v>
      </c>
      <c r="B2111" t="s">
        <v>1532</v>
      </c>
      <c r="C2111" t="s">
        <v>1530</v>
      </c>
      <c r="D2111" t="s">
        <v>1531</v>
      </c>
      <c r="E2111" s="7" t="s">
        <v>198</v>
      </c>
      <c r="F2111" s="7" t="s">
        <v>198</v>
      </c>
      <c r="G2111" s="7" t="s">
        <v>198</v>
      </c>
      <c r="H2111" s="7" t="s">
        <v>20</v>
      </c>
      <c r="I2111" s="7" t="s">
        <v>5102</v>
      </c>
      <c r="J2111" s="7" t="s">
        <v>21</v>
      </c>
      <c r="L2111" t="s">
        <v>3334</v>
      </c>
      <c r="M2111" s="7" t="s">
        <v>22</v>
      </c>
      <c r="N2111" s="7" t="s">
        <v>23</v>
      </c>
      <c r="O2111" s="7" t="s">
        <v>27</v>
      </c>
      <c r="P2111" s="7" t="s">
        <v>5101</v>
      </c>
      <c r="Q2111" s="26">
        <v>19</v>
      </c>
      <c r="R2111" s="26">
        <v>1</v>
      </c>
      <c r="S2111" s="40">
        <v>1</v>
      </c>
      <c r="T2111" s="7"/>
      <c r="U2111" s="7" t="s">
        <v>2951</v>
      </c>
      <c r="V2111" s="7" t="str">
        <f>+IF(U2111="","",IF(U2111="FINES",CONCATENATE("R",IF(OR(B2111="16",B2111="21",B2111="22",B2111="23"),"16212223",IF(OR(B2111="15",B2111="17",B2111="24",B2111="25"),"15172425",B2111))),IF(U2111="CEBAS","UNICO",IF(VALUE(B2111)&lt;=11,"AMBA","INTERIOR"))))</f>
        <v>R03</v>
      </c>
      <c r="W2111" s="38" t="str">
        <f>+IF(U2111="","-",CONCATENATE(U2111,"_",V2111))</f>
        <v>FINES_R03</v>
      </c>
      <c r="X2111" s="42">
        <v>0.50900000000000001</v>
      </c>
    </row>
    <row r="2112" spans="1:24">
      <c r="A2112" s="21" t="s">
        <v>5100</v>
      </c>
      <c r="B2112" t="s">
        <v>1532</v>
      </c>
      <c r="C2112" t="s">
        <v>1530</v>
      </c>
      <c r="D2112" t="s">
        <v>1531</v>
      </c>
      <c r="E2112" s="7" t="s">
        <v>198</v>
      </c>
      <c r="F2112" s="7" t="s">
        <v>198</v>
      </c>
      <c r="G2112" s="7" t="s">
        <v>198</v>
      </c>
      <c r="H2112" s="7" t="s">
        <v>20</v>
      </c>
      <c r="I2112" s="7" t="s">
        <v>5102</v>
      </c>
      <c r="J2112" s="7" t="s">
        <v>21</v>
      </c>
      <c r="L2112" t="s">
        <v>3423</v>
      </c>
      <c r="M2112" s="7" t="s">
        <v>22</v>
      </c>
      <c r="N2112" s="7" t="s">
        <v>23</v>
      </c>
      <c r="O2112" s="7" t="s">
        <v>27</v>
      </c>
      <c r="P2112" s="7" t="s">
        <v>5101</v>
      </c>
      <c r="Q2112" s="26">
        <v>29</v>
      </c>
      <c r="R2112" s="26">
        <v>1</v>
      </c>
      <c r="S2112" s="40">
        <v>1</v>
      </c>
      <c r="T2112" s="7"/>
      <c r="U2112" s="7" t="s">
        <v>2951</v>
      </c>
      <c r="V2112" s="7" t="str">
        <f>+IF(U2112="","",IF(U2112="FINES",CONCATENATE("R",IF(OR(B2112="16",B2112="21",B2112="22",B2112="23"),"16212223",IF(OR(B2112="15",B2112="17",B2112="24",B2112="25"),"15172425",B2112))),IF(U2112="CEBAS","UNICO",IF(VALUE(B2112)&lt;=11,"AMBA","INTERIOR"))))</f>
        <v>R03</v>
      </c>
      <c r="W2112" s="38" t="str">
        <f>+IF(U2112="","-",CONCATENATE(U2112,"_",V2112))</f>
        <v>FINES_R03</v>
      </c>
      <c r="X2112" s="42">
        <v>0.51300000000000001</v>
      </c>
    </row>
    <row r="2113" spans="1:24">
      <c r="A2113" s="21" t="s">
        <v>5100</v>
      </c>
      <c r="B2113" t="s">
        <v>1532</v>
      </c>
      <c r="C2113" t="s">
        <v>1530</v>
      </c>
      <c r="D2113" t="s">
        <v>1531</v>
      </c>
      <c r="E2113" s="7" t="s">
        <v>198</v>
      </c>
      <c r="F2113" s="7" t="s">
        <v>198</v>
      </c>
      <c r="G2113" s="7" t="s">
        <v>198</v>
      </c>
      <c r="H2113" s="7" t="s">
        <v>20</v>
      </c>
      <c r="I2113" s="7" t="s">
        <v>5102</v>
      </c>
      <c r="J2113" s="7" t="s">
        <v>21</v>
      </c>
      <c r="L2113" t="s">
        <v>3407</v>
      </c>
      <c r="M2113" s="7" t="s">
        <v>22</v>
      </c>
      <c r="N2113" s="7" t="s">
        <v>23</v>
      </c>
      <c r="O2113" s="7" t="s">
        <v>27</v>
      </c>
      <c r="P2113" s="7" t="s">
        <v>5101</v>
      </c>
      <c r="Q2113" s="26">
        <v>15</v>
      </c>
      <c r="R2113" s="26">
        <v>1</v>
      </c>
      <c r="S2113" s="40">
        <v>1</v>
      </c>
      <c r="T2113" s="7"/>
      <c r="U2113" s="7" t="s">
        <v>2951</v>
      </c>
      <c r="V2113" s="7" t="str">
        <f>+IF(U2113="","",IF(U2113="FINES",CONCATENATE("R",IF(OR(B2113="16",B2113="21",B2113="22",B2113="23"),"16212223",IF(OR(B2113="15",B2113="17",B2113="24",B2113="25"),"15172425",B2113))),IF(U2113="CEBAS","UNICO",IF(VALUE(B2113)&lt;=11,"AMBA","INTERIOR"))))</f>
        <v>R03</v>
      </c>
      <c r="W2113" s="38" t="str">
        <f>+IF(U2113="","-",CONCATENATE(U2113,"_",V2113))</f>
        <v>FINES_R03</v>
      </c>
      <c r="X2113" s="42">
        <v>0.51400000000000001</v>
      </c>
    </row>
    <row r="2114" spans="1:24">
      <c r="A2114" s="21" t="s">
        <v>5100</v>
      </c>
      <c r="B2114" t="s">
        <v>1532</v>
      </c>
      <c r="C2114" t="s">
        <v>1530</v>
      </c>
      <c r="D2114" t="s">
        <v>1531</v>
      </c>
      <c r="E2114" s="7" t="s">
        <v>198</v>
      </c>
      <c r="F2114" s="7" t="s">
        <v>198</v>
      </c>
      <c r="G2114" s="7" t="s">
        <v>198</v>
      </c>
      <c r="H2114" s="7" t="s">
        <v>20</v>
      </c>
      <c r="I2114" s="7" t="s">
        <v>5102</v>
      </c>
      <c r="J2114" s="7" t="s">
        <v>21</v>
      </c>
      <c r="L2114" t="s">
        <v>3332</v>
      </c>
      <c r="M2114" s="7" t="s">
        <v>22</v>
      </c>
      <c r="N2114" s="7" t="s">
        <v>23</v>
      </c>
      <c r="O2114" s="7" t="s">
        <v>27</v>
      </c>
      <c r="P2114" s="7" t="s">
        <v>5101</v>
      </c>
      <c r="Q2114" s="26">
        <v>86</v>
      </c>
      <c r="R2114" s="26">
        <v>4</v>
      </c>
      <c r="S2114" s="40">
        <v>1</v>
      </c>
      <c r="T2114" s="7"/>
      <c r="U2114" s="7" t="s">
        <v>2951</v>
      </c>
      <c r="V2114" s="7" t="str">
        <f>+IF(U2114="","",IF(U2114="FINES",CONCATENATE("R",IF(OR(B2114="16",B2114="21",B2114="22",B2114="23"),"16212223",IF(OR(B2114="15",B2114="17",B2114="24",B2114="25"),"15172425",B2114))),IF(U2114="CEBAS","UNICO",IF(VALUE(B2114)&lt;=11,"AMBA","INTERIOR"))))</f>
        <v>R03</v>
      </c>
      <c r="W2114" s="38" t="str">
        <f>+IF(U2114="","-",CONCATENATE(U2114,"_",V2114))</f>
        <v>FINES_R03</v>
      </c>
      <c r="X2114" s="42">
        <v>0.51900000000000002</v>
      </c>
    </row>
    <row r="2115" spans="1:24">
      <c r="A2115" s="21" t="s">
        <v>5100</v>
      </c>
      <c r="B2115" t="s">
        <v>1532</v>
      </c>
      <c r="C2115" t="s">
        <v>1530</v>
      </c>
      <c r="D2115" t="s">
        <v>1531</v>
      </c>
      <c r="E2115" s="7" t="s">
        <v>198</v>
      </c>
      <c r="F2115" s="7" t="s">
        <v>198</v>
      </c>
      <c r="G2115" s="7" t="s">
        <v>198</v>
      </c>
      <c r="H2115" s="7" t="s">
        <v>20</v>
      </c>
      <c r="I2115" s="7" t="s">
        <v>5102</v>
      </c>
      <c r="J2115" s="7" t="s">
        <v>21</v>
      </c>
      <c r="L2115" t="s">
        <v>3325</v>
      </c>
      <c r="M2115" s="7" t="s">
        <v>22</v>
      </c>
      <c r="N2115" s="7" t="s">
        <v>23</v>
      </c>
      <c r="O2115" s="7" t="s">
        <v>27</v>
      </c>
      <c r="P2115" s="7" t="s">
        <v>5101</v>
      </c>
      <c r="Q2115" s="26">
        <v>33</v>
      </c>
      <c r="R2115" s="26">
        <v>2</v>
      </c>
      <c r="S2115" s="40">
        <v>1</v>
      </c>
      <c r="T2115" s="7"/>
      <c r="U2115" s="7" t="s">
        <v>2951</v>
      </c>
      <c r="V2115" s="7" t="str">
        <f>+IF(U2115="","",IF(U2115="FINES",CONCATENATE("R",IF(OR(B2115="16",B2115="21",B2115="22",B2115="23"),"16212223",IF(OR(B2115="15",B2115="17",B2115="24",B2115="25"),"15172425",B2115))),IF(U2115="CEBAS","UNICO",IF(VALUE(B2115)&lt;=11,"AMBA","INTERIOR"))))</f>
        <v>R03</v>
      </c>
      <c r="W2115" s="38" t="str">
        <f>+IF(U2115="","-",CONCATENATE(U2115,"_",V2115))</f>
        <v>FINES_R03</v>
      </c>
      <c r="X2115" s="42">
        <v>0.52</v>
      </c>
    </row>
    <row r="2116" spans="1:24">
      <c r="A2116" s="21" t="s">
        <v>5100</v>
      </c>
      <c r="B2116" t="s">
        <v>1532</v>
      </c>
      <c r="C2116" t="s">
        <v>1530</v>
      </c>
      <c r="D2116" t="s">
        <v>1531</v>
      </c>
      <c r="E2116" s="7" t="s">
        <v>198</v>
      </c>
      <c r="F2116" s="7" t="s">
        <v>198</v>
      </c>
      <c r="G2116" s="7" t="s">
        <v>198</v>
      </c>
      <c r="H2116" s="7" t="s">
        <v>20</v>
      </c>
      <c r="I2116" s="7" t="s">
        <v>5102</v>
      </c>
      <c r="J2116" s="7" t="s">
        <v>21</v>
      </c>
      <c r="L2116" t="s">
        <v>3529</v>
      </c>
      <c r="M2116" s="7" t="s">
        <v>22</v>
      </c>
      <c r="N2116" s="7" t="s">
        <v>23</v>
      </c>
      <c r="O2116" s="7" t="s">
        <v>27</v>
      </c>
      <c r="P2116" s="7" t="s">
        <v>5101</v>
      </c>
      <c r="Q2116" s="26">
        <v>116</v>
      </c>
      <c r="R2116" s="26">
        <v>4</v>
      </c>
      <c r="S2116" s="40">
        <v>1</v>
      </c>
      <c r="T2116" s="7"/>
      <c r="U2116" s="7" t="s">
        <v>2951</v>
      </c>
      <c r="V2116" s="7" t="str">
        <f>+IF(U2116="","",IF(U2116="FINES",CONCATENATE("R",IF(OR(B2116="16",B2116="21",B2116="22",B2116="23"),"16212223",IF(OR(B2116="15",B2116="17",B2116="24",B2116="25"),"15172425",B2116))),IF(U2116="CEBAS","UNICO",IF(VALUE(B2116)&lt;=11,"AMBA","INTERIOR"))))</f>
        <v>R03</v>
      </c>
      <c r="W2116" s="38" t="str">
        <f>+IF(U2116="","-",CONCATENATE(U2116,"_",V2116))</f>
        <v>FINES_R03</v>
      </c>
      <c r="X2116" s="42">
        <v>0.52100000000000002</v>
      </c>
    </row>
    <row r="2117" spans="1:24">
      <c r="A2117" s="21" t="s">
        <v>5100</v>
      </c>
      <c r="B2117" t="s">
        <v>1532</v>
      </c>
      <c r="C2117" t="s">
        <v>1530</v>
      </c>
      <c r="D2117" t="s">
        <v>1531</v>
      </c>
      <c r="E2117" s="7" t="s">
        <v>198</v>
      </c>
      <c r="F2117" s="7" t="s">
        <v>198</v>
      </c>
      <c r="G2117" s="7" t="s">
        <v>198</v>
      </c>
      <c r="H2117" s="7" t="s">
        <v>20</v>
      </c>
      <c r="I2117" s="7" t="s">
        <v>5102</v>
      </c>
      <c r="J2117" s="7" t="s">
        <v>21</v>
      </c>
      <c r="L2117" t="s">
        <v>3354</v>
      </c>
      <c r="M2117" s="7" t="s">
        <v>22</v>
      </c>
      <c r="N2117" s="7" t="s">
        <v>23</v>
      </c>
      <c r="O2117" s="7" t="s">
        <v>27</v>
      </c>
      <c r="P2117" s="7" t="s">
        <v>5101</v>
      </c>
      <c r="Q2117" s="26">
        <v>26</v>
      </c>
      <c r="R2117" s="26">
        <v>1</v>
      </c>
      <c r="S2117" s="40">
        <v>1</v>
      </c>
      <c r="T2117" s="7"/>
      <c r="U2117" s="7" t="s">
        <v>2951</v>
      </c>
      <c r="V2117" s="7" t="str">
        <f>+IF(U2117="","",IF(U2117="FINES",CONCATENATE("R",IF(OR(B2117="16",B2117="21",B2117="22",B2117="23"),"16212223",IF(OR(B2117="15",B2117="17",B2117="24",B2117="25"),"15172425",B2117))),IF(U2117="CEBAS","UNICO",IF(VALUE(B2117)&lt;=11,"AMBA","INTERIOR"))))</f>
        <v>R03</v>
      </c>
      <c r="W2117" s="38" t="str">
        <f>+IF(U2117="","-",CONCATENATE(U2117,"_",V2117))</f>
        <v>FINES_R03</v>
      </c>
      <c r="X2117" s="42">
        <v>0.52600000000000002</v>
      </c>
    </row>
    <row r="2118" spans="1:24">
      <c r="A2118" s="21" t="s">
        <v>5100</v>
      </c>
      <c r="B2118" t="s">
        <v>1532</v>
      </c>
      <c r="C2118" t="s">
        <v>1530</v>
      </c>
      <c r="D2118" t="s">
        <v>1531</v>
      </c>
      <c r="E2118" s="7" t="s">
        <v>198</v>
      </c>
      <c r="F2118" s="7" t="s">
        <v>198</v>
      </c>
      <c r="G2118" s="7" t="s">
        <v>198</v>
      </c>
      <c r="H2118" s="7" t="s">
        <v>20</v>
      </c>
      <c r="I2118" s="7" t="s">
        <v>5102</v>
      </c>
      <c r="J2118" s="7" t="s">
        <v>21</v>
      </c>
      <c r="L2118" t="s">
        <v>3468</v>
      </c>
      <c r="M2118" s="7" t="s">
        <v>22</v>
      </c>
      <c r="N2118" s="7" t="s">
        <v>23</v>
      </c>
      <c r="O2118" s="7" t="s">
        <v>27</v>
      </c>
      <c r="P2118" s="7" t="s">
        <v>5101</v>
      </c>
      <c r="Q2118" s="26">
        <v>9</v>
      </c>
      <c r="R2118" s="26">
        <v>1</v>
      </c>
      <c r="S2118" s="40">
        <v>1</v>
      </c>
      <c r="T2118" s="7"/>
      <c r="U2118" s="7" t="s">
        <v>2951</v>
      </c>
      <c r="V2118" s="7" t="str">
        <f>+IF(U2118="","",IF(U2118="FINES",CONCATENATE("R",IF(OR(B2118="16",B2118="21",B2118="22",B2118="23"),"16212223",IF(OR(B2118="15",B2118="17",B2118="24",B2118="25"),"15172425",B2118))),IF(U2118="CEBAS","UNICO",IF(VALUE(B2118)&lt;=11,"AMBA","INTERIOR"))))</f>
        <v>R03</v>
      </c>
      <c r="W2118" s="38" t="str">
        <f>+IF(U2118="","-",CONCATENATE(U2118,"_",V2118))</f>
        <v>FINES_R03</v>
      </c>
      <c r="X2118" s="42">
        <v>0.52600000000000002</v>
      </c>
    </row>
    <row r="2119" spans="1:24">
      <c r="A2119" s="21" t="s">
        <v>5100</v>
      </c>
      <c r="B2119" t="s">
        <v>1532</v>
      </c>
      <c r="C2119" t="s">
        <v>1530</v>
      </c>
      <c r="D2119" t="s">
        <v>1531</v>
      </c>
      <c r="E2119" s="7" t="s">
        <v>198</v>
      </c>
      <c r="F2119" s="7" t="s">
        <v>198</v>
      </c>
      <c r="G2119" s="7" t="s">
        <v>198</v>
      </c>
      <c r="H2119" s="7" t="s">
        <v>20</v>
      </c>
      <c r="I2119" s="7" t="s">
        <v>5102</v>
      </c>
      <c r="J2119" s="7" t="s">
        <v>21</v>
      </c>
      <c r="L2119" t="s">
        <v>3514</v>
      </c>
      <c r="M2119" s="7" t="s">
        <v>22</v>
      </c>
      <c r="N2119" s="7" t="s">
        <v>23</v>
      </c>
      <c r="O2119" s="7" t="s">
        <v>27</v>
      </c>
      <c r="P2119" s="7" t="s">
        <v>5101</v>
      </c>
      <c r="Q2119" s="26">
        <v>55</v>
      </c>
      <c r="R2119" s="26">
        <v>2</v>
      </c>
      <c r="S2119" s="40">
        <v>1</v>
      </c>
      <c r="T2119" s="7"/>
      <c r="U2119" s="7" t="s">
        <v>2951</v>
      </c>
      <c r="V2119" s="7" t="str">
        <f>+IF(U2119="","",IF(U2119="FINES",CONCATENATE("R",IF(OR(B2119="16",B2119="21",B2119="22",B2119="23"),"16212223",IF(OR(B2119="15",B2119="17",B2119="24",B2119="25"),"15172425",B2119))),IF(U2119="CEBAS","UNICO",IF(VALUE(B2119)&lt;=11,"AMBA","INTERIOR"))))</f>
        <v>R03</v>
      </c>
      <c r="W2119" s="38" t="str">
        <f>+IF(U2119="","-",CONCATENATE(U2119,"_",V2119))</f>
        <v>FINES_R03</v>
      </c>
      <c r="X2119" s="42">
        <v>0.53500000000000003</v>
      </c>
    </row>
    <row r="2120" spans="1:24">
      <c r="A2120" s="21" t="s">
        <v>5100</v>
      </c>
      <c r="B2120" t="s">
        <v>1532</v>
      </c>
      <c r="C2120" t="s">
        <v>1530</v>
      </c>
      <c r="D2120" t="s">
        <v>1531</v>
      </c>
      <c r="E2120" s="7" t="s">
        <v>198</v>
      </c>
      <c r="F2120" s="7" t="s">
        <v>198</v>
      </c>
      <c r="G2120" s="7" t="s">
        <v>198</v>
      </c>
      <c r="H2120" s="7" t="s">
        <v>20</v>
      </c>
      <c r="I2120" s="7" t="s">
        <v>5102</v>
      </c>
      <c r="J2120" s="7" t="s">
        <v>21</v>
      </c>
      <c r="L2120" t="s">
        <v>3322</v>
      </c>
      <c r="M2120" s="7" t="s">
        <v>22</v>
      </c>
      <c r="N2120" s="7" t="s">
        <v>23</v>
      </c>
      <c r="O2120" s="7" t="s">
        <v>27</v>
      </c>
      <c r="P2120" s="7" t="s">
        <v>5101</v>
      </c>
      <c r="Q2120" s="26">
        <v>40</v>
      </c>
      <c r="R2120" s="26">
        <v>2</v>
      </c>
      <c r="S2120" s="40">
        <v>1</v>
      </c>
      <c r="T2120" s="7"/>
      <c r="U2120" s="7" t="s">
        <v>2951</v>
      </c>
      <c r="V2120" s="7" t="str">
        <f>+IF(U2120="","",IF(U2120="FINES",CONCATENATE("R",IF(OR(B2120="16",B2120="21",B2120="22",B2120="23"),"16212223",IF(OR(B2120="15",B2120="17",B2120="24",B2120="25"),"15172425",B2120))),IF(U2120="CEBAS","UNICO",IF(VALUE(B2120)&lt;=11,"AMBA","INTERIOR"))))</f>
        <v>R03</v>
      </c>
      <c r="W2120" s="38" t="str">
        <f>+IF(U2120="","-",CONCATENATE(U2120,"_",V2120))</f>
        <v>FINES_R03</v>
      </c>
      <c r="X2120" s="42">
        <v>0.54</v>
      </c>
    </row>
    <row r="2121" spans="1:24">
      <c r="A2121" s="21" t="s">
        <v>5100</v>
      </c>
      <c r="B2121" t="s">
        <v>1532</v>
      </c>
      <c r="C2121" t="s">
        <v>1530</v>
      </c>
      <c r="D2121" t="s">
        <v>1531</v>
      </c>
      <c r="E2121" s="7" t="s">
        <v>198</v>
      </c>
      <c r="F2121" s="7" t="s">
        <v>198</v>
      </c>
      <c r="G2121" s="7" t="s">
        <v>198</v>
      </c>
      <c r="H2121" s="7" t="s">
        <v>20</v>
      </c>
      <c r="I2121" s="7" t="s">
        <v>5102</v>
      </c>
      <c r="J2121" s="7" t="s">
        <v>21</v>
      </c>
      <c r="L2121" t="s">
        <v>3412</v>
      </c>
      <c r="M2121" s="7" t="s">
        <v>22</v>
      </c>
      <c r="N2121" s="7" t="s">
        <v>23</v>
      </c>
      <c r="O2121" s="7" t="s">
        <v>27</v>
      </c>
      <c r="P2121" s="7" t="s">
        <v>5101</v>
      </c>
      <c r="Q2121" s="26">
        <v>26</v>
      </c>
      <c r="R2121" s="26">
        <v>1</v>
      </c>
      <c r="S2121" s="40">
        <v>1</v>
      </c>
      <c r="T2121" s="7"/>
      <c r="U2121" s="7" t="s">
        <v>2951</v>
      </c>
      <c r="V2121" s="7" t="str">
        <f>+IF(U2121="","",IF(U2121="FINES",CONCATENATE("R",IF(OR(B2121="16",B2121="21",B2121="22",B2121="23"),"16212223",IF(OR(B2121="15",B2121="17",B2121="24",B2121="25"),"15172425",B2121))),IF(U2121="CEBAS","UNICO",IF(VALUE(B2121)&lt;=11,"AMBA","INTERIOR"))))</f>
        <v>R03</v>
      </c>
      <c r="W2121" s="38" t="str">
        <f>+IF(U2121="","-",CONCATENATE(U2121,"_",V2121))</f>
        <v>FINES_R03</v>
      </c>
      <c r="X2121" s="42">
        <v>0.54</v>
      </c>
    </row>
    <row r="2122" spans="1:24">
      <c r="A2122" s="21" t="s">
        <v>5100</v>
      </c>
      <c r="B2122" t="s">
        <v>1532</v>
      </c>
      <c r="C2122" t="s">
        <v>1530</v>
      </c>
      <c r="D2122" t="s">
        <v>1531</v>
      </c>
      <c r="E2122" s="7" t="s">
        <v>198</v>
      </c>
      <c r="F2122" s="7" t="s">
        <v>198</v>
      </c>
      <c r="G2122" s="7" t="s">
        <v>198</v>
      </c>
      <c r="H2122" s="7" t="s">
        <v>20</v>
      </c>
      <c r="I2122" s="7" t="s">
        <v>5102</v>
      </c>
      <c r="J2122" s="7" t="s">
        <v>21</v>
      </c>
      <c r="L2122">
        <v>504</v>
      </c>
      <c r="M2122" s="7" t="s">
        <v>22</v>
      </c>
      <c r="N2122" s="7" t="s">
        <v>23</v>
      </c>
      <c r="O2122" s="7" t="s">
        <v>27</v>
      </c>
      <c r="P2122" s="7" t="s">
        <v>5101</v>
      </c>
      <c r="Q2122" s="26">
        <v>27</v>
      </c>
      <c r="R2122" s="26">
        <v>1</v>
      </c>
      <c r="S2122" s="40">
        <v>1</v>
      </c>
      <c r="T2122" s="7"/>
      <c r="U2122" s="7" t="s">
        <v>2951</v>
      </c>
      <c r="V2122" s="7" t="str">
        <f>+IF(U2122="","",IF(U2122="FINES",CONCATENATE("R",IF(OR(B2122="16",B2122="21",B2122="22",B2122="23"),"16212223",IF(OR(B2122="15",B2122="17",B2122="24",B2122="25"),"15172425",B2122))),IF(U2122="CEBAS","UNICO",IF(VALUE(B2122)&lt;=11,"AMBA","INTERIOR"))))</f>
        <v>R03</v>
      </c>
      <c r="W2122" s="38" t="str">
        <f>+IF(U2122="","-",CONCATENATE(U2122,"_",V2122))</f>
        <v>FINES_R03</v>
      </c>
      <c r="X2122" s="42">
        <v>0.54100000000000004</v>
      </c>
    </row>
    <row r="2123" spans="1:24">
      <c r="A2123" s="21" t="s">
        <v>5100</v>
      </c>
      <c r="B2123" t="s">
        <v>1532</v>
      </c>
      <c r="C2123" t="s">
        <v>1530</v>
      </c>
      <c r="D2123" t="s">
        <v>1531</v>
      </c>
      <c r="E2123" s="7" t="s">
        <v>198</v>
      </c>
      <c r="F2123" s="7" t="s">
        <v>198</v>
      </c>
      <c r="G2123" s="7" t="s">
        <v>198</v>
      </c>
      <c r="H2123" s="7" t="s">
        <v>20</v>
      </c>
      <c r="I2123" s="7" t="s">
        <v>5102</v>
      </c>
      <c r="J2123" s="7" t="s">
        <v>21</v>
      </c>
      <c r="L2123" t="s">
        <v>3404</v>
      </c>
      <c r="M2123" s="7" t="s">
        <v>22</v>
      </c>
      <c r="N2123" s="7" t="s">
        <v>23</v>
      </c>
      <c r="O2123" s="7" t="s">
        <v>27</v>
      </c>
      <c r="P2123" s="7" t="s">
        <v>5101</v>
      </c>
      <c r="Q2123" s="26">
        <v>21</v>
      </c>
      <c r="R2123" s="26">
        <v>1</v>
      </c>
      <c r="S2123" s="40">
        <v>1</v>
      </c>
      <c r="T2123" s="7"/>
      <c r="U2123" s="7" t="s">
        <v>2951</v>
      </c>
      <c r="V2123" s="7" t="str">
        <f>+IF(U2123="","",IF(U2123="FINES",CONCATENATE("R",IF(OR(B2123="16",B2123="21",B2123="22",B2123="23"),"16212223",IF(OR(B2123="15",B2123="17",B2123="24",B2123="25"),"15172425",B2123))),IF(U2123="CEBAS","UNICO",IF(VALUE(B2123)&lt;=11,"AMBA","INTERIOR"))))</f>
        <v>R03</v>
      </c>
      <c r="W2123" s="38" t="str">
        <f>+IF(U2123="","-",CONCATENATE(U2123,"_",V2123))</f>
        <v>FINES_R03</v>
      </c>
      <c r="X2123" s="42">
        <v>0.54600000000000004</v>
      </c>
    </row>
    <row r="2124" spans="1:24">
      <c r="A2124" s="21" t="s">
        <v>5100</v>
      </c>
      <c r="B2124" t="s">
        <v>1532</v>
      </c>
      <c r="C2124" t="s">
        <v>1530</v>
      </c>
      <c r="D2124" t="s">
        <v>1531</v>
      </c>
      <c r="E2124" s="7" t="s">
        <v>198</v>
      </c>
      <c r="F2124" s="7" t="s">
        <v>198</v>
      </c>
      <c r="G2124" s="7" t="s">
        <v>198</v>
      </c>
      <c r="H2124" s="7" t="s">
        <v>20</v>
      </c>
      <c r="I2124" s="7" t="s">
        <v>5102</v>
      </c>
      <c r="J2124" s="7" t="s">
        <v>21</v>
      </c>
      <c r="L2124" t="s">
        <v>3453</v>
      </c>
      <c r="M2124" s="7" t="s">
        <v>22</v>
      </c>
      <c r="N2124" s="7" t="s">
        <v>23</v>
      </c>
      <c r="O2124" s="7" t="s">
        <v>27</v>
      </c>
      <c r="P2124" s="7" t="s">
        <v>5101</v>
      </c>
      <c r="Q2124" s="26">
        <v>39</v>
      </c>
      <c r="R2124" s="26">
        <v>2</v>
      </c>
      <c r="S2124" s="40">
        <v>1</v>
      </c>
      <c r="T2124" s="7"/>
      <c r="U2124" s="7" t="s">
        <v>2951</v>
      </c>
      <c r="V2124" s="7" t="str">
        <f>+IF(U2124="","",IF(U2124="FINES",CONCATENATE("R",IF(OR(B2124="16",B2124="21",B2124="22",B2124="23"),"16212223",IF(OR(B2124="15",B2124="17",B2124="24",B2124="25"),"15172425",B2124))),IF(U2124="CEBAS","UNICO",IF(VALUE(B2124)&lt;=11,"AMBA","INTERIOR"))))</f>
        <v>R03</v>
      </c>
      <c r="W2124" s="38" t="str">
        <f>+IF(U2124="","-",CONCATENATE(U2124,"_",V2124))</f>
        <v>FINES_R03</v>
      </c>
      <c r="X2124" s="42">
        <v>0.55900000000000005</v>
      </c>
    </row>
    <row r="2125" spans="1:24">
      <c r="A2125" s="21" t="s">
        <v>5100</v>
      </c>
      <c r="B2125" t="s">
        <v>1532</v>
      </c>
      <c r="C2125" t="s">
        <v>1530</v>
      </c>
      <c r="D2125" t="s">
        <v>1531</v>
      </c>
      <c r="E2125" s="7" t="s">
        <v>198</v>
      </c>
      <c r="F2125" s="7" t="s">
        <v>198</v>
      </c>
      <c r="G2125" s="7" t="s">
        <v>198</v>
      </c>
      <c r="H2125" s="7" t="s">
        <v>20</v>
      </c>
      <c r="I2125" s="7" t="s">
        <v>5102</v>
      </c>
      <c r="J2125" s="7" t="s">
        <v>21</v>
      </c>
      <c r="L2125" t="s">
        <v>3389</v>
      </c>
      <c r="M2125" s="7" t="s">
        <v>22</v>
      </c>
      <c r="N2125" s="7" t="s">
        <v>23</v>
      </c>
      <c r="O2125" s="7" t="s">
        <v>27</v>
      </c>
      <c r="P2125" s="7" t="s">
        <v>5101</v>
      </c>
      <c r="Q2125" s="26">
        <v>46</v>
      </c>
      <c r="R2125" s="26">
        <v>2</v>
      </c>
      <c r="S2125" s="40">
        <v>1</v>
      </c>
      <c r="T2125" s="7"/>
      <c r="U2125" s="7" t="s">
        <v>2951</v>
      </c>
      <c r="V2125" s="7" t="str">
        <f>+IF(U2125="","",IF(U2125="FINES",CONCATENATE("R",IF(OR(B2125="16",B2125="21",B2125="22",B2125="23"),"16212223",IF(OR(B2125="15",B2125="17",B2125="24",B2125="25"),"15172425",B2125))),IF(U2125="CEBAS","UNICO",IF(VALUE(B2125)&lt;=11,"AMBA","INTERIOR"))))</f>
        <v>R03</v>
      </c>
      <c r="W2125" s="38" t="str">
        <f>+IF(U2125="","-",CONCATENATE(U2125,"_",V2125))</f>
        <v>FINES_R03</v>
      </c>
      <c r="X2125" s="42">
        <v>0.55900000000000005</v>
      </c>
    </row>
    <row r="2126" spans="1:24">
      <c r="A2126" s="21" t="s">
        <v>5100</v>
      </c>
      <c r="B2126" t="s">
        <v>1532</v>
      </c>
      <c r="C2126" t="s">
        <v>1530</v>
      </c>
      <c r="D2126" t="s">
        <v>1531</v>
      </c>
      <c r="E2126" s="7" t="s">
        <v>198</v>
      </c>
      <c r="F2126" s="7" t="s">
        <v>198</v>
      </c>
      <c r="G2126" s="7" t="s">
        <v>198</v>
      </c>
      <c r="H2126" s="7" t="s">
        <v>20</v>
      </c>
      <c r="I2126" s="7" t="s">
        <v>5102</v>
      </c>
      <c r="J2126" s="7" t="s">
        <v>21</v>
      </c>
      <c r="L2126" t="s">
        <v>3391</v>
      </c>
      <c r="M2126" s="7" t="s">
        <v>22</v>
      </c>
      <c r="N2126" s="7" t="s">
        <v>23</v>
      </c>
      <c r="O2126" s="7" t="s">
        <v>27</v>
      </c>
      <c r="P2126" s="7" t="s">
        <v>5101</v>
      </c>
      <c r="Q2126" s="26">
        <v>44</v>
      </c>
      <c r="R2126" s="26">
        <v>2</v>
      </c>
      <c r="S2126" s="40">
        <v>1</v>
      </c>
      <c r="T2126" s="7"/>
      <c r="U2126" s="7" t="s">
        <v>2951</v>
      </c>
      <c r="V2126" s="7" t="str">
        <f>+IF(U2126="","",IF(U2126="FINES",CONCATENATE("R",IF(OR(B2126="16",B2126="21",B2126="22",B2126="23"),"16212223",IF(OR(B2126="15",B2126="17",B2126="24",B2126="25"),"15172425",B2126))),IF(U2126="CEBAS","UNICO",IF(VALUE(B2126)&lt;=11,"AMBA","INTERIOR"))))</f>
        <v>R03</v>
      </c>
      <c r="W2126" s="38" t="str">
        <f>+IF(U2126="","-",CONCATENATE(U2126,"_",V2126))</f>
        <v>FINES_R03</v>
      </c>
      <c r="X2126" s="42">
        <v>0.56200000000000006</v>
      </c>
    </row>
    <row r="2127" spans="1:24">
      <c r="A2127" s="21" t="s">
        <v>5100</v>
      </c>
      <c r="B2127" t="s">
        <v>1532</v>
      </c>
      <c r="C2127" t="s">
        <v>1530</v>
      </c>
      <c r="D2127" t="s">
        <v>1531</v>
      </c>
      <c r="E2127" s="7" t="s">
        <v>198</v>
      </c>
      <c r="F2127" s="7" t="s">
        <v>198</v>
      </c>
      <c r="G2127" s="7" t="s">
        <v>198</v>
      </c>
      <c r="H2127" s="7" t="s">
        <v>20</v>
      </c>
      <c r="I2127" s="7" t="s">
        <v>5102</v>
      </c>
      <c r="J2127" s="7" t="s">
        <v>21</v>
      </c>
      <c r="L2127" t="s">
        <v>3442</v>
      </c>
      <c r="M2127" s="7" t="s">
        <v>22</v>
      </c>
      <c r="N2127" s="7" t="s">
        <v>23</v>
      </c>
      <c r="O2127" s="7" t="s">
        <v>27</v>
      </c>
      <c r="P2127" s="7" t="s">
        <v>5101</v>
      </c>
      <c r="Q2127" s="26">
        <v>16</v>
      </c>
      <c r="R2127" s="26">
        <v>1</v>
      </c>
      <c r="S2127" s="40">
        <v>1</v>
      </c>
      <c r="T2127" s="7"/>
      <c r="U2127" s="7" t="s">
        <v>2951</v>
      </c>
      <c r="V2127" s="7" t="str">
        <f>+IF(U2127="","",IF(U2127="FINES",CONCATENATE("R",IF(OR(B2127="16",B2127="21",B2127="22",B2127="23"),"16212223",IF(OR(B2127="15",B2127="17",B2127="24",B2127="25"),"15172425",B2127))),IF(U2127="CEBAS","UNICO",IF(VALUE(B2127)&lt;=11,"AMBA","INTERIOR"))))</f>
        <v>R03</v>
      </c>
      <c r="W2127" s="38" t="str">
        <f>+IF(U2127="","-",CONCATENATE(U2127,"_",V2127))</f>
        <v>FINES_R03</v>
      </c>
      <c r="X2127" s="42">
        <v>0.59199999999999997</v>
      </c>
    </row>
    <row r="2128" spans="1:24">
      <c r="A2128" s="21" t="s">
        <v>5100</v>
      </c>
      <c r="B2128" t="s">
        <v>1532</v>
      </c>
      <c r="C2128" t="s">
        <v>1530</v>
      </c>
      <c r="D2128" t="s">
        <v>1531</v>
      </c>
      <c r="E2128" s="7" t="s">
        <v>198</v>
      </c>
      <c r="F2128" s="7" t="s">
        <v>198</v>
      </c>
      <c r="G2128" s="7" t="s">
        <v>198</v>
      </c>
      <c r="H2128" s="7" t="s">
        <v>20</v>
      </c>
      <c r="I2128" s="7" t="s">
        <v>5102</v>
      </c>
      <c r="J2128" s="7" t="s">
        <v>21</v>
      </c>
      <c r="L2128" t="s">
        <v>3522</v>
      </c>
      <c r="M2128" s="7" t="s">
        <v>22</v>
      </c>
      <c r="N2128" s="7" t="s">
        <v>23</v>
      </c>
      <c r="O2128" s="7" t="s">
        <v>27</v>
      </c>
      <c r="P2128" s="7" t="s">
        <v>5101</v>
      </c>
      <c r="Q2128" s="26">
        <v>22</v>
      </c>
      <c r="R2128" s="26">
        <v>1</v>
      </c>
      <c r="S2128" s="40">
        <v>1</v>
      </c>
      <c r="T2128" s="7"/>
      <c r="U2128" s="7" t="s">
        <v>2951</v>
      </c>
      <c r="V2128" s="7" t="str">
        <f>+IF(U2128="","",IF(U2128="FINES",CONCATENATE("R",IF(OR(B2128="16",B2128="21",B2128="22",B2128="23"),"16212223",IF(OR(B2128="15",B2128="17",B2128="24",B2128="25"),"15172425",B2128))),IF(U2128="CEBAS","UNICO",IF(VALUE(B2128)&lt;=11,"AMBA","INTERIOR"))))</f>
        <v>R03</v>
      </c>
      <c r="W2128" s="38" t="str">
        <f>+IF(U2128="","-",CONCATENATE(U2128,"_",V2128))</f>
        <v>FINES_R03</v>
      </c>
      <c r="X2128" s="42">
        <v>0.59599999999999997</v>
      </c>
    </row>
    <row r="2129" spans="1:24">
      <c r="A2129" s="21" t="s">
        <v>5100</v>
      </c>
      <c r="B2129" t="s">
        <v>1532</v>
      </c>
      <c r="C2129" t="s">
        <v>1530</v>
      </c>
      <c r="D2129" t="s">
        <v>1531</v>
      </c>
      <c r="E2129" s="7" t="s">
        <v>198</v>
      </c>
      <c r="F2129" s="7" t="s">
        <v>198</v>
      </c>
      <c r="G2129" s="7" t="s">
        <v>198</v>
      </c>
      <c r="H2129" s="7" t="s">
        <v>20</v>
      </c>
      <c r="I2129" s="7" t="s">
        <v>5102</v>
      </c>
      <c r="J2129" s="7" t="s">
        <v>21</v>
      </c>
      <c r="L2129" t="s">
        <v>3318</v>
      </c>
      <c r="M2129" s="7" t="s">
        <v>22</v>
      </c>
      <c r="N2129" s="7" t="s">
        <v>23</v>
      </c>
      <c r="O2129" s="7" t="s">
        <v>27</v>
      </c>
      <c r="P2129" s="7" t="s">
        <v>5101</v>
      </c>
      <c r="Q2129" s="26">
        <v>82</v>
      </c>
      <c r="R2129" s="26">
        <v>3</v>
      </c>
      <c r="S2129" s="40">
        <v>1</v>
      </c>
      <c r="T2129" s="7"/>
      <c r="U2129" s="7" t="s">
        <v>2951</v>
      </c>
      <c r="V2129" s="7" t="str">
        <f>+IF(U2129="","",IF(U2129="FINES",CONCATENATE("R",IF(OR(B2129="16",B2129="21",B2129="22",B2129="23"),"16212223",IF(OR(B2129="15",B2129="17",B2129="24",B2129="25"),"15172425",B2129))),IF(U2129="CEBAS","UNICO",IF(VALUE(B2129)&lt;=11,"AMBA","INTERIOR"))))</f>
        <v>R03</v>
      </c>
      <c r="W2129" s="38" t="str">
        <f>+IF(U2129="","-",CONCATENATE(U2129,"_",V2129))</f>
        <v>FINES_R03</v>
      </c>
      <c r="X2129" s="42">
        <v>0.6</v>
      </c>
    </row>
    <row r="2130" spans="1:24">
      <c r="A2130" s="21" t="s">
        <v>5100</v>
      </c>
      <c r="B2130" t="s">
        <v>1532</v>
      </c>
      <c r="C2130" t="s">
        <v>1530</v>
      </c>
      <c r="D2130" t="s">
        <v>1531</v>
      </c>
      <c r="E2130" s="7" t="s">
        <v>198</v>
      </c>
      <c r="F2130" s="7" t="s">
        <v>198</v>
      </c>
      <c r="G2130" s="7" t="s">
        <v>198</v>
      </c>
      <c r="H2130" s="7" t="s">
        <v>20</v>
      </c>
      <c r="I2130" s="7" t="s">
        <v>5102</v>
      </c>
      <c r="J2130" s="7" t="s">
        <v>21</v>
      </c>
      <c r="L2130" t="s">
        <v>3521</v>
      </c>
      <c r="M2130" s="7" t="s">
        <v>22</v>
      </c>
      <c r="N2130" s="7" t="s">
        <v>23</v>
      </c>
      <c r="O2130" s="7" t="s">
        <v>27</v>
      </c>
      <c r="P2130" s="7" t="s">
        <v>5101</v>
      </c>
      <c r="Q2130" s="26">
        <v>44</v>
      </c>
      <c r="R2130" s="26">
        <v>2</v>
      </c>
      <c r="S2130" s="40">
        <v>1</v>
      </c>
      <c r="T2130" s="7"/>
      <c r="U2130" s="7" t="s">
        <v>2951</v>
      </c>
      <c r="V2130" s="7" t="str">
        <f>+IF(U2130="","",IF(U2130="FINES",CONCATENATE("R",IF(OR(B2130="16",B2130="21",B2130="22",B2130="23"),"16212223",IF(OR(B2130="15",B2130="17",B2130="24",B2130="25"),"15172425",B2130))),IF(U2130="CEBAS","UNICO",IF(VALUE(B2130)&lt;=11,"AMBA","INTERIOR"))))</f>
        <v>R03</v>
      </c>
      <c r="W2130" s="38" t="str">
        <f>+IF(U2130="","-",CONCATENATE(U2130,"_",V2130))</f>
        <v>FINES_R03</v>
      </c>
      <c r="X2130" s="42">
        <v>0.60299999999999998</v>
      </c>
    </row>
    <row r="2131" spans="1:24">
      <c r="A2131" s="21" t="s">
        <v>5100</v>
      </c>
      <c r="B2131" t="s">
        <v>1532</v>
      </c>
      <c r="C2131" t="s">
        <v>1530</v>
      </c>
      <c r="D2131" t="s">
        <v>1531</v>
      </c>
      <c r="E2131" s="7" t="s">
        <v>198</v>
      </c>
      <c r="F2131" s="7" t="s">
        <v>198</v>
      </c>
      <c r="G2131" s="7" t="s">
        <v>198</v>
      </c>
      <c r="H2131" s="7" t="s">
        <v>20</v>
      </c>
      <c r="I2131" s="7" t="s">
        <v>5102</v>
      </c>
      <c r="J2131" s="7" t="s">
        <v>21</v>
      </c>
      <c r="L2131" t="s">
        <v>3473</v>
      </c>
      <c r="M2131" s="7" t="s">
        <v>22</v>
      </c>
      <c r="N2131" s="7" t="s">
        <v>23</v>
      </c>
      <c r="O2131" s="7" t="s">
        <v>27</v>
      </c>
      <c r="P2131" s="7" t="s">
        <v>5101</v>
      </c>
      <c r="Q2131" s="26">
        <v>12</v>
      </c>
      <c r="R2131" s="26">
        <v>1</v>
      </c>
      <c r="S2131" s="40">
        <v>1</v>
      </c>
      <c r="T2131" s="7"/>
      <c r="U2131" s="7" t="s">
        <v>2951</v>
      </c>
      <c r="V2131" s="7" t="str">
        <f>+IF(U2131="","",IF(U2131="FINES",CONCATENATE("R",IF(OR(B2131="16",B2131="21",B2131="22",B2131="23"),"16212223",IF(OR(B2131="15",B2131="17",B2131="24",B2131="25"),"15172425",B2131))),IF(U2131="CEBAS","UNICO",IF(VALUE(B2131)&lt;=11,"AMBA","INTERIOR"))))</f>
        <v>R03</v>
      </c>
      <c r="W2131" s="38" t="str">
        <f>+IF(U2131="","-",CONCATENATE(U2131,"_",V2131))</f>
        <v>FINES_R03</v>
      </c>
      <c r="X2131" s="42">
        <v>0.60399999999999998</v>
      </c>
    </row>
    <row r="2132" spans="1:24">
      <c r="A2132" s="21" t="s">
        <v>5100</v>
      </c>
      <c r="B2132" t="s">
        <v>1532</v>
      </c>
      <c r="C2132" t="s">
        <v>1530</v>
      </c>
      <c r="D2132" t="s">
        <v>1531</v>
      </c>
      <c r="E2132" s="7" t="s">
        <v>198</v>
      </c>
      <c r="F2132" s="7" t="s">
        <v>198</v>
      </c>
      <c r="G2132" s="7" t="s">
        <v>198</v>
      </c>
      <c r="H2132" s="7" t="s">
        <v>20</v>
      </c>
      <c r="I2132" s="7" t="s">
        <v>5102</v>
      </c>
      <c r="J2132" s="7" t="s">
        <v>21</v>
      </c>
      <c r="L2132" t="s">
        <v>3465</v>
      </c>
      <c r="M2132" s="7" t="s">
        <v>22</v>
      </c>
      <c r="N2132" s="7" t="s">
        <v>23</v>
      </c>
      <c r="O2132" s="7" t="s">
        <v>27</v>
      </c>
      <c r="P2132" s="7" t="s">
        <v>5101</v>
      </c>
      <c r="Q2132" s="26">
        <v>22</v>
      </c>
      <c r="R2132" s="26">
        <v>1</v>
      </c>
      <c r="S2132" s="40">
        <v>1</v>
      </c>
      <c r="T2132" s="7"/>
      <c r="U2132" s="7" t="s">
        <v>2951</v>
      </c>
      <c r="V2132" s="7" t="str">
        <f>+IF(U2132="","",IF(U2132="FINES",CONCATENATE("R",IF(OR(B2132="16",B2132="21",B2132="22",B2132="23"),"16212223",IF(OR(B2132="15",B2132="17",B2132="24",B2132="25"),"15172425",B2132))),IF(U2132="CEBAS","UNICO",IF(VALUE(B2132)&lt;=11,"AMBA","INTERIOR"))))</f>
        <v>R03</v>
      </c>
      <c r="W2132" s="38" t="str">
        <f>+IF(U2132="","-",CONCATENATE(U2132,"_",V2132))</f>
        <v>FINES_R03</v>
      </c>
      <c r="X2132" s="42">
        <v>0.60599999999999998</v>
      </c>
    </row>
    <row r="2133" spans="1:24">
      <c r="A2133" s="21" t="s">
        <v>5100</v>
      </c>
      <c r="B2133" t="s">
        <v>1532</v>
      </c>
      <c r="C2133" t="s">
        <v>1530</v>
      </c>
      <c r="D2133" t="s">
        <v>1531</v>
      </c>
      <c r="E2133" s="7" t="s">
        <v>198</v>
      </c>
      <c r="F2133" s="7" t="s">
        <v>198</v>
      </c>
      <c r="G2133" s="7" t="s">
        <v>198</v>
      </c>
      <c r="H2133" s="7" t="s">
        <v>20</v>
      </c>
      <c r="I2133" s="7" t="s">
        <v>5102</v>
      </c>
      <c r="J2133" s="7" t="s">
        <v>21</v>
      </c>
      <c r="L2133" t="s">
        <v>3441</v>
      </c>
      <c r="M2133" s="7" t="s">
        <v>22</v>
      </c>
      <c r="N2133" s="7" t="s">
        <v>23</v>
      </c>
      <c r="O2133" s="7" t="s">
        <v>27</v>
      </c>
      <c r="P2133" s="7" t="s">
        <v>5101</v>
      </c>
      <c r="Q2133" s="26">
        <v>27</v>
      </c>
      <c r="R2133" s="26">
        <v>1</v>
      </c>
      <c r="S2133" s="40">
        <v>1</v>
      </c>
      <c r="T2133" s="7"/>
      <c r="U2133" s="7" t="s">
        <v>2951</v>
      </c>
      <c r="V2133" s="7" t="str">
        <f>+IF(U2133="","",IF(U2133="FINES",CONCATENATE("R",IF(OR(B2133="16",B2133="21",B2133="22",B2133="23"),"16212223",IF(OR(B2133="15",B2133="17",B2133="24",B2133="25"),"15172425",B2133))),IF(U2133="CEBAS","UNICO",IF(VALUE(B2133)&lt;=11,"AMBA","INTERIOR"))))</f>
        <v>R03</v>
      </c>
      <c r="W2133" s="38" t="str">
        <f>+IF(U2133="","-",CONCATENATE(U2133,"_",V2133))</f>
        <v>FINES_R03</v>
      </c>
      <c r="X2133" s="42">
        <v>0.60799999999999998</v>
      </c>
    </row>
    <row r="2134" spans="1:24">
      <c r="A2134" s="21" t="s">
        <v>5100</v>
      </c>
      <c r="B2134" t="s">
        <v>1532</v>
      </c>
      <c r="C2134" t="s">
        <v>1530</v>
      </c>
      <c r="D2134" t="s">
        <v>1531</v>
      </c>
      <c r="E2134" s="7" t="s">
        <v>198</v>
      </c>
      <c r="F2134" s="7" t="s">
        <v>198</v>
      </c>
      <c r="G2134" s="7" t="s">
        <v>198</v>
      </c>
      <c r="H2134" s="7" t="s">
        <v>20</v>
      </c>
      <c r="I2134" s="7" t="s">
        <v>5102</v>
      </c>
      <c r="J2134" s="7" t="s">
        <v>21</v>
      </c>
      <c r="L2134" t="s">
        <v>3352</v>
      </c>
      <c r="M2134" s="7" t="s">
        <v>22</v>
      </c>
      <c r="N2134" s="7" t="s">
        <v>23</v>
      </c>
      <c r="O2134" s="7" t="s">
        <v>27</v>
      </c>
      <c r="P2134" s="7" t="s">
        <v>5101</v>
      </c>
      <c r="Q2134" s="26">
        <v>58</v>
      </c>
      <c r="R2134" s="26">
        <v>2</v>
      </c>
      <c r="S2134" s="40">
        <v>1</v>
      </c>
      <c r="T2134" s="7"/>
      <c r="U2134" s="7" t="s">
        <v>2951</v>
      </c>
      <c r="V2134" s="7" t="str">
        <f>+IF(U2134="","",IF(U2134="FINES",CONCATENATE("R",IF(OR(B2134="16",B2134="21",B2134="22",B2134="23"),"16212223",IF(OR(B2134="15",B2134="17",B2134="24",B2134="25"),"15172425",B2134))),IF(U2134="CEBAS","UNICO",IF(VALUE(B2134)&lt;=11,"AMBA","INTERIOR"))))</f>
        <v>R03</v>
      </c>
      <c r="W2134" s="38" t="str">
        <f>+IF(U2134="","-",CONCATENATE(U2134,"_",V2134))</f>
        <v>FINES_R03</v>
      </c>
      <c r="X2134" s="42">
        <v>0.61099999999999999</v>
      </c>
    </row>
    <row r="2135" spans="1:24">
      <c r="A2135" s="21" t="s">
        <v>5100</v>
      </c>
      <c r="B2135" t="s">
        <v>1532</v>
      </c>
      <c r="C2135" t="s">
        <v>1530</v>
      </c>
      <c r="D2135" t="s">
        <v>1531</v>
      </c>
      <c r="E2135" s="7" t="s">
        <v>198</v>
      </c>
      <c r="F2135" s="7" t="s">
        <v>198</v>
      </c>
      <c r="G2135" s="7" t="s">
        <v>198</v>
      </c>
      <c r="H2135" s="7" t="s">
        <v>20</v>
      </c>
      <c r="I2135" s="7" t="s">
        <v>5102</v>
      </c>
      <c r="J2135" s="7" t="s">
        <v>21</v>
      </c>
      <c r="L2135" t="s">
        <v>2276</v>
      </c>
      <c r="M2135" s="7" t="s">
        <v>22</v>
      </c>
      <c r="N2135" s="7" t="s">
        <v>23</v>
      </c>
      <c r="O2135" s="7" t="s">
        <v>27</v>
      </c>
      <c r="P2135" s="7" t="s">
        <v>5101</v>
      </c>
      <c r="Q2135" s="26">
        <v>20</v>
      </c>
      <c r="R2135" s="26">
        <v>1</v>
      </c>
      <c r="S2135" s="40">
        <v>1</v>
      </c>
      <c r="T2135" s="7"/>
      <c r="U2135" s="7" t="s">
        <v>2951</v>
      </c>
      <c r="V2135" s="7" t="str">
        <f>+IF(U2135="","",IF(U2135="FINES",CONCATENATE("R",IF(OR(B2135="16",B2135="21",B2135="22",B2135="23"),"16212223",IF(OR(B2135="15",B2135="17",B2135="24",B2135="25"),"15172425",B2135))),IF(U2135="CEBAS","UNICO",IF(VALUE(B2135)&lt;=11,"AMBA","INTERIOR"))))</f>
        <v>R03</v>
      </c>
      <c r="W2135" s="38" t="str">
        <f>+IF(U2135="","-",CONCATENATE(U2135,"_",V2135))</f>
        <v>FINES_R03</v>
      </c>
      <c r="X2135" s="42">
        <v>0.61199999999999999</v>
      </c>
    </row>
    <row r="2136" spans="1:24">
      <c r="A2136" s="21" t="s">
        <v>5100</v>
      </c>
      <c r="B2136" t="s">
        <v>1532</v>
      </c>
      <c r="C2136" t="s">
        <v>1530</v>
      </c>
      <c r="D2136" t="s">
        <v>1531</v>
      </c>
      <c r="E2136" s="7" t="s">
        <v>198</v>
      </c>
      <c r="F2136" s="7" t="s">
        <v>198</v>
      </c>
      <c r="G2136" s="7" t="s">
        <v>198</v>
      </c>
      <c r="H2136" s="7" t="s">
        <v>20</v>
      </c>
      <c r="I2136" s="7" t="s">
        <v>5102</v>
      </c>
      <c r="J2136" s="7" t="s">
        <v>21</v>
      </c>
      <c r="L2136" t="s">
        <v>1464</v>
      </c>
      <c r="M2136" s="7" t="s">
        <v>22</v>
      </c>
      <c r="N2136" s="7" t="s">
        <v>23</v>
      </c>
      <c r="O2136" s="7" t="s">
        <v>27</v>
      </c>
      <c r="P2136" s="7" t="s">
        <v>5101</v>
      </c>
      <c r="Q2136" s="26">
        <v>65</v>
      </c>
      <c r="R2136" s="26">
        <v>3</v>
      </c>
      <c r="S2136" s="40">
        <v>1</v>
      </c>
      <c r="T2136" s="7"/>
      <c r="U2136" s="7" t="s">
        <v>2951</v>
      </c>
      <c r="V2136" s="7" t="str">
        <f>+IF(U2136="","",IF(U2136="FINES",CONCATENATE("R",IF(OR(B2136="16",B2136="21",B2136="22",B2136="23"),"16212223",IF(OR(B2136="15",B2136="17",B2136="24",B2136="25"),"15172425",B2136))),IF(U2136="CEBAS","UNICO",IF(VALUE(B2136)&lt;=11,"AMBA","INTERIOR"))))</f>
        <v>R03</v>
      </c>
      <c r="W2136" s="38" t="str">
        <f>+IF(U2136="","-",CONCATENATE(U2136,"_",V2136))</f>
        <v>FINES_R03</v>
      </c>
      <c r="X2136" s="42">
        <v>0.61299999999999999</v>
      </c>
    </row>
    <row r="2137" spans="1:24">
      <c r="A2137" s="21" t="s">
        <v>5100</v>
      </c>
      <c r="B2137" t="s">
        <v>1532</v>
      </c>
      <c r="C2137" t="s">
        <v>1530</v>
      </c>
      <c r="D2137" t="s">
        <v>1531</v>
      </c>
      <c r="E2137" s="7" t="s">
        <v>198</v>
      </c>
      <c r="F2137" s="7" t="s">
        <v>198</v>
      </c>
      <c r="G2137" s="7" t="s">
        <v>198</v>
      </c>
      <c r="H2137" s="7" t="s">
        <v>20</v>
      </c>
      <c r="I2137" s="7" t="s">
        <v>5102</v>
      </c>
      <c r="J2137" s="7" t="s">
        <v>21</v>
      </c>
      <c r="L2137" t="s">
        <v>3379</v>
      </c>
      <c r="M2137" s="7" t="s">
        <v>22</v>
      </c>
      <c r="N2137" s="7" t="s">
        <v>23</v>
      </c>
      <c r="O2137" s="7" t="s">
        <v>27</v>
      </c>
      <c r="P2137" s="7" t="s">
        <v>5101</v>
      </c>
      <c r="Q2137" s="26">
        <v>16</v>
      </c>
      <c r="R2137" s="26">
        <v>1</v>
      </c>
      <c r="S2137" s="40">
        <v>1</v>
      </c>
      <c r="T2137" s="7"/>
      <c r="U2137" s="7" t="s">
        <v>2951</v>
      </c>
      <c r="V2137" s="7" t="str">
        <f>+IF(U2137="","",IF(U2137="FINES",CONCATENATE("R",IF(OR(B2137="16",B2137="21",B2137="22",B2137="23"),"16212223",IF(OR(B2137="15",B2137="17",B2137="24",B2137="25"),"15172425",B2137))),IF(U2137="CEBAS","UNICO",IF(VALUE(B2137)&lt;=11,"AMBA","INTERIOR"))))</f>
        <v>R03</v>
      </c>
      <c r="W2137" s="38" t="str">
        <f>+IF(U2137="","-",CONCATENATE(U2137,"_",V2137))</f>
        <v>FINES_R03</v>
      </c>
      <c r="X2137" s="42">
        <v>0.621</v>
      </c>
    </row>
    <row r="2138" spans="1:24">
      <c r="A2138" s="21" t="s">
        <v>5100</v>
      </c>
      <c r="B2138" t="s">
        <v>1532</v>
      </c>
      <c r="C2138" t="s">
        <v>1530</v>
      </c>
      <c r="D2138" t="s">
        <v>1531</v>
      </c>
      <c r="E2138" s="7" t="s">
        <v>198</v>
      </c>
      <c r="F2138" s="7" t="s">
        <v>198</v>
      </c>
      <c r="G2138" s="7" t="s">
        <v>198</v>
      </c>
      <c r="H2138" s="7" t="s">
        <v>20</v>
      </c>
      <c r="I2138" s="7" t="s">
        <v>5102</v>
      </c>
      <c r="J2138" s="7" t="s">
        <v>21</v>
      </c>
      <c r="L2138" t="s">
        <v>3415</v>
      </c>
      <c r="M2138" s="7" t="s">
        <v>22</v>
      </c>
      <c r="N2138" s="7" t="s">
        <v>23</v>
      </c>
      <c r="O2138" s="7" t="s">
        <v>27</v>
      </c>
      <c r="P2138" s="7" t="s">
        <v>5101</v>
      </c>
      <c r="Q2138" s="26">
        <v>106</v>
      </c>
      <c r="R2138" s="26">
        <v>4</v>
      </c>
      <c r="S2138" s="40">
        <v>1</v>
      </c>
      <c r="T2138" s="7"/>
      <c r="U2138" s="7" t="s">
        <v>2951</v>
      </c>
      <c r="V2138" s="7" t="str">
        <f>+IF(U2138="","",IF(U2138="FINES",CONCATENATE("R",IF(OR(B2138="16",B2138="21",B2138="22",B2138="23"),"16212223",IF(OR(B2138="15",B2138="17",B2138="24",B2138="25"),"15172425",B2138))),IF(U2138="CEBAS","UNICO",IF(VALUE(B2138)&lt;=11,"AMBA","INTERIOR"))))</f>
        <v>R03</v>
      </c>
      <c r="W2138" s="38" t="str">
        <f>+IF(U2138="","-",CONCATENATE(U2138,"_",V2138))</f>
        <v>FINES_R03</v>
      </c>
      <c r="X2138" s="42">
        <v>0.622</v>
      </c>
    </row>
    <row r="2139" spans="1:24">
      <c r="A2139" s="21" t="s">
        <v>5100</v>
      </c>
      <c r="B2139" t="s">
        <v>1532</v>
      </c>
      <c r="C2139" t="s">
        <v>1530</v>
      </c>
      <c r="D2139" t="s">
        <v>1531</v>
      </c>
      <c r="E2139" s="7" t="s">
        <v>198</v>
      </c>
      <c r="F2139" s="7" t="s">
        <v>198</v>
      </c>
      <c r="G2139" s="7" t="s">
        <v>198</v>
      </c>
      <c r="H2139" s="7" t="s">
        <v>20</v>
      </c>
      <c r="I2139" s="7" t="s">
        <v>5102</v>
      </c>
      <c r="J2139" s="7" t="s">
        <v>21</v>
      </c>
      <c r="L2139" t="s">
        <v>3390</v>
      </c>
      <c r="M2139" s="7" t="s">
        <v>22</v>
      </c>
      <c r="N2139" s="7" t="s">
        <v>23</v>
      </c>
      <c r="O2139" s="7" t="s">
        <v>27</v>
      </c>
      <c r="P2139" s="7" t="s">
        <v>5101</v>
      </c>
      <c r="Q2139" s="26">
        <v>96</v>
      </c>
      <c r="R2139" s="26">
        <v>3</v>
      </c>
      <c r="S2139" s="40">
        <v>1</v>
      </c>
      <c r="T2139" s="7"/>
      <c r="U2139" s="7" t="s">
        <v>2951</v>
      </c>
      <c r="V2139" s="7" t="str">
        <f>+IF(U2139="","",IF(U2139="FINES",CONCATENATE("R",IF(OR(B2139="16",B2139="21",B2139="22",B2139="23"),"16212223",IF(OR(B2139="15",B2139="17",B2139="24",B2139="25"),"15172425",B2139))),IF(U2139="CEBAS","UNICO",IF(VALUE(B2139)&lt;=11,"AMBA","INTERIOR"))))</f>
        <v>R03</v>
      </c>
      <c r="W2139" s="38" t="str">
        <f>+IF(U2139="","-",CONCATENATE(U2139,"_",V2139))</f>
        <v>FINES_R03</v>
      </c>
      <c r="X2139" s="42">
        <v>0.626</v>
      </c>
    </row>
    <row r="2140" spans="1:24">
      <c r="A2140" s="21" t="s">
        <v>5100</v>
      </c>
      <c r="B2140" t="s">
        <v>1532</v>
      </c>
      <c r="C2140" t="s">
        <v>1530</v>
      </c>
      <c r="D2140" t="s">
        <v>1531</v>
      </c>
      <c r="E2140" s="7" t="s">
        <v>198</v>
      </c>
      <c r="F2140" s="7" t="s">
        <v>198</v>
      </c>
      <c r="G2140" s="7" t="s">
        <v>198</v>
      </c>
      <c r="H2140" s="7" t="s">
        <v>20</v>
      </c>
      <c r="I2140" s="7" t="s">
        <v>5102</v>
      </c>
      <c r="J2140" s="7" t="s">
        <v>21</v>
      </c>
      <c r="L2140" t="s">
        <v>3383</v>
      </c>
      <c r="M2140" s="7" t="s">
        <v>22</v>
      </c>
      <c r="N2140" s="7" t="s">
        <v>23</v>
      </c>
      <c r="O2140" s="7" t="s">
        <v>27</v>
      </c>
      <c r="P2140" s="7" t="s">
        <v>5101</v>
      </c>
      <c r="Q2140" s="26">
        <v>64</v>
      </c>
      <c r="R2140" s="26">
        <v>2</v>
      </c>
      <c r="S2140" s="40">
        <v>1</v>
      </c>
      <c r="T2140" s="7"/>
      <c r="U2140" s="7" t="s">
        <v>2951</v>
      </c>
      <c r="V2140" s="7" t="str">
        <f>+IF(U2140="","",IF(U2140="FINES",CONCATENATE("R",IF(OR(B2140="16",B2140="21",B2140="22",B2140="23"),"16212223",IF(OR(B2140="15",B2140="17",B2140="24",B2140="25"),"15172425",B2140))),IF(U2140="CEBAS","UNICO",IF(VALUE(B2140)&lt;=11,"AMBA","INTERIOR"))))</f>
        <v>R03</v>
      </c>
      <c r="W2140" s="38" t="str">
        <f>+IF(U2140="","-",CONCATENATE(U2140,"_",V2140))</f>
        <v>FINES_R03</v>
      </c>
      <c r="X2140" s="42">
        <v>0.627</v>
      </c>
    </row>
    <row r="2141" spans="1:24">
      <c r="A2141" s="21" t="s">
        <v>5100</v>
      </c>
      <c r="B2141" t="s">
        <v>1532</v>
      </c>
      <c r="C2141" t="s">
        <v>1530</v>
      </c>
      <c r="D2141" t="s">
        <v>1531</v>
      </c>
      <c r="E2141" s="7" t="s">
        <v>198</v>
      </c>
      <c r="F2141" s="7" t="s">
        <v>198</v>
      </c>
      <c r="G2141" s="7" t="s">
        <v>198</v>
      </c>
      <c r="H2141" s="7" t="s">
        <v>20</v>
      </c>
      <c r="I2141" s="7" t="s">
        <v>5102</v>
      </c>
      <c r="J2141" s="7" t="s">
        <v>21</v>
      </c>
      <c r="L2141" t="s">
        <v>3536</v>
      </c>
      <c r="M2141" s="7" t="s">
        <v>22</v>
      </c>
      <c r="N2141" s="7" t="s">
        <v>23</v>
      </c>
      <c r="O2141" s="7" t="s">
        <v>27</v>
      </c>
      <c r="P2141" s="7" t="s">
        <v>5101</v>
      </c>
      <c r="Q2141" s="26">
        <v>77</v>
      </c>
      <c r="R2141" s="26">
        <v>3</v>
      </c>
      <c r="S2141" s="40">
        <v>1</v>
      </c>
      <c r="T2141" s="7"/>
      <c r="U2141" s="7" t="s">
        <v>2951</v>
      </c>
      <c r="V2141" s="7" t="str">
        <f>+IF(U2141="","",IF(U2141="FINES",CONCATENATE("R",IF(OR(B2141="16",B2141="21",B2141="22",B2141="23"),"16212223",IF(OR(B2141="15",B2141="17",B2141="24",B2141="25"),"15172425",B2141))),IF(U2141="CEBAS","UNICO",IF(VALUE(B2141)&lt;=11,"AMBA","INTERIOR"))))</f>
        <v>R03</v>
      </c>
      <c r="W2141" s="38" t="str">
        <f>+IF(U2141="","-",CONCATENATE(U2141,"_",V2141))</f>
        <v>FINES_R03</v>
      </c>
      <c r="X2141" s="42">
        <v>0.629</v>
      </c>
    </row>
    <row r="2142" spans="1:24">
      <c r="A2142" s="21" t="s">
        <v>5100</v>
      </c>
      <c r="B2142" t="s">
        <v>1532</v>
      </c>
      <c r="C2142" t="s">
        <v>1530</v>
      </c>
      <c r="D2142" t="s">
        <v>1531</v>
      </c>
      <c r="E2142" s="7" t="s">
        <v>198</v>
      </c>
      <c r="F2142" s="7" t="s">
        <v>198</v>
      </c>
      <c r="G2142" s="7" t="s">
        <v>198</v>
      </c>
      <c r="H2142" s="7" t="s">
        <v>20</v>
      </c>
      <c r="I2142" s="7" t="s">
        <v>5102</v>
      </c>
      <c r="J2142" s="7" t="s">
        <v>21</v>
      </c>
      <c r="L2142" t="s">
        <v>3503</v>
      </c>
      <c r="M2142" s="7" t="s">
        <v>22</v>
      </c>
      <c r="N2142" s="7" t="s">
        <v>23</v>
      </c>
      <c r="O2142" s="7" t="s">
        <v>27</v>
      </c>
      <c r="P2142" s="7" t="s">
        <v>5101</v>
      </c>
      <c r="Q2142" s="26">
        <v>21</v>
      </c>
      <c r="R2142" s="26">
        <v>1</v>
      </c>
      <c r="S2142" s="40">
        <v>1</v>
      </c>
      <c r="T2142" s="7"/>
      <c r="U2142" s="7" t="s">
        <v>2951</v>
      </c>
      <c r="V2142" s="7" t="str">
        <f>+IF(U2142="","",IF(U2142="FINES",CONCATENATE("R",IF(OR(B2142="16",B2142="21",B2142="22",B2142="23"),"16212223",IF(OR(B2142="15",B2142="17",B2142="24",B2142="25"),"15172425",B2142))),IF(U2142="CEBAS","UNICO",IF(VALUE(B2142)&lt;=11,"AMBA","INTERIOR"))))</f>
        <v>R03</v>
      </c>
      <c r="W2142" s="38" t="str">
        <f>+IF(U2142="","-",CONCATENATE(U2142,"_",V2142))</f>
        <v>FINES_R03</v>
      </c>
      <c r="X2142" s="42">
        <v>0.63200000000000001</v>
      </c>
    </row>
    <row r="2143" spans="1:24">
      <c r="A2143" s="21" t="s">
        <v>5100</v>
      </c>
      <c r="B2143" t="s">
        <v>1532</v>
      </c>
      <c r="C2143" t="s">
        <v>1530</v>
      </c>
      <c r="D2143" t="s">
        <v>1531</v>
      </c>
      <c r="E2143" s="7" t="s">
        <v>198</v>
      </c>
      <c r="F2143" s="7" t="s">
        <v>198</v>
      </c>
      <c r="G2143" s="7" t="s">
        <v>198</v>
      </c>
      <c r="H2143" s="7" t="s">
        <v>20</v>
      </c>
      <c r="I2143" s="7" t="s">
        <v>5102</v>
      </c>
      <c r="J2143" s="7" t="s">
        <v>21</v>
      </c>
      <c r="L2143" t="s">
        <v>3342</v>
      </c>
      <c r="M2143" s="7" t="s">
        <v>22</v>
      </c>
      <c r="N2143" s="7" t="s">
        <v>23</v>
      </c>
      <c r="O2143" s="7" t="s">
        <v>27</v>
      </c>
      <c r="P2143" s="7" t="s">
        <v>5101</v>
      </c>
      <c r="Q2143" s="26">
        <v>29</v>
      </c>
      <c r="R2143" s="26">
        <v>1</v>
      </c>
      <c r="S2143" s="40">
        <v>1</v>
      </c>
      <c r="T2143" s="7"/>
      <c r="U2143" s="7" t="s">
        <v>2951</v>
      </c>
      <c r="V2143" s="7" t="str">
        <f>+IF(U2143="","",IF(U2143="FINES",CONCATENATE("R",IF(OR(B2143="16",B2143="21",B2143="22",B2143="23"),"16212223",IF(OR(B2143="15",B2143="17",B2143="24",B2143="25"),"15172425",B2143))),IF(U2143="CEBAS","UNICO",IF(VALUE(B2143)&lt;=11,"AMBA","INTERIOR"))))</f>
        <v>R03</v>
      </c>
      <c r="W2143" s="38" t="str">
        <f>+IF(U2143="","-",CONCATENATE(U2143,"_",V2143))</f>
        <v>FINES_R03</v>
      </c>
      <c r="X2143" s="42">
        <v>0.64200000000000002</v>
      </c>
    </row>
    <row r="2144" spans="1:24">
      <c r="A2144" s="21" t="s">
        <v>5100</v>
      </c>
      <c r="B2144" t="s">
        <v>1532</v>
      </c>
      <c r="C2144" t="s">
        <v>1530</v>
      </c>
      <c r="D2144" t="s">
        <v>1531</v>
      </c>
      <c r="E2144" s="7" t="s">
        <v>198</v>
      </c>
      <c r="F2144" s="7" t="s">
        <v>198</v>
      </c>
      <c r="G2144" s="7" t="s">
        <v>198</v>
      </c>
      <c r="H2144" s="7" t="s">
        <v>20</v>
      </c>
      <c r="I2144" s="7" t="s">
        <v>5102</v>
      </c>
      <c r="J2144" s="7" t="s">
        <v>21</v>
      </c>
      <c r="L2144" t="s">
        <v>3542</v>
      </c>
      <c r="M2144" s="7" t="s">
        <v>22</v>
      </c>
      <c r="N2144" s="7" t="s">
        <v>23</v>
      </c>
      <c r="O2144" s="7" t="s">
        <v>27</v>
      </c>
      <c r="P2144" s="7" t="s">
        <v>5101</v>
      </c>
      <c r="Q2144" s="26">
        <v>22</v>
      </c>
      <c r="R2144" s="26">
        <v>1</v>
      </c>
      <c r="S2144" s="40">
        <v>1</v>
      </c>
      <c r="T2144" s="7"/>
      <c r="U2144" s="7" t="s">
        <v>2951</v>
      </c>
      <c r="V2144" s="7" t="str">
        <f>+IF(U2144="","",IF(U2144="FINES",CONCATENATE("R",IF(OR(B2144="16",B2144="21",B2144="22",B2144="23"),"16212223",IF(OR(B2144="15",B2144="17",B2144="24",B2144="25"),"15172425",B2144))),IF(U2144="CEBAS","UNICO",IF(VALUE(B2144)&lt;=11,"AMBA","INTERIOR"))))</f>
        <v>R03</v>
      </c>
      <c r="W2144" s="38" t="str">
        <f>+IF(U2144="","-",CONCATENATE(U2144,"_",V2144))</f>
        <v>FINES_R03</v>
      </c>
      <c r="X2144" s="42">
        <v>0.65</v>
      </c>
    </row>
    <row r="2145" spans="1:24">
      <c r="A2145" s="21" t="s">
        <v>5100</v>
      </c>
      <c r="B2145" t="s">
        <v>1532</v>
      </c>
      <c r="C2145" t="s">
        <v>1530</v>
      </c>
      <c r="D2145" t="s">
        <v>1531</v>
      </c>
      <c r="E2145" s="7" t="s">
        <v>198</v>
      </c>
      <c r="F2145" s="7" t="s">
        <v>198</v>
      </c>
      <c r="G2145" s="7" t="s">
        <v>198</v>
      </c>
      <c r="H2145" s="7" t="s">
        <v>20</v>
      </c>
      <c r="I2145" s="7" t="s">
        <v>5102</v>
      </c>
      <c r="J2145" s="7" t="s">
        <v>21</v>
      </c>
      <c r="L2145" t="s">
        <v>3544</v>
      </c>
      <c r="M2145" s="7" t="s">
        <v>22</v>
      </c>
      <c r="N2145" s="7" t="s">
        <v>23</v>
      </c>
      <c r="O2145" s="7" t="s">
        <v>27</v>
      </c>
      <c r="P2145" s="7" t="s">
        <v>5101</v>
      </c>
      <c r="Q2145" s="26">
        <v>60</v>
      </c>
      <c r="R2145" s="26">
        <v>2</v>
      </c>
      <c r="S2145" s="40">
        <v>1</v>
      </c>
      <c r="T2145" s="7"/>
      <c r="U2145" s="7" t="s">
        <v>2951</v>
      </c>
      <c r="V2145" s="7" t="str">
        <f>+IF(U2145="","",IF(U2145="FINES",CONCATENATE("R",IF(OR(B2145="16",B2145="21",B2145="22",B2145="23"),"16212223",IF(OR(B2145="15",B2145="17",B2145="24",B2145="25"),"15172425",B2145))),IF(U2145="CEBAS","UNICO",IF(VALUE(B2145)&lt;=11,"AMBA","INTERIOR"))))</f>
        <v>R03</v>
      </c>
      <c r="W2145" s="38" t="str">
        <f>+IF(U2145="","-",CONCATENATE(U2145,"_",V2145))</f>
        <v>FINES_R03</v>
      </c>
      <c r="X2145" s="42">
        <v>0.65500000000000003</v>
      </c>
    </row>
    <row r="2146" spans="1:24">
      <c r="A2146" s="21" t="s">
        <v>5100</v>
      </c>
      <c r="B2146" t="s">
        <v>1532</v>
      </c>
      <c r="C2146" t="s">
        <v>1530</v>
      </c>
      <c r="D2146" t="s">
        <v>1531</v>
      </c>
      <c r="E2146" s="7" t="s">
        <v>198</v>
      </c>
      <c r="F2146" s="7" t="s">
        <v>198</v>
      </c>
      <c r="G2146" s="7" t="s">
        <v>198</v>
      </c>
      <c r="H2146" s="7" t="s">
        <v>20</v>
      </c>
      <c r="I2146" s="7" t="s">
        <v>5102</v>
      </c>
      <c r="J2146" s="7" t="s">
        <v>21</v>
      </c>
      <c r="L2146" t="s">
        <v>3450</v>
      </c>
      <c r="M2146" s="7" t="s">
        <v>22</v>
      </c>
      <c r="N2146" s="7" t="s">
        <v>23</v>
      </c>
      <c r="O2146" s="7" t="s">
        <v>27</v>
      </c>
      <c r="P2146" s="7" t="s">
        <v>5101</v>
      </c>
      <c r="Q2146" s="26">
        <v>33</v>
      </c>
      <c r="R2146" s="26">
        <v>2</v>
      </c>
      <c r="S2146" s="40">
        <v>1</v>
      </c>
      <c r="T2146" s="7"/>
      <c r="U2146" s="7" t="s">
        <v>2951</v>
      </c>
      <c r="V2146" s="7" t="str">
        <f>+IF(U2146="","",IF(U2146="FINES",CONCATENATE("R",IF(OR(B2146="16",B2146="21",B2146="22",B2146="23"),"16212223",IF(OR(B2146="15",B2146="17",B2146="24",B2146="25"),"15172425",B2146))),IF(U2146="CEBAS","UNICO",IF(VALUE(B2146)&lt;=11,"AMBA","INTERIOR"))))</f>
        <v>R03</v>
      </c>
      <c r="W2146" s="38" t="str">
        <f>+IF(U2146="","-",CONCATENATE(U2146,"_",V2146))</f>
        <v>FINES_R03</v>
      </c>
      <c r="X2146" s="42">
        <v>0.65700000000000003</v>
      </c>
    </row>
    <row r="2147" spans="1:24">
      <c r="A2147" s="21" t="s">
        <v>5100</v>
      </c>
      <c r="B2147" t="s">
        <v>1532</v>
      </c>
      <c r="C2147" t="s">
        <v>1530</v>
      </c>
      <c r="D2147" t="s">
        <v>1531</v>
      </c>
      <c r="E2147" s="7" t="s">
        <v>198</v>
      </c>
      <c r="F2147" s="7" t="s">
        <v>198</v>
      </c>
      <c r="G2147" s="7" t="s">
        <v>198</v>
      </c>
      <c r="H2147" s="7" t="s">
        <v>20</v>
      </c>
      <c r="I2147" s="7" t="s">
        <v>5102</v>
      </c>
      <c r="J2147" s="7" t="s">
        <v>21</v>
      </c>
      <c r="L2147" t="s">
        <v>3472</v>
      </c>
      <c r="M2147" s="7" t="s">
        <v>22</v>
      </c>
      <c r="N2147" s="7" t="s">
        <v>23</v>
      </c>
      <c r="O2147" s="7" t="s">
        <v>27</v>
      </c>
      <c r="P2147" s="7" t="s">
        <v>5101</v>
      </c>
      <c r="Q2147" s="26">
        <v>37</v>
      </c>
      <c r="R2147" s="26">
        <v>2</v>
      </c>
      <c r="S2147" s="40">
        <v>1</v>
      </c>
      <c r="T2147" s="7"/>
      <c r="U2147" s="7" t="s">
        <v>2951</v>
      </c>
      <c r="V2147" s="7" t="str">
        <f>+IF(U2147="","",IF(U2147="FINES",CONCATENATE("R",IF(OR(B2147="16",B2147="21",B2147="22",B2147="23"),"16212223",IF(OR(B2147="15",B2147="17",B2147="24",B2147="25"),"15172425",B2147))),IF(U2147="CEBAS","UNICO",IF(VALUE(B2147)&lt;=11,"AMBA","INTERIOR"))))</f>
        <v>R03</v>
      </c>
      <c r="W2147" s="38" t="str">
        <f>+IF(U2147="","-",CONCATENATE(U2147,"_",V2147))</f>
        <v>FINES_R03</v>
      </c>
      <c r="X2147" s="42">
        <v>0.65900000000000003</v>
      </c>
    </row>
    <row r="2148" spans="1:24">
      <c r="A2148" s="21" t="s">
        <v>5100</v>
      </c>
      <c r="B2148" t="s">
        <v>1532</v>
      </c>
      <c r="C2148" t="s">
        <v>1530</v>
      </c>
      <c r="D2148" t="s">
        <v>1531</v>
      </c>
      <c r="E2148" s="7" t="s">
        <v>198</v>
      </c>
      <c r="F2148" s="7" t="s">
        <v>198</v>
      </c>
      <c r="G2148" s="7" t="s">
        <v>198</v>
      </c>
      <c r="H2148" s="7" t="s">
        <v>20</v>
      </c>
      <c r="I2148" s="7" t="s">
        <v>5102</v>
      </c>
      <c r="J2148" s="7" t="s">
        <v>21</v>
      </c>
      <c r="L2148" t="s">
        <v>3360</v>
      </c>
      <c r="M2148" s="7" t="s">
        <v>22</v>
      </c>
      <c r="N2148" s="7" t="s">
        <v>23</v>
      </c>
      <c r="O2148" s="7" t="s">
        <v>27</v>
      </c>
      <c r="P2148" s="7" t="s">
        <v>5101</v>
      </c>
      <c r="Q2148" s="26">
        <v>65</v>
      </c>
      <c r="R2148" s="26">
        <v>3</v>
      </c>
      <c r="S2148" s="40">
        <v>1</v>
      </c>
      <c r="T2148" s="7"/>
      <c r="U2148" s="7" t="s">
        <v>2951</v>
      </c>
      <c r="V2148" s="7" t="str">
        <f>+IF(U2148="","",IF(U2148="FINES",CONCATENATE("R",IF(OR(B2148="16",B2148="21",B2148="22",B2148="23"),"16212223",IF(OR(B2148="15",B2148="17",B2148="24",B2148="25"),"15172425",B2148))),IF(U2148="CEBAS","UNICO",IF(VALUE(B2148)&lt;=11,"AMBA","INTERIOR"))))</f>
        <v>R03</v>
      </c>
      <c r="W2148" s="38" t="str">
        <f>+IF(U2148="","-",CONCATENATE(U2148,"_",V2148))</f>
        <v>FINES_R03</v>
      </c>
      <c r="X2148" s="42">
        <v>0.66100000000000003</v>
      </c>
    </row>
    <row r="2149" spans="1:24">
      <c r="A2149" s="21" t="s">
        <v>5100</v>
      </c>
      <c r="B2149" t="s">
        <v>1532</v>
      </c>
      <c r="C2149" t="s">
        <v>1530</v>
      </c>
      <c r="D2149" t="s">
        <v>1531</v>
      </c>
      <c r="E2149" s="7" t="s">
        <v>198</v>
      </c>
      <c r="F2149" s="7" t="s">
        <v>198</v>
      </c>
      <c r="G2149" s="7" t="s">
        <v>198</v>
      </c>
      <c r="H2149" s="7" t="s">
        <v>20</v>
      </c>
      <c r="I2149" s="7" t="s">
        <v>5102</v>
      </c>
      <c r="J2149" s="7" t="s">
        <v>21</v>
      </c>
      <c r="L2149" t="s">
        <v>3384</v>
      </c>
      <c r="M2149" s="7" t="s">
        <v>22</v>
      </c>
      <c r="N2149" s="7" t="s">
        <v>23</v>
      </c>
      <c r="O2149" s="7" t="s">
        <v>27</v>
      </c>
      <c r="P2149" s="7" t="s">
        <v>5101</v>
      </c>
      <c r="Q2149" s="26">
        <v>24</v>
      </c>
      <c r="R2149" s="26">
        <v>1</v>
      </c>
      <c r="S2149" s="40">
        <v>1</v>
      </c>
      <c r="T2149" s="7"/>
      <c r="U2149" s="7" t="s">
        <v>2951</v>
      </c>
      <c r="V2149" s="7" t="str">
        <f>+IF(U2149="","",IF(U2149="FINES",CONCATENATE("R",IF(OR(B2149="16",B2149="21",B2149="22",B2149="23"),"16212223",IF(OR(B2149="15",B2149="17",B2149="24",B2149="25"),"15172425",B2149))),IF(U2149="CEBAS","UNICO",IF(VALUE(B2149)&lt;=11,"AMBA","INTERIOR"))))</f>
        <v>R03</v>
      </c>
      <c r="W2149" s="38" t="str">
        <f>+IF(U2149="","-",CONCATENATE(U2149,"_",V2149))</f>
        <v>FINES_R03</v>
      </c>
      <c r="X2149" s="42">
        <v>0.66600000000000004</v>
      </c>
    </row>
    <row r="2150" spans="1:24">
      <c r="A2150" s="21" t="s">
        <v>5100</v>
      </c>
      <c r="B2150" t="s">
        <v>1532</v>
      </c>
      <c r="C2150" t="s">
        <v>1530</v>
      </c>
      <c r="D2150" t="s">
        <v>1531</v>
      </c>
      <c r="E2150" s="7" t="s">
        <v>198</v>
      </c>
      <c r="F2150" s="7" t="s">
        <v>198</v>
      </c>
      <c r="G2150" s="7" t="s">
        <v>198</v>
      </c>
      <c r="H2150" s="7" t="s">
        <v>20</v>
      </c>
      <c r="I2150" s="7" t="s">
        <v>5102</v>
      </c>
      <c r="J2150" s="7" t="s">
        <v>21</v>
      </c>
      <c r="L2150" t="s">
        <v>3537</v>
      </c>
      <c r="M2150" s="7" t="s">
        <v>22</v>
      </c>
      <c r="N2150" s="7" t="s">
        <v>23</v>
      </c>
      <c r="O2150" s="7" t="s">
        <v>27</v>
      </c>
      <c r="P2150" s="7" t="s">
        <v>5101</v>
      </c>
      <c r="Q2150" s="26">
        <v>17</v>
      </c>
      <c r="R2150" s="26">
        <v>1</v>
      </c>
      <c r="S2150" s="40">
        <v>1</v>
      </c>
      <c r="T2150" s="7"/>
      <c r="U2150" s="7" t="s">
        <v>2951</v>
      </c>
      <c r="V2150" s="7" t="str">
        <f>+IF(U2150="","",IF(U2150="FINES",CONCATENATE("R",IF(OR(B2150="16",B2150="21",B2150="22",B2150="23"),"16212223",IF(OR(B2150="15",B2150="17",B2150="24",B2150="25"),"15172425",B2150))),IF(U2150="CEBAS","UNICO",IF(VALUE(B2150)&lt;=11,"AMBA","INTERIOR"))))</f>
        <v>R03</v>
      </c>
      <c r="W2150" s="38" t="str">
        <f>+IF(U2150="","-",CONCATENATE(U2150,"_",V2150))</f>
        <v>FINES_R03</v>
      </c>
      <c r="X2150" s="42">
        <v>0.66700000000000004</v>
      </c>
    </row>
    <row r="2151" spans="1:24">
      <c r="A2151" s="21" t="s">
        <v>5100</v>
      </c>
      <c r="B2151" t="s">
        <v>1532</v>
      </c>
      <c r="C2151" t="s">
        <v>1530</v>
      </c>
      <c r="D2151" t="s">
        <v>1531</v>
      </c>
      <c r="E2151" s="7" t="s">
        <v>198</v>
      </c>
      <c r="F2151" s="7" t="s">
        <v>198</v>
      </c>
      <c r="G2151" s="7" t="s">
        <v>198</v>
      </c>
      <c r="H2151" s="7" t="s">
        <v>20</v>
      </c>
      <c r="I2151" s="7" t="s">
        <v>5102</v>
      </c>
      <c r="J2151" s="7" t="s">
        <v>21</v>
      </c>
      <c r="L2151" t="s">
        <v>3356</v>
      </c>
      <c r="M2151" s="7" t="s">
        <v>22</v>
      </c>
      <c r="N2151" s="7" t="s">
        <v>23</v>
      </c>
      <c r="O2151" s="7" t="s">
        <v>27</v>
      </c>
      <c r="P2151" s="7" t="s">
        <v>5101</v>
      </c>
      <c r="Q2151" s="26">
        <v>36</v>
      </c>
      <c r="R2151" s="26">
        <v>2</v>
      </c>
      <c r="S2151" s="40">
        <v>1</v>
      </c>
      <c r="T2151" s="7"/>
      <c r="U2151" s="7" t="s">
        <v>2951</v>
      </c>
      <c r="V2151" s="7" t="str">
        <f>+IF(U2151="","",IF(U2151="FINES",CONCATENATE("R",IF(OR(B2151="16",B2151="21",B2151="22",B2151="23"),"16212223",IF(OR(B2151="15",B2151="17",B2151="24",B2151="25"),"15172425",B2151))),IF(U2151="CEBAS","UNICO",IF(VALUE(B2151)&lt;=11,"AMBA","INTERIOR"))))</f>
        <v>R03</v>
      </c>
      <c r="W2151" s="38" t="str">
        <f>+IF(U2151="","-",CONCATENATE(U2151,"_",V2151))</f>
        <v>FINES_R03</v>
      </c>
      <c r="X2151" s="42">
        <v>0.66900000000000004</v>
      </c>
    </row>
    <row r="2152" spans="1:24">
      <c r="A2152" s="21" t="s">
        <v>5100</v>
      </c>
      <c r="B2152" t="s">
        <v>1532</v>
      </c>
      <c r="C2152" t="s">
        <v>1530</v>
      </c>
      <c r="D2152" t="s">
        <v>1531</v>
      </c>
      <c r="E2152" s="7" t="s">
        <v>198</v>
      </c>
      <c r="F2152" s="7" t="s">
        <v>198</v>
      </c>
      <c r="G2152" s="7" t="s">
        <v>198</v>
      </c>
      <c r="H2152" s="7" t="s">
        <v>20</v>
      </c>
      <c r="I2152" s="7" t="s">
        <v>5102</v>
      </c>
      <c r="J2152" s="7" t="s">
        <v>21</v>
      </c>
      <c r="L2152" t="s">
        <v>2469</v>
      </c>
      <c r="M2152" s="7" t="s">
        <v>22</v>
      </c>
      <c r="N2152" s="7" t="s">
        <v>23</v>
      </c>
      <c r="O2152" s="7" t="s">
        <v>27</v>
      </c>
      <c r="P2152" s="7" t="s">
        <v>5101</v>
      </c>
      <c r="Q2152" s="26">
        <v>16</v>
      </c>
      <c r="R2152" s="26">
        <v>1</v>
      </c>
      <c r="S2152" s="40">
        <v>1</v>
      </c>
      <c r="T2152" s="7"/>
      <c r="U2152" s="7" t="s">
        <v>2951</v>
      </c>
      <c r="V2152" s="7" t="str">
        <f>+IF(U2152="","",IF(U2152="FINES",CONCATENATE("R",IF(OR(B2152="16",B2152="21",B2152="22",B2152="23"),"16212223",IF(OR(B2152="15",B2152="17",B2152="24",B2152="25"),"15172425",B2152))),IF(U2152="CEBAS","UNICO",IF(VALUE(B2152)&lt;=11,"AMBA","INTERIOR"))))</f>
        <v>R03</v>
      </c>
      <c r="W2152" s="38" t="str">
        <f>+IF(U2152="","-",CONCATENATE(U2152,"_",V2152))</f>
        <v>FINES_R03</v>
      </c>
      <c r="X2152" s="42">
        <v>0.67500000000000004</v>
      </c>
    </row>
    <row r="2153" spans="1:24">
      <c r="A2153" s="21" t="s">
        <v>5100</v>
      </c>
      <c r="B2153" t="s">
        <v>1532</v>
      </c>
      <c r="C2153" t="s">
        <v>1530</v>
      </c>
      <c r="D2153" t="s">
        <v>1531</v>
      </c>
      <c r="E2153" s="7" t="s">
        <v>198</v>
      </c>
      <c r="F2153" s="7" t="s">
        <v>198</v>
      </c>
      <c r="G2153" s="7" t="s">
        <v>198</v>
      </c>
      <c r="H2153" s="7" t="s">
        <v>20</v>
      </c>
      <c r="I2153" s="7" t="s">
        <v>5102</v>
      </c>
      <c r="J2153" s="7" t="s">
        <v>21</v>
      </c>
      <c r="L2153" t="s">
        <v>3370</v>
      </c>
      <c r="M2153" s="7" t="s">
        <v>22</v>
      </c>
      <c r="N2153" s="7" t="s">
        <v>23</v>
      </c>
      <c r="O2153" s="7" t="s">
        <v>27</v>
      </c>
      <c r="P2153" s="7" t="s">
        <v>5101</v>
      </c>
      <c r="Q2153" s="26">
        <v>13</v>
      </c>
      <c r="R2153" s="26">
        <v>1</v>
      </c>
      <c r="S2153" s="40">
        <v>1</v>
      </c>
      <c r="T2153" s="7"/>
      <c r="U2153" s="7" t="s">
        <v>2951</v>
      </c>
      <c r="V2153" s="7" t="str">
        <f>+IF(U2153="","",IF(U2153="FINES",CONCATENATE("R",IF(OR(B2153="16",B2153="21",B2153="22",B2153="23"),"16212223",IF(OR(B2153="15",B2153="17",B2153="24",B2153="25"),"15172425",B2153))),IF(U2153="CEBAS","UNICO",IF(VALUE(B2153)&lt;=11,"AMBA","INTERIOR"))))</f>
        <v>R03</v>
      </c>
      <c r="W2153" s="38" t="str">
        <f>+IF(U2153="","-",CONCATENATE(U2153,"_",V2153))</f>
        <v>FINES_R03</v>
      </c>
      <c r="X2153" s="42">
        <v>0.67800000000000005</v>
      </c>
    </row>
    <row r="2154" spans="1:24">
      <c r="A2154" s="21" t="s">
        <v>5100</v>
      </c>
      <c r="B2154" t="s">
        <v>1532</v>
      </c>
      <c r="C2154" t="s">
        <v>1530</v>
      </c>
      <c r="D2154" t="s">
        <v>1531</v>
      </c>
      <c r="E2154" s="7" t="s">
        <v>198</v>
      </c>
      <c r="F2154" s="7" t="s">
        <v>198</v>
      </c>
      <c r="G2154" s="7" t="s">
        <v>198</v>
      </c>
      <c r="H2154" s="7" t="s">
        <v>20</v>
      </c>
      <c r="I2154" s="7" t="s">
        <v>5102</v>
      </c>
      <c r="J2154" s="7" t="s">
        <v>21</v>
      </c>
      <c r="L2154" t="s">
        <v>3532</v>
      </c>
      <c r="M2154" s="7" t="s">
        <v>22</v>
      </c>
      <c r="N2154" s="7" t="s">
        <v>23</v>
      </c>
      <c r="O2154" s="7" t="s">
        <v>27</v>
      </c>
      <c r="P2154" s="7" t="s">
        <v>5101</v>
      </c>
      <c r="Q2154" s="26">
        <v>92</v>
      </c>
      <c r="R2154" s="26">
        <v>4</v>
      </c>
      <c r="S2154" s="40">
        <v>1</v>
      </c>
      <c r="T2154" s="7"/>
      <c r="U2154" s="7" t="s">
        <v>2951</v>
      </c>
      <c r="V2154" s="7" t="str">
        <f>+IF(U2154="","",IF(U2154="FINES",CONCATENATE("R",IF(OR(B2154="16",B2154="21",B2154="22",B2154="23"),"16212223",IF(OR(B2154="15",B2154="17",B2154="24",B2154="25"),"15172425",B2154))),IF(U2154="CEBAS","UNICO",IF(VALUE(B2154)&lt;=11,"AMBA","INTERIOR"))))</f>
        <v>R03</v>
      </c>
      <c r="W2154" s="38" t="str">
        <f>+IF(U2154="","-",CONCATENATE(U2154,"_",V2154))</f>
        <v>FINES_R03</v>
      </c>
      <c r="X2154" s="42">
        <v>0.68</v>
      </c>
    </row>
    <row r="2155" spans="1:24">
      <c r="A2155" s="21" t="s">
        <v>5100</v>
      </c>
      <c r="B2155" t="s">
        <v>1532</v>
      </c>
      <c r="C2155" t="s">
        <v>1530</v>
      </c>
      <c r="D2155" t="s">
        <v>1531</v>
      </c>
      <c r="E2155" s="7" t="s">
        <v>198</v>
      </c>
      <c r="F2155" s="7" t="s">
        <v>198</v>
      </c>
      <c r="G2155" s="7" t="s">
        <v>198</v>
      </c>
      <c r="H2155" s="7" t="s">
        <v>20</v>
      </c>
      <c r="I2155" s="7" t="s">
        <v>5102</v>
      </c>
      <c r="J2155" s="7" t="s">
        <v>21</v>
      </c>
      <c r="L2155" t="s">
        <v>3527</v>
      </c>
      <c r="M2155" s="7" t="s">
        <v>22</v>
      </c>
      <c r="N2155" s="7" t="s">
        <v>23</v>
      </c>
      <c r="O2155" s="7" t="s">
        <v>27</v>
      </c>
      <c r="P2155" s="7" t="s">
        <v>5101</v>
      </c>
      <c r="Q2155" s="26">
        <v>20</v>
      </c>
      <c r="R2155" s="26">
        <v>1</v>
      </c>
      <c r="S2155" s="40">
        <v>1</v>
      </c>
      <c r="T2155" s="7"/>
      <c r="U2155" s="7" t="s">
        <v>2951</v>
      </c>
      <c r="V2155" s="7" t="str">
        <f>+IF(U2155="","",IF(U2155="FINES",CONCATENATE("R",IF(OR(B2155="16",B2155="21",B2155="22",B2155="23"),"16212223",IF(OR(B2155="15",B2155="17",B2155="24",B2155="25"),"15172425",B2155))),IF(U2155="CEBAS","UNICO",IF(VALUE(B2155)&lt;=11,"AMBA","INTERIOR"))))</f>
        <v>R03</v>
      </c>
      <c r="W2155" s="38" t="str">
        <f>+IF(U2155="","-",CONCATENATE(U2155,"_",V2155))</f>
        <v>FINES_R03</v>
      </c>
      <c r="X2155" s="42">
        <v>0.68200000000000005</v>
      </c>
    </row>
    <row r="2156" spans="1:24">
      <c r="A2156" s="21" t="s">
        <v>5100</v>
      </c>
      <c r="B2156" t="s">
        <v>1532</v>
      </c>
      <c r="C2156" t="s">
        <v>1530</v>
      </c>
      <c r="D2156" t="s">
        <v>1531</v>
      </c>
      <c r="E2156" s="7" t="s">
        <v>198</v>
      </c>
      <c r="F2156" s="7" t="s">
        <v>198</v>
      </c>
      <c r="G2156" s="7" t="s">
        <v>198</v>
      </c>
      <c r="H2156" s="7" t="s">
        <v>20</v>
      </c>
      <c r="I2156" s="7" t="s">
        <v>5102</v>
      </c>
      <c r="J2156" s="7" t="s">
        <v>21</v>
      </c>
      <c r="L2156" t="s">
        <v>3494</v>
      </c>
      <c r="M2156" s="7" t="s">
        <v>22</v>
      </c>
      <c r="N2156" s="7" t="s">
        <v>23</v>
      </c>
      <c r="O2156" s="7" t="s">
        <v>27</v>
      </c>
      <c r="P2156" s="7" t="s">
        <v>5101</v>
      </c>
      <c r="Q2156" s="26">
        <v>16</v>
      </c>
      <c r="R2156" s="26">
        <v>1</v>
      </c>
      <c r="S2156" s="40">
        <v>1</v>
      </c>
      <c r="T2156" s="7"/>
      <c r="U2156" s="7" t="s">
        <v>2951</v>
      </c>
      <c r="V2156" s="7" t="str">
        <f>+IF(U2156="","",IF(U2156="FINES",CONCATENATE("R",IF(OR(B2156="16",B2156="21",B2156="22",B2156="23"),"16212223",IF(OR(B2156="15",B2156="17",B2156="24",B2156="25"),"15172425",B2156))),IF(U2156="CEBAS","UNICO",IF(VALUE(B2156)&lt;=11,"AMBA","INTERIOR"))))</f>
        <v>R03</v>
      </c>
      <c r="W2156" s="38" t="str">
        <f>+IF(U2156="","-",CONCATENATE(U2156,"_",V2156))</f>
        <v>FINES_R03</v>
      </c>
      <c r="X2156" s="42">
        <v>0.68799999999999994</v>
      </c>
    </row>
    <row r="2157" spans="1:24">
      <c r="A2157" s="21" t="s">
        <v>5100</v>
      </c>
      <c r="B2157" t="s">
        <v>1532</v>
      </c>
      <c r="C2157" t="s">
        <v>1530</v>
      </c>
      <c r="D2157" t="s">
        <v>1531</v>
      </c>
      <c r="E2157" s="7" t="s">
        <v>198</v>
      </c>
      <c r="F2157" s="7" t="s">
        <v>198</v>
      </c>
      <c r="G2157" s="7" t="s">
        <v>198</v>
      </c>
      <c r="H2157" s="7" t="s">
        <v>20</v>
      </c>
      <c r="I2157" s="7" t="s">
        <v>5102</v>
      </c>
      <c r="J2157" s="7" t="s">
        <v>21</v>
      </c>
      <c r="L2157" t="s">
        <v>3506</v>
      </c>
      <c r="M2157" s="7" t="s">
        <v>22</v>
      </c>
      <c r="N2157" s="7" t="s">
        <v>23</v>
      </c>
      <c r="O2157" s="7" t="s">
        <v>27</v>
      </c>
      <c r="P2157" s="7" t="s">
        <v>5101</v>
      </c>
      <c r="Q2157" s="26">
        <v>33</v>
      </c>
      <c r="R2157" s="26">
        <v>2</v>
      </c>
      <c r="S2157" s="40">
        <v>1</v>
      </c>
      <c r="T2157" s="7"/>
      <c r="U2157" s="7" t="s">
        <v>2951</v>
      </c>
      <c r="V2157" s="7" t="str">
        <f>+IF(U2157="","",IF(U2157="FINES",CONCATENATE("R",IF(OR(B2157="16",B2157="21",B2157="22",B2157="23"),"16212223",IF(OR(B2157="15",B2157="17",B2157="24",B2157="25"),"15172425",B2157))),IF(U2157="CEBAS","UNICO",IF(VALUE(B2157)&lt;=11,"AMBA","INTERIOR"))))</f>
        <v>R03</v>
      </c>
      <c r="W2157" s="38" t="str">
        <f>+IF(U2157="","-",CONCATENATE(U2157,"_",V2157))</f>
        <v>FINES_R03</v>
      </c>
      <c r="X2157" s="42">
        <v>0.68899999999999995</v>
      </c>
    </row>
    <row r="2158" spans="1:24">
      <c r="A2158" s="21" t="s">
        <v>5100</v>
      </c>
      <c r="B2158" t="s">
        <v>1532</v>
      </c>
      <c r="C2158" t="s">
        <v>1530</v>
      </c>
      <c r="D2158" t="s">
        <v>1531</v>
      </c>
      <c r="E2158" s="7" t="s">
        <v>198</v>
      </c>
      <c r="F2158" s="7" t="s">
        <v>198</v>
      </c>
      <c r="G2158" s="7" t="s">
        <v>198</v>
      </c>
      <c r="H2158" s="7" t="s">
        <v>20</v>
      </c>
      <c r="I2158" s="7" t="s">
        <v>5102</v>
      </c>
      <c r="J2158" s="7" t="s">
        <v>21</v>
      </c>
      <c r="L2158" t="s">
        <v>3434</v>
      </c>
      <c r="M2158" s="7" t="s">
        <v>22</v>
      </c>
      <c r="N2158" s="7" t="s">
        <v>23</v>
      </c>
      <c r="O2158" s="7" t="s">
        <v>27</v>
      </c>
      <c r="P2158" s="7" t="s">
        <v>5101</v>
      </c>
      <c r="Q2158" s="26">
        <v>18</v>
      </c>
      <c r="R2158" s="26">
        <v>1</v>
      </c>
      <c r="S2158" s="40">
        <v>1</v>
      </c>
      <c r="T2158" s="7"/>
      <c r="U2158" s="7" t="s">
        <v>2951</v>
      </c>
      <c r="V2158" s="7" t="str">
        <f>+IF(U2158="","",IF(U2158="FINES",CONCATENATE("R",IF(OR(B2158="16",B2158="21",B2158="22",B2158="23"),"16212223",IF(OR(B2158="15",B2158="17",B2158="24",B2158="25"),"15172425",B2158))),IF(U2158="CEBAS","UNICO",IF(VALUE(B2158)&lt;=11,"AMBA","INTERIOR"))))</f>
        <v>R03</v>
      </c>
      <c r="W2158" s="38" t="str">
        <f>+IF(U2158="","-",CONCATENATE(U2158,"_",V2158))</f>
        <v>FINES_R03</v>
      </c>
      <c r="X2158" s="42">
        <v>0.69699999999999995</v>
      </c>
    </row>
    <row r="2159" spans="1:24">
      <c r="A2159" s="21" t="s">
        <v>5100</v>
      </c>
      <c r="B2159" t="s">
        <v>1532</v>
      </c>
      <c r="C2159" t="s">
        <v>1530</v>
      </c>
      <c r="D2159" t="s">
        <v>1531</v>
      </c>
      <c r="E2159" s="7" t="s">
        <v>198</v>
      </c>
      <c r="F2159" s="7" t="s">
        <v>198</v>
      </c>
      <c r="G2159" s="7" t="s">
        <v>198</v>
      </c>
      <c r="H2159" s="7" t="s">
        <v>20</v>
      </c>
      <c r="I2159" s="7" t="s">
        <v>5102</v>
      </c>
      <c r="J2159" s="7" t="s">
        <v>21</v>
      </c>
      <c r="L2159" t="s">
        <v>3321</v>
      </c>
      <c r="M2159" s="7" t="s">
        <v>22</v>
      </c>
      <c r="N2159" s="7" t="s">
        <v>23</v>
      </c>
      <c r="O2159" s="7" t="s">
        <v>27</v>
      </c>
      <c r="P2159" s="7" t="s">
        <v>5101</v>
      </c>
      <c r="Q2159" s="26">
        <v>37</v>
      </c>
      <c r="R2159" s="26">
        <v>2</v>
      </c>
      <c r="S2159" s="40">
        <v>1</v>
      </c>
      <c r="T2159" s="7"/>
      <c r="U2159" s="7" t="s">
        <v>2951</v>
      </c>
      <c r="V2159" s="7" t="str">
        <f>+IF(U2159="","",IF(U2159="FINES",CONCATENATE("R",IF(OR(B2159="16",B2159="21",B2159="22",B2159="23"),"16212223",IF(OR(B2159="15",B2159="17",B2159="24",B2159="25"),"15172425",B2159))),IF(U2159="CEBAS","UNICO",IF(VALUE(B2159)&lt;=11,"AMBA","INTERIOR"))))</f>
        <v>R03</v>
      </c>
      <c r="W2159" s="38" t="str">
        <f>+IF(U2159="","-",CONCATENATE(U2159,"_",V2159))</f>
        <v>FINES_R03</v>
      </c>
      <c r="X2159" s="42">
        <v>0.71</v>
      </c>
    </row>
    <row r="2160" spans="1:24">
      <c r="A2160" s="21" t="s">
        <v>5100</v>
      </c>
      <c r="B2160" t="s">
        <v>1532</v>
      </c>
      <c r="C2160" t="s">
        <v>1530</v>
      </c>
      <c r="D2160" t="s">
        <v>1531</v>
      </c>
      <c r="E2160" s="7" t="s">
        <v>198</v>
      </c>
      <c r="F2160" s="7" t="s">
        <v>198</v>
      </c>
      <c r="G2160" s="7" t="s">
        <v>198</v>
      </c>
      <c r="H2160" s="7" t="s">
        <v>20</v>
      </c>
      <c r="I2160" s="7" t="s">
        <v>5102</v>
      </c>
      <c r="J2160" s="7" t="s">
        <v>21</v>
      </c>
      <c r="L2160" t="s">
        <v>3343</v>
      </c>
      <c r="M2160" s="7" t="s">
        <v>22</v>
      </c>
      <c r="N2160" s="7" t="s">
        <v>23</v>
      </c>
      <c r="O2160" s="7" t="s">
        <v>27</v>
      </c>
      <c r="P2160" s="7" t="s">
        <v>5101</v>
      </c>
      <c r="Q2160" s="26">
        <v>77</v>
      </c>
      <c r="R2160" s="26">
        <v>3</v>
      </c>
      <c r="S2160" s="40">
        <v>1</v>
      </c>
      <c r="T2160" s="7"/>
      <c r="U2160" s="7" t="s">
        <v>2951</v>
      </c>
      <c r="V2160" s="7" t="str">
        <f>+IF(U2160="","",IF(U2160="FINES",CONCATENATE("R",IF(OR(B2160="16",B2160="21",B2160="22",B2160="23"),"16212223",IF(OR(B2160="15",B2160="17",B2160="24",B2160="25"),"15172425",B2160))),IF(U2160="CEBAS","UNICO",IF(VALUE(B2160)&lt;=11,"AMBA","INTERIOR"))))</f>
        <v>R03</v>
      </c>
      <c r="W2160" s="38" t="str">
        <f>+IF(U2160="","-",CONCATENATE(U2160,"_",V2160))</f>
        <v>FINES_R03</v>
      </c>
      <c r="X2160" s="42">
        <v>0.71099999999999997</v>
      </c>
    </row>
    <row r="2161" spans="1:24">
      <c r="A2161" s="21" t="s">
        <v>5100</v>
      </c>
      <c r="B2161" t="s">
        <v>1532</v>
      </c>
      <c r="C2161" t="s">
        <v>1530</v>
      </c>
      <c r="D2161" t="s">
        <v>1531</v>
      </c>
      <c r="E2161" s="7" t="s">
        <v>198</v>
      </c>
      <c r="F2161" s="7" t="s">
        <v>198</v>
      </c>
      <c r="G2161" s="7" t="s">
        <v>198</v>
      </c>
      <c r="H2161" s="7" t="s">
        <v>20</v>
      </c>
      <c r="I2161" s="7" t="s">
        <v>5102</v>
      </c>
      <c r="J2161" s="7" t="s">
        <v>21</v>
      </c>
      <c r="L2161" t="s">
        <v>3508</v>
      </c>
      <c r="M2161" s="7" t="s">
        <v>22</v>
      </c>
      <c r="N2161" s="7" t="s">
        <v>23</v>
      </c>
      <c r="O2161" s="7" t="s">
        <v>27</v>
      </c>
      <c r="P2161" s="7" t="s">
        <v>5101</v>
      </c>
      <c r="Q2161" s="26">
        <v>106</v>
      </c>
      <c r="R2161" s="26">
        <v>4</v>
      </c>
      <c r="S2161" s="40">
        <v>1</v>
      </c>
      <c r="T2161" s="7"/>
      <c r="U2161" s="7" t="s">
        <v>2951</v>
      </c>
      <c r="V2161" s="7" t="str">
        <f>+IF(U2161="","",IF(U2161="FINES",CONCATENATE("R",IF(OR(B2161="16",B2161="21",B2161="22",B2161="23"),"16212223",IF(OR(B2161="15",B2161="17",B2161="24",B2161="25"),"15172425",B2161))),IF(U2161="CEBAS","UNICO",IF(VALUE(B2161)&lt;=11,"AMBA","INTERIOR"))))</f>
        <v>R03</v>
      </c>
      <c r="W2161" s="38" t="str">
        <f>+IF(U2161="","-",CONCATENATE(U2161,"_",V2161))</f>
        <v>FINES_R03</v>
      </c>
      <c r="X2161" s="42">
        <v>0.71399999999999997</v>
      </c>
    </row>
    <row r="2162" spans="1:24">
      <c r="A2162" s="21" t="s">
        <v>5100</v>
      </c>
      <c r="B2162" t="s">
        <v>1532</v>
      </c>
      <c r="C2162" t="s">
        <v>1530</v>
      </c>
      <c r="D2162" t="s">
        <v>1531</v>
      </c>
      <c r="E2162" s="7" t="s">
        <v>198</v>
      </c>
      <c r="F2162" s="7" t="s">
        <v>198</v>
      </c>
      <c r="G2162" s="7" t="s">
        <v>198</v>
      </c>
      <c r="H2162" s="7" t="s">
        <v>20</v>
      </c>
      <c r="I2162" s="7" t="s">
        <v>5102</v>
      </c>
      <c r="J2162" s="7" t="s">
        <v>21</v>
      </c>
      <c r="L2162" t="s">
        <v>3400</v>
      </c>
      <c r="M2162" s="7" t="s">
        <v>22</v>
      </c>
      <c r="N2162" s="7" t="s">
        <v>23</v>
      </c>
      <c r="O2162" s="7" t="s">
        <v>27</v>
      </c>
      <c r="P2162" s="7" t="s">
        <v>5101</v>
      </c>
      <c r="Q2162" s="26">
        <v>77</v>
      </c>
      <c r="R2162" s="26">
        <v>2</v>
      </c>
      <c r="S2162" s="40">
        <v>1</v>
      </c>
      <c r="T2162" s="7"/>
      <c r="U2162" s="7" t="s">
        <v>2951</v>
      </c>
      <c r="V2162" s="7" t="str">
        <f>+IF(U2162="","",IF(U2162="FINES",CONCATENATE("R",IF(OR(B2162="16",B2162="21",B2162="22",B2162="23"),"16212223",IF(OR(B2162="15",B2162="17",B2162="24",B2162="25"),"15172425",B2162))),IF(U2162="CEBAS","UNICO",IF(VALUE(B2162)&lt;=11,"AMBA","INTERIOR"))))</f>
        <v>R03</v>
      </c>
      <c r="W2162" s="38" t="str">
        <f>+IF(U2162="","-",CONCATENATE(U2162,"_",V2162))</f>
        <v>FINES_R03</v>
      </c>
      <c r="X2162" s="42">
        <v>0.71399999999999997</v>
      </c>
    </row>
    <row r="2163" spans="1:24">
      <c r="A2163" s="21" t="s">
        <v>5100</v>
      </c>
      <c r="B2163" t="s">
        <v>1532</v>
      </c>
      <c r="C2163" t="s">
        <v>1530</v>
      </c>
      <c r="D2163" t="s">
        <v>1531</v>
      </c>
      <c r="E2163" s="7" t="s">
        <v>198</v>
      </c>
      <c r="F2163" s="7" t="s">
        <v>198</v>
      </c>
      <c r="G2163" s="7" t="s">
        <v>198</v>
      </c>
      <c r="H2163" s="7" t="s">
        <v>20</v>
      </c>
      <c r="I2163" s="7" t="s">
        <v>5102</v>
      </c>
      <c r="J2163" s="7" t="s">
        <v>21</v>
      </c>
      <c r="L2163" t="s">
        <v>3486</v>
      </c>
      <c r="M2163" s="7" t="s">
        <v>22</v>
      </c>
      <c r="N2163" s="7" t="s">
        <v>23</v>
      </c>
      <c r="O2163" s="7" t="s">
        <v>27</v>
      </c>
      <c r="P2163" s="7" t="s">
        <v>5101</v>
      </c>
      <c r="Q2163" s="26">
        <v>86</v>
      </c>
      <c r="R2163" s="26">
        <v>2</v>
      </c>
      <c r="S2163" s="40">
        <v>1</v>
      </c>
      <c r="T2163" s="7"/>
      <c r="U2163" s="7" t="s">
        <v>2951</v>
      </c>
      <c r="V2163" s="7" t="str">
        <f>+IF(U2163="","",IF(U2163="FINES",CONCATENATE("R",IF(OR(B2163="16",B2163="21",B2163="22",B2163="23"),"16212223",IF(OR(B2163="15",B2163="17",B2163="24",B2163="25"),"15172425",B2163))),IF(U2163="CEBAS","UNICO",IF(VALUE(B2163)&lt;=11,"AMBA","INTERIOR"))))</f>
        <v>R03</v>
      </c>
      <c r="W2163" s="38" t="str">
        <f>+IF(U2163="","-",CONCATENATE(U2163,"_",V2163))</f>
        <v>FINES_R03</v>
      </c>
      <c r="X2163" s="42">
        <v>0.72</v>
      </c>
    </row>
    <row r="2164" spans="1:24">
      <c r="A2164" s="21" t="s">
        <v>5100</v>
      </c>
      <c r="B2164" t="s">
        <v>1532</v>
      </c>
      <c r="C2164" t="s">
        <v>1530</v>
      </c>
      <c r="D2164" t="s">
        <v>1531</v>
      </c>
      <c r="E2164" s="7" t="s">
        <v>198</v>
      </c>
      <c r="F2164" s="7" t="s">
        <v>198</v>
      </c>
      <c r="G2164" s="7" t="s">
        <v>198</v>
      </c>
      <c r="H2164" s="7" t="s">
        <v>20</v>
      </c>
      <c r="I2164" s="7" t="s">
        <v>5102</v>
      </c>
      <c r="J2164" s="7" t="s">
        <v>21</v>
      </c>
      <c r="L2164" t="s">
        <v>3353</v>
      </c>
      <c r="M2164" s="7" t="s">
        <v>22</v>
      </c>
      <c r="N2164" s="7" t="s">
        <v>23</v>
      </c>
      <c r="O2164" s="7" t="s">
        <v>27</v>
      </c>
      <c r="P2164" s="7" t="s">
        <v>5101</v>
      </c>
      <c r="Q2164" s="26">
        <v>17</v>
      </c>
      <c r="R2164" s="26">
        <v>1</v>
      </c>
      <c r="S2164" s="40">
        <v>1</v>
      </c>
      <c r="T2164" s="7"/>
      <c r="U2164" s="7" t="s">
        <v>2951</v>
      </c>
      <c r="V2164" s="7" t="str">
        <f>+IF(U2164="","",IF(U2164="FINES",CONCATENATE("R",IF(OR(B2164="16",B2164="21",B2164="22",B2164="23"),"16212223",IF(OR(B2164="15",B2164="17",B2164="24",B2164="25"),"15172425",B2164))),IF(U2164="CEBAS","UNICO",IF(VALUE(B2164)&lt;=11,"AMBA","INTERIOR"))))</f>
        <v>R03</v>
      </c>
      <c r="W2164" s="38" t="str">
        <f>+IF(U2164="","-",CONCATENATE(U2164,"_",V2164))</f>
        <v>FINES_R03</v>
      </c>
      <c r="X2164" s="42">
        <v>0.73499999999999999</v>
      </c>
    </row>
    <row r="2165" spans="1:24">
      <c r="A2165" s="21" t="s">
        <v>5100</v>
      </c>
      <c r="B2165" t="s">
        <v>1532</v>
      </c>
      <c r="C2165" t="s">
        <v>1530</v>
      </c>
      <c r="D2165" t="s">
        <v>1531</v>
      </c>
      <c r="E2165" s="7" t="s">
        <v>198</v>
      </c>
      <c r="F2165" s="7" t="s">
        <v>198</v>
      </c>
      <c r="G2165" s="7" t="s">
        <v>198</v>
      </c>
      <c r="H2165" s="7" t="s">
        <v>20</v>
      </c>
      <c r="I2165" s="7" t="s">
        <v>5102</v>
      </c>
      <c r="J2165" s="7" t="s">
        <v>21</v>
      </c>
      <c r="L2165" t="s">
        <v>3531</v>
      </c>
      <c r="M2165" s="7" t="s">
        <v>22</v>
      </c>
      <c r="N2165" s="7" t="s">
        <v>23</v>
      </c>
      <c r="O2165" s="7" t="s">
        <v>27</v>
      </c>
      <c r="P2165" s="7" t="s">
        <v>5101</v>
      </c>
      <c r="Q2165" s="26">
        <v>18</v>
      </c>
      <c r="R2165" s="26">
        <v>1</v>
      </c>
      <c r="S2165" s="40">
        <v>1</v>
      </c>
      <c r="T2165" s="7"/>
      <c r="U2165" s="7" t="s">
        <v>2951</v>
      </c>
      <c r="V2165" s="7" t="str">
        <f>+IF(U2165="","",IF(U2165="FINES",CONCATENATE("R",IF(OR(B2165="16",B2165="21",B2165="22",B2165="23"),"16212223",IF(OR(B2165="15",B2165="17",B2165="24",B2165="25"),"15172425",B2165))),IF(U2165="CEBAS","UNICO",IF(VALUE(B2165)&lt;=11,"AMBA","INTERIOR"))))</f>
        <v>R03</v>
      </c>
      <c r="W2165" s="38" t="str">
        <f>+IF(U2165="","-",CONCATENATE(U2165,"_",V2165))</f>
        <v>FINES_R03</v>
      </c>
      <c r="X2165" s="42">
        <v>0.73599999999999999</v>
      </c>
    </row>
    <row r="2166" spans="1:24">
      <c r="A2166" s="21" t="s">
        <v>5100</v>
      </c>
      <c r="B2166" t="s">
        <v>1532</v>
      </c>
      <c r="C2166" t="s">
        <v>1530</v>
      </c>
      <c r="D2166" t="s">
        <v>1531</v>
      </c>
      <c r="E2166" s="7" t="s">
        <v>198</v>
      </c>
      <c r="F2166" s="7" t="s">
        <v>198</v>
      </c>
      <c r="G2166" s="7" t="s">
        <v>198</v>
      </c>
      <c r="H2166" s="7" t="s">
        <v>20</v>
      </c>
      <c r="I2166" s="7" t="s">
        <v>5102</v>
      </c>
      <c r="J2166" s="7" t="s">
        <v>21</v>
      </c>
      <c r="L2166" t="s">
        <v>3461</v>
      </c>
      <c r="M2166" s="7" t="s">
        <v>22</v>
      </c>
      <c r="N2166" s="7" t="s">
        <v>23</v>
      </c>
      <c r="O2166" s="7" t="s">
        <v>27</v>
      </c>
      <c r="P2166" s="7" t="s">
        <v>5101</v>
      </c>
      <c r="Q2166" s="26">
        <v>68</v>
      </c>
      <c r="R2166" s="26">
        <v>3</v>
      </c>
      <c r="S2166" s="40">
        <v>1</v>
      </c>
      <c r="T2166" s="7"/>
      <c r="U2166" s="7" t="s">
        <v>2951</v>
      </c>
      <c r="V2166" s="7" t="str">
        <f>+IF(U2166="","",IF(U2166="FINES",CONCATENATE("R",IF(OR(B2166="16",B2166="21",B2166="22",B2166="23"),"16212223",IF(OR(B2166="15",B2166="17",B2166="24",B2166="25"),"15172425",B2166))),IF(U2166="CEBAS","UNICO",IF(VALUE(B2166)&lt;=11,"AMBA","INTERIOR"))))</f>
        <v>R03</v>
      </c>
      <c r="W2166" s="38" t="str">
        <f>+IF(U2166="","-",CONCATENATE(U2166,"_",V2166))</f>
        <v>FINES_R03</v>
      </c>
      <c r="X2166" s="42">
        <v>0.73699999999999999</v>
      </c>
    </row>
    <row r="2167" spans="1:24">
      <c r="A2167" s="21" t="s">
        <v>5100</v>
      </c>
      <c r="B2167" t="s">
        <v>1532</v>
      </c>
      <c r="C2167" t="s">
        <v>1530</v>
      </c>
      <c r="D2167" t="s">
        <v>1531</v>
      </c>
      <c r="E2167" s="7" t="s">
        <v>198</v>
      </c>
      <c r="F2167" s="7" t="s">
        <v>198</v>
      </c>
      <c r="G2167" s="7" t="s">
        <v>198</v>
      </c>
      <c r="H2167" s="7" t="s">
        <v>20</v>
      </c>
      <c r="I2167" s="7" t="s">
        <v>5102</v>
      </c>
      <c r="J2167" s="7" t="s">
        <v>21</v>
      </c>
      <c r="L2167" t="s">
        <v>3386</v>
      </c>
      <c r="M2167" s="7" t="s">
        <v>22</v>
      </c>
      <c r="N2167" s="7" t="s">
        <v>23</v>
      </c>
      <c r="O2167" s="7" t="s">
        <v>27</v>
      </c>
      <c r="P2167" s="7" t="s">
        <v>5101</v>
      </c>
      <c r="Q2167" s="26">
        <v>83</v>
      </c>
      <c r="R2167" s="26">
        <v>2</v>
      </c>
      <c r="S2167" s="40">
        <v>1</v>
      </c>
      <c r="T2167" s="7"/>
      <c r="U2167" s="7" t="s">
        <v>2951</v>
      </c>
      <c r="V2167" s="7" t="str">
        <f>+IF(U2167="","",IF(U2167="FINES",CONCATENATE("R",IF(OR(B2167="16",B2167="21",B2167="22",B2167="23"),"16212223",IF(OR(B2167="15",B2167="17",B2167="24",B2167="25"),"15172425",B2167))),IF(U2167="CEBAS","UNICO",IF(VALUE(B2167)&lt;=11,"AMBA","INTERIOR"))))</f>
        <v>R03</v>
      </c>
      <c r="W2167" s="38" t="str">
        <f>+IF(U2167="","-",CONCATENATE(U2167,"_",V2167))</f>
        <v>FINES_R03</v>
      </c>
      <c r="X2167" s="42">
        <v>0.74199999999999999</v>
      </c>
    </row>
    <row r="2168" spans="1:24">
      <c r="A2168" s="21" t="s">
        <v>5100</v>
      </c>
      <c r="B2168" t="s">
        <v>1532</v>
      </c>
      <c r="C2168" t="s">
        <v>1530</v>
      </c>
      <c r="D2168" t="s">
        <v>1531</v>
      </c>
      <c r="E2168" s="7" t="s">
        <v>198</v>
      </c>
      <c r="F2168" s="7" t="s">
        <v>198</v>
      </c>
      <c r="G2168" s="7" t="s">
        <v>198</v>
      </c>
      <c r="H2168" s="7" t="s">
        <v>20</v>
      </c>
      <c r="I2168" s="7" t="s">
        <v>5102</v>
      </c>
      <c r="J2168" s="7" t="s">
        <v>21</v>
      </c>
      <c r="L2168" t="s">
        <v>3323</v>
      </c>
      <c r="M2168" s="7" t="s">
        <v>22</v>
      </c>
      <c r="N2168" s="7" t="s">
        <v>23</v>
      </c>
      <c r="O2168" s="7" t="s">
        <v>27</v>
      </c>
      <c r="P2168" s="7" t="s">
        <v>5101</v>
      </c>
      <c r="Q2168" s="26">
        <v>85</v>
      </c>
      <c r="R2168" s="26">
        <v>3</v>
      </c>
      <c r="S2168" s="40">
        <v>1</v>
      </c>
      <c r="T2168" s="7"/>
      <c r="U2168" s="7" t="s">
        <v>2951</v>
      </c>
      <c r="V2168" s="7" t="str">
        <f>+IF(U2168="","",IF(U2168="FINES",CONCATENATE("R",IF(OR(B2168="16",B2168="21",B2168="22",B2168="23"),"16212223",IF(OR(B2168="15",B2168="17",B2168="24",B2168="25"),"15172425",B2168))),IF(U2168="CEBAS","UNICO",IF(VALUE(B2168)&lt;=11,"AMBA","INTERIOR"))))</f>
        <v>R03</v>
      </c>
      <c r="W2168" s="38" t="str">
        <f>+IF(U2168="","-",CONCATENATE(U2168,"_",V2168))</f>
        <v>FINES_R03</v>
      </c>
      <c r="X2168" s="42">
        <v>0.74199999999999999</v>
      </c>
    </row>
    <row r="2169" spans="1:24">
      <c r="A2169" s="21" t="s">
        <v>5100</v>
      </c>
      <c r="B2169" t="s">
        <v>1532</v>
      </c>
      <c r="C2169" t="s">
        <v>1530</v>
      </c>
      <c r="D2169" t="s">
        <v>1531</v>
      </c>
      <c r="E2169" s="7" t="s">
        <v>198</v>
      </c>
      <c r="F2169" s="7" t="s">
        <v>198</v>
      </c>
      <c r="G2169" s="7" t="s">
        <v>198</v>
      </c>
      <c r="H2169" s="7" t="s">
        <v>20</v>
      </c>
      <c r="I2169" s="7" t="s">
        <v>5102</v>
      </c>
      <c r="J2169" s="7" t="s">
        <v>21</v>
      </c>
      <c r="L2169" t="s">
        <v>3351</v>
      </c>
      <c r="M2169" s="7" t="s">
        <v>22</v>
      </c>
      <c r="N2169" s="7" t="s">
        <v>23</v>
      </c>
      <c r="O2169" s="7" t="s">
        <v>27</v>
      </c>
      <c r="P2169" s="7" t="s">
        <v>5101</v>
      </c>
      <c r="Q2169" s="26">
        <v>43</v>
      </c>
      <c r="R2169" s="26">
        <v>2</v>
      </c>
      <c r="S2169" s="40">
        <v>1</v>
      </c>
      <c r="T2169" s="7"/>
      <c r="U2169" s="7" t="s">
        <v>2951</v>
      </c>
      <c r="V2169" s="7" t="str">
        <f>+IF(U2169="","",IF(U2169="FINES",CONCATENATE("R",IF(OR(B2169="16",B2169="21",B2169="22",B2169="23"),"16212223",IF(OR(B2169="15",B2169="17",B2169="24",B2169="25"),"15172425",B2169))),IF(U2169="CEBAS","UNICO",IF(VALUE(B2169)&lt;=11,"AMBA","INTERIOR"))))</f>
        <v>R03</v>
      </c>
      <c r="W2169" s="38" t="str">
        <f>+IF(U2169="","-",CONCATENATE(U2169,"_",V2169))</f>
        <v>FINES_R03</v>
      </c>
      <c r="X2169" s="42">
        <v>0.747</v>
      </c>
    </row>
    <row r="2170" spans="1:24">
      <c r="A2170" s="21" t="s">
        <v>5100</v>
      </c>
      <c r="B2170" t="s">
        <v>1532</v>
      </c>
      <c r="C2170" t="s">
        <v>1530</v>
      </c>
      <c r="D2170" t="s">
        <v>1531</v>
      </c>
      <c r="E2170" s="7" t="s">
        <v>198</v>
      </c>
      <c r="F2170" s="7" t="s">
        <v>198</v>
      </c>
      <c r="G2170" s="7" t="s">
        <v>198</v>
      </c>
      <c r="H2170" s="7" t="s">
        <v>20</v>
      </c>
      <c r="I2170" s="7" t="s">
        <v>5102</v>
      </c>
      <c r="J2170" s="7" t="s">
        <v>21</v>
      </c>
      <c r="L2170" t="s">
        <v>3435</v>
      </c>
      <c r="M2170" s="7" t="s">
        <v>22</v>
      </c>
      <c r="N2170" s="7" t="s">
        <v>23</v>
      </c>
      <c r="O2170" s="7" t="s">
        <v>27</v>
      </c>
      <c r="P2170" s="7" t="s">
        <v>5101</v>
      </c>
      <c r="Q2170" s="26">
        <v>21</v>
      </c>
      <c r="R2170" s="26">
        <v>1</v>
      </c>
      <c r="S2170" s="40">
        <v>1</v>
      </c>
      <c r="T2170" s="7"/>
      <c r="U2170" s="7" t="s">
        <v>2951</v>
      </c>
      <c r="V2170" s="7" t="str">
        <f>+IF(U2170="","",IF(U2170="FINES",CONCATENATE("R",IF(OR(B2170="16",B2170="21",B2170="22",B2170="23"),"16212223",IF(OR(B2170="15",B2170="17",B2170="24",B2170="25"),"15172425",B2170))),IF(U2170="CEBAS","UNICO",IF(VALUE(B2170)&lt;=11,"AMBA","INTERIOR"))))</f>
        <v>R03</v>
      </c>
      <c r="W2170" s="38" t="str">
        <f>+IF(U2170="","-",CONCATENATE(U2170,"_",V2170))</f>
        <v>FINES_R03</v>
      </c>
      <c r="X2170" s="42">
        <v>0.748</v>
      </c>
    </row>
    <row r="2171" spans="1:24">
      <c r="A2171" s="21" t="s">
        <v>5100</v>
      </c>
      <c r="B2171" t="s">
        <v>1532</v>
      </c>
      <c r="C2171" t="s">
        <v>1530</v>
      </c>
      <c r="D2171" t="s">
        <v>1531</v>
      </c>
      <c r="E2171" s="7" t="s">
        <v>198</v>
      </c>
      <c r="F2171" s="7" t="s">
        <v>198</v>
      </c>
      <c r="G2171" s="7" t="s">
        <v>198</v>
      </c>
      <c r="H2171" s="7" t="s">
        <v>20</v>
      </c>
      <c r="I2171" s="7" t="s">
        <v>5102</v>
      </c>
      <c r="J2171" s="7" t="s">
        <v>21</v>
      </c>
      <c r="L2171" t="s">
        <v>3388</v>
      </c>
      <c r="M2171" s="7" t="s">
        <v>22</v>
      </c>
      <c r="N2171" s="7" t="s">
        <v>23</v>
      </c>
      <c r="O2171" s="7" t="s">
        <v>27</v>
      </c>
      <c r="P2171" s="7" t="s">
        <v>5101</v>
      </c>
      <c r="Q2171" s="26">
        <v>46</v>
      </c>
      <c r="R2171" s="26">
        <v>2</v>
      </c>
      <c r="S2171" s="40">
        <v>1</v>
      </c>
      <c r="T2171" s="7"/>
      <c r="U2171" s="7" t="s">
        <v>2951</v>
      </c>
      <c r="V2171" s="7" t="str">
        <f>+IF(U2171="","",IF(U2171="FINES",CONCATENATE("R",IF(OR(B2171="16",B2171="21",B2171="22",B2171="23"),"16212223",IF(OR(B2171="15",B2171="17",B2171="24",B2171="25"),"15172425",B2171))),IF(U2171="CEBAS","UNICO",IF(VALUE(B2171)&lt;=11,"AMBA","INTERIOR"))))</f>
        <v>R03</v>
      </c>
      <c r="W2171" s="38" t="str">
        <f>+IF(U2171="","-",CONCATENATE(U2171,"_",V2171))</f>
        <v>FINES_R03</v>
      </c>
      <c r="X2171" s="42">
        <v>0.749</v>
      </c>
    </row>
    <row r="2172" spans="1:24">
      <c r="A2172" s="21" t="s">
        <v>5100</v>
      </c>
      <c r="B2172" t="s">
        <v>1532</v>
      </c>
      <c r="C2172" t="s">
        <v>1530</v>
      </c>
      <c r="D2172" t="s">
        <v>1531</v>
      </c>
      <c r="E2172" s="7" t="s">
        <v>198</v>
      </c>
      <c r="F2172" s="7" t="s">
        <v>198</v>
      </c>
      <c r="G2172" s="7" t="s">
        <v>198</v>
      </c>
      <c r="H2172" s="7" t="s">
        <v>20</v>
      </c>
      <c r="I2172" s="7" t="s">
        <v>5102</v>
      </c>
      <c r="J2172" s="7" t="s">
        <v>21</v>
      </c>
      <c r="L2172" t="s">
        <v>3444</v>
      </c>
      <c r="M2172" s="7" t="s">
        <v>22</v>
      </c>
      <c r="N2172" s="7" t="s">
        <v>23</v>
      </c>
      <c r="O2172" s="7" t="s">
        <v>27</v>
      </c>
      <c r="P2172" s="7" t="s">
        <v>5101</v>
      </c>
      <c r="Q2172" s="26">
        <v>32</v>
      </c>
      <c r="R2172" s="26">
        <v>1</v>
      </c>
      <c r="S2172" s="40">
        <v>1</v>
      </c>
      <c r="T2172" s="7"/>
      <c r="U2172" s="7" t="s">
        <v>2951</v>
      </c>
      <c r="V2172" s="7" t="str">
        <f>+IF(U2172="","",IF(U2172="FINES",CONCATENATE("R",IF(OR(B2172="16",B2172="21",B2172="22",B2172="23"),"16212223",IF(OR(B2172="15",B2172="17",B2172="24",B2172="25"),"15172425",B2172))),IF(U2172="CEBAS","UNICO",IF(VALUE(B2172)&lt;=11,"AMBA","INTERIOR"))))</f>
        <v>R03</v>
      </c>
      <c r="W2172" s="38" t="str">
        <f>+IF(U2172="","-",CONCATENATE(U2172,"_",V2172))</f>
        <v>FINES_R03</v>
      </c>
      <c r="X2172" s="42">
        <v>0.751</v>
      </c>
    </row>
    <row r="2173" spans="1:24">
      <c r="A2173" s="21" t="s">
        <v>5100</v>
      </c>
      <c r="B2173" t="s">
        <v>1532</v>
      </c>
      <c r="C2173" t="s">
        <v>1530</v>
      </c>
      <c r="D2173" t="s">
        <v>1531</v>
      </c>
      <c r="E2173" s="7" t="s">
        <v>198</v>
      </c>
      <c r="F2173" s="7" t="s">
        <v>198</v>
      </c>
      <c r="G2173" s="7" t="s">
        <v>198</v>
      </c>
      <c r="H2173" s="7" t="s">
        <v>20</v>
      </c>
      <c r="I2173" s="7" t="s">
        <v>5102</v>
      </c>
      <c r="J2173" s="7" t="s">
        <v>21</v>
      </c>
      <c r="L2173" t="s">
        <v>3345</v>
      </c>
      <c r="M2173" s="7" t="s">
        <v>22</v>
      </c>
      <c r="N2173" s="7" t="s">
        <v>23</v>
      </c>
      <c r="O2173" s="7" t="s">
        <v>27</v>
      </c>
      <c r="P2173" s="7" t="s">
        <v>5101</v>
      </c>
      <c r="Q2173" s="26">
        <v>22</v>
      </c>
      <c r="R2173" s="26">
        <v>1</v>
      </c>
      <c r="S2173" s="40">
        <v>1</v>
      </c>
      <c r="T2173" s="7"/>
      <c r="U2173" s="7" t="s">
        <v>2951</v>
      </c>
      <c r="V2173" s="7" t="str">
        <f>+IF(U2173="","",IF(U2173="FINES",CONCATENATE("R",IF(OR(B2173="16",B2173="21",B2173="22",B2173="23"),"16212223",IF(OR(B2173="15",B2173="17",B2173="24",B2173="25"),"15172425",B2173))),IF(U2173="CEBAS","UNICO",IF(VALUE(B2173)&lt;=11,"AMBA","INTERIOR"))))</f>
        <v>R03</v>
      </c>
      <c r="W2173" s="38" t="str">
        <f>+IF(U2173="","-",CONCATENATE(U2173,"_",V2173))</f>
        <v>FINES_R03</v>
      </c>
      <c r="X2173" s="42">
        <v>0.76</v>
      </c>
    </row>
    <row r="2174" spans="1:24">
      <c r="A2174" s="21" t="s">
        <v>5100</v>
      </c>
      <c r="B2174" t="s">
        <v>1532</v>
      </c>
      <c r="C2174" t="s">
        <v>1530</v>
      </c>
      <c r="D2174" t="s">
        <v>1531</v>
      </c>
      <c r="E2174" s="7" t="s">
        <v>198</v>
      </c>
      <c r="F2174" s="7" t="s">
        <v>198</v>
      </c>
      <c r="G2174" s="7" t="s">
        <v>198</v>
      </c>
      <c r="H2174" s="7" t="s">
        <v>20</v>
      </c>
      <c r="I2174" s="7" t="s">
        <v>5102</v>
      </c>
      <c r="J2174" s="7" t="s">
        <v>21</v>
      </c>
      <c r="L2174" t="s">
        <v>3447</v>
      </c>
      <c r="M2174" s="7" t="s">
        <v>22</v>
      </c>
      <c r="N2174" s="7" t="s">
        <v>23</v>
      </c>
      <c r="O2174" s="7" t="s">
        <v>27</v>
      </c>
      <c r="P2174" s="7" t="s">
        <v>5101</v>
      </c>
      <c r="Q2174" s="26">
        <v>27</v>
      </c>
      <c r="R2174" s="26">
        <v>1</v>
      </c>
      <c r="S2174" s="40">
        <v>1</v>
      </c>
      <c r="T2174" s="7"/>
      <c r="U2174" s="7" t="s">
        <v>2951</v>
      </c>
      <c r="V2174" s="7" t="str">
        <f>+IF(U2174="","",IF(U2174="FINES",CONCATENATE("R",IF(OR(B2174="16",B2174="21",B2174="22",B2174="23"),"16212223",IF(OR(B2174="15",B2174="17",B2174="24",B2174="25"),"15172425",B2174))),IF(U2174="CEBAS","UNICO",IF(VALUE(B2174)&lt;=11,"AMBA","INTERIOR"))))</f>
        <v>R03</v>
      </c>
      <c r="W2174" s="38" t="str">
        <f>+IF(U2174="","-",CONCATENATE(U2174,"_",V2174))</f>
        <v>FINES_R03</v>
      </c>
      <c r="X2174" s="42">
        <v>0.76200000000000001</v>
      </c>
    </row>
    <row r="2175" spans="1:24">
      <c r="A2175" s="21" t="s">
        <v>5100</v>
      </c>
      <c r="B2175" t="s">
        <v>1532</v>
      </c>
      <c r="C2175" t="s">
        <v>1530</v>
      </c>
      <c r="D2175" t="s">
        <v>1531</v>
      </c>
      <c r="E2175" s="7" t="s">
        <v>198</v>
      </c>
      <c r="F2175" s="7" t="s">
        <v>198</v>
      </c>
      <c r="G2175" s="7" t="s">
        <v>198</v>
      </c>
      <c r="H2175" s="7" t="s">
        <v>20</v>
      </c>
      <c r="I2175" s="7" t="s">
        <v>5102</v>
      </c>
      <c r="J2175" s="7" t="s">
        <v>21</v>
      </c>
      <c r="L2175" t="s">
        <v>3327</v>
      </c>
      <c r="M2175" s="7" t="s">
        <v>22</v>
      </c>
      <c r="N2175" s="7" t="s">
        <v>23</v>
      </c>
      <c r="O2175" s="7" t="s">
        <v>27</v>
      </c>
      <c r="P2175" s="7" t="s">
        <v>5101</v>
      </c>
      <c r="Q2175" s="26">
        <v>165</v>
      </c>
      <c r="R2175" s="26">
        <v>8</v>
      </c>
      <c r="S2175" s="40">
        <v>1</v>
      </c>
      <c r="T2175" s="7"/>
      <c r="U2175" s="7" t="s">
        <v>2951</v>
      </c>
      <c r="V2175" s="7" t="str">
        <f>+IF(U2175="","",IF(U2175="FINES",CONCATENATE("R",IF(OR(B2175="16",B2175="21",B2175="22",B2175="23"),"16212223",IF(OR(B2175="15",B2175="17",B2175="24",B2175="25"),"15172425",B2175))),IF(U2175="CEBAS","UNICO",IF(VALUE(B2175)&lt;=11,"AMBA","INTERIOR"))))</f>
        <v>R03</v>
      </c>
      <c r="W2175" s="38" t="str">
        <f>+IF(U2175="","-",CONCATENATE(U2175,"_",V2175))</f>
        <v>FINES_R03</v>
      </c>
      <c r="X2175" s="42">
        <v>0.77100000000000002</v>
      </c>
    </row>
    <row r="2176" spans="1:24">
      <c r="A2176" s="21" t="s">
        <v>5100</v>
      </c>
      <c r="B2176" t="s">
        <v>1532</v>
      </c>
      <c r="C2176" t="s">
        <v>1530</v>
      </c>
      <c r="D2176" t="s">
        <v>1531</v>
      </c>
      <c r="E2176" s="7" t="s">
        <v>198</v>
      </c>
      <c r="F2176" s="7" t="s">
        <v>198</v>
      </c>
      <c r="G2176" s="7" t="s">
        <v>198</v>
      </c>
      <c r="H2176" s="7" t="s">
        <v>20</v>
      </c>
      <c r="I2176" s="7" t="s">
        <v>5102</v>
      </c>
      <c r="J2176" s="7" t="s">
        <v>21</v>
      </c>
      <c r="L2176" t="s">
        <v>3373</v>
      </c>
      <c r="M2176" s="7" t="s">
        <v>22</v>
      </c>
      <c r="N2176" s="7" t="s">
        <v>23</v>
      </c>
      <c r="O2176" s="7" t="s">
        <v>27</v>
      </c>
      <c r="P2176" s="7" t="s">
        <v>5101</v>
      </c>
      <c r="Q2176" s="26">
        <v>49</v>
      </c>
      <c r="R2176" s="26">
        <v>2</v>
      </c>
      <c r="S2176" s="40">
        <v>1</v>
      </c>
      <c r="T2176" s="7"/>
      <c r="U2176" s="7" t="s">
        <v>2951</v>
      </c>
      <c r="V2176" s="7" t="str">
        <f>+IF(U2176="","",IF(U2176="FINES",CONCATENATE("R",IF(OR(B2176="16",B2176="21",B2176="22",B2176="23"),"16212223",IF(OR(B2176="15",B2176="17",B2176="24",B2176="25"),"15172425",B2176))),IF(U2176="CEBAS","UNICO",IF(VALUE(B2176)&lt;=11,"AMBA","INTERIOR"))))</f>
        <v>R03</v>
      </c>
      <c r="W2176" s="38" t="str">
        <f>+IF(U2176="","-",CONCATENATE(U2176,"_",V2176))</f>
        <v>FINES_R03</v>
      </c>
      <c r="X2176" s="42">
        <v>0.77200000000000002</v>
      </c>
    </row>
    <row r="2177" spans="1:24">
      <c r="A2177" s="21" t="s">
        <v>5100</v>
      </c>
      <c r="B2177" t="s">
        <v>1532</v>
      </c>
      <c r="C2177" t="s">
        <v>1530</v>
      </c>
      <c r="D2177" t="s">
        <v>1531</v>
      </c>
      <c r="E2177" s="7" t="s">
        <v>198</v>
      </c>
      <c r="F2177" s="7" t="s">
        <v>198</v>
      </c>
      <c r="G2177" s="7" t="s">
        <v>198</v>
      </c>
      <c r="H2177" s="7" t="s">
        <v>20</v>
      </c>
      <c r="I2177" s="7" t="s">
        <v>5102</v>
      </c>
      <c r="J2177" s="7" t="s">
        <v>21</v>
      </c>
      <c r="L2177" t="s">
        <v>3378</v>
      </c>
      <c r="M2177" s="7" t="s">
        <v>22</v>
      </c>
      <c r="N2177" s="7" t="s">
        <v>23</v>
      </c>
      <c r="O2177" s="7" t="s">
        <v>27</v>
      </c>
      <c r="P2177" s="7" t="s">
        <v>5101</v>
      </c>
      <c r="Q2177" s="26">
        <v>14</v>
      </c>
      <c r="R2177" s="26">
        <v>1</v>
      </c>
      <c r="S2177" s="40">
        <v>1</v>
      </c>
      <c r="T2177" s="7"/>
      <c r="U2177" s="7" t="s">
        <v>2951</v>
      </c>
      <c r="V2177" s="7" t="str">
        <f>+IF(U2177="","",IF(U2177="FINES",CONCATENATE("R",IF(OR(B2177="16",B2177="21",B2177="22",B2177="23"),"16212223",IF(OR(B2177="15",B2177="17",B2177="24",B2177="25"),"15172425",B2177))),IF(U2177="CEBAS","UNICO",IF(VALUE(B2177)&lt;=11,"AMBA","INTERIOR"))))</f>
        <v>R03</v>
      </c>
      <c r="W2177" s="38" t="str">
        <f>+IF(U2177="","-",CONCATENATE(U2177,"_",V2177))</f>
        <v>FINES_R03</v>
      </c>
      <c r="X2177" s="42">
        <v>0.77400000000000002</v>
      </c>
    </row>
    <row r="2178" spans="1:24">
      <c r="A2178" s="21" t="s">
        <v>5100</v>
      </c>
      <c r="B2178" t="s">
        <v>1532</v>
      </c>
      <c r="C2178" t="s">
        <v>1530</v>
      </c>
      <c r="D2178" t="s">
        <v>1531</v>
      </c>
      <c r="E2178" s="7" t="s">
        <v>198</v>
      </c>
      <c r="F2178" s="7" t="s">
        <v>198</v>
      </c>
      <c r="G2178" s="7" t="s">
        <v>198</v>
      </c>
      <c r="H2178" s="7" t="s">
        <v>20</v>
      </c>
      <c r="I2178" s="7" t="s">
        <v>5102</v>
      </c>
      <c r="J2178" s="7" t="s">
        <v>21</v>
      </c>
      <c r="L2178" t="s">
        <v>3505</v>
      </c>
      <c r="M2178" s="7" t="s">
        <v>22</v>
      </c>
      <c r="N2178" s="7" t="s">
        <v>23</v>
      </c>
      <c r="O2178" s="7" t="s">
        <v>27</v>
      </c>
      <c r="P2178" s="7" t="s">
        <v>5101</v>
      </c>
      <c r="Q2178" s="26">
        <v>157</v>
      </c>
      <c r="R2178" s="26">
        <v>7</v>
      </c>
      <c r="S2178" s="40">
        <v>1</v>
      </c>
      <c r="T2178" s="7"/>
      <c r="U2178" s="7" t="s">
        <v>2951</v>
      </c>
      <c r="V2178" s="7" t="str">
        <f>+IF(U2178="","",IF(U2178="FINES",CONCATENATE("R",IF(OR(B2178="16",B2178="21",B2178="22",B2178="23"),"16212223",IF(OR(B2178="15",B2178="17",B2178="24",B2178="25"),"15172425",B2178))),IF(U2178="CEBAS","UNICO",IF(VALUE(B2178)&lt;=11,"AMBA","INTERIOR"))))</f>
        <v>R03</v>
      </c>
      <c r="W2178" s="38" t="str">
        <f>+IF(U2178="","-",CONCATENATE(U2178,"_",V2178))</f>
        <v>FINES_R03</v>
      </c>
      <c r="X2178" s="42">
        <v>0.77900000000000003</v>
      </c>
    </row>
    <row r="2179" spans="1:24">
      <c r="A2179" s="21" t="s">
        <v>5100</v>
      </c>
      <c r="B2179" t="s">
        <v>1532</v>
      </c>
      <c r="C2179" t="s">
        <v>1530</v>
      </c>
      <c r="D2179" t="s">
        <v>1531</v>
      </c>
      <c r="E2179" s="7" t="s">
        <v>198</v>
      </c>
      <c r="F2179" s="7" t="s">
        <v>198</v>
      </c>
      <c r="G2179" s="7" t="s">
        <v>198</v>
      </c>
      <c r="H2179" s="7" t="s">
        <v>20</v>
      </c>
      <c r="I2179" s="7" t="s">
        <v>5102</v>
      </c>
      <c r="J2179" s="7" t="s">
        <v>21</v>
      </c>
      <c r="L2179" t="s">
        <v>3401</v>
      </c>
      <c r="M2179" s="7" t="s">
        <v>22</v>
      </c>
      <c r="N2179" s="7" t="s">
        <v>23</v>
      </c>
      <c r="O2179" s="7" t="s">
        <v>27</v>
      </c>
      <c r="P2179" s="7" t="s">
        <v>5101</v>
      </c>
      <c r="Q2179" s="26">
        <v>193</v>
      </c>
      <c r="R2179" s="26">
        <v>7</v>
      </c>
      <c r="S2179" s="40">
        <v>1</v>
      </c>
      <c r="T2179" s="7"/>
      <c r="U2179" s="7" t="s">
        <v>2951</v>
      </c>
      <c r="V2179" s="7" t="str">
        <f>+IF(U2179="","",IF(U2179="FINES",CONCATENATE("R",IF(OR(B2179="16",B2179="21",B2179="22",B2179="23"),"16212223",IF(OR(B2179="15",B2179="17",B2179="24",B2179="25"),"15172425",B2179))),IF(U2179="CEBAS","UNICO",IF(VALUE(B2179)&lt;=11,"AMBA","INTERIOR"))))</f>
        <v>R03</v>
      </c>
      <c r="W2179" s="38" t="str">
        <f>+IF(U2179="","-",CONCATENATE(U2179,"_",V2179))</f>
        <v>FINES_R03</v>
      </c>
      <c r="X2179" s="42">
        <v>0.78200000000000003</v>
      </c>
    </row>
    <row r="2180" spans="1:24">
      <c r="A2180" s="21" t="s">
        <v>5100</v>
      </c>
      <c r="B2180" t="s">
        <v>1532</v>
      </c>
      <c r="C2180" t="s">
        <v>1530</v>
      </c>
      <c r="D2180" t="s">
        <v>1531</v>
      </c>
      <c r="E2180" s="7" t="s">
        <v>198</v>
      </c>
      <c r="F2180" s="7" t="s">
        <v>198</v>
      </c>
      <c r="G2180" s="7" t="s">
        <v>198</v>
      </c>
      <c r="H2180" s="7" t="s">
        <v>20</v>
      </c>
      <c r="I2180" s="7" t="s">
        <v>5102</v>
      </c>
      <c r="J2180" s="7" t="s">
        <v>21</v>
      </c>
      <c r="L2180" t="s">
        <v>3463</v>
      </c>
      <c r="M2180" s="7" t="s">
        <v>22</v>
      </c>
      <c r="N2180" s="7" t="s">
        <v>23</v>
      </c>
      <c r="O2180" s="7" t="s">
        <v>27</v>
      </c>
      <c r="P2180" s="7" t="s">
        <v>5101</v>
      </c>
      <c r="Q2180" s="26">
        <v>81</v>
      </c>
      <c r="R2180" s="26">
        <v>3</v>
      </c>
      <c r="S2180" s="40">
        <v>1</v>
      </c>
      <c r="T2180" s="7"/>
      <c r="U2180" s="7" t="s">
        <v>2951</v>
      </c>
      <c r="V2180" s="7" t="str">
        <f>+IF(U2180="","",IF(U2180="FINES",CONCATENATE("R",IF(OR(B2180="16",B2180="21",B2180="22",B2180="23"),"16212223",IF(OR(B2180="15",B2180="17",B2180="24",B2180="25"),"15172425",B2180))),IF(U2180="CEBAS","UNICO",IF(VALUE(B2180)&lt;=11,"AMBA","INTERIOR"))))</f>
        <v>R03</v>
      </c>
      <c r="W2180" s="38" t="str">
        <f>+IF(U2180="","-",CONCATENATE(U2180,"_",V2180))</f>
        <v>FINES_R03</v>
      </c>
      <c r="X2180" s="42">
        <v>0.78400000000000003</v>
      </c>
    </row>
    <row r="2181" spans="1:24">
      <c r="A2181" s="21" t="s">
        <v>5100</v>
      </c>
      <c r="B2181" t="s">
        <v>1532</v>
      </c>
      <c r="C2181" t="s">
        <v>1530</v>
      </c>
      <c r="D2181" t="s">
        <v>1531</v>
      </c>
      <c r="E2181" s="7" t="s">
        <v>198</v>
      </c>
      <c r="F2181" s="7" t="s">
        <v>198</v>
      </c>
      <c r="G2181" s="7" t="s">
        <v>198</v>
      </c>
      <c r="H2181" s="7" t="s">
        <v>20</v>
      </c>
      <c r="I2181" s="7" t="s">
        <v>5102</v>
      </c>
      <c r="J2181" s="7" t="s">
        <v>21</v>
      </c>
      <c r="L2181" t="s">
        <v>3484</v>
      </c>
      <c r="M2181" s="7" t="s">
        <v>22</v>
      </c>
      <c r="N2181" s="7" t="s">
        <v>23</v>
      </c>
      <c r="O2181" s="7" t="s">
        <v>27</v>
      </c>
      <c r="P2181" s="7" t="s">
        <v>5101</v>
      </c>
      <c r="Q2181" s="26">
        <v>159</v>
      </c>
      <c r="R2181" s="26">
        <v>8</v>
      </c>
      <c r="S2181" s="40">
        <v>1</v>
      </c>
      <c r="T2181" s="7"/>
      <c r="U2181" s="7" t="s">
        <v>2951</v>
      </c>
      <c r="V2181" s="7" t="str">
        <f>+IF(U2181="","",IF(U2181="FINES",CONCATENATE("R",IF(OR(B2181="16",B2181="21",B2181="22",B2181="23"),"16212223",IF(OR(B2181="15",B2181="17",B2181="24",B2181="25"),"15172425",B2181))),IF(U2181="CEBAS","UNICO",IF(VALUE(B2181)&lt;=11,"AMBA","INTERIOR"))))</f>
        <v>R03</v>
      </c>
      <c r="W2181" s="38" t="str">
        <f>+IF(U2181="","-",CONCATENATE(U2181,"_",V2181))</f>
        <v>FINES_R03</v>
      </c>
      <c r="X2181" s="42">
        <v>0.78600000000000003</v>
      </c>
    </row>
    <row r="2182" spans="1:24">
      <c r="A2182" s="21" t="s">
        <v>5100</v>
      </c>
      <c r="B2182" t="s">
        <v>1532</v>
      </c>
      <c r="C2182" t="s">
        <v>1530</v>
      </c>
      <c r="D2182" t="s">
        <v>1531</v>
      </c>
      <c r="E2182" s="7" t="s">
        <v>198</v>
      </c>
      <c r="F2182" s="7" t="s">
        <v>198</v>
      </c>
      <c r="G2182" s="7" t="s">
        <v>198</v>
      </c>
      <c r="H2182" s="7" t="s">
        <v>20</v>
      </c>
      <c r="I2182" s="7" t="s">
        <v>5102</v>
      </c>
      <c r="J2182" s="7" t="s">
        <v>21</v>
      </c>
      <c r="L2182" t="s">
        <v>3428</v>
      </c>
      <c r="M2182" s="7" t="s">
        <v>22</v>
      </c>
      <c r="N2182" s="7" t="s">
        <v>23</v>
      </c>
      <c r="O2182" s="7" t="s">
        <v>27</v>
      </c>
      <c r="P2182" s="7" t="s">
        <v>5101</v>
      </c>
      <c r="Q2182" s="26">
        <v>38</v>
      </c>
      <c r="R2182" s="26">
        <v>2</v>
      </c>
      <c r="S2182" s="40">
        <v>1</v>
      </c>
      <c r="T2182" s="7"/>
      <c r="U2182" s="7" t="s">
        <v>2951</v>
      </c>
      <c r="V2182" s="7" t="str">
        <f>+IF(U2182="","",IF(U2182="FINES",CONCATENATE("R",IF(OR(B2182="16",B2182="21",B2182="22",B2182="23"),"16212223",IF(OR(B2182="15",B2182="17",B2182="24",B2182="25"),"15172425",B2182))),IF(U2182="CEBAS","UNICO",IF(VALUE(B2182)&lt;=11,"AMBA","INTERIOR"))))</f>
        <v>R03</v>
      </c>
      <c r="W2182" s="38" t="str">
        <f>+IF(U2182="","-",CONCATENATE(U2182,"_",V2182))</f>
        <v>FINES_R03</v>
      </c>
      <c r="X2182" s="42">
        <v>0.78800000000000003</v>
      </c>
    </row>
    <row r="2183" spans="1:24">
      <c r="A2183" s="21" t="s">
        <v>5100</v>
      </c>
      <c r="B2183" t="s">
        <v>1532</v>
      </c>
      <c r="C2183" t="s">
        <v>1530</v>
      </c>
      <c r="D2183" t="s">
        <v>1531</v>
      </c>
      <c r="E2183" s="7" t="s">
        <v>198</v>
      </c>
      <c r="F2183" s="7" t="s">
        <v>198</v>
      </c>
      <c r="G2183" s="7" t="s">
        <v>198</v>
      </c>
      <c r="H2183" s="7" t="s">
        <v>20</v>
      </c>
      <c r="I2183" s="7" t="s">
        <v>5102</v>
      </c>
      <c r="J2183" s="7" t="s">
        <v>21</v>
      </c>
      <c r="L2183" t="s">
        <v>3430</v>
      </c>
      <c r="M2183" s="7" t="s">
        <v>22</v>
      </c>
      <c r="N2183" s="7" t="s">
        <v>23</v>
      </c>
      <c r="O2183" s="7" t="s">
        <v>27</v>
      </c>
      <c r="P2183" s="7" t="s">
        <v>5101</v>
      </c>
      <c r="Q2183" s="26">
        <v>56</v>
      </c>
      <c r="R2183" s="26">
        <v>2</v>
      </c>
      <c r="S2183" s="40">
        <v>1</v>
      </c>
      <c r="T2183" s="7"/>
      <c r="U2183" s="7" t="s">
        <v>2951</v>
      </c>
      <c r="V2183" s="7" t="str">
        <f>+IF(U2183="","",IF(U2183="FINES",CONCATENATE("R",IF(OR(B2183="16",B2183="21",B2183="22",B2183="23"),"16212223",IF(OR(B2183="15",B2183="17",B2183="24",B2183="25"),"15172425",B2183))),IF(U2183="CEBAS","UNICO",IF(VALUE(B2183)&lt;=11,"AMBA","INTERIOR"))))</f>
        <v>R03</v>
      </c>
      <c r="W2183" s="38" t="str">
        <f>+IF(U2183="","-",CONCATENATE(U2183,"_",V2183))</f>
        <v>FINES_R03</v>
      </c>
      <c r="X2183" s="42">
        <v>0.79300000000000004</v>
      </c>
    </row>
    <row r="2184" spans="1:24">
      <c r="A2184" s="21" t="s">
        <v>5100</v>
      </c>
      <c r="B2184" t="s">
        <v>1532</v>
      </c>
      <c r="C2184" t="s">
        <v>1530</v>
      </c>
      <c r="D2184" t="s">
        <v>1531</v>
      </c>
      <c r="E2184" s="7" t="s">
        <v>198</v>
      </c>
      <c r="F2184" s="7" t="s">
        <v>198</v>
      </c>
      <c r="G2184" s="7" t="s">
        <v>198</v>
      </c>
      <c r="H2184" s="7" t="s">
        <v>20</v>
      </c>
      <c r="I2184" s="7" t="s">
        <v>5102</v>
      </c>
      <c r="J2184" s="7" t="s">
        <v>21</v>
      </c>
      <c r="L2184" t="s">
        <v>3333</v>
      </c>
      <c r="M2184" s="7" t="s">
        <v>22</v>
      </c>
      <c r="N2184" s="7" t="s">
        <v>23</v>
      </c>
      <c r="O2184" s="7" t="s">
        <v>27</v>
      </c>
      <c r="P2184" s="7" t="s">
        <v>5101</v>
      </c>
      <c r="Q2184" s="26">
        <v>23</v>
      </c>
      <c r="R2184" s="26">
        <v>1</v>
      </c>
      <c r="S2184" s="40">
        <v>1</v>
      </c>
      <c r="T2184" s="7"/>
      <c r="U2184" s="7" t="s">
        <v>2951</v>
      </c>
      <c r="V2184" s="7" t="str">
        <f>+IF(U2184="","",IF(U2184="FINES",CONCATENATE("R",IF(OR(B2184="16",B2184="21",B2184="22",B2184="23"),"16212223",IF(OR(B2184="15",B2184="17",B2184="24",B2184="25"),"15172425",B2184))),IF(U2184="CEBAS","UNICO",IF(VALUE(B2184)&lt;=11,"AMBA","INTERIOR"))))</f>
        <v>R03</v>
      </c>
      <c r="W2184" s="38" t="str">
        <f>+IF(U2184="","-",CONCATENATE(U2184,"_",V2184))</f>
        <v>FINES_R03</v>
      </c>
      <c r="X2184" s="42">
        <v>0.79300000000000004</v>
      </c>
    </row>
    <row r="2185" spans="1:24">
      <c r="A2185" s="21" t="s">
        <v>5100</v>
      </c>
      <c r="B2185" t="s">
        <v>1532</v>
      </c>
      <c r="C2185" t="s">
        <v>1530</v>
      </c>
      <c r="D2185" t="s">
        <v>1531</v>
      </c>
      <c r="E2185" s="7" t="s">
        <v>198</v>
      </c>
      <c r="F2185" s="7" t="s">
        <v>198</v>
      </c>
      <c r="G2185" s="7" t="s">
        <v>198</v>
      </c>
      <c r="H2185" s="7" t="s">
        <v>20</v>
      </c>
      <c r="I2185" s="7" t="s">
        <v>5102</v>
      </c>
      <c r="J2185" s="7" t="s">
        <v>21</v>
      </c>
      <c r="L2185" t="s">
        <v>3474</v>
      </c>
      <c r="M2185" s="7" t="s">
        <v>22</v>
      </c>
      <c r="N2185" s="7" t="s">
        <v>23</v>
      </c>
      <c r="O2185" s="7" t="s">
        <v>27</v>
      </c>
      <c r="P2185" s="7" t="s">
        <v>5101</v>
      </c>
      <c r="Q2185" s="26">
        <v>0</v>
      </c>
      <c r="R2185" s="26">
        <v>1</v>
      </c>
      <c r="S2185" s="40">
        <v>1</v>
      </c>
      <c r="T2185" s="7"/>
      <c r="U2185" s="7" t="s">
        <v>2951</v>
      </c>
      <c r="V2185" s="7" t="str">
        <f>+IF(U2185="","",IF(U2185="FINES",CONCATENATE("R",IF(OR(B2185="16",B2185="21",B2185="22",B2185="23"),"16212223",IF(OR(B2185="15",B2185="17",B2185="24",B2185="25"),"15172425",B2185))),IF(U2185="CEBAS","UNICO",IF(VALUE(B2185)&lt;=11,"AMBA","INTERIOR"))))</f>
        <v>R03</v>
      </c>
      <c r="W2185" s="38" t="str">
        <f>+IF(U2185="","-",CONCATENATE(U2185,"_",V2185))</f>
        <v>FINES_R03</v>
      </c>
      <c r="X2185" s="42">
        <v>0.79400000000000004</v>
      </c>
    </row>
    <row r="2186" spans="1:24">
      <c r="A2186" s="21" t="s">
        <v>5100</v>
      </c>
      <c r="B2186" t="s">
        <v>1532</v>
      </c>
      <c r="C2186" t="s">
        <v>1530</v>
      </c>
      <c r="D2186" t="s">
        <v>1531</v>
      </c>
      <c r="E2186" s="7" t="s">
        <v>198</v>
      </c>
      <c r="F2186" s="7" t="s">
        <v>198</v>
      </c>
      <c r="G2186" s="7" t="s">
        <v>198</v>
      </c>
      <c r="H2186" s="7" t="s">
        <v>20</v>
      </c>
      <c r="I2186" s="7" t="s">
        <v>5102</v>
      </c>
      <c r="J2186" s="7" t="s">
        <v>21</v>
      </c>
      <c r="L2186" t="s">
        <v>3319</v>
      </c>
      <c r="M2186" s="7" t="s">
        <v>22</v>
      </c>
      <c r="N2186" s="7" t="s">
        <v>23</v>
      </c>
      <c r="O2186" s="7" t="s">
        <v>27</v>
      </c>
      <c r="P2186" s="7" t="s">
        <v>5101</v>
      </c>
      <c r="Q2186" s="26">
        <v>55</v>
      </c>
      <c r="R2186" s="26">
        <v>2</v>
      </c>
      <c r="S2186" s="40">
        <v>1</v>
      </c>
      <c r="T2186" s="7"/>
      <c r="U2186" s="7" t="s">
        <v>2951</v>
      </c>
      <c r="V2186" s="7" t="str">
        <f>+IF(U2186="","",IF(U2186="FINES",CONCATENATE("R",IF(OR(B2186="16",B2186="21",B2186="22",B2186="23"),"16212223",IF(OR(B2186="15",B2186="17",B2186="24",B2186="25"),"15172425",B2186))),IF(U2186="CEBAS","UNICO",IF(VALUE(B2186)&lt;=11,"AMBA","INTERIOR"))))</f>
        <v>R03</v>
      </c>
      <c r="W2186" s="38" t="str">
        <f>+IF(U2186="","-",CONCATENATE(U2186,"_",V2186))</f>
        <v>FINES_R03</v>
      </c>
      <c r="X2186" s="42">
        <v>0.79400000000000004</v>
      </c>
    </row>
    <row r="2187" spans="1:24">
      <c r="A2187" s="21" t="s">
        <v>5100</v>
      </c>
      <c r="B2187" t="s">
        <v>1532</v>
      </c>
      <c r="C2187" t="s">
        <v>1530</v>
      </c>
      <c r="D2187" t="s">
        <v>1531</v>
      </c>
      <c r="E2187" s="7" t="s">
        <v>198</v>
      </c>
      <c r="F2187" s="7" t="s">
        <v>198</v>
      </c>
      <c r="G2187" s="7" t="s">
        <v>198</v>
      </c>
      <c r="H2187" s="7" t="s">
        <v>20</v>
      </c>
      <c r="I2187" s="7" t="s">
        <v>5102</v>
      </c>
      <c r="J2187" s="7" t="s">
        <v>21</v>
      </c>
      <c r="L2187" t="s">
        <v>3448</v>
      </c>
      <c r="M2187" s="7" t="s">
        <v>22</v>
      </c>
      <c r="N2187" s="7" t="s">
        <v>23</v>
      </c>
      <c r="O2187" s="7" t="s">
        <v>27</v>
      </c>
      <c r="P2187" s="7" t="s">
        <v>5101</v>
      </c>
      <c r="Q2187" s="26">
        <v>44</v>
      </c>
      <c r="R2187" s="26">
        <v>2</v>
      </c>
      <c r="S2187" s="40">
        <v>1</v>
      </c>
      <c r="T2187" s="7"/>
      <c r="U2187" s="7" t="s">
        <v>2951</v>
      </c>
      <c r="V2187" s="7" t="str">
        <f>+IF(U2187="","",IF(U2187="FINES",CONCATENATE("R",IF(OR(B2187="16",B2187="21",B2187="22",B2187="23"),"16212223",IF(OR(B2187="15",B2187="17",B2187="24",B2187="25"),"15172425",B2187))),IF(U2187="CEBAS","UNICO",IF(VALUE(B2187)&lt;=11,"AMBA","INTERIOR"))))</f>
        <v>R03</v>
      </c>
      <c r="W2187" s="38" t="str">
        <f>+IF(U2187="","-",CONCATENATE(U2187,"_",V2187))</f>
        <v>FINES_R03</v>
      </c>
      <c r="X2187" s="42">
        <v>0.80200000000000005</v>
      </c>
    </row>
    <row r="2188" spans="1:24">
      <c r="A2188" s="21" t="s">
        <v>5100</v>
      </c>
      <c r="B2188" t="s">
        <v>1532</v>
      </c>
      <c r="C2188" t="s">
        <v>1530</v>
      </c>
      <c r="D2188" t="s">
        <v>1531</v>
      </c>
      <c r="E2188" s="7" t="s">
        <v>198</v>
      </c>
      <c r="F2188" s="7" t="s">
        <v>198</v>
      </c>
      <c r="G2188" s="7" t="s">
        <v>198</v>
      </c>
      <c r="H2188" s="7" t="s">
        <v>20</v>
      </c>
      <c r="I2188" s="7" t="s">
        <v>5102</v>
      </c>
      <c r="J2188" s="7" t="s">
        <v>21</v>
      </c>
      <c r="L2188" t="s">
        <v>3467</v>
      </c>
      <c r="M2188" s="7" t="s">
        <v>22</v>
      </c>
      <c r="N2188" s="7" t="s">
        <v>23</v>
      </c>
      <c r="O2188" s="7" t="s">
        <v>27</v>
      </c>
      <c r="P2188" s="7" t="s">
        <v>5101</v>
      </c>
      <c r="Q2188" s="26">
        <v>44</v>
      </c>
      <c r="R2188" s="26">
        <v>2</v>
      </c>
      <c r="S2188" s="40">
        <v>1</v>
      </c>
      <c r="T2188" s="7"/>
      <c r="U2188" s="7" t="s">
        <v>2951</v>
      </c>
      <c r="V2188" s="7" t="str">
        <f>+IF(U2188="","",IF(U2188="FINES",CONCATENATE("R",IF(OR(B2188="16",B2188="21",B2188="22",B2188="23"),"16212223",IF(OR(B2188="15",B2188="17",B2188="24",B2188="25"),"15172425",B2188))),IF(U2188="CEBAS","UNICO",IF(VALUE(B2188)&lt;=11,"AMBA","INTERIOR"))))</f>
        <v>R03</v>
      </c>
      <c r="W2188" s="38" t="str">
        <f>+IF(U2188="","-",CONCATENATE(U2188,"_",V2188))</f>
        <v>FINES_R03</v>
      </c>
      <c r="X2188" s="42">
        <v>0.80700000000000005</v>
      </c>
    </row>
    <row r="2189" spans="1:24">
      <c r="A2189" s="21" t="s">
        <v>5100</v>
      </c>
      <c r="B2189" t="s">
        <v>1532</v>
      </c>
      <c r="C2189" t="s">
        <v>1530</v>
      </c>
      <c r="D2189" t="s">
        <v>1531</v>
      </c>
      <c r="E2189" s="7" t="s">
        <v>198</v>
      </c>
      <c r="F2189" s="7" t="s">
        <v>198</v>
      </c>
      <c r="G2189" s="7" t="s">
        <v>198</v>
      </c>
      <c r="H2189" s="7" t="s">
        <v>20</v>
      </c>
      <c r="I2189" s="7" t="s">
        <v>5102</v>
      </c>
      <c r="J2189" s="7" t="s">
        <v>21</v>
      </c>
      <c r="L2189" t="s">
        <v>3438</v>
      </c>
      <c r="M2189" s="7" t="s">
        <v>22</v>
      </c>
      <c r="N2189" s="7" t="s">
        <v>23</v>
      </c>
      <c r="O2189" s="7" t="s">
        <v>27</v>
      </c>
      <c r="P2189" s="7" t="s">
        <v>5101</v>
      </c>
      <c r="Q2189" s="26">
        <v>64</v>
      </c>
      <c r="R2189" s="26">
        <v>3</v>
      </c>
      <c r="S2189" s="40">
        <v>1</v>
      </c>
      <c r="T2189" s="7"/>
      <c r="U2189" s="7" t="s">
        <v>2951</v>
      </c>
      <c r="V2189" s="7" t="str">
        <f>+IF(U2189="","",IF(U2189="FINES",CONCATENATE("R",IF(OR(B2189="16",B2189="21",B2189="22",B2189="23"),"16212223",IF(OR(B2189="15",B2189="17",B2189="24",B2189="25"),"15172425",B2189))),IF(U2189="CEBAS","UNICO",IF(VALUE(B2189)&lt;=11,"AMBA","INTERIOR"))))</f>
        <v>R03</v>
      </c>
      <c r="W2189" s="38" t="str">
        <f>+IF(U2189="","-",CONCATENATE(U2189,"_",V2189))</f>
        <v>FINES_R03</v>
      </c>
      <c r="X2189" s="42">
        <v>0.81899999999999995</v>
      </c>
    </row>
    <row r="2190" spans="1:24">
      <c r="A2190" s="21" t="s">
        <v>5100</v>
      </c>
      <c r="B2190" t="s">
        <v>1532</v>
      </c>
      <c r="C2190" t="s">
        <v>1530</v>
      </c>
      <c r="D2190" t="s">
        <v>1531</v>
      </c>
      <c r="E2190" s="7" t="s">
        <v>198</v>
      </c>
      <c r="F2190" s="7" t="s">
        <v>198</v>
      </c>
      <c r="G2190" s="7" t="s">
        <v>198</v>
      </c>
      <c r="H2190" s="7" t="s">
        <v>20</v>
      </c>
      <c r="I2190" s="7" t="s">
        <v>5102</v>
      </c>
      <c r="J2190" s="7" t="s">
        <v>21</v>
      </c>
      <c r="L2190" t="s">
        <v>3502</v>
      </c>
      <c r="M2190" s="7" t="s">
        <v>22</v>
      </c>
      <c r="N2190" s="7" t="s">
        <v>23</v>
      </c>
      <c r="O2190" s="7" t="s">
        <v>27</v>
      </c>
      <c r="P2190" s="7" t="s">
        <v>5101</v>
      </c>
      <c r="Q2190" s="26">
        <v>60</v>
      </c>
      <c r="R2190" s="26">
        <v>2</v>
      </c>
      <c r="S2190" s="40">
        <v>1</v>
      </c>
      <c r="T2190" s="7"/>
      <c r="U2190" s="7" t="s">
        <v>2951</v>
      </c>
      <c r="V2190" s="7" t="str">
        <f>+IF(U2190="","",IF(U2190="FINES",CONCATENATE("R",IF(OR(B2190="16",B2190="21",B2190="22",B2190="23"),"16212223",IF(OR(B2190="15",B2190="17",B2190="24",B2190="25"),"15172425",B2190))),IF(U2190="CEBAS","UNICO",IF(VALUE(B2190)&lt;=11,"AMBA","INTERIOR"))))</f>
        <v>R03</v>
      </c>
      <c r="W2190" s="38" t="str">
        <f>+IF(U2190="","-",CONCATENATE(U2190,"_",V2190))</f>
        <v>FINES_R03</v>
      </c>
      <c r="X2190" s="42">
        <v>0.82099999999999995</v>
      </c>
    </row>
    <row r="2191" spans="1:24">
      <c r="A2191" s="21" t="s">
        <v>5100</v>
      </c>
      <c r="B2191" t="s">
        <v>1532</v>
      </c>
      <c r="C2191" t="s">
        <v>1530</v>
      </c>
      <c r="D2191" t="s">
        <v>1531</v>
      </c>
      <c r="E2191" s="7" t="s">
        <v>198</v>
      </c>
      <c r="F2191" s="7" t="s">
        <v>198</v>
      </c>
      <c r="G2191" s="7" t="s">
        <v>198</v>
      </c>
      <c r="H2191" s="7" t="s">
        <v>20</v>
      </c>
      <c r="I2191" s="7" t="s">
        <v>5102</v>
      </c>
      <c r="J2191" s="7" t="s">
        <v>21</v>
      </c>
      <c r="L2191" t="s">
        <v>3367</v>
      </c>
      <c r="M2191" s="7" t="s">
        <v>22</v>
      </c>
      <c r="N2191" s="7" t="s">
        <v>23</v>
      </c>
      <c r="O2191" s="7" t="s">
        <v>27</v>
      </c>
      <c r="P2191" s="7" t="s">
        <v>5101</v>
      </c>
      <c r="Q2191" s="26">
        <v>27</v>
      </c>
      <c r="R2191" s="26">
        <v>1</v>
      </c>
      <c r="S2191" s="40">
        <v>1</v>
      </c>
      <c r="T2191" s="7"/>
      <c r="U2191" s="7" t="s">
        <v>2951</v>
      </c>
      <c r="V2191" s="7" t="str">
        <f>+IF(U2191="","",IF(U2191="FINES",CONCATENATE("R",IF(OR(B2191="16",B2191="21",B2191="22",B2191="23"),"16212223",IF(OR(B2191="15",B2191="17",B2191="24",B2191="25"),"15172425",B2191))),IF(U2191="CEBAS","UNICO",IF(VALUE(B2191)&lt;=11,"AMBA","INTERIOR"))))</f>
        <v>R03</v>
      </c>
      <c r="W2191" s="38" t="str">
        <f>+IF(U2191="","-",CONCATENATE(U2191,"_",V2191))</f>
        <v>FINES_R03</v>
      </c>
      <c r="X2191" s="42">
        <v>0.82499999999999996</v>
      </c>
    </row>
    <row r="2192" spans="1:24">
      <c r="A2192" s="21" t="s">
        <v>5100</v>
      </c>
      <c r="B2192" t="s">
        <v>1532</v>
      </c>
      <c r="C2192" t="s">
        <v>1530</v>
      </c>
      <c r="D2192" t="s">
        <v>1531</v>
      </c>
      <c r="E2192" s="7" t="s">
        <v>198</v>
      </c>
      <c r="F2192" s="7" t="s">
        <v>198</v>
      </c>
      <c r="G2192" s="7" t="s">
        <v>198</v>
      </c>
      <c r="H2192" s="7" t="s">
        <v>20</v>
      </c>
      <c r="I2192" s="7" t="s">
        <v>5102</v>
      </c>
      <c r="J2192" s="7" t="s">
        <v>21</v>
      </c>
      <c r="L2192" t="s">
        <v>3496</v>
      </c>
      <c r="M2192" s="7" t="s">
        <v>22</v>
      </c>
      <c r="N2192" s="7" t="s">
        <v>23</v>
      </c>
      <c r="O2192" s="7" t="s">
        <v>27</v>
      </c>
      <c r="P2192" s="7" t="s">
        <v>5101</v>
      </c>
      <c r="Q2192" s="26">
        <v>64</v>
      </c>
      <c r="R2192" s="26">
        <v>2</v>
      </c>
      <c r="S2192" s="40">
        <v>1</v>
      </c>
      <c r="T2192" s="7"/>
      <c r="U2192" s="7" t="s">
        <v>2951</v>
      </c>
      <c r="V2192" s="7" t="str">
        <f>+IF(U2192="","",IF(U2192="FINES",CONCATENATE("R",IF(OR(B2192="16",B2192="21",B2192="22",B2192="23"),"16212223",IF(OR(B2192="15",B2192="17",B2192="24",B2192="25"),"15172425",B2192))),IF(U2192="CEBAS","UNICO",IF(VALUE(B2192)&lt;=11,"AMBA","INTERIOR"))))</f>
        <v>R03</v>
      </c>
      <c r="W2192" s="38" t="str">
        <f>+IF(U2192="","-",CONCATENATE(U2192,"_",V2192))</f>
        <v>FINES_R03</v>
      </c>
      <c r="X2192" s="42">
        <v>0.82599999999999996</v>
      </c>
    </row>
    <row r="2193" spans="1:24">
      <c r="A2193" s="21" t="s">
        <v>5100</v>
      </c>
      <c r="B2193" t="s">
        <v>1532</v>
      </c>
      <c r="C2193" t="s">
        <v>1530</v>
      </c>
      <c r="D2193" t="s">
        <v>1531</v>
      </c>
      <c r="E2193" s="7" t="s">
        <v>198</v>
      </c>
      <c r="F2193" s="7" t="s">
        <v>198</v>
      </c>
      <c r="G2193" s="7" t="s">
        <v>198</v>
      </c>
      <c r="H2193" s="7" t="s">
        <v>20</v>
      </c>
      <c r="I2193" s="7" t="s">
        <v>5102</v>
      </c>
      <c r="J2193" s="7" t="s">
        <v>21</v>
      </c>
      <c r="L2193" t="s">
        <v>3456</v>
      </c>
      <c r="M2193" s="7" t="s">
        <v>22</v>
      </c>
      <c r="N2193" s="7" t="s">
        <v>23</v>
      </c>
      <c r="O2193" s="7" t="s">
        <v>27</v>
      </c>
      <c r="P2193" s="7" t="s">
        <v>5101</v>
      </c>
      <c r="Q2193" s="26">
        <v>28</v>
      </c>
      <c r="R2193" s="26">
        <v>1</v>
      </c>
      <c r="S2193" s="40">
        <v>1</v>
      </c>
      <c r="T2193" s="7"/>
      <c r="U2193" s="7" t="s">
        <v>2951</v>
      </c>
      <c r="V2193" s="7" t="str">
        <f>+IF(U2193="","",IF(U2193="FINES",CONCATENATE("R",IF(OR(B2193="16",B2193="21",B2193="22",B2193="23"),"16212223",IF(OR(B2193="15",B2193="17",B2193="24",B2193="25"),"15172425",B2193))),IF(U2193="CEBAS","UNICO",IF(VALUE(B2193)&lt;=11,"AMBA","INTERIOR"))))</f>
        <v>R03</v>
      </c>
      <c r="W2193" s="38" t="str">
        <f>+IF(U2193="","-",CONCATENATE(U2193,"_",V2193))</f>
        <v>FINES_R03</v>
      </c>
      <c r="X2193" s="42">
        <v>0.82899999999999996</v>
      </c>
    </row>
    <row r="2194" spans="1:24">
      <c r="A2194" s="21" t="s">
        <v>5100</v>
      </c>
      <c r="B2194" t="s">
        <v>1532</v>
      </c>
      <c r="C2194" t="s">
        <v>1530</v>
      </c>
      <c r="D2194" t="s">
        <v>1531</v>
      </c>
      <c r="E2194" s="7" t="s">
        <v>198</v>
      </c>
      <c r="F2194" s="7" t="s">
        <v>198</v>
      </c>
      <c r="G2194" s="7" t="s">
        <v>198</v>
      </c>
      <c r="H2194" s="7" t="s">
        <v>20</v>
      </c>
      <c r="I2194" s="7" t="s">
        <v>5102</v>
      </c>
      <c r="J2194" s="7" t="s">
        <v>21</v>
      </c>
      <c r="L2194" t="s">
        <v>3374</v>
      </c>
      <c r="M2194" s="7" t="s">
        <v>22</v>
      </c>
      <c r="N2194" s="7" t="s">
        <v>23</v>
      </c>
      <c r="O2194" s="7" t="s">
        <v>27</v>
      </c>
      <c r="P2194" s="7" t="s">
        <v>5101</v>
      </c>
      <c r="Q2194" s="26">
        <v>20</v>
      </c>
      <c r="R2194" s="26">
        <v>1</v>
      </c>
      <c r="S2194" s="40">
        <v>1</v>
      </c>
      <c r="T2194" s="7"/>
      <c r="U2194" s="7" t="s">
        <v>2951</v>
      </c>
      <c r="V2194" s="7" t="str">
        <f>+IF(U2194="","",IF(U2194="FINES",CONCATENATE("R",IF(OR(B2194="16",B2194="21",B2194="22",B2194="23"),"16212223",IF(OR(B2194="15",B2194="17",B2194="24",B2194="25"),"15172425",B2194))),IF(U2194="CEBAS","UNICO",IF(VALUE(B2194)&lt;=11,"AMBA","INTERIOR"))))</f>
        <v>R03</v>
      </c>
      <c r="W2194" s="38" t="str">
        <f>+IF(U2194="","-",CONCATENATE(U2194,"_",V2194))</f>
        <v>FINES_R03</v>
      </c>
      <c r="X2194" s="42">
        <v>0.83499999999999996</v>
      </c>
    </row>
    <row r="2195" spans="1:24">
      <c r="A2195" s="21" t="s">
        <v>5100</v>
      </c>
      <c r="B2195" t="s">
        <v>1532</v>
      </c>
      <c r="C2195" t="s">
        <v>1530</v>
      </c>
      <c r="D2195" t="s">
        <v>1531</v>
      </c>
      <c r="E2195" s="7" t="s">
        <v>198</v>
      </c>
      <c r="F2195" s="7" t="s">
        <v>198</v>
      </c>
      <c r="G2195" s="7" t="s">
        <v>198</v>
      </c>
      <c r="H2195" s="7" t="s">
        <v>20</v>
      </c>
      <c r="I2195" s="7" t="s">
        <v>5102</v>
      </c>
      <c r="J2195" s="7" t="s">
        <v>21</v>
      </c>
      <c r="L2195" t="s">
        <v>3516</v>
      </c>
      <c r="M2195" s="7" t="s">
        <v>22</v>
      </c>
      <c r="N2195" s="7" t="s">
        <v>23</v>
      </c>
      <c r="O2195" s="7" t="s">
        <v>27</v>
      </c>
      <c r="P2195" s="7" t="s">
        <v>5101</v>
      </c>
      <c r="Q2195" s="26">
        <v>43</v>
      </c>
      <c r="R2195" s="26">
        <v>2</v>
      </c>
      <c r="S2195" s="40">
        <v>1</v>
      </c>
      <c r="T2195" s="7"/>
      <c r="U2195" s="7" t="s">
        <v>2951</v>
      </c>
      <c r="V2195" s="7" t="str">
        <f>+IF(U2195="","",IF(U2195="FINES",CONCATENATE("R",IF(OR(B2195="16",B2195="21",B2195="22",B2195="23"),"16212223",IF(OR(B2195="15",B2195="17",B2195="24",B2195="25"),"15172425",B2195))),IF(U2195="CEBAS","UNICO",IF(VALUE(B2195)&lt;=11,"AMBA","INTERIOR"))))</f>
        <v>R03</v>
      </c>
      <c r="W2195" s="38" t="str">
        <f>+IF(U2195="","-",CONCATENATE(U2195,"_",V2195))</f>
        <v>FINES_R03</v>
      </c>
      <c r="X2195" s="42">
        <v>0.83699999999999997</v>
      </c>
    </row>
    <row r="2196" spans="1:24">
      <c r="A2196" s="21" t="s">
        <v>5100</v>
      </c>
      <c r="B2196" t="s">
        <v>1532</v>
      </c>
      <c r="C2196" t="s">
        <v>1530</v>
      </c>
      <c r="D2196" t="s">
        <v>1531</v>
      </c>
      <c r="E2196" s="7" t="s">
        <v>198</v>
      </c>
      <c r="F2196" s="7" t="s">
        <v>198</v>
      </c>
      <c r="G2196" s="7" t="s">
        <v>198</v>
      </c>
      <c r="H2196" s="7" t="s">
        <v>20</v>
      </c>
      <c r="I2196" s="7" t="s">
        <v>5102</v>
      </c>
      <c r="J2196" s="7" t="s">
        <v>21</v>
      </c>
      <c r="L2196" t="s">
        <v>3424</v>
      </c>
      <c r="M2196" s="7" t="s">
        <v>22</v>
      </c>
      <c r="N2196" s="7" t="s">
        <v>23</v>
      </c>
      <c r="O2196" s="7" t="s">
        <v>27</v>
      </c>
      <c r="P2196" s="7" t="s">
        <v>5101</v>
      </c>
      <c r="Q2196" s="26">
        <v>71</v>
      </c>
      <c r="R2196" s="26">
        <v>3</v>
      </c>
      <c r="S2196" s="40">
        <v>1</v>
      </c>
      <c r="T2196" s="7"/>
      <c r="U2196" s="7" t="s">
        <v>2951</v>
      </c>
      <c r="V2196" s="7" t="str">
        <f>+IF(U2196="","",IF(U2196="FINES",CONCATENATE("R",IF(OR(B2196="16",B2196="21",B2196="22",B2196="23"),"16212223",IF(OR(B2196="15",B2196="17",B2196="24",B2196="25"),"15172425",B2196))),IF(U2196="CEBAS","UNICO",IF(VALUE(B2196)&lt;=11,"AMBA","INTERIOR"))))</f>
        <v>R03</v>
      </c>
      <c r="W2196" s="38" t="str">
        <f>+IF(U2196="","-",CONCATENATE(U2196,"_",V2196))</f>
        <v>FINES_R03</v>
      </c>
      <c r="X2196" s="42">
        <v>0.84699999999999998</v>
      </c>
    </row>
    <row r="2197" spans="1:24">
      <c r="A2197" s="21" t="s">
        <v>5100</v>
      </c>
      <c r="B2197" t="s">
        <v>1532</v>
      </c>
      <c r="C2197" t="s">
        <v>1530</v>
      </c>
      <c r="D2197" t="s">
        <v>1531</v>
      </c>
      <c r="E2197" s="7" t="s">
        <v>198</v>
      </c>
      <c r="F2197" s="7" t="s">
        <v>198</v>
      </c>
      <c r="G2197" s="7" t="s">
        <v>198</v>
      </c>
      <c r="H2197" s="7" t="s">
        <v>20</v>
      </c>
      <c r="I2197" s="7" t="s">
        <v>5102</v>
      </c>
      <c r="J2197" s="7" t="s">
        <v>21</v>
      </c>
      <c r="L2197" t="s">
        <v>3495</v>
      </c>
      <c r="M2197" s="7" t="s">
        <v>22</v>
      </c>
      <c r="N2197" s="7" t="s">
        <v>23</v>
      </c>
      <c r="O2197" s="7" t="s">
        <v>27</v>
      </c>
      <c r="P2197" s="7" t="s">
        <v>5101</v>
      </c>
      <c r="Q2197" s="26">
        <v>168</v>
      </c>
      <c r="R2197" s="26">
        <v>8</v>
      </c>
      <c r="S2197" s="40">
        <v>1</v>
      </c>
      <c r="T2197" s="7"/>
      <c r="U2197" s="7" t="s">
        <v>2951</v>
      </c>
      <c r="V2197" s="7" t="str">
        <f>+IF(U2197="","",IF(U2197="FINES",CONCATENATE("R",IF(OR(B2197="16",B2197="21",B2197="22",B2197="23"),"16212223",IF(OR(B2197="15",B2197="17",B2197="24",B2197="25"),"15172425",B2197))),IF(U2197="CEBAS","UNICO",IF(VALUE(B2197)&lt;=11,"AMBA","INTERIOR"))))</f>
        <v>R03</v>
      </c>
      <c r="W2197" s="38" t="str">
        <f>+IF(U2197="","-",CONCATENATE(U2197,"_",V2197))</f>
        <v>FINES_R03</v>
      </c>
      <c r="X2197" s="42">
        <v>0.85</v>
      </c>
    </row>
    <row r="2198" spans="1:24">
      <c r="A2198" s="21" t="s">
        <v>5100</v>
      </c>
      <c r="B2198" t="s">
        <v>1532</v>
      </c>
      <c r="C2198" t="s">
        <v>1530</v>
      </c>
      <c r="D2198" t="s">
        <v>1531</v>
      </c>
      <c r="E2198" s="7" t="s">
        <v>198</v>
      </c>
      <c r="F2198" s="7" t="s">
        <v>198</v>
      </c>
      <c r="G2198" s="7" t="s">
        <v>198</v>
      </c>
      <c r="H2198" s="7" t="s">
        <v>20</v>
      </c>
      <c r="I2198" s="7" t="s">
        <v>5102</v>
      </c>
      <c r="J2198" s="7" t="s">
        <v>21</v>
      </c>
      <c r="L2198" t="s">
        <v>3455</v>
      </c>
      <c r="M2198" s="7" t="s">
        <v>22</v>
      </c>
      <c r="N2198" s="7" t="s">
        <v>23</v>
      </c>
      <c r="O2198" s="7" t="s">
        <v>27</v>
      </c>
      <c r="P2198" s="7" t="s">
        <v>5101</v>
      </c>
      <c r="Q2198" s="26">
        <v>100</v>
      </c>
      <c r="R2198" s="26">
        <v>5</v>
      </c>
      <c r="S2198" s="40">
        <v>1</v>
      </c>
      <c r="T2198" s="7"/>
      <c r="U2198" s="7" t="s">
        <v>2951</v>
      </c>
      <c r="V2198" s="7" t="str">
        <f>+IF(U2198="","",IF(U2198="FINES",CONCATENATE("R",IF(OR(B2198="16",B2198="21",B2198="22",B2198="23"),"16212223",IF(OR(B2198="15",B2198="17",B2198="24",B2198="25"),"15172425",B2198))),IF(U2198="CEBAS","UNICO",IF(VALUE(B2198)&lt;=11,"AMBA","INTERIOR"))))</f>
        <v>R03</v>
      </c>
      <c r="W2198" s="38" t="str">
        <f>+IF(U2198="","-",CONCATENATE(U2198,"_",V2198))</f>
        <v>FINES_R03</v>
      </c>
      <c r="X2198" s="42">
        <v>0.85199999999999998</v>
      </c>
    </row>
    <row r="2199" spans="1:24">
      <c r="A2199" s="21" t="s">
        <v>5100</v>
      </c>
      <c r="B2199" t="s">
        <v>1532</v>
      </c>
      <c r="C2199" t="s">
        <v>1530</v>
      </c>
      <c r="D2199" t="s">
        <v>1531</v>
      </c>
      <c r="E2199" s="7" t="s">
        <v>198</v>
      </c>
      <c r="F2199" s="7" t="s">
        <v>198</v>
      </c>
      <c r="G2199" s="7" t="s">
        <v>198</v>
      </c>
      <c r="H2199" s="7" t="s">
        <v>20</v>
      </c>
      <c r="I2199" s="7" t="s">
        <v>5102</v>
      </c>
      <c r="J2199" s="7" t="s">
        <v>21</v>
      </c>
      <c r="L2199" t="s">
        <v>3497</v>
      </c>
      <c r="M2199" s="7" t="s">
        <v>22</v>
      </c>
      <c r="N2199" s="7" t="s">
        <v>23</v>
      </c>
      <c r="O2199" s="7" t="s">
        <v>27</v>
      </c>
      <c r="P2199" s="7" t="s">
        <v>5101</v>
      </c>
      <c r="Q2199" s="26">
        <v>90</v>
      </c>
      <c r="R2199" s="26">
        <v>5</v>
      </c>
      <c r="S2199" s="40">
        <v>1</v>
      </c>
      <c r="T2199" s="7"/>
      <c r="U2199" s="7" t="s">
        <v>2951</v>
      </c>
      <c r="V2199" s="7" t="str">
        <f>+IF(U2199="","",IF(U2199="FINES",CONCATENATE("R",IF(OR(B2199="16",B2199="21",B2199="22",B2199="23"),"16212223",IF(OR(B2199="15",B2199="17",B2199="24",B2199="25"),"15172425",B2199))),IF(U2199="CEBAS","UNICO",IF(VALUE(B2199)&lt;=11,"AMBA","INTERIOR"))))</f>
        <v>R03</v>
      </c>
      <c r="W2199" s="38" t="str">
        <f>+IF(U2199="","-",CONCATENATE(U2199,"_",V2199))</f>
        <v>FINES_R03</v>
      </c>
      <c r="X2199" s="42">
        <v>0.86199999999999999</v>
      </c>
    </row>
    <row r="2200" spans="1:24">
      <c r="A2200" s="21" t="s">
        <v>5100</v>
      </c>
      <c r="B2200" t="s">
        <v>1532</v>
      </c>
      <c r="C2200" t="s">
        <v>1530</v>
      </c>
      <c r="D2200" t="s">
        <v>1531</v>
      </c>
      <c r="E2200" s="7" t="s">
        <v>198</v>
      </c>
      <c r="F2200" s="7" t="s">
        <v>198</v>
      </c>
      <c r="G2200" s="7" t="s">
        <v>198</v>
      </c>
      <c r="H2200" s="7" t="s">
        <v>20</v>
      </c>
      <c r="I2200" s="7" t="s">
        <v>5102</v>
      </c>
      <c r="J2200" s="7" t="s">
        <v>21</v>
      </c>
      <c r="L2200" t="s">
        <v>3364</v>
      </c>
      <c r="M2200" s="7" t="s">
        <v>22</v>
      </c>
      <c r="N2200" s="7" t="s">
        <v>23</v>
      </c>
      <c r="O2200" s="7" t="s">
        <v>27</v>
      </c>
      <c r="P2200" s="7" t="s">
        <v>5101</v>
      </c>
      <c r="Q2200" s="26">
        <v>38</v>
      </c>
      <c r="R2200" s="26">
        <v>2</v>
      </c>
      <c r="S2200" s="40">
        <v>1</v>
      </c>
      <c r="T2200" s="7"/>
      <c r="U2200" s="7" t="s">
        <v>2951</v>
      </c>
      <c r="V2200" s="7" t="str">
        <f>+IF(U2200="","",IF(U2200="FINES",CONCATENATE("R",IF(OR(B2200="16",B2200="21",B2200="22",B2200="23"),"16212223",IF(OR(B2200="15",B2200="17",B2200="24",B2200="25"),"15172425",B2200))),IF(U2200="CEBAS","UNICO",IF(VALUE(B2200)&lt;=11,"AMBA","INTERIOR"))))</f>
        <v>R03</v>
      </c>
      <c r="W2200" s="38" t="str">
        <f>+IF(U2200="","-",CONCATENATE(U2200,"_",V2200))</f>
        <v>FINES_R03</v>
      </c>
      <c r="X2200" s="42">
        <v>0.86299999999999999</v>
      </c>
    </row>
    <row r="2201" spans="1:24">
      <c r="A2201" s="21" t="s">
        <v>5100</v>
      </c>
      <c r="B2201" t="s">
        <v>1532</v>
      </c>
      <c r="C2201" t="s">
        <v>1530</v>
      </c>
      <c r="D2201" t="s">
        <v>1531</v>
      </c>
      <c r="E2201" s="7" t="s">
        <v>198</v>
      </c>
      <c r="F2201" s="7" t="s">
        <v>198</v>
      </c>
      <c r="G2201" s="7" t="s">
        <v>198</v>
      </c>
      <c r="H2201" s="7" t="s">
        <v>20</v>
      </c>
      <c r="I2201" s="7" t="s">
        <v>5102</v>
      </c>
      <c r="J2201" s="7" t="s">
        <v>21</v>
      </c>
      <c r="L2201" t="s">
        <v>3471</v>
      </c>
      <c r="M2201" s="7" t="s">
        <v>22</v>
      </c>
      <c r="N2201" s="7" t="s">
        <v>23</v>
      </c>
      <c r="O2201" s="7" t="s">
        <v>27</v>
      </c>
      <c r="P2201" s="7" t="s">
        <v>5101</v>
      </c>
      <c r="Q2201" s="26">
        <v>57</v>
      </c>
      <c r="R2201" s="26">
        <v>3</v>
      </c>
      <c r="S2201" s="40">
        <v>1</v>
      </c>
      <c r="T2201" s="7"/>
      <c r="U2201" s="7" t="s">
        <v>2951</v>
      </c>
      <c r="V2201" s="7" t="str">
        <f>+IF(U2201="","",IF(U2201="FINES",CONCATENATE("R",IF(OR(B2201="16",B2201="21",B2201="22",B2201="23"),"16212223",IF(OR(B2201="15",B2201="17",B2201="24",B2201="25"),"15172425",B2201))),IF(U2201="CEBAS","UNICO",IF(VALUE(B2201)&lt;=11,"AMBA","INTERIOR"))))</f>
        <v>R03</v>
      </c>
      <c r="W2201" s="38" t="str">
        <f>+IF(U2201="","-",CONCATENATE(U2201,"_",V2201))</f>
        <v>FINES_R03</v>
      </c>
      <c r="X2201" s="42">
        <v>0.86299999999999999</v>
      </c>
    </row>
    <row r="2202" spans="1:24">
      <c r="A2202" s="21" t="s">
        <v>5100</v>
      </c>
      <c r="B2202" t="s">
        <v>1532</v>
      </c>
      <c r="C2202" t="s">
        <v>1530</v>
      </c>
      <c r="D2202" t="s">
        <v>1531</v>
      </c>
      <c r="E2202" s="7" t="s">
        <v>198</v>
      </c>
      <c r="F2202" s="7" t="s">
        <v>198</v>
      </c>
      <c r="G2202" s="7" t="s">
        <v>198</v>
      </c>
      <c r="H2202" s="7" t="s">
        <v>20</v>
      </c>
      <c r="I2202" s="7" t="s">
        <v>5102</v>
      </c>
      <c r="J2202" s="7" t="s">
        <v>21</v>
      </c>
      <c r="L2202" t="s">
        <v>3481</v>
      </c>
      <c r="M2202" s="7" t="s">
        <v>22</v>
      </c>
      <c r="N2202" s="7" t="s">
        <v>23</v>
      </c>
      <c r="O2202" s="7" t="s">
        <v>27</v>
      </c>
      <c r="P2202" s="7" t="s">
        <v>5101</v>
      </c>
      <c r="Q2202" s="26">
        <v>19</v>
      </c>
      <c r="R2202" s="26">
        <v>1</v>
      </c>
      <c r="S2202" s="40">
        <v>1</v>
      </c>
      <c r="T2202" s="7"/>
      <c r="U2202" s="7" t="s">
        <v>2951</v>
      </c>
      <c r="V2202" s="7" t="str">
        <f>+IF(U2202="","",IF(U2202="FINES",CONCATENATE("R",IF(OR(B2202="16",B2202="21",B2202="22",B2202="23"),"16212223",IF(OR(B2202="15",B2202="17",B2202="24",B2202="25"),"15172425",B2202))),IF(U2202="CEBAS","UNICO",IF(VALUE(B2202)&lt;=11,"AMBA","INTERIOR"))))</f>
        <v>R03</v>
      </c>
      <c r="W2202" s="38" t="str">
        <f>+IF(U2202="","-",CONCATENATE(U2202,"_",V2202))</f>
        <v>FINES_R03</v>
      </c>
      <c r="X2202" s="42">
        <v>0.871</v>
      </c>
    </row>
    <row r="2203" spans="1:24">
      <c r="A2203" s="21" t="s">
        <v>5100</v>
      </c>
      <c r="B2203" t="s">
        <v>1532</v>
      </c>
      <c r="C2203" t="s">
        <v>1530</v>
      </c>
      <c r="D2203" t="s">
        <v>1531</v>
      </c>
      <c r="E2203" s="7" t="s">
        <v>198</v>
      </c>
      <c r="F2203" s="7" t="s">
        <v>198</v>
      </c>
      <c r="G2203" s="7" t="s">
        <v>198</v>
      </c>
      <c r="H2203" s="7" t="s">
        <v>20</v>
      </c>
      <c r="I2203" s="7" t="s">
        <v>5102</v>
      </c>
      <c r="J2203" s="7" t="s">
        <v>21</v>
      </c>
      <c r="L2203" t="s">
        <v>3413</v>
      </c>
      <c r="M2203" s="7" t="s">
        <v>22</v>
      </c>
      <c r="N2203" s="7" t="s">
        <v>23</v>
      </c>
      <c r="O2203" s="7" t="s">
        <v>27</v>
      </c>
      <c r="P2203" s="7" t="s">
        <v>5101</v>
      </c>
      <c r="Q2203" s="26">
        <v>21</v>
      </c>
      <c r="R2203" s="26">
        <v>1</v>
      </c>
      <c r="S2203" s="40">
        <v>1</v>
      </c>
      <c r="T2203" s="7"/>
      <c r="U2203" s="7" t="s">
        <v>2951</v>
      </c>
      <c r="V2203" s="7" t="str">
        <f>+IF(U2203="","",IF(U2203="FINES",CONCATENATE("R",IF(OR(B2203="16",B2203="21",B2203="22",B2203="23"),"16212223",IF(OR(B2203="15",B2203="17",B2203="24",B2203="25"),"15172425",B2203))),IF(U2203="CEBAS","UNICO",IF(VALUE(B2203)&lt;=11,"AMBA","INTERIOR"))))</f>
        <v>R03</v>
      </c>
      <c r="W2203" s="38" t="str">
        <f>+IF(U2203="","-",CONCATENATE(U2203,"_",V2203))</f>
        <v>FINES_R03</v>
      </c>
      <c r="X2203" s="42">
        <v>0.88100000000000001</v>
      </c>
    </row>
    <row r="2204" spans="1:24">
      <c r="A2204" s="21" t="s">
        <v>5100</v>
      </c>
      <c r="B2204" t="s">
        <v>1532</v>
      </c>
      <c r="C2204" t="s">
        <v>1530</v>
      </c>
      <c r="D2204" t="s">
        <v>1531</v>
      </c>
      <c r="E2204" s="7" t="s">
        <v>198</v>
      </c>
      <c r="F2204" s="7" t="s">
        <v>198</v>
      </c>
      <c r="G2204" s="7" t="s">
        <v>198</v>
      </c>
      <c r="H2204" s="7" t="s">
        <v>20</v>
      </c>
      <c r="I2204" s="7" t="s">
        <v>5102</v>
      </c>
      <c r="J2204" s="7" t="s">
        <v>21</v>
      </c>
      <c r="L2204" t="s">
        <v>3535</v>
      </c>
      <c r="M2204" s="7" t="s">
        <v>22</v>
      </c>
      <c r="N2204" s="7" t="s">
        <v>23</v>
      </c>
      <c r="O2204" s="7" t="s">
        <v>27</v>
      </c>
      <c r="P2204" s="7" t="s">
        <v>5101</v>
      </c>
      <c r="Q2204" s="26">
        <v>19</v>
      </c>
      <c r="R2204" s="26">
        <v>1</v>
      </c>
      <c r="S2204" s="40">
        <v>1</v>
      </c>
      <c r="T2204" s="7"/>
      <c r="U2204" s="7" t="s">
        <v>2951</v>
      </c>
      <c r="V2204" s="7" t="str">
        <f>+IF(U2204="","",IF(U2204="FINES",CONCATENATE("R",IF(OR(B2204="16",B2204="21",B2204="22",B2204="23"),"16212223",IF(OR(B2204="15",B2204="17",B2204="24",B2204="25"),"15172425",B2204))),IF(U2204="CEBAS","UNICO",IF(VALUE(B2204)&lt;=11,"AMBA","INTERIOR"))))</f>
        <v>R03</v>
      </c>
      <c r="W2204" s="38" t="str">
        <f>+IF(U2204="","-",CONCATENATE(U2204,"_",V2204))</f>
        <v>FINES_R03</v>
      </c>
      <c r="X2204" s="42">
        <v>0.88100000000000001</v>
      </c>
    </row>
    <row r="2205" spans="1:24">
      <c r="A2205" s="21" t="s">
        <v>5100</v>
      </c>
      <c r="B2205" t="s">
        <v>1532</v>
      </c>
      <c r="C2205" t="s">
        <v>1530</v>
      </c>
      <c r="D2205" t="s">
        <v>1531</v>
      </c>
      <c r="E2205" s="7" t="s">
        <v>198</v>
      </c>
      <c r="F2205" s="7" t="s">
        <v>198</v>
      </c>
      <c r="G2205" s="7" t="s">
        <v>198</v>
      </c>
      <c r="H2205" s="7" t="s">
        <v>20</v>
      </c>
      <c r="I2205" s="7" t="s">
        <v>5102</v>
      </c>
      <c r="J2205" s="7" t="s">
        <v>21</v>
      </c>
      <c r="L2205" t="s">
        <v>3500</v>
      </c>
      <c r="M2205" s="7" t="s">
        <v>22</v>
      </c>
      <c r="N2205" s="7" t="s">
        <v>23</v>
      </c>
      <c r="O2205" s="7" t="s">
        <v>27</v>
      </c>
      <c r="P2205" s="7" t="s">
        <v>5101</v>
      </c>
      <c r="Q2205" s="26">
        <v>62</v>
      </c>
      <c r="R2205" s="26">
        <v>2</v>
      </c>
      <c r="S2205" s="40">
        <v>1</v>
      </c>
      <c r="T2205" s="7"/>
      <c r="U2205" s="7" t="s">
        <v>2951</v>
      </c>
      <c r="V2205" s="7" t="str">
        <f>+IF(U2205="","",IF(U2205="FINES",CONCATENATE("R",IF(OR(B2205="16",B2205="21",B2205="22",B2205="23"),"16212223",IF(OR(B2205="15",B2205="17",B2205="24",B2205="25"),"15172425",B2205))),IF(U2205="CEBAS","UNICO",IF(VALUE(B2205)&lt;=11,"AMBA","INTERIOR"))))</f>
        <v>R03</v>
      </c>
      <c r="W2205" s="38" t="str">
        <f>+IF(U2205="","-",CONCATENATE(U2205,"_",V2205))</f>
        <v>FINES_R03</v>
      </c>
      <c r="X2205" s="42">
        <v>0.88500000000000001</v>
      </c>
    </row>
    <row r="2206" spans="1:24">
      <c r="A2206" s="21" t="s">
        <v>5100</v>
      </c>
      <c r="B2206" t="s">
        <v>1532</v>
      </c>
      <c r="C2206" t="s">
        <v>1530</v>
      </c>
      <c r="D2206" t="s">
        <v>1531</v>
      </c>
      <c r="E2206" s="7" t="s">
        <v>198</v>
      </c>
      <c r="F2206" s="7" t="s">
        <v>198</v>
      </c>
      <c r="G2206" s="7" t="s">
        <v>198</v>
      </c>
      <c r="H2206" s="7" t="s">
        <v>20</v>
      </c>
      <c r="I2206" s="7" t="s">
        <v>5102</v>
      </c>
      <c r="J2206" s="7" t="s">
        <v>21</v>
      </c>
      <c r="L2206" t="s">
        <v>3399</v>
      </c>
      <c r="M2206" s="7" t="s">
        <v>22</v>
      </c>
      <c r="N2206" s="7" t="s">
        <v>23</v>
      </c>
      <c r="O2206" s="7" t="s">
        <v>27</v>
      </c>
      <c r="P2206" s="7" t="s">
        <v>5101</v>
      </c>
      <c r="Q2206" s="26">
        <v>60</v>
      </c>
      <c r="R2206" s="26">
        <v>2</v>
      </c>
      <c r="S2206" s="40">
        <v>1</v>
      </c>
      <c r="T2206" s="7"/>
      <c r="U2206" s="7" t="s">
        <v>2951</v>
      </c>
      <c r="V2206" s="7" t="str">
        <f>+IF(U2206="","",IF(U2206="FINES",CONCATENATE("R",IF(OR(B2206="16",B2206="21",B2206="22",B2206="23"),"16212223",IF(OR(B2206="15",B2206="17",B2206="24",B2206="25"),"15172425",B2206))),IF(U2206="CEBAS","UNICO",IF(VALUE(B2206)&lt;=11,"AMBA","INTERIOR"))))</f>
        <v>R03</v>
      </c>
      <c r="W2206" s="38" t="str">
        <f>+IF(U2206="","-",CONCATENATE(U2206,"_",V2206))</f>
        <v>FINES_R03</v>
      </c>
      <c r="X2206" s="42">
        <v>0.89</v>
      </c>
    </row>
    <row r="2207" spans="1:24">
      <c r="A2207" s="21" t="s">
        <v>5100</v>
      </c>
      <c r="B2207" t="s">
        <v>1532</v>
      </c>
      <c r="C2207" t="s">
        <v>1530</v>
      </c>
      <c r="D2207" t="s">
        <v>1531</v>
      </c>
      <c r="E2207" s="7" t="s">
        <v>198</v>
      </c>
      <c r="F2207" s="7" t="s">
        <v>198</v>
      </c>
      <c r="G2207" s="7" t="s">
        <v>198</v>
      </c>
      <c r="H2207" s="7" t="s">
        <v>20</v>
      </c>
      <c r="I2207" s="7" t="s">
        <v>5102</v>
      </c>
      <c r="J2207" s="7" t="s">
        <v>21</v>
      </c>
      <c r="L2207" t="s">
        <v>3420</v>
      </c>
      <c r="M2207" s="7" t="s">
        <v>22</v>
      </c>
      <c r="N2207" s="7" t="s">
        <v>23</v>
      </c>
      <c r="O2207" s="7" t="s">
        <v>27</v>
      </c>
      <c r="P2207" s="7" t="s">
        <v>5101</v>
      </c>
      <c r="Q2207" s="26">
        <v>142</v>
      </c>
      <c r="R2207" s="26">
        <v>6</v>
      </c>
      <c r="S2207" s="40">
        <v>1</v>
      </c>
      <c r="T2207" s="7"/>
      <c r="U2207" s="7" t="s">
        <v>2951</v>
      </c>
      <c r="V2207" s="7" t="str">
        <f>+IF(U2207="","",IF(U2207="FINES",CONCATENATE("R",IF(OR(B2207="16",B2207="21",B2207="22",B2207="23"),"16212223",IF(OR(B2207="15",B2207="17",B2207="24",B2207="25"),"15172425",B2207))),IF(U2207="CEBAS","UNICO",IF(VALUE(B2207)&lt;=11,"AMBA","INTERIOR"))))</f>
        <v>R03</v>
      </c>
      <c r="W2207" s="38" t="str">
        <f>+IF(U2207="","-",CONCATENATE(U2207,"_",V2207))</f>
        <v>FINES_R03</v>
      </c>
      <c r="X2207" s="42">
        <v>0.89500000000000002</v>
      </c>
    </row>
    <row r="2208" spans="1:24">
      <c r="A2208" s="21" t="s">
        <v>5100</v>
      </c>
      <c r="B2208" t="s">
        <v>1532</v>
      </c>
      <c r="C2208" t="s">
        <v>1530</v>
      </c>
      <c r="D2208" t="s">
        <v>1531</v>
      </c>
      <c r="E2208" s="7" t="s">
        <v>198</v>
      </c>
      <c r="F2208" s="7" t="s">
        <v>198</v>
      </c>
      <c r="G2208" s="7" t="s">
        <v>198</v>
      </c>
      <c r="H2208" s="7" t="s">
        <v>20</v>
      </c>
      <c r="I2208" s="7" t="s">
        <v>5102</v>
      </c>
      <c r="J2208" s="7" t="s">
        <v>21</v>
      </c>
      <c r="L2208" t="s">
        <v>3454</v>
      </c>
      <c r="M2208" s="7" t="s">
        <v>22</v>
      </c>
      <c r="N2208" s="7" t="s">
        <v>23</v>
      </c>
      <c r="O2208" s="7" t="s">
        <v>27</v>
      </c>
      <c r="P2208" s="7" t="s">
        <v>5101</v>
      </c>
      <c r="Q2208" s="26">
        <v>60</v>
      </c>
      <c r="R2208" s="26">
        <v>3</v>
      </c>
      <c r="S2208" s="40">
        <v>1</v>
      </c>
      <c r="T2208" s="7"/>
      <c r="U2208" s="7" t="s">
        <v>2951</v>
      </c>
      <c r="V2208" s="7" t="str">
        <f>+IF(U2208="","",IF(U2208="FINES",CONCATENATE("R",IF(OR(B2208="16",B2208="21",B2208="22",B2208="23"),"16212223",IF(OR(B2208="15",B2208="17",B2208="24",B2208="25"),"15172425",B2208))),IF(U2208="CEBAS","UNICO",IF(VALUE(B2208)&lt;=11,"AMBA","INTERIOR"))))</f>
        <v>R03</v>
      </c>
      <c r="W2208" s="38" t="str">
        <f>+IF(U2208="","-",CONCATENATE(U2208,"_",V2208))</f>
        <v>FINES_R03</v>
      </c>
      <c r="X2208" s="42">
        <v>0.89500000000000002</v>
      </c>
    </row>
    <row r="2209" spans="1:24">
      <c r="A2209" s="21" t="s">
        <v>5100</v>
      </c>
      <c r="B2209" t="s">
        <v>1532</v>
      </c>
      <c r="C2209" t="s">
        <v>1530</v>
      </c>
      <c r="D2209" t="s">
        <v>1531</v>
      </c>
      <c r="E2209" s="7" t="s">
        <v>198</v>
      </c>
      <c r="F2209" s="7" t="s">
        <v>198</v>
      </c>
      <c r="G2209" s="7" t="s">
        <v>198</v>
      </c>
      <c r="H2209" s="7" t="s">
        <v>20</v>
      </c>
      <c r="I2209" s="7" t="s">
        <v>5102</v>
      </c>
      <c r="J2209" s="7" t="s">
        <v>21</v>
      </c>
      <c r="L2209" t="s">
        <v>3475</v>
      </c>
      <c r="M2209" s="7" t="s">
        <v>22</v>
      </c>
      <c r="N2209" s="7" t="s">
        <v>23</v>
      </c>
      <c r="O2209" s="7" t="s">
        <v>27</v>
      </c>
      <c r="P2209" s="7" t="s">
        <v>5101</v>
      </c>
      <c r="Q2209" s="26">
        <v>56</v>
      </c>
      <c r="R2209" s="26">
        <v>3</v>
      </c>
      <c r="S2209" s="40">
        <v>1</v>
      </c>
      <c r="T2209" s="7"/>
      <c r="U2209" s="7" t="s">
        <v>2951</v>
      </c>
      <c r="V2209" s="7" t="str">
        <f>+IF(U2209="","",IF(U2209="FINES",CONCATENATE("R",IF(OR(B2209="16",B2209="21",B2209="22",B2209="23"),"16212223",IF(OR(B2209="15",B2209="17",B2209="24",B2209="25"),"15172425",B2209))),IF(U2209="CEBAS","UNICO",IF(VALUE(B2209)&lt;=11,"AMBA","INTERIOR"))))</f>
        <v>R03</v>
      </c>
      <c r="W2209" s="38" t="str">
        <f>+IF(U2209="","-",CONCATENATE(U2209,"_",V2209))</f>
        <v>FINES_R03</v>
      </c>
      <c r="X2209" s="42">
        <v>0.89600000000000002</v>
      </c>
    </row>
    <row r="2210" spans="1:24">
      <c r="A2210" s="21" t="s">
        <v>5100</v>
      </c>
      <c r="B2210" t="s">
        <v>1532</v>
      </c>
      <c r="C2210" t="s">
        <v>1530</v>
      </c>
      <c r="D2210" t="s">
        <v>1531</v>
      </c>
      <c r="E2210" s="7" t="s">
        <v>198</v>
      </c>
      <c r="F2210" s="7" t="s">
        <v>198</v>
      </c>
      <c r="G2210" s="7" t="s">
        <v>198</v>
      </c>
      <c r="H2210" s="7" t="s">
        <v>20</v>
      </c>
      <c r="I2210" s="7" t="s">
        <v>5102</v>
      </c>
      <c r="J2210" s="7" t="s">
        <v>21</v>
      </c>
      <c r="L2210" t="s">
        <v>3337</v>
      </c>
      <c r="M2210" s="7" t="s">
        <v>22</v>
      </c>
      <c r="N2210" s="7" t="s">
        <v>23</v>
      </c>
      <c r="O2210" s="7" t="s">
        <v>27</v>
      </c>
      <c r="P2210" s="7" t="s">
        <v>5101</v>
      </c>
      <c r="Q2210" s="26">
        <v>20</v>
      </c>
      <c r="R2210" s="26">
        <v>1</v>
      </c>
      <c r="S2210" s="40">
        <v>1</v>
      </c>
      <c r="T2210" s="7"/>
      <c r="U2210" s="7" t="s">
        <v>2951</v>
      </c>
      <c r="V2210" s="7" t="str">
        <f>+IF(U2210="","",IF(U2210="FINES",CONCATENATE("R",IF(OR(B2210="16",B2210="21",B2210="22",B2210="23"),"16212223",IF(OR(B2210="15",B2210="17",B2210="24",B2210="25"),"15172425",B2210))),IF(U2210="CEBAS","UNICO",IF(VALUE(B2210)&lt;=11,"AMBA","INTERIOR"))))</f>
        <v>R03</v>
      </c>
      <c r="W2210" s="38" t="str">
        <f>+IF(U2210="","-",CONCATENATE(U2210,"_",V2210))</f>
        <v>FINES_R03</v>
      </c>
      <c r="X2210" s="42">
        <v>0.89700000000000002</v>
      </c>
    </row>
    <row r="2211" spans="1:24">
      <c r="A2211" s="21" t="s">
        <v>5100</v>
      </c>
      <c r="B2211" t="s">
        <v>1532</v>
      </c>
      <c r="C2211" t="s">
        <v>1530</v>
      </c>
      <c r="D2211" t="s">
        <v>1531</v>
      </c>
      <c r="E2211" s="7" t="s">
        <v>198</v>
      </c>
      <c r="F2211" s="7" t="s">
        <v>198</v>
      </c>
      <c r="G2211" s="7" t="s">
        <v>198</v>
      </c>
      <c r="H2211" s="7" t="s">
        <v>20</v>
      </c>
      <c r="I2211" s="7" t="s">
        <v>5102</v>
      </c>
      <c r="J2211" s="7" t="s">
        <v>21</v>
      </c>
      <c r="L2211" t="s">
        <v>3316</v>
      </c>
      <c r="M2211" s="7" t="s">
        <v>22</v>
      </c>
      <c r="N2211" s="7" t="s">
        <v>23</v>
      </c>
      <c r="O2211" s="7" t="s">
        <v>27</v>
      </c>
      <c r="P2211" s="7" t="s">
        <v>5101</v>
      </c>
      <c r="Q2211" s="26">
        <v>13</v>
      </c>
      <c r="R2211" s="26">
        <v>1</v>
      </c>
      <c r="S2211" s="40">
        <v>1</v>
      </c>
      <c r="T2211" s="7"/>
      <c r="U2211" s="7" t="s">
        <v>2951</v>
      </c>
      <c r="V2211" s="7" t="str">
        <f>+IF(U2211="","",IF(U2211="FINES",CONCATENATE("R",IF(OR(B2211="16",B2211="21",B2211="22",B2211="23"),"16212223",IF(OR(B2211="15",B2211="17",B2211="24",B2211="25"),"15172425",B2211))),IF(U2211="CEBAS","UNICO",IF(VALUE(B2211)&lt;=11,"AMBA","INTERIOR"))))</f>
        <v>R03</v>
      </c>
      <c r="W2211" s="38" t="str">
        <f>+IF(U2211="","-",CONCATENATE(U2211,"_",V2211))</f>
        <v>FINES_R03</v>
      </c>
      <c r="X2211" s="42">
        <v>0.90600000000000003</v>
      </c>
    </row>
    <row r="2212" spans="1:24">
      <c r="A2212" s="21" t="s">
        <v>5100</v>
      </c>
      <c r="B2212" t="s">
        <v>1532</v>
      </c>
      <c r="C2212" t="s">
        <v>1530</v>
      </c>
      <c r="D2212" t="s">
        <v>1531</v>
      </c>
      <c r="E2212" s="7" t="s">
        <v>198</v>
      </c>
      <c r="F2212" s="7" t="s">
        <v>198</v>
      </c>
      <c r="G2212" s="7" t="s">
        <v>198</v>
      </c>
      <c r="H2212" s="7" t="s">
        <v>20</v>
      </c>
      <c r="I2212" s="7" t="s">
        <v>5102</v>
      </c>
      <c r="J2212" s="7" t="s">
        <v>21</v>
      </c>
      <c r="L2212" t="s">
        <v>3341</v>
      </c>
      <c r="M2212" s="7" t="s">
        <v>22</v>
      </c>
      <c r="N2212" s="7" t="s">
        <v>23</v>
      </c>
      <c r="O2212" s="7" t="s">
        <v>27</v>
      </c>
      <c r="P2212" s="7" t="s">
        <v>5101</v>
      </c>
      <c r="Q2212" s="26">
        <v>21</v>
      </c>
      <c r="R2212" s="26">
        <v>1</v>
      </c>
      <c r="S2212" s="40">
        <v>1</v>
      </c>
      <c r="T2212" s="7"/>
      <c r="U2212" s="7" t="s">
        <v>2951</v>
      </c>
      <c r="V2212" s="7" t="str">
        <f>+IF(U2212="","",IF(U2212="FINES",CONCATENATE("R",IF(OR(B2212="16",B2212="21",B2212="22",B2212="23"),"16212223",IF(OR(B2212="15",B2212="17",B2212="24",B2212="25"),"15172425",B2212))),IF(U2212="CEBAS","UNICO",IF(VALUE(B2212)&lt;=11,"AMBA","INTERIOR"))))</f>
        <v>R03</v>
      </c>
      <c r="W2212" s="38" t="str">
        <f>+IF(U2212="","-",CONCATENATE(U2212,"_",V2212))</f>
        <v>FINES_R03</v>
      </c>
      <c r="X2212" s="42">
        <v>0.91200000000000003</v>
      </c>
    </row>
    <row r="2213" spans="1:24">
      <c r="A2213" s="21" t="s">
        <v>5100</v>
      </c>
      <c r="B2213" t="s">
        <v>1532</v>
      </c>
      <c r="C2213" t="s">
        <v>1530</v>
      </c>
      <c r="D2213" t="s">
        <v>1531</v>
      </c>
      <c r="E2213" s="7" t="s">
        <v>198</v>
      </c>
      <c r="F2213" s="7" t="s">
        <v>198</v>
      </c>
      <c r="G2213" s="7" t="s">
        <v>198</v>
      </c>
      <c r="H2213" s="7" t="s">
        <v>20</v>
      </c>
      <c r="I2213" s="7" t="s">
        <v>5102</v>
      </c>
      <c r="J2213" s="7" t="s">
        <v>21</v>
      </c>
      <c r="L2213" t="s">
        <v>3397</v>
      </c>
      <c r="M2213" s="7" t="s">
        <v>22</v>
      </c>
      <c r="N2213" s="7" t="s">
        <v>23</v>
      </c>
      <c r="O2213" s="7" t="s">
        <v>27</v>
      </c>
      <c r="P2213" s="7" t="s">
        <v>5101</v>
      </c>
      <c r="Q2213" s="26">
        <v>21</v>
      </c>
      <c r="R2213" s="26">
        <v>1</v>
      </c>
      <c r="S2213" s="40">
        <v>1</v>
      </c>
      <c r="T2213" s="7"/>
      <c r="U2213" s="7" t="s">
        <v>2951</v>
      </c>
      <c r="V2213" s="7" t="str">
        <f>+IF(U2213="","",IF(U2213="FINES",CONCATENATE("R",IF(OR(B2213="16",B2213="21",B2213="22",B2213="23"),"16212223",IF(OR(B2213="15",B2213="17",B2213="24",B2213="25"),"15172425",B2213))),IF(U2213="CEBAS","UNICO",IF(VALUE(B2213)&lt;=11,"AMBA","INTERIOR"))))</f>
        <v>R03</v>
      </c>
      <c r="W2213" s="38" t="str">
        <f>+IF(U2213="","-",CONCATENATE(U2213,"_",V2213))</f>
        <v>FINES_R03</v>
      </c>
      <c r="X2213" s="42">
        <v>0.91900000000000004</v>
      </c>
    </row>
    <row r="2214" spans="1:24">
      <c r="A2214" s="21" t="s">
        <v>5100</v>
      </c>
      <c r="B2214" t="s">
        <v>1532</v>
      </c>
      <c r="C2214" t="s">
        <v>1530</v>
      </c>
      <c r="D2214" t="s">
        <v>1531</v>
      </c>
      <c r="E2214" s="7" t="s">
        <v>198</v>
      </c>
      <c r="F2214" s="7" t="s">
        <v>198</v>
      </c>
      <c r="G2214" s="7" t="s">
        <v>198</v>
      </c>
      <c r="H2214" s="7" t="s">
        <v>20</v>
      </c>
      <c r="I2214" s="7" t="s">
        <v>5102</v>
      </c>
      <c r="J2214" s="7" t="s">
        <v>21</v>
      </c>
      <c r="L2214" t="s">
        <v>3451</v>
      </c>
      <c r="M2214" s="7" t="s">
        <v>22</v>
      </c>
      <c r="N2214" s="7" t="s">
        <v>23</v>
      </c>
      <c r="O2214" s="7" t="s">
        <v>27</v>
      </c>
      <c r="P2214" s="7" t="s">
        <v>5101</v>
      </c>
      <c r="Q2214" s="26">
        <v>18</v>
      </c>
      <c r="R2214" s="26">
        <v>1</v>
      </c>
      <c r="S2214" s="40">
        <v>1</v>
      </c>
      <c r="T2214" s="7"/>
      <c r="U2214" s="7" t="s">
        <v>2951</v>
      </c>
      <c r="V2214" s="7" t="str">
        <f>+IF(U2214="","",IF(U2214="FINES",CONCATENATE("R",IF(OR(B2214="16",B2214="21",B2214="22",B2214="23"),"16212223",IF(OR(B2214="15",B2214="17",B2214="24",B2214="25"),"15172425",B2214))),IF(U2214="CEBAS","UNICO",IF(VALUE(B2214)&lt;=11,"AMBA","INTERIOR"))))</f>
        <v>R03</v>
      </c>
      <c r="W2214" s="38" t="str">
        <f>+IF(U2214="","-",CONCATENATE(U2214,"_",V2214))</f>
        <v>FINES_R03</v>
      </c>
      <c r="X2214" s="42">
        <v>0.92900000000000005</v>
      </c>
    </row>
    <row r="2215" spans="1:24">
      <c r="A2215" s="21" t="s">
        <v>5100</v>
      </c>
      <c r="B2215" t="s">
        <v>1532</v>
      </c>
      <c r="C2215" t="s">
        <v>1530</v>
      </c>
      <c r="D2215" t="s">
        <v>1531</v>
      </c>
      <c r="E2215" s="7" t="s">
        <v>198</v>
      </c>
      <c r="F2215" s="7" t="s">
        <v>198</v>
      </c>
      <c r="G2215" s="7" t="s">
        <v>198</v>
      </c>
      <c r="H2215" s="7" t="s">
        <v>20</v>
      </c>
      <c r="I2215" s="7" t="s">
        <v>5102</v>
      </c>
      <c r="J2215" s="7" t="s">
        <v>21</v>
      </c>
      <c r="L2215" t="s">
        <v>3517</v>
      </c>
      <c r="M2215" s="7" t="s">
        <v>22</v>
      </c>
      <c r="N2215" s="7" t="s">
        <v>23</v>
      </c>
      <c r="O2215" s="7" t="s">
        <v>27</v>
      </c>
      <c r="P2215" s="7" t="s">
        <v>5101</v>
      </c>
      <c r="Q2215" s="26">
        <v>52</v>
      </c>
      <c r="R2215" s="26">
        <v>3</v>
      </c>
      <c r="S2215" s="40">
        <v>1</v>
      </c>
      <c r="T2215" s="7"/>
      <c r="U2215" s="7" t="s">
        <v>2951</v>
      </c>
      <c r="V2215" s="7" t="str">
        <f>+IF(U2215="","",IF(U2215="FINES",CONCATENATE("R",IF(OR(B2215="16",B2215="21",B2215="22",B2215="23"),"16212223",IF(OR(B2215="15",B2215="17",B2215="24",B2215="25"),"15172425",B2215))),IF(U2215="CEBAS","UNICO",IF(VALUE(B2215)&lt;=11,"AMBA","INTERIOR"))))</f>
        <v>R03</v>
      </c>
      <c r="W2215" s="38" t="str">
        <f>+IF(U2215="","-",CONCATENATE(U2215,"_",V2215))</f>
        <v>FINES_R03</v>
      </c>
      <c r="X2215" s="42">
        <v>0.93</v>
      </c>
    </row>
    <row r="2216" spans="1:24">
      <c r="A2216" s="21" t="s">
        <v>5100</v>
      </c>
      <c r="B2216" t="s">
        <v>1532</v>
      </c>
      <c r="C2216" t="s">
        <v>1530</v>
      </c>
      <c r="D2216" t="s">
        <v>1531</v>
      </c>
      <c r="E2216" s="7" t="s">
        <v>198</v>
      </c>
      <c r="F2216" s="7" t="s">
        <v>198</v>
      </c>
      <c r="G2216" s="7" t="s">
        <v>198</v>
      </c>
      <c r="H2216" s="7" t="s">
        <v>20</v>
      </c>
      <c r="I2216" s="7" t="s">
        <v>5102</v>
      </c>
      <c r="J2216" s="7" t="s">
        <v>21</v>
      </c>
      <c r="L2216" t="s">
        <v>3393</v>
      </c>
      <c r="M2216" s="7" t="s">
        <v>22</v>
      </c>
      <c r="N2216" s="7" t="s">
        <v>23</v>
      </c>
      <c r="O2216" s="7" t="s">
        <v>27</v>
      </c>
      <c r="P2216" s="7" t="s">
        <v>5101</v>
      </c>
      <c r="Q2216" s="26">
        <v>21</v>
      </c>
      <c r="R2216" s="26">
        <v>1</v>
      </c>
      <c r="S2216" s="40">
        <v>1</v>
      </c>
      <c r="T2216" s="7"/>
      <c r="U2216" s="7" t="s">
        <v>2951</v>
      </c>
      <c r="V2216" s="7" t="str">
        <f>+IF(U2216="","",IF(U2216="FINES",CONCATENATE("R",IF(OR(B2216="16",B2216="21",B2216="22",B2216="23"),"16212223",IF(OR(B2216="15",B2216="17",B2216="24",B2216="25"),"15172425",B2216))),IF(U2216="CEBAS","UNICO",IF(VALUE(B2216)&lt;=11,"AMBA","INTERIOR"))))</f>
        <v>R03</v>
      </c>
      <c r="W2216" s="38" t="str">
        <f>+IF(U2216="","-",CONCATENATE(U2216,"_",V2216))</f>
        <v>FINES_R03</v>
      </c>
      <c r="X2216" s="42">
        <v>0.93100000000000005</v>
      </c>
    </row>
    <row r="2217" spans="1:24">
      <c r="A2217" s="21" t="s">
        <v>5100</v>
      </c>
      <c r="B2217" t="s">
        <v>1532</v>
      </c>
      <c r="C2217" t="s">
        <v>1530</v>
      </c>
      <c r="D2217" t="s">
        <v>1531</v>
      </c>
      <c r="E2217" s="7" t="s">
        <v>198</v>
      </c>
      <c r="F2217" s="7" t="s">
        <v>198</v>
      </c>
      <c r="G2217" s="7" t="s">
        <v>198</v>
      </c>
      <c r="H2217" s="7" t="s">
        <v>20</v>
      </c>
      <c r="I2217" s="7" t="s">
        <v>5102</v>
      </c>
      <c r="J2217" s="7" t="s">
        <v>21</v>
      </c>
      <c r="L2217" t="s">
        <v>3403</v>
      </c>
      <c r="M2217" s="7" t="s">
        <v>22</v>
      </c>
      <c r="N2217" s="7" t="s">
        <v>23</v>
      </c>
      <c r="O2217" s="7" t="s">
        <v>27</v>
      </c>
      <c r="P2217" s="7" t="s">
        <v>5101</v>
      </c>
      <c r="Q2217" s="26">
        <v>79</v>
      </c>
      <c r="R2217" s="26">
        <v>2</v>
      </c>
      <c r="S2217" s="40">
        <v>1</v>
      </c>
      <c r="T2217" s="7"/>
      <c r="U2217" s="7" t="s">
        <v>2951</v>
      </c>
      <c r="V2217" s="7" t="str">
        <f>+IF(U2217="","",IF(U2217="FINES",CONCATENATE("R",IF(OR(B2217="16",B2217="21",B2217="22",B2217="23"),"16212223",IF(OR(B2217="15",B2217="17",B2217="24",B2217="25"),"15172425",B2217))),IF(U2217="CEBAS","UNICO",IF(VALUE(B2217)&lt;=11,"AMBA","INTERIOR"))))</f>
        <v>R03</v>
      </c>
      <c r="W2217" s="38" t="str">
        <f>+IF(U2217="","-",CONCATENATE(U2217,"_",V2217))</f>
        <v>FINES_R03</v>
      </c>
      <c r="X2217" s="42">
        <v>0.93100000000000005</v>
      </c>
    </row>
    <row r="2218" spans="1:24">
      <c r="A2218" s="21" t="s">
        <v>5100</v>
      </c>
      <c r="B2218" t="s">
        <v>1532</v>
      </c>
      <c r="C2218" t="s">
        <v>1530</v>
      </c>
      <c r="D2218" t="s">
        <v>1531</v>
      </c>
      <c r="E2218" s="7" t="s">
        <v>198</v>
      </c>
      <c r="F2218" s="7" t="s">
        <v>198</v>
      </c>
      <c r="G2218" s="7" t="s">
        <v>198</v>
      </c>
      <c r="H2218" s="7" t="s">
        <v>20</v>
      </c>
      <c r="I2218" s="7" t="s">
        <v>5102</v>
      </c>
      <c r="J2218" s="7" t="s">
        <v>21</v>
      </c>
      <c r="L2218" t="s">
        <v>3372</v>
      </c>
      <c r="M2218" s="7" t="s">
        <v>22</v>
      </c>
      <c r="N2218" s="7" t="s">
        <v>23</v>
      </c>
      <c r="O2218" s="7" t="s">
        <v>27</v>
      </c>
      <c r="P2218" s="7" t="s">
        <v>5101</v>
      </c>
      <c r="Q2218" s="26">
        <v>7</v>
      </c>
      <c r="R2218" s="26">
        <v>1</v>
      </c>
      <c r="S2218" s="40">
        <v>1</v>
      </c>
      <c r="T2218" s="7"/>
      <c r="U2218" s="7" t="s">
        <v>2951</v>
      </c>
      <c r="V2218" s="7" t="str">
        <f>+IF(U2218="","",IF(U2218="FINES",CONCATENATE("R",IF(OR(B2218="16",B2218="21",B2218="22",B2218="23"),"16212223",IF(OR(B2218="15",B2218="17",B2218="24",B2218="25"),"15172425",B2218))),IF(U2218="CEBAS","UNICO",IF(VALUE(B2218)&lt;=11,"AMBA","INTERIOR"))))</f>
        <v>R03</v>
      </c>
      <c r="W2218" s="38" t="str">
        <f>+IF(U2218="","-",CONCATENATE(U2218,"_",V2218))</f>
        <v>FINES_R03</v>
      </c>
      <c r="X2218" s="42">
        <v>0.93500000000000005</v>
      </c>
    </row>
    <row r="2219" spans="1:24">
      <c r="A2219" s="21" t="s">
        <v>5100</v>
      </c>
      <c r="B2219" t="s">
        <v>1532</v>
      </c>
      <c r="C2219" t="s">
        <v>1530</v>
      </c>
      <c r="D2219" t="s">
        <v>1531</v>
      </c>
      <c r="E2219" s="7" t="s">
        <v>198</v>
      </c>
      <c r="F2219" s="7" t="s">
        <v>198</v>
      </c>
      <c r="G2219" s="7" t="s">
        <v>198</v>
      </c>
      <c r="H2219" s="7" t="s">
        <v>20</v>
      </c>
      <c r="I2219" s="7" t="s">
        <v>5102</v>
      </c>
      <c r="J2219" s="7" t="s">
        <v>21</v>
      </c>
      <c r="L2219" t="s">
        <v>3431</v>
      </c>
      <c r="M2219" s="7" t="s">
        <v>22</v>
      </c>
      <c r="N2219" s="7" t="s">
        <v>23</v>
      </c>
      <c r="O2219" s="7" t="s">
        <v>27</v>
      </c>
      <c r="P2219" s="7" t="s">
        <v>5101</v>
      </c>
      <c r="Q2219" s="26">
        <v>23</v>
      </c>
      <c r="R2219" s="26">
        <v>1</v>
      </c>
      <c r="S2219" s="40">
        <v>1</v>
      </c>
      <c r="T2219" s="7"/>
      <c r="U2219" s="7" t="s">
        <v>2951</v>
      </c>
      <c r="V2219" s="7" t="str">
        <f>+IF(U2219="","",IF(U2219="FINES",CONCATENATE("R",IF(OR(B2219="16",B2219="21",B2219="22",B2219="23"),"16212223",IF(OR(B2219="15",B2219="17",B2219="24",B2219="25"),"15172425",B2219))),IF(U2219="CEBAS","UNICO",IF(VALUE(B2219)&lt;=11,"AMBA","INTERIOR"))))</f>
        <v>R03</v>
      </c>
      <c r="W2219" s="38" t="str">
        <f>+IF(U2219="","-",CONCATENATE(U2219,"_",V2219))</f>
        <v>FINES_R03</v>
      </c>
      <c r="X2219" s="42">
        <v>0.93799999999999994</v>
      </c>
    </row>
    <row r="2220" spans="1:24">
      <c r="A2220" s="21" t="s">
        <v>5100</v>
      </c>
      <c r="B2220" t="s">
        <v>1532</v>
      </c>
      <c r="C2220" t="s">
        <v>1530</v>
      </c>
      <c r="D2220" t="s">
        <v>1531</v>
      </c>
      <c r="E2220" s="7" t="s">
        <v>198</v>
      </c>
      <c r="F2220" s="7" t="s">
        <v>198</v>
      </c>
      <c r="G2220" s="7" t="s">
        <v>198</v>
      </c>
      <c r="H2220" s="7" t="s">
        <v>20</v>
      </c>
      <c r="I2220" s="7" t="s">
        <v>5102</v>
      </c>
      <c r="J2220" s="7" t="s">
        <v>21</v>
      </c>
      <c r="L2220" t="s">
        <v>3313</v>
      </c>
      <c r="M2220" s="7" t="s">
        <v>22</v>
      </c>
      <c r="N2220" s="7" t="s">
        <v>23</v>
      </c>
      <c r="O2220" s="7" t="s">
        <v>27</v>
      </c>
      <c r="P2220" s="7" t="s">
        <v>5101</v>
      </c>
      <c r="Q2220" s="26">
        <v>19</v>
      </c>
      <c r="R2220" s="26">
        <v>1</v>
      </c>
      <c r="S2220" s="40">
        <v>1</v>
      </c>
      <c r="T2220" s="7"/>
      <c r="U2220" s="7" t="s">
        <v>2951</v>
      </c>
      <c r="V2220" s="7" t="str">
        <f>+IF(U2220="","",IF(U2220="FINES",CONCATENATE("R",IF(OR(B2220="16",B2220="21",B2220="22",B2220="23"),"16212223",IF(OR(B2220="15",B2220="17",B2220="24",B2220="25"),"15172425",B2220))),IF(U2220="CEBAS","UNICO",IF(VALUE(B2220)&lt;=11,"AMBA","INTERIOR"))))</f>
        <v>R03</v>
      </c>
      <c r="W2220" s="38" t="str">
        <f>+IF(U2220="","-",CONCATENATE(U2220,"_",V2220))</f>
        <v>FINES_R03</v>
      </c>
      <c r="X2220" s="42">
        <v>0.94499999999999995</v>
      </c>
    </row>
    <row r="2221" spans="1:24">
      <c r="A2221" s="21" t="s">
        <v>5100</v>
      </c>
      <c r="B2221" t="s">
        <v>1532</v>
      </c>
      <c r="C2221" t="s">
        <v>1530</v>
      </c>
      <c r="D2221" t="s">
        <v>1531</v>
      </c>
      <c r="E2221" s="7" t="s">
        <v>198</v>
      </c>
      <c r="F2221" s="7" t="s">
        <v>198</v>
      </c>
      <c r="G2221" s="7" t="s">
        <v>198</v>
      </c>
      <c r="H2221" s="7" t="s">
        <v>20</v>
      </c>
      <c r="I2221" s="7" t="s">
        <v>5102</v>
      </c>
      <c r="J2221" s="7" t="s">
        <v>21</v>
      </c>
      <c r="L2221" t="s">
        <v>3366</v>
      </c>
      <c r="M2221" s="7" t="s">
        <v>22</v>
      </c>
      <c r="N2221" s="7" t="s">
        <v>23</v>
      </c>
      <c r="O2221" s="7" t="s">
        <v>27</v>
      </c>
      <c r="P2221" s="7" t="s">
        <v>5101</v>
      </c>
      <c r="Q2221" s="26">
        <v>55</v>
      </c>
      <c r="R2221" s="26">
        <v>2</v>
      </c>
      <c r="S2221" s="40">
        <v>1</v>
      </c>
      <c r="T2221" s="7"/>
      <c r="U2221" s="7" t="s">
        <v>2951</v>
      </c>
      <c r="V2221" s="7" t="str">
        <f>+IF(U2221="","",IF(U2221="FINES",CONCATENATE("R",IF(OR(B2221="16",B2221="21",B2221="22",B2221="23"),"16212223",IF(OR(B2221="15",B2221="17",B2221="24",B2221="25"),"15172425",B2221))),IF(U2221="CEBAS","UNICO",IF(VALUE(B2221)&lt;=11,"AMBA","INTERIOR"))))</f>
        <v>R03</v>
      </c>
      <c r="W2221" s="38" t="str">
        <f>+IF(U2221="","-",CONCATENATE(U2221,"_",V2221))</f>
        <v>FINES_R03</v>
      </c>
      <c r="X2221" s="42">
        <v>0.94599999999999995</v>
      </c>
    </row>
    <row r="2222" spans="1:24">
      <c r="A2222" s="21" t="s">
        <v>5100</v>
      </c>
      <c r="B2222" t="s">
        <v>1532</v>
      </c>
      <c r="C2222" t="s">
        <v>1530</v>
      </c>
      <c r="D2222" t="s">
        <v>1531</v>
      </c>
      <c r="E2222" s="7" t="s">
        <v>198</v>
      </c>
      <c r="F2222" s="7" t="s">
        <v>198</v>
      </c>
      <c r="G2222" s="7" t="s">
        <v>198</v>
      </c>
      <c r="H2222" s="7" t="s">
        <v>20</v>
      </c>
      <c r="I2222" s="7" t="s">
        <v>5102</v>
      </c>
      <c r="J2222" s="7" t="s">
        <v>21</v>
      </c>
      <c r="L2222" t="s">
        <v>3543</v>
      </c>
      <c r="M2222" s="7" t="s">
        <v>22</v>
      </c>
      <c r="N2222" s="7" t="s">
        <v>23</v>
      </c>
      <c r="O2222" s="7" t="s">
        <v>27</v>
      </c>
      <c r="P2222" s="7" t="s">
        <v>5101</v>
      </c>
      <c r="Q2222" s="26">
        <v>20</v>
      </c>
      <c r="R2222" s="26">
        <v>1</v>
      </c>
      <c r="S2222" s="40">
        <v>1</v>
      </c>
      <c r="T2222" s="7"/>
      <c r="U2222" s="7" t="s">
        <v>2951</v>
      </c>
      <c r="V2222" s="7" t="str">
        <f>+IF(U2222="","",IF(U2222="FINES",CONCATENATE("R",IF(OR(B2222="16",B2222="21",B2222="22",B2222="23"),"16212223",IF(OR(B2222="15",B2222="17",B2222="24",B2222="25"),"15172425",B2222))),IF(U2222="CEBAS","UNICO",IF(VALUE(B2222)&lt;=11,"AMBA","INTERIOR"))))</f>
        <v>R03</v>
      </c>
      <c r="W2222" s="38" t="str">
        <f>+IF(U2222="","-",CONCATENATE(U2222,"_",V2222))</f>
        <v>FINES_R03</v>
      </c>
      <c r="X2222" s="42">
        <v>0.95</v>
      </c>
    </row>
    <row r="2223" spans="1:24">
      <c r="A2223" s="21" t="s">
        <v>5100</v>
      </c>
      <c r="B2223" t="s">
        <v>1532</v>
      </c>
      <c r="C2223" t="s">
        <v>1530</v>
      </c>
      <c r="D2223" t="s">
        <v>1531</v>
      </c>
      <c r="E2223" s="7" t="s">
        <v>198</v>
      </c>
      <c r="F2223" s="7" t="s">
        <v>198</v>
      </c>
      <c r="G2223" s="7" t="s">
        <v>198</v>
      </c>
      <c r="H2223" s="7" t="s">
        <v>20</v>
      </c>
      <c r="I2223" s="7" t="s">
        <v>5102</v>
      </c>
      <c r="J2223" s="7" t="s">
        <v>21</v>
      </c>
      <c r="L2223" t="s">
        <v>3512</v>
      </c>
      <c r="M2223" s="7" t="s">
        <v>22</v>
      </c>
      <c r="N2223" s="7" t="s">
        <v>23</v>
      </c>
      <c r="O2223" s="7" t="s">
        <v>27</v>
      </c>
      <c r="P2223" s="7" t="s">
        <v>5101</v>
      </c>
      <c r="Q2223" s="26">
        <v>19</v>
      </c>
      <c r="R2223" s="26">
        <v>1</v>
      </c>
      <c r="S2223" s="40">
        <v>1</v>
      </c>
      <c r="T2223" s="7"/>
      <c r="U2223" s="7" t="s">
        <v>2951</v>
      </c>
      <c r="V2223" s="7" t="str">
        <f>+IF(U2223="","",IF(U2223="FINES",CONCATENATE("R",IF(OR(B2223="16",B2223="21",B2223="22",B2223="23"),"16212223",IF(OR(B2223="15",B2223="17",B2223="24",B2223="25"),"15172425",B2223))),IF(U2223="CEBAS","UNICO",IF(VALUE(B2223)&lt;=11,"AMBA","INTERIOR"))))</f>
        <v>R03</v>
      </c>
      <c r="W2223" s="38" t="str">
        <f>+IF(U2223="","-",CONCATENATE(U2223,"_",V2223))</f>
        <v>FINES_R03</v>
      </c>
      <c r="X2223" s="42">
        <v>0.95399999999999996</v>
      </c>
    </row>
    <row r="2224" spans="1:24">
      <c r="A2224" s="21" t="s">
        <v>5100</v>
      </c>
      <c r="B2224" t="s">
        <v>1532</v>
      </c>
      <c r="C2224" t="s">
        <v>1530</v>
      </c>
      <c r="D2224" t="s">
        <v>1531</v>
      </c>
      <c r="E2224" s="7" t="s">
        <v>198</v>
      </c>
      <c r="F2224" s="7" t="s">
        <v>198</v>
      </c>
      <c r="G2224" s="7" t="s">
        <v>198</v>
      </c>
      <c r="H2224" s="7" t="s">
        <v>20</v>
      </c>
      <c r="I2224" s="7" t="s">
        <v>5102</v>
      </c>
      <c r="J2224" s="7" t="s">
        <v>21</v>
      </c>
      <c r="L2224" t="s">
        <v>3336</v>
      </c>
      <c r="M2224" s="7" t="s">
        <v>22</v>
      </c>
      <c r="N2224" s="7" t="s">
        <v>23</v>
      </c>
      <c r="O2224" s="7" t="s">
        <v>27</v>
      </c>
      <c r="P2224" s="7" t="s">
        <v>5101</v>
      </c>
      <c r="Q2224" s="26">
        <v>27</v>
      </c>
      <c r="R2224" s="26">
        <v>1</v>
      </c>
      <c r="S2224" s="40">
        <v>1</v>
      </c>
      <c r="T2224" s="7"/>
      <c r="U2224" s="7" t="s">
        <v>2951</v>
      </c>
      <c r="V2224" s="7" t="str">
        <f>+IF(U2224="","",IF(U2224="FINES",CONCATENATE("R",IF(OR(B2224="16",B2224="21",B2224="22",B2224="23"),"16212223",IF(OR(B2224="15",B2224="17",B2224="24",B2224="25"),"15172425",B2224))),IF(U2224="CEBAS","UNICO",IF(VALUE(B2224)&lt;=11,"AMBA","INTERIOR"))))</f>
        <v>R03</v>
      </c>
      <c r="W2224" s="38" t="str">
        <f>+IF(U2224="","-",CONCATENATE(U2224,"_",V2224))</f>
        <v>FINES_R03</v>
      </c>
      <c r="X2224" s="42">
        <v>0.95799999999999996</v>
      </c>
    </row>
    <row r="2225" spans="1:24">
      <c r="A2225" s="21" t="s">
        <v>5100</v>
      </c>
      <c r="B2225" t="s">
        <v>1532</v>
      </c>
      <c r="C2225" t="s">
        <v>1530</v>
      </c>
      <c r="D2225" t="s">
        <v>1531</v>
      </c>
      <c r="E2225" s="7" t="s">
        <v>198</v>
      </c>
      <c r="F2225" s="7" t="s">
        <v>198</v>
      </c>
      <c r="G2225" s="7" t="s">
        <v>198</v>
      </c>
      <c r="H2225" s="7" t="s">
        <v>20</v>
      </c>
      <c r="I2225" s="7" t="s">
        <v>5102</v>
      </c>
      <c r="J2225" s="7" t="s">
        <v>21</v>
      </c>
      <c r="L2225" t="s">
        <v>3405</v>
      </c>
      <c r="M2225" s="7" t="s">
        <v>22</v>
      </c>
      <c r="N2225" s="7" t="s">
        <v>23</v>
      </c>
      <c r="O2225" s="7" t="s">
        <v>27</v>
      </c>
      <c r="P2225" s="7" t="s">
        <v>5101</v>
      </c>
      <c r="Q2225" s="26">
        <v>28</v>
      </c>
      <c r="R2225" s="26">
        <v>1</v>
      </c>
      <c r="S2225" s="40">
        <v>1</v>
      </c>
      <c r="T2225" s="7"/>
      <c r="U2225" s="7" t="s">
        <v>2951</v>
      </c>
      <c r="V2225" s="7" t="str">
        <f>+IF(U2225="","",IF(U2225="FINES",CONCATENATE("R",IF(OR(B2225="16",B2225="21",B2225="22",B2225="23"),"16212223",IF(OR(B2225="15",B2225="17",B2225="24",B2225="25"),"15172425",B2225))),IF(U2225="CEBAS","UNICO",IF(VALUE(B2225)&lt;=11,"AMBA","INTERIOR"))))</f>
        <v>R03</v>
      </c>
      <c r="W2225" s="38" t="str">
        <f>+IF(U2225="","-",CONCATENATE(U2225,"_",V2225))</f>
        <v>FINES_R03</v>
      </c>
      <c r="X2225" s="42">
        <v>0.96499999999999997</v>
      </c>
    </row>
    <row r="2226" spans="1:24">
      <c r="A2226" s="21" t="s">
        <v>5100</v>
      </c>
      <c r="B2226" t="s">
        <v>1532</v>
      </c>
      <c r="C2226" t="s">
        <v>1530</v>
      </c>
      <c r="D2226" t="s">
        <v>1531</v>
      </c>
      <c r="E2226" s="7" t="s">
        <v>198</v>
      </c>
      <c r="F2226" s="7" t="s">
        <v>198</v>
      </c>
      <c r="G2226" s="7" t="s">
        <v>198</v>
      </c>
      <c r="H2226" s="7" t="s">
        <v>20</v>
      </c>
      <c r="I2226" s="7" t="s">
        <v>5102</v>
      </c>
      <c r="J2226" s="7" t="s">
        <v>21</v>
      </c>
      <c r="L2226" t="s">
        <v>3414</v>
      </c>
      <c r="M2226" s="7" t="s">
        <v>22</v>
      </c>
      <c r="N2226" s="7" t="s">
        <v>23</v>
      </c>
      <c r="O2226" s="7" t="s">
        <v>27</v>
      </c>
      <c r="P2226" s="7" t="s">
        <v>5101</v>
      </c>
      <c r="Q2226" s="26">
        <v>23</v>
      </c>
      <c r="R2226" s="26">
        <v>1</v>
      </c>
      <c r="S2226" s="40">
        <v>1</v>
      </c>
      <c r="T2226" s="7"/>
      <c r="U2226" s="7" t="s">
        <v>2951</v>
      </c>
      <c r="V2226" s="7" t="str">
        <f>+IF(U2226="","",IF(U2226="FINES",CONCATENATE("R",IF(OR(B2226="16",B2226="21",B2226="22",B2226="23"),"16212223",IF(OR(B2226="15",B2226="17",B2226="24",B2226="25"),"15172425",B2226))),IF(U2226="CEBAS","UNICO",IF(VALUE(B2226)&lt;=11,"AMBA","INTERIOR"))))</f>
        <v>R03</v>
      </c>
      <c r="W2226" s="38" t="str">
        <f>+IF(U2226="","-",CONCATENATE(U2226,"_",V2226))</f>
        <v>FINES_R03</v>
      </c>
      <c r="X2226" s="42">
        <v>0.97599999999999998</v>
      </c>
    </row>
    <row r="2227" spans="1:24">
      <c r="A2227" s="21" t="s">
        <v>5100</v>
      </c>
      <c r="B2227" t="s">
        <v>1532</v>
      </c>
      <c r="C2227" t="s">
        <v>1530</v>
      </c>
      <c r="D2227" t="s">
        <v>1531</v>
      </c>
      <c r="E2227" s="7" t="s">
        <v>198</v>
      </c>
      <c r="F2227" s="7" t="s">
        <v>198</v>
      </c>
      <c r="G2227" s="7" t="s">
        <v>198</v>
      </c>
      <c r="H2227" s="7" t="s">
        <v>20</v>
      </c>
      <c r="I2227" s="7" t="s">
        <v>5102</v>
      </c>
      <c r="J2227" s="7" t="s">
        <v>21</v>
      </c>
      <c r="L2227" t="s">
        <v>3489</v>
      </c>
      <c r="M2227" s="7" t="s">
        <v>22</v>
      </c>
      <c r="N2227" s="7" t="s">
        <v>23</v>
      </c>
      <c r="O2227" s="7" t="s">
        <v>27</v>
      </c>
      <c r="P2227" s="7" t="s">
        <v>5101</v>
      </c>
      <c r="Q2227" s="26">
        <v>56</v>
      </c>
      <c r="R2227" s="26">
        <v>3</v>
      </c>
      <c r="S2227" s="40">
        <v>1</v>
      </c>
      <c r="T2227" s="7"/>
      <c r="U2227" s="7" t="s">
        <v>2951</v>
      </c>
      <c r="V2227" s="7" t="str">
        <f>+IF(U2227="","",IF(U2227="FINES",CONCATENATE("R",IF(OR(B2227="16",B2227="21",B2227="22",B2227="23"),"16212223",IF(OR(B2227="15",B2227="17",B2227="24",B2227="25"),"15172425",B2227))),IF(U2227="CEBAS","UNICO",IF(VALUE(B2227)&lt;=11,"AMBA","INTERIOR"))))</f>
        <v>R03</v>
      </c>
      <c r="W2227" s="38" t="str">
        <f>+IF(U2227="","-",CONCATENATE(U2227,"_",V2227))</f>
        <v>FINES_R03</v>
      </c>
      <c r="X2227" s="42">
        <v>0.97899999999999998</v>
      </c>
    </row>
    <row r="2228" spans="1:24">
      <c r="A2228" s="21" t="s">
        <v>5100</v>
      </c>
      <c r="B2228" t="s">
        <v>1532</v>
      </c>
      <c r="C2228" t="s">
        <v>1530</v>
      </c>
      <c r="D2228" t="s">
        <v>1531</v>
      </c>
      <c r="E2228" s="7" t="s">
        <v>198</v>
      </c>
      <c r="F2228" s="7" t="s">
        <v>198</v>
      </c>
      <c r="G2228" s="7" t="s">
        <v>198</v>
      </c>
      <c r="H2228" s="7" t="s">
        <v>20</v>
      </c>
      <c r="I2228" s="7" t="s">
        <v>5102</v>
      </c>
      <c r="J2228" s="7" t="s">
        <v>21</v>
      </c>
      <c r="L2228" t="s">
        <v>3492</v>
      </c>
      <c r="M2228" s="7" t="s">
        <v>22</v>
      </c>
      <c r="N2228" s="7" t="s">
        <v>23</v>
      </c>
      <c r="O2228" s="7" t="s">
        <v>27</v>
      </c>
      <c r="P2228" s="7" t="s">
        <v>5101</v>
      </c>
      <c r="Q2228" s="26">
        <v>45</v>
      </c>
      <c r="R2228" s="26">
        <v>2</v>
      </c>
      <c r="S2228" s="40">
        <v>1</v>
      </c>
      <c r="T2228" s="7"/>
      <c r="U2228" s="7" t="s">
        <v>2951</v>
      </c>
      <c r="V2228" s="7" t="str">
        <f>+IF(U2228="","",IF(U2228="FINES",CONCATENATE("R",IF(OR(B2228="16",B2228="21",B2228="22",B2228="23"),"16212223",IF(OR(B2228="15",B2228="17",B2228="24",B2228="25"),"15172425",B2228))),IF(U2228="CEBAS","UNICO",IF(VALUE(B2228)&lt;=11,"AMBA","INTERIOR"))))</f>
        <v>R03</v>
      </c>
      <c r="W2228" s="38" t="str">
        <f>+IF(U2228="","-",CONCATENATE(U2228,"_",V2228))</f>
        <v>FINES_R03</v>
      </c>
      <c r="X2228" s="42">
        <v>0.98</v>
      </c>
    </row>
    <row r="2229" spans="1:24">
      <c r="A2229" s="21" t="s">
        <v>5100</v>
      </c>
      <c r="B2229" t="s">
        <v>1532</v>
      </c>
      <c r="C2229" t="s">
        <v>1530</v>
      </c>
      <c r="D2229" t="s">
        <v>1531</v>
      </c>
      <c r="E2229" s="7" t="s">
        <v>198</v>
      </c>
      <c r="F2229" s="7" t="s">
        <v>198</v>
      </c>
      <c r="G2229" s="7" t="s">
        <v>198</v>
      </c>
      <c r="H2229" s="7" t="s">
        <v>20</v>
      </c>
      <c r="I2229" s="7" t="s">
        <v>5102</v>
      </c>
      <c r="J2229" s="7" t="s">
        <v>21</v>
      </c>
      <c r="L2229" t="s">
        <v>3330</v>
      </c>
      <c r="M2229" s="7" t="s">
        <v>22</v>
      </c>
      <c r="N2229" s="7" t="s">
        <v>23</v>
      </c>
      <c r="O2229" s="7" t="s">
        <v>27</v>
      </c>
      <c r="P2229" s="7" t="s">
        <v>5101</v>
      </c>
      <c r="Q2229" s="26">
        <v>86</v>
      </c>
      <c r="R2229" s="26">
        <v>4</v>
      </c>
      <c r="S2229" s="40">
        <v>1</v>
      </c>
      <c r="T2229" s="7"/>
      <c r="U2229" s="7" t="s">
        <v>2951</v>
      </c>
      <c r="V2229" s="7" t="str">
        <f>+IF(U2229="","",IF(U2229="FINES",CONCATENATE("R",IF(OR(B2229="16",B2229="21",B2229="22",B2229="23"),"16212223",IF(OR(B2229="15",B2229="17",B2229="24",B2229="25"),"15172425",B2229))),IF(U2229="CEBAS","UNICO",IF(VALUE(B2229)&lt;=11,"AMBA","INTERIOR"))))</f>
        <v>R03</v>
      </c>
      <c r="W2229" s="38" t="str">
        <f>+IF(U2229="","-",CONCATENATE(U2229,"_",V2229))</f>
        <v>FINES_R03</v>
      </c>
      <c r="X2229" s="42">
        <v>0.99199999999999999</v>
      </c>
    </row>
    <row r="2230" spans="1:24">
      <c r="A2230" s="21" t="s">
        <v>5100</v>
      </c>
      <c r="B2230" t="s">
        <v>1532</v>
      </c>
      <c r="C2230" t="s">
        <v>1530</v>
      </c>
      <c r="D2230" t="s">
        <v>1531</v>
      </c>
      <c r="E2230" s="7" t="s">
        <v>198</v>
      </c>
      <c r="F2230" s="7" t="s">
        <v>198</v>
      </c>
      <c r="G2230" s="7" t="s">
        <v>198</v>
      </c>
      <c r="H2230" s="7" t="s">
        <v>20</v>
      </c>
      <c r="I2230" s="7" t="s">
        <v>5102</v>
      </c>
      <c r="J2230" s="7" t="s">
        <v>21</v>
      </c>
      <c r="L2230" t="s">
        <v>3457</v>
      </c>
      <c r="M2230" s="7" t="s">
        <v>22</v>
      </c>
      <c r="N2230" s="7" t="s">
        <v>23</v>
      </c>
      <c r="O2230" s="7" t="s">
        <v>27</v>
      </c>
      <c r="P2230" s="7" t="s">
        <v>5101</v>
      </c>
      <c r="Q2230" s="26">
        <v>35</v>
      </c>
      <c r="R2230" s="26">
        <v>2</v>
      </c>
      <c r="S2230" s="40">
        <v>1</v>
      </c>
      <c r="T2230" s="7"/>
      <c r="U2230" s="7" t="s">
        <v>2951</v>
      </c>
      <c r="V2230" s="7" t="str">
        <f>+IF(U2230="","",IF(U2230="FINES",CONCATENATE("R",IF(OR(B2230="16",B2230="21",B2230="22",B2230="23"),"16212223",IF(OR(B2230="15",B2230="17",B2230="24",B2230="25"),"15172425",B2230))),IF(U2230="CEBAS","UNICO",IF(VALUE(B2230)&lt;=11,"AMBA","INTERIOR"))))</f>
        <v>R03</v>
      </c>
      <c r="W2230" s="38" t="str">
        <f>+IF(U2230="","-",CONCATENATE(U2230,"_",V2230))</f>
        <v>FINES_R03</v>
      </c>
      <c r="X2230" s="42">
        <v>0.997</v>
      </c>
    </row>
    <row r="2231" spans="1:24">
      <c r="A2231" s="21" t="s">
        <v>5100</v>
      </c>
      <c r="B2231" t="s">
        <v>817</v>
      </c>
      <c r="C2231" t="s">
        <v>2080</v>
      </c>
      <c r="D2231" t="s">
        <v>2081</v>
      </c>
      <c r="E2231" s="7" t="s">
        <v>198</v>
      </c>
      <c r="F2231" s="7" t="s">
        <v>198</v>
      </c>
      <c r="G2231" s="7" t="s">
        <v>198</v>
      </c>
      <c r="H2231" s="7" t="s">
        <v>20</v>
      </c>
      <c r="I2231" s="7" t="s">
        <v>5102</v>
      </c>
      <c r="J2231" s="7" t="s">
        <v>21</v>
      </c>
      <c r="L2231" t="s">
        <v>3675</v>
      </c>
      <c r="M2231" s="7" t="s">
        <v>22</v>
      </c>
      <c r="N2231" s="7" t="s">
        <v>23</v>
      </c>
      <c r="O2231" s="7" t="s">
        <v>27</v>
      </c>
      <c r="P2231" s="7" t="s">
        <v>5101</v>
      </c>
      <c r="Q2231" s="26">
        <v>19</v>
      </c>
      <c r="R2231" s="26">
        <v>1</v>
      </c>
      <c r="S2231" s="40">
        <v>1</v>
      </c>
      <c r="T2231" s="7"/>
      <c r="U2231" s="7" t="s">
        <v>2951</v>
      </c>
      <c r="V2231" s="7" t="str">
        <f>+IF(U2231="","",IF(U2231="FINES",CONCATENATE("R",IF(OR(B2231="16",B2231="21",B2231="22",B2231="23"),"16212223",IF(OR(B2231="15",B2231="17",B2231="24",B2231="25"),"15172425",B2231))),IF(U2231="CEBAS","UNICO",IF(VALUE(B2231)&lt;=11,"AMBA","INTERIOR"))))</f>
        <v>R04</v>
      </c>
      <c r="W2231" s="38" t="str">
        <f>+IF(U2231="","-",CONCATENATE(U2231,"_",V2231))</f>
        <v>FINES_R04</v>
      </c>
      <c r="X2231" s="42">
        <v>5.0000000000000001E-3</v>
      </c>
    </row>
    <row r="2232" spans="1:24">
      <c r="A2232" s="21" t="s">
        <v>5100</v>
      </c>
      <c r="B2232" t="s">
        <v>817</v>
      </c>
      <c r="C2232" t="s">
        <v>600</v>
      </c>
      <c r="D2232" t="s">
        <v>2661</v>
      </c>
      <c r="E2232" s="7" t="s">
        <v>198</v>
      </c>
      <c r="F2232" s="7" t="s">
        <v>198</v>
      </c>
      <c r="G2232" s="7" t="s">
        <v>198</v>
      </c>
      <c r="H2232" s="7" t="s">
        <v>20</v>
      </c>
      <c r="I2232" s="7" t="s">
        <v>5102</v>
      </c>
      <c r="J2232" s="7" t="s">
        <v>21</v>
      </c>
      <c r="L2232" t="s">
        <v>3559</v>
      </c>
      <c r="M2232" s="7" t="s">
        <v>22</v>
      </c>
      <c r="N2232" s="7" t="s">
        <v>23</v>
      </c>
      <c r="O2232" s="7" t="s">
        <v>27</v>
      </c>
      <c r="P2232" s="7" t="s">
        <v>5101</v>
      </c>
      <c r="Q2232" s="26">
        <v>31</v>
      </c>
      <c r="R2232" s="26">
        <v>2</v>
      </c>
      <c r="S2232" s="40">
        <v>1</v>
      </c>
      <c r="T2232" s="7"/>
      <c r="U2232" s="7" t="s">
        <v>2951</v>
      </c>
      <c r="V2232" s="7" t="str">
        <f>+IF(U2232="","",IF(U2232="FINES",CONCATENATE("R",IF(OR(B2232="16",B2232="21",B2232="22",B2232="23"),"16212223",IF(OR(B2232="15",B2232="17",B2232="24",B2232="25"),"15172425",B2232))),IF(U2232="CEBAS","UNICO",IF(VALUE(B2232)&lt;=11,"AMBA","INTERIOR"))))</f>
        <v>R04</v>
      </c>
      <c r="W2232" s="38" t="str">
        <f>+IF(U2232="","-",CONCATENATE(U2232,"_",V2232))</f>
        <v>FINES_R04</v>
      </c>
      <c r="X2232" s="42">
        <v>6.0000000000000001E-3</v>
      </c>
    </row>
    <row r="2233" spans="1:24">
      <c r="A2233" s="21" t="s">
        <v>5100</v>
      </c>
      <c r="B2233" t="s">
        <v>817</v>
      </c>
      <c r="C2233" t="s">
        <v>2080</v>
      </c>
      <c r="D2233" t="s">
        <v>2081</v>
      </c>
      <c r="E2233" s="7" t="s">
        <v>198</v>
      </c>
      <c r="F2233" s="7" t="s">
        <v>198</v>
      </c>
      <c r="G2233" s="7" t="s">
        <v>198</v>
      </c>
      <c r="H2233" s="7" t="s">
        <v>20</v>
      </c>
      <c r="I2233" s="7" t="s">
        <v>5102</v>
      </c>
      <c r="J2233" s="7" t="s">
        <v>21</v>
      </c>
      <c r="L2233" t="s">
        <v>3699</v>
      </c>
      <c r="M2233" s="7" t="s">
        <v>22</v>
      </c>
      <c r="N2233" s="7" t="s">
        <v>23</v>
      </c>
      <c r="O2233" s="7" t="s">
        <v>27</v>
      </c>
      <c r="P2233" s="7" t="s">
        <v>5101</v>
      </c>
      <c r="Q2233" s="26">
        <v>56</v>
      </c>
      <c r="R2233" s="26">
        <v>3</v>
      </c>
      <c r="S2233" s="40">
        <v>1</v>
      </c>
      <c r="T2233" s="7"/>
      <c r="U2233" s="7" t="s">
        <v>2951</v>
      </c>
      <c r="V2233" s="7" t="str">
        <f>+IF(U2233="","",IF(U2233="FINES",CONCATENATE("R",IF(OR(B2233="16",B2233="21",B2233="22",B2233="23"),"16212223",IF(OR(B2233="15",B2233="17",B2233="24",B2233="25"),"15172425",B2233))),IF(U2233="CEBAS","UNICO",IF(VALUE(B2233)&lt;=11,"AMBA","INTERIOR"))))</f>
        <v>R04</v>
      </c>
      <c r="W2233" s="38" t="str">
        <f>+IF(U2233="","-",CONCATENATE(U2233,"_",V2233))</f>
        <v>FINES_R04</v>
      </c>
      <c r="X2233" s="42">
        <v>8.0000000000000002E-3</v>
      </c>
    </row>
    <row r="2234" spans="1:24">
      <c r="A2234" s="21" t="s">
        <v>5100</v>
      </c>
      <c r="B2234" t="s">
        <v>817</v>
      </c>
      <c r="C2234" t="s">
        <v>2080</v>
      </c>
      <c r="D2234" t="s">
        <v>2081</v>
      </c>
      <c r="E2234" s="7" t="s">
        <v>198</v>
      </c>
      <c r="F2234" s="7" t="s">
        <v>198</v>
      </c>
      <c r="G2234" s="7" t="s">
        <v>198</v>
      </c>
      <c r="H2234" s="7" t="s">
        <v>20</v>
      </c>
      <c r="I2234" s="7" t="s">
        <v>5102</v>
      </c>
      <c r="J2234" s="7" t="s">
        <v>21</v>
      </c>
      <c r="L2234" t="s">
        <v>3694</v>
      </c>
      <c r="M2234" s="7" t="s">
        <v>22</v>
      </c>
      <c r="N2234" s="7" t="s">
        <v>23</v>
      </c>
      <c r="O2234" s="7" t="s">
        <v>27</v>
      </c>
      <c r="P2234" s="7" t="s">
        <v>5101</v>
      </c>
      <c r="Q2234" s="26">
        <v>90</v>
      </c>
      <c r="R2234" s="26">
        <v>3</v>
      </c>
      <c r="S2234" s="40">
        <v>1</v>
      </c>
      <c r="T2234" s="7"/>
      <c r="U2234" s="7" t="s">
        <v>2951</v>
      </c>
      <c r="V2234" s="7" t="str">
        <f>+IF(U2234="","",IF(U2234="FINES",CONCATENATE("R",IF(OR(B2234="16",B2234="21",B2234="22",B2234="23"),"16212223",IF(OR(B2234="15",B2234="17",B2234="24",B2234="25"),"15172425",B2234))),IF(U2234="CEBAS","UNICO",IF(VALUE(B2234)&lt;=11,"AMBA","INTERIOR"))))</f>
        <v>R04</v>
      </c>
      <c r="W2234" s="38" t="str">
        <f>+IF(U2234="","-",CONCATENATE(U2234,"_",V2234))</f>
        <v>FINES_R04</v>
      </c>
      <c r="X2234" s="42">
        <v>0.02</v>
      </c>
    </row>
    <row r="2235" spans="1:24">
      <c r="A2235" s="21" t="s">
        <v>5100</v>
      </c>
      <c r="B2235" t="s">
        <v>817</v>
      </c>
      <c r="C2235" t="s">
        <v>2080</v>
      </c>
      <c r="D2235" t="s">
        <v>2081</v>
      </c>
      <c r="E2235" s="7" t="s">
        <v>198</v>
      </c>
      <c r="F2235" s="7" t="s">
        <v>198</v>
      </c>
      <c r="G2235" s="7" t="s">
        <v>198</v>
      </c>
      <c r="H2235" s="7" t="s">
        <v>20</v>
      </c>
      <c r="I2235" s="7" t="s">
        <v>5102</v>
      </c>
      <c r="J2235" s="7" t="s">
        <v>21</v>
      </c>
      <c r="L2235" t="s">
        <v>3715</v>
      </c>
      <c r="M2235" s="7" t="s">
        <v>22</v>
      </c>
      <c r="N2235" s="7" t="s">
        <v>23</v>
      </c>
      <c r="O2235" s="7" t="s">
        <v>27</v>
      </c>
      <c r="P2235" s="7" t="s">
        <v>5101</v>
      </c>
      <c r="Q2235" s="26">
        <v>40</v>
      </c>
      <c r="R2235" s="26">
        <v>2</v>
      </c>
      <c r="S2235" s="40">
        <v>1</v>
      </c>
      <c r="T2235" s="7"/>
      <c r="U2235" s="7" t="s">
        <v>2951</v>
      </c>
      <c r="V2235" s="7" t="str">
        <f>+IF(U2235="","",IF(U2235="FINES",CONCATENATE("R",IF(OR(B2235="16",B2235="21",B2235="22",B2235="23"),"16212223",IF(OR(B2235="15",B2235="17",B2235="24",B2235="25"),"15172425",B2235))),IF(U2235="CEBAS","UNICO",IF(VALUE(B2235)&lt;=11,"AMBA","INTERIOR"))))</f>
        <v>R04</v>
      </c>
      <c r="W2235" s="38" t="str">
        <f>+IF(U2235="","-",CONCATENATE(U2235,"_",V2235))</f>
        <v>FINES_R04</v>
      </c>
      <c r="X2235" s="42">
        <v>3.9E-2</v>
      </c>
    </row>
    <row r="2236" spans="1:24">
      <c r="A2236" s="21" t="s">
        <v>5100</v>
      </c>
      <c r="B2236" t="s">
        <v>817</v>
      </c>
      <c r="C2236" t="s">
        <v>2080</v>
      </c>
      <c r="D2236" t="s">
        <v>2081</v>
      </c>
      <c r="E2236" s="7" t="s">
        <v>198</v>
      </c>
      <c r="F2236" s="7" t="s">
        <v>198</v>
      </c>
      <c r="G2236" s="7" t="s">
        <v>198</v>
      </c>
      <c r="H2236" s="7" t="s">
        <v>20</v>
      </c>
      <c r="I2236" s="7" t="s">
        <v>5102</v>
      </c>
      <c r="J2236" s="7" t="s">
        <v>21</v>
      </c>
      <c r="L2236" t="s">
        <v>3697</v>
      </c>
      <c r="M2236" s="7" t="s">
        <v>22</v>
      </c>
      <c r="N2236" s="7" t="s">
        <v>23</v>
      </c>
      <c r="O2236" s="7" t="s">
        <v>27</v>
      </c>
      <c r="P2236" s="7" t="s">
        <v>5101</v>
      </c>
      <c r="Q2236" s="26">
        <v>86</v>
      </c>
      <c r="R2236" s="26">
        <v>3</v>
      </c>
      <c r="S2236" s="40">
        <v>1</v>
      </c>
      <c r="T2236" s="7"/>
      <c r="U2236" s="7" t="s">
        <v>2951</v>
      </c>
      <c r="V2236" s="7" t="str">
        <f>+IF(U2236="","",IF(U2236="FINES",CONCATENATE("R",IF(OR(B2236="16",B2236="21",B2236="22",B2236="23"),"16212223",IF(OR(B2236="15",B2236="17",B2236="24",B2236="25"),"15172425",B2236))),IF(U2236="CEBAS","UNICO",IF(VALUE(B2236)&lt;=11,"AMBA","INTERIOR"))))</f>
        <v>R04</v>
      </c>
      <c r="W2236" s="38" t="str">
        <f>+IF(U2236="","-",CONCATENATE(U2236,"_",V2236))</f>
        <v>FINES_R04</v>
      </c>
      <c r="X2236" s="42">
        <v>4.1000000000000002E-2</v>
      </c>
    </row>
    <row r="2237" spans="1:24">
      <c r="A2237" s="21" t="s">
        <v>5100</v>
      </c>
      <c r="B2237" t="s">
        <v>817</v>
      </c>
      <c r="C2237" t="s">
        <v>815</v>
      </c>
      <c r="D2237" t="s">
        <v>816</v>
      </c>
      <c r="E2237" s="7" t="s">
        <v>198</v>
      </c>
      <c r="F2237" s="7" t="s">
        <v>198</v>
      </c>
      <c r="G2237" s="7" t="s">
        <v>198</v>
      </c>
      <c r="H2237" s="7" t="s">
        <v>20</v>
      </c>
      <c r="I2237" s="7" t="s">
        <v>5102</v>
      </c>
      <c r="J2237" s="7" t="s">
        <v>21</v>
      </c>
      <c r="L2237" t="s">
        <v>3661</v>
      </c>
      <c r="M2237" s="7" t="s">
        <v>22</v>
      </c>
      <c r="N2237" s="7" t="s">
        <v>23</v>
      </c>
      <c r="O2237" s="7" t="s">
        <v>27</v>
      </c>
      <c r="P2237" s="7" t="s">
        <v>5101</v>
      </c>
      <c r="Q2237" s="26">
        <v>0</v>
      </c>
      <c r="R2237" s="26">
        <v>1</v>
      </c>
      <c r="S2237" s="40">
        <v>1</v>
      </c>
      <c r="T2237" s="7"/>
      <c r="U2237" s="7" t="s">
        <v>2951</v>
      </c>
      <c r="V2237" s="7" t="str">
        <f>+IF(U2237="","",IF(U2237="FINES",CONCATENATE("R",IF(OR(B2237="16",B2237="21",B2237="22",B2237="23"),"16212223",IF(OR(B2237="15",B2237="17",B2237="24",B2237="25"),"15172425",B2237))),IF(U2237="CEBAS","UNICO",IF(VALUE(B2237)&lt;=11,"AMBA","INTERIOR"))))</f>
        <v>R04</v>
      </c>
      <c r="W2237" s="38" t="str">
        <f>+IF(U2237="","-",CONCATENATE(U2237,"_",V2237))</f>
        <v>FINES_R04</v>
      </c>
      <c r="X2237" s="42">
        <v>4.4999999999999998E-2</v>
      </c>
    </row>
    <row r="2238" spans="1:24">
      <c r="A2238" s="21" t="s">
        <v>5100</v>
      </c>
      <c r="B2238" t="s">
        <v>817</v>
      </c>
      <c r="C2238" t="s">
        <v>2080</v>
      </c>
      <c r="D2238" t="s">
        <v>2081</v>
      </c>
      <c r="E2238" s="7" t="s">
        <v>198</v>
      </c>
      <c r="F2238" s="7" t="s">
        <v>198</v>
      </c>
      <c r="G2238" s="7" t="s">
        <v>198</v>
      </c>
      <c r="H2238" s="7" t="s">
        <v>20</v>
      </c>
      <c r="I2238" s="7" t="s">
        <v>5102</v>
      </c>
      <c r="J2238" s="7" t="s">
        <v>21</v>
      </c>
      <c r="L2238" t="s">
        <v>3670</v>
      </c>
      <c r="M2238" s="7" t="s">
        <v>22</v>
      </c>
      <c r="N2238" s="7" t="s">
        <v>23</v>
      </c>
      <c r="O2238" s="7" t="s">
        <v>27</v>
      </c>
      <c r="P2238" s="7" t="s">
        <v>5101</v>
      </c>
      <c r="Q2238" s="26">
        <v>24</v>
      </c>
      <c r="R2238" s="26">
        <v>2</v>
      </c>
      <c r="S2238" s="40">
        <v>1</v>
      </c>
      <c r="T2238" s="7"/>
      <c r="U2238" s="7" t="s">
        <v>2951</v>
      </c>
      <c r="V2238" s="7" t="str">
        <f>+IF(U2238="","",IF(U2238="FINES",CONCATENATE("R",IF(OR(B2238="16",B2238="21",B2238="22",B2238="23"),"16212223",IF(OR(B2238="15",B2238="17",B2238="24",B2238="25"),"15172425",B2238))),IF(U2238="CEBAS","UNICO",IF(VALUE(B2238)&lt;=11,"AMBA","INTERIOR"))))</f>
        <v>R04</v>
      </c>
      <c r="W2238" s="38" t="str">
        <f>+IF(U2238="","-",CONCATENATE(U2238,"_",V2238))</f>
        <v>FINES_R04</v>
      </c>
      <c r="X2238" s="42">
        <v>4.9000000000000002E-2</v>
      </c>
    </row>
    <row r="2239" spans="1:24">
      <c r="A2239" s="21" t="s">
        <v>5100</v>
      </c>
      <c r="B2239" t="s">
        <v>817</v>
      </c>
      <c r="C2239" t="s">
        <v>600</v>
      </c>
      <c r="D2239" t="s">
        <v>2661</v>
      </c>
      <c r="E2239" s="7" t="s">
        <v>198</v>
      </c>
      <c r="F2239" s="7" t="s">
        <v>198</v>
      </c>
      <c r="G2239" s="7" t="s">
        <v>198</v>
      </c>
      <c r="H2239" s="7" t="s">
        <v>20</v>
      </c>
      <c r="I2239" s="7" t="s">
        <v>5102</v>
      </c>
      <c r="J2239" s="7" t="s">
        <v>21</v>
      </c>
      <c r="L2239" t="s">
        <v>3600</v>
      </c>
      <c r="M2239" s="7" t="s">
        <v>22</v>
      </c>
      <c r="N2239" s="7" t="s">
        <v>23</v>
      </c>
      <c r="O2239" s="7" t="s">
        <v>27</v>
      </c>
      <c r="P2239" s="7" t="s">
        <v>5101</v>
      </c>
      <c r="Q2239" s="26">
        <v>31</v>
      </c>
      <c r="R2239" s="26">
        <v>1</v>
      </c>
      <c r="S2239" s="40">
        <v>1</v>
      </c>
      <c r="T2239" s="7"/>
      <c r="U2239" s="7" t="s">
        <v>2951</v>
      </c>
      <c r="V2239" s="7" t="str">
        <f>+IF(U2239="","",IF(U2239="FINES",CONCATENATE("R",IF(OR(B2239="16",B2239="21",B2239="22",B2239="23"),"16212223",IF(OR(B2239="15",B2239="17",B2239="24",B2239="25"),"15172425",B2239))),IF(U2239="CEBAS","UNICO",IF(VALUE(B2239)&lt;=11,"AMBA","INTERIOR"))))</f>
        <v>R04</v>
      </c>
      <c r="W2239" s="38" t="str">
        <f>+IF(U2239="","-",CONCATENATE(U2239,"_",V2239))</f>
        <v>FINES_R04</v>
      </c>
      <c r="X2239" s="42">
        <v>5.7000000000000002E-2</v>
      </c>
    </row>
    <row r="2240" spans="1:24">
      <c r="A2240" s="21" t="s">
        <v>5100</v>
      </c>
      <c r="B2240" t="s">
        <v>817</v>
      </c>
      <c r="C2240" t="s">
        <v>600</v>
      </c>
      <c r="D2240" t="s">
        <v>2661</v>
      </c>
      <c r="E2240" s="7" t="s">
        <v>198</v>
      </c>
      <c r="F2240" s="7" t="s">
        <v>198</v>
      </c>
      <c r="G2240" s="7" t="s">
        <v>198</v>
      </c>
      <c r="H2240" s="7" t="s">
        <v>20</v>
      </c>
      <c r="I2240" s="7" t="s">
        <v>5102</v>
      </c>
      <c r="J2240" s="7" t="s">
        <v>21</v>
      </c>
      <c r="L2240" t="s">
        <v>3563</v>
      </c>
      <c r="M2240" s="7" t="s">
        <v>22</v>
      </c>
      <c r="N2240" s="7" t="s">
        <v>23</v>
      </c>
      <c r="O2240" s="7" t="s">
        <v>27</v>
      </c>
      <c r="P2240" s="7" t="s">
        <v>5101</v>
      </c>
      <c r="Q2240" s="26">
        <v>30</v>
      </c>
      <c r="R2240" s="26">
        <v>1</v>
      </c>
      <c r="S2240" s="40">
        <v>1</v>
      </c>
      <c r="T2240" s="7"/>
      <c r="U2240" s="7" t="s">
        <v>2951</v>
      </c>
      <c r="V2240" s="7" t="str">
        <f>+IF(U2240="","",IF(U2240="FINES",CONCATENATE("R",IF(OR(B2240="16",B2240="21",B2240="22",B2240="23"),"16212223",IF(OR(B2240="15",B2240="17",B2240="24",B2240="25"),"15172425",B2240))),IF(U2240="CEBAS","UNICO",IF(VALUE(B2240)&lt;=11,"AMBA","INTERIOR"))))</f>
        <v>R04</v>
      </c>
      <c r="W2240" s="38" t="str">
        <f>+IF(U2240="","-",CONCATENATE(U2240,"_",V2240))</f>
        <v>FINES_R04</v>
      </c>
      <c r="X2240" s="42">
        <v>6.4000000000000001E-2</v>
      </c>
    </row>
    <row r="2241" spans="1:24">
      <c r="A2241" s="21" t="s">
        <v>5100</v>
      </c>
      <c r="B2241" t="s">
        <v>817</v>
      </c>
      <c r="C2241" t="s">
        <v>2080</v>
      </c>
      <c r="D2241" t="s">
        <v>2081</v>
      </c>
      <c r="E2241" s="7" t="s">
        <v>198</v>
      </c>
      <c r="F2241" s="7" t="s">
        <v>198</v>
      </c>
      <c r="G2241" s="7" t="s">
        <v>198</v>
      </c>
      <c r="H2241" s="7" t="s">
        <v>20</v>
      </c>
      <c r="I2241" s="7" t="s">
        <v>5102</v>
      </c>
      <c r="J2241" s="7" t="s">
        <v>21</v>
      </c>
      <c r="L2241" t="s">
        <v>3682</v>
      </c>
      <c r="M2241" s="7" t="s">
        <v>22</v>
      </c>
      <c r="N2241" s="7" t="s">
        <v>23</v>
      </c>
      <c r="O2241" s="7" t="s">
        <v>27</v>
      </c>
      <c r="P2241" s="7" t="s">
        <v>5101</v>
      </c>
      <c r="Q2241" s="26">
        <v>0</v>
      </c>
      <c r="R2241" s="26">
        <v>1</v>
      </c>
      <c r="S2241" s="40">
        <v>1</v>
      </c>
      <c r="T2241" s="7"/>
      <c r="U2241" s="7" t="s">
        <v>2951</v>
      </c>
      <c r="V2241" s="7" t="str">
        <f>+IF(U2241="","",IF(U2241="FINES",CONCATENATE("R",IF(OR(B2241="16",B2241="21",B2241="22",B2241="23"),"16212223",IF(OR(B2241="15",B2241="17",B2241="24",B2241="25"),"15172425",B2241))),IF(U2241="CEBAS","UNICO",IF(VALUE(B2241)&lt;=11,"AMBA","INTERIOR"))))</f>
        <v>R04</v>
      </c>
      <c r="W2241" s="38" t="str">
        <f>+IF(U2241="","-",CONCATENATE(U2241,"_",V2241))</f>
        <v>FINES_R04</v>
      </c>
      <c r="X2241" s="42">
        <v>7.1999999999999995E-2</v>
      </c>
    </row>
    <row r="2242" spans="1:24">
      <c r="A2242" s="21" t="s">
        <v>5100</v>
      </c>
      <c r="B2242" t="s">
        <v>817</v>
      </c>
      <c r="C2242" t="s">
        <v>600</v>
      </c>
      <c r="D2242" t="s">
        <v>2661</v>
      </c>
      <c r="E2242" s="7" t="s">
        <v>198</v>
      </c>
      <c r="F2242" s="7" t="s">
        <v>198</v>
      </c>
      <c r="G2242" s="7" t="s">
        <v>198</v>
      </c>
      <c r="H2242" s="7" t="s">
        <v>20</v>
      </c>
      <c r="I2242" s="7" t="s">
        <v>5102</v>
      </c>
      <c r="J2242" s="7" t="s">
        <v>21</v>
      </c>
      <c r="L2242" t="s">
        <v>3594</v>
      </c>
      <c r="M2242" s="7" t="s">
        <v>22</v>
      </c>
      <c r="N2242" s="7" t="s">
        <v>23</v>
      </c>
      <c r="O2242" s="7" t="s">
        <v>27</v>
      </c>
      <c r="P2242" s="7" t="s">
        <v>5101</v>
      </c>
      <c r="Q2242" s="26">
        <v>19</v>
      </c>
      <c r="R2242" s="26">
        <v>1</v>
      </c>
      <c r="S2242" s="40">
        <v>1</v>
      </c>
      <c r="T2242" s="7"/>
      <c r="U2242" s="7" t="s">
        <v>2951</v>
      </c>
      <c r="V2242" s="7" t="str">
        <f>+IF(U2242="","",IF(U2242="FINES",CONCATENATE("R",IF(OR(B2242="16",B2242="21",B2242="22",B2242="23"),"16212223",IF(OR(B2242="15",B2242="17",B2242="24",B2242="25"),"15172425",B2242))),IF(U2242="CEBAS","UNICO",IF(VALUE(B2242)&lt;=11,"AMBA","INTERIOR"))))</f>
        <v>R04</v>
      </c>
      <c r="W2242" s="38" t="str">
        <f>+IF(U2242="","-",CONCATENATE(U2242,"_",V2242))</f>
        <v>FINES_R04</v>
      </c>
      <c r="X2242" s="42">
        <v>7.1999999999999995E-2</v>
      </c>
    </row>
    <row r="2243" spans="1:24">
      <c r="A2243" s="21" t="s">
        <v>5100</v>
      </c>
      <c r="B2243" t="s">
        <v>817</v>
      </c>
      <c r="C2243" t="s">
        <v>2080</v>
      </c>
      <c r="D2243" t="s">
        <v>2081</v>
      </c>
      <c r="E2243" s="7" t="s">
        <v>198</v>
      </c>
      <c r="F2243" s="7" t="s">
        <v>198</v>
      </c>
      <c r="G2243" s="7" t="s">
        <v>198</v>
      </c>
      <c r="H2243" s="7" t="s">
        <v>20</v>
      </c>
      <c r="I2243" s="7" t="s">
        <v>5102</v>
      </c>
      <c r="J2243" s="7" t="s">
        <v>21</v>
      </c>
      <c r="L2243" t="s">
        <v>3698</v>
      </c>
      <c r="M2243" s="7" t="s">
        <v>22</v>
      </c>
      <c r="N2243" s="7" t="s">
        <v>23</v>
      </c>
      <c r="O2243" s="7" t="s">
        <v>27</v>
      </c>
      <c r="P2243" s="7" t="s">
        <v>5101</v>
      </c>
      <c r="Q2243" s="26">
        <v>16</v>
      </c>
      <c r="R2243" s="26">
        <v>1</v>
      </c>
      <c r="S2243" s="40">
        <v>1</v>
      </c>
      <c r="T2243" s="7"/>
      <c r="U2243" s="7" t="s">
        <v>2951</v>
      </c>
      <c r="V2243" s="7" t="str">
        <f>+IF(U2243="","",IF(U2243="FINES",CONCATENATE("R",IF(OR(B2243="16",B2243="21",B2243="22",B2243="23"),"16212223",IF(OR(B2243="15",B2243="17",B2243="24",B2243="25"),"15172425",B2243))),IF(U2243="CEBAS","UNICO",IF(VALUE(B2243)&lt;=11,"AMBA","INTERIOR"))))</f>
        <v>R04</v>
      </c>
      <c r="W2243" s="38" t="str">
        <f>+IF(U2243="","-",CONCATENATE(U2243,"_",V2243))</f>
        <v>FINES_R04</v>
      </c>
      <c r="X2243" s="42">
        <v>7.4999999999999997E-2</v>
      </c>
    </row>
    <row r="2244" spans="1:24">
      <c r="A2244" s="21" t="s">
        <v>5100</v>
      </c>
      <c r="B2244" t="s">
        <v>817</v>
      </c>
      <c r="C2244" t="s">
        <v>600</v>
      </c>
      <c r="D2244" t="s">
        <v>2661</v>
      </c>
      <c r="E2244" s="7" t="s">
        <v>198</v>
      </c>
      <c r="F2244" s="7" t="s">
        <v>198</v>
      </c>
      <c r="G2244" s="7" t="s">
        <v>198</v>
      </c>
      <c r="H2244" s="7" t="s">
        <v>20</v>
      </c>
      <c r="I2244" s="7" t="s">
        <v>5102</v>
      </c>
      <c r="J2244" s="7" t="s">
        <v>21</v>
      </c>
      <c r="L2244" t="s">
        <v>3573</v>
      </c>
      <c r="M2244" s="7" t="s">
        <v>22</v>
      </c>
      <c r="N2244" s="7" t="s">
        <v>23</v>
      </c>
      <c r="O2244" s="7" t="s">
        <v>27</v>
      </c>
      <c r="P2244" s="7" t="s">
        <v>5101</v>
      </c>
      <c r="Q2244" s="26">
        <v>15</v>
      </c>
      <c r="R2244" s="26">
        <v>1</v>
      </c>
      <c r="S2244" s="40">
        <v>1</v>
      </c>
      <c r="T2244" s="7"/>
      <c r="U2244" s="7" t="s">
        <v>2951</v>
      </c>
      <c r="V2244" s="7" t="str">
        <f>+IF(U2244="","",IF(U2244="FINES",CONCATENATE("R",IF(OR(B2244="16",B2244="21",B2244="22",B2244="23"),"16212223",IF(OR(B2244="15",B2244="17",B2244="24",B2244="25"),"15172425",B2244))),IF(U2244="CEBAS","UNICO",IF(VALUE(B2244)&lt;=11,"AMBA","INTERIOR"))))</f>
        <v>R04</v>
      </c>
      <c r="W2244" s="38" t="str">
        <f>+IF(U2244="","-",CONCATENATE(U2244,"_",V2244))</f>
        <v>FINES_R04</v>
      </c>
      <c r="X2244" s="42">
        <v>7.5999999999999998E-2</v>
      </c>
    </row>
    <row r="2245" spans="1:24">
      <c r="A2245" s="21" t="s">
        <v>5100</v>
      </c>
      <c r="B2245" t="s">
        <v>817</v>
      </c>
      <c r="C2245" t="s">
        <v>815</v>
      </c>
      <c r="D2245" t="s">
        <v>816</v>
      </c>
      <c r="E2245" s="7" t="s">
        <v>198</v>
      </c>
      <c r="F2245" s="7" t="s">
        <v>198</v>
      </c>
      <c r="G2245" s="7" t="s">
        <v>198</v>
      </c>
      <c r="H2245" s="7" t="s">
        <v>20</v>
      </c>
      <c r="I2245" s="7" t="s">
        <v>5102</v>
      </c>
      <c r="J2245" s="7" t="s">
        <v>21</v>
      </c>
      <c r="L2245" t="s">
        <v>3665</v>
      </c>
      <c r="M2245" s="7" t="s">
        <v>22</v>
      </c>
      <c r="N2245" s="7" t="s">
        <v>23</v>
      </c>
      <c r="O2245" s="7" t="s">
        <v>27</v>
      </c>
      <c r="P2245" s="7" t="s">
        <v>5101</v>
      </c>
      <c r="Q2245" s="26">
        <v>18</v>
      </c>
      <c r="R2245" s="26">
        <v>1</v>
      </c>
      <c r="S2245" s="40">
        <v>1</v>
      </c>
      <c r="T2245" s="7"/>
      <c r="U2245" s="7" t="s">
        <v>2951</v>
      </c>
      <c r="V2245" s="7" t="str">
        <f>+IF(U2245="","",IF(U2245="FINES",CONCATENATE("R",IF(OR(B2245="16",B2245="21",B2245="22",B2245="23"),"16212223",IF(OR(B2245="15",B2245="17",B2245="24",B2245="25"),"15172425",B2245))),IF(U2245="CEBAS","UNICO",IF(VALUE(B2245)&lt;=11,"AMBA","INTERIOR"))))</f>
        <v>R04</v>
      </c>
      <c r="W2245" s="38" t="str">
        <f>+IF(U2245="","-",CONCATENATE(U2245,"_",V2245))</f>
        <v>FINES_R04</v>
      </c>
      <c r="X2245" s="42">
        <v>7.6999999999999999E-2</v>
      </c>
    </row>
    <row r="2246" spans="1:24">
      <c r="A2246" s="21" t="s">
        <v>5100</v>
      </c>
      <c r="B2246" t="s">
        <v>817</v>
      </c>
      <c r="C2246" t="s">
        <v>600</v>
      </c>
      <c r="D2246" t="s">
        <v>2661</v>
      </c>
      <c r="E2246" s="7" t="s">
        <v>198</v>
      </c>
      <c r="F2246" s="7" t="s">
        <v>198</v>
      </c>
      <c r="G2246" s="7" t="s">
        <v>198</v>
      </c>
      <c r="H2246" s="7" t="s">
        <v>20</v>
      </c>
      <c r="I2246" s="7" t="s">
        <v>5102</v>
      </c>
      <c r="J2246" s="7" t="s">
        <v>21</v>
      </c>
      <c r="L2246" t="s">
        <v>3567</v>
      </c>
      <c r="M2246" s="7" t="s">
        <v>22</v>
      </c>
      <c r="N2246" s="7" t="s">
        <v>23</v>
      </c>
      <c r="O2246" s="7" t="s">
        <v>27</v>
      </c>
      <c r="P2246" s="7" t="s">
        <v>5101</v>
      </c>
      <c r="Q2246" s="26">
        <v>19</v>
      </c>
      <c r="R2246" s="26">
        <v>1</v>
      </c>
      <c r="S2246" s="40">
        <v>1</v>
      </c>
      <c r="T2246" s="7"/>
      <c r="U2246" s="7" t="s">
        <v>2951</v>
      </c>
      <c r="V2246" s="7" t="str">
        <f>+IF(U2246="","",IF(U2246="FINES",CONCATENATE("R",IF(OR(B2246="16",B2246="21",B2246="22",B2246="23"),"16212223",IF(OR(B2246="15",B2246="17",B2246="24",B2246="25"),"15172425",B2246))),IF(U2246="CEBAS","UNICO",IF(VALUE(B2246)&lt;=11,"AMBA","INTERIOR"))))</f>
        <v>R04</v>
      </c>
      <c r="W2246" s="38" t="str">
        <f>+IF(U2246="","-",CONCATENATE(U2246,"_",V2246))</f>
        <v>FINES_R04</v>
      </c>
      <c r="X2246" s="42">
        <v>8.1000000000000003E-2</v>
      </c>
    </row>
    <row r="2247" spans="1:24">
      <c r="A2247" s="21" t="s">
        <v>5100</v>
      </c>
      <c r="B2247" t="s">
        <v>817</v>
      </c>
      <c r="C2247" t="s">
        <v>600</v>
      </c>
      <c r="D2247" t="s">
        <v>2661</v>
      </c>
      <c r="E2247" s="7" t="s">
        <v>198</v>
      </c>
      <c r="F2247" s="7" t="s">
        <v>198</v>
      </c>
      <c r="G2247" s="7" t="s">
        <v>198</v>
      </c>
      <c r="H2247" s="7" t="s">
        <v>20</v>
      </c>
      <c r="I2247" s="7" t="s">
        <v>5102</v>
      </c>
      <c r="J2247" s="7" t="s">
        <v>21</v>
      </c>
      <c r="L2247" t="s">
        <v>3574</v>
      </c>
      <c r="M2247" s="7" t="s">
        <v>22</v>
      </c>
      <c r="N2247" s="7" t="s">
        <v>23</v>
      </c>
      <c r="O2247" s="7" t="s">
        <v>27</v>
      </c>
      <c r="P2247" s="7" t="s">
        <v>5101</v>
      </c>
      <c r="Q2247" s="26">
        <v>6</v>
      </c>
      <c r="R2247" s="26">
        <v>1</v>
      </c>
      <c r="S2247" s="40">
        <v>1</v>
      </c>
      <c r="T2247" s="7"/>
      <c r="U2247" s="7" t="s">
        <v>2951</v>
      </c>
      <c r="V2247" s="7" t="str">
        <f>+IF(U2247="","",IF(U2247="FINES",CONCATENATE("R",IF(OR(B2247="16",B2247="21",B2247="22",B2247="23"),"16212223",IF(OR(B2247="15",B2247="17",B2247="24",B2247="25"),"15172425",B2247))),IF(U2247="CEBAS","UNICO",IF(VALUE(B2247)&lt;=11,"AMBA","INTERIOR"))))</f>
        <v>R04</v>
      </c>
      <c r="W2247" s="38" t="str">
        <f>+IF(U2247="","-",CONCATENATE(U2247,"_",V2247))</f>
        <v>FINES_R04</v>
      </c>
      <c r="X2247" s="42">
        <v>8.2000000000000003E-2</v>
      </c>
    </row>
    <row r="2248" spans="1:24">
      <c r="A2248" s="21" t="s">
        <v>5100</v>
      </c>
      <c r="B2248" t="s">
        <v>817</v>
      </c>
      <c r="C2248" t="s">
        <v>815</v>
      </c>
      <c r="D2248" t="s">
        <v>816</v>
      </c>
      <c r="E2248" s="7" t="s">
        <v>198</v>
      </c>
      <c r="F2248" s="7" t="s">
        <v>198</v>
      </c>
      <c r="G2248" s="7" t="s">
        <v>198</v>
      </c>
      <c r="H2248" s="7" t="s">
        <v>20</v>
      </c>
      <c r="I2248" s="7" t="s">
        <v>5102</v>
      </c>
      <c r="J2248" s="7" t="s">
        <v>21</v>
      </c>
      <c r="L2248" t="s">
        <v>3626</v>
      </c>
      <c r="M2248" s="7" t="s">
        <v>22</v>
      </c>
      <c r="N2248" s="7" t="s">
        <v>23</v>
      </c>
      <c r="O2248" s="7" t="s">
        <v>27</v>
      </c>
      <c r="P2248" s="7" t="s">
        <v>5101</v>
      </c>
      <c r="Q2248" s="26">
        <v>139</v>
      </c>
      <c r="R2248" s="26">
        <v>5</v>
      </c>
      <c r="S2248" s="40">
        <v>1</v>
      </c>
      <c r="T2248" s="7"/>
      <c r="U2248" s="7" t="s">
        <v>2951</v>
      </c>
      <c r="V2248" s="7" t="str">
        <f>+IF(U2248="","",IF(U2248="FINES",CONCATENATE("R",IF(OR(B2248="16",B2248="21",B2248="22",B2248="23"),"16212223",IF(OR(B2248="15",B2248="17",B2248="24",B2248="25"),"15172425",B2248))),IF(U2248="CEBAS","UNICO",IF(VALUE(B2248)&lt;=11,"AMBA","INTERIOR"))))</f>
        <v>R04</v>
      </c>
      <c r="W2248" s="38" t="str">
        <f>+IF(U2248="","-",CONCATENATE(U2248,"_",V2248))</f>
        <v>FINES_R04</v>
      </c>
      <c r="X2248" s="42">
        <v>8.3000000000000004E-2</v>
      </c>
    </row>
    <row r="2249" spans="1:24">
      <c r="A2249" s="21" t="s">
        <v>5100</v>
      </c>
      <c r="B2249" t="s">
        <v>817</v>
      </c>
      <c r="C2249" t="s">
        <v>815</v>
      </c>
      <c r="D2249" t="s">
        <v>816</v>
      </c>
      <c r="E2249" s="7" t="s">
        <v>198</v>
      </c>
      <c r="F2249" s="7" t="s">
        <v>198</v>
      </c>
      <c r="G2249" s="7" t="s">
        <v>198</v>
      </c>
      <c r="H2249" s="7" t="s">
        <v>20</v>
      </c>
      <c r="I2249" s="7" t="s">
        <v>5102</v>
      </c>
      <c r="J2249" s="7" t="s">
        <v>21</v>
      </c>
      <c r="L2249" t="s">
        <v>3625</v>
      </c>
      <c r="M2249" s="7" t="s">
        <v>22</v>
      </c>
      <c r="N2249" s="7" t="s">
        <v>23</v>
      </c>
      <c r="O2249" s="7" t="s">
        <v>27</v>
      </c>
      <c r="P2249" s="7" t="s">
        <v>5101</v>
      </c>
      <c r="Q2249" s="26">
        <v>21</v>
      </c>
      <c r="R2249" s="26">
        <v>1</v>
      </c>
      <c r="S2249" s="40">
        <v>1</v>
      </c>
      <c r="T2249" s="7"/>
      <c r="U2249" s="7" t="s">
        <v>2951</v>
      </c>
      <c r="V2249" s="7" t="str">
        <f>+IF(U2249="","",IF(U2249="FINES",CONCATENATE("R",IF(OR(B2249="16",B2249="21",B2249="22",B2249="23"),"16212223",IF(OR(B2249="15",B2249="17",B2249="24",B2249="25"),"15172425",B2249))),IF(U2249="CEBAS","UNICO",IF(VALUE(B2249)&lt;=11,"AMBA","INTERIOR"))))</f>
        <v>R04</v>
      </c>
      <c r="W2249" s="38" t="str">
        <f>+IF(U2249="","-",CONCATENATE(U2249,"_",V2249))</f>
        <v>FINES_R04</v>
      </c>
      <c r="X2249" s="42">
        <v>8.5999999999999993E-2</v>
      </c>
    </row>
    <row r="2250" spans="1:24">
      <c r="A2250" s="21" t="s">
        <v>5100</v>
      </c>
      <c r="B2250" t="s">
        <v>817</v>
      </c>
      <c r="C2250" t="s">
        <v>2080</v>
      </c>
      <c r="D2250" t="s">
        <v>2081</v>
      </c>
      <c r="E2250" s="7" t="s">
        <v>198</v>
      </c>
      <c r="F2250" s="7" t="s">
        <v>198</v>
      </c>
      <c r="G2250" s="7" t="s">
        <v>198</v>
      </c>
      <c r="H2250" s="7" t="s">
        <v>20</v>
      </c>
      <c r="I2250" s="7" t="s">
        <v>5102</v>
      </c>
      <c r="J2250" s="7" t="s">
        <v>21</v>
      </c>
      <c r="L2250" t="s">
        <v>3681</v>
      </c>
      <c r="M2250" s="7" t="s">
        <v>22</v>
      </c>
      <c r="N2250" s="7" t="s">
        <v>23</v>
      </c>
      <c r="O2250" s="7" t="s">
        <v>27</v>
      </c>
      <c r="P2250" s="7" t="s">
        <v>5101</v>
      </c>
      <c r="Q2250" s="26">
        <v>7</v>
      </c>
      <c r="R2250" s="26">
        <v>1</v>
      </c>
      <c r="S2250" s="40">
        <v>1</v>
      </c>
      <c r="T2250" s="7"/>
      <c r="U2250" s="7" t="s">
        <v>2951</v>
      </c>
      <c r="V2250" s="7" t="str">
        <f>+IF(U2250="","",IF(U2250="FINES",CONCATENATE("R",IF(OR(B2250="16",B2250="21",B2250="22",B2250="23"),"16212223",IF(OR(B2250="15",B2250="17",B2250="24",B2250="25"),"15172425",B2250))),IF(U2250="CEBAS","UNICO",IF(VALUE(B2250)&lt;=11,"AMBA","INTERIOR"))))</f>
        <v>R04</v>
      </c>
      <c r="W2250" s="38" t="str">
        <f>+IF(U2250="","-",CONCATENATE(U2250,"_",V2250))</f>
        <v>FINES_R04</v>
      </c>
      <c r="X2250" s="42">
        <v>0.10100000000000001</v>
      </c>
    </row>
    <row r="2251" spans="1:24">
      <c r="A2251" s="21" t="s">
        <v>5100</v>
      </c>
      <c r="B2251" t="s">
        <v>817</v>
      </c>
      <c r="C2251" t="s">
        <v>815</v>
      </c>
      <c r="D2251" t="s">
        <v>816</v>
      </c>
      <c r="E2251" s="7" t="s">
        <v>198</v>
      </c>
      <c r="F2251" s="7" t="s">
        <v>198</v>
      </c>
      <c r="G2251" s="7" t="s">
        <v>198</v>
      </c>
      <c r="H2251" s="7" t="s">
        <v>20</v>
      </c>
      <c r="I2251" s="7" t="s">
        <v>5102</v>
      </c>
      <c r="J2251" s="7" t="s">
        <v>21</v>
      </c>
      <c r="L2251" t="s">
        <v>3653</v>
      </c>
      <c r="M2251" s="7" t="s">
        <v>22</v>
      </c>
      <c r="N2251" s="7" t="s">
        <v>23</v>
      </c>
      <c r="O2251" s="7" t="s">
        <v>27</v>
      </c>
      <c r="P2251" s="7" t="s">
        <v>5101</v>
      </c>
      <c r="Q2251" s="26">
        <v>69</v>
      </c>
      <c r="R2251" s="26">
        <v>2</v>
      </c>
      <c r="S2251" s="40">
        <v>1</v>
      </c>
      <c r="T2251" s="7"/>
      <c r="U2251" s="7" t="s">
        <v>2951</v>
      </c>
      <c r="V2251" s="7" t="str">
        <f>+IF(U2251="","",IF(U2251="FINES",CONCATENATE("R",IF(OR(B2251="16",B2251="21",B2251="22",B2251="23"),"16212223",IF(OR(B2251="15",B2251="17",B2251="24",B2251="25"),"15172425",B2251))),IF(U2251="CEBAS","UNICO",IF(VALUE(B2251)&lt;=11,"AMBA","INTERIOR"))))</f>
        <v>R04</v>
      </c>
      <c r="W2251" s="38" t="str">
        <f>+IF(U2251="","-",CONCATENATE(U2251,"_",V2251))</f>
        <v>FINES_R04</v>
      </c>
      <c r="X2251" s="42">
        <v>0.10199999999999999</v>
      </c>
    </row>
    <row r="2252" spans="1:24">
      <c r="A2252" s="21" t="s">
        <v>5100</v>
      </c>
      <c r="B2252" t="s">
        <v>817</v>
      </c>
      <c r="C2252" t="s">
        <v>2080</v>
      </c>
      <c r="D2252" t="s">
        <v>2081</v>
      </c>
      <c r="E2252" s="7" t="s">
        <v>198</v>
      </c>
      <c r="F2252" s="7" t="s">
        <v>198</v>
      </c>
      <c r="G2252" s="7" t="s">
        <v>198</v>
      </c>
      <c r="H2252" s="7" t="s">
        <v>20</v>
      </c>
      <c r="I2252" s="7" t="s">
        <v>5102</v>
      </c>
      <c r="J2252" s="7" t="s">
        <v>21</v>
      </c>
      <c r="L2252" t="s">
        <v>3673</v>
      </c>
      <c r="M2252" s="7" t="s">
        <v>22</v>
      </c>
      <c r="N2252" s="7" t="s">
        <v>23</v>
      </c>
      <c r="O2252" s="7" t="s">
        <v>27</v>
      </c>
      <c r="P2252" s="7" t="s">
        <v>5101</v>
      </c>
      <c r="Q2252" s="26">
        <v>28</v>
      </c>
      <c r="R2252" s="26">
        <v>2</v>
      </c>
      <c r="S2252" s="40">
        <v>1</v>
      </c>
      <c r="T2252" s="7"/>
      <c r="U2252" s="7" t="s">
        <v>2951</v>
      </c>
      <c r="V2252" s="7" t="str">
        <f>+IF(U2252="","",IF(U2252="FINES",CONCATENATE("R",IF(OR(B2252="16",B2252="21",B2252="22",B2252="23"),"16212223",IF(OR(B2252="15",B2252="17",B2252="24",B2252="25"),"15172425",B2252))),IF(U2252="CEBAS","UNICO",IF(VALUE(B2252)&lt;=11,"AMBA","INTERIOR"))))</f>
        <v>R04</v>
      </c>
      <c r="W2252" s="38" t="str">
        <f>+IF(U2252="","-",CONCATENATE(U2252,"_",V2252))</f>
        <v>FINES_R04</v>
      </c>
      <c r="X2252" s="42">
        <v>0.10299999999999999</v>
      </c>
    </row>
    <row r="2253" spans="1:24">
      <c r="A2253" s="21" t="s">
        <v>5100</v>
      </c>
      <c r="B2253" t="s">
        <v>817</v>
      </c>
      <c r="C2253" t="s">
        <v>2080</v>
      </c>
      <c r="D2253" t="s">
        <v>2081</v>
      </c>
      <c r="E2253" s="7" t="s">
        <v>198</v>
      </c>
      <c r="F2253" s="7" t="s">
        <v>198</v>
      </c>
      <c r="G2253" s="7" t="s">
        <v>198</v>
      </c>
      <c r="H2253" s="7" t="s">
        <v>20</v>
      </c>
      <c r="I2253" s="7" t="s">
        <v>5102</v>
      </c>
      <c r="J2253" s="7" t="s">
        <v>21</v>
      </c>
      <c r="L2253" t="s">
        <v>3713</v>
      </c>
      <c r="M2253" s="7" t="s">
        <v>22</v>
      </c>
      <c r="N2253" s="7" t="s">
        <v>23</v>
      </c>
      <c r="O2253" s="7" t="s">
        <v>27</v>
      </c>
      <c r="P2253" s="7" t="s">
        <v>5101</v>
      </c>
      <c r="Q2253" s="26">
        <v>20</v>
      </c>
      <c r="R2253" s="26">
        <v>1</v>
      </c>
      <c r="S2253" s="40">
        <v>1</v>
      </c>
      <c r="T2253" s="7"/>
      <c r="U2253" s="7" t="s">
        <v>2951</v>
      </c>
      <c r="V2253" s="7" t="str">
        <f>+IF(U2253="","",IF(U2253="FINES",CONCATENATE("R",IF(OR(B2253="16",B2253="21",B2253="22",B2253="23"),"16212223",IF(OR(B2253="15",B2253="17",B2253="24",B2253="25"),"15172425",B2253))),IF(U2253="CEBAS","UNICO",IF(VALUE(B2253)&lt;=11,"AMBA","INTERIOR"))))</f>
        <v>R04</v>
      </c>
      <c r="W2253" s="38" t="str">
        <f>+IF(U2253="","-",CONCATENATE(U2253,"_",V2253))</f>
        <v>FINES_R04</v>
      </c>
      <c r="X2253" s="42">
        <v>0.104</v>
      </c>
    </row>
    <row r="2254" spans="1:24">
      <c r="A2254" s="21" t="s">
        <v>5100</v>
      </c>
      <c r="B2254" t="s">
        <v>817</v>
      </c>
      <c r="C2254" t="s">
        <v>815</v>
      </c>
      <c r="D2254" t="s">
        <v>816</v>
      </c>
      <c r="E2254" s="7" t="s">
        <v>198</v>
      </c>
      <c r="F2254" s="7" t="s">
        <v>198</v>
      </c>
      <c r="G2254" s="7" t="s">
        <v>198</v>
      </c>
      <c r="H2254" s="7" t="s">
        <v>20</v>
      </c>
      <c r="I2254" s="7" t="s">
        <v>5102</v>
      </c>
      <c r="J2254" s="7" t="s">
        <v>21</v>
      </c>
      <c r="L2254" t="s">
        <v>3644</v>
      </c>
      <c r="M2254" s="7" t="s">
        <v>22</v>
      </c>
      <c r="N2254" s="7" t="s">
        <v>23</v>
      </c>
      <c r="O2254" s="7" t="s">
        <v>27</v>
      </c>
      <c r="P2254" s="7" t="s">
        <v>5101</v>
      </c>
      <c r="Q2254" s="26">
        <v>12</v>
      </c>
      <c r="R2254" s="26">
        <v>1</v>
      </c>
      <c r="S2254" s="40">
        <v>1</v>
      </c>
      <c r="T2254" s="7"/>
      <c r="U2254" s="7" t="s">
        <v>2951</v>
      </c>
      <c r="V2254" s="7" t="str">
        <f>+IF(U2254="","",IF(U2254="FINES",CONCATENATE("R",IF(OR(B2254="16",B2254="21",B2254="22",B2254="23"),"16212223",IF(OR(B2254="15",B2254="17",B2254="24",B2254="25"),"15172425",B2254))),IF(U2254="CEBAS","UNICO",IF(VALUE(B2254)&lt;=11,"AMBA","INTERIOR"))))</f>
        <v>R04</v>
      </c>
      <c r="W2254" s="38" t="str">
        <f>+IF(U2254="","-",CONCATENATE(U2254,"_",V2254))</f>
        <v>FINES_R04</v>
      </c>
      <c r="X2254" s="42">
        <v>0.114</v>
      </c>
    </row>
    <row r="2255" spans="1:24">
      <c r="A2255" s="21" t="s">
        <v>5100</v>
      </c>
      <c r="B2255" t="s">
        <v>817</v>
      </c>
      <c r="C2255" t="s">
        <v>815</v>
      </c>
      <c r="D2255" t="s">
        <v>816</v>
      </c>
      <c r="E2255" s="7" t="s">
        <v>198</v>
      </c>
      <c r="F2255" s="7" t="s">
        <v>198</v>
      </c>
      <c r="G2255" s="7" t="s">
        <v>198</v>
      </c>
      <c r="H2255" s="7" t="s">
        <v>20</v>
      </c>
      <c r="I2255" s="7" t="s">
        <v>5102</v>
      </c>
      <c r="J2255" s="7" t="s">
        <v>21</v>
      </c>
      <c r="L2255" t="s">
        <v>3622</v>
      </c>
      <c r="M2255" s="7" t="s">
        <v>22</v>
      </c>
      <c r="N2255" s="7" t="s">
        <v>23</v>
      </c>
      <c r="O2255" s="7" t="s">
        <v>27</v>
      </c>
      <c r="P2255" s="7" t="s">
        <v>5101</v>
      </c>
      <c r="Q2255" s="26">
        <v>31</v>
      </c>
      <c r="R2255" s="26">
        <v>1</v>
      </c>
      <c r="S2255" s="40">
        <v>1</v>
      </c>
      <c r="T2255" s="7"/>
      <c r="U2255" s="7" t="s">
        <v>2951</v>
      </c>
      <c r="V2255" s="7" t="str">
        <f>+IF(U2255="","",IF(U2255="FINES",CONCATENATE("R",IF(OR(B2255="16",B2255="21",B2255="22",B2255="23"),"16212223",IF(OR(B2255="15",B2255="17",B2255="24",B2255="25"),"15172425",B2255))),IF(U2255="CEBAS","UNICO",IF(VALUE(B2255)&lt;=11,"AMBA","INTERIOR"))))</f>
        <v>R04</v>
      </c>
      <c r="W2255" s="38" t="str">
        <f>+IF(U2255="","-",CONCATENATE(U2255,"_",V2255))</f>
        <v>FINES_R04</v>
      </c>
      <c r="X2255" s="42">
        <v>0.12</v>
      </c>
    </row>
    <row r="2256" spans="1:24">
      <c r="A2256" s="21" t="s">
        <v>5100</v>
      </c>
      <c r="B2256" t="s">
        <v>817</v>
      </c>
      <c r="C2256" t="s">
        <v>600</v>
      </c>
      <c r="D2256" t="s">
        <v>2661</v>
      </c>
      <c r="E2256" s="7" t="s">
        <v>198</v>
      </c>
      <c r="F2256" s="7" t="s">
        <v>198</v>
      </c>
      <c r="G2256" s="7" t="s">
        <v>198</v>
      </c>
      <c r="H2256" s="7" t="s">
        <v>20</v>
      </c>
      <c r="I2256" s="7" t="s">
        <v>5102</v>
      </c>
      <c r="J2256" s="7" t="s">
        <v>21</v>
      </c>
      <c r="L2256" t="s">
        <v>3554</v>
      </c>
      <c r="M2256" s="7" t="s">
        <v>22</v>
      </c>
      <c r="N2256" s="7" t="s">
        <v>23</v>
      </c>
      <c r="O2256" s="7" t="s">
        <v>27</v>
      </c>
      <c r="P2256" s="7" t="s">
        <v>5101</v>
      </c>
      <c r="Q2256" s="26">
        <v>0</v>
      </c>
      <c r="R2256" s="26">
        <v>2</v>
      </c>
      <c r="S2256" s="40">
        <v>1</v>
      </c>
      <c r="T2256" s="7"/>
      <c r="U2256" s="7" t="s">
        <v>2951</v>
      </c>
      <c r="V2256" s="7" t="str">
        <f>+IF(U2256="","",IF(U2256="FINES",CONCATENATE("R",IF(OR(B2256="16",B2256="21",B2256="22",B2256="23"),"16212223",IF(OR(B2256="15",B2256="17",B2256="24",B2256="25"),"15172425",B2256))),IF(U2256="CEBAS","UNICO",IF(VALUE(B2256)&lt;=11,"AMBA","INTERIOR"))))</f>
        <v>R04</v>
      </c>
      <c r="W2256" s="38" t="str">
        <f>+IF(U2256="","-",CONCATENATE(U2256,"_",V2256))</f>
        <v>FINES_R04</v>
      </c>
      <c r="X2256" s="42">
        <v>0.124</v>
      </c>
    </row>
    <row r="2257" spans="1:24">
      <c r="A2257" s="21" t="s">
        <v>5100</v>
      </c>
      <c r="B2257" t="s">
        <v>817</v>
      </c>
      <c r="C2257" t="s">
        <v>2080</v>
      </c>
      <c r="D2257" t="s">
        <v>2081</v>
      </c>
      <c r="E2257" s="7" t="s">
        <v>198</v>
      </c>
      <c r="F2257" s="7" t="s">
        <v>198</v>
      </c>
      <c r="G2257" s="7" t="s">
        <v>198</v>
      </c>
      <c r="H2257" s="7" t="s">
        <v>20</v>
      </c>
      <c r="I2257" s="7" t="s">
        <v>5102</v>
      </c>
      <c r="J2257" s="7" t="s">
        <v>21</v>
      </c>
      <c r="L2257" t="s">
        <v>3667</v>
      </c>
      <c r="M2257" s="7" t="s">
        <v>22</v>
      </c>
      <c r="N2257" s="7" t="s">
        <v>23</v>
      </c>
      <c r="O2257" s="7" t="s">
        <v>27</v>
      </c>
      <c r="P2257" s="7" t="s">
        <v>5101</v>
      </c>
      <c r="Q2257" s="26">
        <v>27</v>
      </c>
      <c r="R2257" s="26">
        <v>2</v>
      </c>
      <c r="S2257" s="40">
        <v>1</v>
      </c>
      <c r="T2257" s="7"/>
      <c r="U2257" s="7" t="s">
        <v>2951</v>
      </c>
      <c r="V2257" s="7" t="str">
        <f>+IF(U2257="","",IF(U2257="FINES",CONCATENATE("R",IF(OR(B2257="16",B2257="21",B2257="22",B2257="23"),"16212223",IF(OR(B2257="15",B2257="17",B2257="24",B2257="25"),"15172425",B2257))),IF(U2257="CEBAS","UNICO",IF(VALUE(B2257)&lt;=11,"AMBA","INTERIOR"))))</f>
        <v>R04</v>
      </c>
      <c r="W2257" s="38" t="str">
        <f>+IF(U2257="","-",CONCATENATE(U2257,"_",V2257))</f>
        <v>FINES_R04</v>
      </c>
      <c r="X2257" s="42">
        <v>0.126</v>
      </c>
    </row>
    <row r="2258" spans="1:24">
      <c r="A2258" s="21" t="s">
        <v>5100</v>
      </c>
      <c r="B2258" t="s">
        <v>817</v>
      </c>
      <c r="C2258" t="s">
        <v>600</v>
      </c>
      <c r="D2258" t="s">
        <v>2661</v>
      </c>
      <c r="E2258" s="7" t="s">
        <v>198</v>
      </c>
      <c r="F2258" s="7" t="s">
        <v>198</v>
      </c>
      <c r="G2258" s="7" t="s">
        <v>198</v>
      </c>
      <c r="H2258" s="7" t="s">
        <v>20</v>
      </c>
      <c r="I2258" s="7" t="s">
        <v>5102</v>
      </c>
      <c r="J2258" s="7" t="s">
        <v>21</v>
      </c>
      <c r="L2258" t="s">
        <v>688</v>
      </c>
      <c r="M2258" s="7" t="s">
        <v>22</v>
      </c>
      <c r="N2258" s="7" t="s">
        <v>23</v>
      </c>
      <c r="O2258" s="7" t="s">
        <v>27</v>
      </c>
      <c r="P2258" s="7" t="s">
        <v>5101</v>
      </c>
      <c r="Q2258" s="26">
        <v>15</v>
      </c>
      <c r="R2258" s="26">
        <v>1</v>
      </c>
      <c r="S2258" s="40">
        <v>1</v>
      </c>
      <c r="T2258" s="7"/>
      <c r="U2258" s="7" t="s">
        <v>2951</v>
      </c>
      <c r="V2258" s="7" t="str">
        <f>+IF(U2258="","",IF(U2258="FINES",CONCATENATE("R",IF(OR(B2258="16",B2258="21",B2258="22",B2258="23"),"16212223",IF(OR(B2258="15",B2258="17",B2258="24",B2258="25"),"15172425",B2258))),IF(U2258="CEBAS","UNICO",IF(VALUE(B2258)&lt;=11,"AMBA","INTERIOR"))))</f>
        <v>R04</v>
      </c>
      <c r="W2258" s="38" t="str">
        <f>+IF(U2258="","-",CONCATENATE(U2258,"_",V2258))</f>
        <v>FINES_R04</v>
      </c>
      <c r="X2258" s="42">
        <v>0.126</v>
      </c>
    </row>
    <row r="2259" spans="1:24">
      <c r="A2259" s="21" t="s">
        <v>5100</v>
      </c>
      <c r="B2259" t="s">
        <v>817</v>
      </c>
      <c r="C2259" t="s">
        <v>2080</v>
      </c>
      <c r="D2259" t="s">
        <v>2081</v>
      </c>
      <c r="E2259" s="7" t="s">
        <v>198</v>
      </c>
      <c r="F2259" s="7" t="s">
        <v>198</v>
      </c>
      <c r="G2259" s="7" t="s">
        <v>198</v>
      </c>
      <c r="H2259" s="7" t="s">
        <v>20</v>
      </c>
      <c r="I2259" s="7" t="s">
        <v>5102</v>
      </c>
      <c r="J2259" s="7" t="s">
        <v>21</v>
      </c>
      <c r="L2259" t="s">
        <v>3719</v>
      </c>
      <c r="M2259" s="7" t="s">
        <v>22</v>
      </c>
      <c r="N2259" s="7" t="s">
        <v>23</v>
      </c>
      <c r="O2259" s="7" t="s">
        <v>27</v>
      </c>
      <c r="P2259" s="7" t="s">
        <v>5101</v>
      </c>
      <c r="Q2259" s="26">
        <v>16</v>
      </c>
      <c r="R2259" s="26">
        <v>1</v>
      </c>
      <c r="S2259" s="40">
        <v>1</v>
      </c>
      <c r="T2259" s="7"/>
      <c r="U2259" s="7" t="s">
        <v>2951</v>
      </c>
      <c r="V2259" s="7" t="str">
        <f>+IF(U2259="","",IF(U2259="FINES",CONCATENATE("R",IF(OR(B2259="16",B2259="21",B2259="22",B2259="23"),"16212223",IF(OR(B2259="15",B2259="17",B2259="24",B2259="25"),"15172425",B2259))),IF(U2259="CEBAS","UNICO",IF(VALUE(B2259)&lt;=11,"AMBA","INTERIOR"))))</f>
        <v>R04</v>
      </c>
      <c r="W2259" s="38" t="str">
        <f>+IF(U2259="","-",CONCATENATE(U2259,"_",V2259))</f>
        <v>FINES_R04</v>
      </c>
      <c r="X2259" s="42">
        <v>0.13100000000000001</v>
      </c>
    </row>
    <row r="2260" spans="1:24">
      <c r="A2260" s="21" t="s">
        <v>5100</v>
      </c>
      <c r="B2260" t="s">
        <v>817</v>
      </c>
      <c r="C2260" t="s">
        <v>2080</v>
      </c>
      <c r="D2260" t="s">
        <v>2081</v>
      </c>
      <c r="E2260" s="7" t="s">
        <v>198</v>
      </c>
      <c r="F2260" s="7" t="s">
        <v>198</v>
      </c>
      <c r="G2260" s="7" t="s">
        <v>198</v>
      </c>
      <c r="H2260" s="7" t="s">
        <v>20</v>
      </c>
      <c r="I2260" s="7" t="s">
        <v>5102</v>
      </c>
      <c r="J2260" s="7" t="s">
        <v>21</v>
      </c>
      <c r="L2260" t="s">
        <v>3678</v>
      </c>
      <c r="M2260" s="7" t="s">
        <v>22</v>
      </c>
      <c r="N2260" s="7" t="s">
        <v>23</v>
      </c>
      <c r="O2260" s="7" t="s">
        <v>27</v>
      </c>
      <c r="P2260" s="7" t="s">
        <v>5101</v>
      </c>
      <c r="Q2260" s="26">
        <v>0</v>
      </c>
      <c r="R2260" s="26">
        <v>1</v>
      </c>
      <c r="S2260" s="40">
        <v>1</v>
      </c>
      <c r="T2260" s="7"/>
      <c r="U2260" s="7" t="s">
        <v>2951</v>
      </c>
      <c r="V2260" s="7" t="str">
        <f>+IF(U2260="","",IF(U2260="FINES",CONCATENATE("R",IF(OR(B2260="16",B2260="21",B2260="22",B2260="23"),"16212223",IF(OR(B2260="15",B2260="17",B2260="24",B2260="25"),"15172425",B2260))),IF(U2260="CEBAS","UNICO",IF(VALUE(B2260)&lt;=11,"AMBA","INTERIOR"))))</f>
        <v>R04</v>
      </c>
      <c r="W2260" s="38" t="str">
        <f>+IF(U2260="","-",CONCATENATE(U2260,"_",V2260))</f>
        <v>FINES_R04</v>
      </c>
      <c r="X2260" s="42">
        <v>0.14000000000000001</v>
      </c>
    </row>
    <row r="2261" spans="1:24">
      <c r="A2261" s="21" t="s">
        <v>5100</v>
      </c>
      <c r="B2261" t="s">
        <v>817</v>
      </c>
      <c r="C2261" t="s">
        <v>2080</v>
      </c>
      <c r="D2261" t="s">
        <v>2081</v>
      </c>
      <c r="E2261" s="7" t="s">
        <v>198</v>
      </c>
      <c r="F2261" s="7" t="s">
        <v>198</v>
      </c>
      <c r="G2261" s="7" t="s">
        <v>198</v>
      </c>
      <c r="H2261" s="7" t="s">
        <v>20</v>
      </c>
      <c r="I2261" s="7" t="s">
        <v>5102</v>
      </c>
      <c r="J2261" s="7" t="s">
        <v>21</v>
      </c>
      <c r="L2261" t="s">
        <v>3717</v>
      </c>
      <c r="M2261" s="7" t="s">
        <v>22</v>
      </c>
      <c r="N2261" s="7" t="s">
        <v>23</v>
      </c>
      <c r="O2261" s="7" t="s">
        <v>27</v>
      </c>
      <c r="P2261" s="7" t="s">
        <v>5101</v>
      </c>
      <c r="Q2261" s="26">
        <v>24</v>
      </c>
      <c r="R2261" s="26">
        <v>1</v>
      </c>
      <c r="S2261" s="40">
        <v>1</v>
      </c>
      <c r="T2261" s="7"/>
      <c r="U2261" s="7" t="s">
        <v>2951</v>
      </c>
      <c r="V2261" s="7" t="str">
        <f>+IF(U2261="","",IF(U2261="FINES",CONCATENATE("R",IF(OR(B2261="16",B2261="21",B2261="22",B2261="23"),"16212223",IF(OR(B2261="15",B2261="17",B2261="24",B2261="25"),"15172425",B2261))),IF(U2261="CEBAS","UNICO",IF(VALUE(B2261)&lt;=11,"AMBA","INTERIOR"))))</f>
        <v>R04</v>
      </c>
      <c r="W2261" s="38" t="str">
        <f>+IF(U2261="","-",CONCATENATE(U2261,"_",V2261))</f>
        <v>FINES_R04</v>
      </c>
      <c r="X2261" s="42">
        <v>0.14199999999999999</v>
      </c>
    </row>
    <row r="2262" spans="1:24">
      <c r="A2262" s="21" t="s">
        <v>5100</v>
      </c>
      <c r="B2262" t="s">
        <v>817</v>
      </c>
      <c r="C2262" t="s">
        <v>600</v>
      </c>
      <c r="D2262" t="s">
        <v>2661</v>
      </c>
      <c r="E2262" s="7" t="s">
        <v>198</v>
      </c>
      <c r="F2262" s="7" t="s">
        <v>198</v>
      </c>
      <c r="G2262" s="7" t="s">
        <v>198</v>
      </c>
      <c r="H2262" s="7" t="s">
        <v>20</v>
      </c>
      <c r="I2262" s="7" t="s">
        <v>5102</v>
      </c>
      <c r="J2262" s="7" t="s">
        <v>21</v>
      </c>
      <c r="L2262" t="s">
        <v>3581</v>
      </c>
      <c r="M2262" s="7" t="s">
        <v>22</v>
      </c>
      <c r="N2262" s="7" t="s">
        <v>23</v>
      </c>
      <c r="O2262" s="7" t="s">
        <v>27</v>
      </c>
      <c r="P2262" s="7" t="s">
        <v>5101</v>
      </c>
      <c r="Q2262" s="26">
        <v>8</v>
      </c>
      <c r="R2262" s="26">
        <v>1</v>
      </c>
      <c r="S2262" s="40">
        <v>1</v>
      </c>
      <c r="T2262" s="7"/>
      <c r="U2262" s="7" t="s">
        <v>2951</v>
      </c>
      <c r="V2262" s="7" t="str">
        <f>+IF(U2262="","",IF(U2262="FINES",CONCATENATE("R",IF(OR(B2262="16",B2262="21",B2262="22",B2262="23"),"16212223",IF(OR(B2262="15",B2262="17",B2262="24",B2262="25"),"15172425",B2262))),IF(U2262="CEBAS","UNICO",IF(VALUE(B2262)&lt;=11,"AMBA","INTERIOR"))))</f>
        <v>R04</v>
      </c>
      <c r="W2262" s="38" t="str">
        <f>+IF(U2262="","-",CONCATENATE(U2262,"_",V2262))</f>
        <v>FINES_R04</v>
      </c>
      <c r="X2262" s="42">
        <v>0.14499999999999999</v>
      </c>
    </row>
    <row r="2263" spans="1:24">
      <c r="A2263" s="21" t="s">
        <v>5100</v>
      </c>
      <c r="B2263" t="s">
        <v>817</v>
      </c>
      <c r="C2263" t="s">
        <v>815</v>
      </c>
      <c r="D2263" t="s">
        <v>816</v>
      </c>
      <c r="E2263" s="7" t="s">
        <v>198</v>
      </c>
      <c r="F2263" s="7" t="s">
        <v>198</v>
      </c>
      <c r="G2263" s="7" t="s">
        <v>198</v>
      </c>
      <c r="H2263" s="7" t="s">
        <v>20</v>
      </c>
      <c r="I2263" s="7" t="s">
        <v>5102</v>
      </c>
      <c r="J2263" s="7" t="s">
        <v>21</v>
      </c>
      <c r="L2263" t="s">
        <v>3655</v>
      </c>
      <c r="M2263" s="7" t="s">
        <v>22</v>
      </c>
      <c r="N2263" s="7" t="s">
        <v>23</v>
      </c>
      <c r="O2263" s="7" t="s">
        <v>27</v>
      </c>
      <c r="P2263" s="7" t="s">
        <v>5101</v>
      </c>
      <c r="Q2263" s="26">
        <v>17</v>
      </c>
      <c r="R2263" s="26">
        <v>1</v>
      </c>
      <c r="S2263" s="40">
        <v>1</v>
      </c>
      <c r="T2263" s="7"/>
      <c r="U2263" s="7" t="s">
        <v>2951</v>
      </c>
      <c r="V2263" s="7" t="str">
        <f>+IF(U2263="","",IF(U2263="FINES",CONCATENATE("R",IF(OR(B2263="16",B2263="21",B2263="22",B2263="23"),"16212223",IF(OR(B2263="15",B2263="17",B2263="24",B2263="25"),"15172425",B2263))),IF(U2263="CEBAS","UNICO",IF(VALUE(B2263)&lt;=11,"AMBA","INTERIOR"))))</f>
        <v>R04</v>
      </c>
      <c r="W2263" s="38" t="str">
        <f>+IF(U2263="","-",CONCATENATE(U2263,"_",V2263))</f>
        <v>FINES_R04</v>
      </c>
      <c r="X2263" s="42">
        <v>0.16</v>
      </c>
    </row>
    <row r="2264" spans="1:24">
      <c r="A2264" s="21" t="s">
        <v>5100</v>
      </c>
      <c r="B2264" t="s">
        <v>817</v>
      </c>
      <c r="C2264" t="s">
        <v>2080</v>
      </c>
      <c r="D2264" t="s">
        <v>2081</v>
      </c>
      <c r="E2264" s="7" t="s">
        <v>198</v>
      </c>
      <c r="F2264" s="7" t="s">
        <v>198</v>
      </c>
      <c r="G2264" s="7" t="s">
        <v>198</v>
      </c>
      <c r="H2264" s="7" t="s">
        <v>20</v>
      </c>
      <c r="I2264" s="7" t="s">
        <v>5102</v>
      </c>
      <c r="J2264" s="7" t="s">
        <v>21</v>
      </c>
      <c r="L2264" t="s">
        <v>3672</v>
      </c>
      <c r="M2264" s="7" t="s">
        <v>22</v>
      </c>
      <c r="N2264" s="7" t="s">
        <v>23</v>
      </c>
      <c r="O2264" s="7" t="s">
        <v>27</v>
      </c>
      <c r="P2264" s="7" t="s">
        <v>5101</v>
      </c>
      <c r="Q2264" s="26">
        <v>29</v>
      </c>
      <c r="R2264" s="26">
        <v>1</v>
      </c>
      <c r="S2264" s="40">
        <v>1</v>
      </c>
      <c r="T2264" s="7"/>
      <c r="U2264" s="7" t="s">
        <v>2951</v>
      </c>
      <c r="V2264" s="7" t="str">
        <f>+IF(U2264="","",IF(U2264="FINES",CONCATENATE("R",IF(OR(B2264="16",B2264="21",B2264="22",B2264="23"),"16212223",IF(OR(B2264="15",B2264="17",B2264="24",B2264="25"),"15172425",B2264))),IF(U2264="CEBAS","UNICO",IF(VALUE(B2264)&lt;=11,"AMBA","INTERIOR"))))</f>
        <v>R04</v>
      </c>
      <c r="W2264" s="38" t="str">
        <f>+IF(U2264="","-",CONCATENATE(U2264,"_",V2264))</f>
        <v>FINES_R04</v>
      </c>
      <c r="X2264" s="42">
        <v>0.16800000000000001</v>
      </c>
    </row>
    <row r="2265" spans="1:24">
      <c r="A2265" s="21" t="s">
        <v>5100</v>
      </c>
      <c r="B2265" t="s">
        <v>817</v>
      </c>
      <c r="C2265" t="s">
        <v>2080</v>
      </c>
      <c r="D2265" t="s">
        <v>2081</v>
      </c>
      <c r="E2265" s="7" t="s">
        <v>198</v>
      </c>
      <c r="F2265" s="7" t="s">
        <v>198</v>
      </c>
      <c r="G2265" s="7" t="s">
        <v>198</v>
      </c>
      <c r="H2265" s="7" t="s">
        <v>20</v>
      </c>
      <c r="I2265" s="7" t="s">
        <v>5102</v>
      </c>
      <c r="J2265" s="7" t="s">
        <v>21</v>
      </c>
      <c r="L2265" t="s">
        <v>3718</v>
      </c>
      <c r="M2265" s="7" t="s">
        <v>22</v>
      </c>
      <c r="N2265" s="7" t="s">
        <v>23</v>
      </c>
      <c r="O2265" s="7" t="s">
        <v>27</v>
      </c>
      <c r="P2265" s="7" t="s">
        <v>5101</v>
      </c>
      <c r="Q2265" s="26">
        <v>0</v>
      </c>
      <c r="R2265" s="26">
        <v>1</v>
      </c>
      <c r="S2265" s="40">
        <v>1</v>
      </c>
      <c r="T2265" s="7"/>
      <c r="U2265" s="7" t="s">
        <v>2951</v>
      </c>
      <c r="V2265" s="7" t="str">
        <f>+IF(U2265="","",IF(U2265="FINES",CONCATENATE("R",IF(OR(B2265="16",B2265="21",B2265="22",B2265="23"),"16212223",IF(OR(B2265="15",B2265="17",B2265="24",B2265="25"),"15172425",B2265))),IF(U2265="CEBAS","UNICO",IF(VALUE(B2265)&lt;=11,"AMBA","INTERIOR"))))</f>
        <v>R04</v>
      </c>
      <c r="W2265" s="38" t="str">
        <f>+IF(U2265="","-",CONCATENATE(U2265,"_",V2265))</f>
        <v>FINES_R04</v>
      </c>
      <c r="X2265" s="42">
        <v>0.17199999999999999</v>
      </c>
    </row>
    <row r="2266" spans="1:24">
      <c r="A2266" s="21" t="s">
        <v>5100</v>
      </c>
      <c r="B2266" t="s">
        <v>817</v>
      </c>
      <c r="C2266" t="s">
        <v>815</v>
      </c>
      <c r="D2266" t="s">
        <v>816</v>
      </c>
      <c r="E2266" s="7" t="s">
        <v>198</v>
      </c>
      <c r="F2266" s="7" t="s">
        <v>198</v>
      </c>
      <c r="G2266" s="7" t="s">
        <v>198</v>
      </c>
      <c r="H2266" s="7" t="s">
        <v>20</v>
      </c>
      <c r="I2266" s="7" t="s">
        <v>5102</v>
      </c>
      <c r="J2266" s="7" t="s">
        <v>21</v>
      </c>
      <c r="L2266" t="s">
        <v>3610</v>
      </c>
      <c r="M2266" s="7" t="s">
        <v>22</v>
      </c>
      <c r="N2266" s="7" t="s">
        <v>23</v>
      </c>
      <c r="O2266" s="7" t="s">
        <v>27</v>
      </c>
      <c r="P2266" s="7" t="s">
        <v>5101</v>
      </c>
      <c r="Q2266" s="26">
        <v>0</v>
      </c>
      <c r="R2266" s="26">
        <v>1</v>
      </c>
      <c r="S2266" s="40">
        <v>1</v>
      </c>
      <c r="T2266" s="7"/>
      <c r="U2266" s="7" t="s">
        <v>2951</v>
      </c>
      <c r="V2266" s="7" t="str">
        <f>+IF(U2266="","",IF(U2266="FINES",CONCATENATE("R",IF(OR(B2266="16",B2266="21",B2266="22",B2266="23"),"16212223",IF(OR(B2266="15",B2266="17",B2266="24",B2266="25"),"15172425",B2266))),IF(U2266="CEBAS","UNICO",IF(VALUE(B2266)&lt;=11,"AMBA","INTERIOR"))))</f>
        <v>R04</v>
      </c>
      <c r="W2266" s="38" t="str">
        <f>+IF(U2266="","-",CONCATENATE(U2266,"_",V2266))</f>
        <v>FINES_R04</v>
      </c>
      <c r="X2266" s="42">
        <v>0.17499999999999999</v>
      </c>
    </row>
    <row r="2267" spans="1:24">
      <c r="A2267" s="21" t="s">
        <v>5100</v>
      </c>
      <c r="B2267" t="s">
        <v>817</v>
      </c>
      <c r="C2267" t="s">
        <v>815</v>
      </c>
      <c r="D2267" t="s">
        <v>816</v>
      </c>
      <c r="E2267" s="7" t="s">
        <v>198</v>
      </c>
      <c r="F2267" s="7" t="s">
        <v>198</v>
      </c>
      <c r="G2267" s="7" t="s">
        <v>198</v>
      </c>
      <c r="H2267" s="7" t="s">
        <v>20</v>
      </c>
      <c r="I2267" s="7" t="s">
        <v>5102</v>
      </c>
      <c r="J2267" s="7" t="s">
        <v>21</v>
      </c>
      <c r="L2267" t="s">
        <v>3617</v>
      </c>
      <c r="M2267" s="7" t="s">
        <v>22</v>
      </c>
      <c r="N2267" s="7" t="s">
        <v>23</v>
      </c>
      <c r="O2267" s="7" t="s">
        <v>27</v>
      </c>
      <c r="P2267" s="7" t="s">
        <v>5101</v>
      </c>
      <c r="Q2267" s="26">
        <v>56</v>
      </c>
      <c r="R2267" s="26">
        <v>3</v>
      </c>
      <c r="S2267" s="40">
        <v>1</v>
      </c>
      <c r="T2267" s="7"/>
      <c r="U2267" s="7" t="s">
        <v>2951</v>
      </c>
      <c r="V2267" s="7" t="str">
        <f>+IF(U2267="","",IF(U2267="FINES",CONCATENATE("R",IF(OR(B2267="16",B2267="21",B2267="22",B2267="23"),"16212223",IF(OR(B2267="15",B2267="17",B2267="24",B2267="25"),"15172425",B2267))),IF(U2267="CEBAS","UNICO",IF(VALUE(B2267)&lt;=11,"AMBA","INTERIOR"))))</f>
        <v>R04</v>
      </c>
      <c r="W2267" s="38" t="str">
        <f>+IF(U2267="","-",CONCATENATE(U2267,"_",V2267))</f>
        <v>FINES_R04</v>
      </c>
      <c r="X2267" s="42">
        <v>0.183</v>
      </c>
    </row>
    <row r="2268" spans="1:24">
      <c r="A2268" s="21" t="s">
        <v>5100</v>
      </c>
      <c r="B2268" t="s">
        <v>817</v>
      </c>
      <c r="C2268" t="s">
        <v>815</v>
      </c>
      <c r="D2268" t="s">
        <v>816</v>
      </c>
      <c r="E2268" s="7" t="s">
        <v>198</v>
      </c>
      <c r="F2268" s="7" t="s">
        <v>198</v>
      </c>
      <c r="G2268" s="7" t="s">
        <v>198</v>
      </c>
      <c r="H2268" s="7" t="s">
        <v>20</v>
      </c>
      <c r="I2268" s="7" t="s">
        <v>5102</v>
      </c>
      <c r="J2268" s="7" t="s">
        <v>21</v>
      </c>
      <c r="L2268" t="s">
        <v>3609</v>
      </c>
      <c r="M2268" s="7" t="s">
        <v>22</v>
      </c>
      <c r="N2268" s="7" t="s">
        <v>23</v>
      </c>
      <c r="O2268" s="7" t="s">
        <v>27</v>
      </c>
      <c r="P2268" s="7" t="s">
        <v>5101</v>
      </c>
      <c r="Q2268" s="26">
        <v>58</v>
      </c>
      <c r="R2268" s="26">
        <v>3</v>
      </c>
      <c r="S2268" s="40">
        <v>1</v>
      </c>
      <c r="T2268" s="7"/>
      <c r="U2268" s="7" t="s">
        <v>2951</v>
      </c>
      <c r="V2268" s="7" t="str">
        <f>+IF(U2268="","",IF(U2268="FINES",CONCATENATE("R",IF(OR(B2268="16",B2268="21",B2268="22",B2268="23"),"16212223",IF(OR(B2268="15",B2268="17",B2268="24",B2268="25"),"15172425",B2268))),IF(U2268="CEBAS","UNICO",IF(VALUE(B2268)&lt;=11,"AMBA","INTERIOR"))))</f>
        <v>R04</v>
      </c>
      <c r="W2268" s="38" t="str">
        <f>+IF(U2268="","-",CONCATENATE(U2268,"_",V2268))</f>
        <v>FINES_R04</v>
      </c>
      <c r="X2268" s="42">
        <v>0.183</v>
      </c>
    </row>
    <row r="2269" spans="1:24">
      <c r="A2269" s="21" t="s">
        <v>5100</v>
      </c>
      <c r="B2269" t="s">
        <v>817</v>
      </c>
      <c r="C2269" t="s">
        <v>600</v>
      </c>
      <c r="D2269" t="s">
        <v>2661</v>
      </c>
      <c r="E2269" s="7" t="s">
        <v>198</v>
      </c>
      <c r="F2269" s="7" t="s">
        <v>198</v>
      </c>
      <c r="G2269" s="7" t="s">
        <v>198</v>
      </c>
      <c r="H2269" s="7" t="s">
        <v>20</v>
      </c>
      <c r="I2269" s="7" t="s">
        <v>5102</v>
      </c>
      <c r="J2269" s="7" t="s">
        <v>21</v>
      </c>
      <c r="L2269" t="s">
        <v>3599</v>
      </c>
      <c r="M2269" s="7" t="s">
        <v>22</v>
      </c>
      <c r="N2269" s="7" t="s">
        <v>23</v>
      </c>
      <c r="O2269" s="7" t="s">
        <v>27</v>
      </c>
      <c r="P2269" s="7" t="s">
        <v>5101</v>
      </c>
      <c r="Q2269" s="26">
        <v>24</v>
      </c>
      <c r="R2269" s="26">
        <v>1</v>
      </c>
      <c r="S2269" s="40">
        <v>1</v>
      </c>
      <c r="T2269" s="7"/>
      <c r="U2269" s="7" t="s">
        <v>2951</v>
      </c>
      <c r="V2269" s="7" t="str">
        <f>+IF(U2269="","",IF(U2269="FINES",CONCATENATE("R",IF(OR(B2269="16",B2269="21",B2269="22",B2269="23"),"16212223",IF(OR(B2269="15",B2269="17",B2269="24",B2269="25"),"15172425",B2269))),IF(U2269="CEBAS","UNICO",IF(VALUE(B2269)&lt;=11,"AMBA","INTERIOR"))))</f>
        <v>R04</v>
      </c>
      <c r="W2269" s="38" t="str">
        <f>+IF(U2269="","-",CONCATENATE(U2269,"_",V2269))</f>
        <v>FINES_R04</v>
      </c>
      <c r="X2269" s="42">
        <v>0.184</v>
      </c>
    </row>
    <row r="2270" spans="1:24">
      <c r="A2270" s="21" t="s">
        <v>5100</v>
      </c>
      <c r="B2270" t="s">
        <v>817</v>
      </c>
      <c r="C2270" t="s">
        <v>815</v>
      </c>
      <c r="D2270" t="s">
        <v>816</v>
      </c>
      <c r="E2270" s="7" t="s">
        <v>198</v>
      </c>
      <c r="F2270" s="7" t="s">
        <v>198</v>
      </c>
      <c r="G2270" s="7" t="s">
        <v>198</v>
      </c>
      <c r="H2270" s="7" t="s">
        <v>20</v>
      </c>
      <c r="I2270" s="7" t="s">
        <v>5102</v>
      </c>
      <c r="J2270" s="7" t="s">
        <v>21</v>
      </c>
      <c r="L2270" t="s">
        <v>3648</v>
      </c>
      <c r="M2270" s="7" t="s">
        <v>22</v>
      </c>
      <c r="N2270" s="7" t="s">
        <v>23</v>
      </c>
      <c r="O2270" s="7" t="s">
        <v>27</v>
      </c>
      <c r="P2270" s="7" t="s">
        <v>5101</v>
      </c>
      <c r="Q2270" s="26">
        <v>36</v>
      </c>
      <c r="R2270" s="26">
        <v>2</v>
      </c>
      <c r="S2270" s="40">
        <v>1</v>
      </c>
      <c r="T2270" s="7"/>
      <c r="U2270" s="7" t="s">
        <v>2951</v>
      </c>
      <c r="V2270" s="7" t="str">
        <f>+IF(U2270="","",IF(U2270="FINES",CONCATENATE("R",IF(OR(B2270="16",B2270="21",B2270="22",B2270="23"),"16212223",IF(OR(B2270="15",B2270="17",B2270="24",B2270="25"),"15172425",B2270))),IF(U2270="CEBAS","UNICO",IF(VALUE(B2270)&lt;=11,"AMBA","INTERIOR"))))</f>
        <v>R04</v>
      </c>
      <c r="W2270" s="38" t="str">
        <f>+IF(U2270="","-",CONCATENATE(U2270,"_",V2270))</f>
        <v>FINES_R04</v>
      </c>
      <c r="X2270" s="42">
        <v>0.188</v>
      </c>
    </row>
    <row r="2271" spans="1:24">
      <c r="A2271" s="21" t="s">
        <v>5100</v>
      </c>
      <c r="B2271" t="s">
        <v>817</v>
      </c>
      <c r="C2271" t="s">
        <v>2080</v>
      </c>
      <c r="D2271" t="s">
        <v>2081</v>
      </c>
      <c r="E2271" s="7" t="s">
        <v>198</v>
      </c>
      <c r="F2271" s="7" t="s">
        <v>198</v>
      </c>
      <c r="G2271" s="7" t="s">
        <v>198</v>
      </c>
      <c r="H2271" s="7" t="s">
        <v>20</v>
      </c>
      <c r="I2271" s="7" t="s">
        <v>5102</v>
      </c>
      <c r="J2271" s="7" t="s">
        <v>21</v>
      </c>
      <c r="L2271" t="s">
        <v>3706</v>
      </c>
      <c r="M2271" s="7" t="s">
        <v>22</v>
      </c>
      <c r="N2271" s="7" t="s">
        <v>23</v>
      </c>
      <c r="O2271" s="7" t="s">
        <v>27</v>
      </c>
      <c r="P2271" s="7" t="s">
        <v>5101</v>
      </c>
      <c r="Q2271" s="26">
        <v>17</v>
      </c>
      <c r="R2271" s="26">
        <v>1</v>
      </c>
      <c r="S2271" s="40">
        <v>1</v>
      </c>
      <c r="T2271" s="7"/>
      <c r="U2271" s="7" t="s">
        <v>2951</v>
      </c>
      <c r="V2271" s="7" t="str">
        <f>+IF(U2271="","",IF(U2271="FINES",CONCATENATE("R",IF(OR(B2271="16",B2271="21",B2271="22",B2271="23"),"16212223",IF(OR(B2271="15",B2271="17",B2271="24",B2271="25"),"15172425",B2271))),IF(U2271="CEBAS","UNICO",IF(VALUE(B2271)&lt;=11,"AMBA","INTERIOR"))))</f>
        <v>R04</v>
      </c>
      <c r="W2271" s="38" t="str">
        <f>+IF(U2271="","-",CONCATENATE(U2271,"_",V2271))</f>
        <v>FINES_R04</v>
      </c>
      <c r="X2271" s="42">
        <v>0.191</v>
      </c>
    </row>
    <row r="2272" spans="1:24">
      <c r="A2272" s="21" t="s">
        <v>5100</v>
      </c>
      <c r="B2272" t="s">
        <v>817</v>
      </c>
      <c r="C2272" t="s">
        <v>815</v>
      </c>
      <c r="D2272" t="s">
        <v>816</v>
      </c>
      <c r="E2272" s="7" t="s">
        <v>198</v>
      </c>
      <c r="F2272" s="7" t="s">
        <v>198</v>
      </c>
      <c r="G2272" s="7" t="s">
        <v>198</v>
      </c>
      <c r="H2272" s="7" t="s">
        <v>20</v>
      </c>
      <c r="I2272" s="7" t="s">
        <v>5102</v>
      </c>
      <c r="J2272" s="7" t="s">
        <v>21</v>
      </c>
      <c r="L2272" t="s">
        <v>3627</v>
      </c>
      <c r="M2272" s="7" t="s">
        <v>22</v>
      </c>
      <c r="N2272" s="7" t="s">
        <v>23</v>
      </c>
      <c r="O2272" s="7" t="s">
        <v>27</v>
      </c>
      <c r="P2272" s="7" t="s">
        <v>5101</v>
      </c>
      <c r="Q2272" s="26">
        <v>10</v>
      </c>
      <c r="R2272" s="26">
        <v>1</v>
      </c>
      <c r="S2272" s="40">
        <v>1</v>
      </c>
      <c r="T2272" s="7"/>
      <c r="U2272" s="7" t="s">
        <v>2951</v>
      </c>
      <c r="V2272" s="7" t="str">
        <f>+IF(U2272="","",IF(U2272="FINES",CONCATENATE("R",IF(OR(B2272="16",B2272="21",B2272="22",B2272="23"),"16212223",IF(OR(B2272="15",B2272="17",B2272="24",B2272="25"),"15172425",B2272))),IF(U2272="CEBAS","UNICO",IF(VALUE(B2272)&lt;=11,"AMBA","INTERIOR"))))</f>
        <v>R04</v>
      </c>
      <c r="W2272" s="38" t="str">
        <f>+IF(U2272="","-",CONCATENATE(U2272,"_",V2272))</f>
        <v>FINES_R04</v>
      </c>
      <c r="X2272" s="42">
        <v>0.22</v>
      </c>
    </row>
    <row r="2273" spans="1:24">
      <c r="A2273" s="21" t="s">
        <v>5100</v>
      </c>
      <c r="B2273" t="s">
        <v>817</v>
      </c>
      <c r="C2273" t="s">
        <v>2080</v>
      </c>
      <c r="D2273" t="s">
        <v>2081</v>
      </c>
      <c r="E2273" s="7" t="s">
        <v>198</v>
      </c>
      <c r="F2273" s="7" t="s">
        <v>198</v>
      </c>
      <c r="G2273" s="7" t="s">
        <v>198</v>
      </c>
      <c r="H2273" s="7" t="s">
        <v>20</v>
      </c>
      <c r="I2273" s="7" t="s">
        <v>5102</v>
      </c>
      <c r="J2273" s="7" t="s">
        <v>21</v>
      </c>
      <c r="L2273" t="s">
        <v>3677</v>
      </c>
      <c r="M2273" s="7" t="s">
        <v>22</v>
      </c>
      <c r="N2273" s="7" t="s">
        <v>23</v>
      </c>
      <c r="O2273" s="7" t="s">
        <v>27</v>
      </c>
      <c r="P2273" s="7" t="s">
        <v>5101</v>
      </c>
      <c r="Q2273" s="26">
        <v>33</v>
      </c>
      <c r="R2273" s="26">
        <v>2</v>
      </c>
      <c r="S2273" s="40">
        <v>1</v>
      </c>
      <c r="T2273" s="7"/>
      <c r="U2273" s="7" t="s">
        <v>2951</v>
      </c>
      <c r="V2273" s="7" t="str">
        <f>+IF(U2273="","",IF(U2273="FINES",CONCATENATE("R",IF(OR(B2273="16",B2273="21",B2273="22",B2273="23"),"16212223",IF(OR(B2273="15",B2273="17",B2273="24",B2273="25"),"15172425",B2273))),IF(U2273="CEBAS","UNICO",IF(VALUE(B2273)&lt;=11,"AMBA","INTERIOR"))))</f>
        <v>R04</v>
      </c>
      <c r="W2273" s="38" t="str">
        <f>+IF(U2273="","-",CONCATENATE(U2273,"_",V2273))</f>
        <v>FINES_R04</v>
      </c>
      <c r="X2273" s="42">
        <v>0.23</v>
      </c>
    </row>
    <row r="2274" spans="1:24">
      <c r="A2274" s="21" t="s">
        <v>5100</v>
      </c>
      <c r="B2274" t="s">
        <v>817</v>
      </c>
      <c r="C2274" t="s">
        <v>600</v>
      </c>
      <c r="D2274" t="s">
        <v>2661</v>
      </c>
      <c r="E2274" s="7" t="s">
        <v>198</v>
      </c>
      <c r="F2274" s="7" t="s">
        <v>198</v>
      </c>
      <c r="G2274" s="7" t="s">
        <v>198</v>
      </c>
      <c r="H2274" s="7" t="s">
        <v>20</v>
      </c>
      <c r="I2274" s="7" t="s">
        <v>5102</v>
      </c>
      <c r="J2274" s="7" t="s">
        <v>21</v>
      </c>
      <c r="L2274" t="s">
        <v>3570</v>
      </c>
      <c r="M2274" s="7" t="s">
        <v>22</v>
      </c>
      <c r="N2274" s="7" t="s">
        <v>23</v>
      </c>
      <c r="O2274" s="7" t="s">
        <v>27</v>
      </c>
      <c r="P2274" s="7" t="s">
        <v>5101</v>
      </c>
      <c r="Q2274" s="26">
        <v>12</v>
      </c>
      <c r="R2274" s="26">
        <v>1</v>
      </c>
      <c r="S2274" s="40">
        <v>1</v>
      </c>
      <c r="T2274" s="7"/>
      <c r="U2274" s="7" t="s">
        <v>2951</v>
      </c>
      <c r="V2274" s="7" t="str">
        <f>+IF(U2274="","",IF(U2274="FINES",CONCATENATE("R",IF(OR(B2274="16",B2274="21",B2274="22",B2274="23"),"16212223",IF(OR(B2274="15",B2274="17",B2274="24",B2274="25"),"15172425",B2274))),IF(U2274="CEBAS","UNICO",IF(VALUE(B2274)&lt;=11,"AMBA","INTERIOR"))))</f>
        <v>R04</v>
      </c>
      <c r="W2274" s="38" t="str">
        <f>+IF(U2274="","-",CONCATENATE(U2274,"_",V2274))</f>
        <v>FINES_R04</v>
      </c>
      <c r="X2274" s="42">
        <v>0.23200000000000001</v>
      </c>
    </row>
    <row r="2275" spans="1:24">
      <c r="A2275" s="21" t="s">
        <v>5100</v>
      </c>
      <c r="B2275" t="s">
        <v>817</v>
      </c>
      <c r="C2275" t="s">
        <v>815</v>
      </c>
      <c r="D2275" t="s">
        <v>816</v>
      </c>
      <c r="E2275" s="7" t="s">
        <v>198</v>
      </c>
      <c r="F2275" s="7" t="s">
        <v>198</v>
      </c>
      <c r="G2275" s="7" t="s">
        <v>198</v>
      </c>
      <c r="H2275" s="7" t="s">
        <v>20</v>
      </c>
      <c r="I2275" s="7" t="s">
        <v>5102</v>
      </c>
      <c r="J2275" s="7" t="s">
        <v>21</v>
      </c>
      <c r="L2275" t="s">
        <v>3641</v>
      </c>
      <c r="M2275" s="7" t="s">
        <v>22</v>
      </c>
      <c r="N2275" s="7" t="s">
        <v>23</v>
      </c>
      <c r="O2275" s="7" t="s">
        <v>27</v>
      </c>
      <c r="P2275" s="7" t="s">
        <v>5101</v>
      </c>
      <c r="Q2275" s="26">
        <v>17</v>
      </c>
      <c r="R2275" s="26">
        <v>1</v>
      </c>
      <c r="S2275" s="40">
        <v>1</v>
      </c>
      <c r="T2275" s="7"/>
      <c r="U2275" s="7" t="s">
        <v>2951</v>
      </c>
      <c r="V2275" s="7" t="str">
        <f>+IF(U2275="","",IF(U2275="FINES",CONCATENATE("R",IF(OR(B2275="16",B2275="21",B2275="22",B2275="23"),"16212223",IF(OR(B2275="15",B2275="17",B2275="24",B2275="25"),"15172425",B2275))),IF(U2275="CEBAS","UNICO",IF(VALUE(B2275)&lt;=11,"AMBA","INTERIOR"))))</f>
        <v>R04</v>
      </c>
      <c r="W2275" s="38" t="str">
        <f>+IF(U2275="","-",CONCATENATE(U2275,"_",V2275))</f>
        <v>FINES_R04</v>
      </c>
      <c r="X2275" s="42">
        <v>0.23300000000000001</v>
      </c>
    </row>
    <row r="2276" spans="1:24">
      <c r="A2276" s="21" t="s">
        <v>5100</v>
      </c>
      <c r="B2276" t="s">
        <v>817</v>
      </c>
      <c r="C2276" t="s">
        <v>600</v>
      </c>
      <c r="D2276" t="s">
        <v>2661</v>
      </c>
      <c r="E2276" s="7" t="s">
        <v>198</v>
      </c>
      <c r="F2276" s="7" t="s">
        <v>198</v>
      </c>
      <c r="G2276" s="7" t="s">
        <v>198</v>
      </c>
      <c r="H2276" s="7" t="s">
        <v>20</v>
      </c>
      <c r="I2276" s="7" t="s">
        <v>5102</v>
      </c>
      <c r="J2276" s="7" t="s">
        <v>21</v>
      </c>
      <c r="L2276" t="s">
        <v>3568</v>
      </c>
      <c r="M2276" s="7" t="s">
        <v>22</v>
      </c>
      <c r="N2276" s="7" t="s">
        <v>23</v>
      </c>
      <c r="O2276" s="7" t="s">
        <v>27</v>
      </c>
      <c r="P2276" s="7" t="s">
        <v>5101</v>
      </c>
      <c r="Q2276" s="26">
        <v>19</v>
      </c>
      <c r="R2276" s="26">
        <v>1</v>
      </c>
      <c r="S2276" s="40">
        <v>1</v>
      </c>
      <c r="T2276" s="7"/>
      <c r="U2276" s="7" t="s">
        <v>2951</v>
      </c>
      <c r="V2276" s="7" t="str">
        <f>+IF(U2276="","",IF(U2276="FINES",CONCATENATE("R",IF(OR(B2276="16",B2276="21",B2276="22",B2276="23"),"16212223",IF(OR(B2276="15",B2276="17",B2276="24",B2276="25"),"15172425",B2276))),IF(U2276="CEBAS","UNICO",IF(VALUE(B2276)&lt;=11,"AMBA","INTERIOR"))))</f>
        <v>R04</v>
      </c>
      <c r="W2276" s="38" t="str">
        <f>+IF(U2276="","-",CONCATENATE(U2276,"_",V2276))</f>
        <v>FINES_R04</v>
      </c>
      <c r="X2276" s="42">
        <v>0.249</v>
      </c>
    </row>
    <row r="2277" spans="1:24">
      <c r="A2277" s="21" t="s">
        <v>5100</v>
      </c>
      <c r="B2277" t="s">
        <v>817</v>
      </c>
      <c r="C2277" t="s">
        <v>600</v>
      </c>
      <c r="D2277" t="s">
        <v>2661</v>
      </c>
      <c r="E2277" s="7" t="s">
        <v>198</v>
      </c>
      <c r="F2277" s="7" t="s">
        <v>198</v>
      </c>
      <c r="G2277" s="7" t="s">
        <v>198</v>
      </c>
      <c r="H2277" s="7" t="s">
        <v>20</v>
      </c>
      <c r="I2277" s="7" t="s">
        <v>5102</v>
      </c>
      <c r="J2277" s="7" t="s">
        <v>21</v>
      </c>
      <c r="L2277" t="s">
        <v>3546</v>
      </c>
      <c r="M2277" s="7" t="s">
        <v>22</v>
      </c>
      <c r="N2277" s="7" t="s">
        <v>23</v>
      </c>
      <c r="O2277" s="7" t="s">
        <v>27</v>
      </c>
      <c r="P2277" s="7" t="s">
        <v>5101</v>
      </c>
      <c r="Q2277" s="26">
        <v>42</v>
      </c>
      <c r="R2277" s="26">
        <v>2</v>
      </c>
      <c r="S2277" s="40">
        <v>1</v>
      </c>
      <c r="T2277" s="7"/>
      <c r="U2277" s="7" t="s">
        <v>2951</v>
      </c>
      <c r="V2277" s="7" t="str">
        <f>+IF(U2277="","",IF(U2277="FINES",CONCATENATE("R",IF(OR(B2277="16",B2277="21",B2277="22",B2277="23"),"16212223",IF(OR(B2277="15",B2277="17",B2277="24",B2277="25"),"15172425",B2277))),IF(U2277="CEBAS","UNICO",IF(VALUE(B2277)&lt;=11,"AMBA","INTERIOR"))))</f>
        <v>R04</v>
      </c>
      <c r="W2277" s="38" t="str">
        <f>+IF(U2277="","-",CONCATENATE(U2277,"_",V2277))</f>
        <v>FINES_R04</v>
      </c>
      <c r="X2277" s="42">
        <v>0.251</v>
      </c>
    </row>
    <row r="2278" spans="1:24">
      <c r="A2278" s="21" t="s">
        <v>5100</v>
      </c>
      <c r="B2278" t="s">
        <v>817</v>
      </c>
      <c r="C2278" t="s">
        <v>600</v>
      </c>
      <c r="D2278" t="s">
        <v>2661</v>
      </c>
      <c r="E2278" s="7" t="s">
        <v>198</v>
      </c>
      <c r="F2278" s="7" t="s">
        <v>198</v>
      </c>
      <c r="G2278" s="7" t="s">
        <v>198</v>
      </c>
      <c r="H2278" s="7" t="s">
        <v>20</v>
      </c>
      <c r="I2278" s="7" t="s">
        <v>5102</v>
      </c>
      <c r="J2278" s="7" t="s">
        <v>21</v>
      </c>
      <c r="L2278" t="s">
        <v>3589</v>
      </c>
      <c r="M2278" s="7" t="s">
        <v>22</v>
      </c>
      <c r="N2278" s="7" t="s">
        <v>23</v>
      </c>
      <c r="O2278" s="7" t="s">
        <v>27</v>
      </c>
      <c r="P2278" s="7" t="s">
        <v>5101</v>
      </c>
      <c r="Q2278" s="26">
        <v>20</v>
      </c>
      <c r="R2278" s="26">
        <v>1</v>
      </c>
      <c r="S2278" s="40">
        <v>1</v>
      </c>
      <c r="T2278" s="7"/>
      <c r="U2278" s="7" t="s">
        <v>2951</v>
      </c>
      <c r="V2278" s="7" t="str">
        <f>+IF(U2278="","",IF(U2278="FINES",CONCATENATE("R",IF(OR(B2278="16",B2278="21",B2278="22",B2278="23"),"16212223",IF(OR(B2278="15",B2278="17",B2278="24",B2278="25"),"15172425",B2278))),IF(U2278="CEBAS","UNICO",IF(VALUE(B2278)&lt;=11,"AMBA","INTERIOR"))))</f>
        <v>R04</v>
      </c>
      <c r="W2278" s="38" t="str">
        <f>+IF(U2278="","-",CONCATENATE(U2278,"_",V2278))</f>
        <v>FINES_R04</v>
      </c>
      <c r="X2278" s="42">
        <v>0.254</v>
      </c>
    </row>
    <row r="2279" spans="1:24">
      <c r="A2279" s="21" t="s">
        <v>5100</v>
      </c>
      <c r="B2279" t="s">
        <v>817</v>
      </c>
      <c r="C2279" t="s">
        <v>815</v>
      </c>
      <c r="D2279" t="s">
        <v>816</v>
      </c>
      <c r="E2279" s="7" t="s">
        <v>198</v>
      </c>
      <c r="F2279" s="7" t="s">
        <v>198</v>
      </c>
      <c r="G2279" s="7" t="s">
        <v>198</v>
      </c>
      <c r="H2279" s="7" t="s">
        <v>20</v>
      </c>
      <c r="I2279" s="7" t="s">
        <v>5102</v>
      </c>
      <c r="J2279" s="7" t="s">
        <v>21</v>
      </c>
      <c r="L2279" t="s">
        <v>3618</v>
      </c>
      <c r="M2279" s="7" t="s">
        <v>22</v>
      </c>
      <c r="N2279" s="7" t="s">
        <v>23</v>
      </c>
      <c r="O2279" s="7" t="s">
        <v>27</v>
      </c>
      <c r="P2279" s="7" t="s">
        <v>5101</v>
      </c>
      <c r="Q2279" s="26">
        <v>16</v>
      </c>
      <c r="R2279" s="26">
        <v>1</v>
      </c>
      <c r="S2279" s="40">
        <v>1</v>
      </c>
      <c r="T2279" s="7"/>
      <c r="U2279" s="7" t="s">
        <v>2951</v>
      </c>
      <c r="V2279" s="7" t="str">
        <f>+IF(U2279="","",IF(U2279="FINES",CONCATENATE("R",IF(OR(B2279="16",B2279="21",B2279="22",B2279="23"),"16212223",IF(OR(B2279="15",B2279="17",B2279="24",B2279="25"),"15172425",B2279))),IF(U2279="CEBAS","UNICO",IF(VALUE(B2279)&lt;=11,"AMBA","INTERIOR"))))</f>
        <v>R04</v>
      </c>
      <c r="W2279" s="38" t="str">
        <f>+IF(U2279="","-",CONCATENATE(U2279,"_",V2279))</f>
        <v>FINES_R04</v>
      </c>
      <c r="X2279" s="42">
        <v>0.25600000000000001</v>
      </c>
    </row>
    <row r="2280" spans="1:24">
      <c r="A2280" s="21" t="s">
        <v>5100</v>
      </c>
      <c r="B2280" t="s">
        <v>817</v>
      </c>
      <c r="C2280" t="s">
        <v>2080</v>
      </c>
      <c r="D2280" t="s">
        <v>2081</v>
      </c>
      <c r="E2280" s="7" t="s">
        <v>198</v>
      </c>
      <c r="F2280" s="7" t="s">
        <v>198</v>
      </c>
      <c r="G2280" s="7" t="s">
        <v>198</v>
      </c>
      <c r="H2280" s="7" t="s">
        <v>20</v>
      </c>
      <c r="I2280" s="7" t="s">
        <v>5102</v>
      </c>
      <c r="J2280" s="7" t="s">
        <v>21</v>
      </c>
      <c r="L2280" t="s">
        <v>3721</v>
      </c>
      <c r="M2280" s="7" t="s">
        <v>22</v>
      </c>
      <c r="N2280" s="7" t="s">
        <v>23</v>
      </c>
      <c r="O2280" s="7" t="s">
        <v>27</v>
      </c>
      <c r="P2280" s="7" t="s">
        <v>5101</v>
      </c>
      <c r="Q2280" s="26">
        <v>11</v>
      </c>
      <c r="R2280" s="26">
        <v>1</v>
      </c>
      <c r="S2280" s="40">
        <v>1</v>
      </c>
      <c r="T2280" s="7"/>
      <c r="U2280" s="7" t="s">
        <v>2951</v>
      </c>
      <c r="V2280" s="7" t="str">
        <f>+IF(U2280="","",IF(U2280="FINES",CONCATENATE("R",IF(OR(B2280="16",B2280="21",B2280="22",B2280="23"),"16212223",IF(OR(B2280="15",B2280="17",B2280="24",B2280="25"),"15172425",B2280))),IF(U2280="CEBAS","UNICO",IF(VALUE(B2280)&lt;=11,"AMBA","INTERIOR"))))</f>
        <v>R04</v>
      </c>
      <c r="W2280" s="38" t="str">
        <f>+IF(U2280="","-",CONCATENATE(U2280,"_",V2280))</f>
        <v>FINES_R04</v>
      </c>
      <c r="X2280" s="42">
        <v>0.27</v>
      </c>
    </row>
    <row r="2281" spans="1:24">
      <c r="A2281" s="21" t="s">
        <v>5100</v>
      </c>
      <c r="B2281" t="s">
        <v>817</v>
      </c>
      <c r="C2281" t="s">
        <v>600</v>
      </c>
      <c r="D2281" t="s">
        <v>2661</v>
      </c>
      <c r="E2281" s="7" t="s">
        <v>198</v>
      </c>
      <c r="F2281" s="7" t="s">
        <v>198</v>
      </c>
      <c r="G2281" s="7" t="s">
        <v>198</v>
      </c>
      <c r="H2281" s="7" t="s">
        <v>20</v>
      </c>
      <c r="I2281" s="7" t="s">
        <v>5102</v>
      </c>
      <c r="J2281" s="7" t="s">
        <v>21</v>
      </c>
      <c r="L2281" t="s">
        <v>3593</v>
      </c>
      <c r="M2281" s="7" t="s">
        <v>22</v>
      </c>
      <c r="N2281" s="7" t="s">
        <v>23</v>
      </c>
      <c r="O2281" s="7" t="s">
        <v>27</v>
      </c>
      <c r="P2281" s="7" t="s">
        <v>5101</v>
      </c>
      <c r="Q2281" s="26">
        <v>14</v>
      </c>
      <c r="R2281" s="26">
        <v>1</v>
      </c>
      <c r="S2281" s="40">
        <v>1</v>
      </c>
      <c r="T2281" s="7"/>
      <c r="U2281" s="7" t="s">
        <v>2951</v>
      </c>
      <c r="V2281" s="7" t="str">
        <f>+IF(U2281="","",IF(U2281="FINES",CONCATENATE("R",IF(OR(B2281="16",B2281="21",B2281="22",B2281="23"),"16212223",IF(OR(B2281="15",B2281="17",B2281="24",B2281="25"),"15172425",B2281))),IF(U2281="CEBAS","UNICO",IF(VALUE(B2281)&lt;=11,"AMBA","INTERIOR"))))</f>
        <v>R04</v>
      </c>
      <c r="W2281" s="38" t="str">
        <f>+IF(U2281="","-",CONCATENATE(U2281,"_",V2281))</f>
        <v>FINES_R04</v>
      </c>
      <c r="X2281" s="42">
        <v>0.27100000000000002</v>
      </c>
    </row>
    <row r="2282" spans="1:24">
      <c r="A2282" s="21" t="s">
        <v>5100</v>
      </c>
      <c r="B2282" t="s">
        <v>817</v>
      </c>
      <c r="C2282" t="s">
        <v>2080</v>
      </c>
      <c r="D2282" t="s">
        <v>2081</v>
      </c>
      <c r="E2282" s="7" t="s">
        <v>198</v>
      </c>
      <c r="F2282" s="7" t="s">
        <v>198</v>
      </c>
      <c r="G2282" s="7" t="s">
        <v>198</v>
      </c>
      <c r="H2282" s="7" t="s">
        <v>20</v>
      </c>
      <c r="I2282" s="7" t="s">
        <v>5102</v>
      </c>
      <c r="J2282" s="7" t="s">
        <v>21</v>
      </c>
      <c r="L2282" t="s">
        <v>3687</v>
      </c>
      <c r="M2282" s="7" t="s">
        <v>22</v>
      </c>
      <c r="N2282" s="7" t="s">
        <v>23</v>
      </c>
      <c r="O2282" s="7" t="s">
        <v>27</v>
      </c>
      <c r="P2282" s="7" t="s">
        <v>5101</v>
      </c>
      <c r="Q2282" s="26">
        <v>0</v>
      </c>
      <c r="R2282" s="26">
        <v>1</v>
      </c>
      <c r="S2282" s="40">
        <v>1</v>
      </c>
      <c r="T2282" s="7"/>
      <c r="U2282" s="7" t="s">
        <v>2951</v>
      </c>
      <c r="V2282" s="7" t="str">
        <f>+IF(U2282="","",IF(U2282="FINES",CONCATENATE("R",IF(OR(B2282="16",B2282="21",B2282="22",B2282="23"),"16212223",IF(OR(B2282="15",B2282="17",B2282="24",B2282="25"),"15172425",B2282))),IF(U2282="CEBAS","UNICO",IF(VALUE(B2282)&lt;=11,"AMBA","INTERIOR"))))</f>
        <v>R04</v>
      </c>
      <c r="W2282" s="38" t="str">
        <f>+IF(U2282="","-",CONCATENATE(U2282,"_",V2282))</f>
        <v>FINES_R04</v>
      </c>
      <c r="X2282" s="42">
        <v>0.27200000000000002</v>
      </c>
    </row>
    <row r="2283" spans="1:24">
      <c r="A2283" s="21" t="s">
        <v>5100</v>
      </c>
      <c r="B2283" t="s">
        <v>817</v>
      </c>
      <c r="C2283" t="s">
        <v>600</v>
      </c>
      <c r="D2283" t="s">
        <v>2661</v>
      </c>
      <c r="E2283" s="7" t="s">
        <v>198</v>
      </c>
      <c r="F2283" s="7" t="s">
        <v>198</v>
      </c>
      <c r="G2283" s="7" t="s">
        <v>198</v>
      </c>
      <c r="H2283" s="7" t="s">
        <v>20</v>
      </c>
      <c r="I2283" s="7" t="s">
        <v>5102</v>
      </c>
      <c r="J2283" s="7" t="s">
        <v>21</v>
      </c>
      <c r="L2283" t="s">
        <v>3572</v>
      </c>
      <c r="M2283" s="7" t="s">
        <v>22</v>
      </c>
      <c r="N2283" s="7" t="s">
        <v>23</v>
      </c>
      <c r="O2283" s="7" t="s">
        <v>27</v>
      </c>
      <c r="P2283" s="7" t="s">
        <v>5101</v>
      </c>
      <c r="Q2283" s="26">
        <v>6</v>
      </c>
      <c r="R2283" s="26">
        <v>1</v>
      </c>
      <c r="S2283" s="40">
        <v>1</v>
      </c>
      <c r="T2283" s="7"/>
      <c r="U2283" s="7" t="s">
        <v>2951</v>
      </c>
      <c r="V2283" s="7" t="str">
        <f>+IF(U2283="","",IF(U2283="FINES",CONCATENATE("R",IF(OR(B2283="16",B2283="21",B2283="22",B2283="23"),"16212223",IF(OR(B2283="15",B2283="17",B2283="24",B2283="25"),"15172425",B2283))),IF(U2283="CEBAS","UNICO",IF(VALUE(B2283)&lt;=11,"AMBA","INTERIOR"))))</f>
        <v>R04</v>
      </c>
      <c r="W2283" s="38" t="str">
        <f>+IF(U2283="","-",CONCATENATE(U2283,"_",V2283))</f>
        <v>FINES_R04</v>
      </c>
      <c r="X2283" s="42">
        <v>0.28100000000000003</v>
      </c>
    </row>
    <row r="2284" spans="1:24">
      <c r="A2284" s="21" t="s">
        <v>5100</v>
      </c>
      <c r="B2284" t="s">
        <v>817</v>
      </c>
      <c r="C2284" t="s">
        <v>815</v>
      </c>
      <c r="D2284" t="s">
        <v>816</v>
      </c>
      <c r="E2284" s="7" t="s">
        <v>198</v>
      </c>
      <c r="F2284" s="7" t="s">
        <v>198</v>
      </c>
      <c r="G2284" s="7" t="s">
        <v>198</v>
      </c>
      <c r="H2284" s="7" t="s">
        <v>20</v>
      </c>
      <c r="I2284" s="7" t="s">
        <v>5102</v>
      </c>
      <c r="J2284" s="7" t="s">
        <v>21</v>
      </c>
      <c r="L2284" t="s">
        <v>3621</v>
      </c>
      <c r="M2284" s="7" t="s">
        <v>22</v>
      </c>
      <c r="N2284" s="7" t="s">
        <v>23</v>
      </c>
      <c r="O2284" s="7" t="s">
        <v>27</v>
      </c>
      <c r="P2284" s="7" t="s">
        <v>5101</v>
      </c>
      <c r="Q2284" s="26">
        <v>22</v>
      </c>
      <c r="R2284" s="26">
        <v>1</v>
      </c>
      <c r="S2284" s="40">
        <v>1</v>
      </c>
      <c r="T2284" s="7"/>
      <c r="U2284" s="7" t="s">
        <v>2951</v>
      </c>
      <c r="V2284" s="7" t="str">
        <f>+IF(U2284="","",IF(U2284="FINES",CONCATENATE("R",IF(OR(B2284="16",B2284="21",B2284="22",B2284="23"),"16212223",IF(OR(B2284="15",B2284="17",B2284="24",B2284="25"),"15172425",B2284))),IF(U2284="CEBAS","UNICO",IF(VALUE(B2284)&lt;=11,"AMBA","INTERIOR"))))</f>
        <v>R04</v>
      </c>
      <c r="W2284" s="38" t="str">
        <f>+IF(U2284="","-",CONCATENATE(U2284,"_",V2284))</f>
        <v>FINES_R04</v>
      </c>
      <c r="X2284" s="42">
        <v>0.29199999999999998</v>
      </c>
    </row>
    <row r="2285" spans="1:24">
      <c r="A2285" s="21" t="s">
        <v>5100</v>
      </c>
      <c r="B2285" t="s">
        <v>817</v>
      </c>
      <c r="C2285" t="s">
        <v>600</v>
      </c>
      <c r="D2285" t="s">
        <v>2661</v>
      </c>
      <c r="E2285" s="7" t="s">
        <v>198</v>
      </c>
      <c r="F2285" s="7" t="s">
        <v>198</v>
      </c>
      <c r="G2285" s="7" t="s">
        <v>198</v>
      </c>
      <c r="H2285" s="7" t="s">
        <v>20</v>
      </c>
      <c r="I2285" s="7" t="s">
        <v>5102</v>
      </c>
      <c r="J2285" s="7" t="s">
        <v>21</v>
      </c>
      <c r="L2285" t="s">
        <v>3586</v>
      </c>
      <c r="M2285" s="7" t="s">
        <v>22</v>
      </c>
      <c r="N2285" s="7" t="s">
        <v>23</v>
      </c>
      <c r="O2285" s="7" t="s">
        <v>27</v>
      </c>
      <c r="P2285" s="7" t="s">
        <v>5101</v>
      </c>
      <c r="Q2285" s="26">
        <v>19</v>
      </c>
      <c r="R2285" s="26">
        <v>1</v>
      </c>
      <c r="S2285" s="40">
        <v>1</v>
      </c>
      <c r="T2285" s="7"/>
      <c r="U2285" s="7" t="s">
        <v>2951</v>
      </c>
      <c r="V2285" s="7" t="str">
        <f>+IF(U2285="","",IF(U2285="FINES",CONCATENATE("R",IF(OR(B2285="16",B2285="21",B2285="22",B2285="23"),"16212223",IF(OR(B2285="15",B2285="17",B2285="24",B2285="25"),"15172425",B2285))),IF(U2285="CEBAS","UNICO",IF(VALUE(B2285)&lt;=11,"AMBA","INTERIOR"))))</f>
        <v>R04</v>
      </c>
      <c r="W2285" s="38" t="str">
        <f>+IF(U2285="","-",CONCATENATE(U2285,"_",V2285))</f>
        <v>FINES_R04</v>
      </c>
      <c r="X2285" s="42">
        <v>0.29399999999999998</v>
      </c>
    </row>
    <row r="2286" spans="1:24">
      <c r="A2286" s="21" t="s">
        <v>5100</v>
      </c>
      <c r="B2286" t="s">
        <v>817</v>
      </c>
      <c r="C2286" t="s">
        <v>815</v>
      </c>
      <c r="D2286" t="s">
        <v>816</v>
      </c>
      <c r="E2286" s="7" t="s">
        <v>198</v>
      </c>
      <c r="F2286" s="7" t="s">
        <v>198</v>
      </c>
      <c r="G2286" s="7" t="s">
        <v>198</v>
      </c>
      <c r="H2286" s="7" t="s">
        <v>20</v>
      </c>
      <c r="I2286" s="7" t="s">
        <v>5102</v>
      </c>
      <c r="J2286" s="7" t="s">
        <v>21</v>
      </c>
      <c r="L2286" t="s">
        <v>3656</v>
      </c>
      <c r="M2286" s="7" t="s">
        <v>22</v>
      </c>
      <c r="N2286" s="7" t="s">
        <v>23</v>
      </c>
      <c r="O2286" s="7" t="s">
        <v>27</v>
      </c>
      <c r="P2286" s="7" t="s">
        <v>5101</v>
      </c>
      <c r="Q2286" s="26">
        <v>22</v>
      </c>
      <c r="R2286" s="26">
        <v>1</v>
      </c>
      <c r="S2286" s="40">
        <v>1</v>
      </c>
      <c r="T2286" s="7"/>
      <c r="U2286" s="7" t="s">
        <v>2951</v>
      </c>
      <c r="V2286" s="7" t="str">
        <f>+IF(U2286="","",IF(U2286="FINES",CONCATENATE("R",IF(OR(B2286="16",B2286="21",B2286="22",B2286="23"),"16212223",IF(OR(B2286="15",B2286="17",B2286="24",B2286="25"),"15172425",B2286))),IF(U2286="CEBAS","UNICO",IF(VALUE(B2286)&lt;=11,"AMBA","INTERIOR"))))</f>
        <v>R04</v>
      </c>
      <c r="W2286" s="38" t="str">
        <f>+IF(U2286="","-",CONCATENATE(U2286,"_",V2286))</f>
        <v>FINES_R04</v>
      </c>
      <c r="X2286" s="42">
        <v>0.3</v>
      </c>
    </row>
    <row r="2287" spans="1:24">
      <c r="A2287" s="21" t="s">
        <v>5100</v>
      </c>
      <c r="B2287" t="s">
        <v>817</v>
      </c>
      <c r="C2287" t="s">
        <v>815</v>
      </c>
      <c r="D2287" t="s">
        <v>816</v>
      </c>
      <c r="E2287" s="7" t="s">
        <v>198</v>
      </c>
      <c r="F2287" s="7" t="s">
        <v>198</v>
      </c>
      <c r="G2287" s="7" t="s">
        <v>198</v>
      </c>
      <c r="H2287" s="7" t="s">
        <v>20</v>
      </c>
      <c r="I2287" s="7" t="s">
        <v>5102</v>
      </c>
      <c r="J2287" s="7" t="s">
        <v>21</v>
      </c>
      <c r="L2287" t="s">
        <v>3628</v>
      </c>
      <c r="M2287" s="7" t="s">
        <v>22</v>
      </c>
      <c r="N2287" s="7" t="s">
        <v>23</v>
      </c>
      <c r="O2287" s="7" t="s">
        <v>27</v>
      </c>
      <c r="P2287" s="7" t="s">
        <v>5101</v>
      </c>
      <c r="Q2287" s="26">
        <v>167</v>
      </c>
      <c r="R2287" s="26">
        <v>7</v>
      </c>
      <c r="S2287" s="40">
        <v>1</v>
      </c>
      <c r="T2287" s="7"/>
      <c r="U2287" s="7" t="s">
        <v>2951</v>
      </c>
      <c r="V2287" s="7" t="str">
        <f>+IF(U2287="","",IF(U2287="FINES",CONCATENATE("R",IF(OR(B2287="16",B2287="21",B2287="22",B2287="23"),"16212223",IF(OR(B2287="15",B2287="17",B2287="24",B2287="25"),"15172425",B2287))),IF(U2287="CEBAS","UNICO",IF(VALUE(B2287)&lt;=11,"AMBA","INTERIOR"))))</f>
        <v>R04</v>
      </c>
      <c r="W2287" s="38" t="str">
        <f>+IF(U2287="","-",CONCATENATE(U2287,"_",V2287))</f>
        <v>FINES_R04</v>
      </c>
      <c r="X2287" s="42">
        <v>0.30199999999999999</v>
      </c>
    </row>
    <row r="2288" spans="1:24">
      <c r="A2288" s="21" t="s">
        <v>5100</v>
      </c>
      <c r="B2288" t="s">
        <v>817</v>
      </c>
      <c r="C2288" t="s">
        <v>815</v>
      </c>
      <c r="D2288" t="s">
        <v>816</v>
      </c>
      <c r="E2288" s="7" t="s">
        <v>198</v>
      </c>
      <c r="F2288" s="7" t="s">
        <v>198</v>
      </c>
      <c r="G2288" s="7" t="s">
        <v>198</v>
      </c>
      <c r="H2288" s="7" t="s">
        <v>20</v>
      </c>
      <c r="I2288" s="7" t="s">
        <v>5102</v>
      </c>
      <c r="J2288" s="7" t="s">
        <v>21</v>
      </c>
      <c r="L2288" t="s">
        <v>3643</v>
      </c>
      <c r="M2288" s="7" t="s">
        <v>22</v>
      </c>
      <c r="N2288" s="7" t="s">
        <v>23</v>
      </c>
      <c r="O2288" s="7" t="s">
        <v>27</v>
      </c>
      <c r="P2288" s="7" t="s">
        <v>5101</v>
      </c>
      <c r="Q2288" s="26">
        <v>234</v>
      </c>
      <c r="R2288" s="26">
        <v>11</v>
      </c>
      <c r="S2288" s="40">
        <v>1</v>
      </c>
      <c r="T2288" s="7"/>
      <c r="U2288" s="7" t="s">
        <v>2951</v>
      </c>
      <c r="V2288" s="7" t="str">
        <f>+IF(U2288="","",IF(U2288="FINES",CONCATENATE("R",IF(OR(B2288="16",B2288="21",B2288="22",B2288="23"),"16212223",IF(OR(B2288="15",B2288="17",B2288="24",B2288="25"),"15172425",B2288))),IF(U2288="CEBAS","UNICO",IF(VALUE(B2288)&lt;=11,"AMBA","INTERIOR"))))</f>
        <v>R04</v>
      </c>
      <c r="W2288" s="38" t="str">
        <f>+IF(U2288="","-",CONCATENATE(U2288,"_",V2288))</f>
        <v>FINES_R04</v>
      </c>
      <c r="X2288" s="42">
        <v>0.30199999999999999</v>
      </c>
    </row>
    <row r="2289" spans="1:24">
      <c r="A2289" s="21" t="s">
        <v>5100</v>
      </c>
      <c r="B2289" t="s">
        <v>817</v>
      </c>
      <c r="C2289" t="s">
        <v>2080</v>
      </c>
      <c r="D2289" t="s">
        <v>2081</v>
      </c>
      <c r="E2289" s="7" t="s">
        <v>198</v>
      </c>
      <c r="F2289" s="7" t="s">
        <v>198</v>
      </c>
      <c r="G2289" s="7" t="s">
        <v>198</v>
      </c>
      <c r="H2289" s="7" t="s">
        <v>20</v>
      </c>
      <c r="I2289" s="7" t="s">
        <v>5102</v>
      </c>
      <c r="J2289" s="7" t="s">
        <v>21</v>
      </c>
      <c r="L2289" t="s">
        <v>3680</v>
      </c>
      <c r="M2289" s="7" t="s">
        <v>22</v>
      </c>
      <c r="N2289" s="7" t="s">
        <v>23</v>
      </c>
      <c r="O2289" s="7" t="s">
        <v>27</v>
      </c>
      <c r="P2289" s="7" t="s">
        <v>5101</v>
      </c>
      <c r="Q2289" s="26">
        <v>23</v>
      </c>
      <c r="R2289" s="26">
        <v>1</v>
      </c>
      <c r="S2289" s="40">
        <v>1</v>
      </c>
      <c r="T2289" s="7"/>
      <c r="U2289" s="7" t="s">
        <v>2951</v>
      </c>
      <c r="V2289" s="7" t="str">
        <f>+IF(U2289="","",IF(U2289="FINES",CONCATENATE("R",IF(OR(B2289="16",B2289="21",B2289="22",B2289="23"),"16212223",IF(OR(B2289="15",B2289="17",B2289="24",B2289="25"),"15172425",B2289))),IF(U2289="CEBAS","UNICO",IF(VALUE(B2289)&lt;=11,"AMBA","INTERIOR"))))</f>
        <v>R04</v>
      </c>
      <c r="W2289" s="38" t="str">
        <f>+IF(U2289="","-",CONCATENATE(U2289,"_",V2289))</f>
        <v>FINES_R04</v>
      </c>
      <c r="X2289" s="42">
        <v>0.309</v>
      </c>
    </row>
    <row r="2290" spans="1:24">
      <c r="A2290" s="21" t="s">
        <v>5100</v>
      </c>
      <c r="B2290" t="s">
        <v>817</v>
      </c>
      <c r="C2290" t="s">
        <v>2080</v>
      </c>
      <c r="D2290" t="s">
        <v>2081</v>
      </c>
      <c r="E2290" s="7" t="s">
        <v>198</v>
      </c>
      <c r="F2290" s="7" t="s">
        <v>198</v>
      </c>
      <c r="G2290" s="7" t="s">
        <v>198</v>
      </c>
      <c r="H2290" s="7" t="s">
        <v>20</v>
      </c>
      <c r="I2290" s="7" t="s">
        <v>5102</v>
      </c>
      <c r="J2290" s="7" t="s">
        <v>21</v>
      </c>
      <c r="L2290" t="s">
        <v>3683</v>
      </c>
      <c r="M2290" s="7" t="s">
        <v>22</v>
      </c>
      <c r="N2290" s="7" t="s">
        <v>23</v>
      </c>
      <c r="O2290" s="7" t="s">
        <v>27</v>
      </c>
      <c r="P2290" s="7" t="s">
        <v>5101</v>
      </c>
      <c r="Q2290" s="26">
        <v>18</v>
      </c>
      <c r="R2290" s="26">
        <v>1</v>
      </c>
      <c r="S2290" s="40">
        <v>1</v>
      </c>
      <c r="T2290" s="7"/>
      <c r="U2290" s="7" t="s">
        <v>2951</v>
      </c>
      <c r="V2290" s="7" t="str">
        <f>+IF(U2290="","",IF(U2290="FINES",CONCATENATE("R",IF(OR(B2290="16",B2290="21",B2290="22",B2290="23"),"16212223",IF(OR(B2290="15",B2290="17",B2290="24",B2290="25"),"15172425",B2290))),IF(U2290="CEBAS","UNICO",IF(VALUE(B2290)&lt;=11,"AMBA","INTERIOR"))))</f>
        <v>R04</v>
      </c>
      <c r="W2290" s="38" t="str">
        <f>+IF(U2290="","-",CONCATENATE(U2290,"_",V2290))</f>
        <v>FINES_R04</v>
      </c>
      <c r="X2290" s="42">
        <v>0.309</v>
      </c>
    </row>
    <row r="2291" spans="1:24">
      <c r="A2291" s="21" t="s">
        <v>5100</v>
      </c>
      <c r="B2291" t="s">
        <v>817</v>
      </c>
      <c r="C2291" t="s">
        <v>815</v>
      </c>
      <c r="D2291" t="s">
        <v>816</v>
      </c>
      <c r="E2291" s="7" t="s">
        <v>198</v>
      </c>
      <c r="F2291" s="7" t="s">
        <v>198</v>
      </c>
      <c r="G2291" s="7" t="s">
        <v>198</v>
      </c>
      <c r="H2291" s="7" t="s">
        <v>20</v>
      </c>
      <c r="I2291" s="7" t="s">
        <v>5102</v>
      </c>
      <c r="J2291" s="7" t="s">
        <v>21</v>
      </c>
      <c r="L2291" t="s">
        <v>2058</v>
      </c>
      <c r="M2291" s="7" t="s">
        <v>22</v>
      </c>
      <c r="N2291" s="7" t="s">
        <v>23</v>
      </c>
      <c r="O2291" s="7" t="s">
        <v>27</v>
      </c>
      <c r="P2291" s="7" t="s">
        <v>5101</v>
      </c>
      <c r="Q2291" s="26">
        <v>18</v>
      </c>
      <c r="R2291" s="26">
        <v>1</v>
      </c>
      <c r="S2291" s="40">
        <v>1</v>
      </c>
      <c r="T2291" s="7"/>
      <c r="U2291" s="7" t="s">
        <v>2951</v>
      </c>
      <c r="V2291" s="7" t="str">
        <f>+IF(U2291="","",IF(U2291="FINES",CONCATENATE("R",IF(OR(B2291="16",B2291="21",B2291="22",B2291="23"),"16212223",IF(OR(B2291="15",B2291="17",B2291="24",B2291="25"),"15172425",B2291))),IF(U2291="CEBAS","UNICO",IF(VALUE(B2291)&lt;=11,"AMBA","INTERIOR"))))</f>
        <v>R04</v>
      </c>
      <c r="W2291" s="38" t="str">
        <f>+IF(U2291="","-",CONCATENATE(U2291,"_",V2291))</f>
        <v>FINES_R04</v>
      </c>
      <c r="X2291" s="42">
        <v>0.314</v>
      </c>
    </row>
    <row r="2292" spans="1:24">
      <c r="A2292" s="21" t="s">
        <v>5100</v>
      </c>
      <c r="B2292" t="s">
        <v>817</v>
      </c>
      <c r="C2292" t="s">
        <v>600</v>
      </c>
      <c r="D2292" t="s">
        <v>2661</v>
      </c>
      <c r="E2292" s="7" t="s">
        <v>198</v>
      </c>
      <c r="F2292" s="7" t="s">
        <v>198</v>
      </c>
      <c r="G2292" s="7" t="s">
        <v>198</v>
      </c>
      <c r="H2292" s="7" t="s">
        <v>20</v>
      </c>
      <c r="I2292" s="7" t="s">
        <v>5102</v>
      </c>
      <c r="J2292" s="7" t="s">
        <v>21</v>
      </c>
      <c r="L2292" t="s">
        <v>3601</v>
      </c>
      <c r="M2292" s="7" t="s">
        <v>22</v>
      </c>
      <c r="N2292" s="7" t="s">
        <v>23</v>
      </c>
      <c r="O2292" s="7" t="s">
        <v>27</v>
      </c>
      <c r="P2292" s="7" t="s">
        <v>5101</v>
      </c>
      <c r="Q2292" s="26">
        <v>86</v>
      </c>
      <c r="R2292" s="26">
        <v>3</v>
      </c>
      <c r="S2292" s="40">
        <v>1</v>
      </c>
      <c r="T2292" s="7"/>
      <c r="U2292" s="7" t="s">
        <v>2951</v>
      </c>
      <c r="V2292" s="7" t="str">
        <f>+IF(U2292="","",IF(U2292="FINES",CONCATENATE("R",IF(OR(B2292="16",B2292="21",B2292="22",B2292="23"),"16212223",IF(OR(B2292="15",B2292="17",B2292="24",B2292="25"),"15172425",B2292))),IF(U2292="CEBAS","UNICO",IF(VALUE(B2292)&lt;=11,"AMBA","INTERIOR"))))</f>
        <v>R04</v>
      </c>
      <c r="W2292" s="38" t="str">
        <f>+IF(U2292="","-",CONCATENATE(U2292,"_",V2292))</f>
        <v>FINES_R04</v>
      </c>
      <c r="X2292" s="42">
        <v>0.32500000000000001</v>
      </c>
    </row>
    <row r="2293" spans="1:24">
      <c r="A2293" s="21" t="s">
        <v>5100</v>
      </c>
      <c r="B2293" t="s">
        <v>817</v>
      </c>
      <c r="C2293" t="s">
        <v>2080</v>
      </c>
      <c r="D2293" t="s">
        <v>2081</v>
      </c>
      <c r="E2293" s="7" t="s">
        <v>198</v>
      </c>
      <c r="F2293" s="7" t="s">
        <v>198</v>
      </c>
      <c r="G2293" s="7" t="s">
        <v>198</v>
      </c>
      <c r="H2293" s="7" t="s">
        <v>20</v>
      </c>
      <c r="I2293" s="7" t="s">
        <v>5102</v>
      </c>
      <c r="J2293" s="7" t="s">
        <v>21</v>
      </c>
      <c r="L2293" t="s">
        <v>3702</v>
      </c>
      <c r="M2293" s="7" t="s">
        <v>22</v>
      </c>
      <c r="N2293" s="7" t="s">
        <v>23</v>
      </c>
      <c r="O2293" s="7" t="s">
        <v>27</v>
      </c>
      <c r="P2293" s="7" t="s">
        <v>5101</v>
      </c>
      <c r="Q2293" s="26">
        <v>12</v>
      </c>
      <c r="R2293" s="26">
        <v>1</v>
      </c>
      <c r="S2293" s="40">
        <v>1</v>
      </c>
      <c r="T2293" s="7"/>
      <c r="U2293" s="7" t="s">
        <v>2951</v>
      </c>
      <c r="V2293" s="7" t="str">
        <f>+IF(U2293="","",IF(U2293="FINES",CONCATENATE("R",IF(OR(B2293="16",B2293="21",B2293="22",B2293="23"),"16212223",IF(OR(B2293="15",B2293="17",B2293="24",B2293="25"),"15172425",B2293))),IF(U2293="CEBAS","UNICO",IF(VALUE(B2293)&lt;=11,"AMBA","INTERIOR"))))</f>
        <v>R04</v>
      </c>
      <c r="W2293" s="38" t="str">
        <f>+IF(U2293="","-",CONCATENATE(U2293,"_",V2293))</f>
        <v>FINES_R04</v>
      </c>
      <c r="X2293" s="42">
        <v>0.32800000000000001</v>
      </c>
    </row>
    <row r="2294" spans="1:24">
      <c r="A2294" s="21" t="s">
        <v>5100</v>
      </c>
      <c r="B2294" t="s">
        <v>817</v>
      </c>
      <c r="C2294" t="s">
        <v>600</v>
      </c>
      <c r="D2294" t="s">
        <v>2661</v>
      </c>
      <c r="E2294" s="7" t="s">
        <v>198</v>
      </c>
      <c r="F2294" s="7" t="s">
        <v>198</v>
      </c>
      <c r="G2294" s="7" t="s">
        <v>198</v>
      </c>
      <c r="H2294" s="7" t="s">
        <v>20</v>
      </c>
      <c r="I2294" s="7" t="s">
        <v>5102</v>
      </c>
      <c r="J2294" s="7" t="s">
        <v>21</v>
      </c>
      <c r="L2294" t="s">
        <v>3555</v>
      </c>
      <c r="M2294" s="7" t="s">
        <v>22</v>
      </c>
      <c r="N2294" s="7" t="s">
        <v>23</v>
      </c>
      <c r="O2294" s="7" t="s">
        <v>27</v>
      </c>
      <c r="P2294" s="7" t="s">
        <v>5101</v>
      </c>
      <c r="Q2294" s="26">
        <v>33</v>
      </c>
      <c r="R2294" s="26">
        <v>2</v>
      </c>
      <c r="S2294" s="40">
        <v>1</v>
      </c>
      <c r="T2294" s="7"/>
      <c r="U2294" s="7" t="s">
        <v>2951</v>
      </c>
      <c r="V2294" s="7" t="str">
        <f>+IF(U2294="","",IF(U2294="FINES",CONCATENATE("R",IF(OR(B2294="16",B2294="21",B2294="22",B2294="23"),"16212223",IF(OR(B2294="15",B2294="17",B2294="24",B2294="25"),"15172425",B2294))),IF(U2294="CEBAS","UNICO",IF(VALUE(B2294)&lt;=11,"AMBA","INTERIOR"))))</f>
        <v>R04</v>
      </c>
      <c r="W2294" s="38" t="str">
        <f>+IF(U2294="","-",CONCATENATE(U2294,"_",V2294))</f>
        <v>FINES_R04</v>
      </c>
      <c r="X2294" s="42">
        <v>0.33400000000000002</v>
      </c>
    </row>
    <row r="2295" spans="1:24">
      <c r="A2295" s="21" t="s">
        <v>5100</v>
      </c>
      <c r="B2295" t="s">
        <v>817</v>
      </c>
      <c r="C2295" t="s">
        <v>815</v>
      </c>
      <c r="D2295" t="s">
        <v>816</v>
      </c>
      <c r="E2295" s="7" t="s">
        <v>198</v>
      </c>
      <c r="F2295" s="7" t="s">
        <v>198</v>
      </c>
      <c r="G2295" s="7" t="s">
        <v>198</v>
      </c>
      <c r="H2295" s="7" t="s">
        <v>20</v>
      </c>
      <c r="I2295" s="7" t="s">
        <v>5102</v>
      </c>
      <c r="J2295" s="7" t="s">
        <v>21</v>
      </c>
      <c r="L2295" t="s">
        <v>3635</v>
      </c>
      <c r="M2295" s="7" t="s">
        <v>22</v>
      </c>
      <c r="N2295" s="7" t="s">
        <v>23</v>
      </c>
      <c r="O2295" s="7" t="s">
        <v>27</v>
      </c>
      <c r="P2295" s="7" t="s">
        <v>5101</v>
      </c>
      <c r="Q2295" s="26">
        <v>17</v>
      </c>
      <c r="R2295" s="26">
        <v>1</v>
      </c>
      <c r="S2295" s="40">
        <v>1</v>
      </c>
      <c r="T2295" s="7"/>
      <c r="U2295" s="7" t="s">
        <v>2951</v>
      </c>
      <c r="V2295" s="7" t="str">
        <f>+IF(U2295="","",IF(U2295="FINES",CONCATENATE("R",IF(OR(B2295="16",B2295="21",B2295="22",B2295="23"),"16212223",IF(OR(B2295="15",B2295="17",B2295="24",B2295="25"),"15172425",B2295))),IF(U2295="CEBAS","UNICO",IF(VALUE(B2295)&lt;=11,"AMBA","INTERIOR"))))</f>
        <v>R04</v>
      </c>
      <c r="W2295" s="38" t="str">
        <f>+IF(U2295="","-",CONCATENATE(U2295,"_",V2295))</f>
        <v>FINES_R04</v>
      </c>
      <c r="X2295" s="42">
        <v>0.33800000000000002</v>
      </c>
    </row>
    <row r="2296" spans="1:24">
      <c r="A2296" s="21" t="s">
        <v>5100</v>
      </c>
      <c r="B2296" t="s">
        <v>817</v>
      </c>
      <c r="C2296" t="s">
        <v>815</v>
      </c>
      <c r="D2296" t="s">
        <v>816</v>
      </c>
      <c r="E2296" s="7" t="s">
        <v>198</v>
      </c>
      <c r="F2296" s="7" t="s">
        <v>198</v>
      </c>
      <c r="G2296" s="7" t="s">
        <v>198</v>
      </c>
      <c r="H2296" s="7" t="s">
        <v>20</v>
      </c>
      <c r="I2296" s="7" t="s">
        <v>5102</v>
      </c>
      <c r="J2296" s="7" t="s">
        <v>21</v>
      </c>
      <c r="L2296" t="s">
        <v>3646</v>
      </c>
      <c r="M2296" s="7" t="s">
        <v>22</v>
      </c>
      <c r="N2296" s="7" t="s">
        <v>23</v>
      </c>
      <c r="O2296" s="7" t="s">
        <v>27</v>
      </c>
      <c r="P2296" s="7" t="s">
        <v>5101</v>
      </c>
      <c r="Q2296" s="26">
        <v>37</v>
      </c>
      <c r="R2296" s="26">
        <v>2</v>
      </c>
      <c r="S2296" s="40">
        <v>1</v>
      </c>
      <c r="T2296" s="7"/>
      <c r="U2296" s="7" t="s">
        <v>2951</v>
      </c>
      <c r="V2296" s="7" t="str">
        <f>+IF(U2296="","",IF(U2296="FINES",CONCATENATE("R",IF(OR(B2296="16",B2296="21",B2296="22",B2296="23"),"16212223",IF(OR(B2296="15",B2296="17",B2296="24",B2296="25"),"15172425",B2296))),IF(U2296="CEBAS","UNICO",IF(VALUE(B2296)&lt;=11,"AMBA","INTERIOR"))))</f>
        <v>R04</v>
      </c>
      <c r="W2296" s="38" t="str">
        <f>+IF(U2296="","-",CONCATENATE(U2296,"_",V2296))</f>
        <v>FINES_R04</v>
      </c>
      <c r="X2296" s="42">
        <v>0.33800000000000002</v>
      </c>
    </row>
    <row r="2297" spans="1:24">
      <c r="A2297" s="21" t="s">
        <v>5100</v>
      </c>
      <c r="B2297" t="s">
        <v>817</v>
      </c>
      <c r="C2297" t="s">
        <v>600</v>
      </c>
      <c r="D2297" t="s">
        <v>2661</v>
      </c>
      <c r="E2297" s="7" t="s">
        <v>198</v>
      </c>
      <c r="F2297" s="7" t="s">
        <v>198</v>
      </c>
      <c r="G2297" s="7" t="s">
        <v>198</v>
      </c>
      <c r="H2297" s="7" t="s">
        <v>20</v>
      </c>
      <c r="I2297" s="7" t="s">
        <v>5102</v>
      </c>
      <c r="J2297" s="7" t="s">
        <v>21</v>
      </c>
      <c r="L2297" t="s">
        <v>3605</v>
      </c>
      <c r="M2297" s="7" t="s">
        <v>22</v>
      </c>
      <c r="N2297" s="7" t="s">
        <v>23</v>
      </c>
      <c r="O2297" s="7" t="s">
        <v>27</v>
      </c>
      <c r="P2297" s="7" t="s">
        <v>5101</v>
      </c>
      <c r="Q2297" s="26">
        <v>12</v>
      </c>
      <c r="R2297" s="26">
        <v>1</v>
      </c>
      <c r="S2297" s="40">
        <v>1</v>
      </c>
      <c r="T2297" s="7"/>
      <c r="U2297" s="7" t="s">
        <v>2951</v>
      </c>
      <c r="V2297" s="7" t="str">
        <f>+IF(U2297="","",IF(U2297="FINES",CONCATENATE("R",IF(OR(B2297="16",B2297="21",B2297="22",B2297="23"),"16212223",IF(OR(B2297="15",B2297="17",B2297="24",B2297="25"),"15172425",B2297))),IF(U2297="CEBAS","UNICO",IF(VALUE(B2297)&lt;=11,"AMBA","INTERIOR"))))</f>
        <v>R04</v>
      </c>
      <c r="W2297" s="38" t="str">
        <f>+IF(U2297="","-",CONCATENATE(U2297,"_",V2297))</f>
        <v>FINES_R04</v>
      </c>
      <c r="X2297" s="42">
        <v>0.34399999999999997</v>
      </c>
    </row>
    <row r="2298" spans="1:24">
      <c r="A2298" s="21" t="s">
        <v>5100</v>
      </c>
      <c r="B2298" t="s">
        <v>817</v>
      </c>
      <c r="C2298" t="s">
        <v>2080</v>
      </c>
      <c r="D2298" t="s">
        <v>2081</v>
      </c>
      <c r="E2298" s="7" t="s">
        <v>198</v>
      </c>
      <c r="F2298" s="7" t="s">
        <v>198</v>
      </c>
      <c r="G2298" s="7" t="s">
        <v>198</v>
      </c>
      <c r="H2298" s="7" t="s">
        <v>20</v>
      </c>
      <c r="I2298" s="7" t="s">
        <v>5102</v>
      </c>
      <c r="J2298" s="7" t="s">
        <v>21</v>
      </c>
      <c r="L2298" t="s">
        <v>3688</v>
      </c>
      <c r="M2298" s="7" t="s">
        <v>22</v>
      </c>
      <c r="N2298" s="7" t="s">
        <v>23</v>
      </c>
      <c r="O2298" s="7" t="s">
        <v>27</v>
      </c>
      <c r="P2298" s="7" t="s">
        <v>5101</v>
      </c>
      <c r="Q2298" s="26">
        <v>80</v>
      </c>
      <c r="R2298" s="26">
        <v>3</v>
      </c>
      <c r="S2298" s="40">
        <v>1</v>
      </c>
      <c r="T2298" s="7"/>
      <c r="U2298" s="7" t="s">
        <v>2951</v>
      </c>
      <c r="V2298" s="7" t="str">
        <f>+IF(U2298="","",IF(U2298="FINES",CONCATENATE("R",IF(OR(B2298="16",B2298="21",B2298="22",B2298="23"),"16212223",IF(OR(B2298="15",B2298="17",B2298="24",B2298="25"),"15172425",B2298))),IF(U2298="CEBAS","UNICO",IF(VALUE(B2298)&lt;=11,"AMBA","INTERIOR"))))</f>
        <v>R04</v>
      </c>
      <c r="W2298" s="38" t="str">
        <f>+IF(U2298="","-",CONCATENATE(U2298,"_",V2298))</f>
        <v>FINES_R04</v>
      </c>
      <c r="X2298" s="42">
        <v>0.34899999999999998</v>
      </c>
    </row>
    <row r="2299" spans="1:24">
      <c r="A2299" s="21" t="s">
        <v>5100</v>
      </c>
      <c r="B2299" t="s">
        <v>817</v>
      </c>
      <c r="C2299" t="s">
        <v>600</v>
      </c>
      <c r="D2299" t="s">
        <v>2661</v>
      </c>
      <c r="E2299" s="7" t="s">
        <v>198</v>
      </c>
      <c r="F2299" s="7" t="s">
        <v>198</v>
      </c>
      <c r="G2299" s="7" t="s">
        <v>198</v>
      </c>
      <c r="H2299" s="7" t="s">
        <v>20</v>
      </c>
      <c r="I2299" s="7" t="s">
        <v>5102</v>
      </c>
      <c r="J2299" s="7" t="s">
        <v>21</v>
      </c>
      <c r="L2299" t="s">
        <v>3547</v>
      </c>
      <c r="M2299" s="7" t="s">
        <v>22</v>
      </c>
      <c r="N2299" s="7" t="s">
        <v>23</v>
      </c>
      <c r="O2299" s="7" t="s">
        <v>27</v>
      </c>
      <c r="P2299" s="7" t="s">
        <v>5101</v>
      </c>
      <c r="Q2299" s="26">
        <v>21</v>
      </c>
      <c r="R2299" s="26">
        <v>1</v>
      </c>
      <c r="S2299" s="40">
        <v>1</v>
      </c>
      <c r="T2299" s="7"/>
      <c r="U2299" s="7" t="s">
        <v>2951</v>
      </c>
      <c r="V2299" s="7" t="str">
        <f>+IF(U2299="","",IF(U2299="FINES",CONCATENATE("R",IF(OR(B2299="16",B2299="21",B2299="22",B2299="23"),"16212223",IF(OR(B2299="15",B2299="17",B2299="24",B2299="25"),"15172425",B2299))),IF(U2299="CEBAS","UNICO",IF(VALUE(B2299)&lt;=11,"AMBA","INTERIOR"))))</f>
        <v>R04</v>
      </c>
      <c r="W2299" s="38" t="str">
        <f>+IF(U2299="","-",CONCATENATE(U2299,"_",V2299))</f>
        <v>FINES_R04</v>
      </c>
      <c r="X2299" s="42">
        <v>0.35</v>
      </c>
    </row>
    <row r="2300" spans="1:24">
      <c r="A2300" s="21" t="s">
        <v>5100</v>
      </c>
      <c r="B2300" t="s">
        <v>817</v>
      </c>
      <c r="C2300" t="s">
        <v>815</v>
      </c>
      <c r="D2300" t="s">
        <v>816</v>
      </c>
      <c r="E2300" s="7" t="s">
        <v>198</v>
      </c>
      <c r="F2300" s="7" t="s">
        <v>198</v>
      </c>
      <c r="G2300" s="7" t="s">
        <v>198</v>
      </c>
      <c r="H2300" s="7" t="s">
        <v>20</v>
      </c>
      <c r="I2300" s="7" t="s">
        <v>5102</v>
      </c>
      <c r="J2300" s="7" t="s">
        <v>21</v>
      </c>
      <c r="L2300" t="s">
        <v>3649</v>
      </c>
      <c r="M2300" s="7" t="s">
        <v>22</v>
      </c>
      <c r="N2300" s="7" t="s">
        <v>23</v>
      </c>
      <c r="O2300" s="7" t="s">
        <v>27</v>
      </c>
      <c r="P2300" s="7" t="s">
        <v>5101</v>
      </c>
      <c r="Q2300" s="26">
        <v>68</v>
      </c>
      <c r="R2300" s="26">
        <v>3</v>
      </c>
      <c r="S2300" s="40">
        <v>1</v>
      </c>
      <c r="T2300" s="7"/>
      <c r="U2300" s="7" t="s">
        <v>2951</v>
      </c>
      <c r="V2300" s="7" t="str">
        <f>+IF(U2300="","",IF(U2300="FINES",CONCATENATE("R",IF(OR(B2300="16",B2300="21",B2300="22",B2300="23"),"16212223",IF(OR(B2300="15",B2300="17",B2300="24",B2300="25"),"15172425",B2300))),IF(U2300="CEBAS","UNICO",IF(VALUE(B2300)&lt;=11,"AMBA","INTERIOR"))))</f>
        <v>R04</v>
      </c>
      <c r="W2300" s="38" t="str">
        <f>+IF(U2300="","-",CONCATENATE(U2300,"_",V2300))</f>
        <v>FINES_R04</v>
      </c>
      <c r="X2300" s="42">
        <v>0.35499999999999998</v>
      </c>
    </row>
    <row r="2301" spans="1:24">
      <c r="A2301" s="21" t="s">
        <v>5100</v>
      </c>
      <c r="B2301" t="s">
        <v>817</v>
      </c>
      <c r="C2301" t="s">
        <v>2080</v>
      </c>
      <c r="D2301" t="s">
        <v>2081</v>
      </c>
      <c r="E2301" s="7" t="s">
        <v>198</v>
      </c>
      <c r="F2301" s="7" t="s">
        <v>198</v>
      </c>
      <c r="G2301" s="7" t="s">
        <v>198</v>
      </c>
      <c r="H2301" s="7" t="s">
        <v>20</v>
      </c>
      <c r="I2301" s="7" t="s">
        <v>5102</v>
      </c>
      <c r="J2301" s="7" t="s">
        <v>21</v>
      </c>
      <c r="L2301" t="s">
        <v>3668</v>
      </c>
      <c r="M2301" s="7" t="s">
        <v>22</v>
      </c>
      <c r="N2301" s="7" t="s">
        <v>23</v>
      </c>
      <c r="O2301" s="7" t="s">
        <v>27</v>
      </c>
      <c r="P2301" s="7" t="s">
        <v>5101</v>
      </c>
      <c r="Q2301" s="26">
        <v>42</v>
      </c>
      <c r="R2301" s="26">
        <v>2</v>
      </c>
      <c r="S2301" s="40">
        <v>1</v>
      </c>
      <c r="T2301" s="7"/>
      <c r="U2301" s="7" t="s">
        <v>2951</v>
      </c>
      <c r="V2301" s="7" t="str">
        <f>+IF(U2301="","",IF(U2301="FINES",CONCATENATE("R",IF(OR(B2301="16",B2301="21",B2301="22",B2301="23"),"16212223",IF(OR(B2301="15",B2301="17",B2301="24",B2301="25"),"15172425",B2301))),IF(U2301="CEBAS","UNICO",IF(VALUE(B2301)&lt;=11,"AMBA","INTERIOR"))))</f>
        <v>R04</v>
      </c>
      <c r="W2301" s="38" t="str">
        <f>+IF(U2301="","-",CONCATENATE(U2301,"_",V2301))</f>
        <v>FINES_R04</v>
      </c>
      <c r="X2301" s="42">
        <v>0.35799999999999998</v>
      </c>
    </row>
    <row r="2302" spans="1:24">
      <c r="A2302" s="21" t="s">
        <v>5100</v>
      </c>
      <c r="B2302" t="s">
        <v>817</v>
      </c>
      <c r="C2302" t="s">
        <v>815</v>
      </c>
      <c r="D2302" t="s">
        <v>816</v>
      </c>
      <c r="E2302" s="7" t="s">
        <v>198</v>
      </c>
      <c r="F2302" s="7" t="s">
        <v>198</v>
      </c>
      <c r="G2302" s="7" t="s">
        <v>198</v>
      </c>
      <c r="H2302" s="7" t="s">
        <v>20</v>
      </c>
      <c r="I2302" s="7" t="s">
        <v>5102</v>
      </c>
      <c r="J2302" s="7" t="s">
        <v>21</v>
      </c>
      <c r="L2302" t="s">
        <v>3651</v>
      </c>
      <c r="M2302" s="7" t="s">
        <v>22</v>
      </c>
      <c r="N2302" s="7" t="s">
        <v>23</v>
      </c>
      <c r="O2302" s="7" t="s">
        <v>27</v>
      </c>
      <c r="P2302" s="7" t="s">
        <v>5101</v>
      </c>
      <c r="Q2302" s="26">
        <v>11</v>
      </c>
      <c r="R2302" s="26">
        <v>1</v>
      </c>
      <c r="S2302" s="40">
        <v>1</v>
      </c>
      <c r="T2302" s="7"/>
      <c r="U2302" s="7" t="s">
        <v>2951</v>
      </c>
      <c r="V2302" s="7" t="str">
        <f>+IF(U2302="","",IF(U2302="FINES",CONCATENATE("R",IF(OR(B2302="16",B2302="21",B2302="22",B2302="23"),"16212223",IF(OR(B2302="15",B2302="17",B2302="24",B2302="25"),"15172425",B2302))),IF(U2302="CEBAS","UNICO",IF(VALUE(B2302)&lt;=11,"AMBA","INTERIOR"))))</f>
        <v>R04</v>
      </c>
      <c r="W2302" s="38" t="str">
        <f>+IF(U2302="","-",CONCATENATE(U2302,"_",V2302))</f>
        <v>FINES_R04</v>
      </c>
      <c r="X2302" s="42">
        <v>0.38200000000000001</v>
      </c>
    </row>
    <row r="2303" spans="1:24">
      <c r="A2303" s="21" t="s">
        <v>5100</v>
      </c>
      <c r="B2303" t="s">
        <v>817</v>
      </c>
      <c r="C2303" t="s">
        <v>600</v>
      </c>
      <c r="D2303" t="s">
        <v>2661</v>
      </c>
      <c r="E2303" s="7" t="s">
        <v>198</v>
      </c>
      <c r="F2303" s="7" t="s">
        <v>198</v>
      </c>
      <c r="G2303" s="7" t="s">
        <v>198</v>
      </c>
      <c r="H2303" s="7" t="s">
        <v>20</v>
      </c>
      <c r="I2303" s="7" t="s">
        <v>5102</v>
      </c>
      <c r="J2303" s="7" t="s">
        <v>21</v>
      </c>
      <c r="L2303" t="s">
        <v>3549</v>
      </c>
      <c r="M2303" s="7" t="s">
        <v>22</v>
      </c>
      <c r="N2303" s="7" t="s">
        <v>23</v>
      </c>
      <c r="O2303" s="7" t="s">
        <v>27</v>
      </c>
      <c r="P2303" s="7" t="s">
        <v>5101</v>
      </c>
      <c r="Q2303" s="26">
        <v>12</v>
      </c>
      <c r="R2303" s="26">
        <v>1</v>
      </c>
      <c r="S2303" s="40">
        <v>1</v>
      </c>
      <c r="T2303" s="7"/>
      <c r="U2303" s="7" t="s">
        <v>2951</v>
      </c>
      <c r="V2303" s="7" t="str">
        <f>+IF(U2303="","",IF(U2303="FINES",CONCATENATE("R",IF(OR(B2303="16",B2303="21",B2303="22",B2303="23"),"16212223",IF(OR(B2303="15",B2303="17",B2303="24",B2303="25"),"15172425",B2303))),IF(U2303="CEBAS","UNICO",IF(VALUE(B2303)&lt;=11,"AMBA","INTERIOR"))))</f>
        <v>R04</v>
      </c>
      <c r="W2303" s="38" t="str">
        <f>+IF(U2303="","-",CONCATENATE(U2303,"_",V2303))</f>
        <v>FINES_R04</v>
      </c>
      <c r="X2303" s="42">
        <v>0.38600000000000001</v>
      </c>
    </row>
    <row r="2304" spans="1:24">
      <c r="A2304" s="21" t="s">
        <v>5100</v>
      </c>
      <c r="B2304" t="s">
        <v>817</v>
      </c>
      <c r="C2304" t="s">
        <v>2080</v>
      </c>
      <c r="D2304" t="s">
        <v>2081</v>
      </c>
      <c r="E2304" s="7" t="s">
        <v>198</v>
      </c>
      <c r="F2304" s="7" t="s">
        <v>198</v>
      </c>
      <c r="G2304" s="7" t="s">
        <v>198</v>
      </c>
      <c r="H2304" s="7" t="s">
        <v>20</v>
      </c>
      <c r="I2304" s="7" t="s">
        <v>5102</v>
      </c>
      <c r="J2304" s="7" t="s">
        <v>21</v>
      </c>
      <c r="L2304" t="s">
        <v>3691</v>
      </c>
      <c r="M2304" s="7" t="s">
        <v>22</v>
      </c>
      <c r="N2304" s="7" t="s">
        <v>23</v>
      </c>
      <c r="O2304" s="7" t="s">
        <v>27</v>
      </c>
      <c r="P2304" s="7" t="s">
        <v>5101</v>
      </c>
      <c r="Q2304" s="26">
        <v>124</v>
      </c>
      <c r="R2304" s="26">
        <v>4</v>
      </c>
      <c r="S2304" s="40">
        <v>1</v>
      </c>
      <c r="T2304" s="7"/>
      <c r="U2304" s="7" t="s">
        <v>2951</v>
      </c>
      <c r="V2304" s="7" t="str">
        <f>+IF(U2304="","",IF(U2304="FINES",CONCATENATE("R",IF(OR(B2304="16",B2304="21",B2304="22",B2304="23"),"16212223",IF(OR(B2304="15",B2304="17",B2304="24",B2304="25"),"15172425",B2304))),IF(U2304="CEBAS","UNICO",IF(VALUE(B2304)&lt;=11,"AMBA","INTERIOR"))))</f>
        <v>R04</v>
      </c>
      <c r="W2304" s="38" t="str">
        <f>+IF(U2304="","-",CONCATENATE(U2304,"_",V2304))</f>
        <v>FINES_R04</v>
      </c>
      <c r="X2304" s="42">
        <v>0.39200000000000002</v>
      </c>
    </row>
    <row r="2305" spans="1:24">
      <c r="A2305" s="21" t="s">
        <v>5100</v>
      </c>
      <c r="B2305" t="s">
        <v>817</v>
      </c>
      <c r="C2305" t="s">
        <v>815</v>
      </c>
      <c r="D2305" t="s">
        <v>816</v>
      </c>
      <c r="E2305" s="7" t="s">
        <v>198</v>
      </c>
      <c r="F2305" s="7" t="s">
        <v>198</v>
      </c>
      <c r="G2305" s="7" t="s">
        <v>198</v>
      </c>
      <c r="H2305" s="7" t="s">
        <v>20</v>
      </c>
      <c r="I2305" s="7" t="s">
        <v>5102</v>
      </c>
      <c r="J2305" s="7" t="s">
        <v>21</v>
      </c>
      <c r="L2305" t="s">
        <v>3630</v>
      </c>
      <c r="M2305" s="7" t="s">
        <v>22</v>
      </c>
      <c r="N2305" s="7" t="s">
        <v>23</v>
      </c>
      <c r="O2305" s="7" t="s">
        <v>27</v>
      </c>
      <c r="P2305" s="7" t="s">
        <v>5101</v>
      </c>
      <c r="Q2305" s="26">
        <v>19</v>
      </c>
      <c r="R2305" s="26">
        <v>1</v>
      </c>
      <c r="S2305" s="40">
        <v>1</v>
      </c>
      <c r="T2305" s="7"/>
      <c r="U2305" s="7" t="s">
        <v>2951</v>
      </c>
      <c r="V2305" s="7" t="str">
        <f>+IF(U2305="","",IF(U2305="FINES",CONCATENATE("R",IF(OR(B2305="16",B2305="21",B2305="22",B2305="23"),"16212223",IF(OR(B2305="15",B2305="17",B2305="24",B2305="25"),"15172425",B2305))),IF(U2305="CEBAS","UNICO",IF(VALUE(B2305)&lt;=11,"AMBA","INTERIOR"))))</f>
        <v>R04</v>
      </c>
      <c r="W2305" s="38" t="str">
        <f>+IF(U2305="","-",CONCATENATE(U2305,"_",V2305))</f>
        <v>FINES_R04</v>
      </c>
      <c r="X2305" s="42">
        <v>0.39500000000000002</v>
      </c>
    </row>
    <row r="2306" spans="1:24">
      <c r="A2306" s="21" t="s">
        <v>5100</v>
      </c>
      <c r="B2306" t="s">
        <v>817</v>
      </c>
      <c r="C2306" t="s">
        <v>815</v>
      </c>
      <c r="D2306" t="s">
        <v>816</v>
      </c>
      <c r="E2306" s="7" t="s">
        <v>198</v>
      </c>
      <c r="F2306" s="7" t="s">
        <v>198</v>
      </c>
      <c r="G2306" s="7" t="s">
        <v>198</v>
      </c>
      <c r="H2306" s="7" t="s">
        <v>20</v>
      </c>
      <c r="I2306" s="7" t="s">
        <v>5102</v>
      </c>
      <c r="J2306" s="7" t="s">
        <v>21</v>
      </c>
      <c r="L2306" t="s">
        <v>3664</v>
      </c>
      <c r="M2306" s="7" t="s">
        <v>22</v>
      </c>
      <c r="N2306" s="7" t="s">
        <v>23</v>
      </c>
      <c r="O2306" s="7" t="s">
        <v>27</v>
      </c>
      <c r="P2306" s="7" t="s">
        <v>5101</v>
      </c>
      <c r="Q2306" s="26">
        <v>0</v>
      </c>
      <c r="R2306" s="26">
        <v>1</v>
      </c>
      <c r="S2306" s="40">
        <v>1</v>
      </c>
      <c r="T2306" s="7"/>
      <c r="U2306" s="7" t="s">
        <v>2951</v>
      </c>
      <c r="V2306" s="7" t="str">
        <f>+IF(U2306="","",IF(U2306="FINES",CONCATENATE("R",IF(OR(B2306="16",B2306="21",B2306="22",B2306="23"),"16212223",IF(OR(B2306="15",B2306="17",B2306="24",B2306="25"),"15172425",B2306))),IF(U2306="CEBAS","UNICO",IF(VALUE(B2306)&lt;=11,"AMBA","INTERIOR"))))</f>
        <v>R04</v>
      </c>
      <c r="W2306" s="38" t="str">
        <f>+IF(U2306="","-",CONCATENATE(U2306,"_",V2306))</f>
        <v>FINES_R04</v>
      </c>
      <c r="X2306" s="42">
        <v>0.41299999999999998</v>
      </c>
    </row>
    <row r="2307" spans="1:24">
      <c r="A2307" s="21" t="s">
        <v>5100</v>
      </c>
      <c r="B2307" t="s">
        <v>817</v>
      </c>
      <c r="C2307" t="s">
        <v>2080</v>
      </c>
      <c r="D2307" t="s">
        <v>2081</v>
      </c>
      <c r="E2307" s="7" t="s">
        <v>198</v>
      </c>
      <c r="F2307" s="7" t="s">
        <v>198</v>
      </c>
      <c r="G2307" s="7" t="s">
        <v>198</v>
      </c>
      <c r="H2307" s="7" t="s">
        <v>20</v>
      </c>
      <c r="I2307" s="7" t="s">
        <v>5102</v>
      </c>
      <c r="J2307" s="7" t="s">
        <v>21</v>
      </c>
      <c r="L2307" t="s">
        <v>3710</v>
      </c>
      <c r="M2307" s="7" t="s">
        <v>22</v>
      </c>
      <c r="N2307" s="7" t="s">
        <v>23</v>
      </c>
      <c r="O2307" s="7" t="s">
        <v>27</v>
      </c>
      <c r="P2307" s="7" t="s">
        <v>5101</v>
      </c>
      <c r="Q2307" s="26">
        <v>20</v>
      </c>
      <c r="R2307" s="26">
        <v>1</v>
      </c>
      <c r="S2307" s="40">
        <v>1</v>
      </c>
      <c r="T2307" s="7"/>
      <c r="U2307" s="7" t="s">
        <v>2951</v>
      </c>
      <c r="V2307" s="7" t="str">
        <f>+IF(U2307="","",IF(U2307="FINES",CONCATENATE("R",IF(OR(B2307="16",B2307="21",B2307="22",B2307="23"),"16212223",IF(OR(B2307="15",B2307="17",B2307="24",B2307="25"),"15172425",B2307))),IF(U2307="CEBAS","UNICO",IF(VALUE(B2307)&lt;=11,"AMBA","INTERIOR"))))</f>
        <v>R04</v>
      </c>
      <c r="W2307" s="38" t="str">
        <f>+IF(U2307="","-",CONCATENATE(U2307,"_",V2307))</f>
        <v>FINES_R04</v>
      </c>
      <c r="X2307" s="42">
        <v>0.41499999999999998</v>
      </c>
    </row>
    <row r="2308" spans="1:24">
      <c r="A2308" s="21" t="s">
        <v>5100</v>
      </c>
      <c r="B2308" t="s">
        <v>817</v>
      </c>
      <c r="C2308" t="s">
        <v>600</v>
      </c>
      <c r="D2308" t="s">
        <v>2661</v>
      </c>
      <c r="E2308" s="7" t="s">
        <v>198</v>
      </c>
      <c r="F2308" s="7" t="s">
        <v>198</v>
      </c>
      <c r="G2308" s="7" t="s">
        <v>198</v>
      </c>
      <c r="H2308" s="7" t="s">
        <v>20</v>
      </c>
      <c r="I2308" s="7" t="s">
        <v>5102</v>
      </c>
      <c r="J2308" s="7" t="s">
        <v>21</v>
      </c>
      <c r="L2308" t="s">
        <v>3566</v>
      </c>
      <c r="M2308" s="7" t="s">
        <v>22</v>
      </c>
      <c r="N2308" s="7" t="s">
        <v>23</v>
      </c>
      <c r="O2308" s="7" t="s">
        <v>27</v>
      </c>
      <c r="P2308" s="7" t="s">
        <v>5101</v>
      </c>
      <c r="Q2308" s="26">
        <v>83</v>
      </c>
      <c r="R2308" s="26">
        <v>3</v>
      </c>
      <c r="S2308" s="40">
        <v>1</v>
      </c>
      <c r="T2308" s="7"/>
      <c r="U2308" s="7" t="s">
        <v>2951</v>
      </c>
      <c r="V2308" s="7" t="str">
        <f>+IF(U2308="","",IF(U2308="FINES",CONCATENATE("R",IF(OR(B2308="16",B2308="21",B2308="22",B2308="23"),"16212223",IF(OR(B2308="15",B2308="17",B2308="24",B2308="25"),"15172425",B2308))),IF(U2308="CEBAS","UNICO",IF(VALUE(B2308)&lt;=11,"AMBA","INTERIOR"))))</f>
        <v>R04</v>
      </c>
      <c r="W2308" s="38" t="str">
        <f>+IF(U2308="","-",CONCATENATE(U2308,"_",V2308))</f>
        <v>FINES_R04</v>
      </c>
      <c r="X2308" s="42">
        <v>0.42499999999999999</v>
      </c>
    </row>
    <row r="2309" spans="1:24">
      <c r="A2309" s="21" t="s">
        <v>5100</v>
      </c>
      <c r="B2309" t="s">
        <v>817</v>
      </c>
      <c r="C2309" t="s">
        <v>600</v>
      </c>
      <c r="D2309" t="s">
        <v>2661</v>
      </c>
      <c r="E2309" s="7" t="s">
        <v>198</v>
      </c>
      <c r="F2309" s="7" t="s">
        <v>198</v>
      </c>
      <c r="G2309" s="7" t="s">
        <v>198</v>
      </c>
      <c r="H2309" s="7" t="s">
        <v>20</v>
      </c>
      <c r="I2309" s="7" t="s">
        <v>5102</v>
      </c>
      <c r="J2309" s="7" t="s">
        <v>21</v>
      </c>
      <c r="L2309" t="s">
        <v>3130</v>
      </c>
      <c r="M2309" s="7" t="s">
        <v>22</v>
      </c>
      <c r="N2309" s="7" t="s">
        <v>23</v>
      </c>
      <c r="O2309" s="7" t="s">
        <v>27</v>
      </c>
      <c r="P2309" s="7" t="s">
        <v>5101</v>
      </c>
      <c r="Q2309" s="26">
        <v>26</v>
      </c>
      <c r="R2309" s="26">
        <v>1</v>
      </c>
      <c r="S2309" s="40">
        <v>1</v>
      </c>
      <c r="T2309" s="7"/>
      <c r="U2309" s="7" t="s">
        <v>2951</v>
      </c>
      <c r="V2309" s="7" t="str">
        <f>+IF(U2309="","",IF(U2309="FINES",CONCATENATE("R",IF(OR(B2309="16",B2309="21",B2309="22",B2309="23"),"16212223",IF(OR(B2309="15",B2309="17",B2309="24",B2309="25"),"15172425",B2309))),IF(U2309="CEBAS","UNICO",IF(VALUE(B2309)&lt;=11,"AMBA","INTERIOR"))))</f>
        <v>R04</v>
      </c>
      <c r="W2309" s="38" t="str">
        <f>+IF(U2309="","-",CONCATENATE(U2309,"_",V2309))</f>
        <v>FINES_R04</v>
      </c>
      <c r="X2309" s="42">
        <v>0.42499999999999999</v>
      </c>
    </row>
    <row r="2310" spans="1:24">
      <c r="A2310" s="21" t="s">
        <v>5100</v>
      </c>
      <c r="B2310" t="s">
        <v>817</v>
      </c>
      <c r="C2310" t="s">
        <v>600</v>
      </c>
      <c r="D2310" t="s">
        <v>2661</v>
      </c>
      <c r="E2310" s="7" t="s">
        <v>198</v>
      </c>
      <c r="F2310" s="7" t="s">
        <v>198</v>
      </c>
      <c r="G2310" s="7" t="s">
        <v>198</v>
      </c>
      <c r="H2310" s="7" t="s">
        <v>20</v>
      </c>
      <c r="I2310" s="7" t="s">
        <v>5102</v>
      </c>
      <c r="J2310" s="7" t="s">
        <v>21</v>
      </c>
      <c r="L2310" t="s">
        <v>3590</v>
      </c>
      <c r="M2310" s="7" t="s">
        <v>22</v>
      </c>
      <c r="N2310" s="7" t="s">
        <v>23</v>
      </c>
      <c r="O2310" s="7" t="s">
        <v>27</v>
      </c>
      <c r="P2310" s="7" t="s">
        <v>5101</v>
      </c>
      <c r="Q2310" s="26">
        <v>34</v>
      </c>
      <c r="R2310" s="26">
        <v>1</v>
      </c>
      <c r="S2310" s="40">
        <v>1</v>
      </c>
      <c r="T2310" s="7"/>
      <c r="U2310" s="7" t="s">
        <v>2951</v>
      </c>
      <c r="V2310" s="7" t="str">
        <f>+IF(U2310="","",IF(U2310="FINES",CONCATENATE("R",IF(OR(B2310="16",B2310="21",B2310="22",B2310="23"),"16212223",IF(OR(B2310="15",B2310="17",B2310="24",B2310="25"),"15172425",B2310))),IF(U2310="CEBAS","UNICO",IF(VALUE(B2310)&lt;=11,"AMBA","INTERIOR"))))</f>
        <v>R04</v>
      </c>
      <c r="W2310" s="38" t="str">
        <f>+IF(U2310="","-",CONCATENATE(U2310,"_",V2310))</f>
        <v>FINES_R04</v>
      </c>
      <c r="X2310" s="42">
        <v>0.43099999999999999</v>
      </c>
    </row>
    <row r="2311" spans="1:24">
      <c r="A2311" s="21" t="s">
        <v>5100</v>
      </c>
      <c r="B2311" t="s">
        <v>817</v>
      </c>
      <c r="C2311" t="s">
        <v>2080</v>
      </c>
      <c r="D2311" t="s">
        <v>2081</v>
      </c>
      <c r="E2311" s="7" t="s">
        <v>198</v>
      </c>
      <c r="F2311" s="7" t="s">
        <v>198</v>
      </c>
      <c r="G2311" s="7" t="s">
        <v>198</v>
      </c>
      <c r="H2311" s="7" t="s">
        <v>20</v>
      </c>
      <c r="I2311" s="7" t="s">
        <v>5102</v>
      </c>
      <c r="J2311" s="7" t="s">
        <v>21</v>
      </c>
      <c r="L2311" t="s">
        <v>3707</v>
      </c>
      <c r="M2311" s="7" t="s">
        <v>22</v>
      </c>
      <c r="N2311" s="7" t="s">
        <v>23</v>
      </c>
      <c r="O2311" s="7" t="s">
        <v>27</v>
      </c>
      <c r="P2311" s="7" t="s">
        <v>5101</v>
      </c>
      <c r="Q2311" s="26">
        <v>26</v>
      </c>
      <c r="R2311" s="26">
        <v>1</v>
      </c>
      <c r="S2311" s="40">
        <v>1</v>
      </c>
      <c r="T2311" s="7"/>
      <c r="U2311" s="7" t="s">
        <v>2951</v>
      </c>
      <c r="V2311" s="7" t="str">
        <f>+IF(U2311="","",IF(U2311="FINES",CONCATENATE("R",IF(OR(B2311="16",B2311="21",B2311="22",B2311="23"),"16212223",IF(OR(B2311="15",B2311="17",B2311="24",B2311="25"),"15172425",B2311))),IF(U2311="CEBAS","UNICO",IF(VALUE(B2311)&lt;=11,"AMBA","INTERIOR"))))</f>
        <v>R04</v>
      </c>
      <c r="W2311" s="38" t="str">
        <f>+IF(U2311="","-",CONCATENATE(U2311,"_",V2311))</f>
        <v>FINES_R04</v>
      </c>
      <c r="X2311" s="42">
        <v>0.43099999999999999</v>
      </c>
    </row>
    <row r="2312" spans="1:24">
      <c r="A2312" s="21" t="s">
        <v>5100</v>
      </c>
      <c r="B2312" t="s">
        <v>817</v>
      </c>
      <c r="C2312" t="s">
        <v>2080</v>
      </c>
      <c r="D2312" t="s">
        <v>2081</v>
      </c>
      <c r="E2312" s="7" t="s">
        <v>198</v>
      </c>
      <c r="F2312" s="7" t="s">
        <v>198</v>
      </c>
      <c r="G2312" s="7" t="s">
        <v>198</v>
      </c>
      <c r="H2312" s="7" t="s">
        <v>20</v>
      </c>
      <c r="I2312" s="7" t="s">
        <v>5102</v>
      </c>
      <c r="J2312" s="7" t="s">
        <v>21</v>
      </c>
      <c r="L2312" t="s">
        <v>3714</v>
      </c>
      <c r="M2312" s="7" t="s">
        <v>22</v>
      </c>
      <c r="N2312" s="7" t="s">
        <v>23</v>
      </c>
      <c r="O2312" s="7" t="s">
        <v>27</v>
      </c>
      <c r="P2312" s="7" t="s">
        <v>5101</v>
      </c>
      <c r="Q2312" s="26">
        <v>39</v>
      </c>
      <c r="R2312" s="26">
        <v>2</v>
      </c>
      <c r="S2312" s="40">
        <v>1</v>
      </c>
      <c r="T2312" s="7"/>
      <c r="U2312" s="7" t="s">
        <v>2951</v>
      </c>
      <c r="V2312" s="7" t="str">
        <f>+IF(U2312="","",IF(U2312="FINES",CONCATENATE("R",IF(OR(B2312="16",B2312="21",B2312="22",B2312="23"),"16212223",IF(OR(B2312="15",B2312="17",B2312="24",B2312="25"),"15172425",B2312))),IF(U2312="CEBAS","UNICO",IF(VALUE(B2312)&lt;=11,"AMBA","INTERIOR"))))</f>
        <v>R04</v>
      </c>
      <c r="W2312" s="38" t="str">
        <f>+IF(U2312="","-",CONCATENATE(U2312,"_",V2312))</f>
        <v>FINES_R04</v>
      </c>
      <c r="X2312" s="42">
        <v>0.434</v>
      </c>
    </row>
    <row r="2313" spans="1:24">
      <c r="A2313" s="21" t="s">
        <v>5100</v>
      </c>
      <c r="B2313" t="s">
        <v>817</v>
      </c>
      <c r="C2313" t="s">
        <v>815</v>
      </c>
      <c r="D2313" t="s">
        <v>816</v>
      </c>
      <c r="E2313" s="7" t="s">
        <v>198</v>
      </c>
      <c r="F2313" s="7" t="s">
        <v>198</v>
      </c>
      <c r="G2313" s="7" t="s">
        <v>198</v>
      </c>
      <c r="H2313" s="7" t="s">
        <v>20</v>
      </c>
      <c r="I2313" s="7" t="s">
        <v>5102</v>
      </c>
      <c r="J2313" s="7" t="s">
        <v>21</v>
      </c>
      <c r="L2313" t="s">
        <v>3657</v>
      </c>
      <c r="M2313" s="7" t="s">
        <v>22</v>
      </c>
      <c r="N2313" s="7" t="s">
        <v>23</v>
      </c>
      <c r="O2313" s="7" t="s">
        <v>27</v>
      </c>
      <c r="P2313" s="7" t="s">
        <v>5101</v>
      </c>
      <c r="Q2313" s="26">
        <v>19</v>
      </c>
      <c r="R2313" s="26">
        <v>1</v>
      </c>
      <c r="S2313" s="40">
        <v>1</v>
      </c>
      <c r="T2313" s="7"/>
      <c r="U2313" s="7" t="s">
        <v>2951</v>
      </c>
      <c r="V2313" s="7" t="str">
        <f>+IF(U2313="","",IF(U2313="FINES",CONCATENATE("R",IF(OR(B2313="16",B2313="21",B2313="22",B2313="23"),"16212223",IF(OR(B2313="15",B2313="17",B2313="24",B2313="25"),"15172425",B2313))),IF(U2313="CEBAS","UNICO",IF(VALUE(B2313)&lt;=11,"AMBA","INTERIOR"))))</f>
        <v>R04</v>
      </c>
      <c r="W2313" s="38" t="str">
        <f>+IF(U2313="","-",CONCATENATE(U2313,"_",V2313))</f>
        <v>FINES_R04</v>
      </c>
      <c r="X2313" s="42">
        <v>0.437</v>
      </c>
    </row>
    <row r="2314" spans="1:24">
      <c r="A2314" s="21" t="s">
        <v>5100</v>
      </c>
      <c r="B2314" t="s">
        <v>817</v>
      </c>
      <c r="C2314" t="s">
        <v>815</v>
      </c>
      <c r="D2314" t="s">
        <v>816</v>
      </c>
      <c r="E2314" s="7" t="s">
        <v>198</v>
      </c>
      <c r="F2314" s="7" t="s">
        <v>198</v>
      </c>
      <c r="G2314" s="7" t="s">
        <v>198</v>
      </c>
      <c r="H2314" s="7" t="s">
        <v>20</v>
      </c>
      <c r="I2314" s="7" t="s">
        <v>5102</v>
      </c>
      <c r="J2314" s="7" t="s">
        <v>21</v>
      </c>
      <c r="L2314" t="s">
        <v>3659</v>
      </c>
      <c r="M2314" s="7" t="s">
        <v>22</v>
      </c>
      <c r="N2314" s="7" t="s">
        <v>23</v>
      </c>
      <c r="O2314" s="7" t="s">
        <v>27</v>
      </c>
      <c r="P2314" s="7" t="s">
        <v>5101</v>
      </c>
      <c r="Q2314" s="26">
        <v>0</v>
      </c>
      <c r="R2314" s="26">
        <v>1</v>
      </c>
      <c r="S2314" s="40">
        <v>1</v>
      </c>
      <c r="T2314" s="7"/>
      <c r="U2314" s="7" t="s">
        <v>2951</v>
      </c>
      <c r="V2314" s="7" t="str">
        <f>+IF(U2314="","",IF(U2314="FINES",CONCATENATE("R",IF(OR(B2314="16",B2314="21",B2314="22",B2314="23"),"16212223",IF(OR(B2314="15",B2314="17",B2314="24",B2314="25"),"15172425",B2314))),IF(U2314="CEBAS","UNICO",IF(VALUE(B2314)&lt;=11,"AMBA","INTERIOR"))))</f>
        <v>R04</v>
      </c>
      <c r="W2314" s="38" t="str">
        <f>+IF(U2314="","-",CONCATENATE(U2314,"_",V2314))</f>
        <v>FINES_R04</v>
      </c>
      <c r="X2314" s="42">
        <v>0.45400000000000001</v>
      </c>
    </row>
    <row r="2315" spans="1:24">
      <c r="A2315" s="21" t="s">
        <v>5100</v>
      </c>
      <c r="B2315" t="s">
        <v>817</v>
      </c>
      <c r="C2315" t="s">
        <v>815</v>
      </c>
      <c r="D2315" t="s">
        <v>816</v>
      </c>
      <c r="E2315" s="7" t="s">
        <v>198</v>
      </c>
      <c r="F2315" s="7" t="s">
        <v>198</v>
      </c>
      <c r="G2315" s="7" t="s">
        <v>198</v>
      </c>
      <c r="H2315" s="7" t="s">
        <v>20</v>
      </c>
      <c r="I2315" s="7" t="s">
        <v>5102</v>
      </c>
      <c r="J2315" s="7" t="s">
        <v>21</v>
      </c>
      <c r="L2315" t="s">
        <v>3619</v>
      </c>
      <c r="M2315" s="7" t="s">
        <v>22</v>
      </c>
      <c r="N2315" s="7" t="s">
        <v>23</v>
      </c>
      <c r="O2315" s="7" t="s">
        <v>27</v>
      </c>
      <c r="P2315" s="7" t="s">
        <v>5101</v>
      </c>
      <c r="Q2315" s="26">
        <v>40</v>
      </c>
      <c r="R2315" s="26">
        <v>2</v>
      </c>
      <c r="S2315" s="40">
        <v>1</v>
      </c>
      <c r="T2315" s="7"/>
      <c r="U2315" s="7" t="s">
        <v>2951</v>
      </c>
      <c r="V2315" s="7" t="str">
        <f>+IF(U2315="","",IF(U2315="FINES",CONCATENATE("R",IF(OR(B2315="16",B2315="21",B2315="22",B2315="23"),"16212223",IF(OR(B2315="15",B2315="17",B2315="24",B2315="25"),"15172425",B2315))),IF(U2315="CEBAS","UNICO",IF(VALUE(B2315)&lt;=11,"AMBA","INTERIOR"))))</f>
        <v>R04</v>
      </c>
      <c r="W2315" s="38" t="str">
        <f>+IF(U2315="","-",CONCATENATE(U2315,"_",V2315))</f>
        <v>FINES_R04</v>
      </c>
      <c r="X2315" s="42">
        <v>0.45700000000000002</v>
      </c>
    </row>
    <row r="2316" spans="1:24">
      <c r="A2316" s="21" t="s">
        <v>5100</v>
      </c>
      <c r="B2316" t="s">
        <v>817</v>
      </c>
      <c r="C2316" t="s">
        <v>815</v>
      </c>
      <c r="D2316" t="s">
        <v>816</v>
      </c>
      <c r="E2316" s="7" t="s">
        <v>198</v>
      </c>
      <c r="F2316" s="7" t="s">
        <v>198</v>
      </c>
      <c r="G2316" s="7" t="s">
        <v>198</v>
      </c>
      <c r="H2316" s="7" t="s">
        <v>20</v>
      </c>
      <c r="I2316" s="7" t="s">
        <v>5102</v>
      </c>
      <c r="J2316" s="7" t="s">
        <v>21</v>
      </c>
      <c r="L2316" t="s">
        <v>3639</v>
      </c>
      <c r="M2316" s="7" t="s">
        <v>22</v>
      </c>
      <c r="N2316" s="7" t="s">
        <v>23</v>
      </c>
      <c r="O2316" s="7" t="s">
        <v>27</v>
      </c>
      <c r="P2316" s="7" t="s">
        <v>5101</v>
      </c>
      <c r="Q2316" s="26">
        <v>109</v>
      </c>
      <c r="R2316" s="26">
        <v>4</v>
      </c>
      <c r="S2316" s="40">
        <v>1</v>
      </c>
      <c r="T2316" s="7"/>
      <c r="U2316" s="7" t="s">
        <v>2951</v>
      </c>
      <c r="V2316" s="7" t="str">
        <f>+IF(U2316="","",IF(U2316="FINES",CONCATENATE("R",IF(OR(B2316="16",B2316="21",B2316="22",B2316="23"),"16212223",IF(OR(B2316="15",B2316="17",B2316="24",B2316="25"),"15172425",B2316))),IF(U2316="CEBAS","UNICO",IF(VALUE(B2316)&lt;=11,"AMBA","INTERIOR"))))</f>
        <v>R04</v>
      </c>
      <c r="W2316" s="38" t="str">
        <f>+IF(U2316="","-",CONCATENATE(U2316,"_",V2316))</f>
        <v>FINES_R04</v>
      </c>
      <c r="X2316" s="42">
        <v>0.45700000000000002</v>
      </c>
    </row>
    <row r="2317" spans="1:24">
      <c r="A2317" s="21" t="s">
        <v>5100</v>
      </c>
      <c r="B2317" t="s">
        <v>817</v>
      </c>
      <c r="C2317" t="s">
        <v>600</v>
      </c>
      <c r="D2317" t="s">
        <v>2661</v>
      </c>
      <c r="E2317" s="7" t="s">
        <v>198</v>
      </c>
      <c r="F2317" s="7" t="s">
        <v>198</v>
      </c>
      <c r="G2317" s="7" t="s">
        <v>198</v>
      </c>
      <c r="H2317" s="7" t="s">
        <v>20</v>
      </c>
      <c r="I2317" s="7" t="s">
        <v>5102</v>
      </c>
      <c r="J2317" s="7" t="s">
        <v>21</v>
      </c>
      <c r="L2317" t="s">
        <v>3545</v>
      </c>
      <c r="M2317" s="7" t="s">
        <v>22</v>
      </c>
      <c r="N2317" s="7" t="s">
        <v>23</v>
      </c>
      <c r="O2317" s="7" t="s">
        <v>27</v>
      </c>
      <c r="P2317" s="7" t="s">
        <v>5101</v>
      </c>
      <c r="Q2317" s="26">
        <v>15</v>
      </c>
      <c r="R2317" s="26">
        <v>1</v>
      </c>
      <c r="S2317" s="40">
        <v>1</v>
      </c>
      <c r="T2317" s="7"/>
      <c r="U2317" s="7" t="s">
        <v>2951</v>
      </c>
      <c r="V2317" s="7" t="str">
        <f>+IF(U2317="","",IF(U2317="FINES",CONCATENATE("R",IF(OR(B2317="16",B2317="21",B2317="22",B2317="23"),"16212223",IF(OR(B2317="15",B2317="17",B2317="24",B2317="25"),"15172425",B2317))),IF(U2317="CEBAS","UNICO",IF(VALUE(B2317)&lt;=11,"AMBA","INTERIOR"))))</f>
        <v>R04</v>
      </c>
      <c r="W2317" s="38" t="str">
        <f>+IF(U2317="","-",CONCATENATE(U2317,"_",V2317))</f>
        <v>FINES_R04</v>
      </c>
      <c r="X2317" s="42">
        <v>0.46</v>
      </c>
    </row>
    <row r="2318" spans="1:24">
      <c r="A2318" s="21" t="s">
        <v>5100</v>
      </c>
      <c r="B2318" t="s">
        <v>817</v>
      </c>
      <c r="C2318" t="s">
        <v>815</v>
      </c>
      <c r="D2318" t="s">
        <v>816</v>
      </c>
      <c r="E2318" s="7" t="s">
        <v>198</v>
      </c>
      <c r="F2318" s="7" t="s">
        <v>198</v>
      </c>
      <c r="G2318" s="7" t="s">
        <v>198</v>
      </c>
      <c r="H2318" s="7" t="s">
        <v>20</v>
      </c>
      <c r="I2318" s="7" t="s">
        <v>5102</v>
      </c>
      <c r="J2318" s="7" t="s">
        <v>21</v>
      </c>
      <c r="L2318" t="s">
        <v>3647</v>
      </c>
      <c r="M2318" s="7" t="s">
        <v>22</v>
      </c>
      <c r="N2318" s="7" t="s">
        <v>23</v>
      </c>
      <c r="O2318" s="7" t="s">
        <v>27</v>
      </c>
      <c r="P2318" s="7" t="s">
        <v>5101</v>
      </c>
      <c r="Q2318" s="26">
        <v>15</v>
      </c>
      <c r="R2318" s="26">
        <v>1</v>
      </c>
      <c r="S2318" s="40">
        <v>1</v>
      </c>
      <c r="T2318" s="7"/>
      <c r="U2318" s="7" t="s">
        <v>2951</v>
      </c>
      <c r="V2318" s="7" t="str">
        <f>+IF(U2318="","",IF(U2318="FINES",CONCATENATE("R",IF(OR(B2318="16",B2318="21",B2318="22",B2318="23"),"16212223",IF(OR(B2318="15",B2318="17",B2318="24",B2318="25"),"15172425",B2318))),IF(U2318="CEBAS","UNICO",IF(VALUE(B2318)&lt;=11,"AMBA","INTERIOR"))))</f>
        <v>R04</v>
      </c>
      <c r="W2318" s="38" t="str">
        <f>+IF(U2318="","-",CONCATENATE(U2318,"_",V2318))</f>
        <v>FINES_R04</v>
      </c>
      <c r="X2318" s="42">
        <v>0.46899999999999997</v>
      </c>
    </row>
    <row r="2319" spans="1:24">
      <c r="A2319" s="21" t="s">
        <v>5100</v>
      </c>
      <c r="B2319" t="s">
        <v>817</v>
      </c>
      <c r="C2319" t="s">
        <v>2080</v>
      </c>
      <c r="D2319" t="s">
        <v>2081</v>
      </c>
      <c r="E2319" s="7" t="s">
        <v>198</v>
      </c>
      <c r="F2319" s="7" t="s">
        <v>198</v>
      </c>
      <c r="G2319" s="7" t="s">
        <v>198</v>
      </c>
      <c r="H2319" s="7" t="s">
        <v>20</v>
      </c>
      <c r="I2319" s="7" t="s">
        <v>5102</v>
      </c>
      <c r="J2319" s="7" t="s">
        <v>21</v>
      </c>
      <c r="L2319" t="s">
        <v>3693</v>
      </c>
      <c r="M2319" s="7" t="s">
        <v>22</v>
      </c>
      <c r="N2319" s="7" t="s">
        <v>23</v>
      </c>
      <c r="O2319" s="7" t="s">
        <v>27</v>
      </c>
      <c r="P2319" s="7" t="s">
        <v>5101</v>
      </c>
      <c r="Q2319" s="26">
        <v>113</v>
      </c>
      <c r="R2319" s="26">
        <v>5</v>
      </c>
      <c r="S2319" s="40">
        <v>1</v>
      </c>
      <c r="T2319" s="7"/>
      <c r="U2319" s="7" t="s">
        <v>2951</v>
      </c>
      <c r="V2319" s="7" t="str">
        <f>+IF(U2319="","",IF(U2319="FINES",CONCATENATE("R",IF(OR(B2319="16",B2319="21",B2319="22",B2319="23"),"16212223",IF(OR(B2319="15",B2319="17",B2319="24",B2319="25"),"15172425",B2319))),IF(U2319="CEBAS","UNICO",IF(VALUE(B2319)&lt;=11,"AMBA","INTERIOR"))))</f>
        <v>R04</v>
      </c>
      <c r="W2319" s="38" t="str">
        <f>+IF(U2319="","-",CONCATENATE(U2319,"_",V2319))</f>
        <v>FINES_R04</v>
      </c>
      <c r="X2319" s="42">
        <v>0.47399999999999998</v>
      </c>
    </row>
    <row r="2320" spans="1:24">
      <c r="A2320" s="21" t="s">
        <v>5100</v>
      </c>
      <c r="B2320" t="s">
        <v>817</v>
      </c>
      <c r="C2320" t="s">
        <v>2080</v>
      </c>
      <c r="D2320" t="s">
        <v>2081</v>
      </c>
      <c r="E2320" s="7" t="s">
        <v>198</v>
      </c>
      <c r="F2320" s="7" t="s">
        <v>198</v>
      </c>
      <c r="G2320" s="7" t="s">
        <v>198</v>
      </c>
      <c r="H2320" s="7" t="s">
        <v>20</v>
      </c>
      <c r="I2320" s="7" t="s">
        <v>5102</v>
      </c>
      <c r="J2320" s="7" t="s">
        <v>21</v>
      </c>
      <c r="L2320" t="s">
        <v>3704</v>
      </c>
      <c r="M2320" s="7" t="s">
        <v>22</v>
      </c>
      <c r="N2320" s="7" t="s">
        <v>23</v>
      </c>
      <c r="O2320" s="7" t="s">
        <v>27</v>
      </c>
      <c r="P2320" s="7" t="s">
        <v>5101</v>
      </c>
      <c r="Q2320" s="26">
        <v>114</v>
      </c>
      <c r="R2320" s="26">
        <v>3</v>
      </c>
      <c r="S2320" s="40">
        <v>1</v>
      </c>
      <c r="T2320" s="7"/>
      <c r="U2320" s="7" t="s">
        <v>2951</v>
      </c>
      <c r="V2320" s="7" t="str">
        <f>+IF(U2320="","",IF(U2320="FINES",CONCATENATE("R",IF(OR(B2320="16",B2320="21",B2320="22",B2320="23"),"16212223",IF(OR(B2320="15",B2320="17",B2320="24",B2320="25"),"15172425",B2320))),IF(U2320="CEBAS","UNICO",IF(VALUE(B2320)&lt;=11,"AMBA","INTERIOR"))))</f>
        <v>R04</v>
      </c>
      <c r="W2320" s="38" t="str">
        <f>+IF(U2320="","-",CONCATENATE(U2320,"_",V2320))</f>
        <v>FINES_R04</v>
      </c>
      <c r="X2320" s="42">
        <v>0.48499999999999999</v>
      </c>
    </row>
    <row r="2321" spans="1:24">
      <c r="A2321" s="21" t="s">
        <v>5100</v>
      </c>
      <c r="B2321" t="s">
        <v>817</v>
      </c>
      <c r="C2321" t="s">
        <v>600</v>
      </c>
      <c r="D2321" t="s">
        <v>2661</v>
      </c>
      <c r="E2321" s="7" t="s">
        <v>198</v>
      </c>
      <c r="F2321" s="7" t="s">
        <v>198</v>
      </c>
      <c r="G2321" s="7" t="s">
        <v>198</v>
      </c>
      <c r="H2321" s="7" t="s">
        <v>20</v>
      </c>
      <c r="I2321" s="7" t="s">
        <v>5102</v>
      </c>
      <c r="J2321" s="7" t="s">
        <v>21</v>
      </c>
      <c r="L2321" t="s">
        <v>3558</v>
      </c>
      <c r="M2321" s="7" t="s">
        <v>22</v>
      </c>
      <c r="N2321" s="7" t="s">
        <v>23</v>
      </c>
      <c r="O2321" s="7" t="s">
        <v>27</v>
      </c>
      <c r="P2321" s="7" t="s">
        <v>5101</v>
      </c>
      <c r="Q2321" s="26">
        <v>5</v>
      </c>
      <c r="R2321" s="26">
        <v>1</v>
      </c>
      <c r="S2321" s="40">
        <v>1</v>
      </c>
      <c r="T2321" s="7"/>
      <c r="U2321" s="7" t="s">
        <v>2951</v>
      </c>
      <c r="V2321" s="7" t="str">
        <f>+IF(U2321="","",IF(U2321="FINES",CONCATENATE("R",IF(OR(B2321="16",B2321="21",B2321="22",B2321="23"),"16212223",IF(OR(B2321="15",B2321="17",B2321="24",B2321="25"),"15172425",B2321))),IF(U2321="CEBAS","UNICO",IF(VALUE(B2321)&lt;=11,"AMBA","INTERIOR"))))</f>
        <v>R04</v>
      </c>
      <c r="W2321" s="38" t="str">
        <f>+IF(U2321="","-",CONCATENATE(U2321,"_",V2321))</f>
        <v>FINES_R04</v>
      </c>
      <c r="X2321" s="42">
        <v>0.48699999999999999</v>
      </c>
    </row>
    <row r="2322" spans="1:24">
      <c r="A2322" s="21" t="s">
        <v>5100</v>
      </c>
      <c r="B2322" t="s">
        <v>817</v>
      </c>
      <c r="C2322" t="s">
        <v>600</v>
      </c>
      <c r="D2322" t="s">
        <v>2661</v>
      </c>
      <c r="E2322" s="7" t="s">
        <v>198</v>
      </c>
      <c r="F2322" s="7" t="s">
        <v>198</v>
      </c>
      <c r="G2322" s="7" t="s">
        <v>198</v>
      </c>
      <c r="H2322" s="7" t="s">
        <v>20</v>
      </c>
      <c r="I2322" s="7" t="s">
        <v>5102</v>
      </c>
      <c r="J2322" s="7" t="s">
        <v>21</v>
      </c>
      <c r="L2322" t="s">
        <v>3588</v>
      </c>
      <c r="M2322" s="7" t="s">
        <v>22</v>
      </c>
      <c r="N2322" s="7" t="s">
        <v>23</v>
      </c>
      <c r="O2322" s="7" t="s">
        <v>27</v>
      </c>
      <c r="P2322" s="7" t="s">
        <v>5101</v>
      </c>
      <c r="Q2322" s="26">
        <v>16</v>
      </c>
      <c r="R2322" s="26">
        <v>1</v>
      </c>
      <c r="S2322" s="40">
        <v>1</v>
      </c>
      <c r="T2322" s="7"/>
      <c r="U2322" s="7" t="s">
        <v>2951</v>
      </c>
      <c r="V2322" s="7" t="str">
        <f>+IF(U2322="","",IF(U2322="FINES",CONCATENATE("R",IF(OR(B2322="16",B2322="21",B2322="22",B2322="23"),"16212223",IF(OR(B2322="15",B2322="17",B2322="24",B2322="25"),"15172425",B2322))),IF(U2322="CEBAS","UNICO",IF(VALUE(B2322)&lt;=11,"AMBA","INTERIOR"))))</f>
        <v>R04</v>
      </c>
      <c r="W2322" s="38" t="str">
        <f>+IF(U2322="","-",CONCATENATE(U2322,"_",V2322))</f>
        <v>FINES_R04</v>
      </c>
      <c r="X2322" s="42">
        <v>0.49</v>
      </c>
    </row>
    <row r="2323" spans="1:24">
      <c r="A2323" s="21" t="s">
        <v>5100</v>
      </c>
      <c r="B2323" t="s">
        <v>817</v>
      </c>
      <c r="C2323" t="s">
        <v>2080</v>
      </c>
      <c r="D2323" t="s">
        <v>2081</v>
      </c>
      <c r="E2323" s="7" t="s">
        <v>198</v>
      </c>
      <c r="F2323" s="7" t="s">
        <v>198</v>
      </c>
      <c r="G2323" s="7" t="s">
        <v>198</v>
      </c>
      <c r="H2323" s="7" t="s">
        <v>20</v>
      </c>
      <c r="I2323" s="7" t="s">
        <v>5102</v>
      </c>
      <c r="J2323" s="7" t="s">
        <v>21</v>
      </c>
      <c r="L2323" t="s">
        <v>3712</v>
      </c>
      <c r="M2323" s="7" t="s">
        <v>22</v>
      </c>
      <c r="N2323" s="7" t="s">
        <v>23</v>
      </c>
      <c r="O2323" s="7" t="s">
        <v>27</v>
      </c>
      <c r="P2323" s="7" t="s">
        <v>5101</v>
      </c>
      <c r="Q2323" s="26">
        <v>48</v>
      </c>
      <c r="R2323" s="26">
        <v>2</v>
      </c>
      <c r="S2323" s="40">
        <v>1</v>
      </c>
      <c r="T2323" s="7"/>
      <c r="U2323" s="7" t="s">
        <v>2951</v>
      </c>
      <c r="V2323" s="7" t="str">
        <f>+IF(U2323="","",IF(U2323="FINES",CONCATENATE("R",IF(OR(B2323="16",B2323="21",B2323="22",B2323="23"),"16212223",IF(OR(B2323="15",B2323="17",B2323="24",B2323="25"),"15172425",B2323))),IF(U2323="CEBAS","UNICO",IF(VALUE(B2323)&lt;=11,"AMBA","INTERIOR"))))</f>
        <v>R04</v>
      </c>
      <c r="W2323" s="38" t="str">
        <f>+IF(U2323="","-",CONCATENATE(U2323,"_",V2323))</f>
        <v>FINES_R04</v>
      </c>
      <c r="X2323" s="42">
        <v>0.49099999999999999</v>
      </c>
    </row>
    <row r="2324" spans="1:24">
      <c r="A2324" s="21" t="s">
        <v>5100</v>
      </c>
      <c r="B2324" t="s">
        <v>817</v>
      </c>
      <c r="C2324" t="s">
        <v>2080</v>
      </c>
      <c r="D2324" t="s">
        <v>2081</v>
      </c>
      <c r="E2324" s="7" t="s">
        <v>198</v>
      </c>
      <c r="F2324" s="7" t="s">
        <v>198</v>
      </c>
      <c r="G2324" s="7" t="s">
        <v>198</v>
      </c>
      <c r="H2324" s="7" t="s">
        <v>20</v>
      </c>
      <c r="I2324" s="7" t="s">
        <v>5102</v>
      </c>
      <c r="J2324" s="7" t="s">
        <v>21</v>
      </c>
      <c r="L2324" t="s">
        <v>3689</v>
      </c>
      <c r="M2324" s="7" t="s">
        <v>22</v>
      </c>
      <c r="N2324" s="7" t="s">
        <v>23</v>
      </c>
      <c r="O2324" s="7" t="s">
        <v>27</v>
      </c>
      <c r="P2324" s="7" t="s">
        <v>5101</v>
      </c>
      <c r="Q2324" s="26">
        <v>119</v>
      </c>
      <c r="R2324" s="26">
        <v>3</v>
      </c>
      <c r="S2324" s="40">
        <v>1</v>
      </c>
      <c r="T2324" s="7"/>
      <c r="U2324" s="7" t="s">
        <v>2951</v>
      </c>
      <c r="V2324" s="7" t="str">
        <f>+IF(U2324="","",IF(U2324="FINES",CONCATENATE("R",IF(OR(B2324="16",B2324="21",B2324="22",B2324="23"),"16212223",IF(OR(B2324="15",B2324="17",B2324="24",B2324="25"),"15172425",B2324))),IF(U2324="CEBAS","UNICO",IF(VALUE(B2324)&lt;=11,"AMBA","INTERIOR"))))</f>
        <v>R04</v>
      </c>
      <c r="W2324" s="38" t="str">
        <f>+IF(U2324="","-",CONCATENATE(U2324,"_",V2324))</f>
        <v>FINES_R04</v>
      </c>
      <c r="X2324" s="42">
        <v>0.495</v>
      </c>
    </row>
    <row r="2325" spans="1:24">
      <c r="A2325" s="21" t="s">
        <v>5100</v>
      </c>
      <c r="B2325" t="s">
        <v>817</v>
      </c>
      <c r="C2325" t="s">
        <v>600</v>
      </c>
      <c r="D2325" t="s">
        <v>2661</v>
      </c>
      <c r="E2325" s="7" t="s">
        <v>198</v>
      </c>
      <c r="F2325" s="7" t="s">
        <v>198</v>
      </c>
      <c r="G2325" s="7" t="s">
        <v>198</v>
      </c>
      <c r="H2325" s="7" t="s">
        <v>20</v>
      </c>
      <c r="I2325" s="7" t="s">
        <v>5102</v>
      </c>
      <c r="J2325" s="7" t="s">
        <v>21</v>
      </c>
      <c r="L2325" t="s">
        <v>3561</v>
      </c>
      <c r="M2325" s="7" t="s">
        <v>22</v>
      </c>
      <c r="N2325" s="7" t="s">
        <v>23</v>
      </c>
      <c r="O2325" s="7" t="s">
        <v>27</v>
      </c>
      <c r="P2325" s="7" t="s">
        <v>5101</v>
      </c>
      <c r="Q2325" s="26">
        <v>163</v>
      </c>
      <c r="R2325" s="26">
        <v>6</v>
      </c>
      <c r="S2325" s="40">
        <v>1</v>
      </c>
      <c r="T2325" s="7"/>
      <c r="U2325" s="7" t="s">
        <v>2951</v>
      </c>
      <c r="V2325" s="7" t="str">
        <f>+IF(U2325="","",IF(U2325="FINES",CONCATENATE("R",IF(OR(B2325="16",B2325="21",B2325="22",B2325="23"),"16212223",IF(OR(B2325="15",B2325="17",B2325="24",B2325="25"),"15172425",B2325))),IF(U2325="CEBAS","UNICO",IF(VALUE(B2325)&lt;=11,"AMBA","INTERIOR"))))</f>
        <v>R04</v>
      </c>
      <c r="W2325" s="38" t="str">
        <f>+IF(U2325="","-",CONCATENATE(U2325,"_",V2325))</f>
        <v>FINES_R04</v>
      </c>
      <c r="X2325" s="42">
        <v>0.498</v>
      </c>
    </row>
    <row r="2326" spans="1:24">
      <c r="A2326" s="21" t="s">
        <v>5100</v>
      </c>
      <c r="B2326" t="s">
        <v>817</v>
      </c>
      <c r="C2326" t="s">
        <v>2080</v>
      </c>
      <c r="D2326" t="s">
        <v>2081</v>
      </c>
      <c r="E2326" s="7" t="s">
        <v>198</v>
      </c>
      <c r="F2326" s="7" t="s">
        <v>198</v>
      </c>
      <c r="G2326" s="7" t="s">
        <v>198</v>
      </c>
      <c r="H2326" s="7" t="s">
        <v>20</v>
      </c>
      <c r="I2326" s="7" t="s">
        <v>5102</v>
      </c>
      <c r="J2326" s="7" t="s">
        <v>21</v>
      </c>
      <c r="L2326" t="s">
        <v>3703</v>
      </c>
      <c r="M2326" s="7" t="s">
        <v>22</v>
      </c>
      <c r="N2326" s="7" t="s">
        <v>23</v>
      </c>
      <c r="O2326" s="7" t="s">
        <v>27</v>
      </c>
      <c r="P2326" s="7" t="s">
        <v>5101</v>
      </c>
      <c r="Q2326" s="26">
        <v>19</v>
      </c>
      <c r="R2326" s="26">
        <v>1</v>
      </c>
      <c r="S2326" s="40">
        <v>1</v>
      </c>
      <c r="T2326" s="7"/>
      <c r="U2326" s="7" t="s">
        <v>2951</v>
      </c>
      <c r="V2326" s="7" t="str">
        <f>+IF(U2326="","",IF(U2326="FINES",CONCATENATE("R",IF(OR(B2326="16",B2326="21",B2326="22",B2326="23"),"16212223",IF(OR(B2326="15",B2326="17",B2326="24",B2326="25"),"15172425",B2326))),IF(U2326="CEBAS","UNICO",IF(VALUE(B2326)&lt;=11,"AMBA","INTERIOR"))))</f>
        <v>R04</v>
      </c>
      <c r="W2326" s="38" t="str">
        <f>+IF(U2326="","-",CONCATENATE(U2326,"_",V2326))</f>
        <v>FINES_R04</v>
      </c>
      <c r="X2326" s="42">
        <v>0.51400000000000001</v>
      </c>
    </row>
    <row r="2327" spans="1:24">
      <c r="A2327" s="21" t="s">
        <v>5100</v>
      </c>
      <c r="B2327" t="s">
        <v>817</v>
      </c>
      <c r="C2327" t="s">
        <v>600</v>
      </c>
      <c r="D2327" t="s">
        <v>2661</v>
      </c>
      <c r="E2327" s="7" t="s">
        <v>198</v>
      </c>
      <c r="F2327" s="7" t="s">
        <v>198</v>
      </c>
      <c r="G2327" s="7" t="s">
        <v>198</v>
      </c>
      <c r="H2327" s="7" t="s">
        <v>20</v>
      </c>
      <c r="I2327" s="7" t="s">
        <v>5102</v>
      </c>
      <c r="J2327" s="7" t="s">
        <v>21</v>
      </c>
      <c r="L2327" t="s">
        <v>3556</v>
      </c>
      <c r="M2327" s="7" t="s">
        <v>22</v>
      </c>
      <c r="N2327" s="7" t="s">
        <v>23</v>
      </c>
      <c r="O2327" s="7" t="s">
        <v>27</v>
      </c>
      <c r="P2327" s="7" t="s">
        <v>5101</v>
      </c>
      <c r="Q2327" s="26">
        <v>0</v>
      </c>
      <c r="R2327" s="26">
        <v>1</v>
      </c>
      <c r="S2327" s="40">
        <v>1</v>
      </c>
      <c r="T2327" s="7"/>
      <c r="U2327" s="7" t="s">
        <v>2951</v>
      </c>
      <c r="V2327" s="7" t="str">
        <f>+IF(U2327="","",IF(U2327="FINES",CONCATENATE("R",IF(OR(B2327="16",B2327="21",B2327="22",B2327="23"),"16212223",IF(OR(B2327="15",B2327="17",B2327="24",B2327="25"),"15172425",B2327))),IF(U2327="CEBAS","UNICO",IF(VALUE(B2327)&lt;=11,"AMBA","INTERIOR"))))</f>
        <v>R04</v>
      </c>
      <c r="W2327" s="38" t="str">
        <f>+IF(U2327="","-",CONCATENATE(U2327,"_",V2327))</f>
        <v>FINES_R04</v>
      </c>
      <c r="X2327" s="42">
        <v>0.52300000000000002</v>
      </c>
    </row>
    <row r="2328" spans="1:24">
      <c r="A2328" s="21" t="s">
        <v>5100</v>
      </c>
      <c r="B2328" t="s">
        <v>817</v>
      </c>
      <c r="C2328" t="s">
        <v>815</v>
      </c>
      <c r="D2328" t="s">
        <v>816</v>
      </c>
      <c r="E2328" s="7" t="s">
        <v>198</v>
      </c>
      <c r="F2328" s="7" t="s">
        <v>198</v>
      </c>
      <c r="G2328" s="7" t="s">
        <v>198</v>
      </c>
      <c r="H2328" s="7" t="s">
        <v>20</v>
      </c>
      <c r="I2328" s="7" t="s">
        <v>5102</v>
      </c>
      <c r="J2328" s="7" t="s">
        <v>21</v>
      </c>
      <c r="L2328" t="s">
        <v>3634</v>
      </c>
      <c r="M2328" s="7" t="s">
        <v>22</v>
      </c>
      <c r="N2328" s="7" t="s">
        <v>23</v>
      </c>
      <c r="O2328" s="7" t="s">
        <v>27</v>
      </c>
      <c r="P2328" s="7" t="s">
        <v>5101</v>
      </c>
      <c r="Q2328" s="26">
        <v>0</v>
      </c>
      <c r="R2328" s="26">
        <v>1</v>
      </c>
      <c r="S2328" s="40">
        <v>1</v>
      </c>
      <c r="T2328" s="7"/>
      <c r="U2328" s="7" t="s">
        <v>2951</v>
      </c>
      <c r="V2328" s="7" t="str">
        <f>+IF(U2328="","",IF(U2328="FINES",CONCATENATE("R",IF(OR(B2328="16",B2328="21",B2328="22",B2328="23"),"16212223",IF(OR(B2328="15",B2328="17",B2328="24",B2328="25"),"15172425",B2328))),IF(U2328="CEBAS","UNICO",IF(VALUE(B2328)&lt;=11,"AMBA","INTERIOR"))))</f>
        <v>R04</v>
      </c>
      <c r="W2328" s="38" t="str">
        <f>+IF(U2328="","-",CONCATENATE(U2328,"_",V2328))</f>
        <v>FINES_R04</v>
      </c>
      <c r="X2328" s="42">
        <v>0.52700000000000002</v>
      </c>
    </row>
    <row r="2329" spans="1:24">
      <c r="A2329" s="21" t="s">
        <v>5100</v>
      </c>
      <c r="B2329" t="s">
        <v>817</v>
      </c>
      <c r="C2329" t="s">
        <v>600</v>
      </c>
      <c r="D2329" t="s">
        <v>2661</v>
      </c>
      <c r="E2329" s="7" t="s">
        <v>198</v>
      </c>
      <c r="F2329" s="7" t="s">
        <v>198</v>
      </c>
      <c r="G2329" s="7" t="s">
        <v>198</v>
      </c>
      <c r="H2329" s="7" t="s">
        <v>20</v>
      </c>
      <c r="I2329" s="7" t="s">
        <v>5102</v>
      </c>
      <c r="J2329" s="7" t="s">
        <v>21</v>
      </c>
      <c r="L2329" t="s">
        <v>3577</v>
      </c>
      <c r="M2329" s="7" t="s">
        <v>22</v>
      </c>
      <c r="N2329" s="7" t="s">
        <v>23</v>
      </c>
      <c r="O2329" s="7" t="s">
        <v>27</v>
      </c>
      <c r="P2329" s="7" t="s">
        <v>5101</v>
      </c>
      <c r="Q2329" s="26">
        <v>26</v>
      </c>
      <c r="R2329" s="26">
        <v>1</v>
      </c>
      <c r="S2329" s="40">
        <v>1</v>
      </c>
      <c r="T2329" s="7"/>
      <c r="U2329" s="7" t="s">
        <v>2951</v>
      </c>
      <c r="V2329" s="7" t="str">
        <f>+IF(U2329="","",IF(U2329="FINES",CONCATENATE("R",IF(OR(B2329="16",B2329="21",B2329="22",B2329="23"),"16212223",IF(OR(B2329="15",B2329="17",B2329="24",B2329="25"),"15172425",B2329))),IF(U2329="CEBAS","UNICO",IF(VALUE(B2329)&lt;=11,"AMBA","INTERIOR"))))</f>
        <v>R04</v>
      </c>
      <c r="W2329" s="38" t="str">
        <f>+IF(U2329="","-",CONCATENATE(U2329,"_",V2329))</f>
        <v>FINES_R04</v>
      </c>
      <c r="X2329" s="42">
        <v>0.53400000000000003</v>
      </c>
    </row>
    <row r="2330" spans="1:24">
      <c r="A2330" s="21" t="s">
        <v>5100</v>
      </c>
      <c r="B2330" t="s">
        <v>817</v>
      </c>
      <c r="C2330" t="s">
        <v>815</v>
      </c>
      <c r="D2330" t="s">
        <v>816</v>
      </c>
      <c r="E2330" s="7" t="s">
        <v>198</v>
      </c>
      <c r="F2330" s="7" t="s">
        <v>198</v>
      </c>
      <c r="G2330" s="7" t="s">
        <v>198</v>
      </c>
      <c r="H2330" s="7" t="s">
        <v>20</v>
      </c>
      <c r="I2330" s="7" t="s">
        <v>5102</v>
      </c>
      <c r="J2330" s="7" t="s">
        <v>21</v>
      </c>
      <c r="L2330" t="s">
        <v>3631</v>
      </c>
      <c r="M2330" s="7" t="s">
        <v>22</v>
      </c>
      <c r="N2330" s="7" t="s">
        <v>23</v>
      </c>
      <c r="O2330" s="7" t="s">
        <v>27</v>
      </c>
      <c r="P2330" s="7" t="s">
        <v>5101</v>
      </c>
      <c r="Q2330" s="26">
        <v>52</v>
      </c>
      <c r="R2330" s="26">
        <v>2</v>
      </c>
      <c r="S2330" s="40">
        <v>1</v>
      </c>
      <c r="T2330" s="7"/>
      <c r="U2330" s="7" t="s">
        <v>2951</v>
      </c>
      <c r="V2330" s="7" t="str">
        <f>+IF(U2330="","",IF(U2330="FINES",CONCATENATE("R",IF(OR(B2330="16",B2330="21",B2330="22",B2330="23"),"16212223",IF(OR(B2330="15",B2330="17",B2330="24",B2330="25"),"15172425",B2330))),IF(U2330="CEBAS","UNICO",IF(VALUE(B2330)&lt;=11,"AMBA","INTERIOR"))))</f>
        <v>R04</v>
      </c>
      <c r="W2330" s="38" t="str">
        <f>+IF(U2330="","-",CONCATENATE(U2330,"_",V2330))</f>
        <v>FINES_R04</v>
      </c>
      <c r="X2330" s="42">
        <v>0.54400000000000004</v>
      </c>
    </row>
    <row r="2331" spans="1:24">
      <c r="A2331" s="21" t="s">
        <v>5100</v>
      </c>
      <c r="B2331" t="s">
        <v>817</v>
      </c>
      <c r="C2331" t="s">
        <v>2080</v>
      </c>
      <c r="D2331" t="s">
        <v>2081</v>
      </c>
      <c r="E2331" s="7" t="s">
        <v>198</v>
      </c>
      <c r="F2331" s="7" t="s">
        <v>198</v>
      </c>
      <c r="G2331" s="7" t="s">
        <v>198</v>
      </c>
      <c r="H2331" s="7" t="s">
        <v>20</v>
      </c>
      <c r="I2331" s="7" t="s">
        <v>5102</v>
      </c>
      <c r="J2331" s="7" t="s">
        <v>21</v>
      </c>
      <c r="L2331" t="s">
        <v>3684</v>
      </c>
      <c r="M2331" s="7" t="s">
        <v>22</v>
      </c>
      <c r="N2331" s="7" t="s">
        <v>23</v>
      </c>
      <c r="O2331" s="7" t="s">
        <v>27</v>
      </c>
      <c r="P2331" s="7" t="s">
        <v>5101</v>
      </c>
      <c r="Q2331" s="26">
        <v>17</v>
      </c>
      <c r="R2331" s="26">
        <v>1</v>
      </c>
      <c r="S2331" s="40">
        <v>1</v>
      </c>
      <c r="T2331" s="7"/>
      <c r="U2331" s="7" t="s">
        <v>2951</v>
      </c>
      <c r="V2331" s="7" t="str">
        <f>+IF(U2331="","",IF(U2331="FINES",CONCATENATE("R",IF(OR(B2331="16",B2331="21",B2331="22",B2331="23"),"16212223",IF(OR(B2331="15",B2331="17",B2331="24",B2331="25"),"15172425",B2331))),IF(U2331="CEBAS","UNICO",IF(VALUE(B2331)&lt;=11,"AMBA","INTERIOR"))))</f>
        <v>R04</v>
      </c>
      <c r="W2331" s="38" t="str">
        <f>+IF(U2331="","-",CONCATENATE(U2331,"_",V2331))</f>
        <v>FINES_R04</v>
      </c>
      <c r="X2331" s="42">
        <v>0.54600000000000004</v>
      </c>
    </row>
    <row r="2332" spans="1:24">
      <c r="A2332" s="21" t="s">
        <v>5100</v>
      </c>
      <c r="B2332" t="s">
        <v>817</v>
      </c>
      <c r="C2332" t="s">
        <v>600</v>
      </c>
      <c r="D2332" t="s">
        <v>2661</v>
      </c>
      <c r="E2332" s="7" t="s">
        <v>198</v>
      </c>
      <c r="F2332" s="7" t="s">
        <v>198</v>
      </c>
      <c r="G2332" s="7" t="s">
        <v>198</v>
      </c>
      <c r="H2332" s="7" t="s">
        <v>20</v>
      </c>
      <c r="I2332" s="7" t="s">
        <v>5102</v>
      </c>
      <c r="J2332" s="7" t="s">
        <v>21</v>
      </c>
      <c r="L2332" t="s">
        <v>3587</v>
      </c>
      <c r="M2332" s="7" t="s">
        <v>22</v>
      </c>
      <c r="N2332" s="7" t="s">
        <v>23</v>
      </c>
      <c r="O2332" s="7" t="s">
        <v>27</v>
      </c>
      <c r="P2332" s="7" t="s">
        <v>5101</v>
      </c>
      <c r="Q2332" s="26">
        <v>20</v>
      </c>
      <c r="R2332" s="26">
        <v>1</v>
      </c>
      <c r="S2332" s="40">
        <v>1</v>
      </c>
      <c r="T2332" s="7"/>
      <c r="U2332" s="7" t="s">
        <v>2951</v>
      </c>
      <c r="V2332" s="7" t="str">
        <f>+IF(U2332="","",IF(U2332="FINES",CONCATENATE("R",IF(OR(B2332="16",B2332="21",B2332="22",B2332="23"),"16212223",IF(OR(B2332="15",B2332="17",B2332="24",B2332="25"),"15172425",B2332))),IF(U2332="CEBAS","UNICO",IF(VALUE(B2332)&lt;=11,"AMBA","INTERIOR"))))</f>
        <v>R04</v>
      </c>
      <c r="W2332" s="38" t="str">
        <f>+IF(U2332="","-",CONCATENATE(U2332,"_",V2332))</f>
        <v>FINES_R04</v>
      </c>
      <c r="X2332" s="42">
        <v>0.55500000000000005</v>
      </c>
    </row>
    <row r="2333" spans="1:24">
      <c r="A2333" s="21" t="s">
        <v>5100</v>
      </c>
      <c r="B2333" t="s">
        <v>817</v>
      </c>
      <c r="C2333" t="s">
        <v>2080</v>
      </c>
      <c r="D2333" t="s">
        <v>2081</v>
      </c>
      <c r="E2333" s="7" t="s">
        <v>198</v>
      </c>
      <c r="F2333" s="7" t="s">
        <v>198</v>
      </c>
      <c r="G2333" s="7" t="s">
        <v>198</v>
      </c>
      <c r="H2333" s="7" t="s">
        <v>20</v>
      </c>
      <c r="I2333" s="7" t="s">
        <v>5102</v>
      </c>
      <c r="J2333" s="7" t="s">
        <v>21</v>
      </c>
      <c r="L2333" t="s">
        <v>3692</v>
      </c>
      <c r="M2333" s="7" t="s">
        <v>22</v>
      </c>
      <c r="N2333" s="7" t="s">
        <v>23</v>
      </c>
      <c r="O2333" s="7" t="s">
        <v>27</v>
      </c>
      <c r="P2333" s="7" t="s">
        <v>5101</v>
      </c>
      <c r="Q2333" s="26">
        <v>191</v>
      </c>
      <c r="R2333" s="26">
        <v>6</v>
      </c>
      <c r="S2333" s="40">
        <v>1</v>
      </c>
      <c r="T2333" s="7"/>
      <c r="U2333" s="7" t="s">
        <v>2951</v>
      </c>
      <c r="V2333" s="7" t="str">
        <f>+IF(U2333="","",IF(U2333="FINES",CONCATENATE("R",IF(OR(B2333="16",B2333="21",B2333="22",B2333="23"),"16212223",IF(OR(B2333="15",B2333="17",B2333="24",B2333="25"),"15172425",B2333))),IF(U2333="CEBAS","UNICO",IF(VALUE(B2333)&lt;=11,"AMBA","INTERIOR"))))</f>
        <v>R04</v>
      </c>
      <c r="W2333" s="38" t="str">
        <f>+IF(U2333="","-",CONCATENATE(U2333,"_",V2333))</f>
        <v>FINES_R04</v>
      </c>
      <c r="X2333" s="42">
        <v>0.55700000000000005</v>
      </c>
    </row>
    <row r="2334" spans="1:24">
      <c r="A2334" s="21" t="s">
        <v>5100</v>
      </c>
      <c r="B2334" t="s">
        <v>817</v>
      </c>
      <c r="C2334" t="s">
        <v>600</v>
      </c>
      <c r="D2334" t="s">
        <v>2661</v>
      </c>
      <c r="E2334" s="7" t="s">
        <v>198</v>
      </c>
      <c r="F2334" s="7" t="s">
        <v>198</v>
      </c>
      <c r="G2334" s="7" t="s">
        <v>198</v>
      </c>
      <c r="H2334" s="7" t="s">
        <v>20</v>
      </c>
      <c r="I2334" s="7" t="s">
        <v>5102</v>
      </c>
      <c r="J2334" s="7" t="s">
        <v>21</v>
      </c>
      <c r="L2334" t="s">
        <v>3565</v>
      </c>
      <c r="M2334" s="7" t="s">
        <v>22</v>
      </c>
      <c r="N2334" s="7" t="s">
        <v>23</v>
      </c>
      <c r="O2334" s="7" t="s">
        <v>27</v>
      </c>
      <c r="P2334" s="7" t="s">
        <v>5101</v>
      </c>
      <c r="Q2334" s="26">
        <v>24</v>
      </c>
      <c r="R2334" s="26">
        <v>1</v>
      </c>
      <c r="S2334" s="40">
        <v>1</v>
      </c>
      <c r="T2334" s="7"/>
      <c r="U2334" s="7" t="s">
        <v>2951</v>
      </c>
      <c r="V2334" s="7" t="str">
        <f>+IF(U2334="","",IF(U2334="FINES",CONCATENATE("R",IF(OR(B2334="16",B2334="21",B2334="22",B2334="23"),"16212223",IF(OR(B2334="15",B2334="17",B2334="24",B2334="25"),"15172425",B2334))),IF(U2334="CEBAS","UNICO",IF(VALUE(B2334)&lt;=11,"AMBA","INTERIOR"))))</f>
        <v>R04</v>
      </c>
      <c r="W2334" s="38" t="str">
        <f>+IF(U2334="","-",CONCATENATE(U2334,"_",V2334))</f>
        <v>FINES_R04</v>
      </c>
      <c r="X2334" s="42">
        <v>0.55800000000000005</v>
      </c>
    </row>
    <row r="2335" spans="1:24">
      <c r="A2335" s="21" t="s">
        <v>5100</v>
      </c>
      <c r="B2335" t="s">
        <v>817</v>
      </c>
      <c r="C2335" t="s">
        <v>2080</v>
      </c>
      <c r="D2335" t="s">
        <v>2081</v>
      </c>
      <c r="E2335" s="7" t="s">
        <v>198</v>
      </c>
      <c r="F2335" s="7" t="s">
        <v>198</v>
      </c>
      <c r="G2335" s="7" t="s">
        <v>198</v>
      </c>
      <c r="H2335" s="7" t="s">
        <v>20</v>
      </c>
      <c r="I2335" s="7" t="s">
        <v>5102</v>
      </c>
      <c r="J2335" s="7" t="s">
        <v>21</v>
      </c>
      <c r="L2335" t="s">
        <v>3716</v>
      </c>
      <c r="M2335" s="7" t="s">
        <v>22</v>
      </c>
      <c r="N2335" s="7" t="s">
        <v>23</v>
      </c>
      <c r="O2335" s="7" t="s">
        <v>27</v>
      </c>
      <c r="P2335" s="7" t="s">
        <v>5101</v>
      </c>
      <c r="Q2335" s="26">
        <v>18</v>
      </c>
      <c r="R2335" s="26">
        <v>1</v>
      </c>
      <c r="S2335" s="40">
        <v>1</v>
      </c>
      <c r="T2335" s="7"/>
      <c r="U2335" s="7" t="s">
        <v>2951</v>
      </c>
      <c r="V2335" s="7" t="str">
        <f>+IF(U2335="","",IF(U2335="FINES",CONCATENATE("R",IF(OR(B2335="16",B2335="21",B2335="22",B2335="23"),"16212223",IF(OR(B2335="15",B2335="17",B2335="24",B2335="25"),"15172425",B2335))),IF(U2335="CEBAS","UNICO",IF(VALUE(B2335)&lt;=11,"AMBA","INTERIOR"))))</f>
        <v>R04</v>
      </c>
      <c r="W2335" s="38" t="str">
        <f>+IF(U2335="","-",CONCATENATE(U2335,"_",V2335))</f>
        <v>FINES_R04</v>
      </c>
      <c r="X2335" s="42">
        <v>0.56200000000000006</v>
      </c>
    </row>
    <row r="2336" spans="1:24">
      <c r="A2336" s="21" t="s">
        <v>5100</v>
      </c>
      <c r="B2336" t="s">
        <v>817</v>
      </c>
      <c r="C2336" t="s">
        <v>600</v>
      </c>
      <c r="D2336" t="s">
        <v>2661</v>
      </c>
      <c r="E2336" s="7" t="s">
        <v>198</v>
      </c>
      <c r="F2336" s="7" t="s">
        <v>198</v>
      </c>
      <c r="G2336" s="7" t="s">
        <v>198</v>
      </c>
      <c r="H2336" s="7" t="s">
        <v>20</v>
      </c>
      <c r="I2336" s="7" t="s">
        <v>5102</v>
      </c>
      <c r="J2336" s="7" t="s">
        <v>21</v>
      </c>
      <c r="L2336" t="s">
        <v>3569</v>
      </c>
      <c r="M2336" s="7" t="s">
        <v>22</v>
      </c>
      <c r="N2336" s="7" t="s">
        <v>23</v>
      </c>
      <c r="O2336" s="7" t="s">
        <v>27</v>
      </c>
      <c r="P2336" s="7" t="s">
        <v>5101</v>
      </c>
      <c r="Q2336" s="26">
        <v>66</v>
      </c>
      <c r="R2336" s="26">
        <v>2</v>
      </c>
      <c r="S2336" s="40">
        <v>1</v>
      </c>
      <c r="T2336" s="7"/>
      <c r="U2336" s="7" t="s">
        <v>2951</v>
      </c>
      <c r="V2336" s="7" t="str">
        <f>+IF(U2336="","",IF(U2336="FINES",CONCATENATE("R",IF(OR(B2336="16",B2336="21",B2336="22",B2336="23"),"16212223",IF(OR(B2336="15",B2336="17",B2336="24",B2336="25"),"15172425",B2336))),IF(U2336="CEBAS","UNICO",IF(VALUE(B2336)&lt;=11,"AMBA","INTERIOR"))))</f>
        <v>R04</v>
      </c>
      <c r="W2336" s="38" t="str">
        <f>+IF(U2336="","-",CONCATENATE(U2336,"_",V2336))</f>
        <v>FINES_R04</v>
      </c>
      <c r="X2336" s="42">
        <v>0.56599999999999995</v>
      </c>
    </row>
    <row r="2337" spans="1:24">
      <c r="A2337" s="21" t="s">
        <v>5100</v>
      </c>
      <c r="B2337" t="s">
        <v>817</v>
      </c>
      <c r="C2337" t="s">
        <v>600</v>
      </c>
      <c r="D2337" t="s">
        <v>2661</v>
      </c>
      <c r="E2337" s="7" t="s">
        <v>198</v>
      </c>
      <c r="F2337" s="7" t="s">
        <v>198</v>
      </c>
      <c r="G2337" s="7" t="s">
        <v>198</v>
      </c>
      <c r="H2337" s="7" t="s">
        <v>20</v>
      </c>
      <c r="I2337" s="7" t="s">
        <v>5102</v>
      </c>
      <c r="J2337" s="7" t="s">
        <v>21</v>
      </c>
      <c r="L2337" t="s">
        <v>3598</v>
      </c>
      <c r="M2337" s="7" t="s">
        <v>22</v>
      </c>
      <c r="N2337" s="7" t="s">
        <v>23</v>
      </c>
      <c r="O2337" s="7" t="s">
        <v>27</v>
      </c>
      <c r="P2337" s="7" t="s">
        <v>5101</v>
      </c>
      <c r="Q2337" s="26">
        <v>20</v>
      </c>
      <c r="R2337" s="26">
        <v>1</v>
      </c>
      <c r="S2337" s="40">
        <v>1</v>
      </c>
      <c r="T2337" s="7"/>
      <c r="U2337" s="7" t="s">
        <v>2951</v>
      </c>
      <c r="V2337" s="7" t="str">
        <f>+IF(U2337="","",IF(U2337="FINES",CONCATENATE("R",IF(OR(B2337="16",B2337="21",B2337="22",B2337="23"),"16212223",IF(OR(B2337="15",B2337="17",B2337="24",B2337="25"),"15172425",B2337))),IF(U2337="CEBAS","UNICO",IF(VALUE(B2337)&lt;=11,"AMBA","INTERIOR"))))</f>
        <v>R04</v>
      </c>
      <c r="W2337" s="38" t="str">
        <f>+IF(U2337="","-",CONCATENATE(U2337,"_",V2337))</f>
        <v>FINES_R04</v>
      </c>
      <c r="X2337" s="42">
        <v>0.56599999999999995</v>
      </c>
    </row>
    <row r="2338" spans="1:24">
      <c r="A2338" s="21" t="s">
        <v>5100</v>
      </c>
      <c r="B2338" t="s">
        <v>817</v>
      </c>
      <c r="C2338" t="s">
        <v>600</v>
      </c>
      <c r="D2338" t="s">
        <v>2661</v>
      </c>
      <c r="E2338" s="7" t="s">
        <v>198</v>
      </c>
      <c r="F2338" s="7" t="s">
        <v>198</v>
      </c>
      <c r="G2338" s="7" t="s">
        <v>198</v>
      </c>
      <c r="H2338" s="7" t="s">
        <v>20</v>
      </c>
      <c r="I2338" s="7" t="s">
        <v>5102</v>
      </c>
      <c r="J2338" s="7" t="s">
        <v>21</v>
      </c>
      <c r="L2338" t="s">
        <v>3596</v>
      </c>
      <c r="M2338" s="7" t="s">
        <v>22</v>
      </c>
      <c r="N2338" s="7" t="s">
        <v>23</v>
      </c>
      <c r="O2338" s="7" t="s">
        <v>27</v>
      </c>
      <c r="P2338" s="7" t="s">
        <v>5101</v>
      </c>
      <c r="Q2338" s="26">
        <v>23</v>
      </c>
      <c r="R2338" s="26">
        <v>1</v>
      </c>
      <c r="S2338" s="40">
        <v>1</v>
      </c>
      <c r="T2338" s="7"/>
      <c r="U2338" s="7" t="s">
        <v>2951</v>
      </c>
      <c r="V2338" s="7" t="str">
        <f>+IF(U2338="","",IF(U2338="FINES",CONCATENATE("R",IF(OR(B2338="16",B2338="21",B2338="22",B2338="23"),"16212223",IF(OR(B2338="15",B2338="17",B2338="24",B2338="25"),"15172425",B2338))),IF(U2338="CEBAS","UNICO",IF(VALUE(B2338)&lt;=11,"AMBA","INTERIOR"))))</f>
        <v>R04</v>
      </c>
      <c r="W2338" s="38" t="str">
        <f>+IF(U2338="","-",CONCATENATE(U2338,"_",V2338))</f>
        <v>FINES_R04</v>
      </c>
      <c r="X2338" s="42">
        <v>0.57099999999999995</v>
      </c>
    </row>
    <row r="2339" spans="1:24">
      <c r="A2339" s="21" t="s">
        <v>5100</v>
      </c>
      <c r="B2339" t="s">
        <v>817</v>
      </c>
      <c r="C2339" t="s">
        <v>2080</v>
      </c>
      <c r="D2339" t="s">
        <v>2081</v>
      </c>
      <c r="E2339" s="7" t="s">
        <v>198</v>
      </c>
      <c r="F2339" s="7" t="s">
        <v>198</v>
      </c>
      <c r="G2339" s="7" t="s">
        <v>198</v>
      </c>
      <c r="H2339" s="7" t="s">
        <v>20</v>
      </c>
      <c r="I2339" s="7" t="s">
        <v>5102</v>
      </c>
      <c r="J2339" s="7" t="s">
        <v>21</v>
      </c>
      <c r="L2339" t="s">
        <v>3671</v>
      </c>
      <c r="M2339" s="7" t="s">
        <v>22</v>
      </c>
      <c r="N2339" s="7" t="s">
        <v>23</v>
      </c>
      <c r="O2339" s="7" t="s">
        <v>27</v>
      </c>
      <c r="P2339" s="7" t="s">
        <v>5101</v>
      </c>
      <c r="Q2339" s="26">
        <v>20</v>
      </c>
      <c r="R2339" s="26">
        <v>1</v>
      </c>
      <c r="S2339" s="40">
        <v>1</v>
      </c>
      <c r="T2339" s="7"/>
      <c r="U2339" s="7" t="s">
        <v>2951</v>
      </c>
      <c r="V2339" s="7" t="str">
        <f>+IF(U2339="","",IF(U2339="FINES",CONCATENATE("R",IF(OR(B2339="16",B2339="21",B2339="22",B2339="23"),"16212223",IF(OR(B2339="15",B2339="17",B2339="24",B2339="25"),"15172425",B2339))),IF(U2339="CEBAS","UNICO",IF(VALUE(B2339)&lt;=11,"AMBA","INTERIOR"))))</f>
        <v>R04</v>
      </c>
      <c r="W2339" s="38" t="str">
        <f>+IF(U2339="","-",CONCATENATE(U2339,"_",V2339))</f>
        <v>FINES_R04</v>
      </c>
      <c r="X2339" s="42">
        <v>0.57099999999999995</v>
      </c>
    </row>
    <row r="2340" spans="1:24">
      <c r="A2340" s="21" t="s">
        <v>5100</v>
      </c>
      <c r="B2340" t="s">
        <v>817</v>
      </c>
      <c r="C2340" t="s">
        <v>815</v>
      </c>
      <c r="D2340" t="s">
        <v>816</v>
      </c>
      <c r="E2340" s="7" t="s">
        <v>198</v>
      </c>
      <c r="F2340" s="7" t="s">
        <v>198</v>
      </c>
      <c r="G2340" s="7" t="s">
        <v>198</v>
      </c>
      <c r="H2340" s="7" t="s">
        <v>20</v>
      </c>
      <c r="I2340" s="7" t="s">
        <v>5102</v>
      </c>
      <c r="J2340" s="7" t="s">
        <v>21</v>
      </c>
      <c r="L2340" t="s">
        <v>3652</v>
      </c>
      <c r="M2340" s="7" t="s">
        <v>22</v>
      </c>
      <c r="N2340" s="7" t="s">
        <v>23</v>
      </c>
      <c r="O2340" s="7" t="s">
        <v>27</v>
      </c>
      <c r="P2340" s="7" t="s">
        <v>5101</v>
      </c>
      <c r="Q2340" s="26">
        <v>30</v>
      </c>
      <c r="R2340" s="26">
        <v>2</v>
      </c>
      <c r="S2340" s="40">
        <v>1</v>
      </c>
      <c r="T2340" s="7"/>
      <c r="U2340" s="7" t="s">
        <v>2951</v>
      </c>
      <c r="V2340" s="7" t="str">
        <f>+IF(U2340="","",IF(U2340="FINES",CONCATENATE("R",IF(OR(B2340="16",B2340="21",B2340="22",B2340="23"),"16212223",IF(OR(B2340="15",B2340="17",B2340="24",B2340="25"),"15172425",B2340))),IF(U2340="CEBAS","UNICO",IF(VALUE(B2340)&lt;=11,"AMBA","INTERIOR"))))</f>
        <v>R04</v>
      </c>
      <c r="W2340" s="38" t="str">
        <f>+IF(U2340="","-",CONCATENATE(U2340,"_",V2340))</f>
        <v>FINES_R04</v>
      </c>
      <c r="X2340" s="42">
        <v>0.58599999999999997</v>
      </c>
    </row>
    <row r="2341" spans="1:24">
      <c r="A2341" s="21" t="s">
        <v>5100</v>
      </c>
      <c r="B2341" t="s">
        <v>817</v>
      </c>
      <c r="C2341" t="s">
        <v>600</v>
      </c>
      <c r="D2341" t="s">
        <v>2661</v>
      </c>
      <c r="E2341" s="7" t="s">
        <v>198</v>
      </c>
      <c r="F2341" s="7" t="s">
        <v>198</v>
      </c>
      <c r="G2341" s="7" t="s">
        <v>198</v>
      </c>
      <c r="H2341" s="7" t="s">
        <v>20</v>
      </c>
      <c r="I2341" s="7" t="s">
        <v>5102</v>
      </c>
      <c r="J2341" s="7" t="s">
        <v>21</v>
      </c>
      <c r="L2341" t="s">
        <v>3582</v>
      </c>
      <c r="M2341" s="7" t="s">
        <v>22</v>
      </c>
      <c r="N2341" s="7" t="s">
        <v>23</v>
      </c>
      <c r="O2341" s="7" t="s">
        <v>27</v>
      </c>
      <c r="P2341" s="7" t="s">
        <v>5101</v>
      </c>
      <c r="Q2341" s="26">
        <v>23</v>
      </c>
      <c r="R2341" s="26">
        <v>1</v>
      </c>
      <c r="S2341" s="40">
        <v>1</v>
      </c>
      <c r="T2341" s="7"/>
      <c r="U2341" s="7" t="s">
        <v>2951</v>
      </c>
      <c r="V2341" s="7" t="str">
        <f>+IF(U2341="","",IF(U2341="FINES",CONCATENATE("R",IF(OR(B2341="16",B2341="21",B2341="22",B2341="23"),"16212223",IF(OR(B2341="15",B2341="17",B2341="24",B2341="25"),"15172425",B2341))),IF(U2341="CEBAS","UNICO",IF(VALUE(B2341)&lt;=11,"AMBA","INTERIOR"))))</f>
        <v>R04</v>
      </c>
      <c r="W2341" s="38" t="str">
        <f>+IF(U2341="","-",CONCATENATE(U2341,"_",V2341))</f>
        <v>FINES_R04</v>
      </c>
      <c r="X2341" s="42">
        <v>0.59799999999999998</v>
      </c>
    </row>
    <row r="2342" spans="1:24">
      <c r="A2342" s="21" t="s">
        <v>5100</v>
      </c>
      <c r="B2342" t="s">
        <v>817</v>
      </c>
      <c r="C2342" t="s">
        <v>2080</v>
      </c>
      <c r="D2342" t="s">
        <v>2081</v>
      </c>
      <c r="E2342" s="7" t="s">
        <v>198</v>
      </c>
      <c r="F2342" s="7" t="s">
        <v>198</v>
      </c>
      <c r="G2342" s="7" t="s">
        <v>198</v>
      </c>
      <c r="H2342" s="7" t="s">
        <v>20</v>
      </c>
      <c r="I2342" s="7" t="s">
        <v>5102</v>
      </c>
      <c r="J2342" s="7" t="s">
        <v>21</v>
      </c>
      <c r="L2342" t="s">
        <v>3701</v>
      </c>
      <c r="M2342" s="7" t="s">
        <v>22</v>
      </c>
      <c r="N2342" s="7" t="s">
        <v>23</v>
      </c>
      <c r="O2342" s="7" t="s">
        <v>27</v>
      </c>
      <c r="P2342" s="7" t="s">
        <v>5101</v>
      </c>
      <c r="Q2342" s="26">
        <v>19</v>
      </c>
      <c r="R2342" s="26">
        <v>1</v>
      </c>
      <c r="S2342" s="40">
        <v>1</v>
      </c>
      <c r="T2342" s="7"/>
      <c r="U2342" s="7" t="s">
        <v>2951</v>
      </c>
      <c r="V2342" s="7" t="str">
        <f>+IF(U2342="","",IF(U2342="FINES",CONCATENATE("R",IF(OR(B2342="16",B2342="21",B2342="22",B2342="23"),"16212223",IF(OR(B2342="15",B2342="17",B2342="24",B2342="25"),"15172425",B2342))),IF(U2342="CEBAS","UNICO",IF(VALUE(B2342)&lt;=11,"AMBA","INTERIOR"))))</f>
        <v>R04</v>
      </c>
      <c r="W2342" s="38" t="str">
        <f>+IF(U2342="","-",CONCATENATE(U2342,"_",V2342))</f>
        <v>FINES_R04</v>
      </c>
      <c r="X2342" s="42">
        <v>0.59799999999999998</v>
      </c>
    </row>
    <row r="2343" spans="1:24">
      <c r="A2343" s="21" t="s">
        <v>5100</v>
      </c>
      <c r="B2343" t="s">
        <v>817</v>
      </c>
      <c r="C2343" t="s">
        <v>815</v>
      </c>
      <c r="D2343" t="s">
        <v>816</v>
      </c>
      <c r="E2343" s="7" t="s">
        <v>198</v>
      </c>
      <c r="F2343" s="7" t="s">
        <v>198</v>
      </c>
      <c r="G2343" s="7" t="s">
        <v>198</v>
      </c>
      <c r="H2343" s="7" t="s">
        <v>20</v>
      </c>
      <c r="I2343" s="7" t="s">
        <v>5102</v>
      </c>
      <c r="J2343" s="7" t="s">
        <v>21</v>
      </c>
      <c r="L2343" t="s">
        <v>3642</v>
      </c>
      <c r="M2343" s="7" t="s">
        <v>22</v>
      </c>
      <c r="N2343" s="7" t="s">
        <v>23</v>
      </c>
      <c r="O2343" s="7" t="s">
        <v>27</v>
      </c>
      <c r="P2343" s="7" t="s">
        <v>5101</v>
      </c>
      <c r="Q2343" s="26">
        <v>22</v>
      </c>
      <c r="R2343" s="26">
        <v>1</v>
      </c>
      <c r="S2343" s="40">
        <v>1</v>
      </c>
      <c r="T2343" s="7"/>
      <c r="U2343" s="7" t="s">
        <v>2951</v>
      </c>
      <c r="V2343" s="7" t="str">
        <f>+IF(U2343="","",IF(U2343="FINES",CONCATENATE("R",IF(OR(B2343="16",B2343="21",B2343="22",B2343="23"),"16212223",IF(OR(B2343="15",B2343="17",B2343="24",B2343="25"),"15172425",B2343))),IF(U2343="CEBAS","UNICO",IF(VALUE(B2343)&lt;=11,"AMBA","INTERIOR"))))</f>
        <v>R04</v>
      </c>
      <c r="W2343" s="38" t="str">
        <f>+IF(U2343="","-",CONCATENATE(U2343,"_",V2343))</f>
        <v>FINES_R04</v>
      </c>
      <c r="X2343" s="42">
        <v>0.60199999999999998</v>
      </c>
    </row>
    <row r="2344" spans="1:24">
      <c r="A2344" s="21" t="s">
        <v>5100</v>
      </c>
      <c r="B2344" t="s">
        <v>817</v>
      </c>
      <c r="C2344" t="s">
        <v>600</v>
      </c>
      <c r="D2344" t="s">
        <v>2661</v>
      </c>
      <c r="E2344" s="7" t="s">
        <v>198</v>
      </c>
      <c r="F2344" s="7" t="s">
        <v>198</v>
      </c>
      <c r="G2344" s="7" t="s">
        <v>198</v>
      </c>
      <c r="H2344" s="7" t="s">
        <v>20</v>
      </c>
      <c r="I2344" s="7" t="s">
        <v>5102</v>
      </c>
      <c r="J2344" s="7" t="s">
        <v>21</v>
      </c>
      <c r="L2344" t="s">
        <v>3553</v>
      </c>
      <c r="M2344" s="7" t="s">
        <v>22</v>
      </c>
      <c r="N2344" s="7" t="s">
        <v>23</v>
      </c>
      <c r="O2344" s="7" t="s">
        <v>27</v>
      </c>
      <c r="P2344" s="7" t="s">
        <v>5101</v>
      </c>
      <c r="Q2344" s="26">
        <v>14</v>
      </c>
      <c r="R2344" s="26">
        <v>1</v>
      </c>
      <c r="S2344" s="40">
        <v>1</v>
      </c>
      <c r="T2344" s="7"/>
      <c r="U2344" s="7" t="s">
        <v>2951</v>
      </c>
      <c r="V2344" s="7" t="str">
        <f>+IF(U2344="","",IF(U2344="FINES",CONCATENATE("R",IF(OR(B2344="16",B2344="21",B2344="22",B2344="23"),"16212223",IF(OR(B2344="15",B2344="17",B2344="24",B2344="25"),"15172425",B2344))),IF(U2344="CEBAS","UNICO",IF(VALUE(B2344)&lt;=11,"AMBA","INTERIOR"))))</f>
        <v>R04</v>
      </c>
      <c r="W2344" s="38" t="str">
        <f>+IF(U2344="","-",CONCATENATE(U2344,"_",V2344))</f>
        <v>FINES_R04</v>
      </c>
      <c r="X2344" s="42">
        <v>0.60499999999999998</v>
      </c>
    </row>
    <row r="2345" spans="1:24">
      <c r="A2345" s="21" t="s">
        <v>5100</v>
      </c>
      <c r="B2345" t="s">
        <v>817</v>
      </c>
      <c r="C2345" t="s">
        <v>600</v>
      </c>
      <c r="D2345" t="s">
        <v>2661</v>
      </c>
      <c r="E2345" s="7" t="s">
        <v>198</v>
      </c>
      <c r="F2345" s="7" t="s">
        <v>198</v>
      </c>
      <c r="G2345" s="7" t="s">
        <v>198</v>
      </c>
      <c r="H2345" s="7" t="s">
        <v>20</v>
      </c>
      <c r="I2345" s="7" t="s">
        <v>5102</v>
      </c>
      <c r="J2345" s="7" t="s">
        <v>21</v>
      </c>
      <c r="L2345" t="s">
        <v>3584</v>
      </c>
      <c r="M2345" s="7" t="s">
        <v>22</v>
      </c>
      <c r="N2345" s="7" t="s">
        <v>23</v>
      </c>
      <c r="O2345" s="7" t="s">
        <v>27</v>
      </c>
      <c r="P2345" s="7" t="s">
        <v>5101</v>
      </c>
      <c r="Q2345" s="26">
        <v>17</v>
      </c>
      <c r="R2345" s="26">
        <v>1</v>
      </c>
      <c r="S2345" s="40">
        <v>1</v>
      </c>
      <c r="T2345" s="7"/>
      <c r="U2345" s="7" t="s">
        <v>2951</v>
      </c>
      <c r="V2345" s="7" t="str">
        <f>+IF(U2345="","",IF(U2345="FINES",CONCATENATE("R",IF(OR(B2345="16",B2345="21",B2345="22",B2345="23"),"16212223",IF(OR(B2345="15",B2345="17",B2345="24",B2345="25"),"15172425",B2345))),IF(U2345="CEBAS","UNICO",IF(VALUE(B2345)&lt;=11,"AMBA","INTERIOR"))))</f>
        <v>R04</v>
      </c>
      <c r="W2345" s="38" t="str">
        <f>+IF(U2345="","-",CONCATENATE(U2345,"_",V2345))</f>
        <v>FINES_R04</v>
      </c>
      <c r="X2345" s="42">
        <v>0.61399999999999999</v>
      </c>
    </row>
    <row r="2346" spans="1:24">
      <c r="A2346" s="21" t="s">
        <v>5100</v>
      </c>
      <c r="B2346" t="s">
        <v>817</v>
      </c>
      <c r="C2346" t="s">
        <v>815</v>
      </c>
      <c r="D2346" t="s">
        <v>816</v>
      </c>
      <c r="E2346" s="7" t="s">
        <v>198</v>
      </c>
      <c r="F2346" s="7" t="s">
        <v>198</v>
      </c>
      <c r="G2346" s="7" t="s">
        <v>198</v>
      </c>
      <c r="H2346" s="7" t="s">
        <v>20</v>
      </c>
      <c r="I2346" s="7" t="s">
        <v>5102</v>
      </c>
      <c r="J2346" s="7" t="s">
        <v>21</v>
      </c>
      <c r="L2346" t="s">
        <v>3623</v>
      </c>
      <c r="M2346" s="7" t="s">
        <v>22</v>
      </c>
      <c r="N2346" s="7" t="s">
        <v>23</v>
      </c>
      <c r="O2346" s="7" t="s">
        <v>27</v>
      </c>
      <c r="P2346" s="7" t="s">
        <v>5101</v>
      </c>
      <c r="Q2346" s="26">
        <v>22</v>
      </c>
      <c r="R2346" s="26">
        <v>1</v>
      </c>
      <c r="S2346" s="40">
        <v>1</v>
      </c>
      <c r="T2346" s="7"/>
      <c r="U2346" s="7" t="s">
        <v>2951</v>
      </c>
      <c r="V2346" s="7" t="str">
        <f>+IF(U2346="","",IF(U2346="FINES",CONCATENATE("R",IF(OR(B2346="16",B2346="21",B2346="22",B2346="23"),"16212223",IF(OR(B2346="15",B2346="17",B2346="24",B2346="25"),"15172425",B2346))),IF(U2346="CEBAS","UNICO",IF(VALUE(B2346)&lt;=11,"AMBA","INTERIOR"))))</f>
        <v>R04</v>
      </c>
      <c r="W2346" s="38" t="str">
        <f>+IF(U2346="","-",CONCATENATE(U2346,"_",V2346))</f>
        <v>FINES_R04</v>
      </c>
      <c r="X2346" s="42">
        <v>0.64500000000000002</v>
      </c>
    </row>
    <row r="2347" spans="1:24">
      <c r="A2347" s="21" t="s">
        <v>5100</v>
      </c>
      <c r="B2347" t="s">
        <v>817</v>
      </c>
      <c r="C2347" t="s">
        <v>600</v>
      </c>
      <c r="D2347" t="s">
        <v>2661</v>
      </c>
      <c r="E2347" s="7" t="s">
        <v>198</v>
      </c>
      <c r="F2347" s="7" t="s">
        <v>198</v>
      </c>
      <c r="G2347" s="7" t="s">
        <v>198</v>
      </c>
      <c r="H2347" s="7" t="s">
        <v>20</v>
      </c>
      <c r="I2347" s="7" t="s">
        <v>5102</v>
      </c>
      <c r="J2347" s="7" t="s">
        <v>21</v>
      </c>
      <c r="L2347" t="s">
        <v>3562</v>
      </c>
      <c r="M2347" s="7" t="s">
        <v>22</v>
      </c>
      <c r="N2347" s="7" t="s">
        <v>23</v>
      </c>
      <c r="O2347" s="7" t="s">
        <v>27</v>
      </c>
      <c r="P2347" s="7" t="s">
        <v>5101</v>
      </c>
      <c r="Q2347" s="26">
        <v>140</v>
      </c>
      <c r="R2347" s="26">
        <v>6</v>
      </c>
      <c r="S2347" s="40">
        <v>1</v>
      </c>
      <c r="T2347" s="7"/>
      <c r="U2347" s="7" t="s">
        <v>2951</v>
      </c>
      <c r="V2347" s="7" t="str">
        <f>+IF(U2347="","",IF(U2347="FINES",CONCATENATE("R",IF(OR(B2347="16",B2347="21",B2347="22",B2347="23"),"16212223",IF(OR(B2347="15",B2347="17",B2347="24",B2347="25"),"15172425",B2347))),IF(U2347="CEBAS","UNICO",IF(VALUE(B2347)&lt;=11,"AMBA","INTERIOR"))))</f>
        <v>R04</v>
      </c>
      <c r="W2347" s="38" t="str">
        <f>+IF(U2347="","-",CONCATENATE(U2347,"_",V2347))</f>
        <v>FINES_R04</v>
      </c>
      <c r="X2347" s="42">
        <v>0.65900000000000003</v>
      </c>
    </row>
    <row r="2348" spans="1:24">
      <c r="A2348" s="21" t="s">
        <v>5100</v>
      </c>
      <c r="B2348" t="s">
        <v>817</v>
      </c>
      <c r="C2348" t="s">
        <v>600</v>
      </c>
      <c r="D2348" t="s">
        <v>2661</v>
      </c>
      <c r="E2348" s="7" t="s">
        <v>198</v>
      </c>
      <c r="F2348" s="7" t="s">
        <v>198</v>
      </c>
      <c r="G2348" s="7" t="s">
        <v>198</v>
      </c>
      <c r="H2348" s="7" t="s">
        <v>20</v>
      </c>
      <c r="I2348" s="7" t="s">
        <v>5102</v>
      </c>
      <c r="J2348" s="7" t="s">
        <v>21</v>
      </c>
      <c r="L2348" t="s">
        <v>3576</v>
      </c>
      <c r="M2348" s="7" t="s">
        <v>22</v>
      </c>
      <c r="N2348" s="7" t="s">
        <v>23</v>
      </c>
      <c r="O2348" s="7" t="s">
        <v>27</v>
      </c>
      <c r="P2348" s="7" t="s">
        <v>5101</v>
      </c>
      <c r="Q2348" s="26">
        <v>44</v>
      </c>
      <c r="R2348" s="26">
        <v>2</v>
      </c>
      <c r="S2348" s="40">
        <v>1</v>
      </c>
      <c r="T2348" s="7"/>
      <c r="U2348" s="7" t="s">
        <v>2951</v>
      </c>
      <c r="V2348" s="7" t="str">
        <f>+IF(U2348="","",IF(U2348="FINES",CONCATENATE("R",IF(OR(B2348="16",B2348="21",B2348="22",B2348="23"),"16212223",IF(OR(B2348="15",B2348="17",B2348="24",B2348="25"),"15172425",B2348))),IF(U2348="CEBAS","UNICO",IF(VALUE(B2348)&lt;=11,"AMBA","INTERIOR"))))</f>
        <v>R04</v>
      </c>
      <c r="W2348" s="38" t="str">
        <f>+IF(U2348="","-",CONCATENATE(U2348,"_",V2348))</f>
        <v>FINES_R04</v>
      </c>
      <c r="X2348" s="42">
        <v>0.66200000000000003</v>
      </c>
    </row>
    <row r="2349" spans="1:24">
      <c r="A2349" s="21" t="s">
        <v>5100</v>
      </c>
      <c r="B2349" t="s">
        <v>817</v>
      </c>
      <c r="C2349" t="s">
        <v>815</v>
      </c>
      <c r="D2349" t="s">
        <v>816</v>
      </c>
      <c r="E2349" s="7" t="s">
        <v>198</v>
      </c>
      <c r="F2349" s="7" t="s">
        <v>198</v>
      </c>
      <c r="G2349" s="7" t="s">
        <v>198</v>
      </c>
      <c r="H2349" s="7" t="s">
        <v>20</v>
      </c>
      <c r="I2349" s="7" t="s">
        <v>5102</v>
      </c>
      <c r="J2349" s="7" t="s">
        <v>21</v>
      </c>
      <c r="L2349" t="s">
        <v>3611</v>
      </c>
      <c r="M2349" s="7" t="s">
        <v>22</v>
      </c>
      <c r="N2349" s="7" t="s">
        <v>23</v>
      </c>
      <c r="O2349" s="7" t="s">
        <v>27</v>
      </c>
      <c r="P2349" s="7" t="s">
        <v>5101</v>
      </c>
      <c r="Q2349" s="26">
        <v>19</v>
      </c>
      <c r="R2349" s="26">
        <v>1</v>
      </c>
      <c r="S2349" s="40">
        <v>1</v>
      </c>
      <c r="T2349" s="7"/>
      <c r="U2349" s="7" t="s">
        <v>2951</v>
      </c>
      <c r="V2349" s="7" t="str">
        <f>+IF(U2349="","",IF(U2349="FINES",CONCATENATE("R",IF(OR(B2349="16",B2349="21",B2349="22",B2349="23"),"16212223",IF(OR(B2349="15",B2349="17",B2349="24",B2349="25"),"15172425",B2349))),IF(U2349="CEBAS","UNICO",IF(VALUE(B2349)&lt;=11,"AMBA","INTERIOR"))))</f>
        <v>R04</v>
      </c>
      <c r="W2349" s="38" t="str">
        <f>+IF(U2349="","-",CONCATENATE(U2349,"_",V2349))</f>
        <v>FINES_R04</v>
      </c>
      <c r="X2349" s="42">
        <v>0.66400000000000003</v>
      </c>
    </row>
    <row r="2350" spans="1:24">
      <c r="A2350" s="21" t="s">
        <v>5100</v>
      </c>
      <c r="B2350" t="s">
        <v>817</v>
      </c>
      <c r="C2350" t="s">
        <v>600</v>
      </c>
      <c r="D2350" t="s">
        <v>2661</v>
      </c>
      <c r="E2350" s="7" t="s">
        <v>198</v>
      </c>
      <c r="F2350" s="7" t="s">
        <v>198</v>
      </c>
      <c r="G2350" s="7" t="s">
        <v>198</v>
      </c>
      <c r="H2350" s="7" t="s">
        <v>20</v>
      </c>
      <c r="I2350" s="7" t="s">
        <v>5102</v>
      </c>
      <c r="J2350" s="7" t="s">
        <v>21</v>
      </c>
      <c r="L2350" t="s">
        <v>3585</v>
      </c>
      <c r="M2350" s="7" t="s">
        <v>22</v>
      </c>
      <c r="N2350" s="7" t="s">
        <v>23</v>
      </c>
      <c r="O2350" s="7" t="s">
        <v>27</v>
      </c>
      <c r="P2350" s="7" t="s">
        <v>5101</v>
      </c>
      <c r="Q2350" s="26">
        <v>40</v>
      </c>
      <c r="R2350" s="26">
        <v>1</v>
      </c>
      <c r="S2350" s="40">
        <v>1</v>
      </c>
      <c r="T2350" s="7"/>
      <c r="U2350" s="7" t="s">
        <v>2951</v>
      </c>
      <c r="V2350" s="7" t="str">
        <f>+IF(U2350="","",IF(U2350="FINES",CONCATENATE("R",IF(OR(B2350="16",B2350="21",B2350="22",B2350="23"),"16212223",IF(OR(B2350="15",B2350="17",B2350="24",B2350="25"),"15172425",B2350))),IF(U2350="CEBAS","UNICO",IF(VALUE(B2350)&lt;=11,"AMBA","INTERIOR"))))</f>
        <v>R04</v>
      </c>
      <c r="W2350" s="38" t="str">
        <f>+IF(U2350="","-",CONCATENATE(U2350,"_",V2350))</f>
        <v>FINES_R04</v>
      </c>
      <c r="X2350" s="42">
        <v>0.66600000000000004</v>
      </c>
    </row>
    <row r="2351" spans="1:24">
      <c r="A2351" s="21" t="s">
        <v>5100</v>
      </c>
      <c r="B2351" t="s">
        <v>817</v>
      </c>
      <c r="C2351" t="s">
        <v>815</v>
      </c>
      <c r="D2351" t="s">
        <v>816</v>
      </c>
      <c r="E2351" s="7" t="s">
        <v>198</v>
      </c>
      <c r="F2351" s="7" t="s">
        <v>198</v>
      </c>
      <c r="G2351" s="7" t="s">
        <v>198</v>
      </c>
      <c r="H2351" s="7" t="s">
        <v>20</v>
      </c>
      <c r="I2351" s="7" t="s">
        <v>5102</v>
      </c>
      <c r="J2351" s="7" t="s">
        <v>21</v>
      </c>
      <c r="L2351" t="s">
        <v>3638</v>
      </c>
      <c r="M2351" s="7" t="s">
        <v>22</v>
      </c>
      <c r="N2351" s="7" t="s">
        <v>23</v>
      </c>
      <c r="O2351" s="7" t="s">
        <v>27</v>
      </c>
      <c r="P2351" s="7" t="s">
        <v>5101</v>
      </c>
      <c r="Q2351" s="26">
        <v>10</v>
      </c>
      <c r="R2351" s="26">
        <v>1</v>
      </c>
      <c r="S2351" s="40">
        <v>1</v>
      </c>
      <c r="T2351" s="7"/>
      <c r="U2351" s="7" t="s">
        <v>2951</v>
      </c>
      <c r="V2351" s="7" t="str">
        <f>+IF(U2351="","",IF(U2351="FINES",CONCATENATE("R",IF(OR(B2351="16",B2351="21",B2351="22",B2351="23"),"16212223",IF(OR(B2351="15",B2351="17",B2351="24",B2351="25"),"15172425",B2351))),IF(U2351="CEBAS","UNICO",IF(VALUE(B2351)&lt;=11,"AMBA","INTERIOR"))))</f>
        <v>R04</v>
      </c>
      <c r="W2351" s="38" t="str">
        <f>+IF(U2351="","-",CONCATENATE(U2351,"_",V2351))</f>
        <v>FINES_R04</v>
      </c>
      <c r="X2351" s="42">
        <v>0.66800000000000004</v>
      </c>
    </row>
    <row r="2352" spans="1:24">
      <c r="A2352" s="21" t="s">
        <v>5100</v>
      </c>
      <c r="B2352" t="s">
        <v>817</v>
      </c>
      <c r="C2352" t="s">
        <v>815</v>
      </c>
      <c r="D2352" t="s">
        <v>816</v>
      </c>
      <c r="E2352" s="7" t="s">
        <v>198</v>
      </c>
      <c r="F2352" s="7" t="s">
        <v>198</v>
      </c>
      <c r="G2352" s="7" t="s">
        <v>198</v>
      </c>
      <c r="H2352" s="7" t="s">
        <v>20</v>
      </c>
      <c r="I2352" s="7" t="s">
        <v>5102</v>
      </c>
      <c r="J2352" s="7" t="s">
        <v>21</v>
      </c>
      <c r="L2352" t="s">
        <v>3607</v>
      </c>
      <c r="M2352" s="7" t="s">
        <v>22</v>
      </c>
      <c r="N2352" s="7" t="s">
        <v>23</v>
      </c>
      <c r="O2352" s="7" t="s">
        <v>27</v>
      </c>
      <c r="P2352" s="7" t="s">
        <v>5101</v>
      </c>
      <c r="Q2352" s="26">
        <v>20</v>
      </c>
      <c r="R2352" s="26">
        <v>1</v>
      </c>
      <c r="S2352" s="40">
        <v>1</v>
      </c>
      <c r="T2352" s="7"/>
      <c r="U2352" s="7" t="s">
        <v>2951</v>
      </c>
      <c r="V2352" s="7" t="str">
        <f>+IF(U2352="","",IF(U2352="FINES",CONCATENATE("R",IF(OR(B2352="16",B2352="21",B2352="22",B2352="23"),"16212223",IF(OR(B2352="15",B2352="17",B2352="24",B2352="25"),"15172425",B2352))),IF(U2352="CEBAS","UNICO",IF(VALUE(B2352)&lt;=11,"AMBA","INTERIOR"))))</f>
        <v>R04</v>
      </c>
      <c r="W2352" s="38" t="str">
        <f>+IF(U2352="","-",CONCATENATE(U2352,"_",V2352))</f>
        <v>FINES_R04</v>
      </c>
      <c r="X2352" s="42">
        <v>0.67</v>
      </c>
    </row>
    <row r="2353" spans="1:24">
      <c r="A2353" s="21" t="s">
        <v>5100</v>
      </c>
      <c r="B2353" t="s">
        <v>817</v>
      </c>
      <c r="C2353" t="s">
        <v>815</v>
      </c>
      <c r="D2353" t="s">
        <v>816</v>
      </c>
      <c r="E2353" s="7" t="s">
        <v>198</v>
      </c>
      <c r="F2353" s="7" t="s">
        <v>198</v>
      </c>
      <c r="G2353" s="7" t="s">
        <v>198</v>
      </c>
      <c r="H2353" s="7" t="s">
        <v>20</v>
      </c>
      <c r="I2353" s="7" t="s">
        <v>5102</v>
      </c>
      <c r="J2353" s="7" t="s">
        <v>21</v>
      </c>
      <c r="L2353" t="s">
        <v>3654</v>
      </c>
      <c r="M2353" s="7" t="s">
        <v>22</v>
      </c>
      <c r="N2353" s="7" t="s">
        <v>23</v>
      </c>
      <c r="O2353" s="7" t="s">
        <v>27</v>
      </c>
      <c r="P2353" s="7" t="s">
        <v>5101</v>
      </c>
      <c r="Q2353" s="26">
        <v>21</v>
      </c>
      <c r="R2353" s="26">
        <v>1</v>
      </c>
      <c r="S2353" s="40">
        <v>1</v>
      </c>
      <c r="T2353" s="7"/>
      <c r="U2353" s="7" t="s">
        <v>2951</v>
      </c>
      <c r="V2353" s="7" t="str">
        <f>+IF(U2353="","",IF(U2353="FINES",CONCATENATE("R",IF(OR(B2353="16",B2353="21",B2353="22",B2353="23"),"16212223",IF(OR(B2353="15",B2353="17",B2353="24",B2353="25"),"15172425",B2353))),IF(U2353="CEBAS","UNICO",IF(VALUE(B2353)&lt;=11,"AMBA","INTERIOR"))))</f>
        <v>R04</v>
      </c>
      <c r="W2353" s="38" t="str">
        <f>+IF(U2353="","-",CONCATENATE(U2353,"_",V2353))</f>
        <v>FINES_R04</v>
      </c>
      <c r="X2353" s="42">
        <v>0.68400000000000005</v>
      </c>
    </row>
    <row r="2354" spans="1:24">
      <c r="A2354" s="21" t="s">
        <v>5100</v>
      </c>
      <c r="B2354" t="s">
        <v>817</v>
      </c>
      <c r="C2354" t="s">
        <v>2080</v>
      </c>
      <c r="D2354" t="s">
        <v>2081</v>
      </c>
      <c r="E2354" s="7" t="s">
        <v>198</v>
      </c>
      <c r="F2354" s="7" t="s">
        <v>198</v>
      </c>
      <c r="G2354" s="7" t="s">
        <v>198</v>
      </c>
      <c r="H2354" s="7" t="s">
        <v>20</v>
      </c>
      <c r="I2354" s="7" t="s">
        <v>5102</v>
      </c>
      <c r="J2354" s="7" t="s">
        <v>21</v>
      </c>
      <c r="L2354" t="s">
        <v>3676</v>
      </c>
      <c r="M2354" s="7" t="s">
        <v>22</v>
      </c>
      <c r="N2354" s="7" t="s">
        <v>23</v>
      </c>
      <c r="O2354" s="7" t="s">
        <v>27</v>
      </c>
      <c r="P2354" s="7" t="s">
        <v>5101</v>
      </c>
      <c r="Q2354" s="26">
        <v>0</v>
      </c>
      <c r="R2354" s="26">
        <v>1</v>
      </c>
      <c r="S2354" s="40">
        <v>1</v>
      </c>
      <c r="T2354" s="7"/>
      <c r="U2354" s="7" t="s">
        <v>2951</v>
      </c>
      <c r="V2354" s="7" t="str">
        <f>+IF(U2354="","",IF(U2354="FINES",CONCATENATE("R",IF(OR(B2354="16",B2354="21",B2354="22",B2354="23"),"16212223",IF(OR(B2354="15",B2354="17",B2354="24",B2354="25"),"15172425",B2354))),IF(U2354="CEBAS","UNICO",IF(VALUE(B2354)&lt;=11,"AMBA","INTERIOR"))))</f>
        <v>R04</v>
      </c>
      <c r="W2354" s="38" t="str">
        <f>+IF(U2354="","-",CONCATENATE(U2354,"_",V2354))</f>
        <v>FINES_R04</v>
      </c>
      <c r="X2354" s="42">
        <v>0.68500000000000005</v>
      </c>
    </row>
    <row r="2355" spans="1:24">
      <c r="A2355" s="21" t="s">
        <v>5100</v>
      </c>
      <c r="B2355" t="s">
        <v>817</v>
      </c>
      <c r="C2355" t="s">
        <v>600</v>
      </c>
      <c r="D2355" t="s">
        <v>2661</v>
      </c>
      <c r="E2355" s="7" t="s">
        <v>198</v>
      </c>
      <c r="F2355" s="7" t="s">
        <v>198</v>
      </c>
      <c r="G2355" s="7" t="s">
        <v>198</v>
      </c>
      <c r="H2355" s="7" t="s">
        <v>20</v>
      </c>
      <c r="I2355" s="7" t="s">
        <v>5102</v>
      </c>
      <c r="J2355" s="7" t="s">
        <v>21</v>
      </c>
      <c r="L2355" t="s">
        <v>3592</v>
      </c>
      <c r="M2355" s="7" t="s">
        <v>22</v>
      </c>
      <c r="N2355" s="7" t="s">
        <v>23</v>
      </c>
      <c r="O2355" s="7" t="s">
        <v>27</v>
      </c>
      <c r="P2355" s="7" t="s">
        <v>5101</v>
      </c>
      <c r="Q2355" s="26">
        <v>28</v>
      </c>
      <c r="R2355" s="26">
        <v>1</v>
      </c>
      <c r="S2355" s="40">
        <v>1</v>
      </c>
      <c r="T2355" s="7"/>
      <c r="U2355" s="7" t="s">
        <v>2951</v>
      </c>
      <c r="V2355" s="7" t="str">
        <f>+IF(U2355="","",IF(U2355="FINES",CONCATENATE("R",IF(OR(B2355="16",B2355="21",B2355="22",B2355="23"),"16212223",IF(OR(B2355="15",B2355="17",B2355="24",B2355="25"),"15172425",B2355))),IF(U2355="CEBAS","UNICO",IF(VALUE(B2355)&lt;=11,"AMBA","INTERIOR"))))</f>
        <v>R04</v>
      </c>
      <c r="W2355" s="38" t="str">
        <f>+IF(U2355="","-",CONCATENATE(U2355,"_",V2355))</f>
        <v>FINES_R04</v>
      </c>
      <c r="X2355" s="42">
        <v>0.69299999999999995</v>
      </c>
    </row>
    <row r="2356" spans="1:24">
      <c r="A2356" s="21" t="s">
        <v>5100</v>
      </c>
      <c r="B2356" t="s">
        <v>817</v>
      </c>
      <c r="C2356" t="s">
        <v>2080</v>
      </c>
      <c r="D2356" t="s">
        <v>2081</v>
      </c>
      <c r="E2356" s="7" t="s">
        <v>198</v>
      </c>
      <c r="F2356" s="7" t="s">
        <v>198</v>
      </c>
      <c r="G2356" s="7" t="s">
        <v>198</v>
      </c>
      <c r="H2356" s="7" t="s">
        <v>20</v>
      </c>
      <c r="I2356" s="7" t="s">
        <v>5102</v>
      </c>
      <c r="J2356" s="7" t="s">
        <v>21</v>
      </c>
      <c r="L2356" t="s">
        <v>3720</v>
      </c>
      <c r="M2356" s="7" t="s">
        <v>22</v>
      </c>
      <c r="N2356" s="7" t="s">
        <v>23</v>
      </c>
      <c r="O2356" s="7" t="s">
        <v>27</v>
      </c>
      <c r="P2356" s="7" t="s">
        <v>5101</v>
      </c>
      <c r="Q2356" s="26">
        <v>59</v>
      </c>
      <c r="R2356" s="26">
        <v>3</v>
      </c>
      <c r="S2356" s="40">
        <v>1</v>
      </c>
      <c r="T2356" s="7"/>
      <c r="U2356" s="7" t="s">
        <v>2951</v>
      </c>
      <c r="V2356" s="7" t="str">
        <f>+IF(U2356="","",IF(U2356="FINES",CONCATENATE("R",IF(OR(B2356="16",B2356="21",B2356="22",B2356="23"),"16212223",IF(OR(B2356="15",B2356="17",B2356="24",B2356="25"),"15172425",B2356))),IF(U2356="CEBAS","UNICO",IF(VALUE(B2356)&lt;=11,"AMBA","INTERIOR"))))</f>
        <v>R04</v>
      </c>
      <c r="W2356" s="38" t="str">
        <f>+IF(U2356="","-",CONCATENATE(U2356,"_",V2356))</f>
        <v>FINES_R04</v>
      </c>
      <c r="X2356" s="42">
        <v>0.69699999999999995</v>
      </c>
    </row>
    <row r="2357" spans="1:24">
      <c r="A2357" s="21" t="s">
        <v>5100</v>
      </c>
      <c r="B2357" t="s">
        <v>817</v>
      </c>
      <c r="C2357" t="s">
        <v>2080</v>
      </c>
      <c r="D2357" t="s">
        <v>2081</v>
      </c>
      <c r="E2357" s="7" t="s">
        <v>198</v>
      </c>
      <c r="F2357" s="7" t="s">
        <v>198</v>
      </c>
      <c r="G2357" s="7" t="s">
        <v>198</v>
      </c>
      <c r="H2357" s="7" t="s">
        <v>20</v>
      </c>
      <c r="I2357" s="7" t="s">
        <v>5102</v>
      </c>
      <c r="J2357" s="7" t="s">
        <v>21</v>
      </c>
      <c r="L2357" t="s">
        <v>3690</v>
      </c>
      <c r="M2357" s="7" t="s">
        <v>22</v>
      </c>
      <c r="N2357" s="7" t="s">
        <v>23</v>
      </c>
      <c r="O2357" s="7" t="s">
        <v>27</v>
      </c>
      <c r="P2357" s="7" t="s">
        <v>5101</v>
      </c>
      <c r="Q2357" s="26">
        <v>141</v>
      </c>
      <c r="R2357" s="26">
        <v>6</v>
      </c>
      <c r="S2357" s="40">
        <v>1</v>
      </c>
      <c r="T2357" s="7"/>
      <c r="U2357" s="7" t="s">
        <v>2951</v>
      </c>
      <c r="V2357" s="7" t="str">
        <f>+IF(U2357="","",IF(U2357="FINES",CONCATENATE("R",IF(OR(B2357="16",B2357="21",B2357="22",B2357="23"),"16212223",IF(OR(B2357="15",B2357="17",B2357="24",B2357="25"),"15172425",B2357))),IF(U2357="CEBAS","UNICO",IF(VALUE(B2357)&lt;=11,"AMBA","INTERIOR"))))</f>
        <v>R04</v>
      </c>
      <c r="W2357" s="38" t="str">
        <f>+IF(U2357="","-",CONCATENATE(U2357,"_",V2357))</f>
        <v>FINES_R04</v>
      </c>
      <c r="X2357" s="42">
        <v>0.70199999999999996</v>
      </c>
    </row>
    <row r="2358" spans="1:24">
      <c r="A2358" s="21" t="s">
        <v>5100</v>
      </c>
      <c r="B2358" t="s">
        <v>817</v>
      </c>
      <c r="C2358" t="s">
        <v>600</v>
      </c>
      <c r="D2358" t="s">
        <v>2661</v>
      </c>
      <c r="E2358" s="7" t="s">
        <v>198</v>
      </c>
      <c r="F2358" s="7" t="s">
        <v>198</v>
      </c>
      <c r="G2358" s="7" t="s">
        <v>198</v>
      </c>
      <c r="H2358" s="7" t="s">
        <v>20</v>
      </c>
      <c r="I2358" s="7" t="s">
        <v>5102</v>
      </c>
      <c r="J2358" s="7" t="s">
        <v>21</v>
      </c>
      <c r="L2358" t="s">
        <v>3591</v>
      </c>
      <c r="M2358" s="7" t="s">
        <v>22</v>
      </c>
      <c r="N2358" s="7" t="s">
        <v>23</v>
      </c>
      <c r="O2358" s="7" t="s">
        <v>27</v>
      </c>
      <c r="P2358" s="7" t="s">
        <v>5101</v>
      </c>
      <c r="Q2358" s="26">
        <v>15</v>
      </c>
      <c r="R2358" s="26">
        <v>1</v>
      </c>
      <c r="S2358" s="40">
        <v>1</v>
      </c>
      <c r="T2358" s="7"/>
      <c r="U2358" s="7" t="s">
        <v>2951</v>
      </c>
      <c r="V2358" s="7" t="str">
        <f>+IF(U2358="","",IF(U2358="FINES",CONCATENATE("R",IF(OR(B2358="16",B2358="21",B2358="22",B2358="23"),"16212223",IF(OR(B2358="15",B2358="17",B2358="24",B2358="25"),"15172425",B2358))),IF(U2358="CEBAS","UNICO",IF(VALUE(B2358)&lt;=11,"AMBA","INTERIOR"))))</f>
        <v>R04</v>
      </c>
      <c r="W2358" s="38" t="str">
        <f>+IF(U2358="","-",CONCATENATE(U2358,"_",V2358))</f>
        <v>FINES_R04</v>
      </c>
      <c r="X2358" s="42">
        <v>0.70399999999999996</v>
      </c>
    </row>
    <row r="2359" spans="1:24">
      <c r="A2359" s="21" t="s">
        <v>5100</v>
      </c>
      <c r="B2359" t="s">
        <v>817</v>
      </c>
      <c r="C2359" t="s">
        <v>2080</v>
      </c>
      <c r="D2359" t="s">
        <v>2081</v>
      </c>
      <c r="E2359" s="7" t="s">
        <v>198</v>
      </c>
      <c r="F2359" s="7" t="s">
        <v>198</v>
      </c>
      <c r="G2359" s="7" t="s">
        <v>198</v>
      </c>
      <c r="H2359" s="7" t="s">
        <v>20</v>
      </c>
      <c r="I2359" s="7" t="s">
        <v>5102</v>
      </c>
      <c r="J2359" s="7" t="s">
        <v>21</v>
      </c>
      <c r="L2359" t="s">
        <v>3696</v>
      </c>
      <c r="M2359" s="7" t="s">
        <v>22</v>
      </c>
      <c r="N2359" s="7" t="s">
        <v>23</v>
      </c>
      <c r="O2359" s="7" t="s">
        <v>27</v>
      </c>
      <c r="P2359" s="7" t="s">
        <v>5101</v>
      </c>
      <c r="Q2359" s="26">
        <v>17</v>
      </c>
      <c r="R2359" s="26">
        <v>1</v>
      </c>
      <c r="S2359" s="40">
        <v>1</v>
      </c>
      <c r="T2359" s="7"/>
      <c r="U2359" s="7" t="s">
        <v>2951</v>
      </c>
      <c r="V2359" s="7" t="str">
        <f>+IF(U2359="","",IF(U2359="FINES",CONCATENATE("R",IF(OR(B2359="16",B2359="21",B2359="22",B2359="23"),"16212223",IF(OR(B2359="15",B2359="17",B2359="24",B2359="25"),"15172425",B2359))),IF(U2359="CEBAS","UNICO",IF(VALUE(B2359)&lt;=11,"AMBA","INTERIOR"))))</f>
        <v>R04</v>
      </c>
      <c r="W2359" s="38" t="str">
        <f>+IF(U2359="","-",CONCATENATE(U2359,"_",V2359))</f>
        <v>FINES_R04</v>
      </c>
      <c r="X2359" s="42">
        <v>0.70599999999999996</v>
      </c>
    </row>
    <row r="2360" spans="1:24">
      <c r="A2360" s="21" t="s">
        <v>5100</v>
      </c>
      <c r="B2360" t="s">
        <v>817</v>
      </c>
      <c r="C2360" t="s">
        <v>600</v>
      </c>
      <c r="D2360" t="s">
        <v>2661</v>
      </c>
      <c r="E2360" s="7" t="s">
        <v>198</v>
      </c>
      <c r="F2360" s="7" t="s">
        <v>198</v>
      </c>
      <c r="G2360" s="7" t="s">
        <v>198</v>
      </c>
      <c r="H2360" s="7" t="s">
        <v>20</v>
      </c>
      <c r="I2360" s="7" t="s">
        <v>5102</v>
      </c>
      <c r="J2360" s="7" t="s">
        <v>21</v>
      </c>
      <c r="L2360" t="s">
        <v>3548</v>
      </c>
      <c r="M2360" s="7" t="s">
        <v>22</v>
      </c>
      <c r="N2360" s="7" t="s">
        <v>23</v>
      </c>
      <c r="O2360" s="7" t="s">
        <v>27</v>
      </c>
      <c r="P2360" s="7" t="s">
        <v>5101</v>
      </c>
      <c r="Q2360" s="26">
        <v>23</v>
      </c>
      <c r="R2360" s="26">
        <v>1</v>
      </c>
      <c r="S2360" s="40">
        <v>1</v>
      </c>
      <c r="T2360" s="7"/>
      <c r="U2360" s="7" t="s">
        <v>2951</v>
      </c>
      <c r="V2360" s="7" t="str">
        <f>+IF(U2360="","",IF(U2360="FINES",CONCATENATE("R",IF(OR(B2360="16",B2360="21",B2360="22",B2360="23"),"16212223",IF(OR(B2360="15",B2360="17",B2360="24",B2360="25"),"15172425",B2360))),IF(U2360="CEBAS","UNICO",IF(VALUE(B2360)&lt;=11,"AMBA","INTERIOR"))))</f>
        <v>R04</v>
      </c>
      <c r="W2360" s="38" t="str">
        <f>+IF(U2360="","-",CONCATENATE(U2360,"_",V2360))</f>
        <v>FINES_R04</v>
      </c>
      <c r="X2360" s="42">
        <v>0.71299999999999997</v>
      </c>
    </row>
    <row r="2361" spans="1:24">
      <c r="A2361" s="21" t="s">
        <v>5100</v>
      </c>
      <c r="B2361" t="s">
        <v>817</v>
      </c>
      <c r="C2361" t="s">
        <v>815</v>
      </c>
      <c r="D2361" t="s">
        <v>816</v>
      </c>
      <c r="E2361" s="7" t="s">
        <v>198</v>
      </c>
      <c r="F2361" s="7" t="s">
        <v>198</v>
      </c>
      <c r="G2361" s="7" t="s">
        <v>198</v>
      </c>
      <c r="H2361" s="7" t="s">
        <v>20</v>
      </c>
      <c r="I2361" s="7" t="s">
        <v>5102</v>
      </c>
      <c r="J2361" s="7" t="s">
        <v>21</v>
      </c>
      <c r="L2361" t="s">
        <v>3633</v>
      </c>
      <c r="M2361" s="7" t="s">
        <v>22</v>
      </c>
      <c r="N2361" s="7" t="s">
        <v>23</v>
      </c>
      <c r="O2361" s="7" t="s">
        <v>27</v>
      </c>
      <c r="P2361" s="7" t="s">
        <v>5101</v>
      </c>
      <c r="Q2361" s="26">
        <v>40</v>
      </c>
      <c r="R2361" s="26">
        <v>2</v>
      </c>
      <c r="S2361" s="40">
        <v>1</v>
      </c>
      <c r="T2361" s="7"/>
      <c r="U2361" s="7" t="s">
        <v>2951</v>
      </c>
      <c r="V2361" s="7" t="str">
        <f>+IF(U2361="","",IF(U2361="FINES",CONCATENATE("R",IF(OR(B2361="16",B2361="21",B2361="22",B2361="23"),"16212223",IF(OR(B2361="15",B2361="17",B2361="24",B2361="25"),"15172425",B2361))),IF(U2361="CEBAS","UNICO",IF(VALUE(B2361)&lt;=11,"AMBA","INTERIOR"))))</f>
        <v>R04</v>
      </c>
      <c r="W2361" s="38" t="str">
        <f>+IF(U2361="","-",CONCATENATE(U2361,"_",V2361))</f>
        <v>FINES_R04</v>
      </c>
      <c r="X2361" s="42">
        <v>0.71499999999999997</v>
      </c>
    </row>
    <row r="2362" spans="1:24">
      <c r="A2362" s="21" t="s">
        <v>5100</v>
      </c>
      <c r="B2362" t="s">
        <v>817</v>
      </c>
      <c r="C2362" t="s">
        <v>2080</v>
      </c>
      <c r="D2362" t="s">
        <v>2081</v>
      </c>
      <c r="E2362" s="7" t="s">
        <v>198</v>
      </c>
      <c r="F2362" s="7" t="s">
        <v>198</v>
      </c>
      <c r="G2362" s="7" t="s">
        <v>198</v>
      </c>
      <c r="H2362" s="7" t="s">
        <v>20</v>
      </c>
      <c r="I2362" s="7" t="s">
        <v>5102</v>
      </c>
      <c r="J2362" s="7" t="s">
        <v>21</v>
      </c>
      <c r="L2362" t="s">
        <v>3711</v>
      </c>
      <c r="M2362" s="7" t="s">
        <v>22</v>
      </c>
      <c r="N2362" s="7" t="s">
        <v>23</v>
      </c>
      <c r="O2362" s="7" t="s">
        <v>27</v>
      </c>
      <c r="P2362" s="7" t="s">
        <v>5101</v>
      </c>
      <c r="Q2362" s="26">
        <v>103</v>
      </c>
      <c r="R2362" s="26">
        <v>4</v>
      </c>
      <c r="S2362" s="40">
        <v>1</v>
      </c>
      <c r="T2362" s="7"/>
      <c r="U2362" s="7" t="s">
        <v>2951</v>
      </c>
      <c r="V2362" s="7" t="str">
        <f>+IF(U2362="","",IF(U2362="FINES",CONCATENATE("R",IF(OR(B2362="16",B2362="21",B2362="22",B2362="23"),"16212223",IF(OR(B2362="15",B2362="17",B2362="24",B2362="25"),"15172425",B2362))),IF(U2362="CEBAS","UNICO",IF(VALUE(B2362)&lt;=11,"AMBA","INTERIOR"))))</f>
        <v>R04</v>
      </c>
      <c r="W2362" s="38" t="str">
        <f>+IF(U2362="","-",CONCATENATE(U2362,"_",V2362))</f>
        <v>FINES_R04</v>
      </c>
      <c r="X2362" s="42">
        <v>0.72599999999999998</v>
      </c>
    </row>
    <row r="2363" spans="1:24">
      <c r="A2363" s="21" t="s">
        <v>5100</v>
      </c>
      <c r="B2363" t="s">
        <v>817</v>
      </c>
      <c r="C2363" t="s">
        <v>2080</v>
      </c>
      <c r="D2363" t="s">
        <v>2081</v>
      </c>
      <c r="E2363" s="7" t="s">
        <v>198</v>
      </c>
      <c r="F2363" s="7" t="s">
        <v>198</v>
      </c>
      <c r="G2363" s="7" t="s">
        <v>198</v>
      </c>
      <c r="H2363" s="7" t="s">
        <v>20</v>
      </c>
      <c r="I2363" s="7" t="s">
        <v>5102</v>
      </c>
      <c r="J2363" s="7" t="s">
        <v>21</v>
      </c>
      <c r="L2363" t="s">
        <v>3705</v>
      </c>
      <c r="M2363" s="7" t="s">
        <v>22</v>
      </c>
      <c r="N2363" s="7" t="s">
        <v>23</v>
      </c>
      <c r="O2363" s="7" t="s">
        <v>27</v>
      </c>
      <c r="P2363" s="7" t="s">
        <v>5101</v>
      </c>
      <c r="Q2363" s="26">
        <v>15</v>
      </c>
      <c r="R2363" s="26">
        <v>1</v>
      </c>
      <c r="S2363" s="40">
        <v>1</v>
      </c>
      <c r="T2363" s="7"/>
      <c r="U2363" s="7" t="s">
        <v>2951</v>
      </c>
      <c r="V2363" s="7" t="str">
        <f>+IF(U2363="","",IF(U2363="FINES",CONCATENATE("R",IF(OR(B2363="16",B2363="21",B2363="22",B2363="23"),"16212223",IF(OR(B2363="15",B2363="17",B2363="24",B2363="25"),"15172425",B2363))),IF(U2363="CEBAS","UNICO",IF(VALUE(B2363)&lt;=11,"AMBA","INTERIOR"))))</f>
        <v>R04</v>
      </c>
      <c r="W2363" s="38" t="str">
        <f>+IF(U2363="","-",CONCATENATE(U2363,"_",V2363))</f>
        <v>FINES_R04</v>
      </c>
      <c r="X2363" s="42">
        <v>0.73099999999999998</v>
      </c>
    </row>
    <row r="2364" spans="1:24">
      <c r="A2364" s="21" t="s">
        <v>5100</v>
      </c>
      <c r="B2364" t="s">
        <v>817</v>
      </c>
      <c r="C2364" t="s">
        <v>600</v>
      </c>
      <c r="D2364" t="s">
        <v>2661</v>
      </c>
      <c r="E2364" s="7" t="s">
        <v>198</v>
      </c>
      <c r="F2364" s="7" t="s">
        <v>198</v>
      </c>
      <c r="G2364" s="7" t="s">
        <v>198</v>
      </c>
      <c r="H2364" s="7" t="s">
        <v>20</v>
      </c>
      <c r="I2364" s="7" t="s">
        <v>5102</v>
      </c>
      <c r="J2364" s="7" t="s">
        <v>21</v>
      </c>
      <c r="L2364" t="s">
        <v>3580</v>
      </c>
      <c r="M2364" s="7" t="s">
        <v>22</v>
      </c>
      <c r="N2364" s="7" t="s">
        <v>23</v>
      </c>
      <c r="O2364" s="7" t="s">
        <v>27</v>
      </c>
      <c r="P2364" s="7" t="s">
        <v>5101</v>
      </c>
      <c r="Q2364" s="26">
        <v>8</v>
      </c>
      <c r="R2364" s="26">
        <v>1</v>
      </c>
      <c r="S2364" s="40">
        <v>1</v>
      </c>
      <c r="T2364" s="7"/>
      <c r="U2364" s="7" t="s">
        <v>2951</v>
      </c>
      <c r="V2364" s="7" t="str">
        <f>+IF(U2364="","",IF(U2364="FINES",CONCATENATE("R",IF(OR(B2364="16",B2364="21",B2364="22",B2364="23"),"16212223",IF(OR(B2364="15",B2364="17",B2364="24",B2364="25"),"15172425",B2364))),IF(U2364="CEBAS","UNICO",IF(VALUE(B2364)&lt;=11,"AMBA","INTERIOR"))))</f>
        <v>R04</v>
      </c>
      <c r="W2364" s="38" t="str">
        <f>+IF(U2364="","-",CONCATENATE(U2364,"_",V2364))</f>
        <v>FINES_R04</v>
      </c>
      <c r="X2364" s="42">
        <v>0.73199999999999998</v>
      </c>
    </row>
    <row r="2365" spans="1:24">
      <c r="A2365" s="21" t="s">
        <v>5100</v>
      </c>
      <c r="B2365" t="s">
        <v>817</v>
      </c>
      <c r="C2365" t="s">
        <v>600</v>
      </c>
      <c r="D2365" t="s">
        <v>2661</v>
      </c>
      <c r="E2365" s="7" t="s">
        <v>198</v>
      </c>
      <c r="F2365" s="7" t="s">
        <v>198</v>
      </c>
      <c r="G2365" s="7" t="s">
        <v>198</v>
      </c>
      <c r="H2365" s="7" t="s">
        <v>20</v>
      </c>
      <c r="I2365" s="7" t="s">
        <v>5102</v>
      </c>
      <c r="J2365" s="7" t="s">
        <v>21</v>
      </c>
      <c r="L2365" t="s">
        <v>3579</v>
      </c>
      <c r="M2365" s="7" t="s">
        <v>22</v>
      </c>
      <c r="N2365" s="7" t="s">
        <v>23</v>
      </c>
      <c r="O2365" s="7" t="s">
        <v>27</v>
      </c>
      <c r="P2365" s="7" t="s">
        <v>5101</v>
      </c>
      <c r="Q2365" s="26">
        <v>48</v>
      </c>
      <c r="R2365" s="26">
        <v>2</v>
      </c>
      <c r="S2365" s="40">
        <v>1</v>
      </c>
      <c r="T2365" s="7"/>
      <c r="U2365" s="7" t="s">
        <v>2951</v>
      </c>
      <c r="V2365" s="7" t="str">
        <f>+IF(U2365="","",IF(U2365="FINES",CONCATENATE("R",IF(OR(B2365="16",B2365="21",B2365="22",B2365="23"),"16212223",IF(OR(B2365="15",B2365="17",B2365="24",B2365="25"),"15172425",B2365))),IF(U2365="CEBAS","UNICO",IF(VALUE(B2365)&lt;=11,"AMBA","INTERIOR"))))</f>
        <v>R04</v>
      </c>
      <c r="W2365" s="38" t="str">
        <f>+IF(U2365="","-",CONCATENATE(U2365,"_",V2365))</f>
        <v>FINES_R04</v>
      </c>
      <c r="X2365" s="42">
        <v>0.73599999999999999</v>
      </c>
    </row>
    <row r="2366" spans="1:24">
      <c r="A2366" s="21" t="s">
        <v>5100</v>
      </c>
      <c r="B2366" t="s">
        <v>817</v>
      </c>
      <c r="C2366" t="s">
        <v>600</v>
      </c>
      <c r="D2366" t="s">
        <v>2661</v>
      </c>
      <c r="E2366" s="7" t="s">
        <v>198</v>
      </c>
      <c r="F2366" s="7" t="s">
        <v>198</v>
      </c>
      <c r="G2366" s="7" t="s">
        <v>198</v>
      </c>
      <c r="H2366" s="7" t="s">
        <v>20</v>
      </c>
      <c r="I2366" s="7" t="s">
        <v>5102</v>
      </c>
      <c r="J2366" s="7" t="s">
        <v>21</v>
      </c>
      <c r="L2366" t="s">
        <v>3560</v>
      </c>
      <c r="M2366" s="7" t="s">
        <v>22</v>
      </c>
      <c r="N2366" s="7" t="s">
        <v>23</v>
      </c>
      <c r="O2366" s="7" t="s">
        <v>27</v>
      </c>
      <c r="P2366" s="7" t="s">
        <v>5101</v>
      </c>
      <c r="Q2366" s="26">
        <v>20</v>
      </c>
      <c r="R2366" s="26">
        <v>1</v>
      </c>
      <c r="S2366" s="40">
        <v>1</v>
      </c>
      <c r="T2366" s="7"/>
      <c r="U2366" s="7" t="s">
        <v>2951</v>
      </c>
      <c r="V2366" s="7" t="str">
        <f>+IF(U2366="","",IF(U2366="FINES",CONCATENATE("R",IF(OR(B2366="16",B2366="21",B2366="22",B2366="23"),"16212223",IF(OR(B2366="15",B2366="17",B2366="24",B2366="25"),"15172425",B2366))),IF(U2366="CEBAS","UNICO",IF(VALUE(B2366)&lt;=11,"AMBA","INTERIOR"))))</f>
        <v>R04</v>
      </c>
      <c r="W2366" s="38" t="str">
        <f>+IF(U2366="","-",CONCATENATE(U2366,"_",V2366))</f>
        <v>FINES_R04</v>
      </c>
      <c r="X2366" s="42">
        <v>0.73699999999999999</v>
      </c>
    </row>
    <row r="2367" spans="1:24">
      <c r="A2367" s="21" t="s">
        <v>5100</v>
      </c>
      <c r="B2367" t="s">
        <v>817</v>
      </c>
      <c r="C2367" t="s">
        <v>600</v>
      </c>
      <c r="D2367" t="s">
        <v>2661</v>
      </c>
      <c r="E2367" s="7" t="s">
        <v>198</v>
      </c>
      <c r="F2367" s="7" t="s">
        <v>198</v>
      </c>
      <c r="G2367" s="7" t="s">
        <v>198</v>
      </c>
      <c r="H2367" s="7" t="s">
        <v>20</v>
      </c>
      <c r="I2367" s="7" t="s">
        <v>5102</v>
      </c>
      <c r="J2367" s="7" t="s">
        <v>21</v>
      </c>
      <c r="L2367" t="s">
        <v>3552</v>
      </c>
      <c r="M2367" s="7" t="s">
        <v>22</v>
      </c>
      <c r="N2367" s="7" t="s">
        <v>23</v>
      </c>
      <c r="O2367" s="7" t="s">
        <v>27</v>
      </c>
      <c r="P2367" s="7" t="s">
        <v>5101</v>
      </c>
      <c r="Q2367" s="26">
        <v>18</v>
      </c>
      <c r="R2367" s="26">
        <v>1</v>
      </c>
      <c r="S2367" s="40">
        <v>1</v>
      </c>
      <c r="T2367" s="7"/>
      <c r="U2367" s="7" t="s">
        <v>2951</v>
      </c>
      <c r="V2367" s="7" t="str">
        <f>+IF(U2367="","",IF(U2367="FINES",CONCATENATE("R",IF(OR(B2367="16",B2367="21",B2367="22",B2367="23"),"16212223",IF(OR(B2367="15",B2367="17",B2367="24",B2367="25"),"15172425",B2367))),IF(U2367="CEBAS","UNICO",IF(VALUE(B2367)&lt;=11,"AMBA","INTERIOR"))))</f>
        <v>R04</v>
      </c>
      <c r="W2367" s="38" t="str">
        <f>+IF(U2367="","-",CONCATENATE(U2367,"_",V2367))</f>
        <v>FINES_R04</v>
      </c>
      <c r="X2367" s="42">
        <v>0.746</v>
      </c>
    </row>
    <row r="2368" spans="1:24">
      <c r="A2368" s="21" t="s">
        <v>5100</v>
      </c>
      <c r="B2368" t="s">
        <v>817</v>
      </c>
      <c r="C2368" t="s">
        <v>600</v>
      </c>
      <c r="D2368" t="s">
        <v>2661</v>
      </c>
      <c r="E2368" s="7" t="s">
        <v>198</v>
      </c>
      <c r="F2368" s="7" t="s">
        <v>198</v>
      </c>
      <c r="G2368" s="7" t="s">
        <v>198</v>
      </c>
      <c r="H2368" s="7" t="s">
        <v>20</v>
      </c>
      <c r="I2368" s="7" t="s">
        <v>5102</v>
      </c>
      <c r="J2368" s="7" t="s">
        <v>21</v>
      </c>
      <c r="L2368" t="s">
        <v>3550</v>
      </c>
      <c r="M2368" s="7" t="s">
        <v>22</v>
      </c>
      <c r="N2368" s="7" t="s">
        <v>23</v>
      </c>
      <c r="O2368" s="7" t="s">
        <v>27</v>
      </c>
      <c r="P2368" s="7" t="s">
        <v>5101</v>
      </c>
      <c r="Q2368" s="26">
        <v>0</v>
      </c>
      <c r="R2368" s="26">
        <v>1</v>
      </c>
      <c r="S2368" s="40">
        <v>1</v>
      </c>
      <c r="T2368" s="7"/>
      <c r="U2368" s="7" t="s">
        <v>2951</v>
      </c>
      <c r="V2368" s="7" t="str">
        <f>+IF(U2368="","",IF(U2368="FINES",CONCATENATE("R",IF(OR(B2368="16",B2368="21",B2368="22",B2368="23"),"16212223",IF(OR(B2368="15",B2368="17",B2368="24",B2368="25"),"15172425",B2368))),IF(U2368="CEBAS","UNICO",IF(VALUE(B2368)&lt;=11,"AMBA","INTERIOR"))))</f>
        <v>R04</v>
      </c>
      <c r="W2368" s="38" t="str">
        <f>+IF(U2368="","-",CONCATENATE(U2368,"_",V2368))</f>
        <v>FINES_R04</v>
      </c>
      <c r="X2368" s="42">
        <v>0.748</v>
      </c>
    </row>
    <row r="2369" spans="1:24">
      <c r="A2369" s="21" t="s">
        <v>5100</v>
      </c>
      <c r="B2369" t="s">
        <v>817</v>
      </c>
      <c r="C2369" t="s">
        <v>815</v>
      </c>
      <c r="D2369" t="s">
        <v>816</v>
      </c>
      <c r="E2369" s="7" t="s">
        <v>198</v>
      </c>
      <c r="F2369" s="7" t="s">
        <v>198</v>
      </c>
      <c r="G2369" s="7" t="s">
        <v>198</v>
      </c>
      <c r="H2369" s="7" t="s">
        <v>20</v>
      </c>
      <c r="I2369" s="7" t="s">
        <v>5102</v>
      </c>
      <c r="J2369" s="7" t="s">
        <v>21</v>
      </c>
      <c r="L2369" t="s">
        <v>3624</v>
      </c>
      <c r="M2369" s="7" t="s">
        <v>22</v>
      </c>
      <c r="N2369" s="7" t="s">
        <v>23</v>
      </c>
      <c r="O2369" s="7" t="s">
        <v>27</v>
      </c>
      <c r="P2369" s="7" t="s">
        <v>5101</v>
      </c>
      <c r="Q2369" s="26">
        <v>43</v>
      </c>
      <c r="R2369" s="26">
        <v>2</v>
      </c>
      <c r="S2369" s="40">
        <v>1</v>
      </c>
      <c r="T2369" s="7"/>
      <c r="U2369" s="7" t="s">
        <v>2951</v>
      </c>
      <c r="V2369" s="7" t="str">
        <f>+IF(U2369="","",IF(U2369="FINES",CONCATENATE("R",IF(OR(B2369="16",B2369="21",B2369="22",B2369="23"),"16212223",IF(OR(B2369="15",B2369="17",B2369="24",B2369="25"),"15172425",B2369))),IF(U2369="CEBAS","UNICO",IF(VALUE(B2369)&lt;=11,"AMBA","INTERIOR"))))</f>
        <v>R04</v>
      </c>
      <c r="W2369" s="38" t="str">
        <f>+IF(U2369="","-",CONCATENATE(U2369,"_",V2369))</f>
        <v>FINES_R04</v>
      </c>
      <c r="X2369" s="42">
        <v>0.75</v>
      </c>
    </row>
    <row r="2370" spans="1:24">
      <c r="A2370" s="21" t="s">
        <v>5100</v>
      </c>
      <c r="B2370" t="s">
        <v>817</v>
      </c>
      <c r="C2370" t="s">
        <v>815</v>
      </c>
      <c r="D2370" t="s">
        <v>816</v>
      </c>
      <c r="E2370" s="7" t="s">
        <v>198</v>
      </c>
      <c r="F2370" s="7" t="s">
        <v>198</v>
      </c>
      <c r="G2370" s="7" t="s">
        <v>198</v>
      </c>
      <c r="H2370" s="7" t="s">
        <v>20</v>
      </c>
      <c r="I2370" s="7" t="s">
        <v>5102</v>
      </c>
      <c r="J2370" s="7" t="s">
        <v>21</v>
      </c>
      <c r="L2370" t="s">
        <v>3608</v>
      </c>
      <c r="M2370" s="7" t="s">
        <v>22</v>
      </c>
      <c r="N2370" s="7" t="s">
        <v>23</v>
      </c>
      <c r="O2370" s="7" t="s">
        <v>27</v>
      </c>
      <c r="P2370" s="7" t="s">
        <v>5101</v>
      </c>
      <c r="Q2370" s="26">
        <v>58</v>
      </c>
      <c r="R2370" s="26">
        <v>3</v>
      </c>
      <c r="S2370" s="40">
        <v>1</v>
      </c>
      <c r="T2370" s="7"/>
      <c r="U2370" s="7" t="s">
        <v>2951</v>
      </c>
      <c r="V2370" s="7" t="str">
        <f>+IF(U2370="","",IF(U2370="FINES",CONCATENATE("R",IF(OR(B2370="16",B2370="21",B2370="22",B2370="23"),"16212223",IF(OR(B2370="15",B2370="17",B2370="24",B2370="25"),"15172425",B2370))),IF(U2370="CEBAS","UNICO",IF(VALUE(B2370)&lt;=11,"AMBA","INTERIOR"))))</f>
        <v>R04</v>
      </c>
      <c r="W2370" s="38" t="str">
        <f>+IF(U2370="","-",CONCATENATE(U2370,"_",V2370))</f>
        <v>FINES_R04</v>
      </c>
      <c r="X2370" s="42">
        <v>0.751</v>
      </c>
    </row>
    <row r="2371" spans="1:24">
      <c r="A2371" s="21" t="s">
        <v>5100</v>
      </c>
      <c r="B2371" t="s">
        <v>817</v>
      </c>
      <c r="C2371" t="s">
        <v>2080</v>
      </c>
      <c r="D2371" t="s">
        <v>2081</v>
      </c>
      <c r="E2371" s="7" t="s">
        <v>198</v>
      </c>
      <c r="F2371" s="7" t="s">
        <v>198</v>
      </c>
      <c r="G2371" s="7" t="s">
        <v>198</v>
      </c>
      <c r="H2371" s="7" t="s">
        <v>20</v>
      </c>
      <c r="I2371" s="7" t="s">
        <v>5102</v>
      </c>
      <c r="J2371" s="7" t="s">
        <v>21</v>
      </c>
      <c r="L2371" t="s">
        <v>3685</v>
      </c>
      <c r="M2371" s="7" t="s">
        <v>22</v>
      </c>
      <c r="N2371" s="7" t="s">
        <v>23</v>
      </c>
      <c r="O2371" s="7" t="s">
        <v>27</v>
      </c>
      <c r="P2371" s="7" t="s">
        <v>5101</v>
      </c>
      <c r="Q2371" s="26">
        <v>21</v>
      </c>
      <c r="R2371" s="26">
        <v>1</v>
      </c>
      <c r="S2371" s="40">
        <v>1</v>
      </c>
      <c r="T2371" s="7"/>
      <c r="U2371" s="7" t="s">
        <v>2951</v>
      </c>
      <c r="V2371" s="7" t="str">
        <f>+IF(U2371="","",IF(U2371="FINES",CONCATENATE("R",IF(OR(B2371="16",B2371="21",B2371="22",B2371="23"),"16212223",IF(OR(B2371="15",B2371="17",B2371="24",B2371="25"),"15172425",B2371))),IF(U2371="CEBAS","UNICO",IF(VALUE(B2371)&lt;=11,"AMBA","INTERIOR"))))</f>
        <v>R04</v>
      </c>
      <c r="W2371" s="38" t="str">
        <f>+IF(U2371="","-",CONCATENATE(U2371,"_",V2371))</f>
        <v>FINES_R04</v>
      </c>
      <c r="X2371" s="42">
        <v>0.75800000000000001</v>
      </c>
    </row>
    <row r="2372" spans="1:24">
      <c r="A2372" s="21" t="s">
        <v>5100</v>
      </c>
      <c r="B2372" t="s">
        <v>817</v>
      </c>
      <c r="C2372" t="s">
        <v>815</v>
      </c>
      <c r="D2372" t="s">
        <v>816</v>
      </c>
      <c r="E2372" s="7" t="s">
        <v>198</v>
      </c>
      <c r="F2372" s="7" t="s">
        <v>198</v>
      </c>
      <c r="G2372" s="7" t="s">
        <v>198</v>
      </c>
      <c r="H2372" s="7" t="s">
        <v>20</v>
      </c>
      <c r="I2372" s="7" t="s">
        <v>5102</v>
      </c>
      <c r="J2372" s="7" t="s">
        <v>21</v>
      </c>
      <c r="L2372" t="s">
        <v>3636</v>
      </c>
      <c r="M2372" s="7" t="s">
        <v>22</v>
      </c>
      <c r="N2372" s="7" t="s">
        <v>23</v>
      </c>
      <c r="O2372" s="7" t="s">
        <v>27</v>
      </c>
      <c r="P2372" s="7" t="s">
        <v>5101</v>
      </c>
      <c r="Q2372" s="26">
        <v>0</v>
      </c>
      <c r="R2372" s="26">
        <v>1</v>
      </c>
      <c r="S2372" s="40">
        <v>1</v>
      </c>
      <c r="T2372" s="7"/>
      <c r="U2372" s="7" t="s">
        <v>2951</v>
      </c>
      <c r="V2372" s="7" t="str">
        <f>+IF(U2372="","",IF(U2372="FINES",CONCATENATE("R",IF(OR(B2372="16",B2372="21",B2372="22",B2372="23"),"16212223",IF(OR(B2372="15",B2372="17",B2372="24",B2372="25"),"15172425",B2372))),IF(U2372="CEBAS","UNICO",IF(VALUE(B2372)&lt;=11,"AMBA","INTERIOR"))))</f>
        <v>R04</v>
      </c>
      <c r="W2372" s="38" t="str">
        <f>+IF(U2372="","-",CONCATENATE(U2372,"_",V2372))</f>
        <v>FINES_R04</v>
      </c>
      <c r="X2372" s="42">
        <v>0.76500000000000001</v>
      </c>
    </row>
    <row r="2373" spans="1:24">
      <c r="A2373" s="21" t="s">
        <v>5100</v>
      </c>
      <c r="B2373" t="s">
        <v>817</v>
      </c>
      <c r="C2373" t="s">
        <v>2080</v>
      </c>
      <c r="D2373" t="s">
        <v>2081</v>
      </c>
      <c r="E2373" s="7" t="s">
        <v>198</v>
      </c>
      <c r="F2373" s="7" t="s">
        <v>198</v>
      </c>
      <c r="G2373" s="7" t="s">
        <v>198</v>
      </c>
      <c r="H2373" s="7" t="s">
        <v>20</v>
      </c>
      <c r="I2373" s="7" t="s">
        <v>5102</v>
      </c>
      <c r="J2373" s="7" t="s">
        <v>21</v>
      </c>
      <c r="L2373" t="s">
        <v>3709</v>
      </c>
      <c r="M2373" s="7" t="s">
        <v>22</v>
      </c>
      <c r="N2373" s="7" t="s">
        <v>23</v>
      </c>
      <c r="O2373" s="7" t="s">
        <v>27</v>
      </c>
      <c r="P2373" s="7" t="s">
        <v>5101</v>
      </c>
      <c r="Q2373" s="26">
        <v>24</v>
      </c>
      <c r="R2373" s="26">
        <v>1</v>
      </c>
      <c r="S2373" s="40">
        <v>1</v>
      </c>
      <c r="T2373" s="7"/>
      <c r="U2373" s="7" t="s">
        <v>2951</v>
      </c>
      <c r="V2373" s="7" t="str">
        <f>+IF(U2373="","",IF(U2373="FINES",CONCATENATE("R",IF(OR(B2373="16",B2373="21",B2373="22",B2373="23"),"16212223",IF(OR(B2373="15",B2373="17",B2373="24",B2373="25"),"15172425",B2373))),IF(U2373="CEBAS","UNICO",IF(VALUE(B2373)&lt;=11,"AMBA","INTERIOR"))))</f>
        <v>R04</v>
      </c>
      <c r="W2373" s="38" t="str">
        <f>+IF(U2373="","-",CONCATENATE(U2373,"_",V2373))</f>
        <v>FINES_R04</v>
      </c>
      <c r="X2373" s="42">
        <v>0.77</v>
      </c>
    </row>
    <row r="2374" spans="1:24">
      <c r="A2374" s="21" t="s">
        <v>5100</v>
      </c>
      <c r="B2374" t="s">
        <v>817</v>
      </c>
      <c r="C2374" t="s">
        <v>815</v>
      </c>
      <c r="D2374" t="s">
        <v>816</v>
      </c>
      <c r="E2374" s="7" t="s">
        <v>198</v>
      </c>
      <c r="F2374" s="7" t="s">
        <v>198</v>
      </c>
      <c r="G2374" s="7" t="s">
        <v>198</v>
      </c>
      <c r="H2374" s="7" t="s">
        <v>20</v>
      </c>
      <c r="I2374" s="7" t="s">
        <v>5102</v>
      </c>
      <c r="J2374" s="7" t="s">
        <v>21</v>
      </c>
      <c r="L2374" t="s">
        <v>3606</v>
      </c>
      <c r="M2374" s="7" t="s">
        <v>22</v>
      </c>
      <c r="N2374" s="7" t="s">
        <v>23</v>
      </c>
      <c r="O2374" s="7" t="s">
        <v>27</v>
      </c>
      <c r="P2374" s="7" t="s">
        <v>5101</v>
      </c>
      <c r="Q2374" s="26">
        <v>17</v>
      </c>
      <c r="R2374" s="26">
        <v>1</v>
      </c>
      <c r="S2374" s="40">
        <v>1</v>
      </c>
      <c r="T2374" s="7"/>
      <c r="U2374" s="7" t="s">
        <v>2951</v>
      </c>
      <c r="V2374" s="7" t="str">
        <f>+IF(U2374="","",IF(U2374="FINES",CONCATENATE("R",IF(OR(B2374="16",B2374="21",B2374="22",B2374="23"),"16212223",IF(OR(B2374="15",B2374="17",B2374="24",B2374="25"),"15172425",B2374))),IF(U2374="CEBAS","UNICO",IF(VALUE(B2374)&lt;=11,"AMBA","INTERIOR"))))</f>
        <v>R04</v>
      </c>
      <c r="W2374" s="38" t="str">
        <f>+IF(U2374="","-",CONCATENATE(U2374,"_",V2374))</f>
        <v>FINES_R04</v>
      </c>
      <c r="X2374" s="42">
        <v>0.78700000000000003</v>
      </c>
    </row>
    <row r="2375" spans="1:24">
      <c r="A2375" s="21" t="s">
        <v>5100</v>
      </c>
      <c r="B2375" t="s">
        <v>817</v>
      </c>
      <c r="C2375" t="s">
        <v>600</v>
      </c>
      <c r="D2375" t="s">
        <v>2661</v>
      </c>
      <c r="E2375" s="7" t="s">
        <v>198</v>
      </c>
      <c r="F2375" s="7" t="s">
        <v>198</v>
      </c>
      <c r="G2375" s="7" t="s">
        <v>198</v>
      </c>
      <c r="H2375" s="7" t="s">
        <v>20</v>
      </c>
      <c r="I2375" s="7" t="s">
        <v>5102</v>
      </c>
      <c r="J2375" s="7" t="s">
        <v>21</v>
      </c>
      <c r="L2375" t="s">
        <v>3564</v>
      </c>
      <c r="M2375" s="7" t="s">
        <v>22</v>
      </c>
      <c r="N2375" s="7" t="s">
        <v>23</v>
      </c>
      <c r="O2375" s="7" t="s">
        <v>27</v>
      </c>
      <c r="P2375" s="7" t="s">
        <v>5101</v>
      </c>
      <c r="Q2375" s="26">
        <v>263</v>
      </c>
      <c r="R2375" s="26">
        <v>10</v>
      </c>
      <c r="S2375" s="40">
        <v>1</v>
      </c>
      <c r="T2375" s="7"/>
      <c r="U2375" s="7" t="s">
        <v>2951</v>
      </c>
      <c r="V2375" s="7" t="str">
        <f>+IF(U2375="","",IF(U2375="FINES",CONCATENATE("R",IF(OR(B2375="16",B2375="21",B2375="22",B2375="23"),"16212223",IF(OR(B2375="15",B2375="17",B2375="24",B2375="25"),"15172425",B2375))),IF(U2375="CEBAS","UNICO",IF(VALUE(B2375)&lt;=11,"AMBA","INTERIOR"))))</f>
        <v>R04</v>
      </c>
      <c r="W2375" s="38" t="str">
        <f>+IF(U2375="","-",CONCATENATE(U2375,"_",V2375))</f>
        <v>FINES_R04</v>
      </c>
      <c r="X2375" s="42">
        <v>0.78800000000000003</v>
      </c>
    </row>
    <row r="2376" spans="1:24">
      <c r="A2376" s="21" t="s">
        <v>5100</v>
      </c>
      <c r="B2376" t="s">
        <v>817</v>
      </c>
      <c r="C2376" t="s">
        <v>600</v>
      </c>
      <c r="D2376" t="s">
        <v>2661</v>
      </c>
      <c r="E2376" s="7" t="s">
        <v>198</v>
      </c>
      <c r="F2376" s="7" t="s">
        <v>198</v>
      </c>
      <c r="G2376" s="7" t="s">
        <v>198</v>
      </c>
      <c r="H2376" s="7" t="s">
        <v>20</v>
      </c>
      <c r="I2376" s="7" t="s">
        <v>5102</v>
      </c>
      <c r="J2376" s="7" t="s">
        <v>21</v>
      </c>
      <c r="L2376" t="s">
        <v>3578</v>
      </c>
      <c r="M2376" s="7" t="s">
        <v>22</v>
      </c>
      <c r="N2376" s="7" t="s">
        <v>23</v>
      </c>
      <c r="O2376" s="7" t="s">
        <v>27</v>
      </c>
      <c r="P2376" s="7" t="s">
        <v>5101</v>
      </c>
      <c r="Q2376" s="26">
        <v>24</v>
      </c>
      <c r="R2376" s="26">
        <v>1</v>
      </c>
      <c r="S2376" s="40">
        <v>1</v>
      </c>
      <c r="T2376" s="7"/>
      <c r="U2376" s="7" t="s">
        <v>2951</v>
      </c>
      <c r="V2376" s="7" t="str">
        <f>+IF(U2376="","",IF(U2376="FINES",CONCATENATE("R",IF(OR(B2376="16",B2376="21",B2376="22",B2376="23"),"16212223",IF(OR(B2376="15",B2376="17",B2376="24",B2376="25"),"15172425",B2376))),IF(U2376="CEBAS","UNICO",IF(VALUE(B2376)&lt;=11,"AMBA","INTERIOR"))))</f>
        <v>R04</v>
      </c>
      <c r="W2376" s="38" t="str">
        <f>+IF(U2376="","-",CONCATENATE(U2376,"_",V2376))</f>
        <v>FINES_R04</v>
      </c>
      <c r="X2376" s="42">
        <v>0.79900000000000004</v>
      </c>
    </row>
    <row r="2377" spans="1:24">
      <c r="A2377" s="21" t="s">
        <v>5100</v>
      </c>
      <c r="B2377" t="s">
        <v>817</v>
      </c>
      <c r="C2377" t="s">
        <v>600</v>
      </c>
      <c r="D2377" t="s">
        <v>2661</v>
      </c>
      <c r="E2377" s="7" t="s">
        <v>198</v>
      </c>
      <c r="F2377" s="7" t="s">
        <v>198</v>
      </c>
      <c r="G2377" s="7" t="s">
        <v>198</v>
      </c>
      <c r="H2377" s="7" t="s">
        <v>20</v>
      </c>
      <c r="I2377" s="7" t="s">
        <v>5102</v>
      </c>
      <c r="J2377" s="7" t="s">
        <v>21</v>
      </c>
      <c r="L2377" t="s">
        <v>3595</v>
      </c>
      <c r="M2377" s="7" t="s">
        <v>22</v>
      </c>
      <c r="N2377" s="7" t="s">
        <v>23</v>
      </c>
      <c r="O2377" s="7" t="s">
        <v>27</v>
      </c>
      <c r="P2377" s="7" t="s">
        <v>5101</v>
      </c>
      <c r="Q2377" s="26">
        <v>21</v>
      </c>
      <c r="R2377" s="26">
        <v>1</v>
      </c>
      <c r="S2377" s="40">
        <v>1</v>
      </c>
      <c r="T2377" s="7"/>
      <c r="U2377" s="7" t="s">
        <v>2951</v>
      </c>
      <c r="V2377" s="7" t="str">
        <f>+IF(U2377="","",IF(U2377="FINES",CONCATENATE("R",IF(OR(B2377="16",B2377="21",B2377="22",B2377="23"),"16212223",IF(OR(B2377="15",B2377="17",B2377="24",B2377="25"),"15172425",B2377))),IF(U2377="CEBAS","UNICO",IF(VALUE(B2377)&lt;=11,"AMBA","INTERIOR"))))</f>
        <v>R04</v>
      </c>
      <c r="W2377" s="38" t="str">
        <f>+IF(U2377="","-",CONCATENATE(U2377,"_",V2377))</f>
        <v>FINES_R04</v>
      </c>
      <c r="X2377" s="42">
        <v>0.80600000000000005</v>
      </c>
    </row>
    <row r="2378" spans="1:24">
      <c r="A2378" s="21" t="s">
        <v>5100</v>
      </c>
      <c r="B2378" t="s">
        <v>817</v>
      </c>
      <c r="C2378" t="s">
        <v>815</v>
      </c>
      <c r="D2378" t="s">
        <v>816</v>
      </c>
      <c r="E2378" s="7" t="s">
        <v>198</v>
      </c>
      <c r="F2378" s="7" t="s">
        <v>198</v>
      </c>
      <c r="G2378" s="7" t="s">
        <v>198</v>
      </c>
      <c r="H2378" s="7" t="s">
        <v>20</v>
      </c>
      <c r="I2378" s="7" t="s">
        <v>5102</v>
      </c>
      <c r="J2378" s="7" t="s">
        <v>21</v>
      </c>
      <c r="L2378" t="s">
        <v>3637</v>
      </c>
      <c r="M2378" s="7" t="s">
        <v>22</v>
      </c>
      <c r="N2378" s="7" t="s">
        <v>23</v>
      </c>
      <c r="O2378" s="7" t="s">
        <v>27</v>
      </c>
      <c r="P2378" s="7" t="s">
        <v>5101</v>
      </c>
      <c r="Q2378" s="26">
        <v>40</v>
      </c>
      <c r="R2378" s="26">
        <v>2</v>
      </c>
      <c r="S2378" s="40">
        <v>1</v>
      </c>
      <c r="T2378" s="7"/>
      <c r="U2378" s="7" t="s">
        <v>2951</v>
      </c>
      <c r="V2378" s="7" t="str">
        <f>+IF(U2378="","",IF(U2378="FINES",CONCATENATE("R",IF(OR(B2378="16",B2378="21",B2378="22",B2378="23"),"16212223",IF(OR(B2378="15",B2378="17",B2378="24",B2378="25"),"15172425",B2378))),IF(U2378="CEBAS","UNICO",IF(VALUE(B2378)&lt;=11,"AMBA","INTERIOR"))))</f>
        <v>R04</v>
      </c>
      <c r="W2378" s="38" t="str">
        <f>+IF(U2378="","-",CONCATENATE(U2378,"_",V2378))</f>
        <v>FINES_R04</v>
      </c>
      <c r="X2378" s="42">
        <v>0.80600000000000005</v>
      </c>
    </row>
    <row r="2379" spans="1:24">
      <c r="A2379" s="21" t="s">
        <v>5100</v>
      </c>
      <c r="B2379" t="s">
        <v>817</v>
      </c>
      <c r="C2379" t="s">
        <v>2080</v>
      </c>
      <c r="D2379" t="s">
        <v>2081</v>
      </c>
      <c r="E2379" s="7" t="s">
        <v>198</v>
      </c>
      <c r="F2379" s="7" t="s">
        <v>198</v>
      </c>
      <c r="G2379" s="7" t="s">
        <v>198</v>
      </c>
      <c r="H2379" s="7" t="s">
        <v>20</v>
      </c>
      <c r="I2379" s="7" t="s">
        <v>5102</v>
      </c>
      <c r="J2379" s="7" t="s">
        <v>21</v>
      </c>
      <c r="L2379" t="s">
        <v>3679</v>
      </c>
      <c r="M2379" s="7" t="s">
        <v>22</v>
      </c>
      <c r="N2379" s="7" t="s">
        <v>23</v>
      </c>
      <c r="O2379" s="7" t="s">
        <v>27</v>
      </c>
      <c r="P2379" s="7" t="s">
        <v>5101</v>
      </c>
      <c r="Q2379" s="26">
        <v>26</v>
      </c>
      <c r="R2379" s="26">
        <v>1</v>
      </c>
      <c r="S2379" s="40">
        <v>1</v>
      </c>
      <c r="T2379" s="7"/>
      <c r="U2379" s="7" t="s">
        <v>2951</v>
      </c>
      <c r="V2379" s="7" t="str">
        <f>+IF(U2379="","",IF(U2379="FINES",CONCATENATE("R",IF(OR(B2379="16",B2379="21",B2379="22",B2379="23"),"16212223",IF(OR(B2379="15",B2379="17",B2379="24",B2379="25"),"15172425",B2379))),IF(U2379="CEBAS","UNICO",IF(VALUE(B2379)&lt;=11,"AMBA","INTERIOR"))))</f>
        <v>R04</v>
      </c>
      <c r="W2379" s="38" t="str">
        <f>+IF(U2379="","-",CONCATENATE(U2379,"_",V2379))</f>
        <v>FINES_R04</v>
      </c>
      <c r="X2379" s="42">
        <v>0.82399999999999995</v>
      </c>
    </row>
    <row r="2380" spans="1:24">
      <c r="A2380" s="21" t="s">
        <v>5100</v>
      </c>
      <c r="B2380" t="s">
        <v>817</v>
      </c>
      <c r="C2380" t="s">
        <v>815</v>
      </c>
      <c r="D2380" t="s">
        <v>816</v>
      </c>
      <c r="E2380" s="7" t="s">
        <v>198</v>
      </c>
      <c r="F2380" s="7" t="s">
        <v>198</v>
      </c>
      <c r="G2380" s="7" t="s">
        <v>198</v>
      </c>
      <c r="H2380" s="7" t="s">
        <v>20</v>
      </c>
      <c r="I2380" s="7" t="s">
        <v>5102</v>
      </c>
      <c r="J2380" s="7" t="s">
        <v>21</v>
      </c>
      <c r="L2380" t="s">
        <v>3658</v>
      </c>
      <c r="M2380" s="7" t="s">
        <v>22</v>
      </c>
      <c r="N2380" s="7" t="s">
        <v>23</v>
      </c>
      <c r="O2380" s="7" t="s">
        <v>27</v>
      </c>
      <c r="P2380" s="7" t="s">
        <v>5101</v>
      </c>
      <c r="Q2380" s="26">
        <v>14</v>
      </c>
      <c r="R2380" s="26">
        <v>1</v>
      </c>
      <c r="S2380" s="40">
        <v>1</v>
      </c>
      <c r="T2380" s="7"/>
      <c r="U2380" s="7" t="s">
        <v>2951</v>
      </c>
      <c r="V2380" s="7" t="str">
        <f>+IF(U2380="","",IF(U2380="FINES",CONCATENATE("R",IF(OR(B2380="16",B2380="21",B2380="22",B2380="23"),"16212223",IF(OR(B2380="15",B2380="17",B2380="24",B2380="25"),"15172425",B2380))),IF(U2380="CEBAS","UNICO",IF(VALUE(B2380)&lt;=11,"AMBA","INTERIOR"))))</f>
        <v>R04</v>
      </c>
      <c r="W2380" s="38" t="str">
        <f>+IF(U2380="","-",CONCATENATE(U2380,"_",V2380))</f>
        <v>FINES_R04</v>
      </c>
      <c r="X2380" s="42">
        <v>0.82499999999999996</v>
      </c>
    </row>
    <row r="2381" spans="1:24">
      <c r="A2381" s="21" t="s">
        <v>5100</v>
      </c>
      <c r="B2381" t="s">
        <v>817</v>
      </c>
      <c r="C2381" t="s">
        <v>600</v>
      </c>
      <c r="D2381" t="s">
        <v>2661</v>
      </c>
      <c r="E2381" s="7" t="s">
        <v>198</v>
      </c>
      <c r="F2381" s="7" t="s">
        <v>198</v>
      </c>
      <c r="G2381" s="7" t="s">
        <v>198</v>
      </c>
      <c r="H2381" s="7" t="s">
        <v>20</v>
      </c>
      <c r="I2381" s="7" t="s">
        <v>5102</v>
      </c>
      <c r="J2381" s="7" t="s">
        <v>21</v>
      </c>
      <c r="L2381" t="s">
        <v>3604</v>
      </c>
      <c r="M2381" s="7" t="s">
        <v>22</v>
      </c>
      <c r="N2381" s="7" t="s">
        <v>23</v>
      </c>
      <c r="O2381" s="7" t="s">
        <v>27</v>
      </c>
      <c r="P2381" s="7" t="s">
        <v>5101</v>
      </c>
      <c r="Q2381" s="26">
        <v>15</v>
      </c>
      <c r="R2381" s="26">
        <v>1</v>
      </c>
      <c r="S2381" s="40">
        <v>1</v>
      </c>
      <c r="T2381" s="7"/>
      <c r="U2381" s="7" t="s">
        <v>2951</v>
      </c>
      <c r="V2381" s="7" t="str">
        <f>+IF(U2381="","",IF(U2381="FINES",CONCATENATE("R",IF(OR(B2381="16",B2381="21",B2381="22",B2381="23"),"16212223",IF(OR(B2381="15",B2381="17",B2381="24",B2381="25"),"15172425",B2381))),IF(U2381="CEBAS","UNICO",IF(VALUE(B2381)&lt;=11,"AMBA","INTERIOR"))))</f>
        <v>R04</v>
      </c>
      <c r="W2381" s="38" t="str">
        <f>+IF(U2381="","-",CONCATENATE(U2381,"_",V2381))</f>
        <v>FINES_R04</v>
      </c>
      <c r="X2381" s="42">
        <v>0.83099999999999996</v>
      </c>
    </row>
    <row r="2382" spans="1:24">
      <c r="A2382" s="21" t="s">
        <v>5100</v>
      </c>
      <c r="B2382" t="s">
        <v>817</v>
      </c>
      <c r="C2382" t="s">
        <v>600</v>
      </c>
      <c r="D2382" t="s">
        <v>2661</v>
      </c>
      <c r="E2382" s="7" t="s">
        <v>198</v>
      </c>
      <c r="F2382" s="7" t="s">
        <v>198</v>
      </c>
      <c r="G2382" s="7" t="s">
        <v>198</v>
      </c>
      <c r="H2382" s="7" t="s">
        <v>20</v>
      </c>
      <c r="I2382" s="7" t="s">
        <v>5102</v>
      </c>
      <c r="J2382" s="7" t="s">
        <v>21</v>
      </c>
      <c r="L2382" t="s">
        <v>3557</v>
      </c>
      <c r="M2382" s="7" t="s">
        <v>22</v>
      </c>
      <c r="N2382" s="7" t="s">
        <v>23</v>
      </c>
      <c r="O2382" s="7" t="s">
        <v>27</v>
      </c>
      <c r="P2382" s="7" t="s">
        <v>5101</v>
      </c>
      <c r="Q2382" s="26">
        <v>29</v>
      </c>
      <c r="R2382" s="26">
        <v>1</v>
      </c>
      <c r="S2382" s="40">
        <v>1</v>
      </c>
      <c r="T2382" s="7"/>
      <c r="U2382" s="7" t="s">
        <v>2951</v>
      </c>
      <c r="V2382" s="7" t="str">
        <f>+IF(U2382="","",IF(U2382="FINES",CONCATENATE("R",IF(OR(B2382="16",B2382="21",B2382="22",B2382="23"),"16212223",IF(OR(B2382="15",B2382="17",B2382="24",B2382="25"),"15172425",B2382))),IF(U2382="CEBAS","UNICO",IF(VALUE(B2382)&lt;=11,"AMBA","INTERIOR"))))</f>
        <v>R04</v>
      </c>
      <c r="W2382" s="38" t="str">
        <f>+IF(U2382="","-",CONCATENATE(U2382,"_",V2382))</f>
        <v>FINES_R04</v>
      </c>
      <c r="X2382" s="42">
        <v>0.83299999999999996</v>
      </c>
    </row>
    <row r="2383" spans="1:24">
      <c r="A2383" s="21" t="s">
        <v>5100</v>
      </c>
      <c r="B2383" t="s">
        <v>817</v>
      </c>
      <c r="C2383" t="s">
        <v>815</v>
      </c>
      <c r="D2383" t="s">
        <v>816</v>
      </c>
      <c r="E2383" s="7" t="s">
        <v>198</v>
      </c>
      <c r="F2383" s="7" t="s">
        <v>198</v>
      </c>
      <c r="G2383" s="7" t="s">
        <v>198</v>
      </c>
      <c r="H2383" s="7" t="s">
        <v>20</v>
      </c>
      <c r="I2383" s="7" t="s">
        <v>5102</v>
      </c>
      <c r="J2383" s="7" t="s">
        <v>21</v>
      </c>
      <c r="L2383" t="s">
        <v>874</v>
      </c>
      <c r="M2383" s="7" t="s">
        <v>22</v>
      </c>
      <c r="N2383" s="7" t="s">
        <v>23</v>
      </c>
      <c r="O2383" s="7" t="s">
        <v>27</v>
      </c>
      <c r="P2383" s="7" t="s">
        <v>5101</v>
      </c>
      <c r="Q2383" s="26">
        <v>22</v>
      </c>
      <c r="R2383" s="26">
        <v>1</v>
      </c>
      <c r="S2383" s="40">
        <v>1</v>
      </c>
      <c r="T2383" s="7"/>
      <c r="U2383" s="7" t="s">
        <v>2951</v>
      </c>
      <c r="V2383" s="7" t="str">
        <f>+IF(U2383="","",IF(U2383="FINES",CONCATENATE("R",IF(OR(B2383="16",B2383="21",B2383="22",B2383="23"),"16212223",IF(OR(B2383="15",B2383="17",B2383="24",B2383="25"),"15172425",B2383))),IF(U2383="CEBAS","UNICO",IF(VALUE(B2383)&lt;=11,"AMBA","INTERIOR"))))</f>
        <v>R04</v>
      </c>
      <c r="W2383" s="38" t="str">
        <f>+IF(U2383="","-",CONCATENATE(U2383,"_",V2383))</f>
        <v>FINES_R04</v>
      </c>
      <c r="X2383" s="42">
        <v>0.85599999999999998</v>
      </c>
    </row>
    <row r="2384" spans="1:24">
      <c r="A2384" s="21" t="s">
        <v>5100</v>
      </c>
      <c r="B2384" t="s">
        <v>817</v>
      </c>
      <c r="C2384" t="s">
        <v>815</v>
      </c>
      <c r="D2384" t="s">
        <v>816</v>
      </c>
      <c r="E2384" s="7" t="s">
        <v>198</v>
      </c>
      <c r="F2384" s="7" t="s">
        <v>198</v>
      </c>
      <c r="G2384" s="7" t="s">
        <v>198</v>
      </c>
      <c r="H2384" s="7" t="s">
        <v>20</v>
      </c>
      <c r="I2384" s="7" t="s">
        <v>5102</v>
      </c>
      <c r="J2384" s="7" t="s">
        <v>21</v>
      </c>
      <c r="L2384" t="s">
        <v>3663</v>
      </c>
      <c r="M2384" s="7" t="s">
        <v>22</v>
      </c>
      <c r="N2384" s="7" t="s">
        <v>23</v>
      </c>
      <c r="O2384" s="7" t="s">
        <v>27</v>
      </c>
      <c r="P2384" s="7" t="s">
        <v>5101</v>
      </c>
      <c r="Q2384" s="26">
        <v>14</v>
      </c>
      <c r="R2384" s="26">
        <v>1</v>
      </c>
      <c r="S2384" s="40">
        <v>1</v>
      </c>
      <c r="T2384" s="7"/>
      <c r="U2384" s="7" t="s">
        <v>2951</v>
      </c>
      <c r="V2384" s="7" t="str">
        <f>+IF(U2384="","",IF(U2384="FINES",CONCATENATE("R",IF(OR(B2384="16",B2384="21",B2384="22",B2384="23"),"16212223",IF(OR(B2384="15",B2384="17",B2384="24",B2384="25"),"15172425",B2384))),IF(U2384="CEBAS","UNICO",IF(VALUE(B2384)&lt;=11,"AMBA","INTERIOR"))))</f>
        <v>R04</v>
      </c>
      <c r="W2384" s="38" t="str">
        <f>+IF(U2384="","-",CONCATENATE(U2384,"_",V2384))</f>
        <v>FINES_R04</v>
      </c>
      <c r="X2384" s="42">
        <v>0.85899999999999999</v>
      </c>
    </row>
    <row r="2385" spans="1:24">
      <c r="A2385" s="21" t="s">
        <v>5100</v>
      </c>
      <c r="B2385" t="s">
        <v>817</v>
      </c>
      <c r="C2385" t="s">
        <v>815</v>
      </c>
      <c r="D2385" t="s">
        <v>816</v>
      </c>
      <c r="E2385" s="7" t="s">
        <v>198</v>
      </c>
      <c r="F2385" s="7" t="s">
        <v>198</v>
      </c>
      <c r="G2385" s="7" t="s">
        <v>198</v>
      </c>
      <c r="H2385" s="7" t="s">
        <v>20</v>
      </c>
      <c r="I2385" s="7" t="s">
        <v>5102</v>
      </c>
      <c r="J2385" s="7" t="s">
        <v>21</v>
      </c>
      <c r="L2385" t="s">
        <v>3614</v>
      </c>
      <c r="M2385" s="7" t="s">
        <v>22</v>
      </c>
      <c r="N2385" s="7" t="s">
        <v>23</v>
      </c>
      <c r="O2385" s="7" t="s">
        <v>27</v>
      </c>
      <c r="P2385" s="7" t="s">
        <v>5101</v>
      </c>
      <c r="Q2385" s="26">
        <v>17</v>
      </c>
      <c r="R2385" s="26">
        <v>1</v>
      </c>
      <c r="S2385" s="40">
        <v>1</v>
      </c>
      <c r="T2385" s="7"/>
      <c r="U2385" s="7" t="s">
        <v>2951</v>
      </c>
      <c r="V2385" s="7" t="str">
        <f>+IF(U2385="","",IF(U2385="FINES",CONCATENATE("R",IF(OR(B2385="16",B2385="21",B2385="22",B2385="23"),"16212223",IF(OR(B2385="15",B2385="17",B2385="24",B2385="25"),"15172425",B2385))),IF(U2385="CEBAS","UNICO",IF(VALUE(B2385)&lt;=11,"AMBA","INTERIOR"))))</f>
        <v>R04</v>
      </c>
      <c r="W2385" s="38" t="str">
        <f>+IF(U2385="","-",CONCATENATE(U2385,"_",V2385))</f>
        <v>FINES_R04</v>
      </c>
      <c r="X2385" s="42">
        <v>0.86599999999999999</v>
      </c>
    </row>
    <row r="2386" spans="1:24">
      <c r="A2386" s="21" t="s">
        <v>5100</v>
      </c>
      <c r="B2386" t="s">
        <v>817</v>
      </c>
      <c r="C2386" t="s">
        <v>600</v>
      </c>
      <c r="D2386" t="s">
        <v>2661</v>
      </c>
      <c r="E2386" s="7" t="s">
        <v>198</v>
      </c>
      <c r="F2386" s="7" t="s">
        <v>198</v>
      </c>
      <c r="G2386" s="7" t="s">
        <v>198</v>
      </c>
      <c r="H2386" s="7" t="s">
        <v>20</v>
      </c>
      <c r="I2386" s="7" t="s">
        <v>5102</v>
      </c>
      <c r="J2386" s="7" t="s">
        <v>21</v>
      </c>
      <c r="L2386" t="s">
        <v>3602</v>
      </c>
      <c r="M2386" s="7" t="s">
        <v>22</v>
      </c>
      <c r="N2386" s="7" t="s">
        <v>23</v>
      </c>
      <c r="O2386" s="7" t="s">
        <v>27</v>
      </c>
      <c r="P2386" s="7" t="s">
        <v>5101</v>
      </c>
      <c r="Q2386" s="26">
        <v>20</v>
      </c>
      <c r="R2386" s="26">
        <v>1</v>
      </c>
      <c r="S2386" s="40">
        <v>1</v>
      </c>
      <c r="T2386" s="7"/>
      <c r="U2386" s="7" t="s">
        <v>2951</v>
      </c>
      <c r="V2386" s="7" t="str">
        <f>+IF(U2386="","",IF(U2386="FINES",CONCATENATE("R",IF(OR(B2386="16",B2386="21",B2386="22",B2386="23"),"16212223",IF(OR(B2386="15",B2386="17",B2386="24",B2386="25"),"15172425",B2386))),IF(U2386="CEBAS","UNICO",IF(VALUE(B2386)&lt;=11,"AMBA","INTERIOR"))))</f>
        <v>R04</v>
      </c>
      <c r="W2386" s="38" t="str">
        <f>+IF(U2386="","-",CONCATENATE(U2386,"_",V2386))</f>
        <v>FINES_R04</v>
      </c>
      <c r="X2386" s="42">
        <v>0.873</v>
      </c>
    </row>
    <row r="2387" spans="1:24">
      <c r="A2387" s="21" t="s">
        <v>5100</v>
      </c>
      <c r="B2387" t="s">
        <v>817</v>
      </c>
      <c r="C2387" t="s">
        <v>2080</v>
      </c>
      <c r="D2387" t="s">
        <v>2081</v>
      </c>
      <c r="E2387" s="7" t="s">
        <v>198</v>
      </c>
      <c r="F2387" s="7" t="s">
        <v>198</v>
      </c>
      <c r="G2387" s="7" t="s">
        <v>198</v>
      </c>
      <c r="H2387" s="7" t="s">
        <v>20</v>
      </c>
      <c r="I2387" s="7" t="s">
        <v>5102</v>
      </c>
      <c r="J2387" s="7" t="s">
        <v>21</v>
      </c>
      <c r="L2387" t="s">
        <v>3674</v>
      </c>
      <c r="M2387" s="7" t="s">
        <v>22</v>
      </c>
      <c r="N2387" s="7" t="s">
        <v>23</v>
      </c>
      <c r="O2387" s="7" t="s">
        <v>27</v>
      </c>
      <c r="P2387" s="7" t="s">
        <v>5101</v>
      </c>
      <c r="Q2387" s="26">
        <v>48</v>
      </c>
      <c r="R2387" s="26">
        <v>3</v>
      </c>
      <c r="S2387" s="40">
        <v>1</v>
      </c>
      <c r="T2387" s="7"/>
      <c r="U2387" s="7" t="s">
        <v>2951</v>
      </c>
      <c r="V2387" s="7" t="str">
        <f>+IF(U2387="","",IF(U2387="FINES",CONCATENATE("R",IF(OR(B2387="16",B2387="21",B2387="22",B2387="23"),"16212223",IF(OR(B2387="15",B2387="17",B2387="24",B2387="25"),"15172425",B2387))),IF(U2387="CEBAS","UNICO",IF(VALUE(B2387)&lt;=11,"AMBA","INTERIOR"))))</f>
        <v>R04</v>
      </c>
      <c r="W2387" s="38" t="str">
        <f>+IF(U2387="","-",CONCATENATE(U2387,"_",V2387))</f>
        <v>FINES_R04</v>
      </c>
      <c r="X2387" s="42">
        <v>0.88100000000000001</v>
      </c>
    </row>
    <row r="2388" spans="1:24">
      <c r="A2388" s="21" t="s">
        <v>5100</v>
      </c>
      <c r="B2388" t="s">
        <v>817</v>
      </c>
      <c r="C2388" t="s">
        <v>2080</v>
      </c>
      <c r="D2388" t="s">
        <v>2081</v>
      </c>
      <c r="E2388" s="7" t="s">
        <v>198</v>
      </c>
      <c r="F2388" s="7" t="s">
        <v>198</v>
      </c>
      <c r="G2388" s="7" t="s">
        <v>198</v>
      </c>
      <c r="H2388" s="7" t="s">
        <v>20</v>
      </c>
      <c r="I2388" s="7" t="s">
        <v>5102</v>
      </c>
      <c r="J2388" s="7" t="s">
        <v>21</v>
      </c>
      <c r="L2388" t="s">
        <v>3695</v>
      </c>
      <c r="M2388" s="7" t="s">
        <v>22</v>
      </c>
      <c r="N2388" s="7" t="s">
        <v>23</v>
      </c>
      <c r="O2388" s="7" t="s">
        <v>27</v>
      </c>
      <c r="P2388" s="7" t="s">
        <v>5101</v>
      </c>
      <c r="Q2388" s="26">
        <v>18</v>
      </c>
      <c r="R2388" s="26">
        <v>1</v>
      </c>
      <c r="S2388" s="40">
        <v>1</v>
      </c>
      <c r="T2388" s="7"/>
      <c r="U2388" s="7" t="s">
        <v>2951</v>
      </c>
      <c r="V2388" s="7" t="str">
        <f>+IF(U2388="","",IF(U2388="FINES",CONCATENATE("R",IF(OR(B2388="16",B2388="21",B2388="22",B2388="23"),"16212223",IF(OR(B2388="15",B2388="17",B2388="24",B2388="25"),"15172425",B2388))),IF(U2388="CEBAS","UNICO",IF(VALUE(B2388)&lt;=11,"AMBA","INTERIOR"))))</f>
        <v>R04</v>
      </c>
      <c r="W2388" s="38" t="str">
        <f>+IF(U2388="","-",CONCATENATE(U2388,"_",V2388))</f>
        <v>FINES_R04</v>
      </c>
      <c r="X2388" s="42">
        <v>0.88200000000000001</v>
      </c>
    </row>
    <row r="2389" spans="1:24">
      <c r="A2389" s="21" t="s">
        <v>5100</v>
      </c>
      <c r="B2389" t="s">
        <v>817</v>
      </c>
      <c r="C2389" t="s">
        <v>815</v>
      </c>
      <c r="D2389" t="s">
        <v>816</v>
      </c>
      <c r="E2389" s="7" t="s">
        <v>198</v>
      </c>
      <c r="F2389" s="7" t="s">
        <v>198</v>
      </c>
      <c r="G2389" s="7" t="s">
        <v>198</v>
      </c>
      <c r="H2389" s="7" t="s">
        <v>20</v>
      </c>
      <c r="I2389" s="7" t="s">
        <v>5102</v>
      </c>
      <c r="J2389" s="7" t="s">
        <v>21</v>
      </c>
      <c r="L2389" t="s">
        <v>3632</v>
      </c>
      <c r="M2389" s="7" t="s">
        <v>22</v>
      </c>
      <c r="N2389" s="7" t="s">
        <v>23</v>
      </c>
      <c r="O2389" s="7" t="s">
        <v>27</v>
      </c>
      <c r="P2389" s="7" t="s">
        <v>5101</v>
      </c>
      <c r="Q2389" s="26">
        <v>17</v>
      </c>
      <c r="R2389" s="26">
        <v>1</v>
      </c>
      <c r="S2389" s="40">
        <v>1</v>
      </c>
      <c r="T2389" s="7"/>
      <c r="U2389" s="7" t="s">
        <v>2951</v>
      </c>
      <c r="V2389" s="7" t="str">
        <f>+IF(U2389="","",IF(U2389="FINES",CONCATENATE("R",IF(OR(B2389="16",B2389="21",B2389="22",B2389="23"),"16212223",IF(OR(B2389="15",B2389="17",B2389="24",B2389="25"),"15172425",B2389))),IF(U2389="CEBAS","UNICO",IF(VALUE(B2389)&lt;=11,"AMBA","INTERIOR"))))</f>
        <v>R04</v>
      </c>
      <c r="W2389" s="38" t="str">
        <f>+IF(U2389="","-",CONCATENATE(U2389,"_",V2389))</f>
        <v>FINES_R04</v>
      </c>
      <c r="X2389" s="42">
        <v>0.88300000000000001</v>
      </c>
    </row>
    <row r="2390" spans="1:24">
      <c r="A2390" s="21" t="s">
        <v>5100</v>
      </c>
      <c r="B2390" t="s">
        <v>817</v>
      </c>
      <c r="C2390" t="s">
        <v>600</v>
      </c>
      <c r="D2390" t="s">
        <v>2661</v>
      </c>
      <c r="E2390" s="7" t="s">
        <v>198</v>
      </c>
      <c r="F2390" s="7" t="s">
        <v>198</v>
      </c>
      <c r="G2390" s="7" t="s">
        <v>198</v>
      </c>
      <c r="H2390" s="7" t="s">
        <v>20</v>
      </c>
      <c r="I2390" s="7" t="s">
        <v>5102</v>
      </c>
      <c r="J2390" s="7" t="s">
        <v>21</v>
      </c>
      <c r="L2390" t="s">
        <v>3551</v>
      </c>
      <c r="M2390" s="7" t="s">
        <v>22</v>
      </c>
      <c r="N2390" s="7" t="s">
        <v>23</v>
      </c>
      <c r="O2390" s="7" t="s">
        <v>27</v>
      </c>
      <c r="P2390" s="7" t="s">
        <v>5101</v>
      </c>
      <c r="Q2390" s="26">
        <v>32</v>
      </c>
      <c r="R2390" s="26">
        <v>1</v>
      </c>
      <c r="S2390" s="40">
        <v>1</v>
      </c>
      <c r="T2390" s="7"/>
      <c r="U2390" s="7" t="s">
        <v>2951</v>
      </c>
      <c r="V2390" s="7" t="str">
        <f>+IF(U2390="","",IF(U2390="FINES",CONCATENATE("R",IF(OR(B2390="16",B2390="21",B2390="22",B2390="23"),"16212223",IF(OR(B2390="15",B2390="17",B2390="24",B2390="25"),"15172425",B2390))),IF(U2390="CEBAS","UNICO",IF(VALUE(B2390)&lt;=11,"AMBA","INTERIOR"))))</f>
        <v>R04</v>
      </c>
      <c r="W2390" s="38" t="str">
        <f>+IF(U2390="","-",CONCATENATE(U2390,"_",V2390))</f>
        <v>FINES_R04</v>
      </c>
      <c r="X2390" s="42">
        <v>0.88900000000000001</v>
      </c>
    </row>
    <row r="2391" spans="1:24">
      <c r="A2391" s="21" t="s">
        <v>5100</v>
      </c>
      <c r="B2391" t="s">
        <v>817</v>
      </c>
      <c r="C2391" t="s">
        <v>815</v>
      </c>
      <c r="D2391" t="s">
        <v>816</v>
      </c>
      <c r="E2391" s="7" t="s">
        <v>198</v>
      </c>
      <c r="F2391" s="7" t="s">
        <v>198</v>
      </c>
      <c r="G2391" s="7" t="s">
        <v>198</v>
      </c>
      <c r="H2391" s="7" t="s">
        <v>20</v>
      </c>
      <c r="I2391" s="7" t="s">
        <v>5102</v>
      </c>
      <c r="J2391" s="7" t="s">
        <v>21</v>
      </c>
      <c r="L2391" t="s">
        <v>3660</v>
      </c>
      <c r="M2391" s="7" t="s">
        <v>22</v>
      </c>
      <c r="N2391" s="7" t="s">
        <v>23</v>
      </c>
      <c r="O2391" s="7" t="s">
        <v>27</v>
      </c>
      <c r="P2391" s="7" t="s">
        <v>5101</v>
      </c>
      <c r="Q2391" s="26">
        <v>81</v>
      </c>
      <c r="R2391" s="26">
        <v>3</v>
      </c>
      <c r="S2391" s="40">
        <v>1</v>
      </c>
      <c r="T2391" s="7"/>
      <c r="U2391" s="7" t="s">
        <v>2951</v>
      </c>
      <c r="V2391" s="7" t="str">
        <f>+IF(U2391="","",IF(U2391="FINES",CONCATENATE("R",IF(OR(B2391="16",B2391="21",B2391="22",B2391="23"),"16212223",IF(OR(B2391="15",B2391="17",B2391="24",B2391="25"),"15172425",B2391))),IF(U2391="CEBAS","UNICO",IF(VALUE(B2391)&lt;=11,"AMBA","INTERIOR"))))</f>
        <v>R04</v>
      </c>
      <c r="W2391" s="38" t="str">
        <f>+IF(U2391="","-",CONCATENATE(U2391,"_",V2391))</f>
        <v>FINES_R04</v>
      </c>
      <c r="X2391" s="42">
        <v>0.89</v>
      </c>
    </row>
    <row r="2392" spans="1:24">
      <c r="A2392" s="21" t="s">
        <v>5100</v>
      </c>
      <c r="B2392" t="s">
        <v>817</v>
      </c>
      <c r="C2392" t="s">
        <v>815</v>
      </c>
      <c r="D2392" t="s">
        <v>816</v>
      </c>
      <c r="E2392" s="7" t="s">
        <v>198</v>
      </c>
      <c r="F2392" s="7" t="s">
        <v>198</v>
      </c>
      <c r="G2392" s="7" t="s">
        <v>198</v>
      </c>
      <c r="H2392" s="7" t="s">
        <v>20</v>
      </c>
      <c r="I2392" s="7" t="s">
        <v>5102</v>
      </c>
      <c r="J2392" s="7" t="s">
        <v>21</v>
      </c>
      <c r="L2392" t="s">
        <v>3650</v>
      </c>
      <c r="M2392" s="7" t="s">
        <v>22</v>
      </c>
      <c r="N2392" s="7" t="s">
        <v>23</v>
      </c>
      <c r="O2392" s="7" t="s">
        <v>27</v>
      </c>
      <c r="P2392" s="7" t="s">
        <v>5101</v>
      </c>
      <c r="Q2392" s="26">
        <v>40</v>
      </c>
      <c r="R2392" s="26">
        <v>2</v>
      </c>
      <c r="S2392" s="40">
        <v>1</v>
      </c>
      <c r="T2392" s="7"/>
      <c r="U2392" s="7" t="s">
        <v>2951</v>
      </c>
      <c r="V2392" s="7" t="str">
        <f>+IF(U2392="","",IF(U2392="FINES",CONCATENATE("R",IF(OR(B2392="16",B2392="21",B2392="22",B2392="23"),"16212223",IF(OR(B2392="15",B2392="17",B2392="24",B2392="25"),"15172425",B2392))),IF(U2392="CEBAS","UNICO",IF(VALUE(B2392)&lt;=11,"AMBA","INTERIOR"))))</f>
        <v>R04</v>
      </c>
      <c r="W2392" s="38" t="str">
        <f>+IF(U2392="","-",CONCATENATE(U2392,"_",V2392))</f>
        <v>FINES_R04</v>
      </c>
      <c r="X2392" s="42">
        <v>0.89600000000000002</v>
      </c>
    </row>
    <row r="2393" spans="1:24">
      <c r="A2393" s="21" t="s">
        <v>5100</v>
      </c>
      <c r="B2393" t="s">
        <v>817</v>
      </c>
      <c r="C2393" t="s">
        <v>2080</v>
      </c>
      <c r="D2393" t="s">
        <v>2081</v>
      </c>
      <c r="E2393" s="7" t="s">
        <v>198</v>
      </c>
      <c r="F2393" s="7" t="s">
        <v>198</v>
      </c>
      <c r="G2393" s="7" t="s">
        <v>198</v>
      </c>
      <c r="H2393" s="7" t="s">
        <v>20</v>
      </c>
      <c r="I2393" s="7" t="s">
        <v>5102</v>
      </c>
      <c r="J2393" s="7" t="s">
        <v>21</v>
      </c>
      <c r="L2393" t="s">
        <v>3700</v>
      </c>
      <c r="M2393" s="7" t="s">
        <v>22</v>
      </c>
      <c r="N2393" s="7" t="s">
        <v>23</v>
      </c>
      <c r="O2393" s="7" t="s">
        <v>27</v>
      </c>
      <c r="P2393" s="7" t="s">
        <v>5101</v>
      </c>
      <c r="Q2393" s="26">
        <v>183</v>
      </c>
      <c r="R2393" s="26">
        <v>6</v>
      </c>
      <c r="S2393" s="40">
        <v>1</v>
      </c>
      <c r="T2393" s="7"/>
      <c r="U2393" s="7" t="s">
        <v>2951</v>
      </c>
      <c r="V2393" s="7" t="str">
        <f>+IF(U2393="","",IF(U2393="FINES",CONCATENATE("R",IF(OR(B2393="16",B2393="21",B2393="22",B2393="23"),"16212223",IF(OR(B2393="15",B2393="17",B2393="24",B2393="25"),"15172425",B2393))),IF(U2393="CEBAS","UNICO",IF(VALUE(B2393)&lt;=11,"AMBA","INTERIOR"))))</f>
        <v>R04</v>
      </c>
      <c r="W2393" s="38" t="str">
        <f>+IF(U2393="","-",CONCATENATE(U2393,"_",V2393))</f>
        <v>FINES_R04</v>
      </c>
      <c r="X2393" s="42">
        <v>0.89800000000000002</v>
      </c>
    </row>
    <row r="2394" spans="1:24">
      <c r="A2394" s="21" t="s">
        <v>5100</v>
      </c>
      <c r="B2394" t="s">
        <v>817</v>
      </c>
      <c r="C2394" t="s">
        <v>600</v>
      </c>
      <c r="D2394" t="s">
        <v>2661</v>
      </c>
      <c r="E2394" s="7" t="s">
        <v>198</v>
      </c>
      <c r="F2394" s="7" t="s">
        <v>198</v>
      </c>
      <c r="G2394" s="7" t="s">
        <v>198</v>
      </c>
      <c r="H2394" s="7" t="s">
        <v>20</v>
      </c>
      <c r="I2394" s="7" t="s">
        <v>5102</v>
      </c>
      <c r="J2394" s="7" t="s">
        <v>21</v>
      </c>
      <c r="L2394" t="s">
        <v>3603</v>
      </c>
      <c r="M2394" s="7" t="s">
        <v>22</v>
      </c>
      <c r="N2394" s="7" t="s">
        <v>23</v>
      </c>
      <c r="O2394" s="7" t="s">
        <v>27</v>
      </c>
      <c r="P2394" s="7" t="s">
        <v>5101</v>
      </c>
      <c r="Q2394" s="26">
        <v>30</v>
      </c>
      <c r="R2394" s="26">
        <v>1</v>
      </c>
      <c r="S2394" s="40">
        <v>1</v>
      </c>
      <c r="T2394" s="7"/>
      <c r="U2394" s="7" t="s">
        <v>2951</v>
      </c>
      <c r="V2394" s="7" t="str">
        <f>+IF(U2394="","",IF(U2394="FINES",CONCATENATE("R",IF(OR(B2394="16",B2394="21",B2394="22",B2394="23"),"16212223",IF(OR(B2394="15",B2394="17",B2394="24",B2394="25"),"15172425",B2394))),IF(U2394="CEBAS","UNICO",IF(VALUE(B2394)&lt;=11,"AMBA","INTERIOR"))))</f>
        <v>R04</v>
      </c>
      <c r="W2394" s="38" t="str">
        <f>+IF(U2394="","-",CONCATENATE(U2394,"_",V2394))</f>
        <v>FINES_R04</v>
      </c>
      <c r="X2394" s="42">
        <v>0.90400000000000003</v>
      </c>
    </row>
    <row r="2395" spans="1:24">
      <c r="A2395" s="21" t="s">
        <v>5100</v>
      </c>
      <c r="B2395" t="s">
        <v>817</v>
      </c>
      <c r="C2395" t="s">
        <v>2080</v>
      </c>
      <c r="D2395" t="s">
        <v>2081</v>
      </c>
      <c r="E2395" s="7" t="s">
        <v>198</v>
      </c>
      <c r="F2395" s="7" t="s">
        <v>198</v>
      </c>
      <c r="G2395" s="7" t="s">
        <v>198</v>
      </c>
      <c r="H2395" s="7" t="s">
        <v>20</v>
      </c>
      <c r="I2395" s="7" t="s">
        <v>5102</v>
      </c>
      <c r="J2395" s="7" t="s">
        <v>21</v>
      </c>
      <c r="L2395" t="s">
        <v>3708</v>
      </c>
      <c r="M2395" s="7" t="s">
        <v>22</v>
      </c>
      <c r="N2395" s="7" t="s">
        <v>23</v>
      </c>
      <c r="O2395" s="7" t="s">
        <v>27</v>
      </c>
      <c r="P2395" s="7" t="s">
        <v>5101</v>
      </c>
      <c r="Q2395" s="26">
        <v>25</v>
      </c>
      <c r="R2395" s="26">
        <v>1</v>
      </c>
      <c r="S2395" s="40">
        <v>1</v>
      </c>
      <c r="T2395" s="7"/>
      <c r="U2395" s="7" t="s">
        <v>2951</v>
      </c>
      <c r="V2395" s="7" t="str">
        <f>+IF(U2395="","",IF(U2395="FINES",CONCATENATE("R",IF(OR(B2395="16",B2395="21",B2395="22",B2395="23"),"16212223",IF(OR(B2395="15",B2395="17",B2395="24",B2395="25"),"15172425",B2395))),IF(U2395="CEBAS","UNICO",IF(VALUE(B2395)&lt;=11,"AMBA","INTERIOR"))))</f>
        <v>R04</v>
      </c>
      <c r="W2395" s="38" t="str">
        <f>+IF(U2395="","-",CONCATENATE(U2395,"_",V2395))</f>
        <v>FINES_R04</v>
      </c>
      <c r="X2395" s="42">
        <v>0.91</v>
      </c>
    </row>
    <row r="2396" spans="1:24">
      <c r="A2396" s="21" t="s">
        <v>5100</v>
      </c>
      <c r="B2396" t="s">
        <v>817</v>
      </c>
      <c r="C2396" t="s">
        <v>600</v>
      </c>
      <c r="D2396" t="s">
        <v>2661</v>
      </c>
      <c r="E2396" s="7" t="s">
        <v>198</v>
      </c>
      <c r="F2396" s="7" t="s">
        <v>198</v>
      </c>
      <c r="G2396" s="7" t="s">
        <v>198</v>
      </c>
      <c r="H2396" s="7" t="s">
        <v>20</v>
      </c>
      <c r="I2396" s="7" t="s">
        <v>5102</v>
      </c>
      <c r="J2396" s="7" t="s">
        <v>21</v>
      </c>
      <c r="L2396" t="s">
        <v>3597</v>
      </c>
      <c r="M2396" s="7" t="s">
        <v>22</v>
      </c>
      <c r="N2396" s="7" t="s">
        <v>23</v>
      </c>
      <c r="O2396" s="7" t="s">
        <v>27</v>
      </c>
      <c r="P2396" s="7" t="s">
        <v>5101</v>
      </c>
      <c r="Q2396" s="26">
        <v>17</v>
      </c>
      <c r="R2396" s="26">
        <v>1</v>
      </c>
      <c r="S2396" s="40">
        <v>1</v>
      </c>
      <c r="T2396" s="7"/>
      <c r="U2396" s="7" t="s">
        <v>2951</v>
      </c>
      <c r="V2396" s="7" t="str">
        <f>+IF(U2396="","",IF(U2396="FINES",CONCATENATE("R",IF(OR(B2396="16",B2396="21",B2396="22",B2396="23"),"16212223",IF(OR(B2396="15",B2396="17",B2396="24",B2396="25"),"15172425",B2396))),IF(U2396="CEBAS","UNICO",IF(VALUE(B2396)&lt;=11,"AMBA","INTERIOR"))))</f>
        <v>R04</v>
      </c>
      <c r="W2396" s="38" t="str">
        <f>+IF(U2396="","-",CONCATENATE(U2396,"_",V2396))</f>
        <v>FINES_R04</v>
      </c>
      <c r="X2396" s="42">
        <v>0.91300000000000003</v>
      </c>
    </row>
    <row r="2397" spans="1:24">
      <c r="A2397" s="21" t="s">
        <v>5100</v>
      </c>
      <c r="B2397" t="s">
        <v>817</v>
      </c>
      <c r="C2397" t="s">
        <v>815</v>
      </c>
      <c r="D2397" t="s">
        <v>816</v>
      </c>
      <c r="E2397" s="7" t="s">
        <v>198</v>
      </c>
      <c r="F2397" s="7" t="s">
        <v>198</v>
      </c>
      <c r="G2397" s="7" t="s">
        <v>198</v>
      </c>
      <c r="H2397" s="7" t="s">
        <v>20</v>
      </c>
      <c r="I2397" s="7" t="s">
        <v>5102</v>
      </c>
      <c r="J2397" s="7" t="s">
        <v>21</v>
      </c>
      <c r="L2397" t="s">
        <v>3612</v>
      </c>
      <c r="M2397" s="7" t="s">
        <v>22</v>
      </c>
      <c r="N2397" s="7" t="s">
        <v>23</v>
      </c>
      <c r="O2397" s="7" t="s">
        <v>27</v>
      </c>
      <c r="P2397" s="7" t="s">
        <v>5101</v>
      </c>
      <c r="Q2397" s="26">
        <v>19</v>
      </c>
      <c r="R2397" s="26">
        <v>1</v>
      </c>
      <c r="S2397" s="40">
        <v>1</v>
      </c>
      <c r="T2397" s="7"/>
      <c r="U2397" s="7" t="s">
        <v>2951</v>
      </c>
      <c r="V2397" s="7" t="str">
        <f>+IF(U2397="","",IF(U2397="FINES",CONCATENATE("R",IF(OR(B2397="16",B2397="21",B2397="22",B2397="23"),"16212223",IF(OR(B2397="15",B2397="17",B2397="24",B2397="25"),"15172425",B2397))),IF(U2397="CEBAS","UNICO",IF(VALUE(B2397)&lt;=11,"AMBA","INTERIOR"))))</f>
        <v>R04</v>
      </c>
      <c r="W2397" s="38" t="str">
        <f>+IF(U2397="","-",CONCATENATE(U2397,"_",V2397))</f>
        <v>FINES_R04</v>
      </c>
      <c r="X2397" s="42">
        <v>0.91400000000000003</v>
      </c>
    </row>
    <row r="2398" spans="1:24">
      <c r="A2398" s="21" t="s">
        <v>5100</v>
      </c>
      <c r="B2398" t="s">
        <v>817</v>
      </c>
      <c r="C2398" t="s">
        <v>600</v>
      </c>
      <c r="D2398" t="s">
        <v>2661</v>
      </c>
      <c r="E2398" s="7" t="s">
        <v>198</v>
      </c>
      <c r="F2398" s="7" t="s">
        <v>198</v>
      </c>
      <c r="G2398" s="7" t="s">
        <v>198</v>
      </c>
      <c r="H2398" s="7" t="s">
        <v>20</v>
      </c>
      <c r="I2398" s="7" t="s">
        <v>5102</v>
      </c>
      <c r="J2398" s="7" t="s">
        <v>21</v>
      </c>
      <c r="L2398" t="s">
        <v>3575</v>
      </c>
      <c r="M2398" s="7" t="s">
        <v>22</v>
      </c>
      <c r="N2398" s="7" t="s">
        <v>23</v>
      </c>
      <c r="O2398" s="7" t="s">
        <v>27</v>
      </c>
      <c r="P2398" s="7" t="s">
        <v>5101</v>
      </c>
      <c r="Q2398" s="26">
        <v>66</v>
      </c>
      <c r="R2398" s="26">
        <v>2</v>
      </c>
      <c r="S2398" s="40">
        <v>1</v>
      </c>
      <c r="T2398" s="7"/>
      <c r="U2398" s="7" t="s">
        <v>2951</v>
      </c>
      <c r="V2398" s="7" t="str">
        <f>+IF(U2398="","",IF(U2398="FINES",CONCATENATE("R",IF(OR(B2398="16",B2398="21",B2398="22",B2398="23"),"16212223",IF(OR(B2398="15",B2398="17",B2398="24",B2398="25"),"15172425",B2398))),IF(U2398="CEBAS","UNICO",IF(VALUE(B2398)&lt;=11,"AMBA","INTERIOR"))))</f>
        <v>R04</v>
      </c>
      <c r="W2398" s="38" t="str">
        <f>+IF(U2398="","-",CONCATENATE(U2398,"_",V2398))</f>
        <v>FINES_R04</v>
      </c>
      <c r="X2398" s="42">
        <v>0.92100000000000004</v>
      </c>
    </row>
    <row r="2399" spans="1:24">
      <c r="A2399" s="21" t="s">
        <v>5100</v>
      </c>
      <c r="B2399" t="s">
        <v>817</v>
      </c>
      <c r="C2399" t="s">
        <v>815</v>
      </c>
      <c r="D2399" t="s">
        <v>816</v>
      </c>
      <c r="E2399" s="7" t="s">
        <v>198</v>
      </c>
      <c r="F2399" s="7" t="s">
        <v>198</v>
      </c>
      <c r="G2399" s="7" t="s">
        <v>198</v>
      </c>
      <c r="H2399" s="7" t="s">
        <v>20</v>
      </c>
      <c r="I2399" s="7" t="s">
        <v>5102</v>
      </c>
      <c r="J2399" s="7" t="s">
        <v>21</v>
      </c>
      <c r="L2399" t="s">
        <v>3616</v>
      </c>
      <c r="M2399" s="7" t="s">
        <v>22</v>
      </c>
      <c r="N2399" s="7" t="s">
        <v>23</v>
      </c>
      <c r="O2399" s="7" t="s">
        <v>27</v>
      </c>
      <c r="P2399" s="7" t="s">
        <v>5101</v>
      </c>
      <c r="Q2399" s="26">
        <v>147</v>
      </c>
      <c r="R2399" s="26">
        <v>4</v>
      </c>
      <c r="S2399" s="40">
        <v>1</v>
      </c>
      <c r="T2399" s="7"/>
      <c r="U2399" s="7" t="s">
        <v>2951</v>
      </c>
      <c r="V2399" s="7" t="str">
        <f>+IF(U2399="","",IF(U2399="FINES",CONCATENATE("R",IF(OR(B2399="16",B2399="21",B2399="22",B2399="23"),"16212223",IF(OR(B2399="15",B2399="17",B2399="24",B2399="25"),"15172425",B2399))),IF(U2399="CEBAS","UNICO",IF(VALUE(B2399)&lt;=11,"AMBA","INTERIOR"))))</f>
        <v>R04</v>
      </c>
      <c r="W2399" s="38" t="str">
        <f>+IF(U2399="","-",CONCATENATE(U2399,"_",V2399))</f>
        <v>FINES_R04</v>
      </c>
      <c r="X2399" s="42">
        <v>0.92200000000000004</v>
      </c>
    </row>
    <row r="2400" spans="1:24">
      <c r="A2400" s="21" t="s">
        <v>5100</v>
      </c>
      <c r="B2400" t="s">
        <v>817</v>
      </c>
      <c r="C2400" t="s">
        <v>815</v>
      </c>
      <c r="D2400" t="s">
        <v>816</v>
      </c>
      <c r="E2400" s="7" t="s">
        <v>198</v>
      </c>
      <c r="F2400" s="7" t="s">
        <v>198</v>
      </c>
      <c r="G2400" s="7" t="s">
        <v>198</v>
      </c>
      <c r="H2400" s="7" t="s">
        <v>20</v>
      </c>
      <c r="I2400" s="7" t="s">
        <v>5102</v>
      </c>
      <c r="J2400" s="7" t="s">
        <v>21</v>
      </c>
      <c r="L2400" t="s">
        <v>3640</v>
      </c>
      <c r="M2400" s="7" t="s">
        <v>22</v>
      </c>
      <c r="N2400" s="7" t="s">
        <v>23</v>
      </c>
      <c r="O2400" s="7" t="s">
        <v>27</v>
      </c>
      <c r="P2400" s="7" t="s">
        <v>5101</v>
      </c>
      <c r="Q2400" s="26">
        <v>0</v>
      </c>
      <c r="R2400" s="26">
        <v>1</v>
      </c>
      <c r="S2400" s="40">
        <v>1</v>
      </c>
      <c r="T2400" s="7"/>
      <c r="U2400" s="7" t="s">
        <v>2951</v>
      </c>
      <c r="V2400" s="7" t="str">
        <f>+IF(U2400="","",IF(U2400="FINES",CONCATENATE("R",IF(OR(B2400="16",B2400="21",B2400="22",B2400="23"),"16212223",IF(OR(B2400="15",B2400="17",B2400="24",B2400="25"),"15172425",B2400))),IF(U2400="CEBAS","UNICO",IF(VALUE(B2400)&lt;=11,"AMBA","INTERIOR"))))</f>
        <v>R04</v>
      </c>
      <c r="W2400" s="38" t="str">
        <f>+IF(U2400="","-",CONCATENATE(U2400,"_",V2400))</f>
        <v>FINES_R04</v>
      </c>
      <c r="X2400" s="42">
        <v>0.93200000000000005</v>
      </c>
    </row>
    <row r="2401" spans="1:24">
      <c r="A2401" s="21" t="s">
        <v>5100</v>
      </c>
      <c r="B2401" t="s">
        <v>817</v>
      </c>
      <c r="C2401" t="s">
        <v>815</v>
      </c>
      <c r="D2401" t="s">
        <v>816</v>
      </c>
      <c r="E2401" s="7" t="s">
        <v>198</v>
      </c>
      <c r="F2401" s="7" t="s">
        <v>198</v>
      </c>
      <c r="G2401" s="7" t="s">
        <v>198</v>
      </c>
      <c r="H2401" s="7" t="s">
        <v>20</v>
      </c>
      <c r="I2401" s="7" t="s">
        <v>5102</v>
      </c>
      <c r="J2401" s="7" t="s">
        <v>21</v>
      </c>
      <c r="L2401" t="s">
        <v>3662</v>
      </c>
      <c r="M2401" s="7" t="s">
        <v>22</v>
      </c>
      <c r="N2401" s="7" t="s">
        <v>23</v>
      </c>
      <c r="O2401" s="7" t="s">
        <v>27</v>
      </c>
      <c r="P2401" s="7" t="s">
        <v>5101</v>
      </c>
      <c r="Q2401" s="26">
        <v>258</v>
      </c>
      <c r="R2401" s="26">
        <v>6</v>
      </c>
      <c r="S2401" s="40">
        <v>1</v>
      </c>
      <c r="T2401" s="7"/>
      <c r="U2401" s="7" t="s">
        <v>2951</v>
      </c>
      <c r="V2401" s="7" t="str">
        <f>+IF(U2401="","",IF(U2401="FINES",CONCATENATE("R",IF(OR(B2401="16",B2401="21",B2401="22",B2401="23"),"16212223",IF(OR(B2401="15",B2401="17",B2401="24",B2401="25"),"15172425",B2401))),IF(U2401="CEBAS","UNICO",IF(VALUE(B2401)&lt;=11,"AMBA","INTERIOR"))))</f>
        <v>R04</v>
      </c>
      <c r="W2401" s="38" t="str">
        <f>+IF(U2401="","-",CONCATENATE(U2401,"_",V2401))</f>
        <v>FINES_R04</v>
      </c>
      <c r="X2401" s="42">
        <v>0.94199999999999995</v>
      </c>
    </row>
    <row r="2402" spans="1:24">
      <c r="A2402" s="21" t="s">
        <v>5100</v>
      </c>
      <c r="B2402" t="s">
        <v>817</v>
      </c>
      <c r="C2402" t="s">
        <v>815</v>
      </c>
      <c r="D2402" t="s">
        <v>816</v>
      </c>
      <c r="E2402" s="7" t="s">
        <v>198</v>
      </c>
      <c r="F2402" s="7" t="s">
        <v>198</v>
      </c>
      <c r="G2402" s="7" t="s">
        <v>198</v>
      </c>
      <c r="H2402" s="7" t="s">
        <v>20</v>
      </c>
      <c r="I2402" s="7" t="s">
        <v>5102</v>
      </c>
      <c r="J2402" s="7" t="s">
        <v>21</v>
      </c>
      <c r="L2402" t="s">
        <v>3613</v>
      </c>
      <c r="M2402" s="7" t="s">
        <v>22</v>
      </c>
      <c r="N2402" s="7" t="s">
        <v>23</v>
      </c>
      <c r="O2402" s="7" t="s">
        <v>27</v>
      </c>
      <c r="P2402" s="7" t="s">
        <v>5101</v>
      </c>
      <c r="Q2402" s="26">
        <v>68</v>
      </c>
      <c r="R2402" s="26">
        <v>2</v>
      </c>
      <c r="S2402" s="40">
        <v>1</v>
      </c>
      <c r="T2402" s="7"/>
      <c r="U2402" s="7" t="s">
        <v>2951</v>
      </c>
      <c r="V2402" s="7" t="str">
        <f>+IF(U2402="","",IF(U2402="FINES",CONCATENATE("R",IF(OR(B2402="16",B2402="21",B2402="22",B2402="23"),"16212223",IF(OR(B2402="15",B2402="17",B2402="24",B2402="25"),"15172425",B2402))),IF(U2402="CEBAS","UNICO",IF(VALUE(B2402)&lt;=11,"AMBA","INTERIOR"))))</f>
        <v>R04</v>
      </c>
      <c r="W2402" s="38" t="str">
        <f>+IF(U2402="","-",CONCATENATE(U2402,"_",V2402))</f>
        <v>FINES_R04</v>
      </c>
      <c r="X2402" s="42">
        <v>0.95399999999999996</v>
      </c>
    </row>
    <row r="2403" spans="1:24">
      <c r="A2403" s="21" t="s">
        <v>5100</v>
      </c>
      <c r="B2403" t="s">
        <v>817</v>
      </c>
      <c r="C2403" t="s">
        <v>815</v>
      </c>
      <c r="D2403" t="s">
        <v>816</v>
      </c>
      <c r="E2403" s="7" t="s">
        <v>198</v>
      </c>
      <c r="F2403" s="7" t="s">
        <v>198</v>
      </c>
      <c r="G2403" s="7" t="s">
        <v>198</v>
      </c>
      <c r="H2403" s="7" t="s">
        <v>20</v>
      </c>
      <c r="I2403" s="7" t="s">
        <v>5102</v>
      </c>
      <c r="J2403" s="7" t="s">
        <v>21</v>
      </c>
      <c r="L2403" t="s">
        <v>3666</v>
      </c>
      <c r="M2403" s="7" t="s">
        <v>22</v>
      </c>
      <c r="N2403" s="7" t="s">
        <v>23</v>
      </c>
      <c r="O2403" s="7" t="s">
        <v>27</v>
      </c>
      <c r="P2403" s="7" t="s">
        <v>5101</v>
      </c>
      <c r="Q2403" s="26">
        <v>20</v>
      </c>
      <c r="R2403" s="26">
        <v>1</v>
      </c>
      <c r="S2403" s="40">
        <v>1</v>
      </c>
      <c r="T2403" s="7"/>
      <c r="U2403" s="7" t="s">
        <v>2951</v>
      </c>
      <c r="V2403" s="7" t="str">
        <f>+IF(U2403="","",IF(U2403="FINES",CONCATENATE("R",IF(OR(B2403="16",B2403="21",B2403="22",B2403="23"),"16212223",IF(OR(B2403="15",B2403="17",B2403="24",B2403="25"),"15172425",B2403))),IF(U2403="CEBAS","UNICO",IF(VALUE(B2403)&lt;=11,"AMBA","INTERIOR"))))</f>
        <v>R04</v>
      </c>
      <c r="W2403" s="38" t="str">
        <f>+IF(U2403="","-",CONCATENATE(U2403,"_",V2403))</f>
        <v>FINES_R04</v>
      </c>
      <c r="X2403" s="42">
        <v>0.95599999999999996</v>
      </c>
    </row>
    <row r="2404" spans="1:24">
      <c r="A2404" s="21" t="s">
        <v>5100</v>
      </c>
      <c r="B2404" t="s">
        <v>817</v>
      </c>
      <c r="C2404" t="s">
        <v>2080</v>
      </c>
      <c r="D2404" t="s">
        <v>2081</v>
      </c>
      <c r="E2404" s="7" t="s">
        <v>198</v>
      </c>
      <c r="F2404" s="7" t="s">
        <v>198</v>
      </c>
      <c r="G2404" s="7" t="s">
        <v>198</v>
      </c>
      <c r="H2404" s="7" t="s">
        <v>20</v>
      </c>
      <c r="I2404" s="7" t="s">
        <v>5102</v>
      </c>
      <c r="J2404" s="7" t="s">
        <v>21</v>
      </c>
      <c r="L2404" t="s">
        <v>3669</v>
      </c>
      <c r="M2404" s="7" t="s">
        <v>22</v>
      </c>
      <c r="N2404" s="7" t="s">
        <v>23</v>
      </c>
      <c r="O2404" s="7" t="s">
        <v>27</v>
      </c>
      <c r="P2404" s="7" t="s">
        <v>5101</v>
      </c>
      <c r="Q2404" s="26">
        <v>16</v>
      </c>
      <c r="R2404" s="26">
        <v>1</v>
      </c>
      <c r="S2404" s="40">
        <v>1</v>
      </c>
      <c r="T2404" s="7"/>
      <c r="U2404" s="7" t="s">
        <v>2951</v>
      </c>
      <c r="V2404" s="7" t="str">
        <f>+IF(U2404="","",IF(U2404="FINES",CONCATENATE("R",IF(OR(B2404="16",B2404="21",B2404="22",B2404="23"),"16212223",IF(OR(B2404="15",B2404="17",B2404="24",B2404="25"),"15172425",B2404))),IF(U2404="CEBAS","UNICO",IF(VALUE(B2404)&lt;=11,"AMBA","INTERIOR"))))</f>
        <v>R04</v>
      </c>
      <c r="W2404" s="38" t="str">
        <f>+IF(U2404="","-",CONCATENATE(U2404,"_",V2404))</f>
        <v>FINES_R04</v>
      </c>
      <c r="X2404" s="42">
        <v>0.95799999999999996</v>
      </c>
    </row>
    <row r="2405" spans="1:24">
      <c r="A2405" s="21" t="s">
        <v>5100</v>
      </c>
      <c r="B2405" t="s">
        <v>817</v>
      </c>
      <c r="C2405" t="s">
        <v>2080</v>
      </c>
      <c r="D2405" t="s">
        <v>2081</v>
      </c>
      <c r="E2405" s="7" t="s">
        <v>198</v>
      </c>
      <c r="F2405" s="7" t="s">
        <v>198</v>
      </c>
      <c r="G2405" s="7" t="s">
        <v>198</v>
      </c>
      <c r="H2405" s="7" t="s">
        <v>20</v>
      </c>
      <c r="I2405" s="7" t="s">
        <v>5102</v>
      </c>
      <c r="J2405" s="7" t="s">
        <v>21</v>
      </c>
      <c r="L2405" t="s">
        <v>3686</v>
      </c>
      <c r="M2405" s="7" t="s">
        <v>22</v>
      </c>
      <c r="N2405" s="7" t="s">
        <v>23</v>
      </c>
      <c r="O2405" s="7" t="s">
        <v>27</v>
      </c>
      <c r="P2405" s="7" t="s">
        <v>5101</v>
      </c>
      <c r="Q2405" s="26">
        <v>19</v>
      </c>
      <c r="R2405" s="26">
        <v>1</v>
      </c>
      <c r="S2405" s="40">
        <v>1</v>
      </c>
      <c r="T2405" s="7"/>
      <c r="U2405" s="7" t="s">
        <v>2951</v>
      </c>
      <c r="V2405" s="7" t="str">
        <f>+IF(U2405="","",IF(U2405="FINES",CONCATENATE("R",IF(OR(B2405="16",B2405="21",B2405="22",B2405="23"),"16212223",IF(OR(B2405="15",B2405="17",B2405="24",B2405="25"),"15172425",B2405))),IF(U2405="CEBAS","UNICO",IF(VALUE(B2405)&lt;=11,"AMBA","INTERIOR"))))</f>
        <v>R04</v>
      </c>
      <c r="W2405" s="38" t="str">
        <f>+IF(U2405="","-",CONCATENATE(U2405,"_",V2405))</f>
        <v>FINES_R04</v>
      </c>
      <c r="X2405" s="42">
        <v>0.96</v>
      </c>
    </row>
    <row r="2406" spans="1:24">
      <c r="A2406" s="21" t="s">
        <v>5100</v>
      </c>
      <c r="B2406" t="s">
        <v>817</v>
      </c>
      <c r="C2406" t="s">
        <v>600</v>
      </c>
      <c r="D2406" t="s">
        <v>2661</v>
      </c>
      <c r="E2406" s="7" t="s">
        <v>198</v>
      </c>
      <c r="F2406" s="7" t="s">
        <v>198</v>
      </c>
      <c r="G2406" s="7" t="s">
        <v>198</v>
      </c>
      <c r="H2406" s="7" t="s">
        <v>20</v>
      </c>
      <c r="I2406" s="7" t="s">
        <v>5102</v>
      </c>
      <c r="J2406" s="7" t="s">
        <v>21</v>
      </c>
      <c r="L2406" t="s">
        <v>3583</v>
      </c>
      <c r="M2406" s="7" t="s">
        <v>22</v>
      </c>
      <c r="N2406" s="7" t="s">
        <v>23</v>
      </c>
      <c r="O2406" s="7" t="s">
        <v>27</v>
      </c>
      <c r="P2406" s="7" t="s">
        <v>5101</v>
      </c>
      <c r="Q2406" s="26">
        <v>27</v>
      </c>
      <c r="R2406" s="26">
        <v>2</v>
      </c>
      <c r="S2406" s="40">
        <v>1</v>
      </c>
      <c r="T2406" s="7"/>
      <c r="U2406" s="7" t="s">
        <v>2951</v>
      </c>
      <c r="V2406" s="7" t="str">
        <f>+IF(U2406="","",IF(U2406="FINES",CONCATENATE("R",IF(OR(B2406="16",B2406="21",B2406="22",B2406="23"),"16212223",IF(OR(B2406="15",B2406="17",B2406="24",B2406="25"),"15172425",B2406))),IF(U2406="CEBAS","UNICO",IF(VALUE(B2406)&lt;=11,"AMBA","INTERIOR"))))</f>
        <v>R04</v>
      </c>
      <c r="W2406" s="38" t="str">
        <f>+IF(U2406="","-",CONCATENATE(U2406,"_",V2406))</f>
        <v>FINES_R04</v>
      </c>
      <c r="X2406" s="42">
        <v>0.96399999999999997</v>
      </c>
    </row>
    <row r="2407" spans="1:24">
      <c r="A2407" s="21" t="s">
        <v>5100</v>
      </c>
      <c r="B2407" t="s">
        <v>817</v>
      </c>
      <c r="C2407" t="s">
        <v>815</v>
      </c>
      <c r="D2407" t="s">
        <v>816</v>
      </c>
      <c r="E2407" s="7" t="s">
        <v>198</v>
      </c>
      <c r="F2407" s="7" t="s">
        <v>198</v>
      </c>
      <c r="G2407" s="7" t="s">
        <v>198</v>
      </c>
      <c r="H2407" s="7" t="s">
        <v>20</v>
      </c>
      <c r="I2407" s="7" t="s">
        <v>5102</v>
      </c>
      <c r="J2407" s="7" t="s">
        <v>21</v>
      </c>
      <c r="L2407" t="s">
        <v>3645</v>
      </c>
      <c r="M2407" s="7" t="s">
        <v>22</v>
      </c>
      <c r="N2407" s="7" t="s">
        <v>23</v>
      </c>
      <c r="O2407" s="7" t="s">
        <v>27</v>
      </c>
      <c r="P2407" s="7" t="s">
        <v>5101</v>
      </c>
      <c r="Q2407" s="26">
        <v>10</v>
      </c>
      <c r="R2407" s="26">
        <v>2</v>
      </c>
      <c r="S2407" s="40">
        <v>1</v>
      </c>
      <c r="T2407" s="7"/>
      <c r="U2407" s="7" t="s">
        <v>2951</v>
      </c>
      <c r="V2407" s="7" t="str">
        <f>+IF(U2407="","",IF(U2407="FINES",CONCATENATE("R",IF(OR(B2407="16",B2407="21",B2407="22",B2407="23"),"16212223",IF(OR(B2407="15",B2407="17",B2407="24",B2407="25"),"15172425",B2407))),IF(U2407="CEBAS","UNICO",IF(VALUE(B2407)&lt;=11,"AMBA","INTERIOR"))))</f>
        <v>R04</v>
      </c>
      <c r="W2407" s="38" t="str">
        <f>+IF(U2407="","-",CONCATENATE(U2407,"_",V2407))</f>
        <v>FINES_R04</v>
      </c>
      <c r="X2407" s="42">
        <v>0.96799999999999997</v>
      </c>
    </row>
    <row r="2408" spans="1:24">
      <c r="A2408" s="21" t="s">
        <v>5100</v>
      </c>
      <c r="B2408" t="s">
        <v>817</v>
      </c>
      <c r="C2408" t="s">
        <v>600</v>
      </c>
      <c r="D2408" t="s">
        <v>2661</v>
      </c>
      <c r="E2408" s="7" t="s">
        <v>198</v>
      </c>
      <c r="F2408" s="7" t="s">
        <v>198</v>
      </c>
      <c r="G2408" s="7" t="s">
        <v>198</v>
      </c>
      <c r="H2408" s="7" t="s">
        <v>20</v>
      </c>
      <c r="I2408" s="7" t="s">
        <v>5102</v>
      </c>
      <c r="J2408" s="7" t="s">
        <v>21</v>
      </c>
      <c r="L2408" t="s">
        <v>3571</v>
      </c>
      <c r="M2408" s="7" t="s">
        <v>22</v>
      </c>
      <c r="N2408" s="7" t="s">
        <v>23</v>
      </c>
      <c r="O2408" s="7" t="s">
        <v>27</v>
      </c>
      <c r="P2408" s="7" t="s">
        <v>5101</v>
      </c>
      <c r="Q2408" s="26">
        <v>31</v>
      </c>
      <c r="R2408" s="26">
        <v>1</v>
      </c>
      <c r="S2408" s="40">
        <v>1</v>
      </c>
      <c r="T2408" s="7"/>
      <c r="U2408" s="7" t="s">
        <v>2951</v>
      </c>
      <c r="V2408" s="7" t="str">
        <f>+IF(U2408="","",IF(U2408="FINES",CONCATENATE("R",IF(OR(B2408="16",B2408="21",B2408="22",B2408="23"),"16212223",IF(OR(B2408="15",B2408="17",B2408="24",B2408="25"),"15172425",B2408))),IF(U2408="CEBAS","UNICO",IF(VALUE(B2408)&lt;=11,"AMBA","INTERIOR"))))</f>
        <v>R04</v>
      </c>
      <c r="W2408" s="38" t="str">
        <f>+IF(U2408="","-",CONCATENATE(U2408,"_",V2408))</f>
        <v>FINES_R04</v>
      </c>
      <c r="X2408" s="42">
        <v>0.97899999999999998</v>
      </c>
    </row>
    <row r="2409" spans="1:24">
      <c r="A2409" s="21" t="s">
        <v>5100</v>
      </c>
      <c r="B2409" t="s">
        <v>817</v>
      </c>
      <c r="C2409" t="s">
        <v>815</v>
      </c>
      <c r="D2409" t="s">
        <v>816</v>
      </c>
      <c r="E2409" s="7" t="s">
        <v>198</v>
      </c>
      <c r="F2409" s="7" t="s">
        <v>198</v>
      </c>
      <c r="G2409" s="7" t="s">
        <v>198</v>
      </c>
      <c r="H2409" s="7" t="s">
        <v>20</v>
      </c>
      <c r="I2409" s="7" t="s">
        <v>5102</v>
      </c>
      <c r="J2409" s="7" t="s">
        <v>21</v>
      </c>
      <c r="L2409" t="s">
        <v>3620</v>
      </c>
      <c r="M2409" s="7" t="s">
        <v>22</v>
      </c>
      <c r="N2409" s="7" t="s">
        <v>23</v>
      </c>
      <c r="O2409" s="7" t="s">
        <v>27</v>
      </c>
      <c r="P2409" s="7" t="s">
        <v>5101</v>
      </c>
      <c r="Q2409" s="26">
        <v>16</v>
      </c>
      <c r="R2409" s="26">
        <v>1</v>
      </c>
      <c r="S2409" s="40">
        <v>1</v>
      </c>
      <c r="T2409" s="7"/>
      <c r="U2409" s="7" t="s">
        <v>2951</v>
      </c>
      <c r="V2409" s="7" t="str">
        <f>+IF(U2409="","",IF(U2409="FINES",CONCATENATE("R",IF(OR(B2409="16",B2409="21",B2409="22",B2409="23"),"16212223",IF(OR(B2409="15",B2409="17",B2409="24",B2409="25"),"15172425",B2409))),IF(U2409="CEBAS","UNICO",IF(VALUE(B2409)&lt;=11,"AMBA","INTERIOR"))))</f>
        <v>R04</v>
      </c>
      <c r="W2409" s="38" t="str">
        <f>+IF(U2409="","-",CONCATENATE(U2409,"_",V2409))</f>
        <v>FINES_R04</v>
      </c>
      <c r="X2409" s="42">
        <v>0.99199999999999999</v>
      </c>
    </row>
    <row r="2410" spans="1:24">
      <c r="A2410" s="21" t="s">
        <v>5100</v>
      </c>
      <c r="B2410" t="s">
        <v>817</v>
      </c>
      <c r="C2410" t="s">
        <v>815</v>
      </c>
      <c r="D2410" t="s">
        <v>816</v>
      </c>
      <c r="E2410" s="7" t="s">
        <v>198</v>
      </c>
      <c r="F2410" s="7" t="s">
        <v>198</v>
      </c>
      <c r="G2410" s="7" t="s">
        <v>198</v>
      </c>
      <c r="H2410" s="7" t="s">
        <v>20</v>
      </c>
      <c r="I2410" s="7" t="s">
        <v>5102</v>
      </c>
      <c r="J2410" s="7" t="s">
        <v>21</v>
      </c>
      <c r="L2410" t="s">
        <v>3629</v>
      </c>
      <c r="M2410" s="7" t="s">
        <v>22</v>
      </c>
      <c r="N2410" s="7" t="s">
        <v>23</v>
      </c>
      <c r="O2410" s="7" t="s">
        <v>27</v>
      </c>
      <c r="P2410" s="7" t="s">
        <v>5101</v>
      </c>
      <c r="Q2410" s="26">
        <v>0</v>
      </c>
      <c r="R2410" s="26">
        <v>2</v>
      </c>
      <c r="S2410" s="40">
        <v>1</v>
      </c>
      <c r="T2410" s="7"/>
      <c r="U2410" s="7" t="s">
        <v>2951</v>
      </c>
      <c r="V2410" s="7" t="str">
        <f>+IF(U2410="","",IF(U2410="FINES",CONCATENATE("R",IF(OR(B2410="16",B2410="21",B2410="22",B2410="23"),"16212223",IF(OR(B2410="15",B2410="17",B2410="24",B2410="25"),"15172425",B2410))),IF(U2410="CEBAS","UNICO",IF(VALUE(B2410)&lt;=11,"AMBA","INTERIOR"))))</f>
        <v>R04</v>
      </c>
      <c r="W2410" s="38" t="str">
        <f>+IF(U2410="","-",CONCATENATE(U2410,"_",V2410))</f>
        <v>FINES_R04</v>
      </c>
      <c r="X2410" s="42">
        <v>0.996</v>
      </c>
    </row>
    <row r="2411" spans="1:24">
      <c r="A2411" s="21" t="s">
        <v>5100</v>
      </c>
      <c r="B2411" t="s">
        <v>817</v>
      </c>
      <c r="C2411" t="s">
        <v>815</v>
      </c>
      <c r="D2411" t="s">
        <v>816</v>
      </c>
      <c r="E2411" s="7" t="s">
        <v>198</v>
      </c>
      <c r="F2411" s="7" t="s">
        <v>198</v>
      </c>
      <c r="G2411" s="7" t="s">
        <v>198</v>
      </c>
      <c r="H2411" s="7" t="s">
        <v>20</v>
      </c>
      <c r="I2411" s="7" t="s">
        <v>5102</v>
      </c>
      <c r="J2411" s="7" t="s">
        <v>21</v>
      </c>
      <c r="L2411" t="s">
        <v>3615</v>
      </c>
      <c r="M2411" s="7" t="s">
        <v>22</v>
      </c>
      <c r="N2411" s="7" t="s">
        <v>23</v>
      </c>
      <c r="O2411" s="7" t="s">
        <v>27</v>
      </c>
      <c r="P2411" s="7" t="s">
        <v>5101</v>
      </c>
      <c r="Q2411" s="26">
        <v>45</v>
      </c>
      <c r="R2411" s="26">
        <v>2</v>
      </c>
      <c r="S2411" s="40">
        <v>1</v>
      </c>
      <c r="T2411" s="7"/>
      <c r="U2411" s="7" t="s">
        <v>2951</v>
      </c>
      <c r="V2411" s="7" t="str">
        <f>+IF(U2411="","",IF(U2411="FINES",CONCATENATE("R",IF(OR(B2411="16",B2411="21",B2411="22",B2411="23"),"16212223",IF(OR(B2411="15",B2411="17",B2411="24",B2411="25"),"15172425",B2411))),IF(U2411="CEBAS","UNICO",IF(VALUE(B2411)&lt;=11,"AMBA","INTERIOR"))))</f>
        <v>R04</v>
      </c>
      <c r="W2411" s="38" t="str">
        <f>+IF(U2411="","-",CONCATENATE(U2411,"_",V2411))</f>
        <v>FINES_R04</v>
      </c>
      <c r="X2411" s="42">
        <v>0.997</v>
      </c>
    </row>
    <row r="2412" spans="1:24">
      <c r="A2412" s="21" t="s">
        <v>5100</v>
      </c>
      <c r="B2412" t="s">
        <v>257</v>
      </c>
      <c r="C2412" t="s">
        <v>254</v>
      </c>
      <c r="D2412" t="s">
        <v>256</v>
      </c>
      <c r="E2412" s="7" t="s">
        <v>198</v>
      </c>
      <c r="F2412" s="7" t="s">
        <v>198</v>
      </c>
      <c r="G2412" s="7" t="s">
        <v>198</v>
      </c>
      <c r="H2412" s="7" t="s">
        <v>20</v>
      </c>
      <c r="I2412" s="7" t="s">
        <v>5102</v>
      </c>
      <c r="J2412" s="7" t="s">
        <v>21</v>
      </c>
      <c r="L2412" t="s">
        <v>3801</v>
      </c>
      <c r="M2412" s="7" t="s">
        <v>22</v>
      </c>
      <c r="N2412" s="7" t="s">
        <v>23</v>
      </c>
      <c r="O2412" s="7" t="s">
        <v>27</v>
      </c>
      <c r="P2412" s="7" t="s">
        <v>5101</v>
      </c>
      <c r="Q2412" s="26">
        <v>22</v>
      </c>
      <c r="R2412" s="26">
        <v>1</v>
      </c>
      <c r="S2412" s="40">
        <v>1</v>
      </c>
      <c r="T2412" s="7"/>
      <c r="U2412" s="7" t="s">
        <v>2951</v>
      </c>
      <c r="V2412" s="7" t="str">
        <f>+IF(U2412="","",IF(U2412="FINES",CONCATENATE("R",IF(OR(B2412="16",B2412="21",B2412="22",B2412="23"),"16212223",IF(OR(B2412="15",B2412="17",B2412="24",B2412="25"),"15172425",B2412))),IF(U2412="CEBAS","UNICO",IF(VALUE(B2412)&lt;=11,"AMBA","INTERIOR"))))</f>
        <v>R05</v>
      </c>
      <c r="W2412" s="38" t="str">
        <f>+IF(U2412="","-",CONCATENATE(U2412,"_",V2412))</f>
        <v>FINES_R05</v>
      </c>
      <c r="X2412" s="42">
        <v>1.2E-2</v>
      </c>
    </row>
    <row r="2413" spans="1:24">
      <c r="A2413" s="21" t="s">
        <v>5100</v>
      </c>
      <c r="B2413" t="s">
        <v>257</v>
      </c>
      <c r="C2413" t="s">
        <v>254</v>
      </c>
      <c r="D2413" t="s">
        <v>256</v>
      </c>
      <c r="E2413" s="7" t="s">
        <v>198</v>
      </c>
      <c r="F2413" s="7" t="s">
        <v>198</v>
      </c>
      <c r="G2413" s="7" t="s">
        <v>198</v>
      </c>
      <c r="H2413" s="7" t="s">
        <v>20</v>
      </c>
      <c r="I2413" s="7" t="s">
        <v>5102</v>
      </c>
      <c r="J2413" s="7" t="s">
        <v>21</v>
      </c>
      <c r="L2413" t="s">
        <v>3729</v>
      </c>
      <c r="M2413" s="7" t="s">
        <v>22</v>
      </c>
      <c r="N2413" s="7" t="s">
        <v>23</v>
      </c>
      <c r="O2413" s="7" t="s">
        <v>27</v>
      </c>
      <c r="P2413" s="7" t="s">
        <v>5101</v>
      </c>
      <c r="Q2413" s="26">
        <v>9</v>
      </c>
      <c r="R2413" s="26">
        <v>1</v>
      </c>
      <c r="S2413" s="40">
        <v>1</v>
      </c>
      <c r="T2413" s="7"/>
      <c r="U2413" s="7" t="s">
        <v>2951</v>
      </c>
      <c r="V2413" s="7" t="str">
        <f>+IF(U2413="","",IF(U2413="FINES",CONCATENATE("R",IF(OR(B2413="16",B2413="21",B2413="22",B2413="23"),"16212223",IF(OR(B2413="15",B2413="17",B2413="24",B2413="25"),"15172425",B2413))),IF(U2413="CEBAS","UNICO",IF(VALUE(B2413)&lt;=11,"AMBA","INTERIOR"))))</f>
        <v>R05</v>
      </c>
      <c r="W2413" s="38" t="str">
        <f>+IF(U2413="","-",CONCATENATE(U2413,"_",V2413))</f>
        <v>FINES_R05</v>
      </c>
      <c r="X2413" s="42">
        <v>1.2E-2</v>
      </c>
    </row>
    <row r="2414" spans="1:24">
      <c r="A2414" s="21" t="s">
        <v>5100</v>
      </c>
      <c r="B2414" t="s">
        <v>257</v>
      </c>
      <c r="C2414" t="s">
        <v>254</v>
      </c>
      <c r="D2414" t="s">
        <v>256</v>
      </c>
      <c r="E2414" s="7" t="s">
        <v>198</v>
      </c>
      <c r="F2414" s="7" t="s">
        <v>198</v>
      </c>
      <c r="G2414" s="7" t="s">
        <v>198</v>
      </c>
      <c r="H2414" s="7" t="s">
        <v>20</v>
      </c>
      <c r="I2414" s="7" t="s">
        <v>5102</v>
      </c>
      <c r="J2414" s="7" t="s">
        <v>21</v>
      </c>
      <c r="L2414" t="s">
        <v>3825</v>
      </c>
      <c r="M2414" s="7" t="s">
        <v>22</v>
      </c>
      <c r="N2414" s="7" t="s">
        <v>23</v>
      </c>
      <c r="O2414" s="7" t="s">
        <v>27</v>
      </c>
      <c r="P2414" s="7" t="s">
        <v>5101</v>
      </c>
      <c r="Q2414" s="26">
        <v>15</v>
      </c>
      <c r="R2414" s="26">
        <v>1</v>
      </c>
      <c r="S2414" s="40">
        <v>1</v>
      </c>
      <c r="T2414" s="7"/>
      <c r="U2414" s="7" t="s">
        <v>2951</v>
      </c>
      <c r="V2414" s="7" t="str">
        <f>+IF(U2414="","",IF(U2414="FINES",CONCATENATE("R",IF(OR(B2414="16",B2414="21",B2414="22",B2414="23"),"16212223",IF(OR(B2414="15",B2414="17",B2414="24",B2414="25"),"15172425",B2414))),IF(U2414="CEBAS","UNICO",IF(VALUE(B2414)&lt;=11,"AMBA","INTERIOR"))))</f>
        <v>R05</v>
      </c>
      <c r="W2414" s="38" t="str">
        <f>+IF(U2414="","-",CONCATENATE(U2414,"_",V2414))</f>
        <v>FINES_R05</v>
      </c>
      <c r="X2414" s="42">
        <v>1.9E-2</v>
      </c>
    </row>
    <row r="2415" spans="1:24">
      <c r="A2415" s="21" t="s">
        <v>5100</v>
      </c>
      <c r="B2415" t="s">
        <v>257</v>
      </c>
      <c r="C2415" t="s">
        <v>772</v>
      </c>
      <c r="D2415" t="s">
        <v>773</v>
      </c>
      <c r="E2415" s="7" t="s">
        <v>198</v>
      </c>
      <c r="F2415" s="7" t="s">
        <v>198</v>
      </c>
      <c r="G2415" s="7" t="s">
        <v>198</v>
      </c>
      <c r="H2415" s="7" t="s">
        <v>20</v>
      </c>
      <c r="I2415" s="7" t="s">
        <v>5102</v>
      </c>
      <c r="J2415" s="7" t="s">
        <v>21</v>
      </c>
      <c r="L2415" t="s">
        <v>3846</v>
      </c>
      <c r="M2415" s="7" t="s">
        <v>22</v>
      </c>
      <c r="N2415" s="7" t="s">
        <v>23</v>
      </c>
      <c r="O2415" s="7" t="s">
        <v>27</v>
      </c>
      <c r="P2415" s="7" t="s">
        <v>5101</v>
      </c>
      <c r="Q2415" s="26">
        <v>111</v>
      </c>
      <c r="R2415" s="26">
        <v>4</v>
      </c>
      <c r="S2415" s="40">
        <v>1</v>
      </c>
      <c r="T2415" s="7"/>
      <c r="U2415" s="7" t="s">
        <v>2951</v>
      </c>
      <c r="V2415" s="7" t="str">
        <f>+IF(U2415="","",IF(U2415="FINES",CONCATENATE("R",IF(OR(B2415="16",B2415="21",B2415="22",B2415="23"),"16212223",IF(OR(B2415="15",B2415="17",B2415="24",B2415="25"),"15172425",B2415))),IF(U2415="CEBAS","UNICO",IF(VALUE(B2415)&lt;=11,"AMBA","INTERIOR"))))</f>
        <v>R05</v>
      </c>
      <c r="W2415" s="38" t="str">
        <f>+IF(U2415="","-",CONCATENATE(U2415,"_",V2415))</f>
        <v>FINES_R05</v>
      </c>
      <c r="X2415" s="42">
        <v>2.7E-2</v>
      </c>
    </row>
    <row r="2416" spans="1:24">
      <c r="A2416" s="21" t="s">
        <v>5100</v>
      </c>
      <c r="B2416" t="s">
        <v>257</v>
      </c>
      <c r="C2416" t="s">
        <v>254</v>
      </c>
      <c r="D2416" t="s">
        <v>256</v>
      </c>
      <c r="E2416" s="7" t="s">
        <v>198</v>
      </c>
      <c r="F2416" s="7" t="s">
        <v>198</v>
      </c>
      <c r="G2416" s="7" t="s">
        <v>198</v>
      </c>
      <c r="H2416" s="7" t="s">
        <v>20</v>
      </c>
      <c r="I2416" s="7" t="s">
        <v>5102</v>
      </c>
      <c r="J2416" s="7" t="s">
        <v>21</v>
      </c>
      <c r="L2416" t="s">
        <v>3785</v>
      </c>
      <c r="M2416" s="7" t="s">
        <v>22</v>
      </c>
      <c r="N2416" s="7" t="s">
        <v>23</v>
      </c>
      <c r="O2416" s="7" t="s">
        <v>27</v>
      </c>
      <c r="P2416" s="7" t="s">
        <v>5101</v>
      </c>
      <c r="Q2416" s="26">
        <v>24</v>
      </c>
      <c r="R2416" s="26">
        <v>1</v>
      </c>
      <c r="S2416" s="40">
        <v>1</v>
      </c>
      <c r="T2416" s="7"/>
      <c r="U2416" s="7" t="s">
        <v>2951</v>
      </c>
      <c r="V2416" s="7" t="str">
        <f>+IF(U2416="","",IF(U2416="FINES",CONCATENATE("R",IF(OR(B2416="16",B2416="21",B2416="22",B2416="23"),"16212223",IF(OR(B2416="15",B2416="17",B2416="24",B2416="25"),"15172425",B2416))),IF(U2416="CEBAS","UNICO",IF(VALUE(B2416)&lt;=11,"AMBA","INTERIOR"))))</f>
        <v>R05</v>
      </c>
      <c r="W2416" s="38" t="str">
        <f>+IF(U2416="","-",CONCATENATE(U2416,"_",V2416))</f>
        <v>FINES_R05</v>
      </c>
      <c r="X2416" s="42">
        <v>3.5000000000000003E-2</v>
      </c>
    </row>
    <row r="2417" spans="1:24">
      <c r="A2417" s="21" t="s">
        <v>5100</v>
      </c>
      <c r="B2417" t="s">
        <v>257</v>
      </c>
      <c r="C2417" t="s">
        <v>254</v>
      </c>
      <c r="D2417" t="s">
        <v>256</v>
      </c>
      <c r="E2417" s="7" t="s">
        <v>198</v>
      </c>
      <c r="F2417" s="7" t="s">
        <v>198</v>
      </c>
      <c r="G2417" s="7" t="s">
        <v>198</v>
      </c>
      <c r="H2417" s="7" t="s">
        <v>20</v>
      </c>
      <c r="I2417" s="7" t="s">
        <v>5102</v>
      </c>
      <c r="J2417" s="7" t="s">
        <v>21</v>
      </c>
      <c r="L2417" t="s">
        <v>3812</v>
      </c>
      <c r="M2417" s="7" t="s">
        <v>22</v>
      </c>
      <c r="N2417" s="7" t="s">
        <v>23</v>
      </c>
      <c r="O2417" s="7" t="s">
        <v>27</v>
      </c>
      <c r="P2417" s="7" t="s">
        <v>5101</v>
      </c>
      <c r="Q2417" s="26">
        <v>22</v>
      </c>
      <c r="R2417" s="26">
        <v>1</v>
      </c>
      <c r="S2417" s="40">
        <v>1</v>
      </c>
      <c r="T2417" s="7"/>
      <c r="U2417" s="7" t="s">
        <v>2951</v>
      </c>
      <c r="V2417" s="7" t="str">
        <f>+IF(U2417="","",IF(U2417="FINES",CONCATENATE("R",IF(OR(B2417="16",B2417="21",B2417="22",B2417="23"),"16212223",IF(OR(B2417="15",B2417="17",B2417="24",B2417="25"),"15172425",B2417))),IF(U2417="CEBAS","UNICO",IF(VALUE(B2417)&lt;=11,"AMBA","INTERIOR"))))</f>
        <v>R05</v>
      </c>
      <c r="W2417" s="38" t="str">
        <f>+IF(U2417="","-",CONCATENATE(U2417,"_",V2417))</f>
        <v>FINES_R05</v>
      </c>
      <c r="X2417" s="42">
        <v>4.7E-2</v>
      </c>
    </row>
    <row r="2418" spans="1:24">
      <c r="A2418" s="21" t="s">
        <v>5100</v>
      </c>
      <c r="B2418" t="s">
        <v>257</v>
      </c>
      <c r="C2418" t="s">
        <v>254</v>
      </c>
      <c r="D2418" t="s">
        <v>256</v>
      </c>
      <c r="E2418" s="7" t="s">
        <v>198</v>
      </c>
      <c r="F2418" s="7" t="s">
        <v>198</v>
      </c>
      <c r="G2418" s="7" t="s">
        <v>198</v>
      </c>
      <c r="H2418" s="7" t="s">
        <v>20</v>
      </c>
      <c r="I2418" s="7" t="s">
        <v>5102</v>
      </c>
      <c r="J2418" s="7" t="s">
        <v>21</v>
      </c>
      <c r="L2418" t="s">
        <v>3819</v>
      </c>
      <c r="M2418" s="7" t="s">
        <v>22</v>
      </c>
      <c r="N2418" s="7" t="s">
        <v>23</v>
      </c>
      <c r="O2418" s="7" t="s">
        <v>27</v>
      </c>
      <c r="P2418" s="7" t="s">
        <v>5101</v>
      </c>
      <c r="Q2418" s="26">
        <v>12</v>
      </c>
      <c r="R2418" s="26">
        <v>1</v>
      </c>
      <c r="S2418" s="40">
        <v>1</v>
      </c>
      <c r="T2418" s="7"/>
      <c r="U2418" s="7" t="s">
        <v>2951</v>
      </c>
      <c r="V2418" s="7" t="str">
        <f>+IF(U2418="","",IF(U2418="FINES",CONCATENATE("R",IF(OR(B2418="16",B2418="21",B2418="22",B2418="23"),"16212223",IF(OR(B2418="15",B2418="17",B2418="24",B2418="25"),"15172425",B2418))),IF(U2418="CEBAS","UNICO",IF(VALUE(B2418)&lt;=11,"AMBA","INTERIOR"))))</f>
        <v>R05</v>
      </c>
      <c r="W2418" s="38" t="str">
        <f>+IF(U2418="","-",CONCATENATE(U2418,"_",V2418))</f>
        <v>FINES_R05</v>
      </c>
      <c r="X2418" s="42">
        <v>5.5E-2</v>
      </c>
    </row>
    <row r="2419" spans="1:24">
      <c r="A2419" s="21" t="s">
        <v>5100</v>
      </c>
      <c r="B2419" t="s">
        <v>257</v>
      </c>
      <c r="C2419" t="s">
        <v>254</v>
      </c>
      <c r="D2419" t="s">
        <v>256</v>
      </c>
      <c r="E2419" s="7" t="s">
        <v>198</v>
      </c>
      <c r="F2419" s="7" t="s">
        <v>198</v>
      </c>
      <c r="G2419" s="7" t="s">
        <v>198</v>
      </c>
      <c r="H2419" s="7" t="s">
        <v>20</v>
      </c>
      <c r="I2419" s="7" t="s">
        <v>5102</v>
      </c>
      <c r="J2419" s="7" t="s">
        <v>21</v>
      </c>
      <c r="L2419" t="s">
        <v>3734</v>
      </c>
      <c r="M2419" s="7" t="s">
        <v>22</v>
      </c>
      <c r="N2419" s="7" t="s">
        <v>23</v>
      </c>
      <c r="O2419" s="7" t="s">
        <v>27</v>
      </c>
      <c r="P2419" s="7" t="s">
        <v>5101</v>
      </c>
      <c r="Q2419" s="26">
        <v>156</v>
      </c>
      <c r="R2419" s="26">
        <v>7</v>
      </c>
      <c r="S2419" s="40">
        <v>1</v>
      </c>
      <c r="T2419" s="7"/>
      <c r="U2419" s="7" t="s">
        <v>2951</v>
      </c>
      <c r="V2419" s="7" t="str">
        <f>+IF(U2419="","",IF(U2419="FINES",CONCATENATE("R",IF(OR(B2419="16",B2419="21",B2419="22",B2419="23"),"16212223",IF(OR(B2419="15",B2419="17",B2419="24",B2419="25"),"15172425",B2419))),IF(U2419="CEBAS","UNICO",IF(VALUE(B2419)&lt;=11,"AMBA","INTERIOR"))))</f>
        <v>R05</v>
      </c>
      <c r="W2419" s="38" t="str">
        <f>+IF(U2419="","-",CONCATENATE(U2419,"_",V2419))</f>
        <v>FINES_R05</v>
      </c>
      <c r="X2419" s="42">
        <v>6.0999999999999999E-2</v>
      </c>
    </row>
    <row r="2420" spans="1:24">
      <c r="A2420" s="21" t="s">
        <v>5100</v>
      </c>
      <c r="B2420" t="s">
        <v>257</v>
      </c>
      <c r="C2420" t="s">
        <v>254</v>
      </c>
      <c r="D2420" t="s">
        <v>256</v>
      </c>
      <c r="E2420" s="7" t="s">
        <v>198</v>
      </c>
      <c r="F2420" s="7" t="s">
        <v>198</v>
      </c>
      <c r="G2420" s="7" t="s">
        <v>198</v>
      </c>
      <c r="H2420" s="7" t="s">
        <v>20</v>
      </c>
      <c r="I2420" s="7" t="s">
        <v>5102</v>
      </c>
      <c r="J2420" s="7" t="s">
        <v>21</v>
      </c>
      <c r="L2420" t="s">
        <v>3753</v>
      </c>
      <c r="M2420" s="7" t="s">
        <v>22</v>
      </c>
      <c r="N2420" s="7" t="s">
        <v>23</v>
      </c>
      <c r="O2420" s="7" t="s">
        <v>27</v>
      </c>
      <c r="P2420" s="7" t="s">
        <v>5101</v>
      </c>
      <c r="Q2420" s="26">
        <v>8</v>
      </c>
      <c r="R2420" s="26">
        <v>2</v>
      </c>
      <c r="S2420" s="40">
        <v>1</v>
      </c>
      <c r="T2420" s="7"/>
      <c r="U2420" s="7" t="s">
        <v>2951</v>
      </c>
      <c r="V2420" s="7" t="str">
        <f>+IF(U2420="","",IF(U2420="FINES",CONCATENATE("R",IF(OR(B2420="16",B2420="21",B2420="22",B2420="23"),"16212223",IF(OR(B2420="15",B2420="17",B2420="24",B2420="25"),"15172425",B2420))),IF(U2420="CEBAS","UNICO",IF(VALUE(B2420)&lt;=11,"AMBA","INTERIOR"))))</f>
        <v>R05</v>
      </c>
      <c r="W2420" s="38" t="str">
        <f>+IF(U2420="","-",CONCATENATE(U2420,"_",V2420))</f>
        <v>FINES_R05</v>
      </c>
      <c r="X2420" s="42">
        <v>6.5000000000000002E-2</v>
      </c>
    </row>
    <row r="2421" spans="1:24">
      <c r="A2421" s="21" t="s">
        <v>5100</v>
      </c>
      <c r="B2421" t="s">
        <v>257</v>
      </c>
      <c r="C2421" t="s">
        <v>772</v>
      </c>
      <c r="D2421" t="s">
        <v>773</v>
      </c>
      <c r="E2421" s="7" t="s">
        <v>198</v>
      </c>
      <c r="F2421" s="7" t="s">
        <v>198</v>
      </c>
      <c r="G2421" s="7" t="s">
        <v>198</v>
      </c>
      <c r="H2421" s="7" t="s">
        <v>20</v>
      </c>
      <c r="I2421" s="7" t="s">
        <v>5102</v>
      </c>
      <c r="J2421" s="7" t="s">
        <v>21</v>
      </c>
      <c r="L2421" t="s">
        <v>3850</v>
      </c>
      <c r="M2421" s="7" t="s">
        <v>22</v>
      </c>
      <c r="N2421" s="7" t="s">
        <v>23</v>
      </c>
      <c r="O2421" s="7" t="s">
        <v>27</v>
      </c>
      <c r="P2421" s="7" t="s">
        <v>5101</v>
      </c>
      <c r="Q2421" s="26">
        <v>17</v>
      </c>
      <c r="R2421" s="26">
        <v>1</v>
      </c>
      <c r="S2421" s="40">
        <v>1</v>
      </c>
      <c r="T2421" s="7"/>
      <c r="U2421" s="7" t="s">
        <v>2951</v>
      </c>
      <c r="V2421" s="7" t="str">
        <f>+IF(U2421="","",IF(U2421="FINES",CONCATENATE("R",IF(OR(B2421="16",B2421="21",B2421="22",B2421="23"),"16212223",IF(OR(B2421="15",B2421="17",B2421="24",B2421="25"),"15172425",B2421))),IF(U2421="CEBAS","UNICO",IF(VALUE(B2421)&lt;=11,"AMBA","INTERIOR"))))</f>
        <v>R05</v>
      </c>
      <c r="W2421" s="38" t="str">
        <f>+IF(U2421="","-",CONCATENATE(U2421,"_",V2421))</f>
        <v>FINES_R05</v>
      </c>
      <c r="X2421" s="42">
        <v>6.6000000000000003E-2</v>
      </c>
    </row>
    <row r="2422" spans="1:24">
      <c r="A2422" s="21" t="s">
        <v>5100</v>
      </c>
      <c r="B2422" t="s">
        <v>257</v>
      </c>
      <c r="C2422" t="s">
        <v>772</v>
      </c>
      <c r="D2422" t="s">
        <v>773</v>
      </c>
      <c r="E2422" s="7" t="s">
        <v>198</v>
      </c>
      <c r="F2422" s="7" t="s">
        <v>198</v>
      </c>
      <c r="G2422" s="7" t="s">
        <v>198</v>
      </c>
      <c r="H2422" s="7" t="s">
        <v>20</v>
      </c>
      <c r="I2422" s="7" t="s">
        <v>5102</v>
      </c>
      <c r="J2422" s="7" t="s">
        <v>21</v>
      </c>
      <c r="L2422" t="s">
        <v>3865</v>
      </c>
      <c r="M2422" s="7" t="s">
        <v>22</v>
      </c>
      <c r="N2422" s="7" t="s">
        <v>23</v>
      </c>
      <c r="O2422" s="7" t="s">
        <v>27</v>
      </c>
      <c r="P2422" s="7" t="s">
        <v>5101</v>
      </c>
      <c r="Q2422" s="26">
        <v>33</v>
      </c>
      <c r="R2422" s="26">
        <v>2</v>
      </c>
      <c r="S2422" s="40">
        <v>1</v>
      </c>
      <c r="T2422" s="7"/>
      <c r="U2422" s="7" t="s">
        <v>2951</v>
      </c>
      <c r="V2422" s="7" t="str">
        <f>+IF(U2422="","",IF(U2422="FINES",CONCATENATE("R",IF(OR(B2422="16",B2422="21",B2422="22",B2422="23"),"16212223",IF(OR(B2422="15",B2422="17",B2422="24",B2422="25"),"15172425",B2422))),IF(U2422="CEBAS","UNICO",IF(VALUE(B2422)&lt;=11,"AMBA","INTERIOR"))))</f>
        <v>R05</v>
      </c>
      <c r="W2422" s="38" t="str">
        <f>+IF(U2422="","-",CONCATENATE(U2422,"_",V2422))</f>
        <v>FINES_R05</v>
      </c>
      <c r="X2422" s="42">
        <v>6.7000000000000004E-2</v>
      </c>
    </row>
    <row r="2423" spans="1:24">
      <c r="A2423" s="21" t="s">
        <v>5100</v>
      </c>
      <c r="B2423" t="s">
        <v>257</v>
      </c>
      <c r="C2423" t="s">
        <v>772</v>
      </c>
      <c r="D2423" t="s">
        <v>773</v>
      </c>
      <c r="E2423" s="7" t="s">
        <v>198</v>
      </c>
      <c r="F2423" s="7" t="s">
        <v>198</v>
      </c>
      <c r="G2423" s="7" t="s">
        <v>198</v>
      </c>
      <c r="H2423" s="7" t="s">
        <v>20</v>
      </c>
      <c r="I2423" s="7" t="s">
        <v>5102</v>
      </c>
      <c r="J2423" s="7" t="s">
        <v>21</v>
      </c>
      <c r="L2423" t="s">
        <v>3841</v>
      </c>
      <c r="M2423" s="7" t="s">
        <v>22</v>
      </c>
      <c r="N2423" s="7" t="s">
        <v>23</v>
      </c>
      <c r="O2423" s="7" t="s">
        <v>27</v>
      </c>
      <c r="P2423" s="7" t="s">
        <v>5101</v>
      </c>
      <c r="Q2423" s="26">
        <v>48</v>
      </c>
      <c r="R2423" s="26">
        <v>2</v>
      </c>
      <c r="S2423" s="40">
        <v>1</v>
      </c>
      <c r="T2423" s="7"/>
      <c r="U2423" s="7" t="s">
        <v>2951</v>
      </c>
      <c r="V2423" s="7" t="str">
        <f>+IF(U2423="","",IF(U2423="FINES",CONCATENATE("R",IF(OR(B2423="16",B2423="21",B2423="22",B2423="23"),"16212223",IF(OR(B2423="15",B2423="17",B2423="24",B2423="25"),"15172425",B2423))),IF(U2423="CEBAS","UNICO",IF(VALUE(B2423)&lt;=11,"AMBA","INTERIOR"))))</f>
        <v>R05</v>
      </c>
      <c r="W2423" s="38" t="str">
        <f>+IF(U2423="","-",CONCATENATE(U2423,"_",V2423))</f>
        <v>FINES_R05</v>
      </c>
      <c r="X2423" s="42">
        <v>6.8000000000000005E-2</v>
      </c>
    </row>
    <row r="2424" spans="1:24">
      <c r="A2424" s="21" t="s">
        <v>5100</v>
      </c>
      <c r="B2424" t="s">
        <v>257</v>
      </c>
      <c r="C2424" t="s">
        <v>415</v>
      </c>
      <c r="D2424" t="s">
        <v>2770</v>
      </c>
      <c r="E2424" s="7" t="s">
        <v>198</v>
      </c>
      <c r="F2424" s="7" t="s">
        <v>198</v>
      </c>
      <c r="G2424" s="7" t="s">
        <v>198</v>
      </c>
      <c r="H2424" s="7" t="s">
        <v>20</v>
      </c>
      <c r="I2424" s="7" t="s">
        <v>5102</v>
      </c>
      <c r="J2424" s="7" t="s">
        <v>21</v>
      </c>
      <c r="L2424" t="s">
        <v>3886</v>
      </c>
      <c r="M2424" s="7" t="s">
        <v>22</v>
      </c>
      <c r="N2424" s="7" t="s">
        <v>23</v>
      </c>
      <c r="O2424" s="7" t="s">
        <v>27</v>
      </c>
      <c r="P2424" s="7" t="s">
        <v>5101</v>
      </c>
      <c r="Q2424" s="26">
        <v>134</v>
      </c>
      <c r="R2424" s="26">
        <v>5</v>
      </c>
      <c r="S2424" s="40">
        <v>1</v>
      </c>
      <c r="T2424" s="7"/>
      <c r="U2424" s="7" t="s">
        <v>2951</v>
      </c>
      <c r="V2424" s="7" t="str">
        <f>+IF(U2424="","",IF(U2424="FINES",CONCATENATE("R",IF(OR(B2424="16",B2424="21",B2424="22",B2424="23"),"16212223",IF(OR(B2424="15",B2424="17",B2424="24",B2424="25"),"15172425",B2424))),IF(U2424="CEBAS","UNICO",IF(VALUE(B2424)&lt;=11,"AMBA","INTERIOR"))))</f>
        <v>R05</v>
      </c>
      <c r="W2424" s="38" t="str">
        <f>+IF(U2424="","-",CONCATENATE(U2424,"_",V2424))</f>
        <v>FINES_R05</v>
      </c>
      <c r="X2424" s="42">
        <v>7.2999999999999995E-2</v>
      </c>
    </row>
    <row r="2425" spans="1:24">
      <c r="A2425" s="21" t="s">
        <v>5100</v>
      </c>
      <c r="B2425" t="s">
        <v>257</v>
      </c>
      <c r="C2425" t="s">
        <v>254</v>
      </c>
      <c r="D2425" t="s">
        <v>256</v>
      </c>
      <c r="E2425" s="7" t="s">
        <v>198</v>
      </c>
      <c r="F2425" s="7" t="s">
        <v>198</v>
      </c>
      <c r="G2425" s="7" t="s">
        <v>198</v>
      </c>
      <c r="H2425" s="7" t="s">
        <v>20</v>
      </c>
      <c r="I2425" s="7" t="s">
        <v>5102</v>
      </c>
      <c r="J2425" s="7" t="s">
        <v>21</v>
      </c>
      <c r="L2425" t="s">
        <v>3751</v>
      </c>
      <c r="M2425" s="7" t="s">
        <v>22</v>
      </c>
      <c r="N2425" s="7" t="s">
        <v>23</v>
      </c>
      <c r="O2425" s="7" t="s">
        <v>27</v>
      </c>
      <c r="P2425" s="7" t="s">
        <v>5101</v>
      </c>
      <c r="Q2425" s="26">
        <v>10</v>
      </c>
      <c r="R2425" s="26">
        <v>1</v>
      </c>
      <c r="S2425" s="40">
        <v>1</v>
      </c>
      <c r="T2425" s="7"/>
      <c r="U2425" s="7" t="s">
        <v>2951</v>
      </c>
      <c r="V2425" s="7" t="str">
        <f>+IF(U2425="","",IF(U2425="FINES",CONCATENATE("R",IF(OR(B2425="16",B2425="21",B2425="22",B2425="23"),"16212223",IF(OR(B2425="15",B2425="17",B2425="24",B2425="25"),"15172425",B2425))),IF(U2425="CEBAS","UNICO",IF(VALUE(B2425)&lt;=11,"AMBA","INTERIOR"))))</f>
        <v>R05</v>
      </c>
      <c r="W2425" s="38" t="str">
        <f>+IF(U2425="","-",CONCATENATE(U2425,"_",V2425))</f>
        <v>FINES_R05</v>
      </c>
      <c r="X2425" s="42">
        <v>7.3999999999999996E-2</v>
      </c>
    </row>
    <row r="2426" spans="1:24">
      <c r="A2426" s="21" t="s">
        <v>5100</v>
      </c>
      <c r="B2426" t="s">
        <v>257</v>
      </c>
      <c r="C2426" t="s">
        <v>253</v>
      </c>
      <c r="D2426" t="s">
        <v>2759</v>
      </c>
      <c r="E2426" s="7" t="s">
        <v>198</v>
      </c>
      <c r="F2426" s="7" t="s">
        <v>198</v>
      </c>
      <c r="G2426" s="7" t="s">
        <v>198</v>
      </c>
      <c r="H2426" s="7" t="s">
        <v>20</v>
      </c>
      <c r="I2426" s="7" t="s">
        <v>5102</v>
      </c>
      <c r="J2426" s="7" t="s">
        <v>21</v>
      </c>
      <c r="L2426" t="s">
        <v>3908</v>
      </c>
      <c r="M2426" s="7" t="s">
        <v>22</v>
      </c>
      <c r="N2426" s="7" t="s">
        <v>23</v>
      </c>
      <c r="O2426" s="7" t="s">
        <v>27</v>
      </c>
      <c r="P2426" s="7" t="s">
        <v>5101</v>
      </c>
      <c r="Q2426" s="26">
        <v>33</v>
      </c>
      <c r="R2426" s="26">
        <v>2</v>
      </c>
      <c r="S2426" s="40">
        <v>1</v>
      </c>
      <c r="T2426" s="7"/>
      <c r="U2426" s="7" t="s">
        <v>2951</v>
      </c>
      <c r="V2426" s="7" t="str">
        <f>+IF(U2426="","",IF(U2426="FINES",CONCATENATE("R",IF(OR(B2426="16",B2426="21",B2426="22",B2426="23"),"16212223",IF(OR(B2426="15",B2426="17",B2426="24",B2426="25"),"15172425",B2426))),IF(U2426="CEBAS","UNICO",IF(VALUE(B2426)&lt;=11,"AMBA","INTERIOR"))))</f>
        <v>R05</v>
      </c>
      <c r="W2426" s="38" t="str">
        <f>+IF(U2426="","-",CONCATENATE(U2426,"_",V2426))</f>
        <v>FINES_R05</v>
      </c>
      <c r="X2426" s="42">
        <v>7.5999999999999998E-2</v>
      </c>
    </row>
    <row r="2427" spans="1:24">
      <c r="A2427" s="21" t="s">
        <v>5100</v>
      </c>
      <c r="B2427" t="s">
        <v>257</v>
      </c>
      <c r="C2427" t="s">
        <v>254</v>
      </c>
      <c r="D2427" t="s">
        <v>256</v>
      </c>
      <c r="E2427" s="7" t="s">
        <v>198</v>
      </c>
      <c r="F2427" s="7" t="s">
        <v>198</v>
      </c>
      <c r="G2427" s="7" t="s">
        <v>198</v>
      </c>
      <c r="H2427" s="7" t="s">
        <v>20</v>
      </c>
      <c r="I2427" s="7" t="s">
        <v>5102</v>
      </c>
      <c r="J2427" s="7" t="s">
        <v>21</v>
      </c>
      <c r="L2427" t="s">
        <v>3811</v>
      </c>
      <c r="M2427" s="7" t="s">
        <v>22</v>
      </c>
      <c r="N2427" s="7" t="s">
        <v>23</v>
      </c>
      <c r="O2427" s="7" t="s">
        <v>27</v>
      </c>
      <c r="P2427" s="7" t="s">
        <v>5101</v>
      </c>
      <c r="Q2427" s="26">
        <v>216</v>
      </c>
      <c r="R2427" s="26">
        <v>10</v>
      </c>
      <c r="S2427" s="40">
        <v>1</v>
      </c>
      <c r="T2427" s="7"/>
      <c r="U2427" s="7" t="s">
        <v>2951</v>
      </c>
      <c r="V2427" s="7" t="str">
        <f>+IF(U2427="","",IF(U2427="FINES",CONCATENATE("R",IF(OR(B2427="16",B2427="21",B2427="22",B2427="23"),"16212223",IF(OR(B2427="15",B2427="17",B2427="24",B2427="25"),"15172425",B2427))),IF(U2427="CEBAS","UNICO",IF(VALUE(B2427)&lt;=11,"AMBA","INTERIOR"))))</f>
        <v>R05</v>
      </c>
      <c r="W2427" s="38" t="str">
        <f>+IF(U2427="","-",CONCATENATE(U2427,"_",V2427))</f>
        <v>FINES_R05</v>
      </c>
      <c r="X2427" s="42">
        <v>7.9000000000000001E-2</v>
      </c>
    </row>
    <row r="2428" spans="1:24">
      <c r="A2428" s="21" t="s">
        <v>5100</v>
      </c>
      <c r="B2428" t="s">
        <v>257</v>
      </c>
      <c r="C2428" t="s">
        <v>772</v>
      </c>
      <c r="D2428" t="s">
        <v>773</v>
      </c>
      <c r="E2428" s="7" t="s">
        <v>198</v>
      </c>
      <c r="F2428" s="7" t="s">
        <v>198</v>
      </c>
      <c r="G2428" s="7" t="s">
        <v>198</v>
      </c>
      <c r="H2428" s="7" t="s">
        <v>20</v>
      </c>
      <c r="I2428" s="7" t="s">
        <v>5102</v>
      </c>
      <c r="J2428" s="7" t="s">
        <v>21</v>
      </c>
      <c r="L2428" t="s">
        <v>3831</v>
      </c>
      <c r="M2428" s="7" t="s">
        <v>22</v>
      </c>
      <c r="N2428" s="7" t="s">
        <v>23</v>
      </c>
      <c r="O2428" s="7" t="s">
        <v>27</v>
      </c>
      <c r="P2428" s="7" t="s">
        <v>5101</v>
      </c>
      <c r="Q2428" s="26">
        <v>22</v>
      </c>
      <c r="R2428" s="26">
        <v>1</v>
      </c>
      <c r="S2428" s="40">
        <v>1</v>
      </c>
      <c r="T2428" s="7"/>
      <c r="U2428" s="7" t="s">
        <v>2951</v>
      </c>
      <c r="V2428" s="7" t="str">
        <f>+IF(U2428="","",IF(U2428="FINES",CONCATENATE("R",IF(OR(B2428="16",B2428="21",B2428="22",B2428="23"),"16212223",IF(OR(B2428="15",B2428="17",B2428="24",B2428="25"),"15172425",B2428))),IF(U2428="CEBAS","UNICO",IF(VALUE(B2428)&lt;=11,"AMBA","INTERIOR"))))</f>
        <v>R05</v>
      </c>
      <c r="W2428" s="38" t="str">
        <f>+IF(U2428="","-",CONCATENATE(U2428,"_",V2428))</f>
        <v>FINES_R05</v>
      </c>
      <c r="X2428" s="42">
        <v>8.4000000000000005E-2</v>
      </c>
    </row>
    <row r="2429" spans="1:24">
      <c r="A2429" s="21" t="s">
        <v>5100</v>
      </c>
      <c r="B2429" t="s">
        <v>257</v>
      </c>
      <c r="C2429" t="s">
        <v>254</v>
      </c>
      <c r="D2429" t="s">
        <v>256</v>
      </c>
      <c r="E2429" s="7" t="s">
        <v>198</v>
      </c>
      <c r="F2429" s="7" t="s">
        <v>198</v>
      </c>
      <c r="G2429" s="7" t="s">
        <v>198</v>
      </c>
      <c r="H2429" s="7" t="s">
        <v>20</v>
      </c>
      <c r="I2429" s="7" t="s">
        <v>5102</v>
      </c>
      <c r="J2429" s="7" t="s">
        <v>21</v>
      </c>
      <c r="L2429" t="s">
        <v>3749</v>
      </c>
      <c r="M2429" s="7" t="s">
        <v>22</v>
      </c>
      <c r="N2429" s="7" t="s">
        <v>23</v>
      </c>
      <c r="O2429" s="7" t="s">
        <v>27</v>
      </c>
      <c r="P2429" s="7" t="s">
        <v>5101</v>
      </c>
      <c r="Q2429" s="26">
        <v>26</v>
      </c>
      <c r="R2429" s="26">
        <v>1</v>
      </c>
      <c r="S2429" s="40">
        <v>1</v>
      </c>
      <c r="T2429" s="7"/>
      <c r="U2429" s="7" t="s">
        <v>2951</v>
      </c>
      <c r="V2429" s="7" t="str">
        <f>+IF(U2429="","",IF(U2429="FINES",CONCATENATE("R",IF(OR(B2429="16",B2429="21",B2429="22",B2429="23"),"16212223",IF(OR(B2429="15",B2429="17",B2429="24",B2429="25"),"15172425",B2429))),IF(U2429="CEBAS","UNICO",IF(VALUE(B2429)&lt;=11,"AMBA","INTERIOR"))))</f>
        <v>R05</v>
      </c>
      <c r="W2429" s="38" t="str">
        <f>+IF(U2429="","-",CONCATENATE(U2429,"_",V2429))</f>
        <v>FINES_R05</v>
      </c>
      <c r="X2429" s="42">
        <v>8.6999999999999994E-2</v>
      </c>
    </row>
    <row r="2430" spans="1:24">
      <c r="A2430" s="21" t="s">
        <v>5100</v>
      </c>
      <c r="B2430" t="s">
        <v>257</v>
      </c>
      <c r="C2430" t="s">
        <v>254</v>
      </c>
      <c r="D2430" t="s">
        <v>256</v>
      </c>
      <c r="E2430" s="7" t="s">
        <v>198</v>
      </c>
      <c r="F2430" s="7" t="s">
        <v>198</v>
      </c>
      <c r="G2430" s="7" t="s">
        <v>198</v>
      </c>
      <c r="H2430" s="7" t="s">
        <v>20</v>
      </c>
      <c r="I2430" s="7" t="s">
        <v>5102</v>
      </c>
      <c r="J2430" s="7" t="s">
        <v>21</v>
      </c>
      <c r="L2430" t="s">
        <v>3782</v>
      </c>
      <c r="M2430" s="7" t="s">
        <v>22</v>
      </c>
      <c r="N2430" s="7" t="s">
        <v>23</v>
      </c>
      <c r="O2430" s="7" t="s">
        <v>27</v>
      </c>
      <c r="P2430" s="7" t="s">
        <v>5101</v>
      </c>
      <c r="Q2430" s="26">
        <v>22</v>
      </c>
      <c r="R2430" s="26">
        <v>1</v>
      </c>
      <c r="S2430" s="40">
        <v>1</v>
      </c>
      <c r="T2430" s="7"/>
      <c r="U2430" s="7" t="s">
        <v>2951</v>
      </c>
      <c r="V2430" s="7" t="str">
        <f>+IF(U2430="","",IF(U2430="FINES",CONCATENATE("R",IF(OR(B2430="16",B2430="21",B2430="22",B2430="23"),"16212223",IF(OR(B2430="15",B2430="17",B2430="24",B2430="25"),"15172425",B2430))),IF(U2430="CEBAS","UNICO",IF(VALUE(B2430)&lt;=11,"AMBA","INTERIOR"))))</f>
        <v>R05</v>
      </c>
      <c r="W2430" s="38" t="str">
        <f>+IF(U2430="","-",CONCATENATE(U2430,"_",V2430))</f>
        <v>FINES_R05</v>
      </c>
      <c r="X2430" s="42">
        <v>9.4E-2</v>
      </c>
    </row>
    <row r="2431" spans="1:24">
      <c r="A2431" s="21" t="s">
        <v>5100</v>
      </c>
      <c r="B2431" t="s">
        <v>257</v>
      </c>
      <c r="C2431" t="s">
        <v>253</v>
      </c>
      <c r="D2431" t="s">
        <v>2759</v>
      </c>
      <c r="E2431" s="7" t="s">
        <v>198</v>
      </c>
      <c r="F2431" s="7" t="s">
        <v>198</v>
      </c>
      <c r="G2431" s="7" t="s">
        <v>198</v>
      </c>
      <c r="H2431" s="7" t="s">
        <v>20</v>
      </c>
      <c r="I2431" s="7" t="s">
        <v>5102</v>
      </c>
      <c r="J2431" s="7" t="s">
        <v>21</v>
      </c>
      <c r="L2431" t="s">
        <v>3893</v>
      </c>
      <c r="M2431" s="7" t="s">
        <v>22</v>
      </c>
      <c r="N2431" s="7" t="s">
        <v>23</v>
      </c>
      <c r="O2431" s="7" t="s">
        <v>27</v>
      </c>
      <c r="P2431" s="7" t="s">
        <v>5101</v>
      </c>
      <c r="Q2431" s="26">
        <v>41</v>
      </c>
      <c r="R2431" s="26">
        <v>2</v>
      </c>
      <c r="S2431" s="40">
        <v>1</v>
      </c>
      <c r="T2431" s="7"/>
      <c r="U2431" s="7" t="s">
        <v>2951</v>
      </c>
      <c r="V2431" s="7" t="str">
        <f>+IF(U2431="","",IF(U2431="FINES",CONCATENATE("R",IF(OR(B2431="16",B2431="21",B2431="22",B2431="23"),"16212223",IF(OR(B2431="15",B2431="17",B2431="24",B2431="25"),"15172425",B2431))),IF(U2431="CEBAS","UNICO",IF(VALUE(B2431)&lt;=11,"AMBA","INTERIOR"))))</f>
        <v>R05</v>
      </c>
      <c r="W2431" s="38" t="str">
        <f>+IF(U2431="","-",CONCATENATE(U2431,"_",V2431))</f>
        <v>FINES_R05</v>
      </c>
      <c r="X2431" s="42">
        <v>9.9000000000000005E-2</v>
      </c>
    </row>
    <row r="2432" spans="1:24">
      <c r="A2432" s="21" t="s">
        <v>5100</v>
      </c>
      <c r="B2432" t="s">
        <v>257</v>
      </c>
      <c r="C2432" t="s">
        <v>415</v>
      </c>
      <c r="D2432" t="s">
        <v>2770</v>
      </c>
      <c r="E2432" s="7" t="s">
        <v>198</v>
      </c>
      <c r="F2432" s="7" t="s">
        <v>198</v>
      </c>
      <c r="G2432" s="7" t="s">
        <v>198</v>
      </c>
      <c r="H2432" s="7" t="s">
        <v>20</v>
      </c>
      <c r="I2432" s="7" t="s">
        <v>5102</v>
      </c>
      <c r="J2432" s="7" t="s">
        <v>21</v>
      </c>
      <c r="L2432" t="s">
        <v>3878</v>
      </c>
      <c r="M2432" s="7" t="s">
        <v>22</v>
      </c>
      <c r="N2432" s="7" t="s">
        <v>23</v>
      </c>
      <c r="O2432" s="7" t="s">
        <v>27</v>
      </c>
      <c r="P2432" s="7" t="s">
        <v>5101</v>
      </c>
      <c r="Q2432" s="26">
        <v>84</v>
      </c>
      <c r="R2432" s="26">
        <v>3</v>
      </c>
      <c r="S2432" s="40">
        <v>1</v>
      </c>
      <c r="T2432" s="7"/>
      <c r="U2432" s="7" t="s">
        <v>2951</v>
      </c>
      <c r="V2432" s="7" t="str">
        <f>+IF(U2432="","",IF(U2432="FINES",CONCATENATE("R",IF(OR(B2432="16",B2432="21",B2432="22",B2432="23"),"16212223",IF(OR(B2432="15",B2432="17",B2432="24",B2432="25"),"15172425",B2432))),IF(U2432="CEBAS","UNICO",IF(VALUE(B2432)&lt;=11,"AMBA","INTERIOR"))))</f>
        <v>R05</v>
      </c>
      <c r="W2432" s="38" t="str">
        <f>+IF(U2432="","-",CONCATENATE(U2432,"_",V2432))</f>
        <v>FINES_R05</v>
      </c>
      <c r="X2432" s="42">
        <v>0.105</v>
      </c>
    </row>
    <row r="2433" spans="1:24">
      <c r="A2433" s="21" t="s">
        <v>5100</v>
      </c>
      <c r="B2433" t="s">
        <v>257</v>
      </c>
      <c r="C2433" t="s">
        <v>253</v>
      </c>
      <c r="D2433" t="s">
        <v>2759</v>
      </c>
      <c r="E2433" s="7" t="s">
        <v>198</v>
      </c>
      <c r="F2433" s="7" t="s">
        <v>198</v>
      </c>
      <c r="G2433" s="7" t="s">
        <v>198</v>
      </c>
      <c r="H2433" s="7" t="s">
        <v>20</v>
      </c>
      <c r="I2433" s="7" t="s">
        <v>5102</v>
      </c>
      <c r="J2433" s="7" t="s">
        <v>21</v>
      </c>
      <c r="L2433" t="s">
        <v>3907</v>
      </c>
      <c r="M2433" s="7" t="s">
        <v>22</v>
      </c>
      <c r="N2433" s="7" t="s">
        <v>23</v>
      </c>
      <c r="O2433" s="7" t="s">
        <v>27</v>
      </c>
      <c r="P2433" s="7" t="s">
        <v>5101</v>
      </c>
      <c r="Q2433" s="26">
        <v>19</v>
      </c>
      <c r="R2433" s="26">
        <v>1</v>
      </c>
      <c r="S2433" s="40">
        <v>1</v>
      </c>
      <c r="T2433" s="7"/>
      <c r="U2433" s="7" t="s">
        <v>2951</v>
      </c>
      <c r="V2433" s="7" t="str">
        <f>+IF(U2433="","",IF(U2433="FINES",CONCATENATE("R",IF(OR(B2433="16",B2433="21",B2433="22",B2433="23"),"16212223",IF(OR(B2433="15",B2433="17",B2433="24",B2433="25"),"15172425",B2433))),IF(U2433="CEBAS","UNICO",IF(VALUE(B2433)&lt;=11,"AMBA","INTERIOR"))))</f>
        <v>R05</v>
      </c>
      <c r="W2433" s="38" t="str">
        <f>+IF(U2433="","-",CONCATENATE(U2433,"_",V2433))</f>
        <v>FINES_R05</v>
      </c>
      <c r="X2433" s="42">
        <v>0.11600000000000001</v>
      </c>
    </row>
    <row r="2434" spans="1:24">
      <c r="A2434" s="21" t="s">
        <v>5100</v>
      </c>
      <c r="B2434" t="s">
        <v>257</v>
      </c>
      <c r="C2434" t="s">
        <v>772</v>
      </c>
      <c r="D2434" t="s">
        <v>773</v>
      </c>
      <c r="E2434" s="7" t="s">
        <v>198</v>
      </c>
      <c r="F2434" s="7" t="s">
        <v>198</v>
      </c>
      <c r="G2434" s="7" t="s">
        <v>198</v>
      </c>
      <c r="H2434" s="7" t="s">
        <v>20</v>
      </c>
      <c r="I2434" s="7" t="s">
        <v>5102</v>
      </c>
      <c r="J2434" s="7" t="s">
        <v>21</v>
      </c>
      <c r="L2434" t="s">
        <v>3844</v>
      </c>
      <c r="M2434" s="7" t="s">
        <v>22</v>
      </c>
      <c r="N2434" s="7" t="s">
        <v>23</v>
      </c>
      <c r="O2434" s="7" t="s">
        <v>27</v>
      </c>
      <c r="P2434" s="7" t="s">
        <v>5101</v>
      </c>
      <c r="Q2434" s="26">
        <v>76</v>
      </c>
      <c r="R2434" s="26">
        <v>2</v>
      </c>
      <c r="S2434" s="40">
        <v>1</v>
      </c>
      <c r="T2434" s="7"/>
      <c r="U2434" s="7" t="s">
        <v>2951</v>
      </c>
      <c r="V2434" s="7" t="str">
        <f>+IF(U2434="","",IF(U2434="FINES",CONCATENATE("R",IF(OR(B2434="16",B2434="21",B2434="22",B2434="23"),"16212223",IF(OR(B2434="15",B2434="17",B2434="24",B2434="25"),"15172425",B2434))),IF(U2434="CEBAS","UNICO",IF(VALUE(B2434)&lt;=11,"AMBA","INTERIOR"))))</f>
        <v>R05</v>
      </c>
      <c r="W2434" s="38" t="str">
        <f>+IF(U2434="","-",CONCATENATE(U2434,"_",V2434))</f>
        <v>FINES_R05</v>
      </c>
      <c r="X2434" s="42">
        <v>0.11700000000000001</v>
      </c>
    </row>
    <row r="2435" spans="1:24">
      <c r="A2435" s="21" t="s">
        <v>5100</v>
      </c>
      <c r="B2435" t="s">
        <v>257</v>
      </c>
      <c r="C2435" t="s">
        <v>254</v>
      </c>
      <c r="D2435" t="s">
        <v>256</v>
      </c>
      <c r="E2435" s="7" t="s">
        <v>198</v>
      </c>
      <c r="F2435" s="7" t="s">
        <v>198</v>
      </c>
      <c r="G2435" s="7" t="s">
        <v>198</v>
      </c>
      <c r="H2435" s="7" t="s">
        <v>20</v>
      </c>
      <c r="I2435" s="7" t="s">
        <v>5102</v>
      </c>
      <c r="J2435" s="7" t="s">
        <v>21</v>
      </c>
      <c r="L2435" t="s">
        <v>3750</v>
      </c>
      <c r="M2435" s="7" t="s">
        <v>22</v>
      </c>
      <c r="N2435" s="7" t="s">
        <v>23</v>
      </c>
      <c r="O2435" s="7" t="s">
        <v>27</v>
      </c>
      <c r="P2435" s="7" t="s">
        <v>5101</v>
      </c>
      <c r="Q2435" s="26">
        <v>32</v>
      </c>
      <c r="R2435" s="26">
        <v>2</v>
      </c>
      <c r="S2435" s="40">
        <v>1</v>
      </c>
      <c r="T2435" s="7"/>
      <c r="U2435" s="7" t="s">
        <v>2951</v>
      </c>
      <c r="V2435" s="7" t="str">
        <f>+IF(U2435="","",IF(U2435="FINES",CONCATENATE("R",IF(OR(B2435="16",B2435="21",B2435="22",B2435="23"),"16212223",IF(OR(B2435="15",B2435="17",B2435="24",B2435="25"),"15172425",B2435))),IF(U2435="CEBAS","UNICO",IF(VALUE(B2435)&lt;=11,"AMBA","INTERIOR"))))</f>
        <v>R05</v>
      </c>
      <c r="W2435" s="38" t="str">
        <f>+IF(U2435="","-",CONCATENATE(U2435,"_",V2435))</f>
        <v>FINES_R05</v>
      </c>
      <c r="X2435" s="42">
        <v>0.11899999999999999</v>
      </c>
    </row>
    <row r="2436" spans="1:24">
      <c r="A2436" s="21" t="s">
        <v>5100</v>
      </c>
      <c r="B2436" t="s">
        <v>257</v>
      </c>
      <c r="C2436" t="s">
        <v>254</v>
      </c>
      <c r="D2436" t="s">
        <v>256</v>
      </c>
      <c r="E2436" s="7" t="s">
        <v>198</v>
      </c>
      <c r="F2436" s="7" t="s">
        <v>198</v>
      </c>
      <c r="G2436" s="7" t="s">
        <v>198</v>
      </c>
      <c r="H2436" s="7" t="s">
        <v>20</v>
      </c>
      <c r="I2436" s="7" t="s">
        <v>5102</v>
      </c>
      <c r="J2436" s="7" t="s">
        <v>21</v>
      </c>
      <c r="L2436" t="s">
        <v>3737</v>
      </c>
      <c r="M2436" s="7" t="s">
        <v>22</v>
      </c>
      <c r="N2436" s="7" t="s">
        <v>23</v>
      </c>
      <c r="O2436" s="7" t="s">
        <v>27</v>
      </c>
      <c r="P2436" s="7" t="s">
        <v>5101</v>
      </c>
      <c r="Q2436" s="26">
        <v>17</v>
      </c>
      <c r="R2436" s="26">
        <v>1</v>
      </c>
      <c r="S2436" s="40">
        <v>1</v>
      </c>
      <c r="T2436" s="7"/>
      <c r="U2436" s="7" t="s">
        <v>2951</v>
      </c>
      <c r="V2436" s="7" t="str">
        <f>+IF(U2436="","",IF(U2436="FINES",CONCATENATE("R",IF(OR(B2436="16",B2436="21",B2436="22",B2436="23"),"16212223",IF(OR(B2436="15",B2436="17",B2436="24",B2436="25"),"15172425",B2436))),IF(U2436="CEBAS","UNICO",IF(VALUE(B2436)&lt;=11,"AMBA","INTERIOR"))))</f>
        <v>R05</v>
      </c>
      <c r="W2436" s="38" t="str">
        <f>+IF(U2436="","-",CONCATENATE(U2436,"_",V2436))</f>
        <v>FINES_R05</v>
      </c>
      <c r="X2436" s="42">
        <v>0.13800000000000001</v>
      </c>
    </row>
    <row r="2437" spans="1:24">
      <c r="A2437" s="21" t="s">
        <v>5100</v>
      </c>
      <c r="B2437" t="s">
        <v>257</v>
      </c>
      <c r="C2437" t="s">
        <v>2337</v>
      </c>
      <c r="D2437" t="s">
        <v>2338</v>
      </c>
      <c r="E2437" s="7" t="s">
        <v>198</v>
      </c>
      <c r="F2437" s="7" t="s">
        <v>198</v>
      </c>
      <c r="G2437" s="7" t="s">
        <v>198</v>
      </c>
      <c r="H2437" s="7" t="s">
        <v>20</v>
      </c>
      <c r="I2437" s="7" t="s">
        <v>5102</v>
      </c>
      <c r="J2437" s="7" t="s">
        <v>21</v>
      </c>
      <c r="L2437" t="s">
        <v>3915</v>
      </c>
      <c r="M2437" s="7" t="s">
        <v>22</v>
      </c>
      <c r="N2437" s="7" t="s">
        <v>23</v>
      </c>
      <c r="O2437" s="7" t="s">
        <v>27</v>
      </c>
      <c r="P2437" s="7" t="s">
        <v>5101</v>
      </c>
      <c r="Q2437" s="26">
        <v>45</v>
      </c>
      <c r="R2437" s="26">
        <v>2</v>
      </c>
      <c r="S2437" s="40">
        <v>1</v>
      </c>
      <c r="T2437" s="7"/>
      <c r="U2437" s="7" t="s">
        <v>2951</v>
      </c>
      <c r="V2437" s="7" t="str">
        <f>+IF(U2437="","",IF(U2437="FINES",CONCATENATE("R",IF(OR(B2437="16",B2437="21",B2437="22",B2437="23"),"16212223",IF(OR(B2437="15",B2437="17",B2437="24",B2437="25"),"15172425",B2437))),IF(U2437="CEBAS","UNICO",IF(VALUE(B2437)&lt;=11,"AMBA","INTERIOR"))))</f>
        <v>R05</v>
      </c>
      <c r="W2437" s="38" t="str">
        <f>+IF(U2437="","-",CONCATENATE(U2437,"_",V2437))</f>
        <v>FINES_R05</v>
      </c>
      <c r="X2437" s="42">
        <v>0.14699999999999999</v>
      </c>
    </row>
    <row r="2438" spans="1:24">
      <c r="A2438" s="21" t="s">
        <v>5100</v>
      </c>
      <c r="B2438" t="s">
        <v>257</v>
      </c>
      <c r="C2438" t="s">
        <v>253</v>
      </c>
      <c r="D2438" t="s">
        <v>2759</v>
      </c>
      <c r="E2438" s="7" t="s">
        <v>198</v>
      </c>
      <c r="F2438" s="7" t="s">
        <v>198</v>
      </c>
      <c r="G2438" s="7" t="s">
        <v>198</v>
      </c>
      <c r="H2438" s="7" t="s">
        <v>20</v>
      </c>
      <c r="I2438" s="7" t="s">
        <v>5102</v>
      </c>
      <c r="J2438" s="7" t="s">
        <v>21</v>
      </c>
      <c r="L2438" t="s">
        <v>3902</v>
      </c>
      <c r="M2438" s="7" t="s">
        <v>22</v>
      </c>
      <c r="N2438" s="7" t="s">
        <v>23</v>
      </c>
      <c r="O2438" s="7" t="s">
        <v>27</v>
      </c>
      <c r="P2438" s="7" t="s">
        <v>5101</v>
      </c>
      <c r="Q2438" s="26">
        <v>86</v>
      </c>
      <c r="R2438" s="26">
        <v>4</v>
      </c>
      <c r="S2438" s="40">
        <v>1</v>
      </c>
      <c r="T2438" s="7"/>
      <c r="U2438" s="7" t="s">
        <v>2951</v>
      </c>
      <c r="V2438" s="7" t="str">
        <f>+IF(U2438="","",IF(U2438="FINES",CONCATENATE("R",IF(OR(B2438="16",B2438="21",B2438="22",B2438="23"),"16212223",IF(OR(B2438="15",B2438="17",B2438="24",B2438="25"),"15172425",B2438))),IF(U2438="CEBAS","UNICO",IF(VALUE(B2438)&lt;=11,"AMBA","INTERIOR"))))</f>
        <v>R05</v>
      </c>
      <c r="W2438" s="38" t="str">
        <f>+IF(U2438="","-",CONCATENATE(U2438,"_",V2438))</f>
        <v>FINES_R05</v>
      </c>
      <c r="X2438" s="42">
        <v>0.152</v>
      </c>
    </row>
    <row r="2439" spans="1:24">
      <c r="A2439" s="21" t="s">
        <v>5100</v>
      </c>
      <c r="B2439" t="s">
        <v>257</v>
      </c>
      <c r="C2439" t="s">
        <v>254</v>
      </c>
      <c r="D2439" t="s">
        <v>256</v>
      </c>
      <c r="E2439" s="7" t="s">
        <v>198</v>
      </c>
      <c r="F2439" s="7" t="s">
        <v>198</v>
      </c>
      <c r="G2439" s="7" t="s">
        <v>198</v>
      </c>
      <c r="H2439" s="7" t="s">
        <v>20</v>
      </c>
      <c r="I2439" s="7" t="s">
        <v>5102</v>
      </c>
      <c r="J2439" s="7" t="s">
        <v>21</v>
      </c>
      <c r="L2439" t="s">
        <v>3766</v>
      </c>
      <c r="M2439" s="7" t="s">
        <v>22</v>
      </c>
      <c r="N2439" s="7" t="s">
        <v>23</v>
      </c>
      <c r="O2439" s="7" t="s">
        <v>27</v>
      </c>
      <c r="P2439" s="7" t="s">
        <v>5101</v>
      </c>
      <c r="Q2439" s="26">
        <v>54</v>
      </c>
      <c r="R2439" s="26">
        <v>2</v>
      </c>
      <c r="S2439" s="40">
        <v>1</v>
      </c>
      <c r="T2439" s="7"/>
      <c r="U2439" s="7" t="s">
        <v>2951</v>
      </c>
      <c r="V2439" s="7" t="str">
        <f>+IF(U2439="","",IF(U2439="FINES",CONCATENATE("R",IF(OR(B2439="16",B2439="21",B2439="22",B2439="23"),"16212223",IF(OR(B2439="15",B2439="17",B2439="24",B2439="25"),"15172425",B2439))),IF(U2439="CEBAS","UNICO",IF(VALUE(B2439)&lt;=11,"AMBA","INTERIOR"))))</f>
        <v>R05</v>
      </c>
      <c r="W2439" s="38" t="str">
        <f>+IF(U2439="","-",CONCATENATE(U2439,"_",V2439))</f>
        <v>FINES_R05</v>
      </c>
      <c r="X2439" s="42">
        <v>0.161</v>
      </c>
    </row>
    <row r="2440" spans="1:24">
      <c r="A2440" s="21" t="s">
        <v>5100</v>
      </c>
      <c r="B2440" t="s">
        <v>257</v>
      </c>
      <c r="C2440" t="s">
        <v>254</v>
      </c>
      <c r="D2440" t="s">
        <v>256</v>
      </c>
      <c r="E2440" s="7" t="s">
        <v>198</v>
      </c>
      <c r="F2440" s="7" t="s">
        <v>198</v>
      </c>
      <c r="G2440" s="7" t="s">
        <v>198</v>
      </c>
      <c r="H2440" s="7" t="s">
        <v>20</v>
      </c>
      <c r="I2440" s="7" t="s">
        <v>5102</v>
      </c>
      <c r="J2440" s="7" t="s">
        <v>21</v>
      </c>
      <c r="L2440" t="s">
        <v>3794</v>
      </c>
      <c r="M2440" s="7" t="s">
        <v>22</v>
      </c>
      <c r="N2440" s="7" t="s">
        <v>23</v>
      </c>
      <c r="O2440" s="7" t="s">
        <v>27</v>
      </c>
      <c r="P2440" s="7" t="s">
        <v>5101</v>
      </c>
      <c r="Q2440" s="26">
        <v>28</v>
      </c>
      <c r="R2440" s="26">
        <v>1</v>
      </c>
      <c r="S2440" s="40">
        <v>1</v>
      </c>
      <c r="T2440" s="7"/>
      <c r="U2440" s="7" t="s">
        <v>2951</v>
      </c>
      <c r="V2440" s="7" t="str">
        <f>+IF(U2440="","",IF(U2440="FINES",CONCATENATE("R",IF(OR(B2440="16",B2440="21",B2440="22",B2440="23"),"16212223",IF(OR(B2440="15",B2440="17",B2440="24",B2440="25"),"15172425",B2440))),IF(U2440="CEBAS","UNICO",IF(VALUE(B2440)&lt;=11,"AMBA","INTERIOR"))))</f>
        <v>R05</v>
      </c>
      <c r="W2440" s="38" t="str">
        <f>+IF(U2440="","-",CONCATENATE(U2440,"_",V2440))</f>
        <v>FINES_R05</v>
      </c>
      <c r="X2440" s="42">
        <v>0.16700000000000001</v>
      </c>
    </row>
    <row r="2441" spans="1:24">
      <c r="A2441" s="21" t="s">
        <v>5100</v>
      </c>
      <c r="B2441" t="s">
        <v>257</v>
      </c>
      <c r="C2441" t="s">
        <v>772</v>
      </c>
      <c r="D2441" t="s">
        <v>773</v>
      </c>
      <c r="E2441" s="7" t="s">
        <v>198</v>
      </c>
      <c r="F2441" s="7" t="s">
        <v>198</v>
      </c>
      <c r="G2441" s="7" t="s">
        <v>198</v>
      </c>
      <c r="H2441" s="7" t="s">
        <v>20</v>
      </c>
      <c r="I2441" s="7" t="s">
        <v>5102</v>
      </c>
      <c r="J2441" s="7" t="s">
        <v>21</v>
      </c>
      <c r="L2441" t="s">
        <v>3840</v>
      </c>
      <c r="M2441" s="7" t="s">
        <v>22</v>
      </c>
      <c r="N2441" s="7" t="s">
        <v>23</v>
      </c>
      <c r="O2441" s="7" t="s">
        <v>27</v>
      </c>
      <c r="P2441" s="7" t="s">
        <v>5101</v>
      </c>
      <c r="Q2441" s="26">
        <v>270</v>
      </c>
      <c r="R2441" s="26">
        <v>9</v>
      </c>
      <c r="S2441" s="40">
        <v>1</v>
      </c>
      <c r="T2441" s="7"/>
      <c r="U2441" s="7" t="s">
        <v>2951</v>
      </c>
      <c r="V2441" s="7" t="str">
        <f>+IF(U2441="","",IF(U2441="FINES",CONCATENATE("R",IF(OR(B2441="16",B2441="21",B2441="22",B2441="23"),"16212223",IF(OR(B2441="15",B2441="17",B2441="24",B2441="25"),"15172425",B2441))),IF(U2441="CEBAS","UNICO",IF(VALUE(B2441)&lt;=11,"AMBA","INTERIOR"))))</f>
        <v>R05</v>
      </c>
      <c r="W2441" s="38" t="str">
        <f>+IF(U2441="","-",CONCATENATE(U2441,"_",V2441))</f>
        <v>FINES_R05</v>
      </c>
      <c r="X2441" s="42">
        <v>0.16900000000000001</v>
      </c>
    </row>
    <row r="2442" spans="1:24">
      <c r="A2442" s="21" t="s">
        <v>5100</v>
      </c>
      <c r="B2442" t="s">
        <v>257</v>
      </c>
      <c r="C2442" t="s">
        <v>254</v>
      </c>
      <c r="D2442" t="s">
        <v>256</v>
      </c>
      <c r="E2442" s="7" t="s">
        <v>198</v>
      </c>
      <c r="F2442" s="7" t="s">
        <v>198</v>
      </c>
      <c r="G2442" s="7" t="s">
        <v>198</v>
      </c>
      <c r="H2442" s="7" t="s">
        <v>20</v>
      </c>
      <c r="I2442" s="7" t="s">
        <v>5102</v>
      </c>
      <c r="J2442" s="7" t="s">
        <v>21</v>
      </c>
      <c r="L2442" t="s">
        <v>3724</v>
      </c>
      <c r="M2442" s="7" t="s">
        <v>22</v>
      </c>
      <c r="N2442" s="7" t="s">
        <v>23</v>
      </c>
      <c r="O2442" s="7" t="s">
        <v>27</v>
      </c>
      <c r="P2442" s="7" t="s">
        <v>5101</v>
      </c>
      <c r="Q2442" s="26">
        <v>0</v>
      </c>
      <c r="R2442" s="26">
        <v>1</v>
      </c>
      <c r="S2442" s="40">
        <v>1</v>
      </c>
      <c r="T2442" s="7"/>
      <c r="U2442" s="7" t="s">
        <v>2951</v>
      </c>
      <c r="V2442" s="7" t="str">
        <f>+IF(U2442="","",IF(U2442="FINES",CONCATENATE("R",IF(OR(B2442="16",B2442="21",B2442="22",B2442="23"),"16212223",IF(OR(B2442="15",B2442="17",B2442="24",B2442="25"),"15172425",B2442))),IF(U2442="CEBAS","UNICO",IF(VALUE(B2442)&lt;=11,"AMBA","INTERIOR"))))</f>
        <v>R05</v>
      </c>
      <c r="W2442" s="38" t="str">
        <f>+IF(U2442="","-",CONCATENATE(U2442,"_",V2442))</f>
        <v>FINES_R05</v>
      </c>
      <c r="X2442" s="42">
        <v>0.17</v>
      </c>
    </row>
    <row r="2443" spans="1:24">
      <c r="A2443" s="21" t="s">
        <v>5100</v>
      </c>
      <c r="B2443" t="s">
        <v>257</v>
      </c>
      <c r="C2443" t="s">
        <v>253</v>
      </c>
      <c r="D2443" t="s">
        <v>2759</v>
      </c>
      <c r="E2443" s="7" t="s">
        <v>198</v>
      </c>
      <c r="F2443" s="7" t="s">
        <v>198</v>
      </c>
      <c r="G2443" s="7" t="s">
        <v>198</v>
      </c>
      <c r="H2443" s="7" t="s">
        <v>20</v>
      </c>
      <c r="I2443" s="7" t="s">
        <v>5102</v>
      </c>
      <c r="J2443" s="7" t="s">
        <v>21</v>
      </c>
      <c r="L2443" t="s">
        <v>3894</v>
      </c>
      <c r="M2443" s="7" t="s">
        <v>22</v>
      </c>
      <c r="N2443" s="7" t="s">
        <v>23</v>
      </c>
      <c r="O2443" s="7" t="s">
        <v>27</v>
      </c>
      <c r="P2443" s="7" t="s">
        <v>5101</v>
      </c>
      <c r="Q2443" s="26">
        <v>38</v>
      </c>
      <c r="R2443" s="26">
        <v>2</v>
      </c>
      <c r="S2443" s="40">
        <v>1</v>
      </c>
      <c r="T2443" s="7"/>
      <c r="U2443" s="7" t="s">
        <v>2951</v>
      </c>
      <c r="V2443" s="7" t="str">
        <f>+IF(U2443="","",IF(U2443="FINES",CONCATENATE("R",IF(OR(B2443="16",B2443="21",B2443="22",B2443="23"),"16212223",IF(OR(B2443="15",B2443="17",B2443="24",B2443="25"),"15172425",B2443))),IF(U2443="CEBAS","UNICO",IF(VALUE(B2443)&lt;=11,"AMBA","INTERIOR"))))</f>
        <v>R05</v>
      </c>
      <c r="W2443" s="38" t="str">
        <f>+IF(U2443="","-",CONCATENATE(U2443,"_",V2443))</f>
        <v>FINES_R05</v>
      </c>
      <c r="X2443" s="42">
        <v>0.17799999999999999</v>
      </c>
    </row>
    <row r="2444" spans="1:24">
      <c r="A2444" s="21" t="s">
        <v>5100</v>
      </c>
      <c r="B2444" t="s">
        <v>257</v>
      </c>
      <c r="C2444" t="s">
        <v>772</v>
      </c>
      <c r="D2444" t="s">
        <v>773</v>
      </c>
      <c r="E2444" s="7" t="s">
        <v>198</v>
      </c>
      <c r="F2444" s="7" t="s">
        <v>198</v>
      </c>
      <c r="G2444" s="7" t="s">
        <v>198</v>
      </c>
      <c r="H2444" s="7" t="s">
        <v>20</v>
      </c>
      <c r="I2444" s="7" t="s">
        <v>5102</v>
      </c>
      <c r="J2444" s="7" t="s">
        <v>21</v>
      </c>
      <c r="L2444" t="s">
        <v>3842</v>
      </c>
      <c r="M2444" s="7" t="s">
        <v>22</v>
      </c>
      <c r="N2444" s="7" t="s">
        <v>23</v>
      </c>
      <c r="O2444" s="7" t="s">
        <v>27</v>
      </c>
      <c r="P2444" s="7" t="s">
        <v>5101</v>
      </c>
      <c r="Q2444" s="26">
        <v>222</v>
      </c>
      <c r="R2444" s="26">
        <v>9</v>
      </c>
      <c r="S2444" s="40">
        <v>1</v>
      </c>
      <c r="T2444" s="7"/>
      <c r="U2444" s="7" t="s">
        <v>2951</v>
      </c>
      <c r="V2444" s="7" t="str">
        <f>+IF(U2444="","",IF(U2444="FINES",CONCATENATE("R",IF(OR(B2444="16",B2444="21",B2444="22",B2444="23"),"16212223",IF(OR(B2444="15",B2444="17",B2444="24",B2444="25"),"15172425",B2444))),IF(U2444="CEBAS","UNICO",IF(VALUE(B2444)&lt;=11,"AMBA","INTERIOR"))))</f>
        <v>R05</v>
      </c>
      <c r="W2444" s="38" t="str">
        <f>+IF(U2444="","-",CONCATENATE(U2444,"_",V2444))</f>
        <v>FINES_R05</v>
      </c>
      <c r="X2444" s="42">
        <v>0.17799999999999999</v>
      </c>
    </row>
    <row r="2445" spans="1:24">
      <c r="A2445" s="21" t="s">
        <v>5100</v>
      </c>
      <c r="B2445" t="s">
        <v>257</v>
      </c>
      <c r="C2445" t="s">
        <v>254</v>
      </c>
      <c r="D2445" t="s">
        <v>256</v>
      </c>
      <c r="E2445" s="7" t="s">
        <v>198</v>
      </c>
      <c r="F2445" s="7" t="s">
        <v>198</v>
      </c>
      <c r="G2445" s="7" t="s">
        <v>198</v>
      </c>
      <c r="H2445" s="7" t="s">
        <v>20</v>
      </c>
      <c r="I2445" s="7" t="s">
        <v>5102</v>
      </c>
      <c r="J2445" s="7" t="s">
        <v>21</v>
      </c>
      <c r="L2445" t="s">
        <v>3822</v>
      </c>
      <c r="M2445" s="7" t="s">
        <v>22</v>
      </c>
      <c r="N2445" s="7" t="s">
        <v>23</v>
      </c>
      <c r="O2445" s="7" t="s">
        <v>27</v>
      </c>
      <c r="P2445" s="7" t="s">
        <v>5101</v>
      </c>
      <c r="Q2445" s="26">
        <v>21</v>
      </c>
      <c r="R2445" s="26">
        <v>1</v>
      </c>
      <c r="S2445" s="40">
        <v>1</v>
      </c>
      <c r="T2445" s="7"/>
      <c r="U2445" s="7" t="s">
        <v>2951</v>
      </c>
      <c r="V2445" s="7" t="str">
        <f>+IF(U2445="","",IF(U2445="FINES",CONCATENATE("R",IF(OR(B2445="16",B2445="21",B2445="22",B2445="23"),"16212223",IF(OR(B2445="15",B2445="17",B2445="24",B2445="25"),"15172425",B2445))),IF(U2445="CEBAS","UNICO",IF(VALUE(B2445)&lt;=11,"AMBA","INTERIOR"))))</f>
        <v>R05</v>
      </c>
      <c r="W2445" s="38" t="str">
        <f>+IF(U2445="","-",CONCATENATE(U2445,"_",V2445))</f>
        <v>FINES_R05</v>
      </c>
      <c r="X2445" s="42">
        <v>0.17899999999999999</v>
      </c>
    </row>
    <row r="2446" spans="1:24">
      <c r="A2446" s="21" t="s">
        <v>5100</v>
      </c>
      <c r="B2446" t="s">
        <v>257</v>
      </c>
      <c r="C2446" t="s">
        <v>254</v>
      </c>
      <c r="D2446" t="s">
        <v>256</v>
      </c>
      <c r="E2446" s="7" t="s">
        <v>198</v>
      </c>
      <c r="F2446" s="7" t="s">
        <v>198</v>
      </c>
      <c r="G2446" s="7" t="s">
        <v>198</v>
      </c>
      <c r="H2446" s="7" t="s">
        <v>20</v>
      </c>
      <c r="I2446" s="7" t="s">
        <v>5102</v>
      </c>
      <c r="J2446" s="7" t="s">
        <v>21</v>
      </c>
      <c r="L2446" t="s">
        <v>3816</v>
      </c>
      <c r="M2446" s="7" t="s">
        <v>22</v>
      </c>
      <c r="N2446" s="7" t="s">
        <v>23</v>
      </c>
      <c r="O2446" s="7" t="s">
        <v>27</v>
      </c>
      <c r="P2446" s="7" t="s">
        <v>5101</v>
      </c>
      <c r="Q2446" s="26">
        <v>118</v>
      </c>
      <c r="R2446" s="26">
        <v>5</v>
      </c>
      <c r="S2446" s="40">
        <v>1</v>
      </c>
      <c r="T2446" s="7"/>
      <c r="U2446" s="7" t="s">
        <v>2951</v>
      </c>
      <c r="V2446" s="7" t="str">
        <f>+IF(U2446="","",IF(U2446="FINES",CONCATENATE("R",IF(OR(B2446="16",B2446="21",B2446="22",B2446="23"),"16212223",IF(OR(B2446="15",B2446="17",B2446="24",B2446="25"),"15172425",B2446))),IF(U2446="CEBAS","UNICO",IF(VALUE(B2446)&lt;=11,"AMBA","INTERIOR"))))</f>
        <v>R05</v>
      </c>
      <c r="W2446" s="38" t="str">
        <f>+IF(U2446="","-",CONCATENATE(U2446,"_",V2446))</f>
        <v>FINES_R05</v>
      </c>
      <c r="X2446" s="42">
        <v>0.184</v>
      </c>
    </row>
    <row r="2447" spans="1:24">
      <c r="A2447" s="21" t="s">
        <v>5100</v>
      </c>
      <c r="B2447" t="s">
        <v>257</v>
      </c>
      <c r="C2447" t="s">
        <v>254</v>
      </c>
      <c r="D2447" t="s">
        <v>256</v>
      </c>
      <c r="E2447" s="7" t="s">
        <v>198</v>
      </c>
      <c r="F2447" s="7" t="s">
        <v>198</v>
      </c>
      <c r="G2447" s="7" t="s">
        <v>198</v>
      </c>
      <c r="H2447" s="7" t="s">
        <v>20</v>
      </c>
      <c r="I2447" s="7" t="s">
        <v>5102</v>
      </c>
      <c r="J2447" s="7" t="s">
        <v>21</v>
      </c>
      <c r="L2447" t="s">
        <v>3738</v>
      </c>
      <c r="M2447" s="7" t="s">
        <v>22</v>
      </c>
      <c r="N2447" s="7" t="s">
        <v>23</v>
      </c>
      <c r="O2447" s="7" t="s">
        <v>27</v>
      </c>
      <c r="P2447" s="7" t="s">
        <v>5101</v>
      </c>
      <c r="Q2447" s="26">
        <v>16</v>
      </c>
      <c r="R2447" s="26">
        <v>1</v>
      </c>
      <c r="S2447" s="40">
        <v>1</v>
      </c>
      <c r="T2447" s="7"/>
      <c r="U2447" s="7" t="s">
        <v>2951</v>
      </c>
      <c r="V2447" s="7" t="str">
        <f>+IF(U2447="","",IF(U2447="FINES",CONCATENATE("R",IF(OR(B2447="16",B2447="21",B2447="22",B2447="23"),"16212223",IF(OR(B2447="15",B2447="17",B2447="24",B2447="25"),"15172425",B2447))),IF(U2447="CEBAS","UNICO",IF(VALUE(B2447)&lt;=11,"AMBA","INTERIOR"))))</f>
        <v>R05</v>
      </c>
      <c r="W2447" s="38" t="str">
        <f>+IF(U2447="","-",CONCATENATE(U2447,"_",V2447))</f>
        <v>FINES_R05</v>
      </c>
      <c r="X2447" s="42">
        <v>0.184</v>
      </c>
    </row>
    <row r="2448" spans="1:24">
      <c r="A2448" s="21" t="s">
        <v>5100</v>
      </c>
      <c r="B2448" t="s">
        <v>257</v>
      </c>
      <c r="C2448" t="s">
        <v>254</v>
      </c>
      <c r="D2448" t="s">
        <v>256</v>
      </c>
      <c r="E2448" s="7" t="s">
        <v>198</v>
      </c>
      <c r="F2448" s="7" t="s">
        <v>198</v>
      </c>
      <c r="G2448" s="7" t="s">
        <v>198</v>
      </c>
      <c r="H2448" s="7" t="s">
        <v>20</v>
      </c>
      <c r="I2448" s="7" t="s">
        <v>5102</v>
      </c>
      <c r="J2448" s="7" t="s">
        <v>21</v>
      </c>
      <c r="L2448" t="s">
        <v>3779</v>
      </c>
      <c r="M2448" s="7" t="s">
        <v>22</v>
      </c>
      <c r="N2448" s="7" t="s">
        <v>23</v>
      </c>
      <c r="O2448" s="7" t="s">
        <v>27</v>
      </c>
      <c r="P2448" s="7" t="s">
        <v>5101</v>
      </c>
      <c r="Q2448" s="26">
        <v>43</v>
      </c>
      <c r="R2448" s="26">
        <v>2</v>
      </c>
      <c r="S2448" s="40">
        <v>1</v>
      </c>
      <c r="T2448" s="7"/>
      <c r="U2448" s="7" t="s">
        <v>2951</v>
      </c>
      <c r="V2448" s="7" t="str">
        <f>+IF(U2448="","",IF(U2448="FINES",CONCATENATE("R",IF(OR(B2448="16",B2448="21",B2448="22",B2448="23"),"16212223",IF(OR(B2448="15",B2448="17",B2448="24",B2448="25"),"15172425",B2448))),IF(U2448="CEBAS","UNICO",IF(VALUE(B2448)&lt;=11,"AMBA","INTERIOR"))))</f>
        <v>R05</v>
      </c>
      <c r="W2448" s="38" t="str">
        <f>+IF(U2448="","-",CONCATENATE(U2448,"_",V2448))</f>
        <v>FINES_R05</v>
      </c>
      <c r="X2448" s="42">
        <v>0.189</v>
      </c>
    </row>
    <row r="2449" spans="1:24">
      <c r="A2449" s="21" t="s">
        <v>5100</v>
      </c>
      <c r="B2449" t="s">
        <v>257</v>
      </c>
      <c r="C2449" t="s">
        <v>254</v>
      </c>
      <c r="D2449" t="s">
        <v>256</v>
      </c>
      <c r="E2449" s="7" t="s">
        <v>198</v>
      </c>
      <c r="F2449" s="7" t="s">
        <v>198</v>
      </c>
      <c r="G2449" s="7" t="s">
        <v>198</v>
      </c>
      <c r="H2449" s="7" t="s">
        <v>20</v>
      </c>
      <c r="I2449" s="7" t="s">
        <v>5102</v>
      </c>
      <c r="J2449" s="7" t="s">
        <v>21</v>
      </c>
      <c r="L2449" t="s">
        <v>3786</v>
      </c>
      <c r="M2449" s="7" t="s">
        <v>22</v>
      </c>
      <c r="N2449" s="7" t="s">
        <v>23</v>
      </c>
      <c r="O2449" s="7" t="s">
        <v>27</v>
      </c>
      <c r="P2449" s="7" t="s">
        <v>5101</v>
      </c>
      <c r="Q2449" s="26">
        <v>19</v>
      </c>
      <c r="R2449" s="26">
        <v>1</v>
      </c>
      <c r="S2449" s="40">
        <v>1</v>
      </c>
      <c r="T2449" s="7"/>
      <c r="U2449" s="7" t="s">
        <v>2951</v>
      </c>
      <c r="V2449" s="7" t="str">
        <f>+IF(U2449="","",IF(U2449="FINES",CONCATENATE("R",IF(OR(B2449="16",B2449="21",B2449="22",B2449="23"),"16212223",IF(OR(B2449="15",B2449="17",B2449="24",B2449="25"),"15172425",B2449))),IF(U2449="CEBAS","UNICO",IF(VALUE(B2449)&lt;=11,"AMBA","INTERIOR"))))</f>
        <v>R05</v>
      </c>
      <c r="W2449" s="38" t="str">
        <f>+IF(U2449="","-",CONCATENATE(U2449,"_",V2449))</f>
        <v>FINES_R05</v>
      </c>
      <c r="X2449" s="42">
        <v>0.191</v>
      </c>
    </row>
    <row r="2450" spans="1:24">
      <c r="A2450" s="21" t="s">
        <v>5100</v>
      </c>
      <c r="B2450" t="s">
        <v>257</v>
      </c>
      <c r="C2450" t="s">
        <v>415</v>
      </c>
      <c r="D2450" t="s">
        <v>2770</v>
      </c>
      <c r="E2450" s="7" t="s">
        <v>198</v>
      </c>
      <c r="F2450" s="7" t="s">
        <v>198</v>
      </c>
      <c r="G2450" s="7" t="s">
        <v>198</v>
      </c>
      <c r="H2450" s="7" t="s">
        <v>20</v>
      </c>
      <c r="I2450" s="7" t="s">
        <v>5102</v>
      </c>
      <c r="J2450" s="7" t="s">
        <v>21</v>
      </c>
      <c r="L2450" t="s">
        <v>3890</v>
      </c>
      <c r="M2450" s="7" t="s">
        <v>22</v>
      </c>
      <c r="N2450" s="7" t="s">
        <v>23</v>
      </c>
      <c r="O2450" s="7" t="s">
        <v>27</v>
      </c>
      <c r="P2450" s="7" t="s">
        <v>5101</v>
      </c>
      <c r="Q2450" s="26">
        <v>12</v>
      </c>
      <c r="R2450" s="26">
        <v>1</v>
      </c>
      <c r="S2450" s="40">
        <v>1</v>
      </c>
      <c r="T2450" s="7"/>
      <c r="U2450" s="7" t="s">
        <v>2951</v>
      </c>
      <c r="V2450" s="7" t="str">
        <f>+IF(U2450="","",IF(U2450="FINES",CONCATENATE("R",IF(OR(B2450="16",B2450="21",B2450="22",B2450="23"),"16212223",IF(OR(B2450="15",B2450="17",B2450="24",B2450="25"),"15172425",B2450))),IF(U2450="CEBAS","UNICO",IF(VALUE(B2450)&lt;=11,"AMBA","INTERIOR"))))</f>
        <v>R05</v>
      </c>
      <c r="W2450" s="38" t="str">
        <f>+IF(U2450="","-",CONCATENATE(U2450,"_",V2450))</f>
        <v>FINES_R05</v>
      </c>
      <c r="X2450" s="42">
        <v>0.19900000000000001</v>
      </c>
    </row>
    <row r="2451" spans="1:24">
      <c r="A2451" s="21" t="s">
        <v>5100</v>
      </c>
      <c r="B2451" t="s">
        <v>257</v>
      </c>
      <c r="C2451" t="s">
        <v>772</v>
      </c>
      <c r="D2451" t="s">
        <v>773</v>
      </c>
      <c r="E2451" s="7" t="s">
        <v>198</v>
      </c>
      <c r="F2451" s="7" t="s">
        <v>198</v>
      </c>
      <c r="G2451" s="7" t="s">
        <v>198</v>
      </c>
      <c r="H2451" s="7" t="s">
        <v>20</v>
      </c>
      <c r="I2451" s="7" t="s">
        <v>5102</v>
      </c>
      <c r="J2451" s="7" t="s">
        <v>21</v>
      </c>
      <c r="L2451" t="s">
        <v>3837</v>
      </c>
      <c r="M2451" s="7" t="s">
        <v>22</v>
      </c>
      <c r="N2451" s="7" t="s">
        <v>23</v>
      </c>
      <c r="O2451" s="7" t="s">
        <v>27</v>
      </c>
      <c r="P2451" s="7" t="s">
        <v>5101</v>
      </c>
      <c r="Q2451" s="26">
        <v>15</v>
      </c>
      <c r="R2451" s="26">
        <v>1</v>
      </c>
      <c r="S2451" s="40">
        <v>1</v>
      </c>
      <c r="T2451" s="7"/>
      <c r="U2451" s="7" t="s">
        <v>2951</v>
      </c>
      <c r="V2451" s="7" t="str">
        <f>+IF(U2451="","",IF(U2451="FINES",CONCATENATE("R",IF(OR(B2451="16",B2451="21",B2451="22",B2451="23"),"16212223",IF(OR(B2451="15",B2451="17",B2451="24",B2451="25"),"15172425",B2451))),IF(U2451="CEBAS","UNICO",IF(VALUE(B2451)&lt;=11,"AMBA","INTERIOR"))))</f>
        <v>R05</v>
      </c>
      <c r="W2451" s="38" t="str">
        <f>+IF(U2451="","-",CONCATENATE(U2451,"_",V2451))</f>
        <v>FINES_R05</v>
      </c>
      <c r="X2451" s="42">
        <v>0.20100000000000001</v>
      </c>
    </row>
    <row r="2452" spans="1:24">
      <c r="A2452" s="21" t="s">
        <v>5100</v>
      </c>
      <c r="B2452" t="s">
        <v>257</v>
      </c>
      <c r="C2452" t="s">
        <v>415</v>
      </c>
      <c r="D2452" t="s">
        <v>2770</v>
      </c>
      <c r="E2452" s="7" t="s">
        <v>198</v>
      </c>
      <c r="F2452" s="7" t="s">
        <v>198</v>
      </c>
      <c r="G2452" s="7" t="s">
        <v>198</v>
      </c>
      <c r="H2452" s="7" t="s">
        <v>20</v>
      </c>
      <c r="I2452" s="7" t="s">
        <v>5102</v>
      </c>
      <c r="J2452" s="7" t="s">
        <v>21</v>
      </c>
      <c r="L2452" t="s">
        <v>1216</v>
      </c>
      <c r="M2452" s="7" t="s">
        <v>22</v>
      </c>
      <c r="N2452" s="7" t="s">
        <v>23</v>
      </c>
      <c r="O2452" s="7" t="s">
        <v>27</v>
      </c>
      <c r="P2452" s="7" t="s">
        <v>5101</v>
      </c>
      <c r="Q2452" s="26">
        <v>7</v>
      </c>
      <c r="R2452" s="26">
        <v>1</v>
      </c>
      <c r="S2452" s="40">
        <v>1</v>
      </c>
      <c r="T2452" s="7"/>
      <c r="U2452" s="7" t="s">
        <v>2951</v>
      </c>
      <c r="V2452" s="7" t="str">
        <f>+IF(U2452="","",IF(U2452="FINES",CONCATENATE("R",IF(OR(B2452="16",B2452="21",B2452="22",B2452="23"),"16212223",IF(OR(B2452="15",B2452="17",B2452="24",B2452="25"),"15172425",B2452))),IF(U2452="CEBAS","UNICO",IF(VALUE(B2452)&lt;=11,"AMBA","INTERIOR"))))</f>
        <v>R05</v>
      </c>
      <c r="W2452" s="38" t="str">
        <f>+IF(U2452="","-",CONCATENATE(U2452,"_",V2452))</f>
        <v>FINES_R05</v>
      </c>
      <c r="X2452" s="42">
        <v>0.20300000000000001</v>
      </c>
    </row>
    <row r="2453" spans="1:24">
      <c r="A2453" s="21" t="s">
        <v>5100</v>
      </c>
      <c r="B2453" t="s">
        <v>257</v>
      </c>
      <c r="C2453" t="s">
        <v>2337</v>
      </c>
      <c r="D2453" t="s">
        <v>2338</v>
      </c>
      <c r="E2453" s="7" t="s">
        <v>198</v>
      </c>
      <c r="F2453" s="7" t="s">
        <v>198</v>
      </c>
      <c r="G2453" s="7" t="s">
        <v>198</v>
      </c>
      <c r="H2453" s="7" t="s">
        <v>20</v>
      </c>
      <c r="I2453" s="7" t="s">
        <v>5102</v>
      </c>
      <c r="J2453" s="7" t="s">
        <v>21</v>
      </c>
      <c r="L2453" t="s">
        <v>3913</v>
      </c>
      <c r="M2453" s="7" t="s">
        <v>22</v>
      </c>
      <c r="N2453" s="7" t="s">
        <v>23</v>
      </c>
      <c r="O2453" s="7" t="s">
        <v>27</v>
      </c>
      <c r="P2453" s="7" t="s">
        <v>5101</v>
      </c>
      <c r="Q2453" s="26">
        <v>31</v>
      </c>
      <c r="R2453" s="26">
        <v>1</v>
      </c>
      <c r="S2453" s="40">
        <v>1</v>
      </c>
      <c r="T2453" s="7"/>
      <c r="U2453" s="7" t="s">
        <v>2951</v>
      </c>
      <c r="V2453" s="7" t="str">
        <f>+IF(U2453="","",IF(U2453="FINES",CONCATENATE("R",IF(OR(B2453="16",B2453="21",B2453="22",B2453="23"),"16212223",IF(OR(B2453="15",B2453="17",B2453="24",B2453="25"),"15172425",B2453))),IF(U2453="CEBAS","UNICO",IF(VALUE(B2453)&lt;=11,"AMBA","INTERIOR"))))</f>
        <v>R05</v>
      </c>
      <c r="W2453" s="38" t="str">
        <f>+IF(U2453="","-",CONCATENATE(U2453,"_",V2453))</f>
        <v>FINES_R05</v>
      </c>
      <c r="X2453" s="42">
        <v>0.20399999999999999</v>
      </c>
    </row>
    <row r="2454" spans="1:24">
      <c r="A2454" s="21" t="s">
        <v>5100</v>
      </c>
      <c r="B2454" t="s">
        <v>257</v>
      </c>
      <c r="C2454" t="s">
        <v>254</v>
      </c>
      <c r="D2454" t="s">
        <v>256</v>
      </c>
      <c r="E2454" s="7" t="s">
        <v>198</v>
      </c>
      <c r="F2454" s="7" t="s">
        <v>198</v>
      </c>
      <c r="G2454" s="7" t="s">
        <v>198</v>
      </c>
      <c r="H2454" s="7" t="s">
        <v>20</v>
      </c>
      <c r="I2454" s="7" t="s">
        <v>5102</v>
      </c>
      <c r="J2454" s="7" t="s">
        <v>21</v>
      </c>
      <c r="L2454" t="s">
        <v>3744</v>
      </c>
      <c r="M2454" s="7" t="s">
        <v>22</v>
      </c>
      <c r="N2454" s="7" t="s">
        <v>23</v>
      </c>
      <c r="O2454" s="7" t="s">
        <v>27</v>
      </c>
      <c r="P2454" s="7" t="s">
        <v>5101</v>
      </c>
      <c r="Q2454" s="26">
        <v>18</v>
      </c>
      <c r="R2454" s="26">
        <v>1</v>
      </c>
      <c r="S2454" s="40">
        <v>1</v>
      </c>
      <c r="T2454" s="7"/>
      <c r="U2454" s="7" t="s">
        <v>2951</v>
      </c>
      <c r="V2454" s="7" t="str">
        <f>+IF(U2454="","",IF(U2454="FINES",CONCATENATE("R",IF(OR(B2454="16",B2454="21",B2454="22",B2454="23"),"16212223",IF(OR(B2454="15",B2454="17",B2454="24",B2454="25"),"15172425",B2454))),IF(U2454="CEBAS","UNICO",IF(VALUE(B2454)&lt;=11,"AMBA","INTERIOR"))))</f>
        <v>R05</v>
      </c>
      <c r="W2454" s="38" t="str">
        <f>+IF(U2454="","-",CONCATENATE(U2454,"_",V2454))</f>
        <v>FINES_R05</v>
      </c>
      <c r="X2454" s="42">
        <v>0.20499999999999999</v>
      </c>
    </row>
    <row r="2455" spans="1:24">
      <c r="A2455" s="21" t="s">
        <v>5100</v>
      </c>
      <c r="B2455" t="s">
        <v>257</v>
      </c>
      <c r="C2455" t="s">
        <v>254</v>
      </c>
      <c r="D2455" t="s">
        <v>256</v>
      </c>
      <c r="E2455" s="7" t="s">
        <v>198</v>
      </c>
      <c r="F2455" s="7" t="s">
        <v>198</v>
      </c>
      <c r="G2455" s="7" t="s">
        <v>198</v>
      </c>
      <c r="H2455" s="7" t="s">
        <v>20</v>
      </c>
      <c r="I2455" s="7" t="s">
        <v>5102</v>
      </c>
      <c r="J2455" s="7" t="s">
        <v>21</v>
      </c>
      <c r="L2455" t="s">
        <v>3800</v>
      </c>
      <c r="M2455" s="7" t="s">
        <v>22</v>
      </c>
      <c r="N2455" s="7" t="s">
        <v>23</v>
      </c>
      <c r="O2455" s="7" t="s">
        <v>27</v>
      </c>
      <c r="P2455" s="7" t="s">
        <v>5101</v>
      </c>
      <c r="Q2455" s="26">
        <v>17</v>
      </c>
      <c r="R2455" s="26">
        <v>1</v>
      </c>
      <c r="S2455" s="40">
        <v>1</v>
      </c>
      <c r="T2455" s="7"/>
      <c r="U2455" s="7" t="s">
        <v>2951</v>
      </c>
      <c r="V2455" s="7" t="str">
        <f>+IF(U2455="","",IF(U2455="FINES",CONCATENATE("R",IF(OR(B2455="16",B2455="21",B2455="22",B2455="23"),"16212223",IF(OR(B2455="15",B2455="17",B2455="24",B2455="25"),"15172425",B2455))),IF(U2455="CEBAS","UNICO",IF(VALUE(B2455)&lt;=11,"AMBA","INTERIOR"))))</f>
        <v>R05</v>
      </c>
      <c r="W2455" s="38" t="str">
        <f>+IF(U2455="","-",CONCATENATE(U2455,"_",V2455))</f>
        <v>FINES_R05</v>
      </c>
      <c r="X2455" s="42">
        <v>0.20699999999999999</v>
      </c>
    </row>
    <row r="2456" spans="1:24">
      <c r="A2456" s="21" t="s">
        <v>5100</v>
      </c>
      <c r="B2456" t="s">
        <v>257</v>
      </c>
      <c r="C2456" t="s">
        <v>2337</v>
      </c>
      <c r="D2456" t="s">
        <v>2338</v>
      </c>
      <c r="E2456" s="7" t="s">
        <v>198</v>
      </c>
      <c r="F2456" s="7" t="s">
        <v>198</v>
      </c>
      <c r="G2456" s="7" t="s">
        <v>198</v>
      </c>
      <c r="H2456" s="7" t="s">
        <v>20</v>
      </c>
      <c r="I2456" s="7" t="s">
        <v>5102</v>
      </c>
      <c r="J2456" s="7" t="s">
        <v>21</v>
      </c>
      <c r="L2456" t="s">
        <v>3924</v>
      </c>
      <c r="M2456" s="7" t="s">
        <v>22</v>
      </c>
      <c r="N2456" s="7" t="s">
        <v>23</v>
      </c>
      <c r="O2456" s="7" t="s">
        <v>27</v>
      </c>
      <c r="P2456" s="7" t="s">
        <v>5101</v>
      </c>
      <c r="Q2456" s="26">
        <v>40</v>
      </c>
      <c r="R2456" s="26">
        <v>2</v>
      </c>
      <c r="S2456" s="40">
        <v>1</v>
      </c>
      <c r="T2456" s="7"/>
      <c r="U2456" s="7" t="s">
        <v>2951</v>
      </c>
      <c r="V2456" s="7" t="str">
        <f>+IF(U2456="","",IF(U2456="FINES",CONCATENATE("R",IF(OR(B2456="16",B2456="21",B2456="22",B2456="23"),"16212223",IF(OR(B2456="15",B2456="17",B2456="24",B2456="25"),"15172425",B2456))),IF(U2456="CEBAS","UNICO",IF(VALUE(B2456)&lt;=11,"AMBA","INTERIOR"))))</f>
        <v>R05</v>
      </c>
      <c r="W2456" s="38" t="str">
        <f>+IF(U2456="","-",CONCATENATE(U2456,"_",V2456))</f>
        <v>FINES_R05</v>
      </c>
      <c r="X2456" s="42">
        <v>0.20899999999999999</v>
      </c>
    </row>
    <row r="2457" spans="1:24">
      <c r="A2457" s="21" t="s">
        <v>5100</v>
      </c>
      <c r="B2457" t="s">
        <v>257</v>
      </c>
      <c r="C2457" t="s">
        <v>254</v>
      </c>
      <c r="D2457" t="s">
        <v>256</v>
      </c>
      <c r="E2457" s="7" t="s">
        <v>198</v>
      </c>
      <c r="F2457" s="7" t="s">
        <v>198</v>
      </c>
      <c r="G2457" s="7" t="s">
        <v>198</v>
      </c>
      <c r="H2457" s="7" t="s">
        <v>20</v>
      </c>
      <c r="I2457" s="7" t="s">
        <v>5102</v>
      </c>
      <c r="J2457" s="7" t="s">
        <v>21</v>
      </c>
      <c r="L2457" t="s">
        <v>3799</v>
      </c>
      <c r="M2457" s="7" t="s">
        <v>22</v>
      </c>
      <c r="N2457" s="7" t="s">
        <v>23</v>
      </c>
      <c r="O2457" s="7" t="s">
        <v>27</v>
      </c>
      <c r="P2457" s="7" t="s">
        <v>5101</v>
      </c>
      <c r="Q2457" s="26">
        <v>29</v>
      </c>
      <c r="R2457" s="26">
        <v>1</v>
      </c>
      <c r="S2457" s="40">
        <v>1</v>
      </c>
      <c r="T2457" s="7"/>
      <c r="U2457" s="7" t="s">
        <v>2951</v>
      </c>
      <c r="V2457" s="7" t="str">
        <f>+IF(U2457="","",IF(U2457="FINES",CONCATENATE("R",IF(OR(B2457="16",B2457="21",B2457="22",B2457="23"),"16212223",IF(OR(B2457="15",B2457="17",B2457="24",B2457="25"),"15172425",B2457))),IF(U2457="CEBAS","UNICO",IF(VALUE(B2457)&lt;=11,"AMBA","INTERIOR"))))</f>
        <v>R05</v>
      </c>
      <c r="W2457" s="38" t="str">
        <f>+IF(U2457="","-",CONCATENATE(U2457,"_",V2457))</f>
        <v>FINES_R05</v>
      </c>
      <c r="X2457" s="42">
        <v>0.21</v>
      </c>
    </row>
    <row r="2458" spans="1:24">
      <c r="A2458" s="21" t="s">
        <v>5100</v>
      </c>
      <c r="B2458" t="s">
        <v>257</v>
      </c>
      <c r="C2458" t="s">
        <v>772</v>
      </c>
      <c r="D2458" t="s">
        <v>773</v>
      </c>
      <c r="E2458" s="7" t="s">
        <v>198</v>
      </c>
      <c r="F2458" s="7" t="s">
        <v>198</v>
      </c>
      <c r="G2458" s="7" t="s">
        <v>198</v>
      </c>
      <c r="H2458" s="7" t="s">
        <v>20</v>
      </c>
      <c r="I2458" s="7" t="s">
        <v>5102</v>
      </c>
      <c r="J2458" s="7" t="s">
        <v>21</v>
      </c>
      <c r="L2458" t="s">
        <v>3828</v>
      </c>
      <c r="M2458" s="7" t="s">
        <v>22</v>
      </c>
      <c r="N2458" s="7" t="s">
        <v>23</v>
      </c>
      <c r="O2458" s="7" t="s">
        <v>27</v>
      </c>
      <c r="P2458" s="7" t="s">
        <v>5101</v>
      </c>
      <c r="Q2458" s="26">
        <v>14</v>
      </c>
      <c r="R2458" s="26">
        <v>1</v>
      </c>
      <c r="S2458" s="40">
        <v>1</v>
      </c>
      <c r="T2458" s="7"/>
      <c r="U2458" s="7" t="s">
        <v>2951</v>
      </c>
      <c r="V2458" s="7" t="str">
        <f>+IF(U2458="","",IF(U2458="FINES",CONCATENATE("R",IF(OR(B2458="16",B2458="21",B2458="22",B2458="23"),"16212223",IF(OR(B2458="15",B2458="17",B2458="24",B2458="25"),"15172425",B2458))),IF(U2458="CEBAS","UNICO",IF(VALUE(B2458)&lt;=11,"AMBA","INTERIOR"))))</f>
        <v>R05</v>
      </c>
      <c r="W2458" s="38" t="str">
        <f>+IF(U2458="","-",CONCATENATE(U2458,"_",V2458))</f>
        <v>FINES_R05</v>
      </c>
      <c r="X2458" s="42">
        <v>0.214</v>
      </c>
    </row>
    <row r="2459" spans="1:24">
      <c r="A2459" s="21" t="s">
        <v>5100</v>
      </c>
      <c r="B2459" t="s">
        <v>257</v>
      </c>
      <c r="C2459" t="s">
        <v>254</v>
      </c>
      <c r="D2459" t="s">
        <v>256</v>
      </c>
      <c r="E2459" s="7" t="s">
        <v>198</v>
      </c>
      <c r="F2459" s="7" t="s">
        <v>198</v>
      </c>
      <c r="G2459" s="7" t="s">
        <v>198</v>
      </c>
      <c r="H2459" s="7" t="s">
        <v>20</v>
      </c>
      <c r="I2459" s="7" t="s">
        <v>5102</v>
      </c>
      <c r="J2459" s="7" t="s">
        <v>21</v>
      </c>
      <c r="L2459" t="s">
        <v>3824</v>
      </c>
      <c r="M2459" s="7" t="s">
        <v>22</v>
      </c>
      <c r="N2459" s="7" t="s">
        <v>23</v>
      </c>
      <c r="O2459" s="7" t="s">
        <v>27</v>
      </c>
      <c r="P2459" s="7" t="s">
        <v>5101</v>
      </c>
      <c r="Q2459" s="26">
        <v>20</v>
      </c>
      <c r="R2459" s="26">
        <v>1</v>
      </c>
      <c r="S2459" s="40">
        <v>1</v>
      </c>
      <c r="T2459" s="7"/>
      <c r="U2459" s="7" t="s">
        <v>2951</v>
      </c>
      <c r="V2459" s="7" t="str">
        <f>+IF(U2459="","",IF(U2459="FINES",CONCATENATE("R",IF(OR(B2459="16",B2459="21",B2459="22",B2459="23"),"16212223",IF(OR(B2459="15",B2459="17",B2459="24",B2459="25"),"15172425",B2459))),IF(U2459="CEBAS","UNICO",IF(VALUE(B2459)&lt;=11,"AMBA","INTERIOR"))))</f>
        <v>R05</v>
      </c>
      <c r="W2459" s="38" t="str">
        <f>+IF(U2459="","-",CONCATENATE(U2459,"_",V2459))</f>
        <v>FINES_R05</v>
      </c>
      <c r="X2459" s="42">
        <v>0.217</v>
      </c>
    </row>
    <row r="2460" spans="1:24">
      <c r="A2460" s="21" t="s">
        <v>5100</v>
      </c>
      <c r="B2460" t="s">
        <v>257</v>
      </c>
      <c r="C2460" t="s">
        <v>253</v>
      </c>
      <c r="D2460" t="s">
        <v>2759</v>
      </c>
      <c r="E2460" s="7" t="s">
        <v>198</v>
      </c>
      <c r="F2460" s="7" t="s">
        <v>198</v>
      </c>
      <c r="G2460" s="7" t="s">
        <v>198</v>
      </c>
      <c r="H2460" s="7" t="s">
        <v>20</v>
      </c>
      <c r="I2460" s="7" t="s">
        <v>5102</v>
      </c>
      <c r="J2460" s="7" t="s">
        <v>21</v>
      </c>
      <c r="L2460" t="s">
        <v>3897</v>
      </c>
      <c r="M2460" s="7" t="s">
        <v>22</v>
      </c>
      <c r="N2460" s="7" t="s">
        <v>23</v>
      </c>
      <c r="O2460" s="7" t="s">
        <v>27</v>
      </c>
      <c r="P2460" s="7" t="s">
        <v>5101</v>
      </c>
      <c r="Q2460" s="26">
        <v>21</v>
      </c>
      <c r="R2460" s="26">
        <v>1</v>
      </c>
      <c r="S2460" s="40">
        <v>1</v>
      </c>
      <c r="T2460" s="7"/>
      <c r="U2460" s="7" t="s">
        <v>2951</v>
      </c>
      <c r="V2460" s="7" t="str">
        <f>+IF(U2460="","",IF(U2460="FINES",CONCATENATE("R",IF(OR(B2460="16",B2460="21",B2460="22",B2460="23"),"16212223",IF(OR(B2460="15",B2460="17",B2460="24",B2460="25"),"15172425",B2460))),IF(U2460="CEBAS","UNICO",IF(VALUE(B2460)&lt;=11,"AMBA","INTERIOR"))))</f>
        <v>R05</v>
      </c>
      <c r="W2460" s="38" t="str">
        <f>+IF(U2460="","-",CONCATENATE(U2460,"_",V2460))</f>
        <v>FINES_R05</v>
      </c>
      <c r="X2460" s="42">
        <v>0.218</v>
      </c>
    </row>
    <row r="2461" spans="1:24">
      <c r="A2461" s="21" t="s">
        <v>5100</v>
      </c>
      <c r="B2461" t="s">
        <v>257</v>
      </c>
      <c r="C2461" t="s">
        <v>254</v>
      </c>
      <c r="D2461" t="s">
        <v>256</v>
      </c>
      <c r="E2461" s="7" t="s">
        <v>198</v>
      </c>
      <c r="F2461" s="7" t="s">
        <v>198</v>
      </c>
      <c r="G2461" s="7" t="s">
        <v>198</v>
      </c>
      <c r="H2461" s="7" t="s">
        <v>20</v>
      </c>
      <c r="I2461" s="7" t="s">
        <v>5102</v>
      </c>
      <c r="J2461" s="7" t="s">
        <v>21</v>
      </c>
      <c r="L2461" t="s">
        <v>3790</v>
      </c>
      <c r="M2461" s="7" t="s">
        <v>22</v>
      </c>
      <c r="N2461" s="7" t="s">
        <v>23</v>
      </c>
      <c r="O2461" s="7" t="s">
        <v>27</v>
      </c>
      <c r="P2461" s="7" t="s">
        <v>5101</v>
      </c>
      <c r="Q2461" s="26">
        <v>61</v>
      </c>
      <c r="R2461" s="26">
        <v>2</v>
      </c>
      <c r="S2461" s="40">
        <v>1</v>
      </c>
      <c r="T2461" s="7"/>
      <c r="U2461" s="7" t="s">
        <v>2951</v>
      </c>
      <c r="V2461" s="7" t="str">
        <f>+IF(U2461="","",IF(U2461="FINES",CONCATENATE("R",IF(OR(B2461="16",B2461="21",B2461="22",B2461="23"),"16212223",IF(OR(B2461="15",B2461="17",B2461="24",B2461="25"),"15172425",B2461))),IF(U2461="CEBAS","UNICO",IF(VALUE(B2461)&lt;=11,"AMBA","INTERIOR"))))</f>
        <v>R05</v>
      </c>
      <c r="W2461" s="38" t="str">
        <f>+IF(U2461="","-",CONCATENATE(U2461,"_",V2461))</f>
        <v>FINES_R05</v>
      </c>
      <c r="X2461" s="42">
        <v>0.23599999999999999</v>
      </c>
    </row>
    <row r="2462" spans="1:24">
      <c r="A2462" s="21" t="s">
        <v>5100</v>
      </c>
      <c r="B2462" t="s">
        <v>257</v>
      </c>
      <c r="C2462" t="s">
        <v>254</v>
      </c>
      <c r="D2462" t="s">
        <v>256</v>
      </c>
      <c r="E2462" s="7" t="s">
        <v>198</v>
      </c>
      <c r="F2462" s="7" t="s">
        <v>198</v>
      </c>
      <c r="G2462" s="7" t="s">
        <v>198</v>
      </c>
      <c r="H2462" s="7" t="s">
        <v>20</v>
      </c>
      <c r="I2462" s="7" t="s">
        <v>5102</v>
      </c>
      <c r="J2462" s="7" t="s">
        <v>21</v>
      </c>
      <c r="L2462" t="s">
        <v>3733</v>
      </c>
      <c r="M2462" s="7" t="s">
        <v>22</v>
      </c>
      <c r="N2462" s="7" t="s">
        <v>23</v>
      </c>
      <c r="O2462" s="7" t="s">
        <v>27</v>
      </c>
      <c r="P2462" s="7" t="s">
        <v>5101</v>
      </c>
      <c r="Q2462" s="26">
        <v>18</v>
      </c>
      <c r="R2462" s="26">
        <v>1</v>
      </c>
      <c r="S2462" s="40">
        <v>1</v>
      </c>
      <c r="T2462" s="7"/>
      <c r="U2462" s="7" t="s">
        <v>2951</v>
      </c>
      <c r="V2462" s="7" t="str">
        <f>+IF(U2462="","",IF(U2462="FINES",CONCATENATE("R",IF(OR(B2462="16",B2462="21",B2462="22",B2462="23"),"16212223",IF(OR(B2462="15",B2462="17",B2462="24",B2462="25"),"15172425",B2462))),IF(U2462="CEBAS","UNICO",IF(VALUE(B2462)&lt;=11,"AMBA","INTERIOR"))))</f>
        <v>R05</v>
      </c>
      <c r="W2462" s="38" t="str">
        <f>+IF(U2462="","-",CONCATENATE(U2462,"_",V2462))</f>
        <v>FINES_R05</v>
      </c>
      <c r="X2462" s="42">
        <v>0.23699999999999999</v>
      </c>
    </row>
    <row r="2463" spans="1:24">
      <c r="A2463" s="21" t="s">
        <v>5100</v>
      </c>
      <c r="B2463" t="s">
        <v>257</v>
      </c>
      <c r="C2463" t="s">
        <v>254</v>
      </c>
      <c r="D2463" t="s">
        <v>256</v>
      </c>
      <c r="E2463" s="7" t="s">
        <v>198</v>
      </c>
      <c r="F2463" s="7" t="s">
        <v>198</v>
      </c>
      <c r="G2463" s="7" t="s">
        <v>198</v>
      </c>
      <c r="H2463" s="7" t="s">
        <v>20</v>
      </c>
      <c r="I2463" s="7" t="s">
        <v>5102</v>
      </c>
      <c r="J2463" s="7" t="s">
        <v>21</v>
      </c>
      <c r="L2463" t="s">
        <v>3757</v>
      </c>
      <c r="M2463" s="7" t="s">
        <v>22</v>
      </c>
      <c r="N2463" s="7" t="s">
        <v>23</v>
      </c>
      <c r="O2463" s="7" t="s">
        <v>27</v>
      </c>
      <c r="P2463" s="7" t="s">
        <v>5101</v>
      </c>
      <c r="Q2463" s="26">
        <v>21</v>
      </c>
      <c r="R2463" s="26">
        <v>1</v>
      </c>
      <c r="S2463" s="40">
        <v>1</v>
      </c>
      <c r="T2463" s="7"/>
      <c r="U2463" s="7" t="s">
        <v>2951</v>
      </c>
      <c r="V2463" s="7" t="str">
        <f>+IF(U2463="","",IF(U2463="FINES",CONCATENATE("R",IF(OR(B2463="16",B2463="21",B2463="22",B2463="23"),"16212223",IF(OR(B2463="15",B2463="17",B2463="24",B2463="25"),"15172425",B2463))),IF(U2463="CEBAS","UNICO",IF(VALUE(B2463)&lt;=11,"AMBA","INTERIOR"))))</f>
        <v>R05</v>
      </c>
      <c r="W2463" s="38" t="str">
        <f>+IF(U2463="","-",CONCATENATE(U2463,"_",V2463))</f>
        <v>FINES_R05</v>
      </c>
      <c r="X2463" s="42">
        <v>0.24199999999999999</v>
      </c>
    </row>
    <row r="2464" spans="1:24">
      <c r="A2464" s="21" t="s">
        <v>5100</v>
      </c>
      <c r="B2464" t="s">
        <v>257</v>
      </c>
      <c r="C2464" t="s">
        <v>772</v>
      </c>
      <c r="D2464" t="s">
        <v>773</v>
      </c>
      <c r="E2464" s="7" t="s">
        <v>198</v>
      </c>
      <c r="F2464" s="7" t="s">
        <v>198</v>
      </c>
      <c r="G2464" s="7" t="s">
        <v>198</v>
      </c>
      <c r="H2464" s="7" t="s">
        <v>20</v>
      </c>
      <c r="I2464" s="7" t="s">
        <v>5102</v>
      </c>
      <c r="J2464" s="7" t="s">
        <v>21</v>
      </c>
      <c r="L2464" t="s">
        <v>3843</v>
      </c>
      <c r="M2464" s="7" t="s">
        <v>22</v>
      </c>
      <c r="N2464" s="7" t="s">
        <v>23</v>
      </c>
      <c r="O2464" s="7" t="s">
        <v>27</v>
      </c>
      <c r="P2464" s="7" t="s">
        <v>5101</v>
      </c>
      <c r="Q2464" s="26">
        <v>55</v>
      </c>
      <c r="R2464" s="26">
        <v>2</v>
      </c>
      <c r="S2464" s="40">
        <v>1</v>
      </c>
      <c r="T2464" s="7"/>
      <c r="U2464" s="7" t="s">
        <v>2951</v>
      </c>
      <c r="V2464" s="7" t="str">
        <f>+IF(U2464="","",IF(U2464="FINES",CONCATENATE("R",IF(OR(B2464="16",B2464="21",B2464="22",B2464="23"),"16212223",IF(OR(B2464="15",B2464="17",B2464="24",B2464="25"),"15172425",B2464))),IF(U2464="CEBAS","UNICO",IF(VALUE(B2464)&lt;=11,"AMBA","INTERIOR"))))</f>
        <v>R05</v>
      </c>
      <c r="W2464" s="38" t="str">
        <f>+IF(U2464="","-",CONCATENATE(U2464,"_",V2464))</f>
        <v>FINES_R05</v>
      </c>
      <c r="X2464" s="42">
        <v>0.24399999999999999</v>
      </c>
    </row>
    <row r="2465" spans="1:24">
      <c r="A2465" s="21" t="s">
        <v>5100</v>
      </c>
      <c r="B2465" t="s">
        <v>257</v>
      </c>
      <c r="C2465" t="s">
        <v>2337</v>
      </c>
      <c r="D2465" t="s">
        <v>2338</v>
      </c>
      <c r="E2465" s="7" t="s">
        <v>198</v>
      </c>
      <c r="F2465" s="7" t="s">
        <v>198</v>
      </c>
      <c r="G2465" s="7" t="s">
        <v>198</v>
      </c>
      <c r="H2465" s="7" t="s">
        <v>20</v>
      </c>
      <c r="I2465" s="7" t="s">
        <v>5102</v>
      </c>
      <c r="J2465" s="7" t="s">
        <v>21</v>
      </c>
      <c r="L2465" t="s">
        <v>3919</v>
      </c>
      <c r="M2465" s="7" t="s">
        <v>22</v>
      </c>
      <c r="N2465" s="7" t="s">
        <v>23</v>
      </c>
      <c r="O2465" s="7" t="s">
        <v>27</v>
      </c>
      <c r="P2465" s="7" t="s">
        <v>5101</v>
      </c>
      <c r="Q2465" s="26">
        <v>266</v>
      </c>
      <c r="R2465" s="26">
        <v>9</v>
      </c>
      <c r="S2465" s="40">
        <v>1</v>
      </c>
      <c r="T2465" s="7"/>
      <c r="U2465" s="7" t="s">
        <v>2951</v>
      </c>
      <c r="V2465" s="7" t="str">
        <f>+IF(U2465="","",IF(U2465="FINES",CONCATENATE("R",IF(OR(B2465="16",B2465="21",B2465="22",B2465="23"),"16212223",IF(OR(B2465="15",B2465="17",B2465="24",B2465="25"),"15172425",B2465))),IF(U2465="CEBAS","UNICO",IF(VALUE(B2465)&lt;=11,"AMBA","INTERIOR"))))</f>
        <v>R05</v>
      </c>
      <c r="W2465" s="38" t="str">
        <f>+IF(U2465="","-",CONCATENATE(U2465,"_",V2465))</f>
        <v>FINES_R05</v>
      </c>
      <c r="X2465" s="42">
        <v>0.245</v>
      </c>
    </row>
    <row r="2466" spans="1:24">
      <c r="A2466" s="21" t="s">
        <v>5100</v>
      </c>
      <c r="B2466" t="s">
        <v>257</v>
      </c>
      <c r="C2466" t="s">
        <v>772</v>
      </c>
      <c r="D2466" t="s">
        <v>773</v>
      </c>
      <c r="E2466" s="7" t="s">
        <v>198</v>
      </c>
      <c r="F2466" s="7" t="s">
        <v>198</v>
      </c>
      <c r="G2466" s="7" t="s">
        <v>198</v>
      </c>
      <c r="H2466" s="7" t="s">
        <v>20</v>
      </c>
      <c r="I2466" s="7" t="s">
        <v>5102</v>
      </c>
      <c r="J2466" s="7" t="s">
        <v>21</v>
      </c>
      <c r="L2466" t="s">
        <v>3864</v>
      </c>
      <c r="M2466" s="7" t="s">
        <v>22</v>
      </c>
      <c r="N2466" s="7" t="s">
        <v>23</v>
      </c>
      <c r="O2466" s="7" t="s">
        <v>27</v>
      </c>
      <c r="P2466" s="7" t="s">
        <v>5101</v>
      </c>
      <c r="Q2466" s="26">
        <v>23</v>
      </c>
      <c r="R2466" s="26">
        <v>1</v>
      </c>
      <c r="S2466" s="40">
        <v>1</v>
      </c>
      <c r="T2466" s="7"/>
      <c r="U2466" s="7" t="s">
        <v>2951</v>
      </c>
      <c r="V2466" s="7" t="str">
        <f>+IF(U2466="","",IF(U2466="FINES",CONCATENATE("R",IF(OR(B2466="16",B2466="21",B2466="22",B2466="23"),"16212223",IF(OR(B2466="15",B2466="17",B2466="24",B2466="25"),"15172425",B2466))),IF(U2466="CEBAS","UNICO",IF(VALUE(B2466)&lt;=11,"AMBA","INTERIOR"))))</f>
        <v>R05</v>
      </c>
      <c r="W2466" s="38" t="str">
        <f>+IF(U2466="","-",CONCATENATE(U2466,"_",V2466))</f>
        <v>FINES_R05</v>
      </c>
      <c r="X2466" s="42">
        <v>0.247</v>
      </c>
    </row>
    <row r="2467" spans="1:24">
      <c r="A2467" s="21" t="s">
        <v>5100</v>
      </c>
      <c r="B2467" t="s">
        <v>257</v>
      </c>
      <c r="C2467" t="s">
        <v>254</v>
      </c>
      <c r="D2467" t="s">
        <v>256</v>
      </c>
      <c r="E2467" s="7" t="s">
        <v>198</v>
      </c>
      <c r="F2467" s="7" t="s">
        <v>198</v>
      </c>
      <c r="G2467" s="7" t="s">
        <v>198</v>
      </c>
      <c r="H2467" s="7" t="s">
        <v>20</v>
      </c>
      <c r="I2467" s="7" t="s">
        <v>5102</v>
      </c>
      <c r="J2467" s="7" t="s">
        <v>21</v>
      </c>
      <c r="L2467" t="s">
        <v>3802</v>
      </c>
      <c r="M2467" s="7" t="s">
        <v>22</v>
      </c>
      <c r="N2467" s="7" t="s">
        <v>23</v>
      </c>
      <c r="O2467" s="7" t="s">
        <v>27</v>
      </c>
      <c r="P2467" s="7" t="s">
        <v>5101</v>
      </c>
      <c r="Q2467" s="26">
        <v>52</v>
      </c>
      <c r="R2467" s="26">
        <v>2</v>
      </c>
      <c r="S2467" s="40">
        <v>1</v>
      </c>
      <c r="T2467" s="7"/>
      <c r="U2467" s="7" t="s">
        <v>2951</v>
      </c>
      <c r="V2467" s="7" t="str">
        <f>+IF(U2467="","",IF(U2467="FINES",CONCATENATE("R",IF(OR(B2467="16",B2467="21",B2467="22",B2467="23"),"16212223",IF(OR(B2467="15",B2467="17",B2467="24",B2467="25"),"15172425",B2467))),IF(U2467="CEBAS","UNICO",IF(VALUE(B2467)&lt;=11,"AMBA","INTERIOR"))))</f>
        <v>R05</v>
      </c>
      <c r="W2467" s="38" t="str">
        <f>+IF(U2467="","-",CONCATENATE(U2467,"_",V2467))</f>
        <v>FINES_R05</v>
      </c>
      <c r="X2467" s="42">
        <v>0.247</v>
      </c>
    </row>
    <row r="2468" spans="1:24">
      <c r="A2468" s="21" t="s">
        <v>5100</v>
      </c>
      <c r="B2468" t="s">
        <v>257</v>
      </c>
      <c r="C2468" t="s">
        <v>254</v>
      </c>
      <c r="D2468" t="s">
        <v>256</v>
      </c>
      <c r="E2468" s="7" t="s">
        <v>198</v>
      </c>
      <c r="F2468" s="7" t="s">
        <v>198</v>
      </c>
      <c r="G2468" s="7" t="s">
        <v>198</v>
      </c>
      <c r="H2468" s="7" t="s">
        <v>20</v>
      </c>
      <c r="I2468" s="7" t="s">
        <v>5102</v>
      </c>
      <c r="J2468" s="7" t="s">
        <v>21</v>
      </c>
      <c r="L2468" t="s">
        <v>3745</v>
      </c>
      <c r="M2468" s="7" t="s">
        <v>22</v>
      </c>
      <c r="N2468" s="7" t="s">
        <v>23</v>
      </c>
      <c r="O2468" s="7" t="s">
        <v>27</v>
      </c>
      <c r="P2468" s="7" t="s">
        <v>5101</v>
      </c>
      <c r="Q2468" s="26">
        <v>17</v>
      </c>
      <c r="R2468" s="26">
        <v>1</v>
      </c>
      <c r="S2468" s="40">
        <v>1</v>
      </c>
      <c r="T2468" s="7"/>
      <c r="U2468" s="7" t="s">
        <v>2951</v>
      </c>
      <c r="V2468" s="7" t="str">
        <f>+IF(U2468="","",IF(U2468="FINES",CONCATENATE("R",IF(OR(B2468="16",B2468="21",B2468="22",B2468="23"),"16212223",IF(OR(B2468="15",B2468="17",B2468="24",B2468="25"),"15172425",B2468))),IF(U2468="CEBAS","UNICO",IF(VALUE(B2468)&lt;=11,"AMBA","INTERIOR"))))</f>
        <v>R05</v>
      </c>
      <c r="W2468" s="38" t="str">
        <f>+IF(U2468="","-",CONCATENATE(U2468,"_",V2468))</f>
        <v>FINES_R05</v>
      </c>
      <c r="X2468" s="42">
        <v>0.253</v>
      </c>
    </row>
    <row r="2469" spans="1:24">
      <c r="A2469" s="21" t="s">
        <v>5100</v>
      </c>
      <c r="B2469" t="s">
        <v>257</v>
      </c>
      <c r="C2469" t="s">
        <v>415</v>
      </c>
      <c r="D2469" t="s">
        <v>2770</v>
      </c>
      <c r="E2469" s="7" t="s">
        <v>198</v>
      </c>
      <c r="F2469" s="7" t="s">
        <v>198</v>
      </c>
      <c r="G2469" s="7" t="s">
        <v>198</v>
      </c>
      <c r="H2469" s="7" t="s">
        <v>20</v>
      </c>
      <c r="I2469" s="7" t="s">
        <v>5102</v>
      </c>
      <c r="J2469" s="7" t="s">
        <v>21</v>
      </c>
      <c r="L2469" t="s">
        <v>3884</v>
      </c>
      <c r="M2469" s="7" t="s">
        <v>22</v>
      </c>
      <c r="N2469" s="7" t="s">
        <v>23</v>
      </c>
      <c r="O2469" s="7" t="s">
        <v>27</v>
      </c>
      <c r="P2469" s="7" t="s">
        <v>5101</v>
      </c>
      <c r="Q2469" s="26">
        <v>147</v>
      </c>
      <c r="R2469" s="26">
        <v>4</v>
      </c>
      <c r="S2469" s="40">
        <v>1</v>
      </c>
      <c r="T2469" s="7"/>
      <c r="U2469" s="7" t="s">
        <v>2951</v>
      </c>
      <c r="V2469" s="7" t="str">
        <f>+IF(U2469="","",IF(U2469="FINES",CONCATENATE("R",IF(OR(B2469="16",B2469="21",B2469="22",B2469="23"),"16212223",IF(OR(B2469="15",B2469="17",B2469="24",B2469="25"),"15172425",B2469))),IF(U2469="CEBAS","UNICO",IF(VALUE(B2469)&lt;=11,"AMBA","INTERIOR"))))</f>
        <v>R05</v>
      </c>
      <c r="W2469" s="38" t="str">
        <f>+IF(U2469="","-",CONCATENATE(U2469,"_",V2469))</f>
        <v>FINES_R05</v>
      </c>
      <c r="X2469" s="42">
        <v>0.25700000000000001</v>
      </c>
    </row>
    <row r="2470" spans="1:24">
      <c r="A2470" s="21" t="s">
        <v>5100</v>
      </c>
      <c r="B2470" t="s">
        <v>257</v>
      </c>
      <c r="C2470" t="s">
        <v>254</v>
      </c>
      <c r="D2470" t="s">
        <v>256</v>
      </c>
      <c r="E2470" s="7" t="s">
        <v>198</v>
      </c>
      <c r="F2470" s="7" t="s">
        <v>198</v>
      </c>
      <c r="G2470" s="7" t="s">
        <v>198</v>
      </c>
      <c r="H2470" s="7" t="s">
        <v>20</v>
      </c>
      <c r="I2470" s="7" t="s">
        <v>5102</v>
      </c>
      <c r="J2470" s="7" t="s">
        <v>21</v>
      </c>
      <c r="L2470" t="s">
        <v>3761</v>
      </c>
      <c r="M2470" s="7" t="s">
        <v>22</v>
      </c>
      <c r="N2470" s="7" t="s">
        <v>23</v>
      </c>
      <c r="O2470" s="7" t="s">
        <v>27</v>
      </c>
      <c r="P2470" s="7" t="s">
        <v>5101</v>
      </c>
      <c r="Q2470" s="26">
        <v>0</v>
      </c>
      <c r="R2470" s="26">
        <v>1</v>
      </c>
      <c r="S2470" s="40">
        <v>1</v>
      </c>
      <c r="T2470" s="7"/>
      <c r="U2470" s="7" t="s">
        <v>2951</v>
      </c>
      <c r="V2470" s="7" t="str">
        <f>+IF(U2470="","",IF(U2470="FINES",CONCATENATE("R",IF(OR(B2470="16",B2470="21",B2470="22",B2470="23"),"16212223",IF(OR(B2470="15",B2470="17",B2470="24",B2470="25"),"15172425",B2470))),IF(U2470="CEBAS","UNICO",IF(VALUE(B2470)&lt;=11,"AMBA","INTERIOR"))))</f>
        <v>R05</v>
      </c>
      <c r="W2470" s="38" t="str">
        <f>+IF(U2470="","-",CONCATENATE(U2470,"_",V2470))</f>
        <v>FINES_R05</v>
      </c>
      <c r="X2470" s="42">
        <v>0.26300000000000001</v>
      </c>
    </row>
    <row r="2471" spans="1:24">
      <c r="A2471" s="21" t="s">
        <v>5100</v>
      </c>
      <c r="B2471" t="s">
        <v>257</v>
      </c>
      <c r="C2471" t="s">
        <v>254</v>
      </c>
      <c r="D2471" t="s">
        <v>256</v>
      </c>
      <c r="E2471" s="7" t="s">
        <v>198</v>
      </c>
      <c r="F2471" s="7" t="s">
        <v>198</v>
      </c>
      <c r="G2471" s="7" t="s">
        <v>198</v>
      </c>
      <c r="H2471" s="7" t="s">
        <v>20</v>
      </c>
      <c r="I2471" s="7" t="s">
        <v>5102</v>
      </c>
      <c r="J2471" s="7" t="s">
        <v>21</v>
      </c>
      <c r="L2471" t="s">
        <v>3726</v>
      </c>
      <c r="M2471" s="7" t="s">
        <v>22</v>
      </c>
      <c r="N2471" s="7" t="s">
        <v>23</v>
      </c>
      <c r="O2471" s="7" t="s">
        <v>27</v>
      </c>
      <c r="P2471" s="7" t="s">
        <v>5101</v>
      </c>
      <c r="Q2471" s="26">
        <v>14</v>
      </c>
      <c r="R2471" s="26">
        <v>1</v>
      </c>
      <c r="S2471" s="40">
        <v>1</v>
      </c>
      <c r="T2471" s="7"/>
      <c r="U2471" s="7" t="s">
        <v>2951</v>
      </c>
      <c r="V2471" s="7" t="str">
        <f>+IF(U2471="","",IF(U2471="FINES",CONCATENATE("R",IF(OR(B2471="16",B2471="21",B2471="22",B2471="23"),"16212223",IF(OR(B2471="15",B2471="17",B2471="24",B2471="25"),"15172425",B2471))),IF(U2471="CEBAS","UNICO",IF(VALUE(B2471)&lt;=11,"AMBA","INTERIOR"))))</f>
        <v>R05</v>
      </c>
      <c r="W2471" s="38" t="str">
        <f>+IF(U2471="","-",CONCATENATE(U2471,"_",V2471))</f>
        <v>FINES_R05</v>
      </c>
      <c r="X2471" s="42">
        <v>0.26300000000000001</v>
      </c>
    </row>
    <row r="2472" spans="1:24">
      <c r="A2472" s="21" t="s">
        <v>5100</v>
      </c>
      <c r="B2472" t="s">
        <v>257</v>
      </c>
      <c r="C2472" t="s">
        <v>254</v>
      </c>
      <c r="D2472" t="s">
        <v>256</v>
      </c>
      <c r="E2472" s="7" t="s">
        <v>198</v>
      </c>
      <c r="F2472" s="7" t="s">
        <v>198</v>
      </c>
      <c r="G2472" s="7" t="s">
        <v>198</v>
      </c>
      <c r="H2472" s="7" t="s">
        <v>20</v>
      </c>
      <c r="I2472" s="7" t="s">
        <v>5102</v>
      </c>
      <c r="J2472" s="7" t="s">
        <v>21</v>
      </c>
      <c r="L2472" t="s">
        <v>3814</v>
      </c>
      <c r="M2472" s="7" t="s">
        <v>22</v>
      </c>
      <c r="N2472" s="7" t="s">
        <v>23</v>
      </c>
      <c r="O2472" s="7" t="s">
        <v>27</v>
      </c>
      <c r="P2472" s="7" t="s">
        <v>5101</v>
      </c>
      <c r="Q2472" s="26">
        <v>90</v>
      </c>
      <c r="R2472" s="26">
        <v>4</v>
      </c>
      <c r="S2472" s="40">
        <v>1</v>
      </c>
      <c r="T2472" s="7"/>
      <c r="U2472" s="7" t="s">
        <v>2951</v>
      </c>
      <c r="V2472" s="7" t="str">
        <f>+IF(U2472="","",IF(U2472="FINES",CONCATENATE("R",IF(OR(B2472="16",B2472="21",B2472="22",B2472="23"),"16212223",IF(OR(B2472="15",B2472="17",B2472="24",B2472="25"),"15172425",B2472))),IF(U2472="CEBAS","UNICO",IF(VALUE(B2472)&lt;=11,"AMBA","INTERIOR"))))</f>
        <v>R05</v>
      </c>
      <c r="W2472" s="38" t="str">
        <f>+IF(U2472="","-",CONCATENATE(U2472,"_",V2472))</f>
        <v>FINES_R05</v>
      </c>
      <c r="X2472" s="42">
        <v>0.26900000000000002</v>
      </c>
    </row>
    <row r="2473" spans="1:24">
      <c r="A2473" s="21" t="s">
        <v>5100</v>
      </c>
      <c r="B2473" t="s">
        <v>257</v>
      </c>
      <c r="C2473" t="s">
        <v>772</v>
      </c>
      <c r="D2473" t="s">
        <v>773</v>
      </c>
      <c r="E2473" s="7" t="s">
        <v>198</v>
      </c>
      <c r="F2473" s="7" t="s">
        <v>198</v>
      </c>
      <c r="G2473" s="7" t="s">
        <v>198</v>
      </c>
      <c r="H2473" s="7" t="s">
        <v>20</v>
      </c>
      <c r="I2473" s="7" t="s">
        <v>5102</v>
      </c>
      <c r="J2473" s="7" t="s">
        <v>21</v>
      </c>
      <c r="L2473" t="s">
        <v>3839</v>
      </c>
      <c r="M2473" s="7" t="s">
        <v>22</v>
      </c>
      <c r="N2473" s="7" t="s">
        <v>23</v>
      </c>
      <c r="O2473" s="7" t="s">
        <v>27</v>
      </c>
      <c r="P2473" s="7" t="s">
        <v>5101</v>
      </c>
      <c r="Q2473" s="26">
        <v>126</v>
      </c>
      <c r="R2473" s="26">
        <v>5</v>
      </c>
      <c r="S2473" s="40">
        <v>1</v>
      </c>
      <c r="T2473" s="7"/>
      <c r="U2473" s="7" t="s">
        <v>2951</v>
      </c>
      <c r="V2473" s="7" t="str">
        <f>+IF(U2473="","",IF(U2473="FINES",CONCATENATE("R",IF(OR(B2473="16",B2473="21",B2473="22",B2473="23"),"16212223",IF(OR(B2473="15",B2473="17",B2473="24",B2473="25"),"15172425",B2473))),IF(U2473="CEBAS","UNICO",IF(VALUE(B2473)&lt;=11,"AMBA","INTERIOR"))))</f>
        <v>R05</v>
      </c>
      <c r="W2473" s="38" t="str">
        <f>+IF(U2473="","-",CONCATENATE(U2473,"_",V2473))</f>
        <v>FINES_R05</v>
      </c>
      <c r="X2473" s="42">
        <v>0.27200000000000002</v>
      </c>
    </row>
    <row r="2474" spans="1:24">
      <c r="A2474" s="21" t="s">
        <v>5100</v>
      </c>
      <c r="B2474" t="s">
        <v>257</v>
      </c>
      <c r="C2474" t="s">
        <v>2337</v>
      </c>
      <c r="D2474" t="s">
        <v>2338</v>
      </c>
      <c r="E2474" s="7" t="s">
        <v>198</v>
      </c>
      <c r="F2474" s="7" t="s">
        <v>198</v>
      </c>
      <c r="G2474" s="7" t="s">
        <v>198</v>
      </c>
      <c r="H2474" s="7" t="s">
        <v>20</v>
      </c>
      <c r="I2474" s="7" t="s">
        <v>5102</v>
      </c>
      <c r="J2474" s="7" t="s">
        <v>21</v>
      </c>
      <c r="L2474" t="s">
        <v>3912</v>
      </c>
      <c r="M2474" s="7" t="s">
        <v>22</v>
      </c>
      <c r="N2474" s="7" t="s">
        <v>23</v>
      </c>
      <c r="O2474" s="7" t="s">
        <v>27</v>
      </c>
      <c r="P2474" s="7" t="s">
        <v>5101</v>
      </c>
      <c r="Q2474" s="26">
        <v>17</v>
      </c>
      <c r="R2474" s="26">
        <v>1</v>
      </c>
      <c r="S2474" s="40">
        <v>1</v>
      </c>
      <c r="T2474" s="7"/>
      <c r="U2474" s="7" t="s">
        <v>2951</v>
      </c>
      <c r="V2474" s="7" t="str">
        <f>+IF(U2474="","",IF(U2474="FINES",CONCATENATE("R",IF(OR(B2474="16",B2474="21",B2474="22",B2474="23"),"16212223",IF(OR(B2474="15",B2474="17",B2474="24",B2474="25"),"15172425",B2474))),IF(U2474="CEBAS","UNICO",IF(VALUE(B2474)&lt;=11,"AMBA","INTERIOR"))))</f>
        <v>R05</v>
      </c>
      <c r="W2474" s="38" t="str">
        <f>+IF(U2474="","-",CONCATENATE(U2474,"_",V2474))</f>
        <v>FINES_R05</v>
      </c>
      <c r="X2474" s="42">
        <v>0.28100000000000003</v>
      </c>
    </row>
    <row r="2475" spans="1:24">
      <c r="A2475" s="21" t="s">
        <v>5100</v>
      </c>
      <c r="B2475" t="s">
        <v>257</v>
      </c>
      <c r="C2475" t="s">
        <v>254</v>
      </c>
      <c r="D2475" t="s">
        <v>256</v>
      </c>
      <c r="E2475" s="7" t="s">
        <v>198</v>
      </c>
      <c r="F2475" s="7" t="s">
        <v>198</v>
      </c>
      <c r="G2475" s="7" t="s">
        <v>198</v>
      </c>
      <c r="H2475" s="7" t="s">
        <v>20</v>
      </c>
      <c r="I2475" s="7" t="s">
        <v>5102</v>
      </c>
      <c r="J2475" s="7" t="s">
        <v>21</v>
      </c>
      <c r="L2475" t="s">
        <v>3752</v>
      </c>
      <c r="M2475" s="7" t="s">
        <v>22</v>
      </c>
      <c r="N2475" s="7" t="s">
        <v>23</v>
      </c>
      <c r="O2475" s="7" t="s">
        <v>27</v>
      </c>
      <c r="P2475" s="7" t="s">
        <v>5101</v>
      </c>
      <c r="Q2475" s="26">
        <v>59</v>
      </c>
      <c r="R2475" s="26">
        <v>3</v>
      </c>
      <c r="S2475" s="40">
        <v>1</v>
      </c>
      <c r="T2475" s="7"/>
      <c r="U2475" s="7" t="s">
        <v>2951</v>
      </c>
      <c r="V2475" s="7" t="str">
        <f>+IF(U2475="","",IF(U2475="FINES",CONCATENATE("R",IF(OR(B2475="16",B2475="21",B2475="22",B2475="23"),"16212223",IF(OR(B2475="15",B2475="17",B2475="24",B2475="25"),"15172425",B2475))),IF(U2475="CEBAS","UNICO",IF(VALUE(B2475)&lt;=11,"AMBA","INTERIOR"))))</f>
        <v>R05</v>
      </c>
      <c r="W2475" s="38" t="str">
        <f>+IF(U2475="","-",CONCATENATE(U2475,"_",V2475))</f>
        <v>FINES_R05</v>
      </c>
      <c r="X2475" s="42">
        <v>0.28999999999999998</v>
      </c>
    </row>
    <row r="2476" spans="1:24">
      <c r="A2476" s="21" t="s">
        <v>5100</v>
      </c>
      <c r="B2476" t="s">
        <v>257</v>
      </c>
      <c r="C2476" t="s">
        <v>772</v>
      </c>
      <c r="D2476" t="s">
        <v>773</v>
      </c>
      <c r="E2476" s="7" t="s">
        <v>198</v>
      </c>
      <c r="F2476" s="7" t="s">
        <v>198</v>
      </c>
      <c r="G2476" s="7" t="s">
        <v>198</v>
      </c>
      <c r="H2476" s="7" t="s">
        <v>20</v>
      </c>
      <c r="I2476" s="7" t="s">
        <v>5102</v>
      </c>
      <c r="J2476" s="7" t="s">
        <v>21</v>
      </c>
      <c r="L2476" t="s">
        <v>3857</v>
      </c>
      <c r="M2476" s="7" t="s">
        <v>22</v>
      </c>
      <c r="N2476" s="7" t="s">
        <v>23</v>
      </c>
      <c r="O2476" s="7" t="s">
        <v>27</v>
      </c>
      <c r="P2476" s="7" t="s">
        <v>5101</v>
      </c>
      <c r="Q2476" s="26">
        <v>34</v>
      </c>
      <c r="R2476" s="26">
        <v>1</v>
      </c>
      <c r="S2476" s="40">
        <v>1</v>
      </c>
      <c r="T2476" s="7"/>
      <c r="U2476" s="7" t="s">
        <v>2951</v>
      </c>
      <c r="V2476" s="7" t="str">
        <f>+IF(U2476="","",IF(U2476="FINES",CONCATENATE("R",IF(OR(B2476="16",B2476="21",B2476="22",B2476="23"),"16212223",IF(OR(B2476="15",B2476="17",B2476="24",B2476="25"),"15172425",B2476))),IF(U2476="CEBAS","UNICO",IF(VALUE(B2476)&lt;=11,"AMBA","INTERIOR"))))</f>
        <v>R05</v>
      </c>
      <c r="W2476" s="38" t="str">
        <f>+IF(U2476="","-",CONCATENATE(U2476,"_",V2476))</f>
        <v>FINES_R05</v>
      </c>
      <c r="X2476" s="42">
        <v>0.29399999999999998</v>
      </c>
    </row>
    <row r="2477" spans="1:24">
      <c r="A2477" s="21" t="s">
        <v>5100</v>
      </c>
      <c r="B2477" t="s">
        <v>257</v>
      </c>
      <c r="C2477" t="s">
        <v>415</v>
      </c>
      <c r="D2477" t="s">
        <v>2770</v>
      </c>
      <c r="E2477" s="7" t="s">
        <v>198</v>
      </c>
      <c r="F2477" s="7" t="s">
        <v>198</v>
      </c>
      <c r="G2477" s="7" t="s">
        <v>198</v>
      </c>
      <c r="H2477" s="7" t="s">
        <v>20</v>
      </c>
      <c r="I2477" s="7" t="s">
        <v>5102</v>
      </c>
      <c r="J2477" s="7" t="s">
        <v>21</v>
      </c>
      <c r="L2477" t="s">
        <v>3869</v>
      </c>
      <c r="M2477" s="7" t="s">
        <v>22</v>
      </c>
      <c r="N2477" s="7" t="s">
        <v>23</v>
      </c>
      <c r="O2477" s="7" t="s">
        <v>27</v>
      </c>
      <c r="P2477" s="7" t="s">
        <v>5101</v>
      </c>
      <c r="Q2477" s="26">
        <v>16</v>
      </c>
      <c r="R2477" s="26">
        <v>1</v>
      </c>
      <c r="S2477" s="40">
        <v>1</v>
      </c>
      <c r="T2477" s="7"/>
      <c r="U2477" s="7" t="s">
        <v>2951</v>
      </c>
      <c r="V2477" s="7" t="str">
        <f>+IF(U2477="","",IF(U2477="FINES",CONCATENATE("R",IF(OR(B2477="16",B2477="21",B2477="22",B2477="23"),"16212223",IF(OR(B2477="15",B2477="17",B2477="24",B2477="25"),"15172425",B2477))),IF(U2477="CEBAS","UNICO",IF(VALUE(B2477)&lt;=11,"AMBA","INTERIOR"))))</f>
        <v>R05</v>
      </c>
      <c r="W2477" s="38" t="str">
        <f>+IF(U2477="","-",CONCATENATE(U2477,"_",V2477))</f>
        <v>FINES_R05</v>
      </c>
      <c r="X2477" s="42">
        <v>0.29499999999999998</v>
      </c>
    </row>
    <row r="2478" spans="1:24">
      <c r="A2478" s="21" t="s">
        <v>5100</v>
      </c>
      <c r="B2478" t="s">
        <v>257</v>
      </c>
      <c r="C2478" t="s">
        <v>2337</v>
      </c>
      <c r="D2478" t="s">
        <v>2338</v>
      </c>
      <c r="E2478" s="7" t="s">
        <v>198</v>
      </c>
      <c r="F2478" s="7" t="s">
        <v>198</v>
      </c>
      <c r="G2478" s="7" t="s">
        <v>198</v>
      </c>
      <c r="H2478" s="7" t="s">
        <v>20</v>
      </c>
      <c r="I2478" s="7" t="s">
        <v>5102</v>
      </c>
      <c r="J2478" s="7" t="s">
        <v>21</v>
      </c>
      <c r="L2478" t="s">
        <v>3917</v>
      </c>
      <c r="M2478" s="7" t="s">
        <v>22</v>
      </c>
      <c r="N2478" s="7" t="s">
        <v>23</v>
      </c>
      <c r="O2478" s="7" t="s">
        <v>27</v>
      </c>
      <c r="P2478" s="7" t="s">
        <v>5101</v>
      </c>
      <c r="Q2478" s="26">
        <v>61</v>
      </c>
      <c r="R2478" s="26">
        <v>2</v>
      </c>
      <c r="S2478" s="40">
        <v>1</v>
      </c>
      <c r="T2478" s="7"/>
      <c r="U2478" s="7" t="s">
        <v>2951</v>
      </c>
      <c r="V2478" s="7" t="str">
        <f>+IF(U2478="","",IF(U2478="FINES",CONCATENATE("R",IF(OR(B2478="16",B2478="21",B2478="22",B2478="23"),"16212223",IF(OR(B2478="15",B2478="17",B2478="24",B2478="25"),"15172425",B2478))),IF(U2478="CEBAS","UNICO",IF(VALUE(B2478)&lt;=11,"AMBA","INTERIOR"))))</f>
        <v>R05</v>
      </c>
      <c r="W2478" s="38" t="str">
        <f>+IF(U2478="","-",CONCATENATE(U2478,"_",V2478))</f>
        <v>FINES_R05</v>
      </c>
      <c r="X2478" s="42">
        <v>0.29699999999999999</v>
      </c>
    </row>
    <row r="2479" spans="1:24">
      <c r="A2479" s="21" t="s">
        <v>5100</v>
      </c>
      <c r="B2479" t="s">
        <v>257</v>
      </c>
      <c r="C2479" t="s">
        <v>253</v>
      </c>
      <c r="D2479" t="s">
        <v>2759</v>
      </c>
      <c r="E2479" s="7" t="s">
        <v>198</v>
      </c>
      <c r="F2479" s="7" t="s">
        <v>198</v>
      </c>
      <c r="G2479" s="7" t="s">
        <v>198</v>
      </c>
      <c r="H2479" s="7" t="s">
        <v>20</v>
      </c>
      <c r="I2479" s="7" t="s">
        <v>5102</v>
      </c>
      <c r="J2479" s="7" t="s">
        <v>21</v>
      </c>
      <c r="L2479" t="s">
        <v>3911</v>
      </c>
      <c r="M2479" s="7" t="s">
        <v>22</v>
      </c>
      <c r="N2479" s="7" t="s">
        <v>23</v>
      </c>
      <c r="O2479" s="7" t="s">
        <v>27</v>
      </c>
      <c r="P2479" s="7" t="s">
        <v>5101</v>
      </c>
      <c r="Q2479" s="26">
        <v>15</v>
      </c>
      <c r="R2479" s="26">
        <v>1</v>
      </c>
      <c r="S2479" s="40">
        <v>1</v>
      </c>
      <c r="T2479" s="7"/>
      <c r="U2479" s="7" t="s">
        <v>2951</v>
      </c>
      <c r="V2479" s="7" t="str">
        <f>+IF(U2479="","",IF(U2479="FINES",CONCATENATE("R",IF(OR(B2479="16",B2479="21",B2479="22",B2479="23"),"16212223",IF(OR(B2479="15",B2479="17",B2479="24",B2479="25"),"15172425",B2479))),IF(U2479="CEBAS","UNICO",IF(VALUE(B2479)&lt;=11,"AMBA","INTERIOR"))))</f>
        <v>R05</v>
      </c>
      <c r="W2479" s="38" t="str">
        <f>+IF(U2479="","-",CONCATENATE(U2479,"_",V2479))</f>
        <v>FINES_R05</v>
      </c>
      <c r="X2479" s="42">
        <v>0.29799999999999999</v>
      </c>
    </row>
    <row r="2480" spans="1:24">
      <c r="A2480" s="21" t="s">
        <v>5100</v>
      </c>
      <c r="B2480" t="s">
        <v>257</v>
      </c>
      <c r="C2480" t="s">
        <v>415</v>
      </c>
      <c r="D2480" t="s">
        <v>2770</v>
      </c>
      <c r="E2480" s="7" t="s">
        <v>198</v>
      </c>
      <c r="F2480" s="7" t="s">
        <v>198</v>
      </c>
      <c r="G2480" s="7" t="s">
        <v>198</v>
      </c>
      <c r="H2480" s="7" t="s">
        <v>20</v>
      </c>
      <c r="I2480" s="7" t="s">
        <v>5102</v>
      </c>
      <c r="J2480" s="7" t="s">
        <v>21</v>
      </c>
      <c r="L2480" t="s">
        <v>3875</v>
      </c>
      <c r="M2480" s="7" t="s">
        <v>22</v>
      </c>
      <c r="N2480" s="7" t="s">
        <v>23</v>
      </c>
      <c r="O2480" s="7" t="s">
        <v>27</v>
      </c>
      <c r="P2480" s="7" t="s">
        <v>5101</v>
      </c>
      <c r="Q2480" s="26">
        <v>19</v>
      </c>
      <c r="R2480" s="26">
        <v>1</v>
      </c>
      <c r="S2480" s="40">
        <v>1</v>
      </c>
      <c r="T2480" s="7"/>
      <c r="U2480" s="7" t="s">
        <v>2951</v>
      </c>
      <c r="V2480" s="7" t="str">
        <f>+IF(U2480="","",IF(U2480="FINES",CONCATENATE("R",IF(OR(B2480="16",B2480="21",B2480="22",B2480="23"),"16212223",IF(OR(B2480="15",B2480="17",B2480="24",B2480="25"),"15172425",B2480))),IF(U2480="CEBAS","UNICO",IF(VALUE(B2480)&lt;=11,"AMBA","INTERIOR"))))</f>
        <v>R05</v>
      </c>
      <c r="W2480" s="38" t="str">
        <f>+IF(U2480="","-",CONCATENATE(U2480,"_",V2480))</f>
        <v>FINES_R05</v>
      </c>
      <c r="X2480" s="42">
        <v>0.30599999999999999</v>
      </c>
    </row>
    <row r="2481" spans="1:24">
      <c r="A2481" s="21" t="s">
        <v>5100</v>
      </c>
      <c r="B2481" t="s">
        <v>257</v>
      </c>
      <c r="C2481" t="s">
        <v>254</v>
      </c>
      <c r="D2481" t="s">
        <v>256</v>
      </c>
      <c r="E2481" s="7" t="s">
        <v>198</v>
      </c>
      <c r="F2481" s="7" t="s">
        <v>198</v>
      </c>
      <c r="G2481" s="7" t="s">
        <v>198</v>
      </c>
      <c r="H2481" s="7" t="s">
        <v>20</v>
      </c>
      <c r="I2481" s="7" t="s">
        <v>5102</v>
      </c>
      <c r="J2481" s="7" t="s">
        <v>21</v>
      </c>
      <c r="L2481" t="s">
        <v>3783</v>
      </c>
      <c r="M2481" s="7" t="s">
        <v>22</v>
      </c>
      <c r="N2481" s="7" t="s">
        <v>23</v>
      </c>
      <c r="O2481" s="7" t="s">
        <v>27</v>
      </c>
      <c r="P2481" s="7" t="s">
        <v>5101</v>
      </c>
      <c r="Q2481" s="26">
        <v>33</v>
      </c>
      <c r="R2481" s="26">
        <v>1</v>
      </c>
      <c r="S2481" s="40">
        <v>1</v>
      </c>
      <c r="T2481" s="7"/>
      <c r="U2481" s="7" t="s">
        <v>2951</v>
      </c>
      <c r="V2481" s="7" t="str">
        <f>+IF(U2481="","",IF(U2481="FINES",CONCATENATE("R",IF(OR(B2481="16",B2481="21",B2481="22",B2481="23"),"16212223",IF(OR(B2481="15",B2481="17",B2481="24",B2481="25"),"15172425",B2481))),IF(U2481="CEBAS","UNICO",IF(VALUE(B2481)&lt;=11,"AMBA","INTERIOR"))))</f>
        <v>R05</v>
      </c>
      <c r="W2481" s="38" t="str">
        <f>+IF(U2481="","-",CONCATENATE(U2481,"_",V2481))</f>
        <v>FINES_R05</v>
      </c>
      <c r="X2481" s="42">
        <v>0.315</v>
      </c>
    </row>
    <row r="2482" spans="1:24">
      <c r="A2482" s="21" t="s">
        <v>5100</v>
      </c>
      <c r="B2482" t="s">
        <v>257</v>
      </c>
      <c r="C2482" t="s">
        <v>772</v>
      </c>
      <c r="D2482" t="s">
        <v>773</v>
      </c>
      <c r="E2482" s="7" t="s">
        <v>198</v>
      </c>
      <c r="F2482" s="7" t="s">
        <v>198</v>
      </c>
      <c r="G2482" s="7" t="s">
        <v>198</v>
      </c>
      <c r="H2482" s="7" t="s">
        <v>20</v>
      </c>
      <c r="I2482" s="7" t="s">
        <v>5102</v>
      </c>
      <c r="J2482" s="7" t="s">
        <v>21</v>
      </c>
      <c r="L2482" t="s">
        <v>3845</v>
      </c>
      <c r="M2482" s="7" t="s">
        <v>22</v>
      </c>
      <c r="N2482" s="7" t="s">
        <v>23</v>
      </c>
      <c r="O2482" s="7" t="s">
        <v>27</v>
      </c>
      <c r="P2482" s="7" t="s">
        <v>5101</v>
      </c>
      <c r="Q2482" s="26">
        <v>22</v>
      </c>
      <c r="R2482" s="26">
        <v>1</v>
      </c>
      <c r="S2482" s="40">
        <v>1</v>
      </c>
      <c r="T2482" s="7"/>
      <c r="U2482" s="7" t="s">
        <v>2951</v>
      </c>
      <c r="V2482" s="7" t="str">
        <f>+IF(U2482="","",IF(U2482="FINES",CONCATENATE("R",IF(OR(B2482="16",B2482="21",B2482="22",B2482="23"),"16212223",IF(OR(B2482="15",B2482="17",B2482="24",B2482="25"),"15172425",B2482))),IF(U2482="CEBAS","UNICO",IF(VALUE(B2482)&lt;=11,"AMBA","INTERIOR"))))</f>
        <v>R05</v>
      </c>
      <c r="W2482" s="38" t="str">
        <f>+IF(U2482="","-",CONCATENATE(U2482,"_",V2482))</f>
        <v>FINES_R05</v>
      </c>
      <c r="X2482" s="42">
        <v>0.318</v>
      </c>
    </row>
    <row r="2483" spans="1:24">
      <c r="A2483" s="21" t="s">
        <v>5100</v>
      </c>
      <c r="B2483" t="s">
        <v>257</v>
      </c>
      <c r="C2483" t="s">
        <v>254</v>
      </c>
      <c r="D2483" t="s">
        <v>256</v>
      </c>
      <c r="E2483" s="7" t="s">
        <v>198</v>
      </c>
      <c r="F2483" s="7" t="s">
        <v>198</v>
      </c>
      <c r="G2483" s="7" t="s">
        <v>198</v>
      </c>
      <c r="H2483" s="7" t="s">
        <v>20</v>
      </c>
      <c r="I2483" s="7" t="s">
        <v>5102</v>
      </c>
      <c r="J2483" s="7" t="s">
        <v>21</v>
      </c>
      <c r="L2483" t="s">
        <v>3763</v>
      </c>
      <c r="M2483" s="7" t="s">
        <v>22</v>
      </c>
      <c r="N2483" s="7" t="s">
        <v>23</v>
      </c>
      <c r="O2483" s="7" t="s">
        <v>27</v>
      </c>
      <c r="P2483" s="7" t="s">
        <v>5101</v>
      </c>
      <c r="Q2483" s="26">
        <v>93</v>
      </c>
      <c r="R2483" s="26">
        <v>3</v>
      </c>
      <c r="S2483" s="40">
        <v>1</v>
      </c>
      <c r="T2483" s="7"/>
      <c r="U2483" s="7" t="s">
        <v>2951</v>
      </c>
      <c r="V2483" s="7" t="str">
        <f>+IF(U2483="","",IF(U2483="FINES",CONCATENATE("R",IF(OR(B2483="16",B2483="21",B2483="22",B2483="23"),"16212223",IF(OR(B2483="15",B2483="17",B2483="24",B2483="25"),"15172425",B2483))),IF(U2483="CEBAS","UNICO",IF(VALUE(B2483)&lt;=11,"AMBA","INTERIOR"))))</f>
        <v>R05</v>
      </c>
      <c r="W2483" s="38" t="str">
        <f>+IF(U2483="","-",CONCATENATE(U2483,"_",V2483))</f>
        <v>FINES_R05</v>
      </c>
      <c r="X2483" s="42">
        <v>0.32700000000000001</v>
      </c>
    </row>
    <row r="2484" spans="1:24">
      <c r="A2484" s="21" t="s">
        <v>5100</v>
      </c>
      <c r="B2484" t="s">
        <v>257</v>
      </c>
      <c r="C2484" t="s">
        <v>772</v>
      </c>
      <c r="D2484" t="s">
        <v>773</v>
      </c>
      <c r="E2484" s="7" t="s">
        <v>198</v>
      </c>
      <c r="F2484" s="7" t="s">
        <v>198</v>
      </c>
      <c r="G2484" s="7" t="s">
        <v>198</v>
      </c>
      <c r="H2484" s="7" t="s">
        <v>20</v>
      </c>
      <c r="I2484" s="7" t="s">
        <v>5102</v>
      </c>
      <c r="J2484" s="7" t="s">
        <v>21</v>
      </c>
      <c r="L2484" t="s">
        <v>3861</v>
      </c>
      <c r="M2484" s="7" t="s">
        <v>22</v>
      </c>
      <c r="N2484" s="7" t="s">
        <v>23</v>
      </c>
      <c r="O2484" s="7" t="s">
        <v>27</v>
      </c>
      <c r="P2484" s="7" t="s">
        <v>5101</v>
      </c>
      <c r="Q2484" s="26">
        <v>27</v>
      </c>
      <c r="R2484" s="26">
        <v>1</v>
      </c>
      <c r="S2484" s="40">
        <v>1</v>
      </c>
      <c r="T2484" s="7"/>
      <c r="U2484" s="7" t="s">
        <v>2951</v>
      </c>
      <c r="V2484" s="7" t="str">
        <f>+IF(U2484="","",IF(U2484="FINES",CONCATENATE("R",IF(OR(B2484="16",B2484="21",B2484="22",B2484="23"),"16212223",IF(OR(B2484="15",B2484="17",B2484="24",B2484="25"),"15172425",B2484))),IF(U2484="CEBAS","UNICO",IF(VALUE(B2484)&lt;=11,"AMBA","INTERIOR"))))</f>
        <v>R05</v>
      </c>
      <c r="W2484" s="38" t="str">
        <f>+IF(U2484="","-",CONCATENATE(U2484,"_",V2484))</f>
        <v>FINES_R05</v>
      </c>
      <c r="X2484" s="42">
        <v>0.32900000000000001</v>
      </c>
    </row>
    <row r="2485" spans="1:24">
      <c r="A2485" s="21" t="s">
        <v>5100</v>
      </c>
      <c r="B2485" t="s">
        <v>257</v>
      </c>
      <c r="C2485" t="s">
        <v>254</v>
      </c>
      <c r="D2485" t="s">
        <v>256</v>
      </c>
      <c r="E2485" s="7" t="s">
        <v>198</v>
      </c>
      <c r="F2485" s="7" t="s">
        <v>198</v>
      </c>
      <c r="G2485" s="7" t="s">
        <v>198</v>
      </c>
      <c r="H2485" s="7" t="s">
        <v>20</v>
      </c>
      <c r="I2485" s="7" t="s">
        <v>5102</v>
      </c>
      <c r="J2485" s="7" t="s">
        <v>21</v>
      </c>
      <c r="L2485" t="s">
        <v>3777</v>
      </c>
      <c r="M2485" s="7" t="s">
        <v>22</v>
      </c>
      <c r="N2485" s="7" t="s">
        <v>23</v>
      </c>
      <c r="O2485" s="7" t="s">
        <v>27</v>
      </c>
      <c r="P2485" s="7" t="s">
        <v>5101</v>
      </c>
      <c r="Q2485" s="26">
        <v>83</v>
      </c>
      <c r="R2485" s="26">
        <v>4</v>
      </c>
      <c r="S2485" s="40">
        <v>1</v>
      </c>
      <c r="T2485" s="7"/>
      <c r="U2485" s="7" t="s">
        <v>2951</v>
      </c>
      <c r="V2485" s="7" t="str">
        <f>+IF(U2485="","",IF(U2485="FINES",CONCATENATE("R",IF(OR(B2485="16",B2485="21",B2485="22",B2485="23"),"16212223",IF(OR(B2485="15",B2485="17",B2485="24",B2485="25"),"15172425",B2485))),IF(U2485="CEBAS","UNICO",IF(VALUE(B2485)&lt;=11,"AMBA","INTERIOR"))))</f>
        <v>R05</v>
      </c>
      <c r="W2485" s="38" t="str">
        <f>+IF(U2485="","-",CONCATENATE(U2485,"_",V2485))</f>
        <v>FINES_R05</v>
      </c>
      <c r="X2485" s="42">
        <v>0.32900000000000001</v>
      </c>
    </row>
    <row r="2486" spans="1:24">
      <c r="A2486" s="21" t="s">
        <v>5100</v>
      </c>
      <c r="B2486" t="s">
        <v>257</v>
      </c>
      <c r="C2486" t="s">
        <v>254</v>
      </c>
      <c r="D2486" t="s">
        <v>256</v>
      </c>
      <c r="E2486" s="7" t="s">
        <v>198</v>
      </c>
      <c r="F2486" s="7" t="s">
        <v>198</v>
      </c>
      <c r="G2486" s="7" t="s">
        <v>198</v>
      </c>
      <c r="H2486" s="7" t="s">
        <v>20</v>
      </c>
      <c r="I2486" s="7" t="s">
        <v>5102</v>
      </c>
      <c r="J2486" s="7" t="s">
        <v>21</v>
      </c>
      <c r="L2486" t="s">
        <v>3820</v>
      </c>
      <c r="M2486" s="7" t="s">
        <v>22</v>
      </c>
      <c r="N2486" s="7" t="s">
        <v>23</v>
      </c>
      <c r="O2486" s="7" t="s">
        <v>27</v>
      </c>
      <c r="P2486" s="7" t="s">
        <v>5101</v>
      </c>
      <c r="Q2486" s="26">
        <v>38</v>
      </c>
      <c r="R2486" s="26">
        <v>1</v>
      </c>
      <c r="S2486" s="40">
        <v>1</v>
      </c>
      <c r="T2486" s="7"/>
      <c r="U2486" s="7" t="s">
        <v>2951</v>
      </c>
      <c r="V2486" s="7" t="str">
        <f>+IF(U2486="","",IF(U2486="FINES",CONCATENATE("R",IF(OR(B2486="16",B2486="21",B2486="22",B2486="23"),"16212223",IF(OR(B2486="15",B2486="17",B2486="24",B2486="25"),"15172425",B2486))),IF(U2486="CEBAS","UNICO",IF(VALUE(B2486)&lt;=11,"AMBA","INTERIOR"))))</f>
        <v>R05</v>
      </c>
      <c r="W2486" s="38" t="str">
        <f>+IF(U2486="","-",CONCATENATE(U2486,"_",V2486))</f>
        <v>FINES_R05</v>
      </c>
      <c r="X2486" s="42">
        <v>0.33500000000000002</v>
      </c>
    </row>
    <row r="2487" spans="1:24">
      <c r="A2487" s="21" t="s">
        <v>5100</v>
      </c>
      <c r="B2487" t="s">
        <v>257</v>
      </c>
      <c r="C2487" t="s">
        <v>254</v>
      </c>
      <c r="D2487" t="s">
        <v>256</v>
      </c>
      <c r="E2487" s="7" t="s">
        <v>198</v>
      </c>
      <c r="F2487" s="7" t="s">
        <v>198</v>
      </c>
      <c r="G2487" s="7" t="s">
        <v>198</v>
      </c>
      <c r="H2487" s="7" t="s">
        <v>20</v>
      </c>
      <c r="I2487" s="7" t="s">
        <v>5102</v>
      </c>
      <c r="J2487" s="7" t="s">
        <v>21</v>
      </c>
      <c r="L2487" t="s">
        <v>3769</v>
      </c>
      <c r="M2487" s="7" t="s">
        <v>22</v>
      </c>
      <c r="N2487" s="7" t="s">
        <v>23</v>
      </c>
      <c r="O2487" s="7" t="s">
        <v>27</v>
      </c>
      <c r="P2487" s="7" t="s">
        <v>5101</v>
      </c>
      <c r="Q2487" s="26">
        <v>168</v>
      </c>
      <c r="R2487" s="26">
        <v>6</v>
      </c>
      <c r="S2487" s="40">
        <v>1</v>
      </c>
      <c r="T2487" s="7"/>
      <c r="U2487" s="7" t="s">
        <v>2951</v>
      </c>
      <c r="V2487" s="7" t="str">
        <f>+IF(U2487="","",IF(U2487="FINES",CONCATENATE("R",IF(OR(B2487="16",B2487="21",B2487="22",B2487="23"),"16212223",IF(OR(B2487="15",B2487="17",B2487="24",B2487="25"),"15172425",B2487))),IF(U2487="CEBAS","UNICO",IF(VALUE(B2487)&lt;=11,"AMBA","INTERIOR"))))</f>
        <v>R05</v>
      </c>
      <c r="W2487" s="38" t="str">
        <f>+IF(U2487="","-",CONCATENATE(U2487,"_",V2487))</f>
        <v>FINES_R05</v>
      </c>
      <c r="X2487" s="42">
        <v>0.33700000000000002</v>
      </c>
    </row>
    <row r="2488" spans="1:24">
      <c r="A2488" s="21" t="s">
        <v>5100</v>
      </c>
      <c r="B2488" t="s">
        <v>257</v>
      </c>
      <c r="C2488" t="s">
        <v>254</v>
      </c>
      <c r="D2488" t="s">
        <v>256</v>
      </c>
      <c r="E2488" s="7" t="s">
        <v>198</v>
      </c>
      <c r="F2488" s="7" t="s">
        <v>198</v>
      </c>
      <c r="G2488" s="7" t="s">
        <v>198</v>
      </c>
      <c r="H2488" s="7" t="s">
        <v>20</v>
      </c>
      <c r="I2488" s="7" t="s">
        <v>5102</v>
      </c>
      <c r="J2488" s="7" t="s">
        <v>21</v>
      </c>
      <c r="L2488" t="s">
        <v>3797</v>
      </c>
      <c r="M2488" s="7" t="s">
        <v>22</v>
      </c>
      <c r="N2488" s="7" t="s">
        <v>23</v>
      </c>
      <c r="O2488" s="7" t="s">
        <v>27</v>
      </c>
      <c r="P2488" s="7" t="s">
        <v>5101</v>
      </c>
      <c r="Q2488" s="26">
        <v>22</v>
      </c>
      <c r="R2488" s="26">
        <v>1</v>
      </c>
      <c r="S2488" s="40">
        <v>1</v>
      </c>
      <c r="T2488" s="7"/>
      <c r="U2488" s="7" t="s">
        <v>2951</v>
      </c>
      <c r="V2488" s="7" t="str">
        <f>+IF(U2488="","",IF(U2488="FINES",CONCATENATE("R",IF(OR(B2488="16",B2488="21",B2488="22",B2488="23"),"16212223",IF(OR(B2488="15",B2488="17",B2488="24",B2488="25"),"15172425",B2488))),IF(U2488="CEBAS","UNICO",IF(VALUE(B2488)&lt;=11,"AMBA","INTERIOR"))))</f>
        <v>R05</v>
      </c>
      <c r="W2488" s="38" t="str">
        <f>+IF(U2488="","-",CONCATENATE(U2488,"_",V2488))</f>
        <v>FINES_R05</v>
      </c>
      <c r="X2488" s="42">
        <v>0.34300000000000003</v>
      </c>
    </row>
    <row r="2489" spans="1:24">
      <c r="A2489" s="21" t="s">
        <v>5100</v>
      </c>
      <c r="B2489" t="s">
        <v>257</v>
      </c>
      <c r="C2489" t="s">
        <v>772</v>
      </c>
      <c r="D2489" t="s">
        <v>773</v>
      </c>
      <c r="E2489" s="7" t="s">
        <v>198</v>
      </c>
      <c r="F2489" s="7" t="s">
        <v>198</v>
      </c>
      <c r="G2489" s="7" t="s">
        <v>198</v>
      </c>
      <c r="H2489" s="7" t="s">
        <v>20</v>
      </c>
      <c r="I2489" s="7" t="s">
        <v>5102</v>
      </c>
      <c r="J2489" s="7" t="s">
        <v>21</v>
      </c>
      <c r="L2489" t="s">
        <v>3849</v>
      </c>
      <c r="M2489" s="7" t="s">
        <v>22</v>
      </c>
      <c r="N2489" s="7" t="s">
        <v>23</v>
      </c>
      <c r="O2489" s="7" t="s">
        <v>27</v>
      </c>
      <c r="P2489" s="7" t="s">
        <v>5101</v>
      </c>
      <c r="Q2489" s="26">
        <v>19</v>
      </c>
      <c r="R2489" s="26">
        <v>1</v>
      </c>
      <c r="S2489" s="40">
        <v>1</v>
      </c>
      <c r="T2489" s="7"/>
      <c r="U2489" s="7" t="s">
        <v>2951</v>
      </c>
      <c r="V2489" s="7" t="str">
        <f>+IF(U2489="","",IF(U2489="FINES",CONCATENATE("R",IF(OR(B2489="16",B2489="21",B2489="22",B2489="23"),"16212223",IF(OR(B2489="15",B2489="17",B2489="24",B2489="25"),"15172425",B2489))),IF(U2489="CEBAS","UNICO",IF(VALUE(B2489)&lt;=11,"AMBA","INTERIOR"))))</f>
        <v>R05</v>
      </c>
      <c r="W2489" s="38" t="str">
        <f>+IF(U2489="","-",CONCATENATE(U2489,"_",V2489))</f>
        <v>FINES_R05</v>
      </c>
      <c r="X2489" s="42">
        <v>0.35899999999999999</v>
      </c>
    </row>
    <row r="2490" spans="1:24">
      <c r="A2490" s="21" t="s">
        <v>5100</v>
      </c>
      <c r="B2490" t="s">
        <v>257</v>
      </c>
      <c r="C2490" t="s">
        <v>254</v>
      </c>
      <c r="D2490" t="s">
        <v>256</v>
      </c>
      <c r="E2490" s="7" t="s">
        <v>198</v>
      </c>
      <c r="F2490" s="7" t="s">
        <v>198</v>
      </c>
      <c r="G2490" s="7" t="s">
        <v>198</v>
      </c>
      <c r="H2490" s="7" t="s">
        <v>20</v>
      </c>
      <c r="I2490" s="7" t="s">
        <v>5102</v>
      </c>
      <c r="J2490" s="7" t="s">
        <v>21</v>
      </c>
      <c r="L2490" t="s">
        <v>3728</v>
      </c>
      <c r="M2490" s="7" t="s">
        <v>22</v>
      </c>
      <c r="N2490" s="7" t="s">
        <v>23</v>
      </c>
      <c r="O2490" s="7" t="s">
        <v>27</v>
      </c>
      <c r="P2490" s="7" t="s">
        <v>5101</v>
      </c>
      <c r="Q2490" s="26">
        <v>14</v>
      </c>
      <c r="R2490" s="26">
        <v>1</v>
      </c>
      <c r="S2490" s="40">
        <v>1</v>
      </c>
      <c r="T2490" s="7"/>
      <c r="U2490" s="7" t="s">
        <v>2951</v>
      </c>
      <c r="V2490" s="7" t="str">
        <f>+IF(U2490="","",IF(U2490="FINES",CONCATENATE("R",IF(OR(B2490="16",B2490="21",B2490="22",B2490="23"),"16212223",IF(OR(B2490="15",B2490="17",B2490="24",B2490="25"),"15172425",B2490))),IF(U2490="CEBAS","UNICO",IF(VALUE(B2490)&lt;=11,"AMBA","INTERIOR"))))</f>
        <v>R05</v>
      </c>
      <c r="W2490" s="38" t="str">
        <f>+IF(U2490="","-",CONCATENATE(U2490,"_",V2490))</f>
        <v>FINES_R05</v>
      </c>
      <c r="X2490" s="42">
        <v>0.36099999999999999</v>
      </c>
    </row>
    <row r="2491" spans="1:24">
      <c r="A2491" s="21" t="s">
        <v>5100</v>
      </c>
      <c r="B2491" t="s">
        <v>257</v>
      </c>
      <c r="C2491" t="s">
        <v>253</v>
      </c>
      <c r="D2491" t="s">
        <v>2759</v>
      </c>
      <c r="E2491" s="7" t="s">
        <v>198</v>
      </c>
      <c r="F2491" s="7" t="s">
        <v>198</v>
      </c>
      <c r="G2491" s="7" t="s">
        <v>198</v>
      </c>
      <c r="H2491" s="7" t="s">
        <v>20</v>
      </c>
      <c r="I2491" s="7" t="s">
        <v>5102</v>
      </c>
      <c r="J2491" s="7" t="s">
        <v>21</v>
      </c>
      <c r="L2491" t="s">
        <v>3901</v>
      </c>
      <c r="M2491" s="7" t="s">
        <v>22</v>
      </c>
      <c r="N2491" s="7" t="s">
        <v>23</v>
      </c>
      <c r="O2491" s="7" t="s">
        <v>27</v>
      </c>
      <c r="P2491" s="7" t="s">
        <v>5101</v>
      </c>
      <c r="Q2491" s="26">
        <v>69</v>
      </c>
      <c r="R2491" s="26">
        <v>3</v>
      </c>
      <c r="S2491" s="40">
        <v>1</v>
      </c>
      <c r="T2491" s="7"/>
      <c r="U2491" s="7" t="s">
        <v>2951</v>
      </c>
      <c r="V2491" s="7" t="str">
        <f>+IF(U2491="","",IF(U2491="FINES",CONCATENATE("R",IF(OR(B2491="16",B2491="21",B2491="22",B2491="23"),"16212223",IF(OR(B2491="15",B2491="17",B2491="24",B2491="25"),"15172425",B2491))),IF(U2491="CEBAS","UNICO",IF(VALUE(B2491)&lt;=11,"AMBA","INTERIOR"))))</f>
        <v>R05</v>
      </c>
      <c r="W2491" s="38" t="str">
        <f>+IF(U2491="","-",CONCATENATE(U2491,"_",V2491))</f>
        <v>FINES_R05</v>
      </c>
      <c r="X2491" s="42">
        <v>0.36699999999999999</v>
      </c>
    </row>
    <row r="2492" spans="1:24">
      <c r="A2492" s="21" t="s">
        <v>5100</v>
      </c>
      <c r="B2492" t="s">
        <v>257</v>
      </c>
      <c r="C2492" t="s">
        <v>415</v>
      </c>
      <c r="D2492" t="s">
        <v>2770</v>
      </c>
      <c r="E2492" s="7" t="s">
        <v>198</v>
      </c>
      <c r="F2492" s="7" t="s">
        <v>198</v>
      </c>
      <c r="G2492" s="7" t="s">
        <v>198</v>
      </c>
      <c r="H2492" s="7" t="s">
        <v>20</v>
      </c>
      <c r="I2492" s="7" t="s">
        <v>5102</v>
      </c>
      <c r="J2492" s="7" t="s">
        <v>21</v>
      </c>
      <c r="L2492" t="s">
        <v>3892</v>
      </c>
      <c r="M2492" s="7" t="s">
        <v>22</v>
      </c>
      <c r="N2492" s="7" t="s">
        <v>23</v>
      </c>
      <c r="O2492" s="7" t="s">
        <v>27</v>
      </c>
      <c r="P2492" s="7" t="s">
        <v>5101</v>
      </c>
      <c r="Q2492" s="26">
        <v>26</v>
      </c>
      <c r="R2492" s="26">
        <v>1</v>
      </c>
      <c r="S2492" s="40">
        <v>1</v>
      </c>
      <c r="T2492" s="7"/>
      <c r="U2492" s="7" t="s">
        <v>2951</v>
      </c>
      <c r="V2492" s="7" t="str">
        <f>+IF(U2492="","",IF(U2492="FINES",CONCATENATE("R",IF(OR(B2492="16",B2492="21",B2492="22",B2492="23"),"16212223",IF(OR(B2492="15",B2492="17",B2492="24",B2492="25"),"15172425",B2492))),IF(U2492="CEBAS","UNICO",IF(VALUE(B2492)&lt;=11,"AMBA","INTERIOR"))))</f>
        <v>R05</v>
      </c>
      <c r="W2492" s="38" t="str">
        <f>+IF(U2492="","-",CONCATENATE(U2492,"_",V2492))</f>
        <v>FINES_R05</v>
      </c>
      <c r="X2492" s="42">
        <v>0.38</v>
      </c>
    </row>
    <row r="2493" spans="1:24">
      <c r="A2493" s="21" t="s">
        <v>5100</v>
      </c>
      <c r="B2493" t="s">
        <v>257</v>
      </c>
      <c r="C2493" t="s">
        <v>772</v>
      </c>
      <c r="D2493" t="s">
        <v>773</v>
      </c>
      <c r="E2493" s="7" t="s">
        <v>198</v>
      </c>
      <c r="F2493" s="7" t="s">
        <v>198</v>
      </c>
      <c r="G2493" s="7" t="s">
        <v>198</v>
      </c>
      <c r="H2493" s="7" t="s">
        <v>20</v>
      </c>
      <c r="I2493" s="7" t="s">
        <v>5102</v>
      </c>
      <c r="J2493" s="7" t="s">
        <v>21</v>
      </c>
      <c r="L2493" t="s">
        <v>738</v>
      </c>
      <c r="M2493" s="7" t="s">
        <v>22</v>
      </c>
      <c r="N2493" s="7" t="s">
        <v>23</v>
      </c>
      <c r="O2493" s="7" t="s">
        <v>27</v>
      </c>
      <c r="P2493" s="7" t="s">
        <v>5101</v>
      </c>
      <c r="Q2493" s="26">
        <v>22</v>
      </c>
      <c r="R2493" s="26">
        <v>1</v>
      </c>
      <c r="S2493" s="40">
        <v>1</v>
      </c>
      <c r="T2493" s="7"/>
      <c r="U2493" s="7" t="s">
        <v>2951</v>
      </c>
      <c r="V2493" s="7" t="str">
        <f>+IF(U2493="","",IF(U2493="FINES",CONCATENATE("R",IF(OR(B2493="16",B2493="21",B2493="22",B2493="23"),"16212223",IF(OR(B2493="15",B2493="17",B2493="24",B2493="25"),"15172425",B2493))),IF(U2493="CEBAS","UNICO",IF(VALUE(B2493)&lt;=11,"AMBA","INTERIOR"))))</f>
        <v>R05</v>
      </c>
      <c r="W2493" s="38" t="str">
        <f>+IF(U2493="","-",CONCATENATE(U2493,"_",V2493))</f>
        <v>FINES_R05</v>
      </c>
      <c r="X2493" s="42">
        <v>0.38400000000000001</v>
      </c>
    </row>
    <row r="2494" spans="1:24">
      <c r="A2494" s="21" t="s">
        <v>5100</v>
      </c>
      <c r="B2494" t="s">
        <v>257</v>
      </c>
      <c r="C2494" t="s">
        <v>254</v>
      </c>
      <c r="D2494" t="s">
        <v>256</v>
      </c>
      <c r="E2494" s="7" t="s">
        <v>198</v>
      </c>
      <c r="F2494" s="7" t="s">
        <v>198</v>
      </c>
      <c r="G2494" s="7" t="s">
        <v>198</v>
      </c>
      <c r="H2494" s="7" t="s">
        <v>20</v>
      </c>
      <c r="I2494" s="7" t="s">
        <v>5102</v>
      </c>
      <c r="J2494" s="7" t="s">
        <v>21</v>
      </c>
      <c r="L2494" t="s">
        <v>3821</v>
      </c>
      <c r="M2494" s="7" t="s">
        <v>22</v>
      </c>
      <c r="N2494" s="7" t="s">
        <v>23</v>
      </c>
      <c r="O2494" s="7" t="s">
        <v>27</v>
      </c>
      <c r="P2494" s="7" t="s">
        <v>5101</v>
      </c>
      <c r="Q2494" s="26">
        <v>29</v>
      </c>
      <c r="R2494" s="26">
        <v>2</v>
      </c>
      <c r="S2494" s="40">
        <v>1</v>
      </c>
      <c r="T2494" s="7"/>
      <c r="U2494" s="7" t="s">
        <v>2951</v>
      </c>
      <c r="V2494" s="7" t="str">
        <f>+IF(U2494="","",IF(U2494="FINES",CONCATENATE("R",IF(OR(B2494="16",B2494="21",B2494="22",B2494="23"),"16212223",IF(OR(B2494="15",B2494="17",B2494="24",B2494="25"),"15172425",B2494))),IF(U2494="CEBAS","UNICO",IF(VALUE(B2494)&lt;=11,"AMBA","INTERIOR"))))</f>
        <v>R05</v>
      </c>
      <c r="W2494" s="38" t="str">
        <f>+IF(U2494="","-",CONCATENATE(U2494,"_",V2494))</f>
        <v>FINES_R05</v>
      </c>
      <c r="X2494" s="42">
        <v>0.39900000000000002</v>
      </c>
    </row>
    <row r="2495" spans="1:24">
      <c r="A2495" s="21" t="s">
        <v>5100</v>
      </c>
      <c r="B2495" t="s">
        <v>257</v>
      </c>
      <c r="C2495" t="s">
        <v>415</v>
      </c>
      <c r="D2495" t="s">
        <v>2770</v>
      </c>
      <c r="E2495" s="7" t="s">
        <v>198</v>
      </c>
      <c r="F2495" s="7" t="s">
        <v>198</v>
      </c>
      <c r="G2495" s="7" t="s">
        <v>198</v>
      </c>
      <c r="H2495" s="7" t="s">
        <v>20</v>
      </c>
      <c r="I2495" s="7" t="s">
        <v>5102</v>
      </c>
      <c r="J2495" s="7" t="s">
        <v>21</v>
      </c>
      <c r="L2495" t="s">
        <v>3887</v>
      </c>
      <c r="M2495" s="7" t="s">
        <v>22</v>
      </c>
      <c r="N2495" s="7" t="s">
        <v>23</v>
      </c>
      <c r="O2495" s="7" t="s">
        <v>27</v>
      </c>
      <c r="P2495" s="7" t="s">
        <v>5101</v>
      </c>
      <c r="Q2495" s="26">
        <v>25</v>
      </c>
      <c r="R2495" s="26">
        <v>1</v>
      </c>
      <c r="S2495" s="40">
        <v>1</v>
      </c>
      <c r="T2495" s="7"/>
      <c r="U2495" s="7" t="s">
        <v>2951</v>
      </c>
      <c r="V2495" s="7" t="str">
        <f>+IF(U2495="","",IF(U2495="FINES",CONCATENATE("R",IF(OR(B2495="16",B2495="21",B2495="22",B2495="23"),"16212223",IF(OR(B2495="15",B2495="17",B2495="24",B2495="25"),"15172425",B2495))),IF(U2495="CEBAS","UNICO",IF(VALUE(B2495)&lt;=11,"AMBA","INTERIOR"))))</f>
        <v>R05</v>
      </c>
      <c r="W2495" s="38" t="str">
        <f>+IF(U2495="","-",CONCATENATE(U2495,"_",V2495))</f>
        <v>FINES_R05</v>
      </c>
      <c r="X2495" s="42">
        <v>0.41099999999999998</v>
      </c>
    </row>
    <row r="2496" spans="1:24">
      <c r="A2496" s="21" t="s">
        <v>5100</v>
      </c>
      <c r="B2496" t="s">
        <v>257</v>
      </c>
      <c r="C2496" t="s">
        <v>253</v>
      </c>
      <c r="D2496" t="s">
        <v>2759</v>
      </c>
      <c r="E2496" s="7" t="s">
        <v>198</v>
      </c>
      <c r="F2496" s="7" t="s">
        <v>198</v>
      </c>
      <c r="G2496" s="7" t="s">
        <v>198</v>
      </c>
      <c r="H2496" s="7" t="s">
        <v>20</v>
      </c>
      <c r="I2496" s="7" t="s">
        <v>5102</v>
      </c>
      <c r="J2496" s="7" t="s">
        <v>21</v>
      </c>
      <c r="L2496" t="s">
        <v>3906</v>
      </c>
      <c r="M2496" s="7" t="s">
        <v>22</v>
      </c>
      <c r="N2496" s="7" t="s">
        <v>23</v>
      </c>
      <c r="O2496" s="7" t="s">
        <v>27</v>
      </c>
      <c r="P2496" s="7" t="s">
        <v>5101</v>
      </c>
      <c r="Q2496" s="26">
        <v>35</v>
      </c>
      <c r="R2496" s="26">
        <v>2</v>
      </c>
      <c r="S2496" s="40">
        <v>1</v>
      </c>
      <c r="T2496" s="7"/>
      <c r="U2496" s="7" t="s">
        <v>2951</v>
      </c>
      <c r="V2496" s="7" t="str">
        <f>+IF(U2496="","",IF(U2496="FINES",CONCATENATE("R",IF(OR(B2496="16",B2496="21",B2496="22",B2496="23"),"16212223",IF(OR(B2496="15",B2496="17",B2496="24",B2496="25"),"15172425",B2496))),IF(U2496="CEBAS","UNICO",IF(VALUE(B2496)&lt;=11,"AMBA","INTERIOR"))))</f>
        <v>R05</v>
      </c>
      <c r="W2496" s="38" t="str">
        <f>+IF(U2496="","-",CONCATENATE(U2496,"_",V2496))</f>
        <v>FINES_R05</v>
      </c>
      <c r="X2496" s="42">
        <v>0.41199999999999998</v>
      </c>
    </row>
    <row r="2497" spans="1:24">
      <c r="A2497" s="21" t="s">
        <v>5100</v>
      </c>
      <c r="B2497" t="s">
        <v>257</v>
      </c>
      <c r="C2497" t="s">
        <v>772</v>
      </c>
      <c r="D2497" t="s">
        <v>773</v>
      </c>
      <c r="E2497" s="7" t="s">
        <v>198</v>
      </c>
      <c r="F2497" s="7" t="s">
        <v>198</v>
      </c>
      <c r="G2497" s="7" t="s">
        <v>198</v>
      </c>
      <c r="H2497" s="7" t="s">
        <v>20</v>
      </c>
      <c r="I2497" s="7" t="s">
        <v>5102</v>
      </c>
      <c r="J2497" s="7" t="s">
        <v>21</v>
      </c>
      <c r="L2497" t="s">
        <v>3833</v>
      </c>
      <c r="M2497" s="7" t="s">
        <v>22</v>
      </c>
      <c r="N2497" s="7" t="s">
        <v>23</v>
      </c>
      <c r="O2497" s="7" t="s">
        <v>27</v>
      </c>
      <c r="P2497" s="7" t="s">
        <v>5101</v>
      </c>
      <c r="Q2497" s="26">
        <v>35</v>
      </c>
      <c r="R2497" s="26">
        <v>1</v>
      </c>
      <c r="S2497" s="40">
        <v>1</v>
      </c>
      <c r="T2497" s="7"/>
      <c r="U2497" s="7" t="s">
        <v>2951</v>
      </c>
      <c r="V2497" s="7" t="str">
        <f>+IF(U2497="","",IF(U2497="FINES",CONCATENATE("R",IF(OR(B2497="16",B2497="21",B2497="22",B2497="23"),"16212223",IF(OR(B2497="15",B2497="17",B2497="24",B2497="25"),"15172425",B2497))),IF(U2497="CEBAS","UNICO",IF(VALUE(B2497)&lt;=11,"AMBA","INTERIOR"))))</f>
        <v>R05</v>
      </c>
      <c r="W2497" s="38" t="str">
        <f>+IF(U2497="","-",CONCATENATE(U2497,"_",V2497))</f>
        <v>FINES_R05</v>
      </c>
      <c r="X2497" s="42">
        <v>0.41299999999999998</v>
      </c>
    </row>
    <row r="2498" spans="1:24">
      <c r="A2498" s="21" t="s">
        <v>5100</v>
      </c>
      <c r="B2498" t="s">
        <v>257</v>
      </c>
      <c r="C2498" t="s">
        <v>2337</v>
      </c>
      <c r="D2498" t="s">
        <v>2338</v>
      </c>
      <c r="E2498" s="7" t="s">
        <v>198</v>
      </c>
      <c r="F2498" s="7" t="s">
        <v>198</v>
      </c>
      <c r="G2498" s="7" t="s">
        <v>198</v>
      </c>
      <c r="H2498" s="7" t="s">
        <v>20</v>
      </c>
      <c r="I2498" s="7" t="s">
        <v>5102</v>
      </c>
      <c r="J2498" s="7" t="s">
        <v>21</v>
      </c>
      <c r="L2498" t="s">
        <v>3926</v>
      </c>
      <c r="M2498" s="7" t="s">
        <v>22</v>
      </c>
      <c r="N2498" s="7" t="s">
        <v>23</v>
      </c>
      <c r="O2498" s="7" t="s">
        <v>27</v>
      </c>
      <c r="P2498" s="7" t="s">
        <v>5101</v>
      </c>
      <c r="Q2498" s="26">
        <v>22</v>
      </c>
      <c r="R2498" s="26">
        <v>1</v>
      </c>
      <c r="S2498" s="40">
        <v>1</v>
      </c>
      <c r="T2498" s="7"/>
      <c r="U2498" s="7" t="s">
        <v>2951</v>
      </c>
      <c r="V2498" s="7" t="str">
        <f>+IF(U2498="","",IF(U2498="FINES",CONCATENATE("R",IF(OR(B2498="16",B2498="21",B2498="22",B2498="23"),"16212223",IF(OR(B2498="15",B2498="17",B2498="24",B2498="25"),"15172425",B2498))),IF(U2498="CEBAS","UNICO",IF(VALUE(B2498)&lt;=11,"AMBA","INTERIOR"))))</f>
        <v>R05</v>
      </c>
      <c r="W2498" s="38" t="str">
        <f>+IF(U2498="","-",CONCATENATE(U2498,"_",V2498))</f>
        <v>FINES_R05</v>
      </c>
      <c r="X2498" s="42">
        <v>0.41399999999999998</v>
      </c>
    </row>
    <row r="2499" spans="1:24">
      <c r="A2499" s="21" t="s">
        <v>5100</v>
      </c>
      <c r="B2499" t="s">
        <v>257</v>
      </c>
      <c r="C2499" t="s">
        <v>2337</v>
      </c>
      <c r="D2499" t="s">
        <v>2338</v>
      </c>
      <c r="E2499" s="7" t="s">
        <v>198</v>
      </c>
      <c r="F2499" s="7" t="s">
        <v>198</v>
      </c>
      <c r="G2499" s="7" t="s">
        <v>198</v>
      </c>
      <c r="H2499" s="7" t="s">
        <v>20</v>
      </c>
      <c r="I2499" s="7" t="s">
        <v>5102</v>
      </c>
      <c r="J2499" s="7" t="s">
        <v>21</v>
      </c>
      <c r="L2499" t="s">
        <v>3916</v>
      </c>
      <c r="M2499" s="7" t="s">
        <v>22</v>
      </c>
      <c r="N2499" s="7" t="s">
        <v>23</v>
      </c>
      <c r="O2499" s="7" t="s">
        <v>27</v>
      </c>
      <c r="P2499" s="7" t="s">
        <v>5101</v>
      </c>
      <c r="Q2499" s="26">
        <v>181</v>
      </c>
      <c r="R2499" s="26">
        <v>7</v>
      </c>
      <c r="S2499" s="40">
        <v>1</v>
      </c>
      <c r="T2499" s="7"/>
      <c r="U2499" s="7" t="s">
        <v>2951</v>
      </c>
      <c r="V2499" s="7" t="str">
        <f>+IF(U2499="","",IF(U2499="FINES",CONCATENATE("R",IF(OR(B2499="16",B2499="21",B2499="22",B2499="23"),"16212223",IF(OR(B2499="15",B2499="17",B2499="24",B2499="25"),"15172425",B2499))),IF(U2499="CEBAS","UNICO",IF(VALUE(B2499)&lt;=11,"AMBA","INTERIOR"))))</f>
        <v>R05</v>
      </c>
      <c r="W2499" s="38" t="str">
        <f>+IF(U2499="","-",CONCATENATE(U2499,"_",V2499))</f>
        <v>FINES_R05</v>
      </c>
      <c r="X2499" s="42">
        <v>0.41899999999999998</v>
      </c>
    </row>
    <row r="2500" spans="1:24">
      <c r="A2500" s="21" t="s">
        <v>5100</v>
      </c>
      <c r="B2500" t="s">
        <v>257</v>
      </c>
      <c r="C2500" t="s">
        <v>253</v>
      </c>
      <c r="D2500" t="s">
        <v>2759</v>
      </c>
      <c r="E2500" s="7" t="s">
        <v>198</v>
      </c>
      <c r="F2500" s="7" t="s">
        <v>198</v>
      </c>
      <c r="G2500" s="7" t="s">
        <v>198</v>
      </c>
      <c r="H2500" s="7" t="s">
        <v>20</v>
      </c>
      <c r="I2500" s="7" t="s">
        <v>5102</v>
      </c>
      <c r="J2500" s="7" t="s">
        <v>21</v>
      </c>
      <c r="L2500" t="s">
        <v>3895</v>
      </c>
      <c r="M2500" s="7" t="s">
        <v>22</v>
      </c>
      <c r="N2500" s="7" t="s">
        <v>23</v>
      </c>
      <c r="O2500" s="7" t="s">
        <v>27</v>
      </c>
      <c r="P2500" s="7" t="s">
        <v>5101</v>
      </c>
      <c r="Q2500" s="26">
        <v>93</v>
      </c>
      <c r="R2500" s="26">
        <v>5</v>
      </c>
      <c r="S2500" s="40">
        <v>1</v>
      </c>
      <c r="T2500" s="7"/>
      <c r="U2500" s="7" t="s">
        <v>2951</v>
      </c>
      <c r="V2500" s="7" t="str">
        <f>+IF(U2500="","",IF(U2500="FINES",CONCATENATE("R",IF(OR(B2500="16",B2500="21",B2500="22",B2500="23"),"16212223",IF(OR(B2500="15",B2500="17",B2500="24",B2500="25"),"15172425",B2500))),IF(U2500="CEBAS","UNICO",IF(VALUE(B2500)&lt;=11,"AMBA","INTERIOR"))))</f>
        <v>R05</v>
      </c>
      <c r="W2500" s="38" t="str">
        <f>+IF(U2500="","-",CONCATENATE(U2500,"_",V2500))</f>
        <v>FINES_R05</v>
      </c>
      <c r="X2500" s="42">
        <v>0.42499999999999999</v>
      </c>
    </row>
    <row r="2501" spans="1:24">
      <c r="A2501" s="21" t="s">
        <v>5100</v>
      </c>
      <c r="B2501" t="s">
        <v>257</v>
      </c>
      <c r="C2501" t="s">
        <v>415</v>
      </c>
      <c r="D2501" t="s">
        <v>2770</v>
      </c>
      <c r="E2501" s="7" t="s">
        <v>198</v>
      </c>
      <c r="F2501" s="7" t="s">
        <v>198</v>
      </c>
      <c r="G2501" s="7" t="s">
        <v>198</v>
      </c>
      <c r="H2501" s="7" t="s">
        <v>20</v>
      </c>
      <c r="I2501" s="7" t="s">
        <v>5102</v>
      </c>
      <c r="J2501" s="7" t="s">
        <v>21</v>
      </c>
      <c r="L2501" t="s">
        <v>3867</v>
      </c>
      <c r="M2501" s="7" t="s">
        <v>22</v>
      </c>
      <c r="N2501" s="7" t="s">
        <v>23</v>
      </c>
      <c r="O2501" s="7" t="s">
        <v>27</v>
      </c>
      <c r="P2501" s="7" t="s">
        <v>5101</v>
      </c>
      <c r="Q2501" s="26">
        <v>7</v>
      </c>
      <c r="R2501" s="26">
        <v>1</v>
      </c>
      <c r="S2501" s="40">
        <v>1</v>
      </c>
      <c r="T2501" s="7"/>
      <c r="U2501" s="7" t="s">
        <v>2951</v>
      </c>
      <c r="V2501" s="7" t="str">
        <f>+IF(U2501="","",IF(U2501="FINES",CONCATENATE("R",IF(OR(B2501="16",B2501="21",B2501="22",B2501="23"),"16212223",IF(OR(B2501="15",B2501="17",B2501="24",B2501="25"),"15172425",B2501))),IF(U2501="CEBAS","UNICO",IF(VALUE(B2501)&lt;=11,"AMBA","INTERIOR"))))</f>
        <v>R05</v>
      </c>
      <c r="W2501" s="38" t="str">
        <f>+IF(U2501="","-",CONCATENATE(U2501,"_",V2501))</f>
        <v>FINES_R05</v>
      </c>
      <c r="X2501" s="42">
        <v>0.42699999999999999</v>
      </c>
    </row>
    <row r="2502" spans="1:24">
      <c r="A2502" s="21" t="s">
        <v>5100</v>
      </c>
      <c r="B2502" t="s">
        <v>257</v>
      </c>
      <c r="C2502" t="s">
        <v>415</v>
      </c>
      <c r="D2502" t="s">
        <v>2770</v>
      </c>
      <c r="E2502" s="7" t="s">
        <v>198</v>
      </c>
      <c r="F2502" s="7" t="s">
        <v>198</v>
      </c>
      <c r="G2502" s="7" t="s">
        <v>198</v>
      </c>
      <c r="H2502" s="7" t="s">
        <v>20</v>
      </c>
      <c r="I2502" s="7" t="s">
        <v>5102</v>
      </c>
      <c r="J2502" s="7" t="s">
        <v>21</v>
      </c>
      <c r="L2502" t="s">
        <v>3881</v>
      </c>
      <c r="M2502" s="7" t="s">
        <v>22</v>
      </c>
      <c r="N2502" s="7" t="s">
        <v>23</v>
      </c>
      <c r="O2502" s="7" t="s">
        <v>27</v>
      </c>
      <c r="P2502" s="7" t="s">
        <v>5101</v>
      </c>
      <c r="Q2502" s="26">
        <v>51</v>
      </c>
      <c r="R2502" s="26">
        <v>3</v>
      </c>
      <c r="S2502" s="40">
        <v>1</v>
      </c>
      <c r="T2502" s="7"/>
      <c r="U2502" s="7" t="s">
        <v>2951</v>
      </c>
      <c r="V2502" s="7" t="str">
        <f>+IF(U2502="","",IF(U2502="FINES",CONCATENATE("R",IF(OR(B2502="16",B2502="21",B2502="22",B2502="23"),"16212223",IF(OR(B2502="15",B2502="17",B2502="24",B2502="25"),"15172425",B2502))),IF(U2502="CEBAS","UNICO",IF(VALUE(B2502)&lt;=11,"AMBA","INTERIOR"))))</f>
        <v>R05</v>
      </c>
      <c r="W2502" s="38" t="str">
        <f>+IF(U2502="","-",CONCATENATE(U2502,"_",V2502))</f>
        <v>FINES_R05</v>
      </c>
      <c r="X2502" s="42">
        <v>0.438</v>
      </c>
    </row>
    <row r="2503" spans="1:24">
      <c r="A2503" s="21" t="s">
        <v>5100</v>
      </c>
      <c r="B2503" t="s">
        <v>257</v>
      </c>
      <c r="C2503" t="s">
        <v>415</v>
      </c>
      <c r="D2503" t="s">
        <v>2770</v>
      </c>
      <c r="E2503" s="7" t="s">
        <v>198</v>
      </c>
      <c r="F2503" s="7" t="s">
        <v>198</v>
      </c>
      <c r="G2503" s="7" t="s">
        <v>198</v>
      </c>
      <c r="H2503" s="7" t="s">
        <v>20</v>
      </c>
      <c r="I2503" s="7" t="s">
        <v>5102</v>
      </c>
      <c r="J2503" s="7" t="s">
        <v>21</v>
      </c>
      <c r="L2503" t="s">
        <v>3888</v>
      </c>
      <c r="M2503" s="7" t="s">
        <v>22</v>
      </c>
      <c r="N2503" s="7" t="s">
        <v>23</v>
      </c>
      <c r="O2503" s="7" t="s">
        <v>27</v>
      </c>
      <c r="P2503" s="7" t="s">
        <v>5101</v>
      </c>
      <c r="Q2503" s="26">
        <v>47</v>
      </c>
      <c r="R2503" s="26">
        <v>2</v>
      </c>
      <c r="S2503" s="40">
        <v>1</v>
      </c>
      <c r="T2503" s="7"/>
      <c r="U2503" s="7" t="s">
        <v>2951</v>
      </c>
      <c r="V2503" s="7" t="str">
        <f>+IF(U2503="","",IF(U2503="FINES",CONCATENATE("R",IF(OR(B2503="16",B2503="21",B2503="22",B2503="23"),"16212223",IF(OR(B2503="15",B2503="17",B2503="24",B2503="25"),"15172425",B2503))),IF(U2503="CEBAS","UNICO",IF(VALUE(B2503)&lt;=11,"AMBA","INTERIOR"))))</f>
        <v>R05</v>
      </c>
      <c r="W2503" s="38" t="str">
        <f>+IF(U2503="","-",CONCATENATE(U2503,"_",V2503))</f>
        <v>FINES_R05</v>
      </c>
      <c r="X2503" s="42">
        <v>0.442</v>
      </c>
    </row>
    <row r="2504" spans="1:24">
      <c r="A2504" s="21" t="s">
        <v>5100</v>
      </c>
      <c r="B2504" t="s">
        <v>257</v>
      </c>
      <c r="C2504" t="s">
        <v>2337</v>
      </c>
      <c r="D2504" t="s">
        <v>2338</v>
      </c>
      <c r="E2504" s="7" t="s">
        <v>198</v>
      </c>
      <c r="F2504" s="7" t="s">
        <v>198</v>
      </c>
      <c r="G2504" s="7" t="s">
        <v>198</v>
      </c>
      <c r="H2504" s="7" t="s">
        <v>20</v>
      </c>
      <c r="I2504" s="7" t="s">
        <v>5102</v>
      </c>
      <c r="J2504" s="7" t="s">
        <v>21</v>
      </c>
      <c r="L2504" t="s">
        <v>3914</v>
      </c>
      <c r="M2504" s="7" t="s">
        <v>22</v>
      </c>
      <c r="N2504" s="7" t="s">
        <v>23</v>
      </c>
      <c r="O2504" s="7" t="s">
        <v>27</v>
      </c>
      <c r="P2504" s="7" t="s">
        <v>5101</v>
      </c>
      <c r="Q2504" s="26">
        <v>39</v>
      </c>
      <c r="R2504" s="26">
        <v>2</v>
      </c>
      <c r="S2504" s="40">
        <v>1</v>
      </c>
      <c r="T2504" s="7"/>
      <c r="U2504" s="7" t="s">
        <v>2951</v>
      </c>
      <c r="V2504" s="7" t="str">
        <f>+IF(U2504="","",IF(U2504="FINES",CONCATENATE("R",IF(OR(B2504="16",B2504="21",B2504="22",B2504="23"),"16212223",IF(OR(B2504="15",B2504="17",B2504="24",B2504="25"),"15172425",B2504))),IF(U2504="CEBAS","UNICO",IF(VALUE(B2504)&lt;=11,"AMBA","INTERIOR"))))</f>
        <v>R05</v>
      </c>
      <c r="W2504" s="38" t="str">
        <f>+IF(U2504="","-",CONCATENATE(U2504,"_",V2504))</f>
        <v>FINES_R05</v>
      </c>
      <c r="X2504" s="42">
        <v>0.44800000000000001</v>
      </c>
    </row>
    <row r="2505" spans="1:24">
      <c r="A2505" s="21" t="s">
        <v>5100</v>
      </c>
      <c r="B2505" t="s">
        <v>257</v>
      </c>
      <c r="C2505" t="s">
        <v>254</v>
      </c>
      <c r="D2505" t="s">
        <v>256</v>
      </c>
      <c r="E2505" s="7" t="s">
        <v>198</v>
      </c>
      <c r="F2505" s="7" t="s">
        <v>198</v>
      </c>
      <c r="G2505" s="7" t="s">
        <v>198</v>
      </c>
      <c r="H2505" s="7" t="s">
        <v>20</v>
      </c>
      <c r="I2505" s="7" t="s">
        <v>5102</v>
      </c>
      <c r="J2505" s="7" t="s">
        <v>21</v>
      </c>
      <c r="L2505" t="s">
        <v>3774</v>
      </c>
      <c r="M2505" s="7" t="s">
        <v>22</v>
      </c>
      <c r="N2505" s="7" t="s">
        <v>23</v>
      </c>
      <c r="O2505" s="7" t="s">
        <v>27</v>
      </c>
      <c r="P2505" s="7" t="s">
        <v>5101</v>
      </c>
      <c r="Q2505" s="26">
        <v>186</v>
      </c>
      <c r="R2505" s="26">
        <v>7</v>
      </c>
      <c r="S2505" s="40">
        <v>1</v>
      </c>
      <c r="T2505" s="7"/>
      <c r="U2505" s="7" t="s">
        <v>2951</v>
      </c>
      <c r="V2505" s="7" t="str">
        <f>+IF(U2505="","",IF(U2505="FINES",CONCATENATE("R",IF(OR(B2505="16",B2505="21",B2505="22",B2505="23"),"16212223",IF(OR(B2505="15",B2505="17",B2505="24",B2505="25"),"15172425",B2505))),IF(U2505="CEBAS","UNICO",IF(VALUE(B2505)&lt;=11,"AMBA","INTERIOR"))))</f>
        <v>R05</v>
      </c>
      <c r="W2505" s="38" t="str">
        <f>+IF(U2505="","-",CONCATENATE(U2505,"_",V2505))</f>
        <v>FINES_R05</v>
      </c>
      <c r="X2505" s="42">
        <v>0.45400000000000001</v>
      </c>
    </row>
    <row r="2506" spans="1:24">
      <c r="A2506" s="21" t="s">
        <v>5100</v>
      </c>
      <c r="B2506" t="s">
        <v>257</v>
      </c>
      <c r="C2506" t="s">
        <v>254</v>
      </c>
      <c r="D2506" t="s">
        <v>256</v>
      </c>
      <c r="E2506" s="7" t="s">
        <v>198</v>
      </c>
      <c r="F2506" s="7" t="s">
        <v>198</v>
      </c>
      <c r="G2506" s="7" t="s">
        <v>198</v>
      </c>
      <c r="H2506" s="7" t="s">
        <v>20</v>
      </c>
      <c r="I2506" s="7" t="s">
        <v>5102</v>
      </c>
      <c r="J2506" s="7" t="s">
        <v>21</v>
      </c>
      <c r="L2506" t="s">
        <v>3773</v>
      </c>
      <c r="M2506" s="7" t="s">
        <v>22</v>
      </c>
      <c r="N2506" s="7" t="s">
        <v>23</v>
      </c>
      <c r="O2506" s="7" t="s">
        <v>27</v>
      </c>
      <c r="P2506" s="7" t="s">
        <v>5101</v>
      </c>
      <c r="Q2506" s="26">
        <v>42</v>
      </c>
      <c r="R2506" s="26">
        <v>2</v>
      </c>
      <c r="S2506" s="40">
        <v>1</v>
      </c>
      <c r="T2506" s="7"/>
      <c r="U2506" s="7" t="s">
        <v>2951</v>
      </c>
      <c r="V2506" s="7" t="str">
        <f>+IF(U2506="","",IF(U2506="FINES",CONCATENATE("R",IF(OR(B2506="16",B2506="21",B2506="22",B2506="23"),"16212223",IF(OR(B2506="15",B2506="17",B2506="24",B2506="25"),"15172425",B2506))),IF(U2506="CEBAS","UNICO",IF(VALUE(B2506)&lt;=11,"AMBA","INTERIOR"))))</f>
        <v>R05</v>
      </c>
      <c r="W2506" s="38" t="str">
        <f>+IF(U2506="","-",CONCATENATE(U2506,"_",V2506))</f>
        <v>FINES_R05</v>
      </c>
      <c r="X2506" s="42">
        <v>0.45500000000000002</v>
      </c>
    </row>
    <row r="2507" spans="1:24">
      <c r="A2507" s="21" t="s">
        <v>5100</v>
      </c>
      <c r="B2507" t="s">
        <v>257</v>
      </c>
      <c r="C2507" t="s">
        <v>254</v>
      </c>
      <c r="D2507" t="s">
        <v>256</v>
      </c>
      <c r="E2507" s="7" t="s">
        <v>198</v>
      </c>
      <c r="F2507" s="7" t="s">
        <v>198</v>
      </c>
      <c r="G2507" s="7" t="s">
        <v>198</v>
      </c>
      <c r="H2507" s="7" t="s">
        <v>20</v>
      </c>
      <c r="I2507" s="7" t="s">
        <v>5102</v>
      </c>
      <c r="J2507" s="7" t="s">
        <v>21</v>
      </c>
      <c r="L2507" t="s">
        <v>3772</v>
      </c>
      <c r="M2507" s="7" t="s">
        <v>22</v>
      </c>
      <c r="N2507" s="7" t="s">
        <v>23</v>
      </c>
      <c r="O2507" s="7" t="s">
        <v>27</v>
      </c>
      <c r="P2507" s="7" t="s">
        <v>5101</v>
      </c>
      <c r="Q2507" s="26">
        <v>57</v>
      </c>
      <c r="R2507" s="26">
        <v>3</v>
      </c>
      <c r="S2507" s="40">
        <v>1</v>
      </c>
      <c r="T2507" s="7"/>
      <c r="U2507" s="7" t="s">
        <v>2951</v>
      </c>
      <c r="V2507" s="7" t="str">
        <f>+IF(U2507="","",IF(U2507="FINES",CONCATENATE("R",IF(OR(B2507="16",B2507="21",B2507="22",B2507="23"),"16212223",IF(OR(B2507="15",B2507="17",B2507="24",B2507="25"),"15172425",B2507))),IF(U2507="CEBAS","UNICO",IF(VALUE(B2507)&lt;=11,"AMBA","INTERIOR"))))</f>
        <v>R05</v>
      </c>
      <c r="W2507" s="38" t="str">
        <f>+IF(U2507="","-",CONCATENATE(U2507,"_",V2507))</f>
        <v>FINES_R05</v>
      </c>
      <c r="X2507" s="42">
        <v>0.45500000000000002</v>
      </c>
    </row>
    <row r="2508" spans="1:24">
      <c r="A2508" s="21" t="s">
        <v>5100</v>
      </c>
      <c r="B2508" t="s">
        <v>257</v>
      </c>
      <c r="C2508" t="s">
        <v>254</v>
      </c>
      <c r="D2508" t="s">
        <v>256</v>
      </c>
      <c r="E2508" s="7" t="s">
        <v>198</v>
      </c>
      <c r="F2508" s="7" t="s">
        <v>198</v>
      </c>
      <c r="G2508" s="7" t="s">
        <v>198</v>
      </c>
      <c r="H2508" s="7" t="s">
        <v>20</v>
      </c>
      <c r="I2508" s="7" t="s">
        <v>5102</v>
      </c>
      <c r="J2508" s="7" t="s">
        <v>21</v>
      </c>
      <c r="L2508" t="s">
        <v>3826</v>
      </c>
      <c r="M2508" s="7" t="s">
        <v>22</v>
      </c>
      <c r="N2508" s="7" t="s">
        <v>23</v>
      </c>
      <c r="O2508" s="7" t="s">
        <v>27</v>
      </c>
      <c r="P2508" s="7" t="s">
        <v>5101</v>
      </c>
      <c r="Q2508" s="26">
        <v>49</v>
      </c>
      <c r="R2508" s="26">
        <v>1</v>
      </c>
      <c r="S2508" s="40">
        <v>1</v>
      </c>
      <c r="T2508" s="7"/>
      <c r="U2508" s="7" t="s">
        <v>2951</v>
      </c>
      <c r="V2508" s="7" t="str">
        <f>+IF(U2508="","",IF(U2508="FINES",CONCATENATE("R",IF(OR(B2508="16",B2508="21",B2508="22",B2508="23"),"16212223",IF(OR(B2508="15",B2508="17",B2508="24",B2508="25"),"15172425",B2508))),IF(U2508="CEBAS","UNICO",IF(VALUE(B2508)&lt;=11,"AMBA","INTERIOR"))))</f>
        <v>R05</v>
      </c>
      <c r="W2508" s="38" t="str">
        <f>+IF(U2508="","-",CONCATENATE(U2508,"_",V2508))</f>
        <v>FINES_R05</v>
      </c>
      <c r="X2508" s="42">
        <v>0.45900000000000002</v>
      </c>
    </row>
    <row r="2509" spans="1:24">
      <c r="A2509" s="21" t="s">
        <v>5100</v>
      </c>
      <c r="B2509" t="s">
        <v>257</v>
      </c>
      <c r="C2509" t="s">
        <v>772</v>
      </c>
      <c r="D2509" t="s">
        <v>773</v>
      </c>
      <c r="E2509" s="7" t="s">
        <v>198</v>
      </c>
      <c r="F2509" s="7" t="s">
        <v>198</v>
      </c>
      <c r="G2509" s="7" t="s">
        <v>198</v>
      </c>
      <c r="H2509" s="7" t="s">
        <v>20</v>
      </c>
      <c r="I2509" s="7" t="s">
        <v>5102</v>
      </c>
      <c r="J2509" s="7" t="s">
        <v>21</v>
      </c>
      <c r="L2509" t="s">
        <v>3860</v>
      </c>
      <c r="M2509" s="7" t="s">
        <v>22</v>
      </c>
      <c r="N2509" s="7" t="s">
        <v>23</v>
      </c>
      <c r="O2509" s="7" t="s">
        <v>27</v>
      </c>
      <c r="P2509" s="7" t="s">
        <v>5101</v>
      </c>
      <c r="Q2509" s="26">
        <v>23</v>
      </c>
      <c r="R2509" s="26">
        <v>1</v>
      </c>
      <c r="S2509" s="40">
        <v>1</v>
      </c>
      <c r="T2509" s="7"/>
      <c r="U2509" s="7" t="s">
        <v>2951</v>
      </c>
      <c r="V2509" s="7" t="str">
        <f>+IF(U2509="","",IF(U2509="FINES",CONCATENATE("R",IF(OR(B2509="16",B2509="21",B2509="22",B2509="23"),"16212223",IF(OR(B2509="15",B2509="17",B2509="24",B2509="25"),"15172425",B2509))),IF(U2509="CEBAS","UNICO",IF(VALUE(B2509)&lt;=11,"AMBA","INTERIOR"))))</f>
        <v>R05</v>
      </c>
      <c r="W2509" s="38" t="str">
        <f>+IF(U2509="","-",CONCATENATE(U2509,"_",V2509))</f>
        <v>FINES_R05</v>
      </c>
      <c r="X2509" s="42">
        <v>0.46700000000000003</v>
      </c>
    </row>
    <row r="2510" spans="1:24">
      <c r="A2510" s="21" t="s">
        <v>5100</v>
      </c>
      <c r="B2510" t="s">
        <v>257</v>
      </c>
      <c r="C2510" t="s">
        <v>253</v>
      </c>
      <c r="D2510" t="s">
        <v>2759</v>
      </c>
      <c r="E2510" s="7" t="s">
        <v>198</v>
      </c>
      <c r="F2510" s="7" t="s">
        <v>198</v>
      </c>
      <c r="G2510" s="7" t="s">
        <v>198</v>
      </c>
      <c r="H2510" s="7" t="s">
        <v>20</v>
      </c>
      <c r="I2510" s="7" t="s">
        <v>5102</v>
      </c>
      <c r="J2510" s="7" t="s">
        <v>21</v>
      </c>
      <c r="L2510" t="s">
        <v>3898</v>
      </c>
      <c r="M2510" s="7" t="s">
        <v>22</v>
      </c>
      <c r="N2510" s="7" t="s">
        <v>23</v>
      </c>
      <c r="O2510" s="7" t="s">
        <v>27</v>
      </c>
      <c r="P2510" s="7" t="s">
        <v>5101</v>
      </c>
      <c r="Q2510" s="26">
        <v>126</v>
      </c>
      <c r="R2510" s="26">
        <v>5</v>
      </c>
      <c r="S2510" s="40">
        <v>1</v>
      </c>
      <c r="T2510" s="7"/>
      <c r="U2510" s="7" t="s">
        <v>2951</v>
      </c>
      <c r="V2510" s="7" t="str">
        <f>+IF(U2510="","",IF(U2510="FINES",CONCATENATE("R",IF(OR(B2510="16",B2510="21",B2510="22",B2510="23"),"16212223",IF(OR(B2510="15",B2510="17",B2510="24",B2510="25"),"15172425",B2510))),IF(U2510="CEBAS","UNICO",IF(VALUE(B2510)&lt;=11,"AMBA","INTERIOR"))))</f>
        <v>R05</v>
      </c>
      <c r="W2510" s="38" t="str">
        <f>+IF(U2510="","-",CONCATENATE(U2510,"_",V2510))</f>
        <v>FINES_R05</v>
      </c>
      <c r="X2510" s="42">
        <v>0.47</v>
      </c>
    </row>
    <row r="2511" spans="1:24">
      <c r="A2511" s="21" t="s">
        <v>5100</v>
      </c>
      <c r="B2511" t="s">
        <v>257</v>
      </c>
      <c r="C2511" t="s">
        <v>254</v>
      </c>
      <c r="D2511" t="s">
        <v>256</v>
      </c>
      <c r="E2511" s="7" t="s">
        <v>198</v>
      </c>
      <c r="F2511" s="7" t="s">
        <v>198</v>
      </c>
      <c r="G2511" s="7" t="s">
        <v>198</v>
      </c>
      <c r="H2511" s="7" t="s">
        <v>20</v>
      </c>
      <c r="I2511" s="7" t="s">
        <v>5102</v>
      </c>
      <c r="J2511" s="7" t="s">
        <v>21</v>
      </c>
      <c r="L2511" t="s">
        <v>3808</v>
      </c>
      <c r="M2511" s="7" t="s">
        <v>22</v>
      </c>
      <c r="N2511" s="7" t="s">
        <v>23</v>
      </c>
      <c r="O2511" s="7" t="s">
        <v>27</v>
      </c>
      <c r="P2511" s="7" t="s">
        <v>5101</v>
      </c>
      <c r="Q2511" s="26">
        <v>39</v>
      </c>
      <c r="R2511" s="26">
        <v>2</v>
      </c>
      <c r="S2511" s="40">
        <v>1</v>
      </c>
      <c r="T2511" s="7"/>
      <c r="U2511" s="7" t="s">
        <v>2951</v>
      </c>
      <c r="V2511" s="7" t="str">
        <f>+IF(U2511="","",IF(U2511="FINES",CONCATENATE("R",IF(OR(B2511="16",B2511="21",B2511="22",B2511="23"),"16212223",IF(OR(B2511="15",B2511="17",B2511="24",B2511="25"),"15172425",B2511))),IF(U2511="CEBAS","UNICO",IF(VALUE(B2511)&lt;=11,"AMBA","INTERIOR"))))</f>
        <v>R05</v>
      </c>
      <c r="W2511" s="38" t="str">
        <f>+IF(U2511="","-",CONCATENATE(U2511,"_",V2511))</f>
        <v>FINES_R05</v>
      </c>
      <c r="X2511" s="42">
        <v>0.47399999999999998</v>
      </c>
    </row>
    <row r="2512" spans="1:24">
      <c r="A2512" s="21" t="s">
        <v>5100</v>
      </c>
      <c r="B2512" t="s">
        <v>257</v>
      </c>
      <c r="C2512" t="s">
        <v>254</v>
      </c>
      <c r="D2512" t="s">
        <v>256</v>
      </c>
      <c r="E2512" s="7" t="s">
        <v>198</v>
      </c>
      <c r="F2512" s="7" t="s">
        <v>198</v>
      </c>
      <c r="G2512" s="7" t="s">
        <v>198</v>
      </c>
      <c r="H2512" s="7" t="s">
        <v>20</v>
      </c>
      <c r="I2512" s="7" t="s">
        <v>5102</v>
      </c>
      <c r="J2512" s="7" t="s">
        <v>21</v>
      </c>
      <c r="L2512" t="s">
        <v>3810</v>
      </c>
      <c r="M2512" s="7" t="s">
        <v>22</v>
      </c>
      <c r="N2512" s="7" t="s">
        <v>23</v>
      </c>
      <c r="O2512" s="7" t="s">
        <v>27</v>
      </c>
      <c r="P2512" s="7" t="s">
        <v>5101</v>
      </c>
      <c r="Q2512" s="26">
        <v>17</v>
      </c>
      <c r="R2512" s="26">
        <v>1</v>
      </c>
      <c r="S2512" s="40">
        <v>1</v>
      </c>
      <c r="T2512" s="7"/>
      <c r="U2512" s="7" t="s">
        <v>2951</v>
      </c>
      <c r="V2512" s="7" t="str">
        <f>+IF(U2512="","",IF(U2512="FINES",CONCATENATE("R",IF(OR(B2512="16",B2512="21",B2512="22",B2512="23"),"16212223",IF(OR(B2512="15",B2512="17",B2512="24",B2512="25"),"15172425",B2512))),IF(U2512="CEBAS","UNICO",IF(VALUE(B2512)&lt;=11,"AMBA","INTERIOR"))))</f>
        <v>R05</v>
      </c>
      <c r="W2512" s="38" t="str">
        <f>+IF(U2512="","-",CONCATENATE(U2512,"_",V2512))</f>
        <v>FINES_R05</v>
      </c>
      <c r="X2512" s="42">
        <v>0.48499999999999999</v>
      </c>
    </row>
    <row r="2513" spans="1:24">
      <c r="A2513" s="21" t="s">
        <v>5100</v>
      </c>
      <c r="B2513" t="s">
        <v>257</v>
      </c>
      <c r="C2513" t="s">
        <v>772</v>
      </c>
      <c r="D2513" t="s">
        <v>773</v>
      </c>
      <c r="E2513" s="7" t="s">
        <v>198</v>
      </c>
      <c r="F2513" s="7" t="s">
        <v>198</v>
      </c>
      <c r="G2513" s="7" t="s">
        <v>198</v>
      </c>
      <c r="H2513" s="7" t="s">
        <v>20</v>
      </c>
      <c r="I2513" s="7" t="s">
        <v>5102</v>
      </c>
      <c r="J2513" s="7" t="s">
        <v>21</v>
      </c>
      <c r="L2513" t="s">
        <v>3852</v>
      </c>
      <c r="M2513" s="7" t="s">
        <v>22</v>
      </c>
      <c r="N2513" s="7" t="s">
        <v>23</v>
      </c>
      <c r="O2513" s="7" t="s">
        <v>27</v>
      </c>
      <c r="P2513" s="7" t="s">
        <v>5101</v>
      </c>
      <c r="Q2513" s="26">
        <v>13</v>
      </c>
      <c r="R2513" s="26">
        <v>1</v>
      </c>
      <c r="S2513" s="40">
        <v>1</v>
      </c>
      <c r="T2513" s="7"/>
      <c r="U2513" s="7" t="s">
        <v>2951</v>
      </c>
      <c r="V2513" s="7" t="str">
        <f>+IF(U2513="","",IF(U2513="FINES",CONCATENATE("R",IF(OR(B2513="16",B2513="21",B2513="22",B2513="23"),"16212223",IF(OR(B2513="15",B2513="17",B2513="24",B2513="25"),"15172425",B2513))),IF(U2513="CEBAS","UNICO",IF(VALUE(B2513)&lt;=11,"AMBA","INTERIOR"))))</f>
        <v>R05</v>
      </c>
      <c r="W2513" s="38" t="str">
        <f>+IF(U2513="","-",CONCATENATE(U2513,"_",V2513))</f>
        <v>FINES_R05</v>
      </c>
      <c r="X2513" s="42">
        <v>0.48799999999999999</v>
      </c>
    </row>
    <row r="2514" spans="1:24">
      <c r="A2514" s="21" t="s">
        <v>5100</v>
      </c>
      <c r="B2514" t="s">
        <v>257</v>
      </c>
      <c r="C2514" t="s">
        <v>253</v>
      </c>
      <c r="D2514" t="s">
        <v>2759</v>
      </c>
      <c r="E2514" s="7" t="s">
        <v>198</v>
      </c>
      <c r="F2514" s="7" t="s">
        <v>198</v>
      </c>
      <c r="G2514" s="7" t="s">
        <v>198</v>
      </c>
      <c r="H2514" s="7" t="s">
        <v>20</v>
      </c>
      <c r="I2514" s="7" t="s">
        <v>5102</v>
      </c>
      <c r="J2514" s="7" t="s">
        <v>21</v>
      </c>
      <c r="L2514" t="s">
        <v>3910</v>
      </c>
      <c r="M2514" s="7" t="s">
        <v>22</v>
      </c>
      <c r="N2514" s="7" t="s">
        <v>23</v>
      </c>
      <c r="O2514" s="7" t="s">
        <v>27</v>
      </c>
      <c r="P2514" s="7" t="s">
        <v>5101</v>
      </c>
      <c r="Q2514" s="26">
        <v>72</v>
      </c>
      <c r="R2514" s="26">
        <v>4</v>
      </c>
      <c r="S2514" s="40">
        <v>1</v>
      </c>
      <c r="T2514" s="7"/>
      <c r="U2514" s="7" t="s">
        <v>2951</v>
      </c>
      <c r="V2514" s="7" t="str">
        <f>+IF(U2514="","",IF(U2514="FINES",CONCATENATE("R",IF(OR(B2514="16",B2514="21",B2514="22",B2514="23"),"16212223",IF(OR(B2514="15",B2514="17",B2514="24",B2514="25"),"15172425",B2514))),IF(U2514="CEBAS","UNICO",IF(VALUE(B2514)&lt;=11,"AMBA","INTERIOR"))))</f>
        <v>R05</v>
      </c>
      <c r="W2514" s="38" t="str">
        <f>+IF(U2514="","-",CONCATENATE(U2514,"_",V2514))</f>
        <v>FINES_R05</v>
      </c>
      <c r="X2514" s="42">
        <v>0.501</v>
      </c>
    </row>
    <row r="2515" spans="1:24">
      <c r="A2515" s="21" t="s">
        <v>5100</v>
      </c>
      <c r="B2515" t="s">
        <v>257</v>
      </c>
      <c r="C2515" t="s">
        <v>415</v>
      </c>
      <c r="D2515" t="s">
        <v>2770</v>
      </c>
      <c r="E2515" s="7" t="s">
        <v>198</v>
      </c>
      <c r="F2515" s="7" t="s">
        <v>198</v>
      </c>
      <c r="G2515" s="7" t="s">
        <v>198</v>
      </c>
      <c r="H2515" s="7" t="s">
        <v>20</v>
      </c>
      <c r="I2515" s="7" t="s">
        <v>5102</v>
      </c>
      <c r="J2515" s="7" t="s">
        <v>21</v>
      </c>
      <c r="L2515" t="s">
        <v>3891</v>
      </c>
      <c r="M2515" s="7" t="s">
        <v>22</v>
      </c>
      <c r="N2515" s="7" t="s">
        <v>23</v>
      </c>
      <c r="O2515" s="7" t="s">
        <v>27</v>
      </c>
      <c r="P2515" s="7" t="s">
        <v>5101</v>
      </c>
      <c r="Q2515" s="26">
        <v>29</v>
      </c>
      <c r="R2515" s="26">
        <v>1</v>
      </c>
      <c r="S2515" s="40">
        <v>1</v>
      </c>
      <c r="T2515" s="7"/>
      <c r="U2515" s="7" t="s">
        <v>2951</v>
      </c>
      <c r="V2515" s="7" t="str">
        <f>+IF(U2515="","",IF(U2515="FINES",CONCATENATE("R",IF(OR(B2515="16",B2515="21",B2515="22",B2515="23"),"16212223",IF(OR(B2515="15",B2515="17",B2515="24",B2515="25"),"15172425",B2515))),IF(U2515="CEBAS","UNICO",IF(VALUE(B2515)&lt;=11,"AMBA","INTERIOR"))))</f>
        <v>R05</v>
      </c>
      <c r="W2515" s="38" t="str">
        <f>+IF(U2515="","-",CONCATENATE(U2515,"_",V2515))</f>
        <v>FINES_R05</v>
      </c>
      <c r="X2515" s="42">
        <v>0.502</v>
      </c>
    </row>
    <row r="2516" spans="1:24">
      <c r="A2516" s="21" t="s">
        <v>5100</v>
      </c>
      <c r="B2516" t="s">
        <v>257</v>
      </c>
      <c r="C2516" t="s">
        <v>254</v>
      </c>
      <c r="D2516" t="s">
        <v>256</v>
      </c>
      <c r="E2516" s="7" t="s">
        <v>198</v>
      </c>
      <c r="F2516" s="7" t="s">
        <v>198</v>
      </c>
      <c r="G2516" s="7" t="s">
        <v>198</v>
      </c>
      <c r="H2516" s="7" t="s">
        <v>20</v>
      </c>
      <c r="I2516" s="7" t="s">
        <v>5102</v>
      </c>
      <c r="J2516" s="7" t="s">
        <v>21</v>
      </c>
      <c r="L2516" t="s">
        <v>3722</v>
      </c>
      <c r="M2516" s="7" t="s">
        <v>22</v>
      </c>
      <c r="N2516" s="7" t="s">
        <v>23</v>
      </c>
      <c r="O2516" s="7" t="s">
        <v>27</v>
      </c>
      <c r="P2516" s="7" t="s">
        <v>5101</v>
      </c>
      <c r="Q2516" s="26">
        <v>65</v>
      </c>
      <c r="R2516" s="26">
        <v>3</v>
      </c>
      <c r="S2516" s="40">
        <v>1</v>
      </c>
      <c r="T2516" s="7"/>
      <c r="U2516" s="7" t="s">
        <v>2951</v>
      </c>
      <c r="V2516" s="7" t="str">
        <f>+IF(U2516="","",IF(U2516="FINES",CONCATENATE("R",IF(OR(B2516="16",B2516="21",B2516="22",B2516="23"),"16212223",IF(OR(B2516="15",B2516="17",B2516="24",B2516="25"),"15172425",B2516))),IF(U2516="CEBAS","UNICO",IF(VALUE(B2516)&lt;=11,"AMBA","INTERIOR"))))</f>
        <v>R05</v>
      </c>
      <c r="W2516" s="38" t="str">
        <f>+IF(U2516="","-",CONCATENATE(U2516,"_",V2516))</f>
        <v>FINES_R05</v>
      </c>
      <c r="X2516" s="42">
        <v>0.502</v>
      </c>
    </row>
    <row r="2517" spans="1:24">
      <c r="A2517" s="21" t="s">
        <v>5100</v>
      </c>
      <c r="B2517" t="s">
        <v>257</v>
      </c>
      <c r="C2517" t="s">
        <v>254</v>
      </c>
      <c r="D2517" t="s">
        <v>256</v>
      </c>
      <c r="E2517" s="7" t="s">
        <v>198</v>
      </c>
      <c r="F2517" s="7" t="s">
        <v>198</v>
      </c>
      <c r="G2517" s="7" t="s">
        <v>198</v>
      </c>
      <c r="H2517" s="7" t="s">
        <v>20</v>
      </c>
      <c r="I2517" s="7" t="s">
        <v>5102</v>
      </c>
      <c r="J2517" s="7" t="s">
        <v>21</v>
      </c>
      <c r="L2517" t="s">
        <v>3795</v>
      </c>
      <c r="M2517" s="7" t="s">
        <v>22</v>
      </c>
      <c r="N2517" s="7" t="s">
        <v>23</v>
      </c>
      <c r="O2517" s="7" t="s">
        <v>27</v>
      </c>
      <c r="P2517" s="7" t="s">
        <v>5101</v>
      </c>
      <c r="Q2517" s="26">
        <v>16</v>
      </c>
      <c r="R2517" s="26">
        <v>1</v>
      </c>
      <c r="S2517" s="40">
        <v>1</v>
      </c>
      <c r="T2517" s="7"/>
      <c r="U2517" s="7" t="s">
        <v>2951</v>
      </c>
      <c r="V2517" s="7" t="str">
        <f>+IF(U2517="","",IF(U2517="FINES",CONCATENATE("R",IF(OR(B2517="16",B2517="21",B2517="22",B2517="23"),"16212223",IF(OR(B2517="15",B2517="17",B2517="24",B2517="25"),"15172425",B2517))),IF(U2517="CEBAS","UNICO",IF(VALUE(B2517)&lt;=11,"AMBA","INTERIOR"))))</f>
        <v>R05</v>
      </c>
      <c r="W2517" s="38" t="str">
        <f>+IF(U2517="","-",CONCATENATE(U2517,"_",V2517))</f>
        <v>FINES_R05</v>
      </c>
      <c r="X2517" s="42">
        <v>0.504</v>
      </c>
    </row>
    <row r="2518" spans="1:24">
      <c r="A2518" s="21" t="s">
        <v>5100</v>
      </c>
      <c r="B2518" t="s">
        <v>257</v>
      </c>
      <c r="C2518" t="s">
        <v>772</v>
      </c>
      <c r="D2518" t="s">
        <v>773</v>
      </c>
      <c r="E2518" s="7" t="s">
        <v>198</v>
      </c>
      <c r="F2518" s="7" t="s">
        <v>198</v>
      </c>
      <c r="G2518" s="7" t="s">
        <v>198</v>
      </c>
      <c r="H2518" s="7" t="s">
        <v>20</v>
      </c>
      <c r="I2518" s="7" t="s">
        <v>5102</v>
      </c>
      <c r="J2518" s="7" t="s">
        <v>21</v>
      </c>
      <c r="L2518" t="s">
        <v>3866</v>
      </c>
      <c r="M2518" s="7" t="s">
        <v>22</v>
      </c>
      <c r="N2518" s="7" t="s">
        <v>23</v>
      </c>
      <c r="O2518" s="7" t="s">
        <v>27</v>
      </c>
      <c r="P2518" s="7" t="s">
        <v>5101</v>
      </c>
      <c r="Q2518" s="26">
        <v>22</v>
      </c>
      <c r="R2518" s="26">
        <v>1</v>
      </c>
      <c r="S2518" s="40">
        <v>1</v>
      </c>
      <c r="T2518" s="7"/>
      <c r="U2518" s="7" t="s">
        <v>2951</v>
      </c>
      <c r="V2518" s="7" t="str">
        <f>+IF(U2518="","",IF(U2518="FINES",CONCATENATE("R",IF(OR(B2518="16",B2518="21",B2518="22",B2518="23"),"16212223",IF(OR(B2518="15",B2518="17",B2518="24",B2518="25"),"15172425",B2518))),IF(U2518="CEBAS","UNICO",IF(VALUE(B2518)&lt;=11,"AMBA","INTERIOR"))))</f>
        <v>R05</v>
      </c>
      <c r="W2518" s="38" t="str">
        <f>+IF(U2518="","-",CONCATENATE(U2518,"_",V2518))</f>
        <v>FINES_R05</v>
      </c>
      <c r="X2518" s="42">
        <v>0.51100000000000001</v>
      </c>
    </row>
    <row r="2519" spans="1:24">
      <c r="A2519" s="21" t="s">
        <v>5100</v>
      </c>
      <c r="B2519" t="s">
        <v>257</v>
      </c>
      <c r="C2519" t="s">
        <v>254</v>
      </c>
      <c r="D2519" t="s">
        <v>256</v>
      </c>
      <c r="E2519" s="7" t="s">
        <v>198</v>
      </c>
      <c r="F2519" s="7" t="s">
        <v>198</v>
      </c>
      <c r="G2519" s="7" t="s">
        <v>198</v>
      </c>
      <c r="H2519" s="7" t="s">
        <v>20</v>
      </c>
      <c r="I2519" s="7" t="s">
        <v>5102</v>
      </c>
      <c r="J2519" s="7" t="s">
        <v>21</v>
      </c>
      <c r="L2519" t="s">
        <v>3768</v>
      </c>
      <c r="M2519" s="7" t="s">
        <v>22</v>
      </c>
      <c r="N2519" s="7" t="s">
        <v>23</v>
      </c>
      <c r="O2519" s="7" t="s">
        <v>27</v>
      </c>
      <c r="P2519" s="7" t="s">
        <v>5101</v>
      </c>
      <c r="Q2519" s="26">
        <v>98</v>
      </c>
      <c r="R2519" s="26">
        <v>4</v>
      </c>
      <c r="S2519" s="40">
        <v>1</v>
      </c>
      <c r="T2519" s="7"/>
      <c r="U2519" s="7" t="s">
        <v>2951</v>
      </c>
      <c r="V2519" s="7" t="str">
        <f>+IF(U2519="","",IF(U2519="FINES",CONCATENATE("R",IF(OR(B2519="16",B2519="21",B2519="22",B2519="23"),"16212223",IF(OR(B2519="15",B2519="17",B2519="24",B2519="25"),"15172425",B2519))),IF(U2519="CEBAS","UNICO",IF(VALUE(B2519)&lt;=11,"AMBA","INTERIOR"))))</f>
        <v>R05</v>
      </c>
      <c r="W2519" s="38" t="str">
        <f>+IF(U2519="","-",CONCATENATE(U2519,"_",V2519))</f>
        <v>FINES_R05</v>
      </c>
      <c r="X2519" s="42">
        <v>0.51300000000000001</v>
      </c>
    </row>
    <row r="2520" spans="1:24">
      <c r="A2520" s="21" t="s">
        <v>5100</v>
      </c>
      <c r="B2520" t="s">
        <v>257</v>
      </c>
      <c r="C2520" t="s">
        <v>254</v>
      </c>
      <c r="D2520" t="s">
        <v>256</v>
      </c>
      <c r="E2520" s="7" t="s">
        <v>198</v>
      </c>
      <c r="F2520" s="7" t="s">
        <v>198</v>
      </c>
      <c r="G2520" s="7" t="s">
        <v>198</v>
      </c>
      <c r="H2520" s="7" t="s">
        <v>20</v>
      </c>
      <c r="I2520" s="7" t="s">
        <v>5102</v>
      </c>
      <c r="J2520" s="7" t="s">
        <v>21</v>
      </c>
      <c r="L2520" t="s">
        <v>3781</v>
      </c>
      <c r="M2520" s="7" t="s">
        <v>22</v>
      </c>
      <c r="N2520" s="7" t="s">
        <v>23</v>
      </c>
      <c r="O2520" s="7" t="s">
        <v>27</v>
      </c>
      <c r="P2520" s="7" t="s">
        <v>5101</v>
      </c>
      <c r="Q2520" s="26">
        <v>15</v>
      </c>
      <c r="R2520" s="26">
        <v>1</v>
      </c>
      <c r="S2520" s="40">
        <v>1</v>
      </c>
      <c r="T2520" s="7"/>
      <c r="U2520" s="7" t="s">
        <v>2951</v>
      </c>
      <c r="V2520" s="7" t="str">
        <f>+IF(U2520="","",IF(U2520="FINES",CONCATENATE("R",IF(OR(B2520="16",B2520="21",B2520="22",B2520="23"),"16212223",IF(OR(B2520="15",B2520="17",B2520="24",B2520="25"),"15172425",B2520))),IF(U2520="CEBAS","UNICO",IF(VALUE(B2520)&lt;=11,"AMBA","INTERIOR"))))</f>
        <v>R05</v>
      </c>
      <c r="W2520" s="38" t="str">
        <f>+IF(U2520="","-",CONCATENATE(U2520,"_",V2520))</f>
        <v>FINES_R05</v>
      </c>
      <c r="X2520" s="42">
        <v>0.51700000000000002</v>
      </c>
    </row>
    <row r="2521" spans="1:24">
      <c r="A2521" s="21" t="s">
        <v>5100</v>
      </c>
      <c r="B2521" t="s">
        <v>257</v>
      </c>
      <c r="C2521" t="s">
        <v>254</v>
      </c>
      <c r="D2521" t="s">
        <v>256</v>
      </c>
      <c r="E2521" s="7" t="s">
        <v>198</v>
      </c>
      <c r="F2521" s="7" t="s">
        <v>198</v>
      </c>
      <c r="G2521" s="7" t="s">
        <v>198</v>
      </c>
      <c r="H2521" s="7" t="s">
        <v>20</v>
      </c>
      <c r="I2521" s="7" t="s">
        <v>5102</v>
      </c>
      <c r="J2521" s="7" t="s">
        <v>21</v>
      </c>
      <c r="L2521" t="s">
        <v>3759</v>
      </c>
      <c r="M2521" s="7" t="s">
        <v>22</v>
      </c>
      <c r="N2521" s="7" t="s">
        <v>23</v>
      </c>
      <c r="O2521" s="7" t="s">
        <v>27</v>
      </c>
      <c r="P2521" s="7" t="s">
        <v>5101</v>
      </c>
      <c r="Q2521" s="26">
        <v>65</v>
      </c>
      <c r="R2521" s="26">
        <v>3</v>
      </c>
      <c r="S2521" s="40">
        <v>1</v>
      </c>
      <c r="T2521" s="7"/>
      <c r="U2521" s="7" t="s">
        <v>2951</v>
      </c>
      <c r="V2521" s="7" t="str">
        <f>+IF(U2521="","",IF(U2521="FINES",CONCATENATE("R",IF(OR(B2521="16",B2521="21",B2521="22",B2521="23"),"16212223",IF(OR(B2521="15",B2521="17",B2521="24",B2521="25"),"15172425",B2521))),IF(U2521="CEBAS","UNICO",IF(VALUE(B2521)&lt;=11,"AMBA","INTERIOR"))))</f>
        <v>R05</v>
      </c>
      <c r="W2521" s="38" t="str">
        <f>+IF(U2521="","-",CONCATENATE(U2521,"_",V2521))</f>
        <v>FINES_R05</v>
      </c>
      <c r="X2521" s="42">
        <v>0.52100000000000002</v>
      </c>
    </row>
    <row r="2522" spans="1:24">
      <c r="A2522" s="21" t="s">
        <v>5100</v>
      </c>
      <c r="B2522" t="s">
        <v>257</v>
      </c>
      <c r="C2522" t="s">
        <v>254</v>
      </c>
      <c r="D2522" t="s">
        <v>256</v>
      </c>
      <c r="E2522" s="7" t="s">
        <v>198</v>
      </c>
      <c r="F2522" s="7" t="s">
        <v>198</v>
      </c>
      <c r="G2522" s="7" t="s">
        <v>198</v>
      </c>
      <c r="H2522" s="7" t="s">
        <v>20</v>
      </c>
      <c r="I2522" s="7" t="s">
        <v>5102</v>
      </c>
      <c r="J2522" s="7" t="s">
        <v>21</v>
      </c>
      <c r="L2522" t="s">
        <v>3805</v>
      </c>
      <c r="M2522" s="7" t="s">
        <v>22</v>
      </c>
      <c r="N2522" s="7" t="s">
        <v>23</v>
      </c>
      <c r="O2522" s="7" t="s">
        <v>27</v>
      </c>
      <c r="P2522" s="7" t="s">
        <v>5101</v>
      </c>
      <c r="Q2522" s="26">
        <v>36</v>
      </c>
      <c r="R2522" s="26">
        <v>2</v>
      </c>
      <c r="S2522" s="40">
        <v>1</v>
      </c>
      <c r="T2522" s="7"/>
      <c r="U2522" s="7" t="s">
        <v>2951</v>
      </c>
      <c r="V2522" s="7" t="str">
        <f>+IF(U2522="","",IF(U2522="FINES",CONCATENATE("R",IF(OR(B2522="16",B2522="21",B2522="22",B2522="23"),"16212223",IF(OR(B2522="15",B2522="17",B2522="24",B2522="25"),"15172425",B2522))),IF(U2522="CEBAS","UNICO",IF(VALUE(B2522)&lt;=11,"AMBA","INTERIOR"))))</f>
        <v>R05</v>
      </c>
      <c r="W2522" s="38" t="str">
        <f>+IF(U2522="","-",CONCATENATE(U2522,"_",V2522))</f>
        <v>FINES_R05</v>
      </c>
      <c r="X2522" s="42">
        <v>0.52300000000000002</v>
      </c>
    </row>
    <row r="2523" spans="1:24">
      <c r="A2523" s="21" t="s">
        <v>5100</v>
      </c>
      <c r="B2523" t="s">
        <v>257</v>
      </c>
      <c r="C2523" t="s">
        <v>254</v>
      </c>
      <c r="D2523" t="s">
        <v>256</v>
      </c>
      <c r="E2523" s="7" t="s">
        <v>198</v>
      </c>
      <c r="F2523" s="7" t="s">
        <v>198</v>
      </c>
      <c r="G2523" s="7" t="s">
        <v>198</v>
      </c>
      <c r="H2523" s="7" t="s">
        <v>20</v>
      </c>
      <c r="I2523" s="7" t="s">
        <v>5102</v>
      </c>
      <c r="J2523" s="7" t="s">
        <v>21</v>
      </c>
      <c r="L2523" t="s">
        <v>3756</v>
      </c>
      <c r="M2523" s="7" t="s">
        <v>22</v>
      </c>
      <c r="N2523" s="7" t="s">
        <v>23</v>
      </c>
      <c r="O2523" s="7" t="s">
        <v>27</v>
      </c>
      <c r="P2523" s="7" t="s">
        <v>5101</v>
      </c>
      <c r="Q2523" s="26">
        <v>19</v>
      </c>
      <c r="R2523" s="26">
        <v>1</v>
      </c>
      <c r="S2523" s="40">
        <v>1</v>
      </c>
      <c r="T2523" s="7"/>
      <c r="U2523" s="7" t="s">
        <v>2951</v>
      </c>
      <c r="V2523" s="7" t="str">
        <f>+IF(U2523="","",IF(U2523="FINES",CONCATENATE("R",IF(OR(B2523="16",B2523="21",B2523="22",B2523="23"),"16212223",IF(OR(B2523="15",B2523="17",B2523="24",B2523="25"),"15172425",B2523))),IF(U2523="CEBAS","UNICO",IF(VALUE(B2523)&lt;=11,"AMBA","INTERIOR"))))</f>
        <v>R05</v>
      </c>
      <c r="W2523" s="38" t="str">
        <f>+IF(U2523="","-",CONCATENATE(U2523,"_",V2523))</f>
        <v>FINES_R05</v>
      </c>
      <c r="X2523" s="42">
        <v>0.52800000000000002</v>
      </c>
    </row>
    <row r="2524" spans="1:24">
      <c r="A2524" s="21" t="s">
        <v>5100</v>
      </c>
      <c r="B2524" t="s">
        <v>257</v>
      </c>
      <c r="C2524" t="s">
        <v>254</v>
      </c>
      <c r="D2524" t="s">
        <v>256</v>
      </c>
      <c r="E2524" s="7" t="s">
        <v>198</v>
      </c>
      <c r="F2524" s="7" t="s">
        <v>198</v>
      </c>
      <c r="G2524" s="7" t="s">
        <v>198</v>
      </c>
      <c r="H2524" s="7" t="s">
        <v>20</v>
      </c>
      <c r="I2524" s="7" t="s">
        <v>5102</v>
      </c>
      <c r="J2524" s="7" t="s">
        <v>21</v>
      </c>
      <c r="L2524" t="s">
        <v>3792</v>
      </c>
      <c r="M2524" s="7" t="s">
        <v>22</v>
      </c>
      <c r="N2524" s="7" t="s">
        <v>23</v>
      </c>
      <c r="O2524" s="7" t="s">
        <v>27</v>
      </c>
      <c r="P2524" s="7" t="s">
        <v>5101</v>
      </c>
      <c r="Q2524" s="26">
        <v>26</v>
      </c>
      <c r="R2524" s="26">
        <v>1</v>
      </c>
      <c r="S2524" s="40">
        <v>1</v>
      </c>
      <c r="T2524" s="7"/>
      <c r="U2524" s="7" t="s">
        <v>2951</v>
      </c>
      <c r="V2524" s="7" t="str">
        <f>+IF(U2524="","",IF(U2524="FINES",CONCATENATE("R",IF(OR(B2524="16",B2524="21",B2524="22",B2524="23"),"16212223",IF(OR(B2524="15",B2524="17",B2524="24",B2524="25"),"15172425",B2524))),IF(U2524="CEBAS","UNICO",IF(VALUE(B2524)&lt;=11,"AMBA","INTERIOR"))))</f>
        <v>R05</v>
      </c>
      <c r="W2524" s="38" t="str">
        <f>+IF(U2524="","-",CONCATENATE(U2524,"_",V2524))</f>
        <v>FINES_R05</v>
      </c>
      <c r="X2524" s="42">
        <v>0.53</v>
      </c>
    </row>
    <row r="2525" spans="1:24">
      <c r="A2525" s="21" t="s">
        <v>5100</v>
      </c>
      <c r="B2525" t="s">
        <v>257</v>
      </c>
      <c r="C2525" t="s">
        <v>772</v>
      </c>
      <c r="D2525" t="s">
        <v>773</v>
      </c>
      <c r="E2525" s="7" t="s">
        <v>198</v>
      </c>
      <c r="F2525" s="7" t="s">
        <v>198</v>
      </c>
      <c r="G2525" s="7" t="s">
        <v>198</v>
      </c>
      <c r="H2525" s="7" t="s">
        <v>20</v>
      </c>
      <c r="I2525" s="7" t="s">
        <v>5102</v>
      </c>
      <c r="J2525" s="7" t="s">
        <v>21</v>
      </c>
      <c r="L2525" t="s">
        <v>3834</v>
      </c>
      <c r="M2525" s="7" t="s">
        <v>22</v>
      </c>
      <c r="N2525" s="7" t="s">
        <v>23</v>
      </c>
      <c r="O2525" s="7" t="s">
        <v>27</v>
      </c>
      <c r="P2525" s="7" t="s">
        <v>5101</v>
      </c>
      <c r="Q2525" s="26">
        <v>16</v>
      </c>
      <c r="R2525" s="26">
        <v>1</v>
      </c>
      <c r="S2525" s="40">
        <v>1</v>
      </c>
      <c r="T2525" s="7"/>
      <c r="U2525" s="7" t="s">
        <v>2951</v>
      </c>
      <c r="V2525" s="7" t="str">
        <f>+IF(U2525="","",IF(U2525="FINES",CONCATENATE("R",IF(OR(B2525="16",B2525="21",B2525="22",B2525="23"),"16212223",IF(OR(B2525="15",B2525="17",B2525="24",B2525="25"),"15172425",B2525))),IF(U2525="CEBAS","UNICO",IF(VALUE(B2525)&lt;=11,"AMBA","INTERIOR"))))</f>
        <v>R05</v>
      </c>
      <c r="W2525" s="38" t="str">
        <f>+IF(U2525="","-",CONCATENATE(U2525,"_",V2525))</f>
        <v>FINES_R05</v>
      </c>
      <c r="X2525" s="42">
        <v>0.53500000000000003</v>
      </c>
    </row>
    <row r="2526" spans="1:24">
      <c r="A2526" s="21" t="s">
        <v>5100</v>
      </c>
      <c r="B2526" t="s">
        <v>257</v>
      </c>
      <c r="C2526" t="s">
        <v>772</v>
      </c>
      <c r="D2526" t="s">
        <v>773</v>
      </c>
      <c r="E2526" s="7" t="s">
        <v>198</v>
      </c>
      <c r="F2526" s="7" t="s">
        <v>198</v>
      </c>
      <c r="G2526" s="7" t="s">
        <v>198</v>
      </c>
      <c r="H2526" s="7" t="s">
        <v>20</v>
      </c>
      <c r="I2526" s="7" t="s">
        <v>5102</v>
      </c>
      <c r="J2526" s="7" t="s">
        <v>21</v>
      </c>
      <c r="L2526" t="s">
        <v>3829</v>
      </c>
      <c r="M2526" s="7" t="s">
        <v>22</v>
      </c>
      <c r="N2526" s="7" t="s">
        <v>23</v>
      </c>
      <c r="O2526" s="7" t="s">
        <v>27</v>
      </c>
      <c r="P2526" s="7" t="s">
        <v>5101</v>
      </c>
      <c r="Q2526" s="26">
        <v>186</v>
      </c>
      <c r="R2526" s="26">
        <v>6</v>
      </c>
      <c r="S2526" s="40">
        <v>1</v>
      </c>
      <c r="T2526" s="7"/>
      <c r="U2526" s="7" t="s">
        <v>2951</v>
      </c>
      <c r="V2526" s="7" t="str">
        <f>+IF(U2526="","",IF(U2526="FINES",CONCATENATE("R",IF(OR(B2526="16",B2526="21",B2526="22",B2526="23"),"16212223",IF(OR(B2526="15",B2526="17",B2526="24",B2526="25"),"15172425",B2526))),IF(U2526="CEBAS","UNICO",IF(VALUE(B2526)&lt;=11,"AMBA","INTERIOR"))))</f>
        <v>R05</v>
      </c>
      <c r="W2526" s="38" t="str">
        <f>+IF(U2526="","-",CONCATENATE(U2526,"_",V2526))</f>
        <v>FINES_R05</v>
      </c>
      <c r="X2526" s="42">
        <v>0.54300000000000004</v>
      </c>
    </row>
    <row r="2527" spans="1:24">
      <c r="A2527" s="21" t="s">
        <v>5100</v>
      </c>
      <c r="B2527" t="s">
        <v>257</v>
      </c>
      <c r="C2527" t="s">
        <v>254</v>
      </c>
      <c r="D2527" t="s">
        <v>256</v>
      </c>
      <c r="E2527" s="7" t="s">
        <v>198</v>
      </c>
      <c r="F2527" s="7" t="s">
        <v>198</v>
      </c>
      <c r="G2527" s="7" t="s">
        <v>198</v>
      </c>
      <c r="H2527" s="7" t="s">
        <v>20</v>
      </c>
      <c r="I2527" s="7" t="s">
        <v>5102</v>
      </c>
      <c r="J2527" s="7" t="s">
        <v>21</v>
      </c>
      <c r="L2527" t="s">
        <v>3787</v>
      </c>
      <c r="M2527" s="7" t="s">
        <v>22</v>
      </c>
      <c r="N2527" s="7" t="s">
        <v>23</v>
      </c>
      <c r="O2527" s="7" t="s">
        <v>27</v>
      </c>
      <c r="P2527" s="7" t="s">
        <v>5101</v>
      </c>
      <c r="Q2527" s="26">
        <v>68</v>
      </c>
      <c r="R2527" s="26">
        <v>3</v>
      </c>
      <c r="S2527" s="40">
        <v>1</v>
      </c>
      <c r="T2527" s="7"/>
      <c r="U2527" s="7" t="s">
        <v>2951</v>
      </c>
      <c r="V2527" s="7" t="str">
        <f>+IF(U2527="","",IF(U2527="FINES",CONCATENATE("R",IF(OR(B2527="16",B2527="21",B2527="22",B2527="23"),"16212223",IF(OR(B2527="15",B2527="17",B2527="24",B2527="25"),"15172425",B2527))),IF(U2527="CEBAS","UNICO",IF(VALUE(B2527)&lt;=11,"AMBA","INTERIOR"))))</f>
        <v>R05</v>
      </c>
      <c r="W2527" s="38" t="str">
        <f>+IF(U2527="","-",CONCATENATE(U2527,"_",V2527))</f>
        <v>FINES_R05</v>
      </c>
      <c r="X2527" s="42">
        <v>0.54300000000000004</v>
      </c>
    </row>
    <row r="2528" spans="1:24">
      <c r="A2528" s="21" t="s">
        <v>5100</v>
      </c>
      <c r="B2528" t="s">
        <v>257</v>
      </c>
      <c r="C2528" t="s">
        <v>253</v>
      </c>
      <c r="D2528" t="s">
        <v>2759</v>
      </c>
      <c r="E2528" s="7" t="s">
        <v>198</v>
      </c>
      <c r="F2528" s="7" t="s">
        <v>198</v>
      </c>
      <c r="G2528" s="7" t="s">
        <v>198</v>
      </c>
      <c r="H2528" s="7" t="s">
        <v>20</v>
      </c>
      <c r="I2528" s="7" t="s">
        <v>5102</v>
      </c>
      <c r="J2528" s="7" t="s">
        <v>21</v>
      </c>
      <c r="L2528" t="s">
        <v>3904</v>
      </c>
      <c r="M2528" s="7" t="s">
        <v>22</v>
      </c>
      <c r="N2528" s="7" t="s">
        <v>23</v>
      </c>
      <c r="O2528" s="7" t="s">
        <v>27</v>
      </c>
      <c r="P2528" s="7" t="s">
        <v>5101</v>
      </c>
      <c r="Q2528" s="26">
        <v>77</v>
      </c>
      <c r="R2528" s="26">
        <v>5</v>
      </c>
      <c r="S2528" s="40">
        <v>1</v>
      </c>
      <c r="T2528" s="7"/>
      <c r="U2528" s="7" t="s">
        <v>2951</v>
      </c>
      <c r="V2528" s="7" t="str">
        <f>+IF(U2528="","",IF(U2528="FINES",CONCATENATE("R",IF(OR(B2528="16",B2528="21",B2528="22",B2528="23"),"16212223",IF(OR(B2528="15",B2528="17",B2528="24",B2528="25"),"15172425",B2528))),IF(U2528="CEBAS","UNICO",IF(VALUE(B2528)&lt;=11,"AMBA","INTERIOR"))))</f>
        <v>R05</v>
      </c>
      <c r="W2528" s="38" t="str">
        <f>+IF(U2528="","-",CONCATENATE(U2528,"_",V2528))</f>
        <v>FINES_R05</v>
      </c>
      <c r="X2528" s="42">
        <v>0.54300000000000004</v>
      </c>
    </row>
    <row r="2529" spans="1:24">
      <c r="A2529" s="21" t="s">
        <v>5100</v>
      </c>
      <c r="B2529" t="s">
        <v>257</v>
      </c>
      <c r="C2529" t="s">
        <v>254</v>
      </c>
      <c r="D2529" t="s">
        <v>256</v>
      </c>
      <c r="E2529" s="7" t="s">
        <v>198</v>
      </c>
      <c r="F2529" s="7" t="s">
        <v>198</v>
      </c>
      <c r="G2529" s="7" t="s">
        <v>198</v>
      </c>
      <c r="H2529" s="7" t="s">
        <v>20</v>
      </c>
      <c r="I2529" s="7" t="s">
        <v>5102</v>
      </c>
      <c r="J2529" s="7" t="s">
        <v>21</v>
      </c>
      <c r="L2529" t="s">
        <v>3326</v>
      </c>
      <c r="M2529" s="7" t="s">
        <v>22</v>
      </c>
      <c r="N2529" s="7" t="s">
        <v>23</v>
      </c>
      <c r="O2529" s="7" t="s">
        <v>27</v>
      </c>
      <c r="P2529" s="7" t="s">
        <v>5101</v>
      </c>
      <c r="Q2529" s="26">
        <v>59</v>
      </c>
      <c r="R2529" s="26">
        <v>3</v>
      </c>
      <c r="S2529" s="40">
        <v>1</v>
      </c>
      <c r="T2529" s="7"/>
      <c r="U2529" s="7" t="s">
        <v>2951</v>
      </c>
      <c r="V2529" s="7" t="str">
        <f>+IF(U2529="","",IF(U2529="FINES",CONCATENATE("R",IF(OR(B2529="16",B2529="21",B2529="22",B2529="23"),"16212223",IF(OR(B2529="15",B2529="17",B2529="24",B2529="25"),"15172425",B2529))),IF(U2529="CEBAS","UNICO",IF(VALUE(B2529)&lt;=11,"AMBA","INTERIOR"))))</f>
        <v>R05</v>
      </c>
      <c r="W2529" s="38" t="str">
        <f>+IF(U2529="","-",CONCATENATE(U2529,"_",V2529))</f>
        <v>FINES_R05</v>
      </c>
      <c r="X2529" s="42">
        <v>0.54600000000000004</v>
      </c>
    </row>
    <row r="2530" spans="1:24">
      <c r="A2530" s="21" t="s">
        <v>5100</v>
      </c>
      <c r="B2530" t="s">
        <v>257</v>
      </c>
      <c r="C2530" t="s">
        <v>254</v>
      </c>
      <c r="D2530" t="s">
        <v>256</v>
      </c>
      <c r="E2530" s="7" t="s">
        <v>198</v>
      </c>
      <c r="F2530" s="7" t="s">
        <v>198</v>
      </c>
      <c r="G2530" s="7" t="s">
        <v>198</v>
      </c>
      <c r="H2530" s="7" t="s">
        <v>20</v>
      </c>
      <c r="I2530" s="7" t="s">
        <v>5102</v>
      </c>
      <c r="J2530" s="7" t="s">
        <v>21</v>
      </c>
      <c r="L2530" t="s">
        <v>3770</v>
      </c>
      <c r="M2530" s="7" t="s">
        <v>22</v>
      </c>
      <c r="N2530" s="7" t="s">
        <v>23</v>
      </c>
      <c r="O2530" s="7" t="s">
        <v>27</v>
      </c>
      <c r="P2530" s="7" t="s">
        <v>5101</v>
      </c>
      <c r="Q2530" s="26">
        <v>41</v>
      </c>
      <c r="R2530" s="26">
        <v>2</v>
      </c>
      <c r="S2530" s="40">
        <v>1</v>
      </c>
      <c r="T2530" s="7"/>
      <c r="U2530" s="7" t="s">
        <v>2951</v>
      </c>
      <c r="V2530" s="7" t="str">
        <f>+IF(U2530="","",IF(U2530="FINES",CONCATENATE("R",IF(OR(B2530="16",B2530="21",B2530="22",B2530="23"),"16212223",IF(OR(B2530="15",B2530="17",B2530="24",B2530="25"),"15172425",B2530))),IF(U2530="CEBAS","UNICO",IF(VALUE(B2530)&lt;=11,"AMBA","INTERIOR"))))</f>
        <v>R05</v>
      </c>
      <c r="W2530" s="38" t="str">
        <f>+IF(U2530="","-",CONCATENATE(U2530,"_",V2530))</f>
        <v>FINES_R05</v>
      </c>
      <c r="X2530" s="42">
        <v>0.55000000000000004</v>
      </c>
    </row>
    <row r="2531" spans="1:24">
      <c r="A2531" s="21" t="s">
        <v>5100</v>
      </c>
      <c r="B2531" t="s">
        <v>257</v>
      </c>
      <c r="C2531" t="s">
        <v>254</v>
      </c>
      <c r="D2531" t="s">
        <v>256</v>
      </c>
      <c r="E2531" s="7" t="s">
        <v>198</v>
      </c>
      <c r="F2531" s="7" t="s">
        <v>198</v>
      </c>
      <c r="G2531" s="7" t="s">
        <v>198</v>
      </c>
      <c r="H2531" s="7" t="s">
        <v>20</v>
      </c>
      <c r="I2531" s="7" t="s">
        <v>5102</v>
      </c>
      <c r="J2531" s="7" t="s">
        <v>21</v>
      </c>
      <c r="L2531" t="s">
        <v>3725</v>
      </c>
      <c r="M2531" s="7" t="s">
        <v>22</v>
      </c>
      <c r="N2531" s="7" t="s">
        <v>23</v>
      </c>
      <c r="O2531" s="7" t="s">
        <v>27</v>
      </c>
      <c r="P2531" s="7" t="s">
        <v>5101</v>
      </c>
      <c r="Q2531" s="26">
        <v>0</v>
      </c>
      <c r="R2531" s="26">
        <v>1</v>
      </c>
      <c r="S2531" s="40">
        <v>1</v>
      </c>
      <c r="T2531" s="7"/>
      <c r="U2531" s="7" t="s">
        <v>2951</v>
      </c>
      <c r="V2531" s="7" t="str">
        <f>+IF(U2531="","",IF(U2531="FINES",CONCATENATE("R",IF(OR(B2531="16",B2531="21",B2531="22",B2531="23"),"16212223",IF(OR(B2531="15",B2531="17",B2531="24",B2531="25"),"15172425",B2531))),IF(U2531="CEBAS","UNICO",IF(VALUE(B2531)&lt;=11,"AMBA","INTERIOR"))))</f>
        <v>R05</v>
      </c>
      <c r="W2531" s="38" t="str">
        <f>+IF(U2531="","-",CONCATENATE(U2531,"_",V2531))</f>
        <v>FINES_R05</v>
      </c>
      <c r="X2531" s="42">
        <v>0.55100000000000005</v>
      </c>
    </row>
    <row r="2532" spans="1:24">
      <c r="A2532" s="21" t="s">
        <v>5100</v>
      </c>
      <c r="B2532" t="s">
        <v>257</v>
      </c>
      <c r="C2532" t="s">
        <v>254</v>
      </c>
      <c r="D2532" t="s">
        <v>256</v>
      </c>
      <c r="E2532" s="7" t="s">
        <v>198</v>
      </c>
      <c r="F2532" s="7" t="s">
        <v>198</v>
      </c>
      <c r="G2532" s="7" t="s">
        <v>198</v>
      </c>
      <c r="H2532" s="7" t="s">
        <v>20</v>
      </c>
      <c r="I2532" s="7" t="s">
        <v>5102</v>
      </c>
      <c r="J2532" s="7" t="s">
        <v>21</v>
      </c>
      <c r="L2532" t="s">
        <v>3813</v>
      </c>
      <c r="M2532" s="7" t="s">
        <v>22</v>
      </c>
      <c r="N2532" s="7" t="s">
        <v>23</v>
      </c>
      <c r="O2532" s="7" t="s">
        <v>27</v>
      </c>
      <c r="P2532" s="7" t="s">
        <v>5101</v>
      </c>
      <c r="Q2532" s="26">
        <v>51</v>
      </c>
      <c r="R2532" s="26">
        <v>2</v>
      </c>
      <c r="S2532" s="40">
        <v>1</v>
      </c>
      <c r="T2532" s="7"/>
      <c r="U2532" s="7" t="s">
        <v>2951</v>
      </c>
      <c r="V2532" s="7" t="str">
        <f>+IF(U2532="","",IF(U2532="FINES",CONCATENATE("R",IF(OR(B2532="16",B2532="21",B2532="22",B2532="23"),"16212223",IF(OR(B2532="15",B2532="17",B2532="24",B2532="25"),"15172425",B2532))),IF(U2532="CEBAS","UNICO",IF(VALUE(B2532)&lt;=11,"AMBA","INTERIOR"))))</f>
        <v>R05</v>
      </c>
      <c r="W2532" s="38" t="str">
        <f>+IF(U2532="","-",CONCATENATE(U2532,"_",V2532))</f>
        <v>FINES_R05</v>
      </c>
      <c r="X2532" s="42">
        <v>0.55100000000000005</v>
      </c>
    </row>
    <row r="2533" spans="1:24">
      <c r="A2533" s="21" t="s">
        <v>5100</v>
      </c>
      <c r="B2533" t="s">
        <v>257</v>
      </c>
      <c r="C2533" t="s">
        <v>2337</v>
      </c>
      <c r="D2533" t="s">
        <v>2338</v>
      </c>
      <c r="E2533" s="7" t="s">
        <v>198</v>
      </c>
      <c r="F2533" s="7" t="s">
        <v>198</v>
      </c>
      <c r="G2533" s="7" t="s">
        <v>198</v>
      </c>
      <c r="H2533" s="7" t="s">
        <v>20</v>
      </c>
      <c r="I2533" s="7" t="s">
        <v>5102</v>
      </c>
      <c r="J2533" s="7" t="s">
        <v>21</v>
      </c>
      <c r="L2533" t="s">
        <v>3920</v>
      </c>
      <c r="M2533" s="7" t="s">
        <v>22</v>
      </c>
      <c r="N2533" s="7" t="s">
        <v>23</v>
      </c>
      <c r="O2533" s="7" t="s">
        <v>27</v>
      </c>
      <c r="P2533" s="7" t="s">
        <v>5101</v>
      </c>
      <c r="Q2533" s="26">
        <v>221</v>
      </c>
      <c r="R2533" s="26">
        <v>8</v>
      </c>
      <c r="S2533" s="40">
        <v>1</v>
      </c>
      <c r="T2533" s="7"/>
      <c r="U2533" s="7" t="s">
        <v>2951</v>
      </c>
      <c r="V2533" s="7" t="str">
        <f>+IF(U2533="","",IF(U2533="FINES",CONCATENATE("R",IF(OR(B2533="16",B2533="21",B2533="22",B2533="23"),"16212223",IF(OR(B2533="15",B2533="17",B2533="24",B2533="25"),"15172425",B2533))),IF(U2533="CEBAS","UNICO",IF(VALUE(B2533)&lt;=11,"AMBA","INTERIOR"))))</f>
        <v>R05</v>
      </c>
      <c r="W2533" s="38" t="str">
        <f>+IF(U2533="","-",CONCATENATE(U2533,"_",V2533))</f>
        <v>FINES_R05</v>
      </c>
      <c r="X2533" s="42">
        <v>0.55400000000000005</v>
      </c>
    </row>
    <row r="2534" spans="1:24">
      <c r="A2534" s="21" t="s">
        <v>5100</v>
      </c>
      <c r="B2534" t="s">
        <v>257</v>
      </c>
      <c r="C2534" t="s">
        <v>772</v>
      </c>
      <c r="D2534" t="s">
        <v>773</v>
      </c>
      <c r="E2534" s="7" t="s">
        <v>198</v>
      </c>
      <c r="F2534" s="7" t="s">
        <v>198</v>
      </c>
      <c r="G2534" s="7" t="s">
        <v>198</v>
      </c>
      <c r="H2534" s="7" t="s">
        <v>20</v>
      </c>
      <c r="I2534" s="7" t="s">
        <v>5102</v>
      </c>
      <c r="J2534" s="7" t="s">
        <v>21</v>
      </c>
      <c r="L2534" t="s">
        <v>3851</v>
      </c>
      <c r="M2534" s="7" t="s">
        <v>22</v>
      </c>
      <c r="N2534" s="7" t="s">
        <v>23</v>
      </c>
      <c r="O2534" s="7" t="s">
        <v>27</v>
      </c>
      <c r="P2534" s="7" t="s">
        <v>5101</v>
      </c>
      <c r="Q2534" s="26">
        <v>14</v>
      </c>
      <c r="R2534" s="26">
        <v>1</v>
      </c>
      <c r="S2534" s="40">
        <v>1</v>
      </c>
      <c r="T2534" s="7"/>
      <c r="U2534" s="7" t="s">
        <v>2951</v>
      </c>
      <c r="V2534" s="7" t="str">
        <f>+IF(U2534="","",IF(U2534="FINES",CONCATENATE("R",IF(OR(B2534="16",B2534="21",B2534="22",B2534="23"),"16212223",IF(OR(B2534="15",B2534="17",B2534="24",B2534="25"),"15172425",B2534))),IF(U2534="CEBAS","UNICO",IF(VALUE(B2534)&lt;=11,"AMBA","INTERIOR"))))</f>
        <v>R05</v>
      </c>
      <c r="W2534" s="38" t="str">
        <f>+IF(U2534="","-",CONCATENATE(U2534,"_",V2534))</f>
        <v>FINES_R05</v>
      </c>
      <c r="X2534" s="42">
        <v>0.56399999999999995</v>
      </c>
    </row>
    <row r="2535" spans="1:24">
      <c r="A2535" s="21" t="s">
        <v>5100</v>
      </c>
      <c r="B2535" t="s">
        <v>257</v>
      </c>
      <c r="C2535" t="s">
        <v>415</v>
      </c>
      <c r="D2535" t="s">
        <v>2770</v>
      </c>
      <c r="E2535" s="7" t="s">
        <v>198</v>
      </c>
      <c r="F2535" s="7" t="s">
        <v>198</v>
      </c>
      <c r="G2535" s="7" t="s">
        <v>198</v>
      </c>
      <c r="H2535" s="7" t="s">
        <v>20</v>
      </c>
      <c r="I2535" s="7" t="s">
        <v>5102</v>
      </c>
      <c r="J2535" s="7" t="s">
        <v>21</v>
      </c>
      <c r="L2535" t="s">
        <v>3873</v>
      </c>
      <c r="M2535" s="7" t="s">
        <v>22</v>
      </c>
      <c r="N2535" s="7" t="s">
        <v>23</v>
      </c>
      <c r="O2535" s="7" t="s">
        <v>27</v>
      </c>
      <c r="P2535" s="7" t="s">
        <v>5101</v>
      </c>
      <c r="Q2535" s="26">
        <v>79</v>
      </c>
      <c r="R2535" s="26">
        <v>4</v>
      </c>
      <c r="S2535" s="40">
        <v>1</v>
      </c>
      <c r="T2535" s="7"/>
      <c r="U2535" s="7" t="s">
        <v>2951</v>
      </c>
      <c r="V2535" s="7" t="str">
        <f>+IF(U2535="","",IF(U2535="FINES",CONCATENATE("R",IF(OR(B2535="16",B2535="21",B2535="22",B2535="23"),"16212223",IF(OR(B2535="15",B2535="17",B2535="24",B2535="25"),"15172425",B2535))),IF(U2535="CEBAS","UNICO",IF(VALUE(B2535)&lt;=11,"AMBA","INTERIOR"))))</f>
        <v>R05</v>
      </c>
      <c r="W2535" s="38" t="str">
        <f>+IF(U2535="","-",CONCATENATE(U2535,"_",V2535))</f>
        <v>FINES_R05</v>
      </c>
      <c r="X2535" s="42">
        <v>0.56399999999999995</v>
      </c>
    </row>
    <row r="2536" spans="1:24">
      <c r="A2536" s="21" t="s">
        <v>5100</v>
      </c>
      <c r="B2536" t="s">
        <v>257</v>
      </c>
      <c r="C2536" t="s">
        <v>2337</v>
      </c>
      <c r="D2536" t="s">
        <v>2338</v>
      </c>
      <c r="E2536" s="7" t="s">
        <v>198</v>
      </c>
      <c r="F2536" s="7" t="s">
        <v>198</v>
      </c>
      <c r="G2536" s="7" t="s">
        <v>198</v>
      </c>
      <c r="H2536" s="7" t="s">
        <v>20</v>
      </c>
      <c r="I2536" s="7" t="s">
        <v>5102</v>
      </c>
      <c r="J2536" s="7" t="s">
        <v>21</v>
      </c>
      <c r="L2536" t="s">
        <v>3921</v>
      </c>
      <c r="M2536" s="7" t="s">
        <v>22</v>
      </c>
      <c r="N2536" s="7" t="s">
        <v>23</v>
      </c>
      <c r="O2536" s="7" t="s">
        <v>27</v>
      </c>
      <c r="P2536" s="7" t="s">
        <v>5101</v>
      </c>
      <c r="Q2536" s="26">
        <v>64</v>
      </c>
      <c r="R2536" s="26">
        <v>3</v>
      </c>
      <c r="S2536" s="40">
        <v>1</v>
      </c>
      <c r="T2536" s="7"/>
      <c r="U2536" s="7" t="s">
        <v>2951</v>
      </c>
      <c r="V2536" s="7" t="str">
        <f>+IF(U2536="","",IF(U2536="FINES",CONCATENATE("R",IF(OR(B2536="16",B2536="21",B2536="22",B2536="23"),"16212223",IF(OR(B2536="15",B2536="17",B2536="24",B2536="25"),"15172425",B2536))),IF(U2536="CEBAS","UNICO",IF(VALUE(B2536)&lt;=11,"AMBA","INTERIOR"))))</f>
        <v>R05</v>
      </c>
      <c r="W2536" s="38" t="str">
        <f>+IF(U2536="","-",CONCATENATE(U2536,"_",V2536))</f>
        <v>FINES_R05</v>
      </c>
      <c r="X2536" s="42">
        <v>0.56599999999999995</v>
      </c>
    </row>
    <row r="2537" spans="1:24">
      <c r="A2537" s="21" t="s">
        <v>5100</v>
      </c>
      <c r="B2537" t="s">
        <v>257</v>
      </c>
      <c r="C2537" t="s">
        <v>254</v>
      </c>
      <c r="D2537" t="s">
        <v>256</v>
      </c>
      <c r="E2537" s="7" t="s">
        <v>198</v>
      </c>
      <c r="F2537" s="7" t="s">
        <v>198</v>
      </c>
      <c r="G2537" s="7" t="s">
        <v>198</v>
      </c>
      <c r="H2537" s="7" t="s">
        <v>20</v>
      </c>
      <c r="I2537" s="7" t="s">
        <v>5102</v>
      </c>
      <c r="J2537" s="7" t="s">
        <v>21</v>
      </c>
      <c r="L2537" t="s">
        <v>3755</v>
      </c>
      <c r="M2537" s="7" t="s">
        <v>22</v>
      </c>
      <c r="N2537" s="7" t="s">
        <v>23</v>
      </c>
      <c r="O2537" s="7" t="s">
        <v>27</v>
      </c>
      <c r="P2537" s="7" t="s">
        <v>5101</v>
      </c>
      <c r="Q2537" s="26">
        <v>12</v>
      </c>
      <c r="R2537" s="26">
        <v>1</v>
      </c>
      <c r="S2537" s="40">
        <v>1</v>
      </c>
      <c r="T2537" s="7"/>
      <c r="U2537" s="7" t="s">
        <v>2951</v>
      </c>
      <c r="V2537" s="7" t="str">
        <f>+IF(U2537="","",IF(U2537="FINES",CONCATENATE("R",IF(OR(B2537="16",B2537="21",B2537="22",B2537="23"),"16212223",IF(OR(B2537="15",B2537="17",B2537="24",B2537="25"),"15172425",B2537))),IF(U2537="CEBAS","UNICO",IF(VALUE(B2537)&lt;=11,"AMBA","INTERIOR"))))</f>
        <v>R05</v>
      </c>
      <c r="W2537" s="38" t="str">
        <f>+IF(U2537="","-",CONCATENATE(U2537,"_",V2537))</f>
        <v>FINES_R05</v>
      </c>
      <c r="X2537" s="42">
        <v>0.56999999999999995</v>
      </c>
    </row>
    <row r="2538" spans="1:24">
      <c r="A2538" s="21" t="s">
        <v>5100</v>
      </c>
      <c r="B2538" t="s">
        <v>257</v>
      </c>
      <c r="C2538" t="s">
        <v>254</v>
      </c>
      <c r="D2538" t="s">
        <v>256</v>
      </c>
      <c r="E2538" s="7" t="s">
        <v>198</v>
      </c>
      <c r="F2538" s="7" t="s">
        <v>198</v>
      </c>
      <c r="G2538" s="7" t="s">
        <v>198</v>
      </c>
      <c r="H2538" s="7" t="s">
        <v>20</v>
      </c>
      <c r="I2538" s="7" t="s">
        <v>5102</v>
      </c>
      <c r="J2538" s="7" t="s">
        <v>21</v>
      </c>
      <c r="L2538" t="s">
        <v>3804</v>
      </c>
      <c r="M2538" s="7" t="s">
        <v>22</v>
      </c>
      <c r="N2538" s="7" t="s">
        <v>23</v>
      </c>
      <c r="O2538" s="7" t="s">
        <v>27</v>
      </c>
      <c r="P2538" s="7" t="s">
        <v>5101</v>
      </c>
      <c r="Q2538" s="26">
        <v>67</v>
      </c>
      <c r="R2538" s="26">
        <v>3</v>
      </c>
      <c r="S2538" s="40">
        <v>1</v>
      </c>
      <c r="T2538" s="7"/>
      <c r="U2538" s="7" t="s">
        <v>2951</v>
      </c>
      <c r="V2538" s="7" t="str">
        <f>+IF(U2538="","",IF(U2538="FINES",CONCATENATE("R",IF(OR(B2538="16",B2538="21",B2538="22",B2538="23"),"16212223",IF(OR(B2538="15",B2538="17",B2538="24",B2538="25"),"15172425",B2538))),IF(U2538="CEBAS","UNICO",IF(VALUE(B2538)&lt;=11,"AMBA","INTERIOR"))))</f>
        <v>R05</v>
      </c>
      <c r="W2538" s="38" t="str">
        <f>+IF(U2538="","-",CONCATENATE(U2538,"_",V2538))</f>
        <v>FINES_R05</v>
      </c>
      <c r="X2538" s="42">
        <v>0.57399999999999995</v>
      </c>
    </row>
    <row r="2539" spans="1:24">
      <c r="A2539" s="21" t="s">
        <v>5100</v>
      </c>
      <c r="B2539" t="s">
        <v>257</v>
      </c>
      <c r="C2539" t="s">
        <v>772</v>
      </c>
      <c r="D2539" t="s">
        <v>773</v>
      </c>
      <c r="E2539" s="7" t="s">
        <v>198</v>
      </c>
      <c r="F2539" s="7" t="s">
        <v>198</v>
      </c>
      <c r="G2539" s="7" t="s">
        <v>198</v>
      </c>
      <c r="H2539" s="7" t="s">
        <v>20</v>
      </c>
      <c r="I2539" s="7" t="s">
        <v>5102</v>
      </c>
      <c r="J2539" s="7" t="s">
        <v>21</v>
      </c>
      <c r="L2539" t="s">
        <v>3848</v>
      </c>
      <c r="M2539" s="7" t="s">
        <v>22</v>
      </c>
      <c r="N2539" s="7" t="s">
        <v>23</v>
      </c>
      <c r="O2539" s="7" t="s">
        <v>27</v>
      </c>
      <c r="P2539" s="7" t="s">
        <v>5101</v>
      </c>
      <c r="Q2539" s="26">
        <v>29</v>
      </c>
      <c r="R2539" s="26">
        <v>1</v>
      </c>
      <c r="S2539" s="40">
        <v>1</v>
      </c>
      <c r="T2539" s="7"/>
      <c r="U2539" s="7" t="s">
        <v>2951</v>
      </c>
      <c r="V2539" s="7" t="str">
        <f>+IF(U2539="","",IF(U2539="FINES",CONCATENATE("R",IF(OR(B2539="16",B2539="21",B2539="22",B2539="23"),"16212223",IF(OR(B2539="15",B2539="17",B2539="24",B2539="25"),"15172425",B2539))),IF(U2539="CEBAS","UNICO",IF(VALUE(B2539)&lt;=11,"AMBA","INTERIOR"))))</f>
        <v>R05</v>
      </c>
      <c r="W2539" s="38" t="str">
        <f>+IF(U2539="","-",CONCATENATE(U2539,"_",V2539))</f>
        <v>FINES_R05</v>
      </c>
      <c r="X2539" s="42">
        <v>0.57399999999999995</v>
      </c>
    </row>
    <row r="2540" spans="1:24">
      <c r="A2540" s="21" t="s">
        <v>5100</v>
      </c>
      <c r="B2540" t="s">
        <v>257</v>
      </c>
      <c r="C2540" t="s">
        <v>415</v>
      </c>
      <c r="D2540" t="s">
        <v>2770</v>
      </c>
      <c r="E2540" s="7" t="s">
        <v>198</v>
      </c>
      <c r="F2540" s="7" t="s">
        <v>198</v>
      </c>
      <c r="G2540" s="7" t="s">
        <v>198</v>
      </c>
      <c r="H2540" s="7" t="s">
        <v>20</v>
      </c>
      <c r="I2540" s="7" t="s">
        <v>5102</v>
      </c>
      <c r="J2540" s="7" t="s">
        <v>21</v>
      </c>
      <c r="L2540" t="s">
        <v>3870</v>
      </c>
      <c r="M2540" s="7" t="s">
        <v>22</v>
      </c>
      <c r="N2540" s="7" t="s">
        <v>23</v>
      </c>
      <c r="O2540" s="7" t="s">
        <v>27</v>
      </c>
      <c r="P2540" s="7" t="s">
        <v>5101</v>
      </c>
      <c r="Q2540" s="26">
        <v>30</v>
      </c>
      <c r="R2540" s="26">
        <v>1</v>
      </c>
      <c r="S2540" s="40">
        <v>1</v>
      </c>
      <c r="T2540" s="7"/>
      <c r="U2540" s="7" t="s">
        <v>2951</v>
      </c>
      <c r="V2540" s="7" t="str">
        <f>+IF(U2540="","",IF(U2540="FINES",CONCATENATE("R",IF(OR(B2540="16",B2540="21",B2540="22",B2540="23"),"16212223",IF(OR(B2540="15",B2540="17",B2540="24",B2540="25"),"15172425",B2540))),IF(U2540="CEBAS","UNICO",IF(VALUE(B2540)&lt;=11,"AMBA","INTERIOR"))))</f>
        <v>R05</v>
      </c>
      <c r="W2540" s="38" t="str">
        <f>+IF(U2540="","-",CONCATENATE(U2540,"_",V2540))</f>
        <v>FINES_R05</v>
      </c>
      <c r="X2540" s="42">
        <v>0.58099999999999996</v>
      </c>
    </row>
    <row r="2541" spans="1:24">
      <c r="A2541" s="21" t="s">
        <v>5100</v>
      </c>
      <c r="B2541" t="s">
        <v>257</v>
      </c>
      <c r="C2541" t="s">
        <v>254</v>
      </c>
      <c r="D2541" t="s">
        <v>256</v>
      </c>
      <c r="E2541" s="7" t="s">
        <v>198</v>
      </c>
      <c r="F2541" s="7" t="s">
        <v>198</v>
      </c>
      <c r="G2541" s="7" t="s">
        <v>198</v>
      </c>
      <c r="H2541" s="7" t="s">
        <v>20</v>
      </c>
      <c r="I2541" s="7" t="s">
        <v>5102</v>
      </c>
      <c r="J2541" s="7" t="s">
        <v>21</v>
      </c>
      <c r="L2541" t="s">
        <v>3741</v>
      </c>
      <c r="M2541" s="7" t="s">
        <v>22</v>
      </c>
      <c r="N2541" s="7" t="s">
        <v>23</v>
      </c>
      <c r="O2541" s="7" t="s">
        <v>27</v>
      </c>
      <c r="P2541" s="7" t="s">
        <v>5101</v>
      </c>
      <c r="Q2541" s="26">
        <v>0</v>
      </c>
      <c r="R2541" s="26">
        <v>1</v>
      </c>
      <c r="S2541" s="40">
        <v>1</v>
      </c>
      <c r="T2541" s="7"/>
      <c r="U2541" s="7" t="s">
        <v>2951</v>
      </c>
      <c r="V2541" s="7" t="str">
        <f>+IF(U2541="","",IF(U2541="FINES",CONCATENATE("R",IF(OR(B2541="16",B2541="21",B2541="22",B2541="23"),"16212223",IF(OR(B2541="15",B2541="17",B2541="24",B2541="25"),"15172425",B2541))),IF(U2541="CEBAS","UNICO",IF(VALUE(B2541)&lt;=11,"AMBA","INTERIOR"))))</f>
        <v>R05</v>
      </c>
      <c r="W2541" s="38" t="str">
        <f>+IF(U2541="","-",CONCATENATE(U2541,"_",V2541))</f>
        <v>FINES_R05</v>
      </c>
      <c r="X2541" s="42">
        <v>0.59</v>
      </c>
    </row>
    <row r="2542" spans="1:24">
      <c r="A2542" s="21" t="s">
        <v>5100</v>
      </c>
      <c r="B2542" t="s">
        <v>257</v>
      </c>
      <c r="C2542" t="s">
        <v>254</v>
      </c>
      <c r="D2542" t="s">
        <v>256</v>
      </c>
      <c r="E2542" s="7" t="s">
        <v>198</v>
      </c>
      <c r="F2542" s="7" t="s">
        <v>198</v>
      </c>
      <c r="G2542" s="7" t="s">
        <v>198</v>
      </c>
      <c r="H2542" s="7" t="s">
        <v>20</v>
      </c>
      <c r="I2542" s="7" t="s">
        <v>5102</v>
      </c>
      <c r="J2542" s="7" t="s">
        <v>21</v>
      </c>
      <c r="L2542" t="s">
        <v>3776</v>
      </c>
      <c r="M2542" s="7" t="s">
        <v>22</v>
      </c>
      <c r="N2542" s="7" t="s">
        <v>23</v>
      </c>
      <c r="O2542" s="7" t="s">
        <v>27</v>
      </c>
      <c r="P2542" s="7" t="s">
        <v>5101</v>
      </c>
      <c r="Q2542" s="26">
        <v>56</v>
      </c>
      <c r="R2542" s="26">
        <v>2</v>
      </c>
      <c r="S2542" s="40">
        <v>1</v>
      </c>
      <c r="T2542" s="7"/>
      <c r="U2542" s="7" t="s">
        <v>2951</v>
      </c>
      <c r="V2542" s="7" t="str">
        <f>+IF(U2542="","",IF(U2542="FINES",CONCATENATE("R",IF(OR(B2542="16",B2542="21",B2542="22",B2542="23"),"16212223",IF(OR(B2542="15",B2542="17",B2542="24",B2542="25"),"15172425",B2542))),IF(U2542="CEBAS","UNICO",IF(VALUE(B2542)&lt;=11,"AMBA","INTERIOR"))))</f>
        <v>R05</v>
      </c>
      <c r="W2542" s="38" t="str">
        <f>+IF(U2542="","-",CONCATENATE(U2542,"_",V2542))</f>
        <v>FINES_R05</v>
      </c>
      <c r="X2542" s="42">
        <v>0.59699999999999998</v>
      </c>
    </row>
    <row r="2543" spans="1:24">
      <c r="A2543" s="21" t="s">
        <v>5100</v>
      </c>
      <c r="B2543" t="s">
        <v>257</v>
      </c>
      <c r="C2543" t="s">
        <v>254</v>
      </c>
      <c r="D2543" t="s">
        <v>256</v>
      </c>
      <c r="E2543" s="7" t="s">
        <v>198</v>
      </c>
      <c r="F2543" s="7" t="s">
        <v>198</v>
      </c>
      <c r="G2543" s="7" t="s">
        <v>198</v>
      </c>
      <c r="H2543" s="7" t="s">
        <v>20</v>
      </c>
      <c r="I2543" s="7" t="s">
        <v>5102</v>
      </c>
      <c r="J2543" s="7" t="s">
        <v>21</v>
      </c>
      <c r="L2543" t="s">
        <v>3778</v>
      </c>
      <c r="M2543" s="7" t="s">
        <v>22</v>
      </c>
      <c r="N2543" s="7" t="s">
        <v>23</v>
      </c>
      <c r="O2543" s="7" t="s">
        <v>27</v>
      </c>
      <c r="P2543" s="7" t="s">
        <v>5101</v>
      </c>
      <c r="Q2543" s="26">
        <v>90</v>
      </c>
      <c r="R2543" s="26">
        <v>3</v>
      </c>
      <c r="S2543" s="40">
        <v>1</v>
      </c>
      <c r="T2543" s="7"/>
      <c r="U2543" s="7" t="s">
        <v>2951</v>
      </c>
      <c r="V2543" s="7" t="str">
        <f>+IF(U2543="","",IF(U2543="FINES",CONCATENATE("R",IF(OR(B2543="16",B2543="21",B2543="22",B2543="23"),"16212223",IF(OR(B2543="15",B2543="17",B2543="24",B2543="25"),"15172425",B2543))),IF(U2543="CEBAS","UNICO",IF(VALUE(B2543)&lt;=11,"AMBA","INTERIOR"))))</f>
        <v>R05</v>
      </c>
      <c r="W2543" s="38" t="str">
        <f>+IF(U2543="","-",CONCATENATE(U2543,"_",V2543))</f>
        <v>FINES_R05</v>
      </c>
      <c r="X2543" s="42">
        <v>0.60699999999999998</v>
      </c>
    </row>
    <row r="2544" spans="1:24">
      <c r="A2544" s="21" t="s">
        <v>5100</v>
      </c>
      <c r="B2544" t="s">
        <v>257</v>
      </c>
      <c r="C2544" t="s">
        <v>415</v>
      </c>
      <c r="D2544" t="s">
        <v>2770</v>
      </c>
      <c r="E2544" s="7" t="s">
        <v>198</v>
      </c>
      <c r="F2544" s="7" t="s">
        <v>198</v>
      </c>
      <c r="G2544" s="7" t="s">
        <v>198</v>
      </c>
      <c r="H2544" s="7" t="s">
        <v>20</v>
      </c>
      <c r="I2544" s="7" t="s">
        <v>5102</v>
      </c>
      <c r="J2544" s="7" t="s">
        <v>21</v>
      </c>
      <c r="L2544" t="s">
        <v>3877</v>
      </c>
      <c r="M2544" s="7" t="s">
        <v>22</v>
      </c>
      <c r="N2544" s="7" t="s">
        <v>23</v>
      </c>
      <c r="O2544" s="7" t="s">
        <v>27</v>
      </c>
      <c r="P2544" s="7" t="s">
        <v>5101</v>
      </c>
      <c r="Q2544" s="26">
        <v>15</v>
      </c>
      <c r="R2544" s="26">
        <v>1</v>
      </c>
      <c r="S2544" s="40">
        <v>1</v>
      </c>
      <c r="T2544" s="7"/>
      <c r="U2544" s="7" t="s">
        <v>2951</v>
      </c>
      <c r="V2544" s="7" t="str">
        <f>+IF(U2544="","",IF(U2544="FINES",CONCATENATE("R",IF(OR(B2544="16",B2544="21",B2544="22",B2544="23"),"16212223",IF(OR(B2544="15",B2544="17",B2544="24",B2544="25"),"15172425",B2544))),IF(U2544="CEBAS","UNICO",IF(VALUE(B2544)&lt;=11,"AMBA","INTERIOR"))))</f>
        <v>R05</v>
      </c>
      <c r="W2544" s="38" t="str">
        <f>+IF(U2544="","-",CONCATENATE(U2544,"_",V2544))</f>
        <v>FINES_R05</v>
      </c>
      <c r="X2544" s="42">
        <v>0.60899999999999999</v>
      </c>
    </row>
    <row r="2545" spans="1:24">
      <c r="A2545" s="21" t="s">
        <v>5100</v>
      </c>
      <c r="B2545" t="s">
        <v>257</v>
      </c>
      <c r="C2545" t="s">
        <v>254</v>
      </c>
      <c r="D2545" t="s">
        <v>256</v>
      </c>
      <c r="E2545" s="7" t="s">
        <v>198</v>
      </c>
      <c r="F2545" s="7" t="s">
        <v>198</v>
      </c>
      <c r="G2545" s="7" t="s">
        <v>198</v>
      </c>
      <c r="H2545" s="7" t="s">
        <v>20</v>
      </c>
      <c r="I2545" s="7" t="s">
        <v>5102</v>
      </c>
      <c r="J2545" s="7" t="s">
        <v>21</v>
      </c>
      <c r="L2545" t="s">
        <v>3736</v>
      </c>
      <c r="M2545" s="7" t="s">
        <v>22</v>
      </c>
      <c r="N2545" s="7" t="s">
        <v>23</v>
      </c>
      <c r="O2545" s="7" t="s">
        <v>27</v>
      </c>
      <c r="P2545" s="7" t="s">
        <v>5101</v>
      </c>
      <c r="Q2545" s="26">
        <v>26</v>
      </c>
      <c r="R2545" s="26">
        <v>1</v>
      </c>
      <c r="S2545" s="40">
        <v>1</v>
      </c>
      <c r="T2545" s="7"/>
      <c r="U2545" s="7" t="s">
        <v>2951</v>
      </c>
      <c r="V2545" s="7" t="str">
        <f>+IF(U2545="","",IF(U2545="FINES",CONCATENATE("R",IF(OR(B2545="16",B2545="21",B2545="22",B2545="23"),"16212223",IF(OR(B2545="15",B2545="17",B2545="24",B2545="25"),"15172425",B2545))),IF(U2545="CEBAS","UNICO",IF(VALUE(B2545)&lt;=11,"AMBA","INTERIOR"))))</f>
        <v>R05</v>
      </c>
      <c r="W2545" s="38" t="str">
        <f>+IF(U2545="","-",CONCATENATE(U2545,"_",V2545))</f>
        <v>FINES_R05</v>
      </c>
      <c r="X2545" s="42">
        <v>0.61699999999999999</v>
      </c>
    </row>
    <row r="2546" spans="1:24">
      <c r="A2546" s="21" t="s">
        <v>5100</v>
      </c>
      <c r="B2546" t="s">
        <v>257</v>
      </c>
      <c r="C2546" t="s">
        <v>254</v>
      </c>
      <c r="D2546" t="s">
        <v>256</v>
      </c>
      <c r="E2546" s="7" t="s">
        <v>198</v>
      </c>
      <c r="F2546" s="7" t="s">
        <v>198</v>
      </c>
      <c r="G2546" s="7" t="s">
        <v>198</v>
      </c>
      <c r="H2546" s="7" t="s">
        <v>20</v>
      </c>
      <c r="I2546" s="7" t="s">
        <v>5102</v>
      </c>
      <c r="J2546" s="7" t="s">
        <v>21</v>
      </c>
      <c r="L2546" t="s">
        <v>806</v>
      </c>
      <c r="M2546" s="7" t="s">
        <v>22</v>
      </c>
      <c r="N2546" s="7" t="s">
        <v>23</v>
      </c>
      <c r="O2546" s="7" t="s">
        <v>27</v>
      </c>
      <c r="P2546" s="7" t="s">
        <v>5101</v>
      </c>
      <c r="Q2546" s="26">
        <v>13</v>
      </c>
      <c r="R2546" s="26">
        <v>1</v>
      </c>
      <c r="S2546" s="40">
        <v>1</v>
      </c>
      <c r="T2546" s="7"/>
      <c r="U2546" s="7" t="s">
        <v>2951</v>
      </c>
      <c r="V2546" s="7" t="str">
        <f>+IF(U2546="","",IF(U2546="FINES",CONCATENATE("R",IF(OR(B2546="16",B2546="21",B2546="22",B2546="23"),"16212223",IF(OR(B2546="15",B2546="17",B2546="24",B2546="25"),"15172425",B2546))),IF(U2546="CEBAS","UNICO",IF(VALUE(B2546)&lt;=11,"AMBA","INTERIOR"))))</f>
        <v>R05</v>
      </c>
      <c r="W2546" s="38" t="str">
        <f>+IF(U2546="","-",CONCATENATE(U2546,"_",V2546))</f>
        <v>FINES_R05</v>
      </c>
      <c r="X2546" s="42">
        <v>0.627</v>
      </c>
    </row>
    <row r="2547" spans="1:24">
      <c r="A2547" s="21" t="s">
        <v>5100</v>
      </c>
      <c r="B2547" t="s">
        <v>257</v>
      </c>
      <c r="C2547" t="s">
        <v>2337</v>
      </c>
      <c r="D2547" t="s">
        <v>2338</v>
      </c>
      <c r="E2547" s="7" t="s">
        <v>198</v>
      </c>
      <c r="F2547" s="7" t="s">
        <v>198</v>
      </c>
      <c r="G2547" s="7" t="s">
        <v>198</v>
      </c>
      <c r="H2547" s="7" t="s">
        <v>20</v>
      </c>
      <c r="I2547" s="7" t="s">
        <v>5102</v>
      </c>
      <c r="J2547" s="7" t="s">
        <v>21</v>
      </c>
      <c r="L2547" t="s">
        <v>3918</v>
      </c>
      <c r="M2547" s="7" t="s">
        <v>22</v>
      </c>
      <c r="N2547" s="7" t="s">
        <v>23</v>
      </c>
      <c r="O2547" s="7" t="s">
        <v>27</v>
      </c>
      <c r="P2547" s="7" t="s">
        <v>5101</v>
      </c>
      <c r="Q2547" s="26">
        <v>91</v>
      </c>
      <c r="R2547" s="26">
        <v>4</v>
      </c>
      <c r="S2547" s="40">
        <v>1</v>
      </c>
      <c r="T2547" s="7"/>
      <c r="U2547" s="7" t="s">
        <v>2951</v>
      </c>
      <c r="V2547" s="7" t="str">
        <f>+IF(U2547="","",IF(U2547="FINES",CONCATENATE("R",IF(OR(B2547="16",B2547="21",B2547="22",B2547="23"),"16212223",IF(OR(B2547="15",B2547="17",B2547="24",B2547="25"),"15172425",B2547))),IF(U2547="CEBAS","UNICO",IF(VALUE(B2547)&lt;=11,"AMBA","INTERIOR"))))</f>
        <v>R05</v>
      </c>
      <c r="W2547" s="38" t="str">
        <f>+IF(U2547="","-",CONCATENATE(U2547,"_",V2547))</f>
        <v>FINES_R05</v>
      </c>
      <c r="X2547" s="42">
        <v>0.63400000000000001</v>
      </c>
    </row>
    <row r="2548" spans="1:24">
      <c r="A2548" s="21" t="s">
        <v>5100</v>
      </c>
      <c r="B2548" t="s">
        <v>257</v>
      </c>
      <c r="C2548" t="s">
        <v>772</v>
      </c>
      <c r="D2548" t="s">
        <v>773</v>
      </c>
      <c r="E2548" s="7" t="s">
        <v>198</v>
      </c>
      <c r="F2548" s="7" t="s">
        <v>198</v>
      </c>
      <c r="G2548" s="7" t="s">
        <v>198</v>
      </c>
      <c r="H2548" s="7" t="s">
        <v>20</v>
      </c>
      <c r="I2548" s="7" t="s">
        <v>5102</v>
      </c>
      <c r="J2548" s="7" t="s">
        <v>21</v>
      </c>
      <c r="L2548" t="s">
        <v>3847</v>
      </c>
      <c r="M2548" s="7" t="s">
        <v>22</v>
      </c>
      <c r="N2548" s="7" t="s">
        <v>23</v>
      </c>
      <c r="O2548" s="7" t="s">
        <v>27</v>
      </c>
      <c r="P2548" s="7" t="s">
        <v>5101</v>
      </c>
      <c r="Q2548" s="26">
        <v>18</v>
      </c>
      <c r="R2548" s="26">
        <v>1</v>
      </c>
      <c r="S2548" s="40">
        <v>1</v>
      </c>
      <c r="T2548" s="7"/>
      <c r="U2548" s="7" t="s">
        <v>2951</v>
      </c>
      <c r="V2548" s="7" t="str">
        <f>+IF(U2548="","",IF(U2548="FINES",CONCATENATE("R",IF(OR(B2548="16",B2548="21",B2548="22",B2548="23"),"16212223",IF(OR(B2548="15",B2548="17",B2548="24",B2548="25"),"15172425",B2548))),IF(U2548="CEBAS","UNICO",IF(VALUE(B2548)&lt;=11,"AMBA","INTERIOR"))))</f>
        <v>R05</v>
      </c>
      <c r="W2548" s="38" t="str">
        <f>+IF(U2548="","-",CONCATENATE(U2548,"_",V2548))</f>
        <v>FINES_R05</v>
      </c>
      <c r="X2548" s="42">
        <v>0.63500000000000001</v>
      </c>
    </row>
    <row r="2549" spans="1:24">
      <c r="A2549" s="21" t="s">
        <v>5100</v>
      </c>
      <c r="B2549" t="s">
        <v>257</v>
      </c>
      <c r="C2549" t="s">
        <v>772</v>
      </c>
      <c r="D2549" t="s">
        <v>773</v>
      </c>
      <c r="E2549" s="7" t="s">
        <v>198</v>
      </c>
      <c r="F2549" s="7" t="s">
        <v>198</v>
      </c>
      <c r="G2549" s="7" t="s">
        <v>198</v>
      </c>
      <c r="H2549" s="7" t="s">
        <v>20</v>
      </c>
      <c r="I2549" s="7" t="s">
        <v>5102</v>
      </c>
      <c r="J2549" s="7" t="s">
        <v>21</v>
      </c>
      <c r="L2549" t="s">
        <v>3858</v>
      </c>
      <c r="M2549" s="7" t="s">
        <v>22</v>
      </c>
      <c r="N2549" s="7" t="s">
        <v>23</v>
      </c>
      <c r="O2549" s="7" t="s">
        <v>27</v>
      </c>
      <c r="P2549" s="7" t="s">
        <v>5101</v>
      </c>
      <c r="Q2549" s="26">
        <v>27</v>
      </c>
      <c r="R2549" s="26">
        <v>2</v>
      </c>
      <c r="S2549" s="40">
        <v>1</v>
      </c>
      <c r="T2549" s="7"/>
      <c r="U2549" s="7" t="s">
        <v>2951</v>
      </c>
      <c r="V2549" s="7" t="str">
        <f>+IF(U2549="","",IF(U2549="FINES",CONCATENATE("R",IF(OR(B2549="16",B2549="21",B2549="22",B2549="23"),"16212223",IF(OR(B2549="15",B2549="17",B2549="24",B2549="25"),"15172425",B2549))),IF(U2549="CEBAS","UNICO",IF(VALUE(B2549)&lt;=11,"AMBA","INTERIOR"))))</f>
        <v>R05</v>
      </c>
      <c r="W2549" s="38" t="str">
        <f>+IF(U2549="","-",CONCATENATE(U2549,"_",V2549))</f>
        <v>FINES_R05</v>
      </c>
      <c r="X2549" s="42">
        <v>0.64600000000000002</v>
      </c>
    </row>
    <row r="2550" spans="1:24">
      <c r="A2550" s="21" t="s">
        <v>5100</v>
      </c>
      <c r="B2550" t="s">
        <v>257</v>
      </c>
      <c r="C2550" t="s">
        <v>254</v>
      </c>
      <c r="D2550" t="s">
        <v>256</v>
      </c>
      <c r="E2550" s="7" t="s">
        <v>198</v>
      </c>
      <c r="F2550" s="7" t="s">
        <v>198</v>
      </c>
      <c r="G2550" s="7" t="s">
        <v>198</v>
      </c>
      <c r="H2550" s="7" t="s">
        <v>20</v>
      </c>
      <c r="I2550" s="7" t="s">
        <v>5102</v>
      </c>
      <c r="J2550" s="7" t="s">
        <v>21</v>
      </c>
      <c r="L2550" t="s">
        <v>3754</v>
      </c>
      <c r="M2550" s="7" t="s">
        <v>22</v>
      </c>
      <c r="N2550" s="7" t="s">
        <v>23</v>
      </c>
      <c r="O2550" s="7" t="s">
        <v>27</v>
      </c>
      <c r="P2550" s="7" t="s">
        <v>5101</v>
      </c>
      <c r="Q2550" s="26">
        <v>17</v>
      </c>
      <c r="R2550" s="26">
        <v>1</v>
      </c>
      <c r="S2550" s="40">
        <v>1</v>
      </c>
      <c r="T2550" s="7"/>
      <c r="U2550" s="7" t="s">
        <v>2951</v>
      </c>
      <c r="V2550" s="7" t="str">
        <f>+IF(U2550="","",IF(U2550="FINES",CONCATENATE("R",IF(OR(B2550="16",B2550="21",B2550="22",B2550="23"),"16212223",IF(OR(B2550="15",B2550="17",B2550="24",B2550="25"),"15172425",B2550))),IF(U2550="CEBAS","UNICO",IF(VALUE(B2550)&lt;=11,"AMBA","INTERIOR"))))</f>
        <v>R05</v>
      </c>
      <c r="W2550" s="38" t="str">
        <f>+IF(U2550="","-",CONCATENATE(U2550,"_",V2550))</f>
        <v>FINES_R05</v>
      </c>
      <c r="X2550" s="42">
        <v>0.64900000000000002</v>
      </c>
    </row>
    <row r="2551" spans="1:24">
      <c r="A2551" s="21" t="s">
        <v>5100</v>
      </c>
      <c r="B2551" t="s">
        <v>257</v>
      </c>
      <c r="C2551" t="s">
        <v>253</v>
      </c>
      <c r="D2551" t="s">
        <v>2759</v>
      </c>
      <c r="E2551" s="7" t="s">
        <v>198</v>
      </c>
      <c r="F2551" s="7" t="s">
        <v>198</v>
      </c>
      <c r="G2551" s="7" t="s">
        <v>198</v>
      </c>
      <c r="H2551" s="7" t="s">
        <v>20</v>
      </c>
      <c r="I2551" s="7" t="s">
        <v>5102</v>
      </c>
      <c r="J2551" s="7" t="s">
        <v>21</v>
      </c>
      <c r="L2551" t="s">
        <v>3909</v>
      </c>
      <c r="M2551" s="7" t="s">
        <v>22</v>
      </c>
      <c r="N2551" s="7" t="s">
        <v>23</v>
      </c>
      <c r="O2551" s="7" t="s">
        <v>27</v>
      </c>
      <c r="P2551" s="7" t="s">
        <v>5101</v>
      </c>
      <c r="Q2551" s="26">
        <v>17</v>
      </c>
      <c r="R2551" s="26">
        <v>1</v>
      </c>
      <c r="S2551" s="40">
        <v>1</v>
      </c>
      <c r="T2551" s="7"/>
      <c r="U2551" s="7" t="s">
        <v>2951</v>
      </c>
      <c r="V2551" s="7" t="str">
        <f>+IF(U2551="","",IF(U2551="FINES",CONCATENATE("R",IF(OR(B2551="16",B2551="21",B2551="22",B2551="23"),"16212223",IF(OR(B2551="15",B2551="17",B2551="24",B2551="25"),"15172425",B2551))),IF(U2551="CEBAS","UNICO",IF(VALUE(B2551)&lt;=11,"AMBA","INTERIOR"))))</f>
        <v>R05</v>
      </c>
      <c r="W2551" s="38" t="str">
        <f>+IF(U2551="","-",CONCATENATE(U2551,"_",V2551))</f>
        <v>FINES_R05</v>
      </c>
      <c r="X2551" s="42">
        <v>0.65400000000000003</v>
      </c>
    </row>
    <row r="2552" spans="1:24">
      <c r="A2552" s="21" t="s">
        <v>5100</v>
      </c>
      <c r="B2552" t="s">
        <v>257</v>
      </c>
      <c r="C2552" t="s">
        <v>772</v>
      </c>
      <c r="D2552" t="s">
        <v>773</v>
      </c>
      <c r="E2552" s="7" t="s">
        <v>198</v>
      </c>
      <c r="F2552" s="7" t="s">
        <v>198</v>
      </c>
      <c r="G2552" s="7" t="s">
        <v>198</v>
      </c>
      <c r="H2552" s="7" t="s">
        <v>20</v>
      </c>
      <c r="I2552" s="7" t="s">
        <v>5102</v>
      </c>
      <c r="J2552" s="7" t="s">
        <v>21</v>
      </c>
      <c r="L2552" t="s">
        <v>3859</v>
      </c>
      <c r="M2552" s="7" t="s">
        <v>22</v>
      </c>
      <c r="N2552" s="7" t="s">
        <v>23</v>
      </c>
      <c r="O2552" s="7" t="s">
        <v>27</v>
      </c>
      <c r="P2552" s="7" t="s">
        <v>5101</v>
      </c>
      <c r="Q2552" s="26">
        <v>15</v>
      </c>
      <c r="R2552" s="26">
        <v>1</v>
      </c>
      <c r="S2552" s="40">
        <v>1</v>
      </c>
      <c r="T2552" s="7"/>
      <c r="U2552" s="7" t="s">
        <v>2951</v>
      </c>
      <c r="V2552" s="7" t="str">
        <f>+IF(U2552="","",IF(U2552="FINES",CONCATENATE("R",IF(OR(B2552="16",B2552="21",B2552="22",B2552="23"),"16212223",IF(OR(B2552="15",B2552="17",B2552="24",B2552="25"),"15172425",B2552))),IF(U2552="CEBAS","UNICO",IF(VALUE(B2552)&lt;=11,"AMBA","INTERIOR"))))</f>
        <v>R05</v>
      </c>
      <c r="W2552" s="38" t="str">
        <f>+IF(U2552="","-",CONCATENATE(U2552,"_",V2552))</f>
        <v>FINES_R05</v>
      </c>
      <c r="X2552" s="42">
        <v>0.66500000000000004</v>
      </c>
    </row>
    <row r="2553" spans="1:24">
      <c r="A2553" s="21" t="s">
        <v>5100</v>
      </c>
      <c r="B2553" t="s">
        <v>257</v>
      </c>
      <c r="C2553" t="s">
        <v>254</v>
      </c>
      <c r="D2553" t="s">
        <v>256</v>
      </c>
      <c r="E2553" s="7" t="s">
        <v>198</v>
      </c>
      <c r="F2553" s="7" t="s">
        <v>198</v>
      </c>
      <c r="G2553" s="7" t="s">
        <v>198</v>
      </c>
      <c r="H2553" s="7" t="s">
        <v>20</v>
      </c>
      <c r="I2553" s="7" t="s">
        <v>5102</v>
      </c>
      <c r="J2553" s="7" t="s">
        <v>21</v>
      </c>
      <c r="L2553" t="s">
        <v>3731</v>
      </c>
      <c r="M2553" s="7" t="s">
        <v>22</v>
      </c>
      <c r="N2553" s="7" t="s">
        <v>23</v>
      </c>
      <c r="O2553" s="7" t="s">
        <v>27</v>
      </c>
      <c r="P2553" s="7" t="s">
        <v>5101</v>
      </c>
      <c r="Q2553" s="26">
        <v>46</v>
      </c>
      <c r="R2553" s="26">
        <v>2</v>
      </c>
      <c r="S2553" s="40">
        <v>1</v>
      </c>
      <c r="T2553" s="7"/>
      <c r="U2553" s="7" t="s">
        <v>2951</v>
      </c>
      <c r="V2553" s="7" t="str">
        <f>+IF(U2553="","",IF(U2553="FINES",CONCATENATE("R",IF(OR(B2553="16",B2553="21",B2553="22",B2553="23"),"16212223",IF(OR(B2553="15",B2553="17",B2553="24",B2553="25"),"15172425",B2553))),IF(U2553="CEBAS","UNICO",IF(VALUE(B2553)&lt;=11,"AMBA","INTERIOR"))))</f>
        <v>R05</v>
      </c>
      <c r="W2553" s="38" t="str">
        <f>+IF(U2553="","-",CONCATENATE(U2553,"_",V2553))</f>
        <v>FINES_R05</v>
      </c>
      <c r="X2553" s="42">
        <v>0.66800000000000004</v>
      </c>
    </row>
    <row r="2554" spans="1:24">
      <c r="A2554" s="21" t="s">
        <v>5100</v>
      </c>
      <c r="B2554" t="s">
        <v>257</v>
      </c>
      <c r="C2554" t="s">
        <v>254</v>
      </c>
      <c r="D2554" t="s">
        <v>256</v>
      </c>
      <c r="E2554" s="7" t="s">
        <v>198</v>
      </c>
      <c r="F2554" s="7" t="s">
        <v>198</v>
      </c>
      <c r="G2554" s="7" t="s">
        <v>198</v>
      </c>
      <c r="H2554" s="7" t="s">
        <v>20</v>
      </c>
      <c r="I2554" s="7" t="s">
        <v>5102</v>
      </c>
      <c r="J2554" s="7" t="s">
        <v>21</v>
      </c>
      <c r="L2554" t="s">
        <v>3765</v>
      </c>
      <c r="M2554" s="7" t="s">
        <v>22</v>
      </c>
      <c r="N2554" s="7" t="s">
        <v>23</v>
      </c>
      <c r="O2554" s="7" t="s">
        <v>27</v>
      </c>
      <c r="P2554" s="7" t="s">
        <v>5101</v>
      </c>
      <c r="Q2554" s="26">
        <v>26</v>
      </c>
      <c r="R2554" s="26">
        <v>1</v>
      </c>
      <c r="S2554" s="40">
        <v>1</v>
      </c>
      <c r="T2554" s="7"/>
      <c r="U2554" s="7" t="s">
        <v>2951</v>
      </c>
      <c r="V2554" s="7" t="str">
        <f>+IF(U2554="","",IF(U2554="FINES",CONCATENATE("R",IF(OR(B2554="16",B2554="21",B2554="22",B2554="23"),"16212223",IF(OR(B2554="15",B2554="17",B2554="24",B2554="25"),"15172425",B2554))),IF(U2554="CEBAS","UNICO",IF(VALUE(B2554)&lt;=11,"AMBA","INTERIOR"))))</f>
        <v>R05</v>
      </c>
      <c r="W2554" s="38" t="str">
        <f>+IF(U2554="","-",CONCATENATE(U2554,"_",V2554))</f>
        <v>FINES_R05</v>
      </c>
      <c r="X2554" s="42">
        <v>0.67600000000000005</v>
      </c>
    </row>
    <row r="2555" spans="1:24">
      <c r="A2555" s="21" t="s">
        <v>5100</v>
      </c>
      <c r="B2555" t="s">
        <v>257</v>
      </c>
      <c r="C2555" t="s">
        <v>415</v>
      </c>
      <c r="D2555" t="s">
        <v>2770</v>
      </c>
      <c r="E2555" s="7" t="s">
        <v>198</v>
      </c>
      <c r="F2555" s="7" t="s">
        <v>198</v>
      </c>
      <c r="G2555" s="7" t="s">
        <v>198</v>
      </c>
      <c r="H2555" s="7" t="s">
        <v>20</v>
      </c>
      <c r="I2555" s="7" t="s">
        <v>5102</v>
      </c>
      <c r="J2555" s="7" t="s">
        <v>21</v>
      </c>
      <c r="L2555" t="s">
        <v>3879</v>
      </c>
      <c r="M2555" s="7" t="s">
        <v>22</v>
      </c>
      <c r="N2555" s="7" t="s">
        <v>23</v>
      </c>
      <c r="O2555" s="7" t="s">
        <v>27</v>
      </c>
      <c r="P2555" s="7" t="s">
        <v>5101</v>
      </c>
      <c r="Q2555" s="26">
        <v>39</v>
      </c>
      <c r="R2555" s="26">
        <v>2</v>
      </c>
      <c r="S2555" s="40">
        <v>1</v>
      </c>
      <c r="T2555" s="7"/>
      <c r="U2555" s="7" t="s">
        <v>2951</v>
      </c>
      <c r="V2555" s="7" t="str">
        <f>+IF(U2555="","",IF(U2555="FINES",CONCATENATE("R",IF(OR(B2555="16",B2555="21",B2555="22",B2555="23"),"16212223",IF(OR(B2555="15",B2555="17",B2555="24",B2555="25"),"15172425",B2555))),IF(U2555="CEBAS","UNICO",IF(VALUE(B2555)&lt;=11,"AMBA","INTERIOR"))))</f>
        <v>R05</v>
      </c>
      <c r="W2555" s="38" t="str">
        <f>+IF(U2555="","-",CONCATENATE(U2555,"_",V2555))</f>
        <v>FINES_R05</v>
      </c>
      <c r="X2555" s="42">
        <v>0.67800000000000005</v>
      </c>
    </row>
    <row r="2556" spans="1:24">
      <c r="A2556" s="21" t="s">
        <v>5100</v>
      </c>
      <c r="B2556" t="s">
        <v>257</v>
      </c>
      <c r="C2556" t="s">
        <v>253</v>
      </c>
      <c r="D2556" t="s">
        <v>2759</v>
      </c>
      <c r="E2556" s="7" t="s">
        <v>198</v>
      </c>
      <c r="F2556" s="7" t="s">
        <v>198</v>
      </c>
      <c r="G2556" s="7" t="s">
        <v>198</v>
      </c>
      <c r="H2556" s="7" t="s">
        <v>20</v>
      </c>
      <c r="I2556" s="7" t="s">
        <v>5102</v>
      </c>
      <c r="J2556" s="7" t="s">
        <v>21</v>
      </c>
      <c r="L2556" t="s">
        <v>3905</v>
      </c>
      <c r="M2556" s="7" t="s">
        <v>22</v>
      </c>
      <c r="N2556" s="7" t="s">
        <v>23</v>
      </c>
      <c r="O2556" s="7" t="s">
        <v>27</v>
      </c>
      <c r="P2556" s="7" t="s">
        <v>5101</v>
      </c>
      <c r="Q2556" s="26">
        <v>186</v>
      </c>
      <c r="R2556" s="26">
        <v>6</v>
      </c>
      <c r="S2556" s="40">
        <v>1</v>
      </c>
      <c r="T2556" s="7"/>
      <c r="U2556" s="7" t="s">
        <v>2951</v>
      </c>
      <c r="V2556" s="7" t="str">
        <f>+IF(U2556="","",IF(U2556="FINES",CONCATENATE("R",IF(OR(B2556="16",B2556="21",B2556="22",B2556="23"),"16212223",IF(OR(B2556="15",B2556="17",B2556="24",B2556="25"),"15172425",B2556))),IF(U2556="CEBAS","UNICO",IF(VALUE(B2556)&lt;=11,"AMBA","INTERIOR"))))</f>
        <v>R05</v>
      </c>
      <c r="W2556" s="38" t="str">
        <f>+IF(U2556="","-",CONCATENATE(U2556,"_",V2556))</f>
        <v>FINES_R05</v>
      </c>
      <c r="X2556" s="42">
        <v>0.67800000000000005</v>
      </c>
    </row>
    <row r="2557" spans="1:24">
      <c r="A2557" s="21" t="s">
        <v>5100</v>
      </c>
      <c r="B2557" t="s">
        <v>257</v>
      </c>
      <c r="C2557" t="s">
        <v>254</v>
      </c>
      <c r="D2557" t="s">
        <v>256</v>
      </c>
      <c r="E2557" s="7" t="s">
        <v>198</v>
      </c>
      <c r="F2557" s="7" t="s">
        <v>198</v>
      </c>
      <c r="G2557" s="7" t="s">
        <v>198</v>
      </c>
      <c r="H2557" s="7" t="s">
        <v>20</v>
      </c>
      <c r="I2557" s="7" t="s">
        <v>5102</v>
      </c>
      <c r="J2557" s="7" t="s">
        <v>21</v>
      </c>
      <c r="L2557" t="s">
        <v>3747</v>
      </c>
      <c r="M2557" s="7" t="s">
        <v>22</v>
      </c>
      <c r="N2557" s="7" t="s">
        <v>23</v>
      </c>
      <c r="O2557" s="7" t="s">
        <v>27</v>
      </c>
      <c r="P2557" s="7" t="s">
        <v>5101</v>
      </c>
      <c r="Q2557" s="26">
        <v>23</v>
      </c>
      <c r="R2557" s="26">
        <v>1</v>
      </c>
      <c r="S2557" s="40">
        <v>1</v>
      </c>
      <c r="T2557" s="7"/>
      <c r="U2557" s="7" t="s">
        <v>2951</v>
      </c>
      <c r="V2557" s="7" t="str">
        <f>+IF(U2557="","",IF(U2557="FINES",CONCATENATE("R",IF(OR(B2557="16",B2557="21",B2557="22",B2557="23"),"16212223",IF(OR(B2557="15",B2557="17",B2557="24",B2557="25"),"15172425",B2557))),IF(U2557="CEBAS","UNICO",IF(VALUE(B2557)&lt;=11,"AMBA","INTERIOR"))))</f>
        <v>R05</v>
      </c>
      <c r="W2557" s="38" t="str">
        <f>+IF(U2557="","-",CONCATENATE(U2557,"_",V2557))</f>
        <v>FINES_R05</v>
      </c>
      <c r="X2557" s="42">
        <v>0.68100000000000005</v>
      </c>
    </row>
    <row r="2558" spans="1:24">
      <c r="A2558" s="21" t="s">
        <v>5100</v>
      </c>
      <c r="B2558" t="s">
        <v>257</v>
      </c>
      <c r="C2558" t="s">
        <v>254</v>
      </c>
      <c r="D2558" t="s">
        <v>256</v>
      </c>
      <c r="E2558" s="7" t="s">
        <v>198</v>
      </c>
      <c r="F2558" s="7" t="s">
        <v>198</v>
      </c>
      <c r="G2558" s="7" t="s">
        <v>198</v>
      </c>
      <c r="H2558" s="7" t="s">
        <v>20</v>
      </c>
      <c r="I2558" s="7" t="s">
        <v>5102</v>
      </c>
      <c r="J2558" s="7" t="s">
        <v>21</v>
      </c>
      <c r="L2558" t="s">
        <v>3809</v>
      </c>
      <c r="M2558" s="7" t="s">
        <v>22</v>
      </c>
      <c r="N2558" s="7" t="s">
        <v>23</v>
      </c>
      <c r="O2558" s="7" t="s">
        <v>27</v>
      </c>
      <c r="P2558" s="7" t="s">
        <v>5101</v>
      </c>
      <c r="Q2558" s="26">
        <v>215</v>
      </c>
      <c r="R2558" s="26">
        <v>8</v>
      </c>
      <c r="S2558" s="40">
        <v>1</v>
      </c>
      <c r="T2558" s="7"/>
      <c r="U2558" s="7" t="s">
        <v>2951</v>
      </c>
      <c r="V2558" s="7" t="str">
        <f>+IF(U2558="","",IF(U2558="FINES",CONCATENATE("R",IF(OR(B2558="16",B2558="21",B2558="22",B2558="23"),"16212223",IF(OR(B2558="15",B2558="17",B2558="24",B2558="25"),"15172425",B2558))),IF(U2558="CEBAS","UNICO",IF(VALUE(B2558)&lt;=11,"AMBA","INTERIOR"))))</f>
        <v>R05</v>
      </c>
      <c r="W2558" s="38" t="str">
        <f>+IF(U2558="","-",CONCATENATE(U2558,"_",V2558))</f>
        <v>FINES_R05</v>
      </c>
      <c r="X2558" s="42">
        <v>0.68500000000000005</v>
      </c>
    </row>
    <row r="2559" spans="1:24">
      <c r="A2559" s="21" t="s">
        <v>5100</v>
      </c>
      <c r="B2559" t="s">
        <v>257</v>
      </c>
      <c r="C2559" t="s">
        <v>253</v>
      </c>
      <c r="D2559" t="s">
        <v>2759</v>
      </c>
      <c r="E2559" s="7" t="s">
        <v>198</v>
      </c>
      <c r="F2559" s="7" t="s">
        <v>198</v>
      </c>
      <c r="G2559" s="7" t="s">
        <v>198</v>
      </c>
      <c r="H2559" s="7" t="s">
        <v>20</v>
      </c>
      <c r="I2559" s="7" t="s">
        <v>5102</v>
      </c>
      <c r="J2559" s="7" t="s">
        <v>21</v>
      </c>
      <c r="L2559" t="s">
        <v>3899</v>
      </c>
      <c r="M2559" s="7" t="s">
        <v>22</v>
      </c>
      <c r="N2559" s="7" t="s">
        <v>23</v>
      </c>
      <c r="O2559" s="7" t="s">
        <v>27</v>
      </c>
      <c r="P2559" s="7" t="s">
        <v>5101</v>
      </c>
      <c r="Q2559" s="26">
        <v>155</v>
      </c>
      <c r="R2559" s="26">
        <v>5</v>
      </c>
      <c r="S2559" s="40">
        <v>1</v>
      </c>
      <c r="T2559" s="7"/>
      <c r="U2559" s="7" t="s">
        <v>2951</v>
      </c>
      <c r="V2559" s="7" t="str">
        <f>+IF(U2559="","",IF(U2559="FINES",CONCATENATE("R",IF(OR(B2559="16",B2559="21",B2559="22",B2559="23"),"16212223",IF(OR(B2559="15",B2559="17",B2559="24",B2559="25"),"15172425",B2559))),IF(U2559="CEBAS","UNICO",IF(VALUE(B2559)&lt;=11,"AMBA","INTERIOR"))))</f>
        <v>R05</v>
      </c>
      <c r="W2559" s="38" t="str">
        <f>+IF(U2559="","-",CONCATENATE(U2559,"_",V2559))</f>
        <v>FINES_R05</v>
      </c>
      <c r="X2559" s="42">
        <v>0.68600000000000005</v>
      </c>
    </row>
    <row r="2560" spans="1:24">
      <c r="A2560" s="21" t="s">
        <v>5100</v>
      </c>
      <c r="B2560" t="s">
        <v>257</v>
      </c>
      <c r="C2560" t="s">
        <v>254</v>
      </c>
      <c r="D2560" t="s">
        <v>256</v>
      </c>
      <c r="E2560" s="7" t="s">
        <v>198</v>
      </c>
      <c r="F2560" s="7" t="s">
        <v>198</v>
      </c>
      <c r="G2560" s="7" t="s">
        <v>198</v>
      </c>
      <c r="H2560" s="7" t="s">
        <v>20</v>
      </c>
      <c r="I2560" s="7" t="s">
        <v>5102</v>
      </c>
      <c r="J2560" s="7" t="s">
        <v>21</v>
      </c>
      <c r="L2560" t="s">
        <v>3823</v>
      </c>
      <c r="M2560" s="7" t="s">
        <v>22</v>
      </c>
      <c r="N2560" s="7" t="s">
        <v>23</v>
      </c>
      <c r="O2560" s="7" t="s">
        <v>27</v>
      </c>
      <c r="P2560" s="7" t="s">
        <v>5101</v>
      </c>
      <c r="Q2560" s="26">
        <v>45</v>
      </c>
      <c r="R2560" s="26">
        <v>2</v>
      </c>
      <c r="S2560" s="40">
        <v>1</v>
      </c>
      <c r="T2560" s="7"/>
      <c r="U2560" s="7" t="s">
        <v>2951</v>
      </c>
      <c r="V2560" s="7" t="str">
        <f>+IF(U2560="","",IF(U2560="FINES",CONCATENATE("R",IF(OR(B2560="16",B2560="21",B2560="22",B2560="23"),"16212223",IF(OR(B2560="15",B2560="17",B2560="24",B2560="25"),"15172425",B2560))),IF(U2560="CEBAS","UNICO",IF(VALUE(B2560)&lt;=11,"AMBA","INTERIOR"))))</f>
        <v>R05</v>
      </c>
      <c r="W2560" s="38" t="str">
        <f>+IF(U2560="","-",CONCATENATE(U2560,"_",V2560))</f>
        <v>FINES_R05</v>
      </c>
      <c r="X2560" s="42">
        <v>0.69099999999999995</v>
      </c>
    </row>
    <row r="2561" spans="1:24">
      <c r="A2561" s="21" t="s">
        <v>5100</v>
      </c>
      <c r="B2561" t="s">
        <v>257</v>
      </c>
      <c r="C2561" t="s">
        <v>254</v>
      </c>
      <c r="D2561" t="s">
        <v>256</v>
      </c>
      <c r="E2561" s="7" t="s">
        <v>198</v>
      </c>
      <c r="F2561" s="7" t="s">
        <v>198</v>
      </c>
      <c r="G2561" s="7" t="s">
        <v>198</v>
      </c>
      <c r="H2561" s="7" t="s">
        <v>20</v>
      </c>
      <c r="I2561" s="7" t="s">
        <v>5102</v>
      </c>
      <c r="J2561" s="7" t="s">
        <v>21</v>
      </c>
      <c r="L2561" t="s">
        <v>3735</v>
      </c>
      <c r="M2561" s="7" t="s">
        <v>22</v>
      </c>
      <c r="N2561" s="7" t="s">
        <v>23</v>
      </c>
      <c r="O2561" s="7" t="s">
        <v>27</v>
      </c>
      <c r="P2561" s="7" t="s">
        <v>5101</v>
      </c>
      <c r="Q2561" s="26">
        <v>43</v>
      </c>
      <c r="R2561" s="26">
        <v>2</v>
      </c>
      <c r="S2561" s="40">
        <v>1</v>
      </c>
      <c r="T2561" s="7"/>
      <c r="U2561" s="7" t="s">
        <v>2951</v>
      </c>
      <c r="V2561" s="7" t="str">
        <f>+IF(U2561="","",IF(U2561="FINES",CONCATENATE("R",IF(OR(B2561="16",B2561="21",B2561="22",B2561="23"),"16212223",IF(OR(B2561="15",B2561="17",B2561="24",B2561="25"),"15172425",B2561))),IF(U2561="CEBAS","UNICO",IF(VALUE(B2561)&lt;=11,"AMBA","INTERIOR"))))</f>
        <v>R05</v>
      </c>
      <c r="W2561" s="38" t="str">
        <f>+IF(U2561="","-",CONCATENATE(U2561,"_",V2561))</f>
        <v>FINES_R05</v>
      </c>
      <c r="X2561" s="42">
        <v>0.69399999999999995</v>
      </c>
    </row>
    <row r="2562" spans="1:24">
      <c r="A2562" s="21" t="s">
        <v>5100</v>
      </c>
      <c r="B2562" t="s">
        <v>257</v>
      </c>
      <c r="C2562" t="s">
        <v>772</v>
      </c>
      <c r="D2562" t="s">
        <v>773</v>
      </c>
      <c r="E2562" s="7" t="s">
        <v>198</v>
      </c>
      <c r="F2562" s="7" t="s">
        <v>198</v>
      </c>
      <c r="G2562" s="7" t="s">
        <v>198</v>
      </c>
      <c r="H2562" s="7" t="s">
        <v>20</v>
      </c>
      <c r="I2562" s="7" t="s">
        <v>5102</v>
      </c>
      <c r="J2562" s="7" t="s">
        <v>21</v>
      </c>
      <c r="L2562" t="s">
        <v>3863</v>
      </c>
      <c r="M2562" s="7" t="s">
        <v>22</v>
      </c>
      <c r="N2562" s="7" t="s">
        <v>23</v>
      </c>
      <c r="O2562" s="7" t="s">
        <v>27</v>
      </c>
      <c r="P2562" s="7" t="s">
        <v>5101</v>
      </c>
      <c r="Q2562" s="26">
        <v>108</v>
      </c>
      <c r="R2562" s="26">
        <v>4</v>
      </c>
      <c r="S2562" s="40">
        <v>1</v>
      </c>
      <c r="T2562" s="7"/>
      <c r="U2562" s="7" t="s">
        <v>2951</v>
      </c>
      <c r="V2562" s="7" t="str">
        <f>+IF(U2562="","",IF(U2562="FINES",CONCATENATE("R",IF(OR(B2562="16",B2562="21",B2562="22",B2562="23"),"16212223",IF(OR(B2562="15",B2562="17",B2562="24",B2562="25"),"15172425",B2562))),IF(U2562="CEBAS","UNICO",IF(VALUE(B2562)&lt;=11,"AMBA","INTERIOR"))))</f>
        <v>R05</v>
      </c>
      <c r="W2562" s="38" t="str">
        <f>+IF(U2562="","-",CONCATENATE(U2562,"_",V2562))</f>
        <v>FINES_R05</v>
      </c>
      <c r="X2562" s="42">
        <v>0.69699999999999995</v>
      </c>
    </row>
    <row r="2563" spans="1:24">
      <c r="A2563" s="21" t="s">
        <v>5100</v>
      </c>
      <c r="B2563" t="s">
        <v>257</v>
      </c>
      <c r="C2563" t="s">
        <v>254</v>
      </c>
      <c r="D2563" t="s">
        <v>256</v>
      </c>
      <c r="E2563" s="7" t="s">
        <v>198</v>
      </c>
      <c r="F2563" s="7" t="s">
        <v>198</v>
      </c>
      <c r="G2563" s="7" t="s">
        <v>198</v>
      </c>
      <c r="H2563" s="7" t="s">
        <v>20</v>
      </c>
      <c r="I2563" s="7" t="s">
        <v>5102</v>
      </c>
      <c r="J2563" s="7" t="s">
        <v>21</v>
      </c>
      <c r="L2563" t="s">
        <v>3791</v>
      </c>
      <c r="M2563" s="7" t="s">
        <v>22</v>
      </c>
      <c r="N2563" s="7" t="s">
        <v>23</v>
      </c>
      <c r="O2563" s="7" t="s">
        <v>27</v>
      </c>
      <c r="P2563" s="7" t="s">
        <v>5101</v>
      </c>
      <c r="Q2563" s="26">
        <v>33</v>
      </c>
      <c r="R2563" s="26">
        <v>1</v>
      </c>
      <c r="S2563" s="40">
        <v>1</v>
      </c>
      <c r="T2563" s="7"/>
      <c r="U2563" s="7" t="s">
        <v>2951</v>
      </c>
      <c r="V2563" s="7" t="str">
        <f>+IF(U2563="","",IF(U2563="FINES",CONCATENATE("R",IF(OR(B2563="16",B2563="21",B2563="22",B2563="23"),"16212223",IF(OR(B2563="15",B2563="17",B2563="24",B2563="25"),"15172425",B2563))),IF(U2563="CEBAS","UNICO",IF(VALUE(B2563)&lt;=11,"AMBA","INTERIOR"))))</f>
        <v>R05</v>
      </c>
      <c r="W2563" s="38" t="str">
        <f>+IF(U2563="","-",CONCATENATE(U2563,"_",V2563))</f>
        <v>FINES_R05</v>
      </c>
      <c r="X2563" s="42">
        <v>0.70799999999999996</v>
      </c>
    </row>
    <row r="2564" spans="1:24">
      <c r="A2564" s="21" t="s">
        <v>5100</v>
      </c>
      <c r="B2564" t="s">
        <v>257</v>
      </c>
      <c r="C2564" t="s">
        <v>772</v>
      </c>
      <c r="D2564" t="s">
        <v>773</v>
      </c>
      <c r="E2564" s="7" t="s">
        <v>198</v>
      </c>
      <c r="F2564" s="7" t="s">
        <v>198</v>
      </c>
      <c r="G2564" s="7" t="s">
        <v>198</v>
      </c>
      <c r="H2564" s="7" t="s">
        <v>20</v>
      </c>
      <c r="I2564" s="7" t="s">
        <v>5102</v>
      </c>
      <c r="J2564" s="7" t="s">
        <v>21</v>
      </c>
      <c r="L2564" t="s">
        <v>3855</v>
      </c>
      <c r="M2564" s="7" t="s">
        <v>22</v>
      </c>
      <c r="N2564" s="7" t="s">
        <v>23</v>
      </c>
      <c r="O2564" s="7" t="s">
        <v>27</v>
      </c>
      <c r="P2564" s="7" t="s">
        <v>5101</v>
      </c>
      <c r="Q2564" s="26">
        <v>30</v>
      </c>
      <c r="R2564" s="26">
        <v>1</v>
      </c>
      <c r="S2564" s="40">
        <v>1</v>
      </c>
      <c r="T2564" s="7"/>
      <c r="U2564" s="7" t="s">
        <v>2951</v>
      </c>
      <c r="V2564" s="7" t="str">
        <f>+IF(U2564="","",IF(U2564="FINES",CONCATENATE("R",IF(OR(B2564="16",B2564="21",B2564="22",B2564="23"),"16212223",IF(OR(B2564="15",B2564="17",B2564="24",B2564="25"),"15172425",B2564))),IF(U2564="CEBAS","UNICO",IF(VALUE(B2564)&lt;=11,"AMBA","INTERIOR"))))</f>
        <v>R05</v>
      </c>
      <c r="W2564" s="38" t="str">
        <f>+IF(U2564="","-",CONCATENATE(U2564,"_",V2564))</f>
        <v>FINES_R05</v>
      </c>
      <c r="X2564" s="42">
        <v>0.71499999999999997</v>
      </c>
    </row>
    <row r="2565" spans="1:24">
      <c r="A2565" s="21" t="s">
        <v>5100</v>
      </c>
      <c r="B2565" t="s">
        <v>257</v>
      </c>
      <c r="C2565" t="s">
        <v>772</v>
      </c>
      <c r="D2565" t="s">
        <v>773</v>
      </c>
      <c r="E2565" s="7" t="s">
        <v>198</v>
      </c>
      <c r="F2565" s="7" t="s">
        <v>198</v>
      </c>
      <c r="G2565" s="7" t="s">
        <v>198</v>
      </c>
      <c r="H2565" s="7" t="s">
        <v>20</v>
      </c>
      <c r="I2565" s="7" t="s">
        <v>5102</v>
      </c>
      <c r="J2565" s="7" t="s">
        <v>21</v>
      </c>
      <c r="L2565" t="s">
        <v>3854</v>
      </c>
      <c r="M2565" s="7" t="s">
        <v>22</v>
      </c>
      <c r="N2565" s="7" t="s">
        <v>23</v>
      </c>
      <c r="O2565" s="7" t="s">
        <v>27</v>
      </c>
      <c r="P2565" s="7" t="s">
        <v>5101</v>
      </c>
      <c r="Q2565" s="26">
        <v>26</v>
      </c>
      <c r="R2565" s="26">
        <v>1</v>
      </c>
      <c r="S2565" s="40">
        <v>1</v>
      </c>
      <c r="T2565" s="7"/>
      <c r="U2565" s="7" t="s">
        <v>2951</v>
      </c>
      <c r="V2565" s="7" t="str">
        <f>+IF(U2565="","",IF(U2565="FINES",CONCATENATE("R",IF(OR(B2565="16",B2565="21",B2565="22",B2565="23"),"16212223",IF(OR(B2565="15",B2565="17",B2565="24",B2565="25"),"15172425",B2565))),IF(U2565="CEBAS","UNICO",IF(VALUE(B2565)&lt;=11,"AMBA","INTERIOR"))))</f>
        <v>R05</v>
      </c>
      <c r="W2565" s="38" t="str">
        <f>+IF(U2565="","-",CONCATENATE(U2565,"_",V2565))</f>
        <v>FINES_R05</v>
      </c>
      <c r="X2565" s="42">
        <v>0.72099999999999997</v>
      </c>
    </row>
    <row r="2566" spans="1:24">
      <c r="A2566" s="21" t="s">
        <v>5100</v>
      </c>
      <c r="B2566" t="s">
        <v>257</v>
      </c>
      <c r="C2566" t="s">
        <v>254</v>
      </c>
      <c r="D2566" t="s">
        <v>256</v>
      </c>
      <c r="E2566" s="7" t="s">
        <v>198</v>
      </c>
      <c r="F2566" s="7" t="s">
        <v>198</v>
      </c>
      <c r="G2566" s="7" t="s">
        <v>198</v>
      </c>
      <c r="H2566" s="7" t="s">
        <v>20</v>
      </c>
      <c r="I2566" s="7" t="s">
        <v>5102</v>
      </c>
      <c r="J2566" s="7" t="s">
        <v>21</v>
      </c>
      <c r="L2566" t="s">
        <v>3789</v>
      </c>
      <c r="M2566" s="7" t="s">
        <v>22</v>
      </c>
      <c r="N2566" s="7" t="s">
        <v>23</v>
      </c>
      <c r="O2566" s="7" t="s">
        <v>27</v>
      </c>
      <c r="P2566" s="7" t="s">
        <v>5101</v>
      </c>
      <c r="Q2566" s="26">
        <v>3</v>
      </c>
      <c r="R2566" s="26">
        <v>1</v>
      </c>
      <c r="S2566" s="40">
        <v>1</v>
      </c>
      <c r="T2566" s="7"/>
      <c r="U2566" s="7" t="s">
        <v>2951</v>
      </c>
      <c r="V2566" s="7" t="str">
        <f>+IF(U2566="","",IF(U2566="FINES",CONCATENATE("R",IF(OR(B2566="16",B2566="21",B2566="22",B2566="23"),"16212223",IF(OR(B2566="15",B2566="17",B2566="24",B2566="25"),"15172425",B2566))),IF(U2566="CEBAS","UNICO",IF(VALUE(B2566)&lt;=11,"AMBA","INTERIOR"))))</f>
        <v>R05</v>
      </c>
      <c r="W2566" s="38" t="str">
        <f>+IF(U2566="","-",CONCATENATE(U2566,"_",V2566))</f>
        <v>FINES_R05</v>
      </c>
      <c r="X2566" s="42">
        <v>0.72199999999999998</v>
      </c>
    </row>
    <row r="2567" spans="1:24">
      <c r="A2567" s="21" t="s">
        <v>5100</v>
      </c>
      <c r="B2567" t="s">
        <v>257</v>
      </c>
      <c r="C2567" t="s">
        <v>2337</v>
      </c>
      <c r="D2567" t="s">
        <v>2338</v>
      </c>
      <c r="E2567" s="7" t="s">
        <v>198</v>
      </c>
      <c r="F2567" s="7" t="s">
        <v>198</v>
      </c>
      <c r="G2567" s="7" t="s">
        <v>198</v>
      </c>
      <c r="H2567" s="7" t="s">
        <v>20</v>
      </c>
      <c r="I2567" s="7" t="s">
        <v>5102</v>
      </c>
      <c r="J2567" s="7" t="s">
        <v>21</v>
      </c>
      <c r="L2567" t="s">
        <v>3925</v>
      </c>
      <c r="M2567" s="7" t="s">
        <v>22</v>
      </c>
      <c r="N2567" s="7" t="s">
        <v>23</v>
      </c>
      <c r="O2567" s="7" t="s">
        <v>27</v>
      </c>
      <c r="P2567" s="7" t="s">
        <v>5101</v>
      </c>
      <c r="Q2567" s="26">
        <v>14</v>
      </c>
      <c r="R2567" s="26">
        <v>1</v>
      </c>
      <c r="S2567" s="40">
        <v>1</v>
      </c>
      <c r="T2567" s="7"/>
      <c r="U2567" s="7" t="s">
        <v>2951</v>
      </c>
      <c r="V2567" s="7" t="str">
        <f>+IF(U2567="","",IF(U2567="FINES",CONCATENATE("R",IF(OR(B2567="16",B2567="21",B2567="22",B2567="23"),"16212223",IF(OR(B2567="15",B2567="17",B2567="24",B2567="25"),"15172425",B2567))),IF(U2567="CEBAS","UNICO",IF(VALUE(B2567)&lt;=11,"AMBA","INTERIOR"))))</f>
        <v>R05</v>
      </c>
      <c r="W2567" s="38" t="str">
        <f>+IF(U2567="","-",CONCATENATE(U2567,"_",V2567))</f>
        <v>FINES_R05</v>
      </c>
      <c r="X2567" s="42">
        <v>0.74299999999999999</v>
      </c>
    </row>
    <row r="2568" spans="1:24">
      <c r="A2568" s="21" t="s">
        <v>5100</v>
      </c>
      <c r="B2568" t="s">
        <v>257</v>
      </c>
      <c r="C2568" t="s">
        <v>254</v>
      </c>
      <c r="D2568" t="s">
        <v>256</v>
      </c>
      <c r="E2568" s="7" t="s">
        <v>198</v>
      </c>
      <c r="F2568" s="7" t="s">
        <v>198</v>
      </c>
      <c r="G2568" s="7" t="s">
        <v>198</v>
      </c>
      <c r="H2568" s="7" t="s">
        <v>20</v>
      </c>
      <c r="I2568" s="7" t="s">
        <v>5102</v>
      </c>
      <c r="J2568" s="7" t="s">
        <v>21</v>
      </c>
      <c r="L2568" t="s">
        <v>3780</v>
      </c>
      <c r="M2568" s="7" t="s">
        <v>22</v>
      </c>
      <c r="N2568" s="7" t="s">
        <v>23</v>
      </c>
      <c r="O2568" s="7" t="s">
        <v>27</v>
      </c>
      <c r="P2568" s="7" t="s">
        <v>5101</v>
      </c>
      <c r="Q2568" s="26">
        <v>37</v>
      </c>
      <c r="R2568" s="26">
        <v>1</v>
      </c>
      <c r="S2568" s="40">
        <v>1</v>
      </c>
      <c r="T2568" s="7"/>
      <c r="U2568" s="7" t="s">
        <v>2951</v>
      </c>
      <c r="V2568" s="7" t="str">
        <f>+IF(U2568="","",IF(U2568="FINES",CONCATENATE("R",IF(OR(B2568="16",B2568="21",B2568="22",B2568="23"),"16212223",IF(OR(B2568="15",B2568="17",B2568="24",B2568="25"),"15172425",B2568))),IF(U2568="CEBAS","UNICO",IF(VALUE(B2568)&lt;=11,"AMBA","INTERIOR"))))</f>
        <v>R05</v>
      </c>
      <c r="W2568" s="38" t="str">
        <f>+IF(U2568="","-",CONCATENATE(U2568,"_",V2568))</f>
        <v>FINES_R05</v>
      </c>
      <c r="X2568" s="42">
        <v>0.746</v>
      </c>
    </row>
    <row r="2569" spans="1:24">
      <c r="A2569" s="21" t="s">
        <v>5100</v>
      </c>
      <c r="B2569" t="s">
        <v>257</v>
      </c>
      <c r="C2569" t="s">
        <v>254</v>
      </c>
      <c r="D2569" t="s">
        <v>256</v>
      </c>
      <c r="E2569" s="7" t="s">
        <v>198</v>
      </c>
      <c r="F2569" s="7" t="s">
        <v>198</v>
      </c>
      <c r="G2569" s="7" t="s">
        <v>198</v>
      </c>
      <c r="H2569" s="7" t="s">
        <v>20</v>
      </c>
      <c r="I2569" s="7" t="s">
        <v>5102</v>
      </c>
      <c r="J2569" s="7" t="s">
        <v>21</v>
      </c>
      <c r="L2569" t="s">
        <v>3793</v>
      </c>
      <c r="M2569" s="7" t="s">
        <v>22</v>
      </c>
      <c r="N2569" s="7" t="s">
        <v>23</v>
      </c>
      <c r="O2569" s="7" t="s">
        <v>27</v>
      </c>
      <c r="P2569" s="7" t="s">
        <v>5101</v>
      </c>
      <c r="Q2569" s="26">
        <v>21</v>
      </c>
      <c r="R2569" s="26">
        <v>1</v>
      </c>
      <c r="S2569" s="40">
        <v>1</v>
      </c>
      <c r="T2569" s="7"/>
      <c r="U2569" s="7" t="s">
        <v>2951</v>
      </c>
      <c r="V2569" s="7" t="str">
        <f>+IF(U2569="","",IF(U2569="FINES",CONCATENATE("R",IF(OR(B2569="16",B2569="21",B2569="22",B2569="23"),"16212223",IF(OR(B2569="15",B2569="17",B2569="24",B2569="25"),"15172425",B2569))),IF(U2569="CEBAS","UNICO",IF(VALUE(B2569)&lt;=11,"AMBA","INTERIOR"))))</f>
        <v>R05</v>
      </c>
      <c r="W2569" s="38" t="str">
        <f>+IF(U2569="","-",CONCATENATE(U2569,"_",V2569))</f>
        <v>FINES_R05</v>
      </c>
      <c r="X2569" s="42">
        <v>0.751</v>
      </c>
    </row>
    <row r="2570" spans="1:24">
      <c r="A2570" s="21" t="s">
        <v>5100</v>
      </c>
      <c r="B2570" t="s">
        <v>257</v>
      </c>
      <c r="C2570" t="s">
        <v>415</v>
      </c>
      <c r="D2570" t="s">
        <v>2770</v>
      </c>
      <c r="E2570" s="7" t="s">
        <v>198</v>
      </c>
      <c r="F2570" s="7" t="s">
        <v>198</v>
      </c>
      <c r="G2570" s="7" t="s">
        <v>198</v>
      </c>
      <c r="H2570" s="7" t="s">
        <v>20</v>
      </c>
      <c r="I2570" s="7" t="s">
        <v>5102</v>
      </c>
      <c r="J2570" s="7" t="s">
        <v>21</v>
      </c>
      <c r="L2570" t="s">
        <v>3872</v>
      </c>
      <c r="M2570" s="7" t="s">
        <v>22</v>
      </c>
      <c r="N2570" s="7" t="s">
        <v>23</v>
      </c>
      <c r="O2570" s="7" t="s">
        <v>27</v>
      </c>
      <c r="P2570" s="7" t="s">
        <v>5101</v>
      </c>
      <c r="Q2570" s="26">
        <v>17</v>
      </c>
      <c r="R2570" s="26">
        <v>1</v>
      </c>
      <c r="S2570" s="40">
        <v>1</v>
      </c>
      <c r="T2570" s="7"/>
      <c r="U2570" s="7" t="s">
        <v>2951</v>
      </c>
      <c r="V2570" s="7" t="str">
        <f>+IF(U2570="","",IF(U2570="FINES",CONCATENATE("R",IF(OR(B2570="16",B2570="21",B2570="22",B2570="23"),"16212223",IF(OR(B2570="15",B2570="17",B2570="24",B2570="25"),"15172425",B2570))),IF(U2570="CEBAS","UNICO",IF(VALUE(B2570)&lt;=11,"AMBA","INTERIOR"))))</f>
        <v>R05</v>
      </c>
      <c r="W2570" s="38" t="str">
        <f>+IF(U2570="","-",CONCATENATE(U2570,"_",V2570))</f>
        <v>FINES_R05</v>
      </c>
      <c r="X2570" s="42">
        <v>0.75800000000000001</v>
      </c>
    </row>
    <row r="2571" spans="1:24">
      <c r="A2571" s="21" t="s">
        <v>5100</v>
      </c>
      <c r="B2571" t="s">
        <v>257</v>
      </c>
      <c r="C2571" t="s">
        <v>254</v>
      </c>
      <c r="D2571" t="s">
        <v>256</v>
      </c>
      <c r="E2571" s="7" t="s">
        <v>198</v>
      </c>
      <c r="F2571" s="7" t="s">
        <v>198</v>
      </c>
      <c r="G2571" s="7" t="s">
        <v>198</v>
      </c>
      <c r="H2571" s="7" t="s">
        <v>20</v>
      </c>
      <c r="I2571" s="7" t="s">
        <v>5102</v>
      </c>
      <c r="J2571" s="7" t="s">
        <v>21</v>
      </c>
      <c r="L2571" t="s">
        <v>3767</v>
      </c>
      <c r="M2571" s="7" t="s">
        <v>22</v>
      </c>
      <c r="N2571" s="7" t="s">
        <v>23</v>
      </c>
      <c r="O2571" s="7" t="s">
        <v>27</v>
      </c>
      <c r="P2571" s="7" t="s">
        <v>5101</v>
      </c>
      <c r="Q2571" s="26">
        <v>114</v>
      </c>
      <c r="R2571" s="26">
        <v>5</v>
      </c>
      <c r="S2571" s="40">
        <v>1</v>
      </c>
      <c r="T2571" s="7"/>
      <c r="U2571" s="7" t="s">
        <v>2951</v>
      </c>
      <c r="V2571" s="7" t="str">
        <f>+IF(U2571="","",IF(U2571="FINES",CONCATENATE("R",IF(OR(B2571="16",B2571="21",B2571="22",B2571="23"),"16212223",IF(OR(B2571="15",B2571="17",B2571="24",B2571="25"),"15172425",B2571))),IF(U2571="CEBAS","UNICO",IF(VALUE(B2571)&lt;=11,"AMBA","INTERIOR"))))</f>
        <v>R05</v>
      </c>
      <c r="W2571" s="38" t="str">
        <f>+IF(U2571="","-",CONCATENATE(U2571,"_",V2571))</f>
        <v>FINES_R05</v>
      </c>
      <c r="X2571" s="42">
        <v>0.76600000000000001</v>
      </c>
    </row>
    <row r="2572" spans="1:24">
      <c r="A2572" s="21" t="s">
        <v>5100</v>
      </c>
      <c r="B2572" t="s">
        <v>257</v>
      </c>
      <c r="C2572" t="s">
        <v>415</v>
      </c>
      <c r="D2572" t="s">
        <v>2770</v>
      </c>
      <c r="E2572" s="7" t="s">
        <v>198</v>
      </c>
      <c r="F2572" s="7" t="s">
        <v>198</v>
      </c>
      <c r="G2572" s="7" t="s">
        <v>198</v>
      </c>
      <c r="H2572" s="7" t="s">
        <v>20</v>
      </c>
      <c r="I2572" s="7" t="s">
        <v>5102</v>
      </c>
      <c r="J2572" s="7" t="s">
        <v>21</v>
      </c>
      <c r="L2572" t="s">
        <v>3883</v>
      </c>
      <c r="M2572" s="7" t="s">
        <v>22</v>
      </c>
      <c r="N2572" s="7" t="s">
        <v>23</v>
      </c>
      <c r="O2572" s="7" t="s">
        <v>27</v>
      </c>
      <c r="P2572" s="7" t="s">
        <v>5101</v>
      </c>
      <c r="Q2572" s="26">
        <v>139</v>
      </c>
      <c r="R2572" s="26">
        <v>5</v>
      </c>
      <c r="S2572" s="40">
        <v>1</v>
      </c>
      <c r="T2572" s="7"/>
      <c r="U2572" s="7" t="s">
        <v>2951</v>
      </c>
      <c r="V2572" s="7" t="str">
        <f>+IF(U2572="","",IF(U2572="FINES",CONCATENATE("R",IF(OR(B2572="16",B2572="21",B2572="22",B2572="23"),"16212223",IF(OR(B2572="15",B2572="17",B2572="24",B2572="25"),"15172425",B2572))),IF(U2572="CEBAS","UNICO",IF(VALUE(B2572)&lt;=11,"AMBA","INTERIOR"))))</f>
        <v>R05</v>
      </c>
      <c r="W2572" s="38" t="str">
        <f>+IF(U2572="","-",CONCATENATE(U2572,"_",V2572))</f>
        <v>FINES_R05</v>
      </c>
      <c r="X2572" s="42">
        <v>0.76600000000000001</v>
      </c>
    </row>
    <row r="2573" spans="1:24">
      <c r="A2573" s="21" t="s">
        <v>5100</v>
      </c>
      <c r="B2573" t="s">
        <v>257</v>
      </c>
      <c r="C2573" t="s">
        <v>772</v>
      </c>
      <c r="D2573" t="s">
        <v>773</v>
      </c>
      <c r="E2573" s="7" t="s">
        <v>198</v>
      </c>
      <c r="F2573" s="7" t="s">
        <v>198</v>
      </c>
      <c r="G2573" s="7" t="s">
        <v>198</v>
      </c>
      <c r="H2573" s="7" t="s">
        <v>20</v>
      </c>
      <c r="I2573" s="7" t="s">
        <v>5102</v>
      </c>
      <c r="J2573" s="7" t="s">
        <v>21</v>
      </c>
      <c r="L2573" t="s">
        <v>923</v>
      </c>
      <c r="M2573" s="7" t="s">
        <v>22</v>
      </c>
      <c r="N2573" s="7" t="s">
        <v>23</v>
      </c>
      <c r="O2573" s="7" t="s">
        <v>27</v>
      </c>
      <c r="P2573" s="7" t="s">
        <v>5101</v>
      </c>
      <c r="Q2573" s="26">
        <v>11</v>
      </c>
      <c r="R2573" s="26">
        <v>1</v>
      </c>
      <c r="S2573" s="40">
        <v>1</v>
      </c>
      <c r="T2573" s="7"/>
      <c r="U2573" s="7" t="s">
        <v>2951</v>
      </c>
      <c r="V2573" s="7" t="str">
        <f>+IF(U2573="","",IF(U2573="FINES",CONCATENATE("R",IF(OR(B2573="16",B2573="21",B2573="22",B2573="23"),"16212223",IF(OR(B2573="15",B2573="17",B2573="24",B2573="25"),"15172425",B2573))),IF(U2573="CEBAS","UNICO",IF(VALUE(B2573)&lt;=11,"AMBA","INTERIOR"))))</f>
        <v>R05</v>
      </c>
      <c r="W2573" s="38" t="str">
        <f>+IF(U2573="","-",CONCATENATE(U2573,"_",V2573))</f>
        <v>FINES_R05</v>
      </c>
      <c r="X2573" s="42">
        <v>0.77100000000000002</v>
      </c>
    </row>
    <row r="2574" spans="1:24">
      <c r="A2574" s="21" t="s">
        <v>5100</v>
      </c>
      <c r="B2574" t="s">
        <v>257</v>
      </c>
      <c r="C2574" t="s">
        <v>253</v>
      </c>
      <c r="D2574" t="s">
        <v>2759</v>
      </c>
      <c r="E2574" s="7" t="s">
        <v>198</v>
      </c>
      <c r="F2574" s="7" t="s">
        <v>198</v>
      </c>
      <c r="G2574" s="7" t="s">
        <v>198</v>
      </c>
      <c r="H2574" s="7" t="s">
        <v>20</v>
      </c>
      <c r="I2574" s="7" t="s">
        <v>5102</v>
      </c>
      <c r="J2574" s="7" t="s">
        <v>21</v>
      </c>
      <c r="L2574" t="s">
        <v>3900</v>
      </c>
      <c r="M2574" s="7" t="s">
        <v>22</v>
      </c>
      <c r="N2574" s="7" t="s">
        <v>23</v>
      </c>
      <c r="O2574" s="7" t="s">
        <v>27</v>
      </c>
      <c r="P2574" s="7" t="s">
        <v>5101</v>
      </c>
      <c r="Q2574" s="26">
        <v>118</v>
      </c>
      <c r="R2574" s="26">
        <v>5</v>
      </c>
      <c r="S2574" s="40">
        <v>1</v>
      </c>
      <c r="T2574" s="7"/>
      <c r="U2574" s="7" t="s">
        <v>2951</v>
      </c>
      <c r="V2574" s="7" t="str">
        <f>+IF(U2574="","",IF(U2574="FINES",CONCATENATE("R",IF(OR(B2574="16",B2574="21",B2574="22",B2574="23"),"16212223",IF(OR(B2574="15",B2574="17",B2574="24",B2574="25"),"15172425",B2574))),IF(U2574="CEBAS","UNICO",IF(VALUE(B2574)&lt;=11,"AMBA","INTERIOR"))))</f>
        <v>R05</v>
      </c>
      <c r="W2574" s="38" t="str">
        <f>+IF(U2574="","-",CONCATENATE(U2574,"_",V2574))</f>
        <v>FINES_R05</v>
      </c>
      <c r="X2574" s="42">
        <v>0.77100000000000002</v>
      </c>
    </row>
    <row r="2575" spans="1:24">
      <c r="A2575" s="21" t="s">
        <v>5100</v>
      </c>
      <c r="B2575" t="s">
        <v>257</v>
      </c>
      <c r="C2575" t="s">
        <v>415</v>
      </c>
      <c r="D2575" t="s">
        <v>2770</v>
      </c>
      <c r="E2575" s="7" t="s">
        <v>198</v>
      </c>
      <c r="F2575" s="7" t="s">
        <v>198</v>
      </c>
      <c r="G2575" s="7" t="s">
        <v>198</v>
      </c>
      <c r="H2575" s="7" t="s">
        <v>20</v>
      </c>
      <c r="I2575" s="7" t="s">
        <v>5102</v>
      </c>
      <c r="J2575" s="7" t="s">
        <v>21</v>
      </c>
      <c r="L2575" t="s">
        <v>3871</v>
      </c>
      <c r="M2575" s="7" t="s">
        <v>22</v>
      </c>
      <c r="N2575" s="7" t="s">
        <v>23</v>
      </c>
      <c r="O2575" s="7" t="s">
        <v>27</v>
      </c>
      <c r="P2575" s="7" t="s">
        <v>5101</v>
      </c>
      <c r="Q2575" s="26">
        <v>16</v>
      </c>
      <c r="R2575" s="26">
        <v>1</v>
      </c>
      <c r="S2575" s="40">
        <v>1</v>
      </c>
      <c r="T2575" s="7"/>
      <c r="U2575" s="7" t="s">
        <v>2951</v>
      </c>
      <c r="V2575" s="7" t="str">
        <f>+IF(U2575="","",IF(U2575="FINES",CONCATENATE("R",IF(OR(B2575="16",B2575="21",B2575="22",B2575="23"),"16212223",IF(OR(B2575="15",B2575="17",B2575="24",B2575="25"),"15172425",B2575))),IF(U2575="CEBAS","UNICO",IF(VALUE(B2575)&lt;=11,"AMBA","INTERIOR"))))</f>
        <v>R05</v>
      </c>
      <c r="W2575" s="38" t="str">
        <f>+IF(U2575="","-",CONCATENATE(U2575,"_",V2575))</f>
        <v>FINES_R05</v>
      </c>
      <c r="X2575" s="42">
        <v>0.77700000000000002</v>
      </c>
    </row>
    <row r="2576" spans="1:24">
      <c r="A2576" s="21" t="s">
        <v>5100</v>
      </c>
      <c r="B2576" t="s">
        <v>257</v>
      </c>
      <c r="C2576" t="s">
        <v>254</v>
      </c>
      <c r="D2576" t="s">
        <v>256</v>
      </c>
      <c r="E2576" s="7" t="s">
        <v>198</v>
      </c>
      <c r="F2576" s="7" t="s">
        <v>198</v>
      </c>
      <c r="G2576" s="7" t="s">
        <v>198</v>
      </c>
      <c r="H2576" s="7" t="s">
        <v>20</v>
      </c>
      <c r="I2576" s="7" t="s">
        <v>5102</v>
      </c>
      <c r="J2576" s="7" t="s">
        <v>21</v>
      </c>
      <c r="L2576" t="s">
        <v>3732</v>
      </c>
      <c r="M2576" s="7" t="s">
        <v>22</v>
      </c>
      <c r="N2576" s="7" t="s">
        <v>23</v>
      </c>
      <c r="O2576" s="7" t="s">
        <v>27</v>
      </c>
      <c r="P2576" s="7" t="s">
        <v>5101</v>
      </c>
      <c r="Q2576" s="26">
        <v>16</v>
      </c>
      <c r="R2576" s="26">
        <v>1</v>
      </c>
      <c r="S2576" s="40">
        <v>1</v>
      </c>
      <c r="T2576" s="7"/>
      <c r="U2576" s="7" t="s">
        <v>2951</v>
      </c>
      <c r="V2576" s="7" t="str">
        <f>+IF(U2576="","",IF(U2576="FINES",CONCATENATE("R",IF(OR(B2576="16",B2576="21",B2576="22",B2576="23"),"16212223",IF(OR(B2576="15",B2576="17",B2576="24",B2576="25"),"15172425",B2576))),IF(U2576="CEBAS","UNICO",IF(VALUE(B2576)&lt;=11,"AMBA","INTERIOR"))))</f>
        <v>R05</v>
      </c>
      <c r="W2576" s="38" t="str">
        <f>+IF(U2576="","-",CONCATENATE(U2576,"_",V2576))</f>
        <v>FINES_R05</v>
      </c>
      <c r="X2576" s="42">
        <v>0.78</v>
      </c>
    </row>
    <row r="2577" spans="1:24">
      <c r="A2577" s="21" t="s">
        <v>5100</v>
      </c>
      <c r="B2577" t="s">
        <v>257</v>
      </c>
      <c r="C2577" t="s">
        <v>415</v>
      </c>
      <c r="D2577" t="s">
        <v>2770</v>
      </c>
      <c r="E2577" s="7" t="s">
        <v>198</v>
      </c>
      <c r="F2577" s="7" t="s">
        <v>198</v>
      </c>
      <c r="G2577" s="7" t="s">
        <v>198</v>
      </c>
      <c r="H2577" s="7" t="s">
        <v>20</v>
      </c>
      <c r="I2577" s="7" t="s">
        <v>5102</v>
      </c>
      <c r="J2577" s="7" t="s">
        <v>21</v>
      </c>
      <c r="L2577" t="s">
        <v>3882</v>
      </c>
      <c r="M2577" s="7" t="s">
        <v>22</v>
      </c>
      <c r="N2577" s="7" t="s">
        <v>23</v>
      </c>
      <c r="O2577" s="7" t="s">
        <v>27</v>
      </c>
      <c r="P2577" s="7" t="s">
        <v>5101</v>
      </c>
      <c r="Q2577" s="26">
        <v>90</v>
      </c>
      <c r="R2577" s="26">
        <v>3</v>
      </c>
      <c r="S2577" s="40">
        <v>1</v>
      </c>
      <c r="T2577" s="7"/>
      <c r="U2577" s="7" t="s">
        <v>2951</v>
      </c>
      <c r="V2577" s="7" t="str">
        <f>+IF(U2577="","",IF(U2577="FINES",CONCATENATE("R",IF(OR(B2577="16",B2577="21",B2577="22",B2577="23"),"16212223",IF(OR(B2577="15",B2577="17",B2577="24",B2577="25"),"15172425",B2577))),IF(U2577="CEBAS","UNICO",IF(VALUE(B2577)&lt;=11,"AMBA","INTERIOR"))))</f>
        <v>R05</v>
      </c>
      <c r="W2577" s="38" t="str">
        <f>+IF(U2577="","-",CONCATENATE(U2577,"_",V2577))</f>
        <v>FINES_R05</v>
      </c>
      <c r="X2577" s="42">
        <v>0.78</v>
      </c>
    </row>
    <row r="2578" spans="1:24">
      <c r="A2578" s="21" t="s">
        <v>5100</v>
      </c>
      <c r="B2578" t="s">
        <v>257</v>
      </c>
      <c r="C2578" t="s">
        <v>254</v>
      </c>
      <c r="D2578" t="s">
        <v>256</v>
      </c>
      <c r="E2578" s="7" t="s">
        <v>198</v>
      </c>
      <c r="F2578" s="7" t="s">
        <v>198</v>
      </c>
      <c r="G2578" s="7" t="s">
        <v>198</v>
      </c>
      <c r="H2578" s="7" t="s">
        <v>20</v>
      </c>
      <c r="I2578" s="7" t="s">
        <v>5102</v>
      </c>
      <c r="J2578" s="7" t="s">
        <v>21</v>
      </c>
      <c r="L2578" t="s">
        <v>3762</v>
      </c>
      <c r="M2578" s="7" t="s">
        <v>22</v>
      </c>
      <c r="N2578" s="7" t="s">
        <v>23</v>
      </c>
      <c r="O2578" s="7" t="s">
        <v>27</v>
      </c>
      <c r="P2578" s="7" t="s">
        <v>5101</v>
      </c>
      <c r="Q2578" s="26">
        <v>93</v>
      </c>
      <c r="R2578" s="26">
        <v>4</v>
      </c>
      <c r="S2578" s="40">
        <v>1</v>
      </c>
      <c r="T2578" s="7"/>
      <c r="U2578" s="7" t="s">
        <v>2951</v>
      </c>
      <c r="V2578" s="7" t="str">
        <f>+IF(U2578="","",IF(U2578="FINES",CONCATENATE("R",IF(OR(B2578="16",B2578="21",B2578="22",B2578="23"),"16212223",IF(OR(B2578="15",B2578="17",B2578="24",B2578="25"),"15172425",B2578))),IF(U2578="CEBAS","UNICO",IF(VALUE(B2578)&lt;=11,"AMBA","INTERIOR"))))</f>
        <v>R05</v>
      </c>
      <c r="W2578" s="38" t="str">
        <f>+IF(U2578="","-",CONCATENATE(U2578,"_",V2578))</f>
        <v>FINES_R05</v>
      </c>
      <c r="X2578" s="42">
        <v>0.78100000000000003</v>
      </c>
    </row>
    <row r="2579" spans="1:24">
      <c r="A2579" s="21" t="s">
        <v>5100</v>
      </c>
      <c r="B2579" t="s">
        <v>257</v>
      </c>
      <c r="C2579" t="s">
        <v>415</v>
      </c>
      <c r="D2579" t="s">
        <v>2770</v>
      </c>
      <c r="E2579" s="7" t="s">
        <v>198</v>
      </c>
      <c r="F2579" s="7" t="s">
        <v>198</v>
      </c>
      <c r="G2579" s="7" t="s">
        <v>198</v>
      </c>
      <c r="H2579" s="7" t="s">
        <v>20</v>
      </c>
      <c r="I2579" s="7" t="s">
        <v>5102</v>
      </c>
      <c r="J2579" s="7" t="s">
        <v>21</v>
      </c>
      <c r="L2579" t="s">
        <v>3874</v>
      </c>
      <c r="M2579" s="7" t="s">
        <v>22</v>
      </c>
      <c r="N2579" s="7" t="s">
        <v>23</v>
      </c>
      <c r="O2579" s="7" t="s">
        <v>27</v>
      </c>
      <c r="P2579" s="7" t="s">
        <v>5101</v>
      </c>
      <c r="Q2579" s="26">
        <v>43</v>
      </c>
      <c r="R2579" s="26">
        <v>2</v>
      </c>
      <c r="S2579" s="40">
        <v>1</v>
      </c>
      <c r="T2579" s="7"/>
      <c r="U2579" s="7" t="s">
        <v>2951</v>
      </c>
      <c r="V2579" s="7" t="str">
        <f>+IF(U2579="","",IF(U2579="FINES",CONCATENATE("R",IF(OR(B2579="16",B2579="21",B2579="22",B2579="23"),"16212223",IF(OR(B2579="15",B2579="17",B2579="24",B2579="25"),"15172425",B2579))),IF(U2579="CEBAS","UNICO",IF(VALUE(B2579)&lt;=11,"AMBA","INTERIOR"))))</f>
        <v>R05</v>
      </c>
      <c r="W2579" s="38" t="str">
        <f>+IF(U2579="","-",CONCATENATE(U2579,"_",V2579))</f>
        <v>FINES_R05</v>
      </c>
      <c r="X2579" s="42">
        <v>0.78200000000000003</v>
      </c>
    </row>
    <row r="2580" spans="1:24">
      <c r="A2580" s="21" t="s">
        <v>5100</v>
      </c>
      <c r="B2580" t="s">
        <v>257</v>
      </c>
      <c r="C2580" t="s">
        <v>254</v>
      </c>
      <c r="D2580" t="s">
        <v>256</v>
      </c>
      <c r="E2580" s="7" t="s">
        <v>198</v>
      </c>
      <c r="F2580" s="7" t="s">
        <v>198</v>
      </c>
      <c r="G2580" s="7" t="s">
        <v>198</v>
      </c>
      <c r="H2580" s="7" t="s">
        <v>20</v>
      </c>
      <c r="I2580" s="7" t="s">
        <v>5102</v>
      </c>
      <c r="J2580" s="7" t="s">
        <v>21</v>
      </c>
      <c r="L2580" t="s">
        <v>3723</v>
      </c>
      <c r="M2580" s="7" t="s">
        <v>22</v>
      </c>
      <c r="N2580" s="7" t="s">
        <v>23</v>
      </c>
      <c r="O2580" s="7" t="s">
        <v>27</v>
      </c>
      <c r="P2580" s="7" t="s">
        <v>5101</v>
      </c>
      <c r="Q2580" s="26">
        <v>21</v>
      </c>
      <c r="R2580" s="26">
        <v>1</v>
      </c>
      <c r="S2580" s="40">
        <v>1</v>
      </c>
      <c r="T2580" s="7"/>
      <c r="U2580" s="7" t="s">
        <v>2951</v>
      </c>
      <c r="V2580" s="7" t="str">
        <f>+IF(U2580="","",IF(U2580="FINES",CONCATENATE("R",IF(OR(B2580="16",B2580="21",B2580="22",B2580="23"),"16212223",IF(OR(B2580="15",B2580="17",B2580="24",B2580="25"),"15172425",B2580))),IF(U2580="CEBAS","UNICO",IF(VALUE(B2580)&lt;=11,"AMBA","INTERIOR"))))</f>
        <v>R05</v>
      </c>
      <c r="W2580" s="38" t="str">
        <f>+IF(U2580="","-",CONCATENATE(U2580,"_",V2580))</f>
        <v>FINES_R05</v>
      </c>
      <c r="X2580" s="42">
        <v>0.78800000000000003</v>
      </c>
    </row>
    <row r="2581" spans="1:24">
      <c r="A2581" s="21" t="s">
        <v>5100</v>
      </c>
      <c r="B2581" t="s">
        <v>257</v>
      </c>
      <c r="C2581" t="s">
        <v>254</v>
      </c>
      <c r="D2581" t="s">
        <v>256</v>
      </c>
      <c r="E2581" s="7" t="s">
        <v>198</v>
      </c>
      <c r="F2581" s="7" t="s">
        <v>198</v>
      </c>
      <c r="G2581" s="7" t="s">
        <v>198</v>
      </c>
      <c r="H2581" s="7" t="s">
        <v>20</v>
      </c>
      <c r="I2581" s="7" t="s">
        <v>5102</v>
      </c>
      <c r="J2581" s="7" t="s">
        <v>21</v>
      </c>
      <c r="L2581" t="s">
        <v>3788</v>
      </c>
      <c r="M2581" s="7" t="s">
        <v>22</v>
      </c>
      <c r="N2581" s="7" t="s">
        <v>23</v>
      </c>
      <c r="O2581" s="7" t="s">
        <v>27</v>
      </c>
      <c r="P2581" s="7" t="s">
        <v>5101</v>
      </c>
      <c r="Q2581" s="26">
        <v>28</v>
      </c>
      <c r="R2581" s="26">
        <v>1</v>
      </c>
      <c r="S2581" s="40">
        <v>1</v>
      </c>
      <c r="T2581" s="7"/>
      <c r="U2581" s="7" t="s">
        <v>2951</v>
      </c>
      <c r="V2581" s="7" t="str">
        <f>+IF(U2581="","",IF(U2581="FINES",CONCATENATE("R",IF(OR(B2581="16",B2581="21",B2581="22",B2581="23"),"16212223",IF(OR(B2581="15",B2581="17",B2581="24",B2581="25"),"15172425",B2581))),IF(U2581="CEBAS","UNICO",IF(VALUE(B2581)&lt;=11,"AMBA","INTERIOR"))))</f>
        <v>R05</v>
      </c>
      <c r="W2581" s="38" t="str">
        <f>+IF(U2581="","-",CONCATENATE(U2581,"_",V2581))</f>
        <v>FINES_R05</v>
      </c>
      <c r="X2581" s="42">
        <v>0.78900000000000003</v>
      </c>
    </row>
    <row r="2582" spans="1:24">
      <c r="A2582" s="21" t="s">
        <v>5100</v>
      </c>
      <c r="B2582" t="s">
        <v>257</v>
      </c>
      <c r="C2582" t="s">
        <v>254</v>
      </c>
      <c r="D2582" t="s">
        <v>256</v>
      </c>
      <c r="E2582" s="7" t="s">
        <v>198</v>
      </c>
      <c r="F2582" s="7" t="s">
        <v>198</v>
      </c>
      <c r="G2582" s="7" t="s">
        <v>198</v>
      </c>
      <c r="H2582" s="7" t="s">
        <v>20</v>
      </c>
      <c r="I2582" s="7" t="s">
        <v>5102</v>
      </c>
      <c r="J2582" s="7" t="s">
        <v>21</v>
      </c>
      <c r="L2582" t="s">
        <v>3817</v>
      </c>
      <c r="M2582" s="7" t="s">
        <v>22</v>
      </c>
      <c r="N2582" s="7" t="s">
        <v>23</v>
      </c>
      <c r="O2582" s="7" t="s">
        <v>27</v>
      </c>
      <c r="P2582" s="7" t="s">
        <v>5101</v>
      </c>
      <c r="Q2582" s="26">
        <v>8</v>
      </c>
      <c r="R2582" s="26">
        <v>1</v>
      </c>
      <c r="S2582" s="40">
        <v>1</v>
      </c>
      <c r="T2582" s="7"/>
      <c r="U2582" s="7" t="s">
        <v>2951</v>
      </c>
      <c r="V2582" s="7" t="str">
        <f>+IF(U2582="","",IF(U2582="FINES",CONCATENATE("R",IF(OR(B2582="16",B2582="21",B2582="22",B2582="23"),"16212223",IF(OR(B2582="15",B2582="17",B2582="24",B2582="25"),"15172425",B2582))),IF(U2582="CEBAS","UNICO",IF(VALUE(B2582)&lt;=11,"AMBA","INTERIOR"))))</f>
        <v>R05</v>
      </c>
      <c r="W2582" s="38" t="str">
        <f>+IF(U2582="","-",CONCATENATE(U2582,"_",V2582))</f>
        <v>FINES_R05</v>
      </c>
      <c r="X2582" s="42">
        <v>0.79200000000000004</v>
      </c>
    </row>
    <row r="2583" spans="1:24">
      <c r="A2583" s="21" t="s">
        <v>5100</v>
      </c>
      <c r="B2583" t="s">
        <v>257</v>
      </c>
      <c r="C2583" t="s">
        <v>254</v>
      </c>
      <c r="D2583" t="s">
        <v>256</v>
      </c>
      <c r="E2583" s="7" t="s">
        <v>198</v>
      </c>
      <c r="F2583" s="7" t="s">
        <v>198</v>
      </c>
      <c r="G2583" s="7" t="s">
        <v>198</v>
      </c>
      <c r="H2583" s="7" t="s">
        <v>20</v>
      </c>
      <c r="I2583" s="7" t="s">
        <v>5102</v>
      </c>
      <c r="J2583" s="7" t="s">
        <v>21</v>
      </c>
      <c r="L2583" t="s">
        <v>3730</v>
      </c>
      <c r="M2583" s="7" t="s">
        <v>22</v>
      </c>
      <c r="N2583" s="7" t="s">
        <v>23</v>
      </c>
      <c r="O2583" s="7" t="s">
        <v>27</v>
      </c>
      <c r="P2583" s="7" t="s">
        <v>5101</v>
      </c>
      <c r="Q2583" s="26">
        <v>71</v>
      </c>
      <c r="R2583" s="26">
        <v>3</v>
      </c>
      <c r="S2583" s="40">
        <v>1</v>
      </c>
      <c r="T2583" s="7"/>
      <c r="U2583" s="7" t="s">
        <v>2951</v>
      </c>
      <c r="V2583" s="7" t="str">
        <f>+IF(U2583="","",IF(U2583="FINES",CONCATENATE("R",IF(OR(B2583="16",B2583="21",B2583="22",B2583="23"),"16212223",IF(OR(B2583="15",B2583="17",B2583="24",B2583="25"),"15172425",B2583))),IF(U2583="CEBAS","UNICO",IF(VALUE(B2583)&lt;=11,"AMBA","INTERIOR"))))</f>
        <v>R05</v>
      </c>
      <c r="W2583" s="38" t="str">
        <f>+IF(U2583="","-",CONCATENATE(U2583,"_",V2583))</f>
        <v>FINES_R05</v>
      </c>
      <c r="X2583" s="42">
        <v>0.79300000000000004</v>
      </c>
    </row>
    <row r="2584" spans="1:24">
      <c r="A2584" s="21" t="s">
        <v>5100</v>
      </c>
      <c r="B2584" t="s">
        <v>257</v>
      </c>
      <c r="C2584" t="s">
        <v>772</v>
      </c>
      <c r="D2584" t="s">
        <v>773</v>
      </c>
      <c r="E2584" s="7" t="s">
        <v>198</v>
      </c>
      <c r="F2584" s="7" t="s">
        <v>198</v>
      </c>
      <c r="G2584" s="7" t="s">
        <v>198</v>
      </c>
      <c r="H2584" s="7" t="s">
        <v>20</v>
      </c>
      <c r="I2584" s="7" t="s">
        <v>5102</v>
      </c>
      <c r="J2584" s="7" t="s">
        <v>21</v>
      </c>
      <c r="L2584" t="s">
        <v>3830</v>
      </c>
      <c r="M2584" s="7" t="s">
        <v>22</v>
      </c>
      <c r="N2584" s="7" t="s">
        <v>23</v>
      </c>
      <c r="O2584" s="7" t="s">
        <v>27</v>
      </c>
      <c r="P2584" s="7" t="s">
        <v>5101</v>
      </c>
      <c r="Q2584" s="26">
        <v>21</v>
      </c>
      <c r="R2584" s="26">
        <v>1</v>
      </c>
      <c r="S2584" s="40">
        <v>1</v>
      </c>
      <c r="T2584" s="7"/>
      <c r="U2584" s="7" t="s">
        <v>2951</v>
      </c>
      <c r="V2584" s="7" t="str">
        <f>+IF(U2584="","",IF(U2584="FINES",CONCATENATE("R",IF(OR(B2584="16",B2584="21",B2584="22",B2584="23"),"16212223",IF(OR(B2584="15",B2584="17",B2584="24",B2584="25"),"15172425",B2584))),IF(U2584="CEBAS","UNICO",IF(VALUE(B2584)&lt;=11,"AMBA","INTERIOR"))))</f>
        <v>R05</v>
      </c>
      <c r="W2584" s="38" t="str">
        <f>+IF(U2584="","-",CONCATENATE(U2584,"_",V2584))</f>
        <v>FINES_R05</v>
      </c>
      <c r="X2584" s="42">
        <v>0.79500000000000004</v>
      </c>
    </row>
    <row r="2585" spans="1:24">
      <c r="A2585" s="21" t="s">
        <v>5100</v>
      </c>
      <c r="B2585" t="s">
        <v>257</v>
      </c>
      <c r="C2585" t="s">
        <v>2337</v>
      </c>
      <c r="D2585" t="s">
        <v>2338</v>
      </c>
      <c r="E2585" s="7" t="s">
        <v>198</v>
      </c>
      <c r="F2585" s="7" t="s">
        <v>198</v>
      </c>
      <c r="G2585" s="7" t="s">
        <v>198</v>
      </c>
      <c r="H2585" s="7" t="s">
        <v>20</v>
      </c>
      <c r="I2585" s="7" t="s">
        <v>5102</v>
      </c>
      <c r="J2585" s="7" t="s">
        <v>21</v>
      </c>
      <c r="L2585" t="s">
        <v>3893</v>
      </c>
      <c r="M2585" s="7" t="s">
        <v>22</v>
      </c>
      <c r="N2585" s="7" t="s">
        <v>23</v>
      </c>
      <c r="O2585" s="7" t="s">
        <v>27</v>
      </c>
      <c r="P2585" s="7" t="s">
        <v>5101</v>
      </c>
      <c r="Q2585" s="26">
        <v>25</v>
      </c>
      <c r="R2585" s="26">
        <v>1</v>
      </c>
      <c r="S2585" s="40">
        <v>1</v>
      </c>
      <c r="T2585" s="7"/>
      <c r="U2585" s="7" t="s">
        <v>2951</v>
      </c>
      <c r="V2585" s="7" t="str">
        <f>+IF(U2585="","",IF(U2585="FINES",CONCATENATE("R",IF(OR(B2585="16",B2585="21",B2585="22",B2585="23"),"16212223",IF(OR(B2585="15",B2585="17",B2585="24",B2585="25"),"15172425",B2585))),IF(U2585="CEBAS","UNICO",IF(VALUE(B2585)&lt;=11,"AMBA","INTERIOR"))))</f>
        <v>R05</v>
      </c>
      <c r="W2585" s="38" t="str">
        <f>+IF(U2585="","-",CONCATENATE(U2585,"_",V2585))</f>
        <v>FINES_R05</v>
      </c>
      <c r="X2585" s="42">
        <v>0.79500000000000004</v>
      </c>
    </row>
    <row r="2586" spans="1:24">
      <c r="A2586" s="21" t="s">
        <v>5100</v>
      </c>
      <c r="B2586" t="s">
        <v>257</v>
      </c>
      <c r="C2586" t="s">
        <v>254</v>
      </c>
      <c r="D2586" t="s">
        <v>256</v>
      </c>
      <c r="E2586" s="7" t="s">
        <v>198</v>
      </c>
      <c r="F2586" s="7" t="s">
        <v>198</v>
      </c>
      <c r="G2586" s="7" t="s">
        <v>198</v>
      </c>
      <c r="H2586" s="7" t="s">
        <v>20</v>
      </c>
      <c r="I2586" s="7" t="s">
        <v>5102</v>
      </c>
      <c r="J2586" s="7" t="s">
        <v>21</v>
      </c>
      <c r="L2586" t="s">
        <v>3727</v>
      </c>
      <c r="M2586" s="7" t="s">
        <v>22</v>
      </c>
      <c r="N2586" s="7" t="s">
        <v>23</v>
      </c>
      <c r="O2586" s="7" t="s">
        <v>27</v>
      </c>
      <c r="P2586" s="7" t="s">
        <v>5101</v>
      </c>
      <c r="Q2586" s="26">
        <v>113</v>
      </c>
      <c r="R2586" s="26">
        <v>6</v>
      </c>
      <c r="S2586" s="40">
        <v>1</v>
      </c>
      <c r="T2586" s="7"/>
      <c r="U2586" s="7" t="s">
        <v>2951</v>
      </c>
      <c r="V2586" s="7" t="str">
        <f>+IF(U2586="","",IF(U2586="FINES",CONCATENATE("R",IF(OR(B2586="16",B2586="21",B2586="22",B2586="23"),"16212223",IF(OR(B2586="15",B2586="17",B2586="24",B2586="25"),"15172425",B2586))),IF(U2586="CEBAS","UNICO",IF(VALUE(B2586)&lt;=11,"AMBA","INTERIOR"))))</f>
        <v>R05</v>
      </c>
      <c r="W2586" s="38" t="str">
        <f>+IF(U2586="","-",CONCATENATE(U2586,"_",V2586))</f>
        <v>FINES_R05</v>
      </c>
      <c r="X2586" s="42">
        <v>0.80200000000000005</v>
      </c>
    </row>
    <row r="2587" spans="1:24">
      <c r="A2587" s="21" t="s">
        <v>5100</v>
      </c>
      <c r="B2587" t="s">
        <v>257</v>
      </c>
      <c r="C2587" t="s">
        <v>2337</v>
      </c>
      <c r="D2587" t="s">
        <v>2338</v>
      </c>
      <c r="E2587" s="7" t="s">
        <v>198</v>
      </c>
      <c r="F2587" s="7" t="s">
        <v>198</v>
      </c>
      <c r="G2587" s="7" t="s">
        <v>198</v>
      </c>
      <c r="H2587" s="7" t="s">
        <v>20</v>
      </c>
      <c r="I2587" s="7" t="s">
        <v>5102</v>
      </c>
      <c r="J2587" s="7" t="s">
        <v>21</v>
      </c>
      <c r="L2587" t="s">
        <v>3923</v>
      </c>
      <c r="M2587" s="7" t="s">
        <v>22</v>
      </c>
      <c r="N2587" s="7" t="s">
        <v>23</v>
      </c>
      <c r="O2587" s="7" t="s">
        <v>27</v>
      </c>
      <c r="P2587" s="7" t="s">
        <v>5101</v>
      </c>
      <c r="Q2587" s="26">
        <v>15</v>
      </c>
      <c r="R2587" s="26">
        <v>1</v>
      </c>
      <c r="S2587" s="40">
        <v>1</v>
      </c>
      <c r="T2587" s="7"/>
      <c r="U2587" s="7" t="s">
        <v>2951</v>
      </c>
      <c r="V2587" s="7" t="str">
        <f>+IF(U2587="","",IF(U2587="FINES",CONCATENATE("R",IF(OR(B2587="16",B2587="21",B2587="22",B2587="23"),"16212223",IF(OR(B2587="15",B2587="17",B2587="24",B2587="25"),"15172425",B2587))),IF(U2587="CEBAS","UNICO",IF(VALUE(B2587)&lt;=11,"AMBA","INTERIOR"))))</f>
        <v>R05</v>
      </c>
      <c r="W2587" s="38" t="str">
        <f>+IF(U2587="","-",CONCATENATE(U2587,"_",V2587))</f>
        <v>FINES_R05</v>
      </c>
      <c r="X2587" s="42">
        <v>0.80900000000000005</v>
      </c>
    </row>
    <row r="2588" spans="1:24">
      <c r="A2588" s="21" t="s">
        <v>5100</v>
      </c>
      <c r="B2588" t="s">
        <v>257</v>
      </c>
      <c r="C2588" t="s">
        <v>254</v>
      </c>
      <c r="D2588" t="s">
        <v>256</v>
      </c>
      <c r="E2588" s="7" t="s">
        <v>198</v>
      </c>
      <c r="F2588" s="7" t="s">
        <v>198</v>
      </c>
      <c r="G2588" s="7" t="s">
        <v>198</v>
      </c>
      <c r="H2588" s="7" t="s">
        <v>20</v>
      </c>
      <c r="I2588" s="7" t="s">
        <v>5102</v>
      </c>
      <c r="J2588" s="7" t="s">
        <v>21</v>
      </c>
      <c r="L2588" t="s">
        <v>3764</v>
      </c>
      <c r="M2588" s="7" t="s">
        <v>22</v>
      </c>
      <c r="N2588" s="7" t="s">
        <v>23</v>
      </c>
      <c r="O2588" s="7" t="s">
        <v>27</v>
      </c>
      <c r="P2588" s="7" t="s">
        <v>5101</v>
      </c>
      <c r="Q2588" s="26">
        <v>30</v>
      </c>
      <c r="R2588" s="26">
        <v>2</v>
      </c>
      <c r="S2588" s="40">
        <v>1</v>
      </c>
      <c r="T2588" s="7"/>
      <c r="U2588" s="7" t="s">
        <v>2951</v>
      </c>
      <c r="V2588" s="7" t="str">
        <f>+IF(U2588="","",IF(U2588="FINES",CONCATENATE("R",IF(OR(B2588="16",B2588="21",B2588="22",B2588="23"),"16212223",IF(OR(B2588="15",B2588="17",B2588="24",B2588="25"),"15172425",B2588))),IF(U2588="CEBAS","UNICO",IF(VALUE(B2588)&lt;=11,"AMBA","INTERIOR"))))</f>
        <v>R05</v>
      </c>
      <c r="W2588" s="38" t="str">
        <f>+IF(U2588="","-",CONCATENATE(U2588,"_",V2588))</f>
        <v>FINES_R05</v>
      </c>
      <c r="X2588" s="42">
        <v>0.81100000000000005</v>
      </c>
    </row>
    <row r="2589" spans="1:24">
      <c r="A2589" s="21" t="s">
        <v>5100</v>
      </c>
      <c r="B2589" t="s">
        <v>257</v>
      </c>
      <c r="C2589" t="s">
        <v>415</v>
      </c>
      <c r="D2589" t="s">
        <v>2770</v>
      </c>
      <c r="E2589" s="7" t="s">
        <v>198</v>
      </c>
      <c r="F2589" s="7" t="s">
        <v>198</v>
      </c>
      <c r="G2589" s="7" t="s">
        <v>198</v>
      </c>
      <c r="H2589" s="7" t="s">
        <v>20</v>
      </c>
      <c r="I2589" s="7" t="s">
        <v>5102</v>
      </c>
      <c r="J2589" s="7" t="s">
        <v>21</v>
      </c>
      <c r="L2589" t="s">
        <v>3885</v>
      </c>
      <c r="M2589" s="7" t="s">
        <v>22</v>
      </c>
      <c r="N2589" s="7" t="s">
        <v>23</v>
      </c>
      <c r="O2589" s="7" t="s">
        <v>27</v>
      </c>
      <c r="P2589" s="7" t="s">
        <v>5101</v>
      </c>
      <c r="Q2589" s="26">
        <v>187</v>
      </c>
      <c r="R2589" s="26">
        <v>6</v>
      </c>
      <c r="S2589" s="40">
        <v>1</v>
      </c>
      <c r="T2589" s="7"/>
      <c r="U2589" s="7" t="s">
        <v>2951</v>
      </c>
      <c r="V2589" s="7" t="str">
        <f>+IF(U2589="","",IF(U2589="FINES",CONCATENATE("R",IF(OR(B2589="16",B2589="21",B2589="22",B2589="23"),"16212223",IF(OR(B2589="15",B2589="17",B2589="24",B2589="25"),"15172425",B2589))),IF(U2589="CEBAS","UNICO",IF(VALUE(B2589)&lt;=11,"AMBA","INTERIOR"))))</f>
        <v>R05</v>
      </c>
      <c r="W2589" s="38" t="str">
        <f>+IF(U2589="","-",CONCATENATE(U2589,"_",V2589))</f>
        <v>FINES_R05</v>
      </c>
      <c r="X2589" s="42">
        <v>0.81399999999999995</v>
      </c>
    </row>
    <row r="2590" spans="1:24">
      <c r="A2590" s="21" t="s">
        <v>5100</v>
      </c>
      <c r="B2590" t="s">
        <v>257</v>
      </c>
      <c r="C2590" t="s">
        <v>772</v>
      </c>
      <c r="D2590" t="s">
        <v>773</v>
      </c>
      <c r="E2590" s="7" t="s">
        <v>198</v>
      </c>
      <c r="F2590" s="7" t="s">
        <v>198</v>
      </c>
      <c r="G2590" s="7" t="s">
        <v>198</v>
      </c>
      <c r="H2590" s="7" t="s">
        <v>20</v>
      </c>
      <c r="I2590" s="7" t="s">
        <v>5102</v>
      </c>
      <c r="J2590" s="7" t="s">
        <v>21</v>
      </c>
      <c r="L2590" t="s">
        <v>3835</v>
      </c>
      <c r="M2590" s="7" t="s">
        <v>22</v>
      </c>
      <c r="N2590" s="7" t="s">
        <v>23</v>
      </c>
      <c r="O2590" s="7" t="s">
        <v>27</v>
      </c>
      <c r="P2590" s="7" t="s">
        <v>5101</v>
      </c>
      <c r="Q2590" s="26">
        <v>26</v>
      </c>
      <c r="R2590" s="26">
        <v>1</v>
      </c>
      <c r="S2590" s="40">
        <v>1</v>
      </c>
      <c r="T2590" s="7"/>
      <c r="U2590" s="7" t="s">
        <v>2951</v>
      </c>
      <c r="V2590" s="7" t="str">
        <f>+IF(U2590="","",IF(U2590="FINES",CONCATENATE("R",IF(OR(B2590="16",B2590="21",B2590="22",B2590="23"),"16212223",IF(OR(B2590="15",B2590="17",B2590="24",B2590="25"),"15172425",B2590))),IF(U2590="CEBAS","UNICO",IF(VALUE(B2590)&lt;=11,"AMBA","INTERIOR"))))</f>
        <v>R05</v>
      </c>
      <c r="W2590" s="38" t="str">
        <f>+IF(U2590="","-",CONCATENATE(U2590,"_",V2590))</f>
        <v>FINES_R05</v>
      </c>
      <c r="X2590" s="42">
        <v>0.82099999999999995</v>
      </c>
    </row>
    <row r="2591" spans="1:24">
      <c r="A2591" s="21" t="s">
        <v>5100</v>
      </c>
      <c r="B2591" t="s">
        <v>257</v>
      </c>
      <c r="C2591" t="s">
        <v>254</v>
      </c>
      <c r="D2591" t="s">
        <v>256</v>
      </c>
      <c r="E2591" s="7" t="s">
        <v>198</v>
      </c>
      <c r="F2591" s="7" t="s">
        <v>198</v>
      </c>
      <c r="G2591" s="7" t="s">
        <v>198</v>
      </c>
      <c r="H2591" s="7" t="s">
        <v>20</v>
      </c>
      <c r="I2591" s="7" t="s">
        <v>5102</v>
      </c>
      <c r="J2591" s="7" t="s">
        <v>21</v>
      </c>
      <c r="L2591" t="s">
        <v>3803</v>
      </c>
      <c r="M2591" s="7" t="s">
        <v>22</v>
      </c>
      <c r="N2591" s="7" t="s">
        <v>23</v>
      </c>
      <c r="O2591" s="7" t="s">
        <v>27</v>
      </c>
      <c r="P2591" s="7" t="s">
        <v>5101</v>
      </c>
      <c r="Q2591" s="26">
        <v>25</v>
      </c>
      <c r="R2591" s="26">
        <v>1</v>
      </c>
      <c r="S2591" s="40">
        <v>1</v>
      </c>
      <c r="T2591" s="7"/>
      <c r="U2591" s="7" t="s">
        <v>2951</v>
      </c>
      <c r="V2591" s="7" t="str">
        <f>+IF(U2591="","",IF(U2591="FINES",CONCATENATE("R",IF(OR(B2591="16",B2591="21",B2591="22",B2591="23"),"16212223",IF(OR(B2591="15",B2591="17",B2591="24",B2591="25"),"15172425",B2591))),IF(U2591="CEBAS","UNICO",IF(VALUE(B2591)&lt;=11,"AMBA","INTERIOR"))))</f>
        <v>R05</v>
      </c>
      <c r="W2591" s="38" t="str">
        <f>+IF(U2591="","-",CONCATENATE(U2591,"_",V2591))</f>
        <v>FINES_R05</v>
      </c>
      <c r="X2591" s="42">
        <v>0.82599999999999996</v>
      </c>
    </row>
    <row r="2592" spans="1:24">
      <c r="A2592" s="21" t="s">
        <v>5100</v>
      </c>
      <c r="B2592" t="s">
        <v>257</v>
      </c>
      <c r="C2592" t="s">
        <v>772</v>
      </c>
      <c r="D2592" t="s">
        <v>773</v>
      </c>
      <c r="E2592" s="7" t="s">
        <v>198</v>
      </c>
      <c r="F2592" s="7" t="s">
        <v>198</v>
      </c>
      <c r="G2592" s="7" t="s">
        <v>198</v>
      </c>
      <c r="H2592" s="7" t="s">
        <v>20</v>
      </c>
      <c r="I2592" s="7" t="s">
        <v>5102</v>
      </c>
      <c r="J2592" s="7" t="s">
        <v>21</v>
      </c>
      <c r="L2592" t="s">
        <v>3838</v>
      </c>
      <c r="M2592" s="7" t="s">
        <v>22</v>
      </c>
      <c r="N2592" s="7" t="s">
        <v>23</v>
      </c>
      <c r="O2592" s="7" t="s">
        <v>27</v>
      </c>
      <c r="P2592" s="7" t="s">
        <v>5101</v>
      </c>
      <c r="Q2592" s="26">
        <v>54</v>
      </c>
      <c r="R2592" s="26">
        <v>2</v>
      </c>
      <c r="S2592" s="40">
        <v>1</v>
      </c>
      <c r="T2592" s="7"/>
      <c r="U2592" s="7" t="s">
        <v>2951</v>
      </c>
      <c r="V2592" s="7" t="str">
        <f>+IF(U2592="","",IF(U2592="FINES",CONCATENATE("R",IF(OR(B2592="16",B2592="21",B2592="22",B2592="23"),"16212223",IF(OR(B2592="15",B2592="17",B2592="24",B2592="25"),"15172425",B2592))),IF(U2592="CEBAS","UNICO",IF(VALUE(B2592)&lt;=11,"AMBA","INTERIOR"))))</f>
        <v>R05</v>
      </c>
      <c r="W2592" s="38" t="str">
        <f>+IF(U2592="","-",CONCATENATE(U2592,"_",V2592))</f>
        <v>FINES_R05</v>
      </c>
      <c r="X2592" s="42">
        <v>0.82899999999999996</v>
      </c>
    </row>
    <row r="2593" spans="1:24">
      <c r="A2593" s="21" t="s">
        <v>5100</v>
      </c>
      <c r="B2593" t="s">
        <v>257</v>
      </c>
      <c r="C2593" t="s">
        <v>254</v>
      </c>
      <c r="D2593" t="s">
        <v>256</v>
      </c>
      <c r="E2593" s="7" t="s">
        <v>198</v>
      </c>
      <c r="F2593" s="7" t="s">
        <v>198</v>
      </c>
      <c r="G2593" s="7" t="s">
        <v>198</v>
      </c>
      <c r="H2593" s="7" t="s">
        <v>20</v>
      </c>
      <c r="I2593" s="7" t="s">
        <v>5102</v>
      </c>
      <c r="J2593" s="7" t="s">
        <v>21</v>
      </c>
      <c r="L2593" t="s">
        <v>3748</v>
      </c>
      <c r="M2593" s="7" t="s">
        <v>22</v>
      </c>
      <c r="N2593" s="7" t="s">
        <v>23</v>
      </c>
      <c r="O2593" s="7" t="s">
        <v>27</v>
      </c>
      <c r="P2593" s="7" t="s">
        <v>5101</v>
      </c>
      <c r="Q2593" s="26">
        <v>19</v>
      </c>
      <c r="R2593" s="26">
        <v>1</v>
      </c>
      <c r="S2593" s="40">
        <v>1</v>
      </c>
      <c r="T2593" s="7"/>
      <c r="U2593" s="7" t="s">
        <v>2951</v>
      </c>
      <c r="V2593" s="7" t="str">
        <f>+IF(U2593="","",IF(U2593="FINES",CONCATENATE("R",IF(OR(B2593="16",B2593="21",B2593="22",B2593="23"),"16212223",IF(OR(B2593="15",B2593="17",B2593="24",B2593="25"),"15172425",B2593))),IF(U2593="CEBAS","UNICO",IF(VALUE(B2593)&lt;=11,"AMBA","INTERIOR"))))</f>
        <v>R05</v>
      </c>
      <c r="W2593" s="38" t="str">
        <f>+IF(U2593="","-",CONCATENATE(U2593,"_",V2593))</f>
        <v>FINES_R05</v>
      </c>
      <c r="X2593" s="42">
        <v>0.83</v>
      </c>
    </row>
    <row r="2594" spans="1:24">
      <c r="A2594" s="21" t="s">
        <v>5100</v>
      </c>
      <c r="B2594" t="s">
        <v>257</v>
      </c>
      <c r="C2594" t="s">
        <v>254</v>
      </c>
      <c r="D2594" t="s">
        <v>256</v>
      </c>
      <c r="E2594" s="7" t="s">
        <v>198</v>
      </c>
      <c r="F2594" s="7" t="s">
        <v>198</v>
      </c>
      <c r="G2594" s="7" t="s">
        <v>198</v>
      </c>
      <c r="H2594" s="7" t="s">
        <v>20</v>
      </c>
      <c r="I2594" s="7" t="s">
        <v>5102</v>
      </c>
      <c r="J2594" s="7" t="s">
        <v>21</v>
      </c>
      <c r="L2594" t="s">
        <v>3739</v>
      </c>
      <c r="M2594" s="7" t="s">
        <v>22</v>
      </c>
      <c r="N2594" s="7" t="s">
        <v>23</v>
      </c>
      <c r="O2594" s="7" t="s">
        <v>27</v>
      </c>
      <c r="P2594" s="7" t="s">
        <v>5101</v>
      </c>
      <c r="Q2594" s="26">
        <v>47</v>
      </c>
      <c r="R2594" s="26">
        <v>2</v>
      </c>
      <c r="S2594" s="40">
        <v>1</v>
      </c>
      <c r="T2594" s="7"/>
      <c r="U2594" s="7" t="s">
        <v>2951</v>
      </c>
      <c r="V2594" s="7" t="str">
        <f>+IF(U2594="","",IF(U2594="FINES",CONCATENATE("R",IF(OR(B2594="16",B2594="21",B2594="22",B2594="23"),"16212223",IF(OR(B2594="15",B2594="17",B2594="24",B2594="25"),"15172425",B2594))),IF(U2594="CEBAS","UNICO",IF(VALUE(B2594)&lt;=11,"AMBA","INTERIOR"))))</f>
        <v>R05</v>
      </c>
      <c r="W2594" s="38" t="str">
        <f>+IF(U2594="","-",CONCATENATE(U2594,"_",V2594))</f>
        <v>FINES_R05</v>
      </c>
      <c r="X2594" s="42">
        <v>0.85199999999999998</v>
      </c>
    </row>
    <row r="2595" spans="1:24">
      <c r="A2595" s="21" t="s">
        <v>5100</v>
      </c>
      <c r="B2595" t="s">
        <v>257</v>
      </c>
      <c r="C2595" t="s">
        <v>254</v>
      </c>
      <c r="D2595" t="s">
        <v>256</v>
      </c>
      <c r="E2595" s="7" t="s">
        <v>198</v>
      </c>
      <c r="F2595" s="7" t="s">
        <v>198</v>
      </c>
      <c r="G2595" s="7" t="s">
        <v>198</v>
      </c>
      <c r="H2595" s="7" t="s">
        <v>20</v>
      </c>
      <c r="I2595" s="7" t="s">
        <v>5102</v>
      </c>
      <c r="J2595" s="7" t="s">
        <v>21</v>
      </c>
      <c r="L2595" t="s">
        <v>3784</v>
      </c>
      <c r="M2595" s="7" t="s">
        <v>22</v>
      </c>
      <c r="N2595" s="7" t="s">
        <v>23</v>
      </c>
      <c r="O2595" s="7" t="s">
        <v>27</v>
      </c>
      <c r="P2595" s="7" t="s">
        <v>5101</v>
      </c>
      <c r="Q2595" s="26">
        <v>67</v>
      </c>
      <c r="R2595" s="26">
        <v>3</v>
      </c>
      <c r="S2595" s="40">
        <v>1</v>
      </c>
      <c r="T2595" s="7"/>
      <c r="U2595" s="7" t="s">
        <v>2951</v>
      </c>
      <c r="V2595" s="7" t="str">
        <f>+IF(U2595="","",IF(U2595="FINES",CONCATENATE("R",IF(OR(B2595="16",B2595="21",B2595="22",B2595="23"),"16212223",IF(OR(B2595="15",B2595="17",B2595="24",B2595="25"),"15172425",B2595))),IF(U2595="CEBAS","UNICO",IF(VALUE(B2595)&lt;=11,"AMBA","INTERIOR"))))</f>
        <v>R05</v>
      </c>
      <c r="W2595" s="38" t="str">
        <f>+IF(U2595="","-",CONCATENATE(U2595,"_",V2595))</f>
        <v>FINES_R05</v>
      </c>
      <c r="X2595" s="42">
        <v>0.86199999999999999</v>
      </c>
    </row>
    <row r="2596" spans="1:24">
      <c r="A2596" s="21" t="s">
        <v>5100</v>
      </c>
      <c r="B2596" t="s">
        <v>257</v>
      </c>
      <c r="C2596" t="s">
        <v>772</v>
      </c>
      <c r="D2596" t="s">
        <v>773</v>
      </c>
      <c r="E2596" s="7" t="s">
        <v>198</v>
      </c>
      <c r="F2596" s="7" t="s">
        <v>198</v>
      </c>
      <c r="G2596" s="7" t="s">
        <v>198</v>
      </c>
      <c r="H2596" s="7" t="s">
        <v>20</v>
      </c>
      <c r="I2596" s="7" t="s">
        <v>5102</v>
      </c>
      <c r="J2596" s="7" t="s">
        <v>21</v>
      </c>
      <c r="L2596" t="s">
        <v>3862</v>
      </c>
      <c r="M2596" s="7" t="s">
        <v>22</v>
      </c>
      <c r="N2596" s="7" t="s">
        <v>23</v>
      </c>
      <c r="O2596" s="7" t="s">
        <v>27</v>
      </c>
      <c r="P2596" s="7" t="s">
        <v>5101</v>
      </c>
      <c r="Q2596" s="26">
        <v>35</v>
      </c>
      <c r="R2596" s="26">
        <v>1</v>
      </c>
      <c r="S2596" s="40">
        <v>1</v>
      </c>
      <c r="T2596" s="7"/>
      <c r="U2596" s="7" t="s">
        <v>2951</v>
      </c>
      <c r="V2596" s="7" t="str">
        <f>+IF(U2596="","",IF(U2596="FINES",CONCATENATE("R",IF(OR(B2596="16",B2596="21",B2596="22",B2596="23"),"16212223",IF(OR(B2596="15",B2596="17",B2596="24",B2596="25"),"15172425",B2596))),IF(U2596="CEBAS","UNICO",IF(VALUE(B2596)&lt;=11,"AMBA","INTERIOR"))))</f>
        <v>R05</v>
      </c>
      <c r="W2596" s="38" t="str">
        <f>+IF(U2596="","-",CONCATENATE(U2596,"_",V2596))</f>
        <v>FINES_R05</v>
      </c>
      <c r="X2596" s="42">
        <v>0.873</v>
      </c>
    </row>
    <row r="2597" spans="1:24">
      <c r="A2597" s="21" t="s">
        <v>5100</v>
      </c>
      <c r="B2597" t="s">
        <v>257</v>
      </c>
      <c r="C2597" t="s">
        <v>254</v>
      </c>
      <c r="D2597" t="s">
        <v>256</v>
      </c>
      <c r="E2597" s="7" t="s">
        <v>198</v>
      </c>
      <c r="F2597" s="7" t="s">
        <v>198</v>
      </c>
      <c r="G2597" s="7" t="s">
        <v>198</v>
      </c>
      <c r="H2597" s="7" t="s">
        <v>20</v>
      </c>
      <c r="I2597" s="7" t="s">
        <v>5102</v>
      </c>
      <c r="J2597" s="7" t="s">
        <v>21</v>
      </c>
      <c r="L2597" t="s">
        <v>3771</v>
      </c>
      <c r="M2597" s="7" t="s">
        <v>22</v>
      </c>
      <c r="N2597" s="7" t="s">
        <v>23</v>
      </c>
      <c r="O2597" s="7" t="s">
        <v>27</v>
      </c>
      <c r="P2597" s="7" t="s">
        <v>5101</v>
      </c>
      <c r="Q2597" s="26">
        <v>169</v>
      </c>
      <c r="R2597" s="26">
        <v>7</v>
      </c>
      <c r="S2597" s="40">
        <v>1</v>
      </c>
      <c r="T2597" s="7"/>
      <c r="U2597" s="7" t="s">
        <v>2951</v>
      </c>
      <c r="V2597" s="7" t="str">
        <f>+IF(U2597="","",IF(U2597="FINES",CONCATENATE("R",IF(OR(B2597="16",B2597="21",B2597="22",B2597="23"),"16212223",IF(OR(B2597="15",B2597="17",B2597="24",B2597="25"),"15172425",B2597))),IF(U2597="CEBAS","UNICO",IF(VALUE(B2597)&lt;=11,"AMBA","INTERIOR"))))</f>
        <v>R05</v>
      </c>
      <c r="W2597" s="38" t="str">
        <f>+IF(U2597="","-",CONCATENATE(U2597,"_",V2597))</f>
        <v>FINES_R05</v>
      </c>
      <c r="X2597" s="42">
        <v>0.878</v>
      </c>
    </row>
    <row r="2598" spans="1:24">
      <c r="A2598" s="21" t="s">
        <v>5100</v>
      </c>
      <c r="B2598" t="s">
        <v>257</v>
      </c>
      <c r="C2598" t="s">
        <v>254</v>
      </c>
      <c r="D2598" t="s">
        <v>256</v>
      </c>
      <c r="E2598" s="7" t="s">
        <v>198</v>
      </c>
      <c r="F2598" s="7" t="s">
        <v>198</v>
      </c>
      <c r="G2598" s="7" t="s">
        <v>198</v>
      </c>
      <c r="H2598" s="7" t="s">
        <v>20</v>
      </c>
      <c r="I2598" s="7" t="s">
        <v>5102</v>
      </c>
      <c r="J2598" s="7" t="s">
        <v>21</v>
      </c>
      <c r="L2598" t="s">
        <v>3743</v>
      </c>
      <c r="M2598" s="7" t="s">
        <v>22</v>
      </c>
      <c r="N2598" s="7" t="s">
        <v>23</v>
      </c>
      <c r="O2598" s="7" t="s">
        <v>27</v>
      </c>
      <c r="P2598" s="7" t="s">
        <v>5101</v>
      </c>
      <c r="Q2598" s="26">
        <v>15</v>
      </c>
      <c r="R2598" s="26">
        <v>1</v>
      </c>
      <c r="S2598" s="40">
        <v>1</v>
      </c>
      <c r="T2598" s="7"/>
      <c r="U2598" s="7" t="s">
        <v>2951</v>
      </c>
      <c r="V2598" s="7" t="str">
        <f>+IF(U2598="","",IF(U2598="FINES",CONCATENATE("R",IF(OR(B2598="16",B2598="21",B2598="22",B2598="23"),"16212223",IF(OR(B2598="15",B2598="17",B2598="24",B2598="25"),"15172425",B2598))),IF(U2598="CEBAS","UNICO",IF(VALUE(B2598)&lt;=11,"AMBA","INTERIOR"))))</f>
        <v>R05</v>
      </c>
      <c r="W2598" s="38" t="str">
        <f>+IF(U2598="","-",CONCATENATE(U2598,"_",V2598))</f>
        <v>FINES_R05</v>
      </c>
      <c r="X2598" s="42">
        <v>0.88600000000000001</v>
      </c>
    </row>
    <row r="2599" spans="1:24">
      <c r="A2599" s="21" t="s">
        <v>5100</v>
      </c>
      <c r="B2599" t="s">
        <v>257</v>
      </c>
      <c r="C2599" t="s">
        <v>772</v>
      </c>
      <c r="D2599" t="s">
        <v>773</v>
      </c>
      <c r="E2599" s="7" t="s">
        <v>198</v>
      </c>
      <c r="F2599" s="7" t="s">
        <v>198</v>
      </c>
      <c r="G2599" s="7" t="s">
        <v>198</v>
      </c>
      <c r="H2599" s="7" t="s">
        <v>20</v>
      </c>
      <c r="I2599" s="7" t="s">
        <v>5102</v>
      </c>
      <c r="J2599" s="7" t="s">
        <v>21</v>
      </c>
      <c r="L2599" t="s">
        <v>3832</v>
      </c>
      <c r="M2599" s="7" t="s">
        <v>22</v>
      </c>
      <c r="N2599" s="7" t="s">
        <v>23</v>
      </c>
      <c r="O2599" s="7" t="s">
        <v>27</v>
      </c>
      <c r="P2599" s="7" t="s">
        <v>5101</v>
      </c>
      <c r="Q2599" s="26">
        <v>30</v>
      </c>
      <c r="R2599" s="26">
        <v>1</v>
      </c>
      <c r="S2599" s="40">
        <v>1</v>
      </c>
      <c r="T2599" s="7"/>
      <c r="U2599" s="7" t="s">
        <v>2951</v>
      </c>
      <c r="V2599" s="7" t="str">
        <f>+IF(U2599="","",IF(U2599="FINES",CONCATENATE("R",IF(OR(B2599="16",B2599="21",B2599="22",B2599="23"),"16212223",IF(OR(B2599="15",B2599="17",B2599="24",B2599="25"),"15172425",B2599))),IF(U2599="CEBAS","UNICO",IF(VALUE(B2599)&lt;=11,"AMBA","INTERIOR"))))</f>
        <v>R05</v>
      </c>
      <c r="W2599" s="38" t="str">
        <f>+IF(U2599="","-",CONCATENATE(U2599,"_",V2599))</f>
        <v>FINES_R05</v>
      </c>
      <c r="X2599" s="42">
        <v>0.89300000000000002</v>
      </c>
    </row>
    <row r="2600" spans="1:24">
      <c r="A2600" s="21" t="s">
        <v>5100</v>
      </c>
      <c r="B2600" t="s">
        <v>257</v>
      </c>
      <c r="C2600" t="s">
        <v>2337</v>
      </c>
      <c r="D2600" t="s">
        <v>2338</v>
      </c>
      <c r="E2600" s="7" t="s">
        <v>198</v>
      </c>
      <c r="F2600" s="7" t="s">
        <v>198</v>
      </c>
      <c r="G2600" s="7" t="s">
        <v>198</v>
      </c>
      <c r="H2600" s="7" t="s">
        <v>20</v>
      </c>
      <c r="I2600" s="7" t="s">
        <v>5102</v>
      </c>
      <c r="J2600" s="7" t="s">
        <v>21</v>
      </c>
      <c r="L2600" t="s">
        <v>3927</v>
      </c>
      <c r="M2600" s="7" t="s">
        <v>22</v>
      </c>
      <c r="N2600" s="7" t="s">
        <v>23</v>
      </c>
      <c r="O2600" s="7" t="s">
        <v>27</v>
      </c>
      <c r="P2600" s="7" t="s">
        <v>5101</v>
      </c>
      <c r="Q2600" s="26">
        <v>20</v>
      </c>
      <c r="R2600" s="26">
        <v>1</v>
      </c>
      <c r="S2600" s="40">
        <v>1</v>
      </c>
      <c r="T2600" s="7"/>
      <c r="U2600" s="7" t="s">
        <v>2951</v>
      </c>
      <c r="V2600" s="7" t="str">
        <f>+IF(U2600="","",IF(U2600="FINES",CONCATENATE("R",IF(OR(B2600="16",B2600="21",B2600="22",B2600="23"),"16212223",IF(OR(B2600="15",B2600="17",B2600="24",B2600="25"),"15172425",B2600))),IF(U2600="CEBAS","UNICO",IF(VALUE(B2600)&lt;=11,"AMBA","INTERIOR"))))</f>
        <v>R05</v>
      </c>
      <c r="W2600" s="38" t="str">
        <f>+IF(U2600="","-",CONCATENATE(U2600,"_",V2600))</f>
        <v>FINES_R05</v>
      </c>
      <c r="X2600" s="42">
        <v>0.89300000000000002</v>
      </c>
    </row>
    <row r="2601" spans="1:24">
      <c r="A2601" s="21" t="s">
        <v>5100</v>
      </c>
      <c r="B2601" t="s">
        <v>257</v>
      </c>
      <c r="C2601" t="s">
        <v>253</v>
      </c>
      <c r="D2601" t="s">
        <v>2759</v>
      </c>
      <c r="E2601" s="7" t="s">
        <v>198</v>
      </c>
      <c r="F2601" s="7" t="s">
        <v>198</v>
      </c>
      <c r="G2601" s="7" t="s">
        <v>198</v>
      </c>
      <c r="H2601" s="7" t="s">
        <v>20</v>
      </c>
      <c r="I2601" s="7" t="s">
        <v>5102</v>
      </c>
      <c r="J2601" s="7" t="s">
        <v>21</v>
      </c>
      <c r="L2601" t="s">
        <v>3903</v>
      </c>
      <c r="M2601" s="7" t="s">
        <v>22</v>
      </c>
      <c r="N2601" s="7" t="s">
        <v>23</v>
      </c>
      <c r="O2601" s="7" t="s">
        <v>27</v>
      </c>
      <c r="P2601" s="7" t="s">
        <v>5101</v>
      </c>
      <c r="Q2601" s="26">
        <v>100</v>
      </c>
      <c r="R2601" s="26">
        <v>5</v>
      </c>
      <c r="S2601" s="40">
        <v>1</v>
      </c>
      <c r="T2601" s="7"/>
      <c r="U2601" s="7" t="s">
        <v>2951</v>
      </c>
      <c r="V2601" s="7" t="str">
        <f>+IF(U2601="","",IF(U2601="FINES",CONCATENATE("R",IF(OR(B2601="16",B2601="21",B2601="22",B2601="23"),"16212223",IF(OR(B2601="15",B2601="17",B2601="24",B2601="25"),"15172425",B2601))),IF(U2601="CEBAS","UNICO",IF(VALUE(B2601)&lt;=11,"AMBA","INTERIOR"))))</f>
        <v>R05</v>
      </c>
      <c r="W2601" s="38" t="str">
        <f>+IF(U2601="","-",CONCATENATE(U2601,"_",V2601))</f>
        <v>FINES_R05</v>
      </c>
      <c r="X2601" s="42">
        <v>0.89700000000000002</v>
      </c>
    </row>
    <row r="2602" spans="1:24">
      <c r="A2602" s="21" t="s">
        <v>5100</v>
      </c>
      <c r="B2602" t="s">
        <v>257</v>
      </c>
      <c r="C2602" t="s">
        <v>254</v>
      </c>
      <c r="D2602" t="s">
        <v>256</v>
      </c>
      <c r="E2602" s="7" t="s">
        <v>198</v>
      </c>
      <c r="F2602" s="7" t="s">
        <v>198</v>
      </c>
      <c r="G2602" s="7" t="s">
        <v>198</v>
      </c>
      <c r="H2602" s="7" t="s">
        <v>20</v>
      </c>
      <c r="I2602" s="7" t="s">
        <v>5102</v>
      </c>
      <c r="J2602" s="7" t="s">
        <v>21</v>
      </c>
      <c r="L2602" t="s">
        <v>3775</v>
      </c>
      <c r="M2602" s="7" t="s">
        <v>22</v>
      </c>
      <c r="N2602" s="7" t="s">
        <v>23</v>
      </c>
      <c r="O2602" s="7" t="s">
        <v>27</v>
      </c>
      <c r="P2602" s="7" t="s">
        <v>5101</v>
      </c>
      <c r="Q2602" s="26">
        <v>26</v>
      </c>
      <c r="R2602" s="26">
        <v>1</v>
      </c>
      <c r="S2602" s="40">
        <v>1</v>
      </c>
      <c r="T2602" s="7"/>
      <c r="U2602" s="7" t="s">
        <v>2951</v>
      </c>
      <c r="V2602" s="7" t="str">
        <f>+IF(U2602="","",IF(U2602="FINES",CONCATENATE("R",IF(OR(B2602="16",B2602="21",B2602="22",B2602="23"),"16212223",IF(OR(B2602="15",B2602="17",B2602="24",B2602="25"),"15172425",B2602))),IF(U2602="CEBAS","UNICO",IF(VALUE(B2602)&lt;=11,"AMBA","INTERIOR"))))</f>
        <v>R05</v>
      </c>
      <c r="W2602" s="38" t="str">
        <f>+IF(U2602="","-",CONCATENATE(U2602,"_",V2602))</f>
        <v>FINES_R05</v>
      </c>
      <c r="X2602" s="42">
        <v>0.90700000000000003</v>
      </c>
    </row>
    <row r="2603" spans="1:24">
      <c r="A2603" s="21" t="s">
        <v>5100</v>
      </c>
      <c r="B2603" t="s">
        <v>257</v>
      </c>
      <c r="C2603" t="s">
        <v>415</v>
      </c>
      <c r="D2603" t="s">
        <v>2770</v>
      </c>
      <c r="E2603" s="7" t="s">
        <v>198</v>
      </c>
      <c r="F2603" s="7" t="s">
        <v>198</v>
      </c>
      <c r="G2603" s="7" t="s">
        <v>198</v>
      </c>
      <c r="H2603" s="7" t="s">
        <v>20</v>
      </c>
      <c r="I2603" s="7" t="s">
        <v>5102</v>
      </c>
      <c r="J2603" s="7" t="s">
        <v>21</v>
      </c>
      <c r="L2603" t="s">
        <v>3868</v>
      </c>
      <c r="M2603" s="7" t="s">
        <v>22</v>
      </c>
      <c r="N2603" s="7" t="s">
        <v>23</v>
      </c>
      <c r="O2603" s="7" t="s">
        <v>27</v>
      </c>
      <c r="P2603" s="7" t="s">
        <v>5101</v>
      </c>
      <c r="Q2603" s="26">
        <v>58</v>
      </c>
      <c r="R2603" s="26">
        <v>3</v>
      </c>
      <c r="S2603" s="40">
        <v>1</v>
      </c>
      <c r="T2603" s="7"/>
      <c r="U2603" s="7" t="s">
        <v>2951</v>
      </c>
      <c r="V2603" s="7" t="str">
        <f>+IF(U2603="","",IF(U2603="FINES",CONCATENATE("R",IF(OR(B2603="16",B2603="21",B2603="22",B2603="23"),"16212223",IF(OR(B2603="15",B2603="17",B2603="24",B2603="25"),"15172425",B2603))),IF(U2603="CEBAS","UNICO",IF(VALUE(B2603)&lt;=11,"AMBA","INTERIOR"))))</f>
        <v>R05</v>
      </c>
      <c r="W2603" s="38" t="str">
        <f>+IF(U2603="","-",CONCATENATE(U2603,"_",V2603))</f>
        <v>FINES_R05</v>
      </c>
      <c r="X2603" s="42">
        <v>0.90900000000000003</v>
      </c>
    </row>
    <row r="2604" spans="1:24">
      <c r="A2604" s="21" t="s">
        <v>5100</v>
      </c>
      <c r="B2604" t="s">
        <v>257</v>
      </c>
      <c r="C2604" t="s">
        <v>2337</v>
      </c>
      <c r="D2604" t="s">
        <v>2338</v>
      </c>
      <c r="E2604" s="7" t="s">
        <v>198</v>
      </c>
      <c r="F2604" s="7" t="s">
        <v>198</v>
      </c>
      <c r="G2604" s="7" t="s">
        <v>198</v>
      </c>
      <c r="H2604" s="7" t="s">
        <v>20</v>
      </c>
      <c r="I2604" s="7" t="s">
        <v>5102</v>
      </c>
      <c r="J2604" s="7" t="s">
        <v>21</v>
      </c>
      <c r="L2604" t="s">
        <v>3928</v>
      </c>
      <c r="M2604" s="7" t="s">
        <v>22</v>
      </c>
      <c r="N2604" s="7" t="s">
        <v>23</v>
      </c>
      <c r="O2604" s="7" t="s">
        <v>27</v>
      </c>
      <c r="P2604" s="7" t="s">
        <v>5101</v>
      </c>
      <c r="Q2604" s="26">
        <v>23</v>
      </c>
      <c r="R2604" s="26">
        <v>1</v>
      </c>
      <c r="S2604" s="40">
        <v>1</v>
      </c>
      <c r="T2604" s="7"/>
      <c r="U2604" s="7" t="s">
        <v>2951</v>
      </c>
      <c r="V2604" s="7" t="str">
        <f>+IF(U2604="","",IF(U2604="FINES",CONCATENATE("R",IF(OR(B2604="16",B2604="21",B2604="22",B2604="23"),"16212223",IF(OR(B2604="15",B2604="17",B2604="24",B2604="25"),"15172425",B2604))),IF(U2604="CEBAS","UNICO",IF(VALUE(B2604)&lt;=11,"AMBA","INTERIOR"))))</f>
        <v>R05</v>
      </c>
      <c r="W2604" s="38" t="str">
        <f>+IF(U2604="","-",CONCATENATE(U2604,"_",V2604))</f>
        <v>FINES_R05</v>
      </c>
      <c r="X2604" s="42">
        <v>0.92100000000000004</v>
      </c>
    </row>
    <row r="2605" spans="1:24">
      <c r="A2605" s="21" t="s">
        <v>5100</v>
      </c>
      <c r="B2605" t="s">
        <v>257</v>
      </c>
      <c r="C2605" t="s">
        <v>415</v>
      </c>
      <c r="D2605" t="s">
        <v>2770</v>
      </c>
      <c r="E2605" s="7" t="s">
        <v>198</v>
      </c>
      <c r="F2605" s="7" t="s">
        <v>198</v>
      </c>
      <c r="G2605" s="7" t="s">
        <v>198</v>
      </c>
      <c r="H2605" s="7" t="s">
        <v>20</v>
      </c>
      <c r="I2605" s="7" t="s">
        <v>5102</v>
      </c>
      <c r="J2605" s="7" t="s">
        <v>21</v>
      </c>
      <c r="L2605" t="s">
        <v>3880</v>
      </c>
      <c r="M2605" s="7" t="s">
        <v>22</v>
      </c>
      <c r="N2605" s="7" t="s">
        <v>23</v>
      </c>
      <c r="O2605" s="7" t="s">
        <v>27</v>
      </c>
      <c r="P2605" s="7" t="s">
        <v>5101</v>
      </c>
      <c r="Q2605" s="26">
        <v>111</v>
      </c>
      <c r="R2605" s="26">
        <v>4</v>
      </c>
      <c r="S2605" s="40">
        <v>1</v>
      </c>
      <c r="T2605" s="7"/>
      <c r="U2605" s="7" t="s">
        <v>2951</v>
      </c>
      <c r="V2605" s="7" t="str">
        <f>+IF(U2605="","",IF(U2605="FINES",CONCATENATE("R",IF(OR(B2605="16",B2605="21",B2605="22",B2605="23"),"16212223",IF(OR(B2605="15",B2605="17",B2605="24",B2605="25"),"15172425",B2605))),IF(U2605="CEBAS","UNICO",IF(VALUE(B2605)&lt;=11,"AMBA","INTERIOR"))))</f>
        <v>R05</v>
      </c>
      <c r="W2605" s="38" t="str">
        <f>+IF(U2605="","-",CONCATENATE(U2605,"_",V2605))</f>
        <v>FINES_R05</v>
      </c>
      <c r="X2605" s="42">
        <v>0.92300000000000004</v>
      </c>
    </row>
    <row r="2606" spans="1:24">
      <c r="A2606" s="21" t="s">
        <v>5100</v>
      </c>
      <c r="B2606" t="s">
        <v>257</v>
      </c>
      <c r="C2606" t="s">
        <v>772</v>
      </c>
      <c r="D2606" t="s">
        <v>773</v>
      </c>
      <c r="E2606" s="7" t="s">
        <v>198</v>
      </c>
      <c r="F2606" s="7" t="s">
        <v>198</v>
      </c>
      <c r="G2606" s="7" t="s">
        <v>198</v>
      </c>
      <c r="H2606" s="7" t="s">
        <v>20</v>
      </c>
      <c r="I2606" s="7" t="s">
        <v>5102</v>
      </c>
      <c r="J2606" s="7" t="s">
        <v>21</v>
      </c>
      <c r="L2606" t="s">
        <v>3856</v>
      </c>
      <c r="M2606" s="7" t="s">
        <v>22</v>
      </c>
      <c r="N2606" s="7" t="s">
        <v>23</v>
      </c>
      <c r="O2606" s="7" t="s">
        <v>27</v>
      </c>
      <c r="P2606" s="7" t="s">
        <v>5101</v>
      </c>
      <c r="Q2606" s="26">
        <v>31</v>
      </c>
      <c r="R2606" s="26">
        <v>1</v>
      </c>
      <c r="S2606" s="40">
        <v>1</v>
      </c>
      <c r="T2606" s="7"/>
      <c r="U2606" s="7" t="s">
        <v>2951</v>
      </c>
      <c r="V2606" s="7" t="str">
        <f>+IF(U2606="","",IF(U2606="FINES",CONCATENATE("R",IF(OR(B2606="16",B2606="21",B2606="22",B2606="23"),"16212223",IF(OR(B2606="15",B2606="17",B2606="24",B2606="25"),"15172425",B2606))),IF(U2606="CEBAS","UNICO",IF(VALUE(B2606)&lt;=11,"AMBA","INTERIOR"))))</f>
        <v>R05</v>
      </c>
      <c r="W2606" s="38" t="str">
        <f>+IF(U2606="","-",CONCATENATE(U2606,"_",V2606))</f>
        <v>FINES_R05</v>
      </c>
      <c r="X2606" s="42">
        <v>0.92900000000000005</v>
      </c>
    </row>
    <row r="2607" spans="1:24">
      <c r="A2607" s="21" t="s">
        <v>5100</v>
      </c>
      <c r="B2607" t="s">
        <v>257</v>
      </c>
      <c r="C2607" t="s">
        <v>772</v>
      </c>
      <c r="D2607" t="s">
        <v>773</v>
      </c>
      <c r="E2607" s="7" t="s">
        <v>198</v>
      </c>
      <c r="F2607" s="7" t="s">
        <v>198</v>
      </c>
      <c r="G2607" s="7" t="s">
        <v>198</v>
      </c>
      <c r="H2607" s="7" t="s">
        <v>20</v>
      </c>
      <c r="I2607" s="7" t="s">
        <v>5102</v>
      </c>
      <c r="J2607" s="7" t="s">
        <v>21</v>
      </c>
      <c r="L2607" t="s">
        <v>3853</v>
      </c>
      <c r="M2607" s="7" t="s">
        <v>22</v>
      </c>
      <c r="N2607" s="7" t="s">
        <v>23</v>
      </c>
      <c r="O2607" s="7" t="s">
        <v>27</v>
      </c>
      <c r="P2607" s="7" t="s">
        <v>5101</v>
      </c>
      <c r="Q2607" s="26">
        <v>25</v>
      </c>
      <c r="R2607" s="26">
        <v>1</v>
      </c>
      <c r="S2607" s="40">
        <v>1</v>
      </c>
      <c r="T2607" s="7"/>
      <c r="U2607" s="7" t="s">
        <v>2951</v>
      </c>
      <c r="V2607" s="7" t="str">
        <f>+IF(U2607="","",IF(U2607="FINES",CONCATENATE("R",IF(OR(B2607="16",B2607="21",B2607="22",B2607="23"),"16212223",IF(OR(B2607="15",B2607="17",B2607="24",B2607="25"),"15172425",B2607))),IF(U2607="CEBAS","UNICO",IF(VALUE(B2607)&lt;=11,"AMBA","INTERIOR"))))</f>
        <v>R05</v>
      </c>
      <c r="W2607" s="38" t="str">
        <f>+IF(U2607="","-",CONCATENATE(U2607,"_",V2607))</f>
        <v>FINES_R05</v>
      </c>
      <c r="X2607" s="42">
        <v>0.93400000000000005</v>
      </c>
    </row>
    <row r="2608" spans="1:24">
      <c r="A2608" s="21" t="s">
        <v>5100</v>
      </c>
      <c r="B2608" t="s">
        <v>257</v>
      </c>
      <c r="C2608" t="s">
        <v>415</v>
      </c>
      <c r="D2608" t="s">
        <v>2770</v>
      </c>
      <c r="E2608" s="7" t="s">
        <v>198</v>
      </c>
      <c r="F2608" s="7" t="s">
        <v>198</v>
      </c>
      <c r="G2608" s="7" t="s">
        <v>198</v>
      </c>
      <c r="H2608" s="7" t="s">
        <v>20</v>
      </c>
      <c r="I2608" s="7" t="s">
        <v>5102</v>
      </c>
      <c r="J2608" s="7" t="s">
        <v>21</v>
      </c>
      <c r="L2608" t="s">
        <v>3889</v>
      </c>
      <c r="M2608" s="7" t="s">
        <v>22</v>
      </c>
      <c r="N2608" s="7" t="s">
        <v>23</v>
      </c>
      <c r="O2608" s="7" t="s">
        <v>27</v>
      </c>
      <c r="P2608" s="7" t="s">
        <v>5101</v>
      </c>
      <c r="Q2608" s="26">
        <v>19</v>
      </c>
      <c r="R2608" s="26">
        <v>1</v>
      </c>
      <c r="S2608" s="40">
        <v>1</v>
      </c>
      <c r="T2608" s="7"/>
      <c r="U2608" s="7" t="s">
        <v>2951</v>
      </c>
      <c r="V2608" s="7" t="str">
        <f>+IF(U2608="","",IF(U2608="FINES",CONCATENATE("R",IF(OR(B2608="16",B2608="21",B2608="22",B2608="23"),"16212223",IF(OR(B2608="15",B2608="17",B2608="24",B2608="25"),"15172425",B2608))),IF(U2608="CEBAS","UNICO",IF(VALUE(B2608)&lt;=11,"AMBA","INTERIOR"))))</f>
        <v>R05</v>
      </c>
      <c r="W2608" s="38" t="str">
        <f>+IF(U2608="","-",CONCATENATE(U2608,"_",V2608))</f>
        <v>FINES_R05</v>
      </c>
      <c r="X2608" s="42">
        <v>0.93500000000000005</v>
      </c>
    </row>
    <row r="2609" spans="1:24">
      <c r="A2609" s="21" t="s">
        <v>5100</v>
      </c>
      <c r="B2609" t="s">
        <v>257</v>
      </c>
      <c r="C2609" t="s">
        <v>2337</v>
      </c>
      <c r="D2609" t="s">
        <v>2338</v>
      </c>
      <c r="E2609" s="7" t="s">
        <v>198</v>
      </c>
      <c r="F2609" s="7" t="s">
        <v>198</v>
      </c>
      <c r="G2609" s="7" t="s">
        <v>198</v>
      </c>
      <c r="H2609" s="7" t="s">
        <v>20</v>
      </c>
      <c r="I2609" s="7" t="s">
        <v>5102</v>
      </c>
      <c r="J2609" s="7" t="s">
        <v>21</v>
      </c>
      <c r="L2609" t="s">
        <v>3929</v>
      </c>
      <c r="M2609" s="7" t="s">
        <v>22</v>
      </c>
      <c r="N2609" s="7" t="s">
        <v>23</v>
      </c>
      <c r="O2609" s="7" t="s">
        <v>27</v>
      </c>
      <c r="P2609" s="7" t="s">
        <v>5101</v>
      </c>
      <c r="Q2609" s="26">
        <v>64</v>
      </c>
      <c r="R2609" s="26">
        <v>3</v>
      </c>
      <c r="S2609" s="40">
        <v>1</v>
      </c>
      <c r="T2609" s="7"/>
      <c r="U2609" s="7" t="s">
        <v>2951</v>
      </c>
      <c r="V2609" s="7" t="str">
        <f>+IF(U2609="","",IF(U2609="FINES",CONCATENATE("R",IF(OR(B2609="16",B2609="21",B2609="22",B2609="23"),"16212223",IF(OR(B2609="15",B2609="17",B2609="24",B2609="25"),"15172425",B2609))),IF(U2609="CEBAS","UNICO",IF(VALUE(B2609)&lt;=11,"AMBA","INTERIOR"))))</f>
        <v>R05</v>
      </c>
      <c r="W2609" s="38" t="str">
        <f>+IF(U2609="","-",CONCATENATE(U2609,"_",V2609))</f>
        <v>FINES_R05</v>
      </c>
      <c r="X2609" s="42">
        <v>0.93600000000000005</v>
      </c>
    </row>
    <row r="2610" spans="1:24">
      <c r="A2610" s="21" t="s">
        <v>5100</v>
      </c>
      <c r="B2610" t="s">
        <v>257</v>
      </c>
      <c r="C2610" t="s">
        <v>254</v>
      </c>
      <c r="D2610" t="s">
        <v>256</v>
      </c>
      <c r="E2610" s="7" t="s">
        <v>198</v>
      </c>
      <c r="F2610" s="7" t="s">
        <v>198</v>
      </c>
      <c r="G2610" s="7" t="s">
        <v>198</v>
      </c>
      <c r="H2610" s="7" t="s">
        <v>20</v>
      </c>
      <c r="I2610" s="7" t="s">
        <v>5102</v>
      </c>
      <c r="J2610" s="7" t="s">
        <v>21</v>
      </c>
      <c r="L2610" t="s">
        <v>3740</v>
      </c>
      <c r="M2610" s="7" t="s">
        <v>22</v>
      </c>
      <c r="N2610" s="7" t="s">
        <v>23</v>
      </c>
      <c r="O2610" s="7" t="s">
        <v>27</v>
      </c>
      <c r="P2610" s="7" t="s">
        <v>5101</v>
      </c>
      <c r="Q2610" s="26">
        <v>16</v>
      </c>
      <c r="R2610" s="26">
        <v>1</v>
      </c>
      <c r="S2610" s="40">
        <v>1</v>
      </c>
      <c r="T2610" s="7"/>
      <c r="U2610" s="7" t="s">
        <v>2951</v>
      </c>
      <c r="V2610" s="7" t="str">
        <f>+IF(U2610="","",IF(U2610="FINES",CONCATENATE("R",IF(OR(B2610="16",B2610="21",B2610="22",B2610="23"),"16212223",IF(OR(B2610="15",B2610="17",B2610="24",B2610="25"),"15172425",B2610))),IF(U2610="CEBAS","UNICO",IF(VALUE(B2610)&lt;=11,"AMBA","INTERIOR"))))</f>
        <v>R05</v>
      </c>
      <c r="W2610" s="38" t="str">
        <f>+IF(U2610="","-",CONCATENATE(U2610,"_",V2610))</f>
        <v>FINES_R05</v>
      </c>
      <c r="X2610" s="42">
        <v>0.94299999999999995</v>
      </c>
    </row>
    <row r="2611" spans="1:24">
      <c r="A2611" s="21" t="s">
        <v>5100</v>
      </c>
      <c r="B2611" t="s">
        <v>257</v>
      </c>
      <c r="C2611" t="s">
        <v>254</v>
      </c>
      <c r="D2611" t="s">
        <v>256</v>
      </c>
      <c r="E2611" s="7" t="s">
        <v>198</v>
      </c>
      <c r="F2611" s="7" t="s">
        <v>198</v>
      </c>
      <c r="G2611" s="7" t="s">
        <v>198</v>
      </c>
      <c r="H2611" s="7" t="s">
        <v>20</v>
      </c>
      <c r="I2611" s="7" t="s">
        <v>5102</v>
      </c>
      <c r="J2611" s="7" t="s">
        <v>21</v>
      </c>
      <c r="L2611" t="s">
        <v>3742</v>
      </c>
      <c r="M2611" s="7" t="s">
        <v>22</v>
      </c>
      <c r="N2611" s="7" t="s">
        <v>23</v>
      </c>
      <c r="O2611" s="7" t="s">
        <v>27</v>
      </c>
      <c r="P2611" s="7" t="s">
        <v>5101</v>
      </c>
      <c r="Q2611" s="26">
        <v>21</v>
      </c>
      <c r="R2611" s="26">
        <v>1</v>
      </c>
      <c r="S2611" s="40">
        <v>1</v>
      </c>
      <c r="T2611" s="7"/>
      <c r="U2611" s="7" t="s">
        <v>2951</v>
      </c>
      <c r="V2611" s="7" t="str">
        <f>+IF(U2611="","",IF(U2611="FINES",CONCATENATE("R",IF(OR(B2611="16",B2611="21",B2611="22",B2611="23"),"16212223",IF(OR(B2611="15",B2611="17",B2611="24",B2611="25"),"15172425",B2611))),IF(U2611="CEBAS","UNICO",IF(VALUE(B2611)&lt;=11,"AMBA","INTERIOR"))))</f>
        <v>R05</v>
      </c>
      <c r="W2611" s="38" t="str">
        <f>+IF(U2611="","-",CONCATENATE(U2611,"_",V2611))</f>
        <v>FINES_R05</v>
      </c>
      <c r="X2611" s="42">
        <v>0.94299999999999995</v>
      </c>
    </row>
    <row r="2612" spans="1:24">
      <c r="A2612" s="21" t="s">
        <v>5100</v>
      </c>
      <c r="B2612" t="s">
        <v>257</v>
      </c>
      <c r="C2612" t="s">
        <v>415</v>
      </c>
      <c r="D2612" t="s">
        <v>2770</v>
      </c>
      <c r="E2612" s="7" t="s">
        <v>198</v>
      </c>
      <c r="F2612" s="7" t="s">
        <v>198</v>
      </c>
      <c r="G2612" s="7" t="s">
        <v>198</v>
      </c>
      <c r="H2612" s="7" t="s">
        <v>20</v>
      </c>
      <c r="I2612" s="7" t="s">
        <v>5102</v>
      </c>
      <c r="J2612" s="7" t="s">
        <v>21</v>
      </c>
      <c r="L2612" t="s">
        <v>3876</v>
      </c>
      <c r="M2612" s="7" t="s">
        <v>22</v>
      </c>
      <c r="N2612" s="7" t="s">
        <v>23</v>
      </c>
      <c r="O2612" s="7" t="s">
        <v>27</v>
      </c>
      <c r="P2612" s="7" t="s">
        <v>5101</v>
      </c>
      <c r="Q2612" s="26">
        <v>16</v>
      </c>
      <c r="R2612" s="26">
        <v>1</v>
      </c>
      <c r="S2612" s="40">
        <v>1</v>
      </c>
      <c r="T2612" s="7"/>
      <c r="U2612" s="7" t="s">
        <v>2951</v>
      </c>
      <c r="V2612" s="7" t="str">
        <f>+IF(U2612="","",IF(U2612="FINES",CONCATENATE("R",IF(OR(B2612="16",B2612="21",B2612="22",B2612="23"),"16212223",IF(OR(B2612="15",B2612="17",B2612="24",B2612="25"),"15172425",B2612))),IF(U2612="CEBAS","UNICO",IF(VALUE(B2612)&lt;=11,"AMBA","INTERIOR"))))</f>
        <v>R05</v>
      </c>
      <c r="W2612" s="38" t="str">
        <f>+IF(U2612="","-",CONCATENATE(U2612,"_",V2612))</f>
        <v>FINES_R05</v>
      </c>
      <c r="X2612" s="42">
        <v>0.95199999999999996</v>
      </c>
    </row>
    <row r="2613" spans="1:24">
      <c r="A2613" s="21" t="s">
        <v>5100</v>
      </c>
      <c r="B2613" t="s">
        <v>257</v>
      </c>
      <c r="C2613" t="s">
        <v>254</v>
      </c>
      <c r="D2613" t="s">
        <v>256</v>
      </c>
      <c r="E2613" s="7" t="s">
        <v>198</v>
      </c>
      <c r="F2613" s="7" t="s">
        <v>198</v>
      </c>
      <c r="G2613" s="7" t="s">
        <v>198</v>
      </c>
      <c r="H2613" s="7" t="s">
        <v>20</v>
      </c>
      <c r="I2613" s="7" t="s">
        <v>5102</v>
      </c>
      <c r="J2613" s="7" t="s">
        <v>21</v>
      </c>
      <c r="L2613" t="s">
        <v>3758</v>
      </c>
      <c r="M2613" s="7" t="s">
        <v>22</v>
      </c>
      <c r="N2613" s="7" t="s">
        <v>23</v>
      </c>
      <c r="O2613" s="7" t="s">
        <v>27</v>
      </c>
      <c r="P2613" s="7" t="s">
        <v>5101</v>
      </c>
      <c r="Q2613" s="26">
        <v>102</v>
      </c>
      <c r="R2613" s="26">
        <v>3</v>
      </c>
      <c r="S2613" s="40">
        <v>1</v>
      </c>
      <c r="T2613" s="7"/>
      <c r="U2613" s="7" t="s">
        <v>2951</v>
      </c>
      <c r="V2613" s="7" t="str">
        <f>+IF(U2613="","",IF(U2613="FINES",CONCATENATE("R",IF(OR(B2613="16",B2613="21",B2613="22",B2613="23"),"16212223",IF(OR(B2613="15",B2613="17",B2613="24",B2613="25"),"15172425",B2613))),IF(U2613="CEBAS","UNICO",IF(VALUE(B2613)&lt;=11,"AMBA","INTERIOR"))))</f>
        <v>R05</v>
      </c>
      <c r="W2613" s="38" t="str">
        <f>+IF(U2613="","-",CONCATENATE(U2613,"_",V2613))</f>
        <v>FINES_R05</v>
      </c>
      <c r="X2613" s="42">
        <v>0.95699999999999996</v>
      </c>
    </row>
    <row r="2614" spans="1:24">
      <c r="A2614" s="21" t="s">
        <v>5100</v>
      </c>
      <c r="B2614" t="s">
        <v>257</v>
      </c>
      <c r="C2614" t="s">
        <v>254</v>
      </c>
      <c r="D2614" t="s">
        <v>256</v>
      </c>
      <c r="E2614" s="7" t="s">
        <v>198</v>
      </c>
      <c r="F2614" s="7" t="s">
        <v>198</v>
      </c>
      <c r="G2614" s="7" t="s">
        <v>198</v>
      </c>
      <c r="H2614" s="7" t="s">
        <v>20</v>
      </c>
      <c r="I2614" s="7" t="s">
        <v>5102</v>
      </c>
      <c r="J2614" s="7" t="s">
        <v>21</v>
      </c>
      <c r="L2614" t="s">
        <v>3815</v>
      </c>
      <c r="M2614" s="7" t="s">
        <v>22</v>
      </c>
      <c r="N2614" s="7" t="s">
        <v>23</v>
      </c>
      <c r="O2614" s="7" t="s">
        <v>27</v>
      </c>
      <c r="P2614" s="7" t="s">
        <v>5101</v>
      </c>
      <c r="Q2614" s="26">
        <v>16</v>
      </c>
      <c r="R2614" s="26">
        <v>1</v>
      </c>
      <c r="S2614" s="40">
        <v>1</v>
      </c>
      <c r="T2614" s="7"/>
      <c r="U2614" s="7" t="s">
        <v>2951</v>
      </c>
      <c r="V2614" s="7" t="str">
        <f>+IF(U2614="","",IF(U2614="FINES",CONCATENATE("R",IF(OR(B2614="16",B2614="21",B2614="22",B2614="23"),"16212223",IF(OR(B2614="15",B2614="17",B2614="24",B2614="25"),"15172425",B2614))),IF(U2614="CEBAS","UNICO",IF(VALUE(B2614)&lt;=11,"AMBA","INTERIOR"))))</f>
        <v>R05</v>
      </c>
      <c r="W2614" s="38" t="str">
        <f>+IF(U2614="","-",CONCATENATE(U2614,"_",V2614))</f>
        <v>FINES_R05</v>
      </c>
      <c r="X2614" s="42">
        <v>0.96799999999999997</v>
      </c>
    </row>
    <row r="2615" spans="1:24">
      <c r="A2615" s="21" t="s">
        <v>5100</v>
      </c>
      <c r="B2615" t="s">
        <v>257</v>
      </c>
      <c r="C2615" t="s">
        <v>772</v>
      </c>
      <c r="D2615" t="s">
        <v>773</v>
      </c>
      <c r="E2615" s="7" t="s">
        <v>198</v>
      </c>
      <c r="F2615" s="7" t="s">
        <v>198</v>
      </c>
      <c r="G2615" s="7" t="s">
        <v>198</v>
      </c>
      <c r="H2615" s="7" t="s">
        <v>20</v>
      </c>
      <c r="I2615" s="7" t="s">
        <v>5102</v>
      </c>
      <c r="J2615" s="7" t="s">
        <v>21</v>
      </c>
      <c r="L2615" t="s">
        <v>3836</v>
      </c>
      <c r="M2615" s="7" t="s">
        <v>22</v>
      </c>
      <c r="N2615" s="7" t="s">
        <v>23</v>
      </c>
      <c r="O2615" s="7" t="s">
        <v>27</v>
      </c>
      <c r="P2615" s="7" t="s">
        <v>5101</v>
      </c>
      <c r="Q2615" s="26">
        <v>20</v>
      </c>
      <c r="R2615" s="26">
        <v>1</v>
      </c>
      <c r="S2615" s="40">
        <v>1</v>
      </c>
      <c r="T2615" s="7"/>
      <c r="U2615" s="7" t="s">
        <v>2951</v>
      </c>
      <c r="V2615" s="7" t="str">
        <f>+IF(U2615="","",IF(U2615="FINES",CONCATENATE("R",IF(OR(B2615="16",B2615="21",B2615="22",B2615="23"),"16212223",IF(OR(B2615="15",B2615="17",B2615="24",B2615="25"),"15172425",B2615))),IF(U2615="CEBAS","UNICO",IF(VALUE(B2615)&lt;=11,"AMBA","INTERIOR"))))</f>
        <v>R05</v>
      </c>
      <c r="W2615" s="38" t="str">
        <f>+IF(U2615="","-",CONCATENATE(U2615,"_",V2615))</f>
        <v>FINES_R05</v>
      </c>
      <c r="X2615" s="42">
        <v>0.96899999999999997</v>
      </c>
    </row>
    <row r="2616" spans="1:24">
      <c r="A2616" s="21" t="s">
        <v>5100</v>
      </c>
      <c r="B2616" t="s">
        <v>257</v>
      </c>
      <c r="C2616" t="s">
        <v>254</v>
      </c>
      <c r="D2616" t="s">
        <v>256</v>
      </c>
      <c r="E2616" s="7" t="s">
        <v>198</v>
      </c>
      <c r="F2616" s="7" t="s">
        <v>198</v>
      </c>
      <c r="G2616" s="7" t="s">
        <v>198</v>
      </c>
      <c r="H2616" s="7" t="s">
        <v>20</v>
      </c>
      <c r="I2616" s="7" t="s">
        <v>5102</v>
      </c>
      <c r="J2616" s="7" t="s">
        <v>21</v>
      </c>
      <c r="L2616" t="s">
        <v>3796</v>
      </c>
      <c r="M2616" s="7" t="s">
        <v>22</v>
      </c>
      <c r="N2616" s="7" t="s">
        <v>23</v>
      </c>
      <c r="O2616" s="7" t="s">
        <v>27</v>
      </c>
      <c r="P2616" s="7" t="s">
        <v>5101</v>
      </c>
      <c r="Q2616" s="26">
        <v>16</v>
      </c>
      <c r="R2616" s="26">
        <v>1</v>
      </c>
      <c r="S2616" s="40">
        <v>1</v>
      </c>
      <c r="T2616" s="7"/>
      <c r="U2616" s="7" t="s">
        <v>2951</v>
      </c>
      <c r="V2616" s="7" t="str">
        <f>+IF(U2616="","",IF(U2616="FINES",CONCATENATE("R",IF(OR(B2616="16",B2616="21",B2616="22",B2616="23"),"16212223",IF(OR(B2616="15",B2616="17",B2616="24",B2616="25"),"15172425",B2616))),IF(U2616="CEBAS","UNICO",IF(VALUE(B2616)&lt;=11,"AMBA","INTERIOR"))))</f>
        <v>R05</v>
      </c>
      <c r="W2616" s="38" t="str">
        <f>+IF(U2616="","-",CONCATENATE(U2616,"_",V2616))</f>
        <v>FINES_R05</v>
      </c>
      <c r="X2616" s="42">
        <v>0.97199999999999998</v>
      </c>
    </row>
    <row r="2617" spans="1:24">
      <c r="A2617" s="21" t="s">
        <v>5100</v>
      </c>
      <c r="B2617" t="s">
        <v>257</v>
      </c>
      <c r="C2617" t="s">
        <v>254</v>
      </c>
      <c r="D2617" t="s">
        <v>256</v>
      </c>
      <c r="E2617" s="7" t="s">
        <v>198</v>
      </c>
      <c r="F2617" s="7" t="s">
        <v>198</v>
      </c>
      <c r="G2617" s="7" t="s">
        <v>198</v>
      </c>
      <c r="H2617" s="7" t="s">
        <v>20</v>
      </c>
      <c r="I2617" s="7" t="s">
        <v>5102</v>
      </c>
      <c r="J2617" s="7" t="s">
        <v>21</v>
      </c>
      <c r="L2617" t="s">
        <v>3806</v>
      </c>
      <c r="M2617" s="7" t="s">
        <v>22</v>
      </c>
      <c r="N2617" s="7" t="s">
        <v>23</v>
      </c>
      <c r="O2617" s="7" t="s">
        <v>27</v>
      </c>
      <c r="P2617" s="7" t="s">
        <v>5101</v>
      </c>
      <c r="Q2617" s="26">
        <v>15</v>
      </c>
      <c r="R2617" s="26">
        <v>1</v>
      </c>
      <c r="S2617" s="40">
        <v>1</v>
      </c>
      <c r="T2617" s="7"/>
      <c r="U2617" s="7" t="s">
        <v>2951</v>
      </c>
      <c r="V2617" s="7" t="str">
        <f>+IF(U2617="","",IF(U2617="FINES",CONCATENATE("R",IF(OR(B2617="16",B2617="21",B2617="22",B2617="23"),"16212223",IF(OR(B2617="15",B2617="17",B2617="24",B2617="25"),"15172425",B2617))),IF(U2617="CEBAS","UNICO",IF(VALUE(B2617)&lt;=11,"AMBA","INTERIOR"))))</f>
        <v>R05</v>
      </c>
      <c r="W2617" s="38" t="str">
        <f>+IF(U2617="","-",CONCATENATE(U2617,"_",V2617))</f>
        <v>FINES_R05</v>
      </c>
      <c r="X2617" s="42">
        <v>0.98399999999999999</v>
      </c>
    </row>
    <row r="2618" spans="1:24">
      <c r="A2618" s="21" t="s">
        <v>5100</v>
      </c>
      <c r="B2618" t="s">
        <v>257</v>
      </c>
      <c r="C2618" t="s">
        <v>254</v>
      </c>
      <c r="D2618" t="s">
        <v>256</v>
      </c>
      <c r="E2618" s="7" t="s">
        <v>198</v>
      </c>
      <c r="F2618" s="7" t="s">
        <v>198</v>
      </c>
      <c r="G2618" s="7" t="s">
        <v>198</v>
      </c>
      <c r="H2618" s="7" t="s">
        <v>20</v>
      </c>
      <c r="I2618" s="7" t="s">
        <v>5102</v>
      </c>
      <c r="J2618" s="7" t="s">
        <v>21</v>
      </c>
      <c r="L2618" t="s">
        <v>3760</v>
      </c>
      <c r="M2618" s="7" t="s">
        <v>22</v>
      </c>
      <c r="N2618" s="7" t="s">
        <v>23</v>
      </c>
      <c r="O2618" s="7" t="s">
        <v>27</v>
      </c>
      <c r="P2618" s="7" t="s">
        <v>5101</v>
      </c>
      <c r="Q2618" s="26">
        <v>19</v>
      </c>
      <c r="R2618" s="26">
        <v>1</v>
      </c>
      <c r="S2618" s="40">
        <v>1</v>
      </c>
      <c r="T2618" s="7"/>
      <c r="U2618" s="7" t="s">
        <v>2951</v>
      </c>
      <c r="V2618" s="7" t="str">
        <f>+IF(U2618="","",IF(U2618="FINES",CONCATENATE("R",IF(OR(B2618="16",B2618="21",B2618="22",B2618="23"),"16212223",IF(OR(B2618="15",B2618="17",B2618="24",B2618="25"),"15172425",B2618))),IF(U2618="CEBAS","UNICO",IF(VALUE(B2618)&lt;=11,"AMBA","INTERIOR"))))</f>
        <v>R05</v>
      </c>
      <c r="W2618" s="38" t="str">
        <f>+IF(U2618="","-",CONCATENATE(U2618,"_",V2618))</f>
        <v>FINES_R05</v>
      </c>
      <c r="X2618" s="42">
        <v>0.98499999999999999</v>
      </c>
    </row>
    <row r="2619" spans="1:24">
      <c r="A2619" s="21" t="s">
        <v>5100</v>
      </c>
      <c r="B2619" t="s">
        <v>257</v>
      </c>
      <c r="C2619" t="s">
        <v>253</v>
      </c>
      <c r="D2619" t="s">
        <v>2759</v>
      </c>
      <c r="E2619" s="7" t="s">
        <v>198</v>
      </c>
      <c r="F2619" s="7" t="s">
        <v>198</v>
      </c>
      <c r="G2619" s="7" t="s">
        <v>198</v>
      </c>
      <c r="H2619" s="7" t="s">
        <v>20</v>
      </c>
      <c r="I2619" s="7" t="s">
        <v>5102</v>
      </c>
      <c r="J2619" s="7" t="s">
        <v>21</v>
      </c>
      <c r="L2619" t="s">
        <v>3896</v>
      </c>
      <c r="M2619" s="7" t="s">
        <v>22</v>
      </c>
      <c r="N2619" s="7" t="s">
        <v>23</v>
      </c>
      <c r="O2619" s="7" t="s">
        <v>27</v>
      </c>
      <c r="P2619" s="7" t="s">
        <v>5101</v>
      </c>
      <c r="Q2619" s="26">
        <v>40</v>
      </c>
      <c r="R2619" s="26">
        <v>2</v>
      </c>
      <c r="S2619" s="40">
        <v>1</v>
      </c>
      <c r="T2619" s="7"/>
      <c r="U2619" s="7" t="s">
        <v>2951</v>
      </c>
      <c r="V2619" s="7" t="str">
        <f>+IF(U2619="","",IF(U2619="FINES",CONCATENATE("R",IF(OR(B2619="16",B2619="21",B2619="22",B2619="23"),"16212223",IF(OR(B2619="15",B2619="17",B2619="24",B2619="25"),"15172425",B2619))),IF(U2619="CEBAS","UNICO",IF(VALUE(B2619)&lt;=11,"AMBA","INTERIOR"))))</f>
        <v>R05</v>
      </c>
      <c r="W2619" s="38" t="str">
        <f>+IF(U2619="","-",CONCATENATE(U2619,"_",V2619))</f>
        <v>FINES_R05</v>
      </c>
      <c r="X2619" s="42">
        <v>0.98899999999999999</v>
      </c>
    </row>
    <row r="2620" spans="1:24">
      <c r="A2620" s="21" t="s">
        <v>5100</v>
      </c>
      <c r="B2620" t="s">
        <v>257</v>
      </c>
      <c r="C2620" t="s">
        <v>254</v>
      </c>
      <c r="D2620" t="s">
        <v>256</v>
      </c>
      <c r="E2620" s="7" t="s">
        <v>198</v>
      </c>
      <c r="F2620" s="7" t="s">
        <v>198</v>
      </c>
      <c r="G2620" s="7" t="s">
        <v>198</v>
      </c>
      <c r="H2620" s="7" t="s">
        <v>20</v>
      </c>
      <c r="I2620" s="7" t="s">
        <v>5102</v>
      </c>
      <c r="J2620" s="7" t="s">
        <v>21</v>
      </c>
      <c r="L2620" t="s">
        <v>3827</v>
      </c>
      <c r="M2620" s="7" t="s">
        <v>22</v>
      </c>
      <c r="N2620" s="7" t="s">
        <v>23</v>
      </c>
      <c r="O2620" s="7" t="s">
        <v>27</v>
      </c>
      <c r="P2620" s="7" t="s">
        <v>5101</v>
      </c>
      <c r="Q2620" s="26">
        <v>14</v>
      </c>
      <c r="R2620" s="26">
        <v>1</v>
      </c>
      <c r="S2620" s="40">
        <v>1</v>
      </c>
      <c r="T2620" s="7"/>
      <c r="U2620" s="7" t="s">
        <v>2951</v>
      </c>
      <c r="V2620" s="7" t="str">
        <f>+IF(U2620="","",IF(U2620="FINES",CONCATENATE("R",IF(OR(B2620="16",B2620="21",B2620="22",B2620="23"),"16212223",IF(OR(B2620="15",B2620="17",B2620="24",B2620="25"),"15172425",B2620))),IF(U2620="CEBAS","UNICO",IF(VALUE(B2620)&lt;=11,"AMBA","INTERIOR"))))</f>
        <v>R05</v>
      </c>
      <c r="W2620" s="38" t="str">
        <f>+IF(U2620="","-",CONCATENATE(U2620,"_",V2620))</f>
        <v>FINES_R05</v>
      </c>
      <c r="X2620" s="42">
        <v>0.99199999999999999</v>
      </c>
    </row>
    <row r="2621" spans="1:24">
      <c r="A2621" s="21" t="s">
        <v>5100</v>
      </c>
      <c r="B2621" t="s">
        <v>257</v>
      </c>
      <c r="C2621" t="s">
        <v>254</v>
      </c>
      <c r="D2621" t="s">
        <v>256</v>
      </c>
      <c r="E2621" s="7" t="s">
        <v>198</v>
      </c>
      <c r="F2621" s="7" t="s">
        <v>198</v>
      </c>
      <c r="G2621" s="7" t="s">
        <v>198</v>
      </c>
      <c r="H2621" s="7" t="s">
        <v>20</v>
      </c>
      <c r="I2621" s="7" t="s">
        <v>5102</v>
      </c>
      <c r="J2621" s="7" t="s">
        <v>21</v>
      </c>
      <c r="L2621" t="s">
        <v>3807</v>
      </c>
      <c r="M2621" s="7" t="s">
        <v>22</v>
      </c>
      <c r="N2621" s="7" t="s">
        <v>23</v>
      </c>
      <c r="O2621" s="7" t="s">
        <v>27</v>
      </c>
      <c r="P2621" s="7" t="s">
        <v>5101</v>
      </c>
      <c r="Q2621" s="26">
        <v>31</v>
      </c>
      <c r="R2621" s="26">
        <v>2</v>
      </c>
      <c r="S2621" s="40">
        <v>1</v>
      </c>
      <c r="T2621" s="7"/>
      <c r="U2621" s="7" t="s">
        <v>2951</v>
      </c>
      <c r="V2621" s="7" t="str">
        <f>+IF(U2621="","",IF(U2621="FINES",CONCATENATE("R",IF(OR(B2621="16",B2621="21",B2621="22",B2621="23"),"16212223",IF(OR(B2621="15",B2621="17",B2621="24",B2621="25"),"15172425",B2621))),IF(U2621="CEBAS","UNICO",IF(VALUE(B2621)&lt;=11,"AMBA","INTERIOR"))))</f>
        <v>R05</v>
      </c>
      <c r="W2621" s="38" t="str">
        <f>+IF(U2621="","-",CONCATENATE(U2621,"_",V2621))</f>
        <v>FINES_R05</v>
      </c>
      <c r="X2621" s="42">
        <v>0.99299999999999999</v>
      </c>
    </row>
    <row r="2622" spans="1:24">
      <c r="A2622" s="21" t="s">
        <v>5100</v>
      </c>
      <c r="B2622" t="s">
        <v>257</v>
      </c>
      <c r="C2622" t="s">
        <v>254</v>
      </c>
      <c r="D2622" t="s">
        <v>256</v>
      </c>
      <c r="E2622" s="7" t="s">
        <v>198</v>
      </c>
      <c r="F2622" s="7" t="s">
        <v>198</v>
      </c>
      <c r="G2622" s="7" t="s">
        <v>198</v>
      </c>
      <c r="H2622" s="7" t="s">
        <v>20</v>
      </c>
      <c r="I2622" s="7" t="s">
        <v>5102</v>
      </c>
      <c r="J2622" s="7" t="s">
        <v>21</v>
      </c>
      <c r="L2622" t="s">
        <v>3818</v>
      </c>
      <c r="M2622" s="7" t="s">
        <v>22</v>
      </c>
      <c r="N2622" s="7" t="s">
        <v>23</v>
      </c>
      <c r="O2622" s="7" t="s">
        <v>27</v>
      </c>
      <c r="P2622" s="7" t="s">
        <v>5101</v>
      </c>
      <c r="Q2622" s="26">
        <v>131</v>
      </c>
      <c r="R2622" s="26">
        <v>5</v>
      </c>
      <c r="S2622" s="40">
        <v>1</v>
      </c>
      <c r="T2622" s="7"/>
      <c r="U2622" s="7" t="s">
        <v>2951</v>
      </c>
      <c r="V2622" s="7" t="str">
        <f>+IF(U2622="","",IF(U2622="FINES",CONCATENATE("R",IF(OR(B2622="16",B2622="21",B2622="22",B2622="23"),"16212223",IF(OR(B2622="15",B2622="17",B2622="24",B2622="25"),"15172425",B2622))),IF(U2622="CEBAS","UNICO",IF(VALUE(B2622)&lt;=11,"AMBA","INTERIOR"))))</f>
        <v>R05</v>
      </c>
      <c r="W2622" s="38" t="str">
        <f>+IF(U2622="","-",CONCATENATE(U2622,"_",V2622))</f>
        <v>FINES_R05</v>
      </c>
      <c r="X2622" s="42">
        <v>0.99399999999999999</v>
      </c>
    </row>
    <row r="2623" spans="1:24">
      <c r="A2623" s="21" t="s">
        <v>5100</v>
      </c>
      <c r="B2623" t="s">
        <v>257</v>
      </c>
      <c r="C2623" t="s">
        <v>254</v>
      </c>
      <c r="D2623" t="s">
        <v>256</v>
      </c>
      <c r="E2623" s="7" t="s">
        <v>198</v>
      </c>
      <c r="F2623" s="7" t="s">
        <v>198</v>
      </c>
      <c r="G2623" s="7" t="s">
        <v>198</v>
      </c>
      <c r="H2623" s="7" t="s">
        <v>20</v>
      </c>
      <c r="I2623" s="7" t="s">
        <v>5102</v>
      </c>
      <c r="J2623" s="7" t="s">
        <v>21</v>
      </c>
      <c r="L2623" t="s">
        <v>3798</v>
      </c>
      <c r="M2623" s="7" t="s">
        <v>22</v>
      </c>
      <c r="N2623" s="7" t="s">
        <v>23</v>
      </c>
      <c r="O2623" s="7" t="s">
        <v>27</v>
      </c>
      <c r="P2623" s="7" t="s">
        <v>5101</v>
      </c>
      <c r="Q2623" s="26">
        <v>26</v>
      </c>
      <c r="R2623" s="26">
        <v>1</v>
      </c>
      <c r="S2623" s="40">
        <v>1</v>
      </c>
      <c r="T2623" s="7"/>
      <c r="U2623" s="7" t="s">
        <v>2951</v>
      </c>
      <c r="V2623" s="7" t="str">
        <f>+IF(U2623="","",IF(U2623="FINES",CONCATENATE("R",IF(OR(B2623="16",B2623="21",B2623="22",B2623="23"),"16212223",IF(OR(B2623="15",B2623="17",B2623="24",B2623="25"),"15172425",B2623))),IF(U2623="CEBAS","UNICO",IF(VALUE(B2623)&lt;=11,"AMBA","INTERIOR"))))</f>
        <v>R05</v>
      </c>
      <c r="W2623" s="38" t="str">
        <f>+IF(U2623="","-",CONCATENATE(U2623,"_",V2623))</f>
        <v>FINES_R05</v>
      </c>
      <c r="X2623" s="42">
        <v>0.998</v>
      </c>
    </row>
    <row r="2624" spans="1:24">
      <c r="A2624" s="21" t="s">
        <v>5100</v>
      </c>
      <c r="B2624" t="s">
        <v>257</v>
      </c>
      <c r="C2624" t="s">
        <v>2337</v>
      </c>
      <c r="D2624" t="s">
        <v>2338</v>
      </c>
      <c r="E2624" s="7" t="s">
        <v>198</v>
      </c>
      <c r="F2624" s="7" t="s">
        <v>198</v>
      </c>
      <c r="G2624" s="7" t="s">
        <v>198</v>
      </c>
      <c r="H2624" s="7" t="s">
        <v>20</v>
      </c>
      <c r="I2624" s="7" t="s">
        <v>5102</v>
      </c>
      <c r="J2624" s="7" t="s">
        <v>21</v>
      </c>
      <c r="L2624" t="s">
        <v>3922</v>
      </c>
      <c r="M2624" s="7" t="s">
        <v>22</v>
      </c>
      <c r="N2624" s="7" t="s">
        <v>23</v>
      </c>
      <c r="O2624" s="7" t="s">
        <v>27</v>
      </c>
      <c r="P2624" s="7" t="s">
        <v>5101</v>
      </c>
      <c r="Q2624" s="26">
        <v>14</v>
      </c>
      <c r="R2624" s="26">
        <v>1</v>
      </c>
      <c r="S2624" s="40">
        <v>1</v>
      </c>
      <c r="T2624" s="7"/>
      <c r="U2624" s="7" t="s">
        <v>2951</v>
      </c>
      <c r="V2624" s="7" t="str">
        <f>+IF(U2624="","",IF(U2624="FINES",CONCATENATE("R",IF(OR(B2624="16",B2624="21",B2624="22",B2624="23"),"16212223",IF(OR(B2624="15",B2624="17",B2624="24",B2624="25"),"15172425",B2624))),IF(U2624="CEBAS","UNICO",IF(VALUE(B2624)&lt;=11,"AMBA","INTERIOR"))))</f>
        <v>R05</v>
      </c>
      <c r="W2624" s="38" t="str">
        <f>+IF(U2624="","-",CONCATENATE(U2624,"_",V2624))</f>
        <v>FINES_R05</v>
      </c>
      <c r="X2624" s="42">
        <v>0.998</v>
      </c>
    </row>
    <row r="2625" spans="1:24">
      <c r="A2625" s="21" t="s">
        <v>5100</v>
      </c>
      <c r="B2625" t="s">
        <v>257</v>
      </c>
      <c r="C2625" t="s">
        <v>254</v>
      </c>
      <c r="D2625" t="s">
        <v>256</v>
      </c>
      <c r="E2625" s="7" t="s">
        <v>198</v>
      </c>
      <c r="F2625" s="7" t="s">
        <v>198</v>
      </c>
      <c r="G2625" s="7" t="s">
        <v>198</v>
      </c>
      <c r="H2625" s="7" t="s">
        <v>20</v>
      </c>
      <c r="I2625" s="7" t="s">
        <v>5102</v>
      </c>
      <c r="J2625" s="7" t="s">
        <v>21</v>
      </c>
      <c r="L2625" t="s">
        <v>3746</v>
      </c>
      <c r="M2625" s="7" t="s">
        <v>22</v>
      </c>
      <c r="N2625" s="7" t="s">
        <v>23</v>
      </c>
      <c r="O2625" s="7" t="s">
        <v>27</v>
      </c>
      <c r="P2625" s="7" t="s">
        <v>5101</v>
      </c>
      <c r="Q2625" s="26">
        <v>51</v>
      </c>
      <c r="R2625" s="26">
        <v>2</v>
      </c>
      <c r="S2625" s="40">
        <v>1</v>
      </c>
      <c r="T2625" s="7"/>
      <c r="U2625" s="7" t="s">
        <v>2951</v>
      </c>
      <c r="V2625" s="7" t="str">
        <f>+IF(U2625="","",IF(U2625="FINES",CONCATENATE("R",IF(OR(B2625="16",B2625="21",B2625="22",B2625="23"),"16212223",IF(OR(B2625="15",B2625="17",B2625="24",B2625="25"),"15172425",B2625))),IF(U2625="CEBAS","UNICO",IF(VALUE(B2625)&lt;=11,"AMBA","INTERIOR"))))</f>
        <v>R05</v>
      </c>
      <c r="W2625" s="38" t="str">
        <f>+IF(U2625="","-",CONCATENATE(U2625,"_",V2625))</f>
        <v>FINES_R05</v>
      </c>
      <c r="X2625" s="42">
        <v>1</v>
      </c>
    </row>
    <row r="2626" spans="1:24">
      <c r="A2626" s="21" t="s">
        <v>5100</v>
      </c>
      <c r="B2626" t="s">
        <v>257</v>
      </c>
      <c r="C2626" t="s">
        <v>772</v>
      </c>
      <c r="D2626" t="s">
        <v>773</v>
      </c>
      <c r="E2626" s="7" t="s">
        <v>198</v>
      </c>
      <c r="F2626" s="7" t="s">
        <v>198</v>
      </c>
      <c r="G2626" s="7" t="s">
        <v>198</v>
      </c>
      <c r="H2626" s="7" t="s">
        <v>20</v>
      </c>
      <c r="I2626" s="7" t="s">
        <v>5102</v>
      </c>
      <c r="J2626" s="7" t="s">
        <v>21</v>
      </c>
      <c r="L2626" t="s">
        <v>226</v>
      </c>
      <c r="M2626" s="7" t="s">
        <v>22</v>
      </c>
      <c r="N2626" s="7" t="s">
        <v>23</v>
      </c>
      <c r="O2626" s="7" t="s">
        <v>27</v>
      </c>
      <c r="P2626" s="7" t="s">
        <v>5101</v>
      </c>
      <c r="Q2626" s="26">
        <v>25</v>
      </c>
      <c r="R2626" s="26">
        <v>1</v>
      </c>
      <c r="S2626" s="40">
        <v>1</v>
      </c>
      <c r="T2626" s="7"/>
      <c r="U2626" s="7" t="s">
        <v>2951</v>
      </c>
      <c r="V2626" s="7" t="str">
        <f>+IF(U2626="","",IF(U2626="FINES",CONCATENATE("R",IF(OR(B2626="16",B2626="21",B2626="22",B2626="23"),"16212223",IF(OR(B2626="15",B2626="17",B2626="24",B2626="25"),"15172425",B2626))),IF(U2626="CEBAS","UNICO",IF(VALUE(B2626)&lt;=11,"AMBA","INTERIOR"))))</f>
        <v>R05</v>
      </c>
      <c r="W2626" s="38" t="str">
        <f>+IF(U2626="","-",CONCATENATE(U2626,"_",V2626))</f>
        <v>FINES_R05</v>
      </c>
      <c r="X2626" s="42">
        <v>1</v>
      </c>
    </row>
    <row r="2627" spans="1:24">
      <c r="A2627" s="21" t="s">
        <v>5100</v>
      </c>
      <c r="B2627" t="s">
        <v>1257</v>
      </c>
      <c r="C2627" t="s">
        <v>2237</v>
      </c>
      <c r="D2627" t="s">
        <v>2238</v>
      </c>
      <c r="E2627" s="7" t="s">
        <v>198</v>
      </c>
      <c r="F2627" s="7" t="s">
        <v>198</v>
      </c>
      <c r="G2627" s="7" t="s">
        <v>198</v>
      </c>
      <c r="H2627" s="7" t="s">
        <v>20</v>
      </c>
      <c r="I2627" s="7" t="s">
        <v>5102</v>
      </c>
      <c r="J2627" s="7" t="s">
        <v>21</v>
      </c>
      <c r="L2627" t="s">
        <v>3945</v>
      </c>
      <c r="M2627" s="7" t="s">
        <v>22</v>
      </c>
      <c r="N2627" s="7" t="s">
        <v>23</v>
      </c>
      <c r="O2627" s="7" t="s">
        <v>27</v>
      </c>
      <c r="P2627" s="7" t="s">
        <v>5101</v>
      </c>
      <c r="Q2627" s="26">
        <v>6</v>
      </c>
      <c r="R2627" s="26">
        <v>1</v>
      </c>
      <c r="S2627" s="40">
        <v>1</v>
      </c>
      <c r="T2627" s="7"/>
      <c r="U2627" s="7" t="s">
        <v>2951</v>
      </c>
      <c r="V2627" s="7" t="str">
        <f>+IF(U2627="","",IF(U2627="FINES",CONCATENATE("R",IF(OR(B2627="16",B2627="21",B2627="22",B2627="23"),"16212223",IF(OR(B2627="15",B2627="17",B2627="24",B2627="25"),"15172425",B2627))),IF(U2627="CEBAS","UNICO",IF(VALUE(B2627)&lt;=11,"AMBA","INTERIOR"))))</f>
        <v>R06</v>
      </c>
      <c r="W2627" s="38" t="str">
        <f>+IF(U2627="","-",CONCATENATE(U2627,"_",V2627))</f>
        <v>FINES_R06</v>
      </c>
      <c r="X2627" s="42">
        <v>5.5E-2</v>
      </c>
    </row>
    <row r="2628" spans="1:24">
      <c r="A2628" s="21" t="s">
        <v>5100</v>
      </c>
      <c r="B2628" t="s">
        <v>1257</v>
      </c>
      <c r="C2628" t="s">
        <v>519</v>
      </c>
      <c r="D2628" t="s">
        <v>2470</v>
      </c>
      <c r="E2628" s="7" t="s">
        <v>198</v>
      </c>
      <c r="F2628" s="7" t="s">
        <v>198</v>
      </c>
      <c r="G2628" s="7" t="s">
        <v>198</v>
      </c>
      <c r="H2628" s="7" t="s">
        <v>20</v>
      </c>
      <c r="I2628" s="7" t="s">
        <v>5102</v>
      </c>
      <c r="J2628" s="7" t="s">
        <v>21</v>
      </c>
      <c r="L2628" t="s">
        <v>3974</v>
      </c>
      <c r="M2628" s="7" t="s">
        <v>22</v>
      </c>
      <c r="N2628" s="7" t="s">
        <v>23</v>
      </c>
      <c r="O2628" s="7" t="s">
        <v>27</v>
      </c>
      <c r="P2628" s="7" t="s">
        <v>5101</v>
      </c>
      <c r="Q2628" s="26">
        <v>6</v>
      </c>
      <c r="R2628" s="26">
        <v>1</v>
      </c>
      <c r="S2628" s="40">
        <v>1</v>
      </c>
      <c r="T2628" s="7"/>
      <c r="U2628" s="7" t="s">
        <v>2951</v>
      </c>
      <c r="V2628" s="7" t="str">
        <f>+IF(U2628="","",IF(U2628="FINES",CONCATENATE("R",IF(OR(B2628="16",B2628="21",B2628="22",B2628="23"),"16212223",IF(OR(B2628="15",B2628="17",B2628="24",B2628="25"),"15172425",B2628))),IF(U2628="CEBAS","UNICO",IF(VALUE(B2628)&lt;=11,"AMBA","INTERIOR"))))</f>
        <v>R06</v>
      </c>
      <c r="W2628" s="38" t="str">
        <f>+IF(U2628="","-",CONCATENATE(U2628,"_",V2628))</f>
        <v>FINES_R06</v>
      </c>
      <c r="X2628" s="42">
        <v>8.5999999999999993E-2</v>
      </c>
    </row>
    <row r="2629" spans="1:24">
      <c r="A2629" s="21" t="s">
        <v>5100</v>
      </c>
      <c r="B2629" t="s">
        <v>1257</v>
      </c>
      <c r="C2629" t="s">
        <v>2237</v>
      </c>
      <c r="D2629" t="s">
        <v>2238</v>
      </c>
      <c r="E2629" s="7" t="s">
        <v>198</v>
      </c>
      <c r="F2629" s="7" t="s">
        <v>198</v>
      </c>
      <c r="G2629" s="7" t="s">
        <v>198</v>
      </c>
      <c r="H2629" s="7" t="s">
        <v>20</v>
      </c>
      <c r="I2629" s="7" t="s">
        <v>5102</v>
      </c>
      <c r="J2629" s="7" t="s">
        <v>21</v>
      </c>
      <c r="L2629" t="s">
        <v>3955</v>
      </c>
      <c r="M2629" s="7" t="s">
        <v>22</v>
      </c>
      <c r="N2629" s="7" t="s">
        <v>23</v>
      </c>
      <c r="O2629" s="7" t="s">
        <v>27</v>
      </c>
      <c r="P2629" s="7" t="s">
        <v>5101</v>
      </c>
      <c r="Q2629" s="26">
        <v>16</v>
      </c>
      <c r="R2629" s="26">
        <v>1</v>
      </c>
      <c r="S2629" s="40">
        <v>1</v>
      </c>
      <c r="T2629" s="7"/>
      <c r="U2629" s="7" t="s">
        <v>2951</v>
      </c>
      <c r="V2629" s="7" t="str">
        <f>+IF(U2629="","",IF(U2629="FINES",CONCATENATE("R",IF(OR(B2629="16",B2629="21",B2629="22",B2629="23"),"16212223",IF(OR(B2629="15",B2629="17",B2629="24",B2629="25"),"15172425",B2629))),IF(U2629="CEBAS","UNICO",IF(VALUE(B2629)&lt;=11,"AMBA","INTERIOR"))))</f>
        <v>R06</v>
      </c>
      <c r="W2629" s="38" t="str">
        <f>+IF(U2629="","-",CONCATENATE(U2629,"_",V2629))</f>
        <v>FINES_R06</v>
      </c>
      <c r="X2629" s="42">
        <v>9.7000000000000003E-2</v>
      </c>
    </row>
    <row r="2630" spans="1:24">
      <c r="A2630" s="21" t="s">
        <v>5100</v>
      </c>
      <c r="B2630" t="s">
        <v>1257</v>
      </c>
      <c r="C2630" t="s">
        <v>2237</v>
      </c>
      <c r="D2630" t="s">
        <v>2238</v>
      </c>
      <c r="E2630" s="7" t="s">
        <v>198</v>
      </c>
      <c r="F2630" s="7" t="s">
        <v>198</v>
      </c>
      <c r="G2630" s="7" t="s">
        <v>198</v>
      </c>
      <c r="H2630" s="7" t="s">
        <v>20</v>
      </c>
      <c r="I2630" s="7" t="s">
        <v>5102</v>
      </c>
      <c r="J2630" s="7" t="s">
        <v>21</v>
      </c>
      <c r="L2630" t="s">
        <v>3953</v>
      </c>
      <c r="M2630" s="7" t="s">
        <v>22</v>
      </c>
      <c r="N2630" s="7" t="s">
        <v>23</v>
      </c>
      <c r="O2630" s="7" t="s">
        <v>27</v>
      </c>
      <c r="P2630" s="7" t="s">
        <v>5101</v>
      </c>
      <c r="Q2630" s="26">
        <v>33</v>
      </c>
      <c r="R2630" s="26">
        <v>2</v>
      </c>
      <c r="S2630" s="40">
        <v>1</v>
      </c>
      <c r="T2630" s="7"/>
      <c r="U2630" s="7" t="s">
        <v>2951</v>
      </c>
      <c r="V2630" s="7" t="str">
        <f>+IF(U2630="","",IF(U2630="FINES",CONCATENATE("R",IF(OR(B2630="16",B2630="21",B2630="22",B2630="23"),"16212223",IF(OR(B2630="15",B2630="17",B2630="24",B2630="25"),"15172425",B2630))),IF(U2630="CEBAS","UNICO",IF(VALUE(B2630)&lt;=11,"AMBA","INTERIOR"))))</f>
        <v>R06</v>
      </c>
      <c r="W2630" s="38" t="str">
        <f>+IF(U2630="","-",CONCATENATE(U2630,"_",V2630))</f>
        <v>FINES_R06</v>
      </c>
      <c r="X2630" s="42">
        <v>0.112</v>
      </c>
    </row>
    <row r="2631" spans="1:24">
      <c r="A2631" s="21" t="s">
        <v>5100</v>
      </c>
      <c r="B2631" t="s">
        <v>1257</v>
      </c>
      <c r="C2631" t="s">
        <v>2213</v>
      </c>
      <c r="D2631" t="s">
        <v>2214</v>
      </c>
      <c r="E2631" s="7" t="s">
        <v>198</v>
      </c>
      <c r="F2631" s="7" t="s">
        <v>198</v>
      </c>
      <c r="G2631" s="7" t="s">
        <v>198</v>
      </c>
      <c r="H2631" s="7" t="s">
        <v>20</v>
      </c>
      <c r="I2631" s="7" t="s">
        <v>5102</v>
      </c>
      <c r="J2631" s="7" t="s">
        <v>21</v>
      </c>
      <c r="L2631" t="s">
        <v>3936</v>
      </c>
      <c r="M2631" s="7" t="s">
        <v>22</v>
      </c>
      <c r="N2631" s="7" t="s">
        <v>23</v>
      </c>
      <c r="O2631" s="7" t="s">
        <v>27</v>
      </c>
      <c r="P2631" s="7" t="s">
        <v>5101</v>
      </c>
      <c r="Q2631" s="26">
        <v>12</v>
      </c>
      <c r="R2631" s="26">
        <v>1</v>
      </c>
      <c r="S2631" s="40">
        <v>1</v>
      </c>
      <c r="T2631" s="7"/>
      <c r="U2631" s="7" t="s">
        <v>2951</v>
      </c>
      <c r="V2631" s="7" t="str">
        <f>+IF(U2631="","",IF(U2631="FINES",CONCATENATE("R",IF(OR(B2631="16",B2631="21",B2631="22",B2631="23"),"16212223",IF(OR(B2631="15",B2631="17",B2631="24",B2631="25"),"15172425",B2631))),IF(U2631="CEBAS","UNICO",IF(VALUE(B2631)&lt;=11,"AMBA","INTERIOR"))))</f>
        <v>R06</v>
      </c>
      <c r="W2631" s="38" t="str">
        <f>+IF(U2631="","-",CONCATENATE(U2631,"_",V2631))</f>
        <v>FINES_R06</v>
      </c>
      <c r="X2631" s="42">
        <v>0.13</v>
      </c>
    </row>
    <row r="2632" spans="1:24">
      <c r="A2632" s="21" t="s">
        <v>5100</v>
      </c>
      <c r="B2632" t="s">
        <v>1257</v>
      </c>
      <c r="C2632" t="s">
        <v>519</v>
      </c>
      <c r="D2632" t="s">
        <v>2470</v>
      </c>
      <c r="E2632" s="7" t="s">
        <v>198</v>
      </c>
      <c r="F2632" s="7" t="s">
        <v>198</v>
      </c>
      <c r="G2632" s="7" t="s">
        <v>198</v>
      </c>
      <c r="H2632" s="7" t="s">
        <v>20</v>
      </c>
      <c r="I2632" s="7" t="s">
        <v>5102</v>
      </c>
      <c r="J2632" s="7" t="s">
        <v>21</v>
      </c>
      <c r="L2632" t="s">
        <v>3985</v>
      </c>
      <c r="M2632" s="7" t="s">
        <v>22</v>
      </c>
      <c r="N2632" s="7" t="s">
        <v>23</v>
      </c>
      <c r="O2632" s="7" t="s">
        <v>27</v>
      </c>
      <c r="P2632" s="7" t="s">
        <v>5101</v>
      </c>
      <c r="Q2632" s="26">
        <v>29</v>
      </c>
      <c r="R2632" s="26">
        <v>1</v>
      </c>
      <c r="S2632" s="40">
        <v>1</v>
      </c>
      <c r="T2632" s="7"/>
      <c r="U2632" s="7" t="s">
        <v>2951</v>
      </c>
      <c r="V2632" s="7" t="str">
        <f>+IF(U2632="","",IF(U2632="FINES",CONCATENATE("R",IF(OR(B2632="16",B2632="21",B2632="22",B2632="23"),"16212223",IF(OR(B2632="15",B2632="17",B2632="24",B2632="25"),"15172425",B2632))),IF(U2632="CEBAS","UNICO",IF(VALUE(B2632)&lt;=11,"AMBA","INTERIOR"))))</f>
        <v>R06</v>
      </c>
      <c r="W2632" s="38" t="str">
        <f>+IF(U2632="","-",CONCATENATE(U2632,"_",V2632))</f>
        <v>FINES_R06</v>
      </c>
      <c r="X2632" s="42">
        <v>0.14199999999999999</v>
      </c>
    </row>
    <row r="2633" spans="1:24">
      <c r="A2633" s="21" t="s">
        <v>5100</v>
      </c>
      <c r="B2633" t="s">
        <v>1257</v>
      </c>
      <c r="C2633" t="s">
        <v>1255</v>
      </c>
      <c r="D2633" t="s">
        <v>1256</v>
      </c>
      <c r="E2633" s="7" t="s">
        <v>198</v>
      </c>
      <c r="F2633" s="7" t="s">
        <v>198</v>
      </c>
      <c r="G2633" s="7" t="s">
        <v>198</v>
      </c>
      <c r="H2633" s="7" t="s">
        <v>20</v>
      </c>
      <c r="I2633" s="7" t="s">
        <v>5102</v>
      </c>
      <c r="J2633" s="7" t="s">
        <v>21</v>
      </c>
      <c r="L2633" t="s">
        <v>3970</v>
      </c>
      <c r="M2633" s="7" t="s">
        <v>22</v>
      </c>
      <c r="N2633" s="7" t="s">
        <v>23</v>
      </c>
      <c r="O2633" s="7" t="s">
        <v>27</v>
      </c>
      <c r="P2633" s="7" t="s">
        <v>5101</v>
      </c>
      <c r="Q2633" s="26">
        <v>77</v>
      </c>
      <c r="R2633" s="26">
        <v>3</v>
      </c>
      <c r="S2633" s="40">
        <v>1</v>
      </c>
      <c r="T2633" s="7"/>
      <c r="U2633" s="7" t="s">
        <v>2951</v>
      </c>
      <c r="V2633" s="7" t="str">
        <f>+IF(U2633="","",IF(U2633="FINES",CONCATENATE("R",IF(OR(B2633="16",B2633="21",B2633="22",B2633="23"),"16212223",IF(OR(B2633="15",B2633="17",B2633="24",B2633="25"),"15172425",B2633))),IF(U2633="CEBAS","UNICO",IF(VALUE(B2633)&lt;=11,"AMBA","INTERIOR"))))</f>
        <v>R06</v>
      </c>
      <c r="W2633" s="38" t="str">
        <f>+IF(U2633="","-",CONCATENATE(U2633,"_",V2633))</f>
        <v>FINES_R06</v>
      </c>
      <c r="X2633" s="42">
        <v>0.20399999999999999</v>
      </c>
    </row>
    <row r="2634" spans="1:24">
      <c r="A2634" s="21" t="s">
        <v>5100</v>
      </c>
      <c r="B2634" t="s">
        <v>1257</v>
      </c>
      <c r="C2634" t="s">
        <v>2213</v>
      </c>
      <c r="D2634" t="s">
        <v>2214</v>
      </c>
      <c r="E2634" s="7" t="s">
        <v>198</v>
      </c>
      <c r="F2634" s="7" t="s">
        <v>198</v>
      </c>
      <c r="G2634" s="7" t="s">
        <v>198</v>
      </c>
      <c r="H2634" s="7" t="s">
        <v>20</v>
      </c>
      <c r="I2634" s="7" t="s">
        <v>5102</v>
      </c>
      <c r="J2634" s="7" t="s">
        <v>21</v>
      </c>
      <c r="L2634" t="s">
        <v>3931</v>
      </c>
      <c r="M2634" s="7" t="s">
        <v>22</v>
      </c>
      <c r="N2634" s="7" t="s">
        <v>23</v>
      </c>
      <c r="O2634" s="7" t="s">
        <v>27</v>
      </c>
      <c r="P2634" s="7" t="s">
        <v>5101</v>
      </c>
      <c r="Q2634" s="26">
        <v>12</v>
      </c>
      <c r="R2634" s="26">
        <v>1</v>
      </c>
      <c r="S2634" s="40">
        <v>1</v>
      </c>
      <c r="T2634" s="7"/>
      <c r="U2634" s="7" t="s">
        <v>2951</v>
      </c>
      <c r="V2634" s="7" t="str">
        <f>+IF(U2634="","",IF(U2634="FINES",CONCATENATE("R",IF(OR(B2634="16",B2634="21",B2634="22",B2634="23"),"16212223",IF(OR(B2634="15",B2634="17",B2634="24",B2634="25"),"15172425",B2634))),IF(U2634="CEBAS","UNICO",IF(VALUE(B2634)&lt;=11,"AMBA","INTERIOR"))))</f>
        <v>R06</v>
      </c>
      <c r="W2634" s="38" t="str">
        <f>+IF(U2634="","-",CONCATENATE(U2634,"_",V2634))</f>
        <v>FINES_R06</v>
      </c>
      <c r="X2634" s="42">
        <v>0.222</v>
      </c>
    </row>
    <row r="2635" spans="1:24">
      <c r="A2635" s="21" t="s">
        <v>5100</v>
      </c>
      <c r="B2635" t="s">
        <v>1257</v>
      </c>
      <c r="C2635" t="s">
        <v>519</v>
      </c>
      <c r="D2635" t="s">
        <v>2470</v>
      </c>
      <c r="E2635" s="7" t="s">
        <v>198</v>
      </c>
      <c r="F2635" s="7" t="s">
        <v>198</v>
      </c>
      <c r="G2635" s="7" t="s">
        <v>198</v>
      </c>
      <c r="H2635" s="7" t="s">
        <v>20</v>
      </c>
      <c r="I2635" s="7" t="s">
        <v>5102</v>
      </c>
      <c r="J2635" s="7" t="s">
        <v>21</v>
      </c>
      <c r="L2635" t="s">
        <v>3983</v>
      </c>
      <c r="M2635" s="7" t="s">
        <v>22</v>
      </c>
      <c r="N2635" s="7" t="s">
        <v>23</v>
      </c>
      <c r="O2635" s="7" t="s">
        <v>27</v>
      </c>
      <c r="P2635" s="7" t="s">
        <v>5101</v>
      </c>
      <c r="Q2635" s="26">
        <v>19</v>
      </c>
      <c r="R2635" s="26">
        <v>1</v>
      </c>
      <c r="S2635" s="40">
        <v>1</v>
      </c>
      <c r="T2635" s="7"/>
      <c r="U2635" s="7" t="s">
        <v>2951</v>
      </c>
      <c r="V2635" s="7" t="str">
        <f>+IF(U2635="","",IF(U2635="FINES",CONCATENATE("R",IF(OR(B2635="16",B2635="21",B2635="22",B2635="23"),"16212223",IF(OR(B2635="15",B2635="17",B2635="24",B2635="25"),"15172425",B2635))),IF(U2635="CEBAS","UNICO",IF(VALUE(B2635)&lt;=11,"AMBA","INTERIOR"))))</f>
        <v>R06</v>
      </c>
      <c r="W2635" s="38" t="str">
        <f>+IF(U2635="","-",CONCATENATE(U2635,"_",V2635))</f>
        <v>FINES_R06</v>
      </c>
      <c r="X2635" s="42">
        <v>0.222</v>
      </c>
    </row>
    <row r="2636" spans="1:24">
      <c r="A2636" s="21" t="s">
        <v>5100</v>
      </c>
      <c r="B2636" t="s">
        <v>1257</v>
      </c>
      <c r="C2636" t="s">
        <v>1255</v>
      </c>
      <c r="D2636" t="s">
        <v>1256</v>
      </c>
      <c r="E2636" s="7" t="s">
        <v>198</v>
      </c>
      <c r="F2636" s="7" t="s">
        <v>198</v>
      </c>
      <c r="G2636" s="7" t="s">
        <v>198</v>
      </c>
      <c r="H2636" s="7" t="s">
        <v>20</v>
      </c>
      <c r="I2636" s="7" t="s">
        <v>5102</v>
      </c>
      <c r="J2636" s="7" t="s">
        <v>21</v>
      </c>
      <c r="L2636" t="s">
        <v>3959</v>
      </c>
      <c r="M2636" s="7" t="s">
        <v>22</v>
      </c>
      <c r="N2636" s="7" t="s">
        <v>23</v>
      </c>
      <c r="O2636" s="7" t="s">
        <v>27</v>
      </c>
      <c r="P2636" s="7" t="s">
        <v>5101</v>
      </c>
      <c r="Q2636" s="26">
        <v>1</v>
      </c>
      <c r="R2636" s="26">
        <v>1</v>
      </c>
      <c r="S2636" s="40">
        <v>1</v>
      </c>
      <c r="T2636" s="7"/>
      <c r="U2636" s="7" t="s">
        <v>2951</v>
      </c>
      <c r="V2636" s="7" t="str">
        <f>+IF(U2636="","",IF(U2636="FINES",CONCATENATE("R",IF(OR(B2636="16",B2636="21",B2636="22",B2636="23"),"16212223",IF(OR(B2636="15",B2636="17",B2636="24",B2636="25"),"15172425",B2636))),IF(U2636="CEBAS","UNICO",IF(VALUE(B2636)&lt;=11,"AMBA","INTERIOR"))))</f>
        <v>R06</v>
      </c>
      <c r="W2636" s="38" t="str">
        <f>+IF(U2636="","-",CONCATENATE(U2636,"_",V2636))</f>
        <v>FINES_R06</v>
      </c>
      <c r="X2636" s="42">
        <v>0.23100000000000001</v>
      </c>
    </row>
    <row r="2637" spans="1:24">
      <c r="A2637" s="21" t="s">
        <v>5100</v>
      </c>
      <c r="B2637" t="s">
        <v>1257</v>
      </c>
      <c r="C2637" t="s">
        <v>2213</v>
      </c>
      <c r="D2637" t="s">
        <v>2214</v>
      </c>
      <c r="E2637" s="7" t="s">
        <v>198</v>
      </c>
      <c r="F2637" s="7" t="s">
        <v>198</v>
      </c>
      <c r="G2637" s="7" t="s">
        <v>198</v>
      </c>
      <c r="H2637" s="7" t="s">
        <v>20</v>
      </c>
      <c r="I2637" s="7" t="s">
        <v>5102</v>
      </c>
      <c r="J2637" s="7" t="s">
        <v>21</v>
      </c>
      <c r="L2637" t="s">
        <v>3935</v>
      </c>
      <c r="M2637" s="7" t="s">
        <v>22</v>
      </c>
      <c r="N2637" s="7" t="s">
        <v>23</v>
      </c>
      <c r="O2637" s="7" t="s">
        <v>27</v>
      </c>
      <c r="P2637" s="7" t="s">
        <v>5101</v>
      </c>
      <c r="Q2637" s="26">
        <v>8</v>
      </c>
      <c r="R2637" s="26">
        <v>1</v>
      </c>
      <c r="S2637" s="40">
        <v>1</v>
      </c>
      <c r="T2637" s="7"/>
      <c r="U2637" s="7" t="s">
        <v>2951</v>
      </c>
      <c r="V2637" s="7" t="str">
        <f>+IF(U2637="","",IF(U2637="FINES",CONCATENATE("R",IF(OR(B2637="16",B2637="21",B2637="22",B2637="23"),"16212223",IF(OR(B2637="15",B2637="17",B2637="24",B2637="25"),"15172425",B2637))),IF(U2637="CEBAS","UNICO",IF(VALUE(B2637)&lt;=11,"AMBA","INTERIOR"))))</f>
        <v>R06</v>
      </c>
      <c r="W2637" s="38" t="str">
        <f>+IF(U2637="","-",CONCATENATE(U2637,"_",V2637))</f>
        <v>FINES_R06</v>
      </c>
      <c r="X2637" s="42">
        <v>0.23300000000000001</v>
      </c>
    </row>
    <row r="2638" spans="1:24">
      <c r="A2638" s="21" t="s">
        <v>5100</v>
      </c>
      <c r="B2638" t="s">
        <v>1257</v>
      </c>
      <c r="C2638" t="s">
        <v>2213</v>
      </c>
      <c r="D2638" t="s">
        <v>2214</v>
      </c>
      <c r="E2638" s="7" t="s">
        <v>198</v>
      </c>
      <c r="F2638" s="7" t="s">
        <v>198</v>
      </c>
      <c r="G2638" s="7" t="s">
        <v>198</v>
      </c>
      <c r="H2638" s="7" t="s">
        <v>20</v>
      </c>
      <c r="I2638" s="7" t="s">
        <v>5102</v>
      </c>
      <c r="J2638" s="7" t="s">
        <v>21</v>
      </c>
      <c r="L2638" t="s">
        <v>3943</v>
      </c>
      <c r="M2638" s="7" t="s">
        <v>22</v>
      </c>
      <c r="N2638" s="7" t="s">
        <v>23</v>
      </c>
      <c r="O2638" s="7" t="s">
        <v>27</v>
      </c>
      <c r="P2638" s="7" t="s">
        <v>5101</v>
      </c>
      <c r="Q2638" s="26">
        <v>9</v>
      </c>
      <c r="R2638" s="26">
        <v>1</v>
      </c>
      <c r="S2638" s="40">
        <v>1</v>
      </c>
      <c r="T2638" s="7"/>
      <c r="U2638" s="7" t="s">
        <v>2951</v>
      </c>
      <c r="V2638" s="7" t="str">
        <f>+IF(U2638="","",IF(U2638="FINES",CONCATENATE("R",IF(OR(B2638="16",B2638="21",B2638="22",B2638="23"),"16212223",IF(OR(B2638="15",B2638="17",B2638="24",B2638="25"),"15172425",B2638))),IF(U2638="CEBAS","UNICO",IF(VALUE(B2638)&lt;=11,"AMBA","INTERIOR"))))</f>
        <v>R06</v>
      </c>
      <c r="W2638" s="38" t="str">
        <f>+IF(U2638="","-",CONCATENATE(U2638,"_",V2638))</f>
        <v>FINES_R06</v>
      </c>
      <c r="X2638" s="42">
        <v>0.249</v>
      </c>
    </row>
    <row r="2639" spans="1:24">
      <c r="A2639" s="21" t="s">
        <v>5100</v>
      </c>
      <c r="B2639" t="s">
        <v>1257</v>
      </c>
      <c r="C2639" t="s">
        <v>2213</v>
      </c>
      <c r="D2639" t="s">
        <v>2214</v>
      </c>
      <c r="E2639" s="7" t="s">
        <v>198</v>
      </c>
      <c r="F2639" s="7" t="s">
        <v>198</v>
      </c>
      <c r="G2639" s="7" t="s">
        <v>198</v>
      </c>
      <c r="H2639" s="7" t="s">
        <v>20</v>
      </c>
      <c r="I2639" s="7" t="s">
        <v>5102</v>
      </c>
      <c r="J2639" s="7" t="s">
        <v>21</v>
      </c>
      <c r="L2639" t="s">
        <v>3940</v>
      </c>
      <c r="M2639" s="7" t="s">
        <v>22</v>
      </c>
      <c r="N2639" s="7" t="s">
        <v>23</v>
      </c>
      <c r="O2639" s="7" t="s">
        <v>27</v>
      </c>
      <c r="P2639" s="7" t="s">
        <v>5101</v>
      </c>
      <c r="Q2639" s="26">
        <v>11</v>
      </c>
      <c r="R2639" s="26">
        <v>1</v>
      </c>
      <c r="S2639" s="40">
        <v>1</v>
      </c>
      <c r="T2639" s="7"/>
      <c r="U2639" s="7" t="s">
        <v>2951</v>
      </c>
      <c r="V2639" s="7" t="str">
        <f>+IF(U2639="","",IF(U2639="FINES",CONCATENATE("R",IF(OR(B2639="16",B2639="21",B2639="22",B2639="23"),"16212223",IF(OR(B2639="15",B2639="17",B2639="24",B2639="25"),"15172425",B2639))),IF(U2639="CEBAS","UNICO",IF(VALUE(B2639)&lt;=11,"AMBA","INTERIOR"))))</f>
        <v>R06</v>
      </c>
      <c r="W2639" s="38" t="str">
        <f>+IF(U2639="","-",CONCATENATE(U2639,"_",V2639))</f>
        <v>FINES_R06</v>
      </c>
      <c r="X2639" s="42">
        <v>0.28199999999999997</v>
      </c>
    </row>
    <row r="2640" spans="1:24">
      <c r="A2640" s="21" t="s">
        <v>5100</v>
      </c>
      <c r="B2640" t="s">
        <v>1257</v>
      </c>
      <c r="C2640" t="s">
        <v>2213</v>
      </c>
      <c r="D2640" t="s">
        <v>2214</v>
      </c>
      <c r="E2640" s="7" t="s">
        <v>198</v>
      </c>
      <c r="F2640" s="7" t="s">
        <v>198</v>
      </c>
      <c r="G2640" s="7" t="s">
        <v>198</v>
      </c>
      <c r="H2640" s="7" t="s">
        <v>20</v>
      </c>
      <c r="I2640" s="7" t="s">
        <v>5102</v>
      </c>
      <c r="J2640" s="7" t="s">
        <v>21</v>
      </c>
      <c r="L2640" t="s">
        <v>3944</v>
      </c>
      <c r="M2640" s="7" t="s">
        <v>22</v>
      </c>
      <c r="N2640" s="7" t="s">
        <v>23</v>
      </c>
      <c r="O2640" s="7" t="s">
        <v>27</v>
      </c>
      <c r="P2640" s="7" t="s">
        <v>5101</v>
      </c>
      <c r="Q2640" s="26">
        <v>16</v>
      </c>
      <c r="R2640" s="26">
        <v>1</v>
      </c>
      <c r="S2640" s="40">
        <v>1</v>
      </c>
      <c r="T2640" s="7"/>
      <c r="U2640" s="7" t="s">
        <v>2951</v>
      </c>
      <c r="V2640" s="7" t="str">
        <f>+IF(U2640="","",IF(U2640="FINES",CONCATENATE("R",IF(OR(B2640="16",B2640="21",B2640="22",B2640="23"),"16212223",IF(OR(B2640="15",B2640="17",B2640="24",B2640="25"),"15172425",B2640))),IF(U2640="CEBAS","UNICO",IF(VALUE(B2640)&lt;=11,"AMBA","INTERIOR"))))</f>
        <v>R06</v>
      </c>
      <c r="W2640" s="38" t="str">
        <f>+IF(U2640="","-",CONCATENATE(U2640,"_",V2640))</f>
        <v>FINES_R06</v>
      </c>
      <c r="X2640" s="42">
        <v>0.29399999999999998</v>
      </c>
    </row>
    <row r="2641" spans="1:24">
      <c r="A2641" s="21" t="s">
        <v>5100</v>
      </c>
      <c r="B2641" t="s">
        <v>1257</v>
      </c>
      <c r="C2641" t="s">
        <v>1255</v>
      </c>
      <c r="D2641" t="s">
        <v>1256</v>
      </c>
      <c r="E2641" s="7" t="s">
        <v>198</v>
      </c>
      <c r="F2641" s="7" t="s">
        <v>198</v>
      </c>
      <c r="G2641" s="7" t="s">
        <v>198</v>
      </c>
      <c r="H2641" s="7" t="s">
        <v>20</v>
      </c>
      <c r="I2641" s="7" t="s">
        <v>5102</v>
      </c>
      <c r="J2641" s="7" t="s">
        <v>21</v>
      </c>
      <c r="L2641" t="s">
        <v>3961</v>
      </c>
      <c r="M2641" s="7" t="s">
        <v>22</v>
      </c>
      <c r="N2641" s="7" t="s">
        <v>23</v>
      </c>
      <c r="O2641" s="7" t="s">
        <v>27</v>
      </c>
      <c r="P2641" s="7" t="s">
        <v>5101</v>
      </c>
      <c r="Q2641" s="26">
        <v>0</v>
      </c>
      <c r="R2641" s="26">
        <v>1</v>
      </c>
      <c r="S2641" s="40">
        <v>1</v>
      </c>
      <c r="T2641" s="7"/>
      <c r="U2641" s="7" t="s">
        <v>2951</v>
      </c>
      <c r="V2641" s="7" t="str">
        <f>+IF(U2641="","",IF(U2641="FINES",CONCATENATE("R",IF(OR(B2641="16",B2641="21",B2641="22",B2641="23"),"16212223",IF(OR(B2641="15",B2641="17",B2641="24",B2641="25"),"15172425",B2641))),IF(U2641="CEBAS","UNICO",IF(VALUE(B2641)&lt;=11,"AMBA","INTERIOR"))))</f>
        <v>R06</v>
      </c>
      <c r="W2641" s="38" t="str">
        <f>+IF(U2641="","-",CONCATENATE(U2641,"_",V2641))</f>
        <v>FINES_R06</v>
      </c>
      <c r="X2641" s="42">
        <v>0.33100000000000002</v>
      </c>
    </row>
    <row r="2642" spans="1:24">
      <c r="A2642" s="21" t="s">
        <v>5100</v>
      </c>
      <c r="B2642" t="s">
        <v>1257</v>
      </c>
      <c r="C2642" t="s">
        <v>2237</v>
      </c>
      <c r="D2642" t="s">
        <v>2238</v>
      </c>
      <c r="E2642" s="7" t="s">
        <v>198</v>
      </c>
      <c r="F2642" s="7" t="s">
        <v>198</v>
      </c>
      <c r="G2642" s="7" t="s">
        <v>198</v>
      </c>
      <c r="H2642" s="7" t="s">
        <v>20</v>
      </c>
      <c r="I2642" s="7" t="s">
        <v>5102</v>
      </c>
      <c r="J2642" s="7" t="s">
        <v>21</v>
      </c>
      <c r="L2642" t="s">
        <v>3949</v>
      </c>
      <c r="M2642" s="7" t="s">
        <v>22</v>
      </c>
      <c r="N2642" s="7" t="s">
        <v>23</v>
      </c>
      <c r="O2642" s="7" t="s">
        <v>27</v>
      </c>
      <c r="P2642" s="7" t="s">
        <v>5101</v>
      </c>
      <c r="Q2642" s="26">
        <v>15</v>
      </c>
      <c r="R2642" s="26">
        <v>1</v>
      </c>
      <c r="S2642" s="40">
        <v>1</v>
      </c>
      <c r="T2642" s="7"/>
      <c r="U2642" s="7" t="s">
        <v>2951</v>
      </c>
      <c r="V2642" s="7" t="str">
        <f>+IF(U2642="","",IF(U2642="FINES",CONCATENATE("R",IF(OR(B2642="16",B2642="21",B2642="22",B2642="23"),"16212223",IF(OR(B2642="15",B2642="17",B2642="24",B2642="25"),"15172425",B2642))),IF(U2642="CEBAS","UNICO",IF(VALUE(B2642)&lt;=11,"AMBA","INTERIOR"))))</f>
        <v>R06</v>
      </c>
      <c r="W2642" s="38" t="str">
        <f>+IF(U2642="","-",CONCATENATE(U2642,"_",V2642))</f>
        <v>FINES_R06</v>
      </c>
      <c r="X2642" s="42">
        <v>0.34100000000000003</v>
      </c>
    </row>
    <row r="2643" spans="1:24">
      <c r="A2643" s="21" t="s">
        <v>5100</v>
      </c>
      <c r="B2643" t="s">
        <v>1257</v>
      </c>
      <c r="C2643" t="s">
        <v>2237</v>
      </c>
      <c r="D2643" t="s">
        <v>2238</v>
      </c>
      <c r="E2643" s="7" t="s">
        <v>198</v>
      </c>
      <c r="F2643" s="7" t="s">
        <v>198</v>
      </c>
      <c r="G2643" s="7" t="s">
        <v>198</v>
      </c>
      <c r="H2643" s="7" t="s">
        <v>20</v>
      </c>
      <c r="I2643" s="7" t="s">
        <v>5102</v>
      </c>
      <c r="J2643" s="7" t="s">
        <v>21</v>
      </c>
      <c r="L2643" t="s">
        <v>3946</v>
      </c>
      <c r="M2643" s="7" t="s">
        <v>22</v>
      </c>
      <c r="N2643" s="7" t="s">
        <v>23</v>
      </c>
      <c r="O2643" s="7" t="s">
        <v>27</v>
      </c>
      <c r="P2643" s="7" t="s">
        <v>5101</v>
      </c>
      <c r="Q2643" s="26">
        <v>16</v>
      </c>
      <c r="R2643" s="26">
        <v>1</v>
      </c>
      <c r="S2643" s="40">
        <v>1</v>
      </c>
      <c r="T2643" s="7"/>
      <c r="U2643" s="7" t="s">
        <v>2951</v>
      </c>
      <c r="V2643" s="7" t="str">
        <f>+IF(U2643="","",IF(U2643="FINES",CONCATENATE("R",IF(OR(B2643="16",B2643="21",B2643="22",B2643="23"),"16212223",IF(OR(B2643="15",B2643="17",B2643="24",B2643="25"),"15172425",B2643))),IF(U2643="CEBAS","UNICO",IF(VALUE(B2643)&lt;=11,"AMBA","INTERIOR"))))</f>
        <v>R06</v>
      </c>
      <c r="W2643" s="38" t="str">
        <f>+IF(U2643="","-",CONCATENATE(U2643,"_",V2643))</f>
        <v>FINES_R06</v>
      </c>
      <c r="X2643" s="42">
        <v>0.34899999999999998</v>
      </c>
    </row>
    <row r="2644" spans="1:24">
      <c r="A2644" s="21" t="s">
        <v>5100</v>
      </c>
      <c r="B2644" t="s">
        <v>1257</v>
      </c>
      <c r="C2644" t="s">
        <v>1255</v>
      </c>
      <c r="D2644" t="s">
        <v>1256</v>
      </c>
      <c r="E2644" s="7" t="s">
        <v>198</v>
      </c>
      <c r="F2644" s="7" t="s">
        <v>198</v>
      </c>
      <c r="G2644" s="7" t="s">
        <v>198</v>
      </c>
      <c r="H2644" s="7" t="s">
        <v>20</v>
      </c>
      <c r="I2644" s="7" t="s">
        <v>5102</v>
      </c>
      <c r="J2644" s="7" t="s">
        <v>21</v>
      </c>
      <c r="L2644" t="s">
        <v>3956</v>
      </c>
      <c r="M2644" s="7" t="s">
        <v>22</v>
      </c>
      <c r="N2644" s="7" t="s">
        <v>23</v>
      </c>
      <c r="O2644" s="7" t="s">
        <v>27</v>
      </c>
      <c r="P2644" s="7" t="s">
        <v>5101</v>
      </c>
      <c r="Q2644" s="26">
        <v>0</v>
      </c>
      <c r="R2644" s="26">
        <v>1</v>
      </c>
      <c r="S2644" s="40">
        <v>1</v>
      </c>
      <c r="T2644" s="7"/>
      <c r="U2644" s="7" t="s">
        <v>2951</v>
      </c>
      <c r="V2644" s="7" t="str">
        <f>+IF(U2644="","",IF(U2644="FINES",CONCATENATE("R",IF(OR(B2644="16",B2644="21",B2644="22",B2644="23"),"16212223",IF(OR(B2644="15",B2644="17",B2644="24",B2644="25"),"15172425",B2644))),IF(U2644="CEBAS","UNICO",IF(VALUE(B2644)&lt;=11,"AMBA","INTERIOR"))))</f>
        <v>R06</v>
      </c>
      <c r="W2644" s="38" t="str">
        <f>+IF(U2644="","-",CONCATENATE(U2644,"_",V2644))</f>
        <v>FINES_R06</v>
      </c>
      <c r="X2644" s="42">
        <v>0.41499999999999998</v>
      </c>
    </row>
    <row r="2645" spans="1:24">
      <c r="A2645" s="21" t="s">
        <v>5100</v>
      </c>
      <c r="B2645" t="s">
        <v>1257</v>
      </c>
      <c r="C2645" t="s">
        <v>1255</v>
      </c>
      <c r="D2645" t="s">
        <v>1256</v>
      </c>
      <c r="E2645" s="7" t="s">
        <v>198</v>
      </c>
      <c r="F2645" s="7" t="s">
        <v>198</v>
      </c>
      <c r="G2645" s="7" t="s">
        <v>198</v>
      </c>
      <c r="H2645" s="7" t="s">
        <v>20</v>
      </c>
      <c r="I2645" s="7" t="s">
        <v>5102</v>
      </c>
      <c r="J2645" s="7" t="s">
        <v>21</v>
      </c>
      <c r="L2645" t="s">
        <v>3957</v>
      </c>
      <c r="M2645" s="7" t="s">
        <v>22</v>
      </c>
      <c r="N2645" s="7" t="s">
        <v>23</v>
      </c>
      <c r="O2645" s="7" t="s">
        <v>27</v>
      </c>
      <c r="P2645" s="7" t="s">
        <v>5101</v>
      </c>
      <c r="Q2645" s="26">
        <v>0</v>
      </c>
      <c r="R2645" s="26">
        <v>1</v>
      </c>
      <c r="S2645" s="40">
        <v>1</v>
      </c>
      <c r="T2645" s="7"/>
      <c r="U2645" s="7" t="s">
        <v>2951</v>
      </c>
      <c r="V2645" s="7" t="str">
        <f>+IF(U2645="","",IF(U2645="FINES",CONCATENATE("R",IF(OR(B2645="16",B2645="21",B2645="22",B2645="23"),"16212223",IF(OR(B2645="15",B2645="17",B2645="24",B2645="25"),"15172425",B2645))),IF(U2645="CEBAS","UNICO",IF(VALUE(B2645)&lt;=11,"AMBA","INTERIOR"))))</f>
        <v>R06</v>
      </c>
      <c r="W2645" s="38" t="str">
        <f>+IF(U2645="","-",CONCATENATE(U2645,"_",V2645))</f>
        <v>FINES_R06</v>
      </c>
      <c r="X2645" s="42">
        <v>0.42199999999999999</v>
      </c>
    </row>
    <row r="2646" spans="1:24">
      <c r="A2646" s="21" t="s">
        <v>5100</v>
      </c>
      <c r="B2646" t="s">
        <v>1257</v>
      </c>
      <c r="C2646" t="s">
        <v>2213</v>
      </c>
      <c r="D2646" t="s">
        <v>2214</v>
      </c>
      <c r="E2646" s="7" t="s">
        <v>198</v>
      </c>
      <c r="F2646" s="7" t="s">
        <v>198</v>
      </c>
      <c r="G2646" s="7" t="s">
        <v>198</v>
      </c>
      <c r="H2646" s="7" t="s">
        <v>20</v>
      </c>
      <c r="I2646" s="7" t="s">
        <v>5102</v>
      </c>
      <c r="J2646" s="7" t="s">
        <v>21</v>
      </c>
      <c r="L2646" t="s">
        <v>3932</v>
      </c>
      <c r="M2646" s="7" t="s">
        <v>22</v>
      </c>
      <c r="N2646" s="7" t="s">
        <v>23</v>
      </c>
      <c r="O2646" s="7" t="s">
        <v>27</v>
      </c>
      <c r="P2646" s="7" t="s">
        <v>5101</v>
      </c>
      <c r="Q2646" s="26">
        <v>13</v>
      </c>
      <c r="R2646" s="26">
        <v>1</v>
      </c>
      <c r="S2646" s="40">
        <v>1</v>
      </c>
      <c r="T2646" s="7"/>
      <c r="U2646" s="7" t="s">
        <v>2951</v>
      </c>
      <c r="V2646" s="7" t="str">
        <f>+IF(U2646="","",IF(U2646="FINES",CONCATENATE("R",IF(OR(B2646="16",B2646="21",B2646="22",B2646="23"),"16212223",IF(OR(B2646="15",B2646="17",B2646="24",B2646="25"),"15172425",B2646))),IF(U2646="CEBAS","UNICO",IF(VALUE(B2646)&lt;=11,"AMBA","INTERIOR"))))</f>
        <v>R06</v>
      </c>
      <c r="W2646" s="38" t="str">
        <f>+IF(U2646="","-",CONCATENATE(U2646,"_",V2646))</f>
        <v>FINES_R06</v>
      </c>
      <c r="X2646" s="42">
        <v>0.45</v>
      </c>
    </row>
    <row r="2647" spans="1:24">
      <c r="A2647" s="21" t="s">
        <v>5100</v>
      </c>
      <c r="B2647" t="s">
        <v>1257</v>
      </c>
      <c r="C2647" t="s">
        <v>1255</v>
      </c>
      <c r="D2647" t="s">
        <v>1256</v>
      </c>
      <c r="E2647" s="7" t="s">
        <v>198</v>
      </c>
      <c r="F2647" s="7" t="s">
        <v>198</v>
      </c>
      <c r="G2647" s="7" t="s">
        <v>198</v>
      </c>
      <c r="H2647" s="7" t="s">
        <v>20</v>
      </c>
      <c r="I2647" s="7" t="s">
        <v>5102</v>
      </c>
      <c r="J2647" s="7" t="s">
        <v>21</v>
      </c>
      <c r="L2647" t="s">
        <v>3960</v>
      </c>
      <c r="M2647" s="7" t="s">
        <v>22</v>
      </c>
      <c r="N2647" s="7" t="s">
        <v>23</v>
      </c>
      <c r="O2647" s="7" t="s">
        <v>27</v>
      </c>
      <c r="P2647" s="7" t="s">
        <v>5101</v>
      </c>
      <c r="Q2647" s="26">
        <v>0</v>
      </c>
      <c r="R2647" s="26">
        <v>1</v>
      </c>
      <c r="S2647" s="40">
        <v>1</v>
      </c>
      <c r="T2647" s="7"/>
      <c r="U2647" s="7" t="s">
        <v>2951</v>
      </c>
      <c r="V2647" s="7" t="str">
        <f>+IF(U2647="","",IF(U2647="FINES",CONCATENATE("R",IF(OR(B2647="16",B2647="21",B2647="22",B2647="23"),"16212223",IF(OR(B2647="15",B2647="17",B2647="24",B2647="25"),"15172425",B2647))),IF(U2647="CEBAS","UNICO",IF(VALUE(B2647)&lt;=11,"AMBA","INTERIOR"))))</f>
        <v>R06</v>
      </c>
      <c r="W2647" s="38" t="str">
        <f>+IF(U2647="","-",CONCATENATE(U2647,"_",V2647))</f>
        <v>FINES_R06</v>
      </c>
      <c r="X2647" s="42">
        <v>0.47299999999999998</v>
      </c>
    </row>
    <row r="2648" spans="1:24">
      <c r="A2648" s="21" t="s">
        <v>5100</v>
      </c>
      <c r="B2648" t="s">
        <v>1257</v>
      </c>
      <c r="C2648" t="s">
        <v>2237</v>
      </c>
      <c r="D2648" t="s">
        <v>2238</v>
      </c>
      <c r="E2648" s="7" t="s">
        <v>198</v>
      </c>
      <c r="F2648" s="7" t="s">
        <v>198</v>
      </c>
      <c r="G2648" s="7" t="s">
        <v>198</v>
      </c>
      <c r="H2648" s="7" t="s">
        <v>20</v>
      </c>
      <c r="I2648" s="7" t="s">
        <v>5102</v>
      </c>
      <c r="J2648" s="7" t="s">
        <v>21</v>
      </c>
      <c r="L2648" t="s">
        <v>3954</v>
      </c>
      <c r="M2648" s="7" t="s">
        <v>22</v>
      </c>
      <c r="N2648" s="7" t="s">
        <v>23</v>
      </c>
      <c r="O2648" s="7" t="s">
        <v>27</v>
      </c>
      <c r="P2648" s="7" t="s">
        <v>5101</v>
      </c>
      <c r="Q2648" s="26">
        <v>18</v>
      </c>
      <c r="R2648" s="26">
        <v>1</v>
      </c>
      <c r="S2648" s="40">
        <v>1</v>
      </c>
      <c r="T2648" s="7"/>
      <c r="U2648" s="7" t="s">
        <v>2951</v>
      </c>
      <c r="V2648" s="7" t="str">
        <f>+IF(U2648="","",IF(U2648="FINES",CONCATENATE("R",IF(OR(B2648="16",B2648="21",B2648="22",B2648="23"),"16212223",IF(OR(B2648="15",B2648="17",B2648="24",B2648="25"),"15172425",B2648))),IF(U2648="CEBAS","UNICO",IF(VALUE(B2648)&lt;=11,"AMBA","INTERIOR"))))</f>
        <v>R06</v>
      </c>
      <c r="W2648" s="38" t="str">
        <f>+IF(U2648="","-",CONCATENATE(U2648,"_",V2648))</f>
        <v>FINES_R06</v>
      </c>
      <c r="X2648" s="42">
        <v>0.48799999999999999</v>
      </c>
    </row>
    <row r="2649" spans="1:24">
      <c r="A2649" s="21" t="s">
        <v>5100</v>
      </c>
      <c r="B2649" t="s">
        <v>1257</v>
      </c>
      <c r="C2649" t="s">
        <v>519</v>
      </c>
      <c r="D2649" t="s">
        <v>2470</v>
      </c>
      <c r="E2649" s="7" t="s">
        <v>198</v>
      </c>
      <c r="F2649" s="7" t="s">
        <v>198</v>
      </c>
      <c r="G2649" s="7" t="s">
        <v>198</v>
      </c>
      <c r="H2649" s="7" t="s">
        <v>20</v>
      </c>
      <c r="I2649" s="7" t="s">
        <v>5102</v>
      </c>
      <c r="J2649" s="7" t="s">
        <v>21</v>
      </c>
      <c r="L2649" t="s">
        <v>3972</v>
      </c>
      <c r="M2649" s="7" t="s">
        <v>22</v>
      </c>
      <c r="N2649" s="7" t="s">
        <v>23</v>
      </c>
      <c r="O2649" s="7" t="s">
        <v>27</v>
      </c>
      <c r="P2649" s="7" t="s">
        <v>5101</v>
      </c>
      <c r="Q2649" s="26">
        <v>59</v>
      </c>
      <c r="R2649" s="26">
        <v>3</v>
      </c>
      <c r="S2649" s="40">
        <v>1</v>
      </c>
      <c r="T2649" s="7"/>
      <c r="U2649" s="7" t="s">
        <v>2951</v>
      </c>
      <c r="V2649" s="7" t="str">
        <f>+IF(U2649="","",IF(U2649="FINES",CONCATENATE("R",IF(OR(B2649="16",B2649="21",B2649="22",B2649="23"),"16212223",IF(OR(B2649="15",B2649="17",B2649="24",B2649="25"),"15172425",B2649))),IF(U2649="CEBAS","UNICO",IF(VALUE(B2649)&lt;=11,"AMBA","INTERIOR"))))</f>
        <v>R06</v>
      </c>
      <c r="W2649" s="38" t="str">
        <f>+IF(U2649="","-",CONCATENATE(U2649,"_",V2649))</f>
        <v>FINES_R06</v>
      </c>
      <c r="X2649" s="42">
        <v>0.49399999999999999</v>
      </c>
    </row>
    <row r="2650" spans="1:24">
      <c r="A2650" s="21" t="s">
        <v>5100</v>
      </c>
      <c r="B2650" t="s">
        <v>1257</v>
      </c>
      <c r="C2650" t="s">
        <v>519</v>
      </c>
      <c r="D2650" t="s">
        <v>2470</v>
      </c>
      <c r="E2650" s="7" t="s">
        <v>198</v>
      </c>
      <c r="F2650" s="7" t="s">
        <v>198</v>
      </c>
      <c r="G2650" s="7" t="s">
        <v>198</v>
      </c>
      <c r="H2650" s="7" t="s">
        <v>20</v>
      </c>
      <c r="I2650" s="7" t="s">
        <v>5102</v>
      </c>
      <c r="J2650" s="7" t="s">
        <v>21</v>
      </c>
      <c r="L2650" t="s">
        <v>3981</v>
      </c>
      <c r="M2650" s="7" t="s">
        <v>22</v>
      </c>
      <c r="N2650" s="7" t="s">
        <v>23</v>
      </c>
      <c r="O2650" s="7" t="s">
        <v>27</v>
      </c>
      <c r="P2650" s="7" t="s">
        <v>5101</v>
      </c>
      <c r="Q2650" s="26">
        <v>24</v>
      </c>
      <c r="R2650" s="26">
        <v>1</v>
      </c>
      <c r="S2650" s="40">
        <v>1</v>
      </c>
      <c r="T2650" s="7"/>
      <c r="U2650" s="7" t="s">
        <v>2951</v>
      </c>
      <c r="V2650" s="7" t="str">
        <f>+IF(U2650="","",IF(U2650="FINES",CONCATENATE("R",IF(OR(B2650="16",B2650="21",B2650="22",B2650="23"),"16212223",IF(OR(B2650="15",B2650="17",B2650="24",B2650="25"),"15172425",B2650))),IF(U2650="CEBAS","UNICO",IF(VALUE(B2650)&lt;=11,"AMBA","INTERIOR"))))</f>
        <v>R06</v>
      </c>
      <c r="W2650" s="38" t="str">
        <f>+IF(U2650="","-",CONCATENATE(U2650,"_",V2650))</f>
        <v>FINES_R06</v>
      </c>
      <c r="X2650" s="42">
        <v>0.496</v>
      </c>
    </row>
    <row r="2651" spans="1:24">
      <c r="A2651" s="21" t="s">
        <v>5100</v>
      </c>
      <c r="B2651" t="s">
        <v>1257</v>
      </c>
      <c r="C2651" t="s">
        <v>2213</v>
      </c>
      <c r="D2651" t="s">
        <v>2214</v>
      </c>
      <c r="E2651" s="7" t="s">
        <v>198</v>
      </c>
      <c r="F2651" s="7" t="s">
        <v>198</v>
      </c>
      <c r="G2651" s="7" t="s">
        <v>198</v>
      </c>
      <c r="H2651" s="7" t="s">
        <v>20</v>
      </c>
      <c r="I2651" s="7" t="s">
        <v>5102</v>
      </c>
      <c r="J2651" s="7" t="s">
        <v>21</v>
      </c>
      <c r="L2651" t="s">
        <v>3942</v>
      </c>
      <c r="M2651" s="7" t="s">
        <v>22</v>
      </c>
      <c r="N2651" s="7" t="s">
        <v>23</v>
      </c>
      <c r="O2651" s="7" t="s">
        <v>27</v>
      </c>
      <c r="P2651" s="7" t="s">
        <v>5101</v>
      </c>
      <c r="Q2651" s="26">
        <v>32</v>
      </c>
      <c r="R2651" s="26">
        <v>1</v>
      </c>
      <c r="S2651" s="40">
        <v>1</v>
      </c>
      <c r="T2651" s="7"/>
      <c r="U2651" s="7" t="s">
        <v>2951</v>
      </c>
      <c r="V2651" s="7" t="str">
        <f>+IF(U2651="","",IF(U2651="FINES",CONCATENATE("R",IF(OR(B2651="16",B2651="21",B2651="22",B2651="23"),"16212223",IF(OR(B2651="15",B2651="17",B2651="24",B2651="25"),"15172425",B2651))),IF(U2651="CEBAS","UNICO",IF(VALUE(B2651)&lt;=11,"AMBA","INTERIOR"))))</f>
        <v>R06</v>
      </c>
      <c r="W2651" s="38" t="str">
        <f>+IF(U2651="","-",CONCATENATE(U2651,"_",V2651))</f>
        <v>FINES_R06</v>
      </c>
      <c r="X2651" s="42">
        <v>0.52300000000000002</v>
      </c>
    </row>
    <row r="2652" spans="1:24">
      <c r="A2652" s="21" t="s">
        <v>5100</v>
      </c>
      <c r="B2652" t="s">
        <v>1257</v>
      </c>
      <c r="C2652" t="s">
        <v>2213</v>
      </c>
      <c r="D2652" t="s">
        <v>2214</v>
      </c>
      <c r="E2652" s="7" t="s">
        <v>198</v>
      </c>
      <c r="F2652" s="7" t="s">
        <v>198</v>
      </c>
      <c r="G2652" s="7" t="s">
        <v>198</v>
      </c>
      <c r="H2652" s="7" t="s">
        <v>20</v>
      </c>
      <c r="I2652" s="7" t="s">
        <v>5102</v>
      </c>
      <c r="J2652" s="7" t="s">
        <v>21</v>
      </c>
      <c r="L2652" t="s">
        <v>3941</v>
      </c>
      <c r="M2652" s="7" t="s">
        <v>22</v>
      </c>
      <c r="N2652" s="7" t="s">
        <v>23</v>
      </c>
      <c r="O2652" s="7" t="s">
        <v>27</v>
      </c>
      <c r="P2652" s="7" t="s">
        <v>5101</v>
      </c>
      <c r="Q2652" s="26">
        <v>26</v>
      </c>
      <c r="R2652" s="26">
        <v>1</v>
      </c>
      <c r="S2652" s="40">
        <v>1</v>
      </c>
      <c r="T2652" s="7"/>
      <c r="U2652" s="7" t="s">
        <v>2951</v>
      </c>
      <c r="V2652" s="7" t="str">
        <f>+IF(U2652="","",IF(U2652="FINES",CONCATENATE("R",IF(OR(B2652="16",B2652="21",B2652="22",B2652="23"),"16212223",IF(OR(B2652="15",B2652="17",B2652="24",B2652="25"),"15172425",B2652))),IF(U2652="CEBAS","UNICO",IF(VALUE(B2652)&lt;=11,"AMBA","INTERIOR"))))</f>
        <v>R06</v>
      </c>
      <c r="W2652" s="38" t="str">
        <f>+IF(U2652="","-",CONCATENATE(U2652,"_",V2652))</f>
        <v>FINES_R06</v>
      </c>
      <c r="X2652" s="42">
        <v>0.53100000000000003</v>
      </c>
    </row>
    <row r="2653" spans="1:24">
      <c r="A2653" s="21" t="s">
        <v>5100</v>
      </c>
      <c r="B2653" t="s">
        <v>1257</v>
      </c>
      <c r="C2653" t="s">
        <v>1255</v>
      </c>
      <c r="D2653" t="s">
        <v>1256</v>
      </c>
      <c r="E2653" s="7" t="s">
        <v>198</v>
      </c>
      <c r="F2653" s="7" t="s">
        <v>198</v>
      </c>
      <c r="G2653" s="7" t="s">
        <v>198</v>
      </c>
      <c r="H2653" s="7" t="s">
        <v>20</v>
      </c>
      <c r="I2653" s="7" t="s">
        <v>5102</v>
      </c>
      <c r="J2653" s="7" t="s">
        <v>21</v>
      </c>
      <c r="L2653" t="s">
        <v>3962</v>
      </c>
      <c r="M2653" s="7" t="s">
        <v>22</v>
      </c>
      <c r="N2653" s="7" t="s">
        <v>23</v>
      </c>
      <c r="O2653" s="7" t="s">
        <v>27</v>
      </c>
      <c r="P2653" s="7" t="s">
        <v>5101</v>
      </c>
      <c r="Q2653" s="26">
        <v>38</v>
      </c>
      <c r="R2653" s="26">
        <v>2</v>
      </c>
      <c r="S2653" s="40">
        <v>1</v>
      </c>
      <c r="T2653" s="7"/>
      <c r="U2653" s="7" t="s">
        <v>2951</v>
      </c>
      <c r="V2653" s="7" t="str">
        <f>+IF(U2653="","",IF(U2653="FINES",CONCATENATE("R",IF(OR(B2653="16",B2653="21",B2653="22",B2653="23"),"16212223",IF(OR(B2653="15",B2653="17",B2653="24",B2653="25"),"15172425",B2653))),IF(U2653="CEBAS","UNICO",IF(VALUE(B2653)&lt;=11,"AMBA","INTERIOR"))))</f>
        <v>R06</v>
      </c>
      <c r="W2653" s="38" t="str">
        <f>+IF(U2653="","-",CONCATENATE(U2653,"_",V2653))</f>
        <v>FINES_R06</v>
      </c>
      <c r="X2653" s="42">
        <v>0.57199999999999995</v>
      </c>
    </row>
    <row r="2654" spans="1:24">
      <c r="A2654" s="21" t="s">
        <v>5100</v>
      </c>
      <c r="B2654" t="s">
        <v>1257</v>
      </c>
      <c r="C2654" t="s">
        <v>519</v>
      </c>
      <c r="D2654" t="s">
        <v>2470</v>
      </c>
      <c r="E2654" s="7" t="s">
        <v>198</v>
      </c>
      <c r="F2654" s="7" t="s">
        <v>198</v>
      </c>
      <c r="G2654" s="7" t="s">
        <v>198</v>
      </c>
      <c r="H2654" s="7" t="s">
        <v>20</v>
      </c>
      <c r="I2654" s="7" t="s">
        <v>5102</v>
      </c>
      <c r="J2654" s="7" t="s">
        <v>21</v>
      </c>
      <c r="L2654" t="s">
        <v>3984</v>
      </c>
      <c r="M2654" s="7" t="s">
        <v>22</v>
      </c>
      <c r="N2654" s="7" t="s">
        <v>23</v>
      </c>
      <c r="O2654" s="7" t="s">
        <v>27</v>
      </c>
      <c r="P2654" s="7" t="s">
        <v>5101</v>
      </c>
      <c r="Q2654" s="26">
        <v>26</v>
      </c>
      <c r="R2654" s="26">
        <v>3</v>
      </c>
      <c r="S2654" s="40">
        <v>1</v>
      </c>
      <c r="T2654" s="7"/>
      <c r="U2654" s="7" t="s">
        <v>2951</v>
      </c>
      <c r="V2654" s="7" t="str">
        <f>+IF(U2654="","",IF(U2654="FINES",CONCATENATE("R",IF(OR(B2654="16",B2654="21",B2654="22",B2654="23"),"16212223",IF(OR(B2654="15",B2654="17",B2654="24",B2654="25"),"15172425",B2654))),IF(U2654="CEBAS","UNICO",IF(VALUE(B2654)&lt;=11,"AMBA","INTERIOR"))))</f>
        <v>R06</v>
      </c>
      <c r="W2654" s="38" t="str">
        <f>+IF(U2654="","-",CONCATENATE(U2654,"_",V2654))</f>
        <v>FINES_R06</v>
      </c>
      <c r="X2654" s="42">
        <v>0.57799999999999996</v>
      </c>
    </row>
    <row r="2655" spans="1:24">
      <c r="A2655" s="21" t="s">
        <v>5100</v>
      </c>
      <c r="B2655" t="s">
        <v>1257</v>
      </c>
      <c r="C2655" t="s">
        <v>519</v>
      </c>
      <c r="D2655" t="s">
        <v>2470</v>
      </c>
      <c r="E2655" s="7" t="s">
        <v>198</v>
      </c>
      <c r="F2655" s="7" t="s">
        <v>198</v>
      </c>
      <c r="G2655" s="7" t="s">
        <v>198</v>
      </c>
      <c r="H2655" s="7" t="s">
        <v>20</v>
      </c>
      <c r="I2655" s="7" t="s">
        <v>5102</v>
      </c>
      <c r="J2655" s="7" t="s">
        <v>21</v>
      </c>
      <c r="L2655" t="s">
        <v>3975</v>
      </c>
      <c r="M2655" s="7" t="s">
        <v>22</v>
      </c>
      <c r="N2655" s="7" t="s">
        <v>23</v>
      </c>
      <c r="O2655" s="7" t="s">
        <v>27</v>
      </c>
      <c r="P2655" s="7" t="s">
        <v>5101</v>
      </c>
      <c r="Q2655" s="26">
        <v>23</v>
      </c>
      <c r="R2655" s="26">
        <v>1</v>
      </c>
      <c r="S2655" s="40">
        <v>1</v>
      </c>
      <c r="T2655" s="7"/>
      <c r="U2655" s="7" t="s">
        <v>2951</v>
      </c>
      <c r="V2655" s="7" t="str">
        <f>+IF(U2655="","",IF(U2655="FINES",CONCATENATE("R",IF(OR(B2655="16",B2655="21",B2655="22",B2655="23"),"16212223",IF(OR(B2655="15",B2655="17",B2655="24",B2655="25"),"15172425",B2655))),IF(U2655="CEBAS","UNICO",IF(VALUE(B2655)&lt;=11,"AMBA","INTERIOR"))))</f>
        <v>R06</v>
      </c>
      <c r="W2655" s="38" t="str">
        <f>+IF(U2655="","-",CONCATENATE(U2655,"_",V2655))</f>
        <v>FINES_R06</v>
      </c>
      <c r="X2655" s="42">
        <v>0.58099999999999996</v>
      </c>
    </row>
    <row r="2656" spans="1:24">
      <c r="A2656" s="21" t="s">
        <v>5100</v>
      </c>
      <c r="B2656" t="s">
        <v>1257</v>
      </c>
      <c r="C2656" t="s">
        <v>1255</v>
      </c>
      <c r="D2656" t="s">
        <v>1256</v>
      </c>
      <c r="E2656" s="7" t="s">
        <v>198</v>
      </c>
      <c r="F2656" s="7" t="s">
        <v>198</v>
      </c>
      <c r="G2656" s="7" t="s">
        <v>198</v>
      </c>
      <c r="H2656" s="7" t="s">
        <v>20</v>
      </c>
      <c r="I2656" s="7" t="s">
        <v>5102</v>
      </c>
      <c r="J2656" s="7" t="s">
        <v>21</v>
      </c>
      <c r="L2656" t="s">
        <v>3964</v>
      </c>
      <c r="M2656" s="7" t="s">
        <v>22</v>
      </c>
      <c r="N2656" s="7" t="s">
        <v>23</v>
      </c>
      <c r="O2656" s="7" t="s">
        <v>27</v>
      </c>
      <c r="P2656" s="7" t="s">
        <v>5101</v>
      </c>
      <c r="Q2656" s="26">
        <v>13</v>
      </c>
      <c r="R2656" s="26">
        <v>1</v>
      </c>
      <c r="S2656" s="40">
        <v>1</v>
      </c>
      <c r="T2656" s="7"/>
      <c r="U2656" s="7" t="s">
        <v>2951</v>
      </c>
      <c r="V2656" s="7" t="str">
        <f>+IF(U2656="","",IF(U2656="FINES",CONCATENATE("R",IF(OR(B2656="16",B2656="21",B2656="22",B2656="23"),"16212223",IF(OR(B2656="15",B2656="17",B2656="24",B2656="25"),"15172425",B2656))),IF(U2656="CEBAS","UNICO",IF(VALUE(B2656)&lt;=11,"AMBA","INTERIOR"))))</f>
        <v>R06</v>
      </c>
      <c r="W2656" s="38" t="str">
        <f>+IF(U2656="","-",CONCATENATE(U2656,"_",V2656))</f>
        <v>FINES_R06</v>
      </c>
      <c r="X2656" s="42">
        <v>0.58899999999999997</v>
      </c>
    </row>
    <row r="2657" spans="1:24">
      <c r="A2657" s="21" t="s">
        <v>5100</v>
      </c>
      <c r="B2657" t="s">
        <v>1257</v>
      </c>
      <c r="C2657" t="s">
        <v>2237</v>
      </c>
      <c r="D2657" t="s">
        <v>2238</v>
      </c>
      <c r="E2657" s="7" t="s">
        <v>198</v>
      </c>
      <c r="F2657" s="7" t="s">
        <v>198</v>
      </c>
      <c r="G2657" s="7" t="s">
        <v>198</v>
      </c>
      <c r="H2657" s="7" t="s">
        <v>20</v>
      </c>
      <c r="I2657" s="7" t="s">
        <v>5102</v>
      </c>
      <c r="J2657" s="7" t="s">
        <v>21</v>
      </c>
      <c r="L2657" t="s">
        <v>3948</v>
      </c>
      <c r="M2657" s="7" t="s">
        <v>22</v>
      </c>
      <c r="N2657" s="7" t="s">
        <v>23</v>
      </c>
      <c r="O2657" s="7" t="s">
        <v>27</v>
      </c>
      <c r="P2657" s="7" t="s">
        <v>5101</v>
      </c>
      <c r="Q2657" s="26">
        <v>38</v>
      </c>
      <c r="R2657" s="26">
        <v>2</v>
      </c>
      <c r="S2657" s="40">
        <v>1</v>
      </c>
      <c r="T2657" s="7"/>
      <c r="U2657" s="7" t="s">
        <v>2951</v>
      </c>
      <c r="V2657" s="7" t="str">
        <f>+IF(U2657="","",IF(U2657="FINES",CONCATENATE("R",IF(OR(B2657="16",B2657="21",B2657="22",B2657="23"),"16212223",IF(OR(B2657="15",B2657="17",B2657="24",B2657="25"),"15172425",B2657))),IF(U2657="CEBAS","UNICO",IF(VALUE(B2657)&lt;=11,"AMBA","INTERIOR"))))</f>
        <v>R06</v>
      </c>
      <c r="W2657" s="38" t="str">
        <f>+IF(U2657="","-",CONCATENATE(U2657,"_",V2657))</f>
        <v>FINES_R06</v>
      </c>
      <c r="X2657" s="42">
        <v>0.59199999999999997</v>
      </c>
    </row>
    <row r="2658" spans="1:24">
      <c r="A2658" s="21" t="s">
        <v>5100</v>
      </c>
      <c r="B2658" t="s">
        <v>1257</v>
      </c>
      <c r="C2658" t="s">
        <v>2213</v>
      </c>
      <c r="D2658" t="s">
        <v>2214</v>
      </c>
      <c r="E2658" s="7" t="s">
        <v>198</v>
      </c>
      <c r="F2658" s="7" t="s">
        <v>198</v>
      </c>
      <c r="G2658" s="7" t="s">
        <v>198</v>
      </c>
      <c r="H2658" s="7" t="s">
        <v>20</v>
      </c>
      <c r="I2658" s="7" t="s">
        <v>5102</v>
      </c>
      <c r="J2658" s="7" t="s">
        <v>21</v>
      </c>
      <c r="L2658" t="s">
        <v>3930</v>
      </c>
      <c r="M2658" s="7" t="s">
        <v>22</v>
      </c>
      <c r="N2658" s="7" t="s">
        <v>23</v>
      </c>
      <c r="O2658" s="7" t="s">
        <v>27</v>
      </c>
      <c r="P2658" s="7" t="s">
        <v>5101</v>
      </c>
      <c r="Q2658" s="26">
        <v>15</v>
      </c>
      <c r="R2658" s="26">
        <v>1</v>
      </c>
      <c r="S2658" s="40">
        <v>1</v>
      </c>
      <c r="T2658" s="7"/>
      <c r="U2658" s="7" t="s">
        <v>2951</v>
      </c>
      <c r="V2658" s="7" t="str">
        <f>+IF(U2658="","",IF(U2658="FINES",CONCATENATE("R",IF(OR(B2658="16",B2658="21",B2658="22",B2658="23"),"16212223",IF(OR(B2658="15",B2658="17",B2658="24",B2658="25"),"15172425",B2658))),IF(U2658="CEBAS","UNICO",IF(VALUE(B2658)&lt;=11,"AMBA","INTERIOR"))))</f>
        <v>R06</v>
      </c>
      <c r="W2658" s="38" t="str">
        <f>+IF(U2658="","-",CONCATENATE(U2658,"_",V2658))</f>
        <v>FINES_R06</v>
      </c>
      <c r="X2658" s="42">
        <v>0.621</v>
      </c>
    </row>
    <row r="2659" spans="1:24">
      <c r="A2659" s="21" t="s">
        <v>5100</v>
      </c>
      <c r="B2659" t="s">
        <v>1257</v>
      </c>
      <c r="C2659" t="s">
        <v>519</v>
      </c>
      <c r="D2659" t="s">
        <v>2470</v>
      </c>
      <c r="E2659" s="7" t="s">
        <v>198</v>
      </c>
      <c r="F2659" s="7" t="s">
        <v>198</v>
      </c>
      <c r="G2659" s="7" t="s">
        <v>198</v>
      </c>
      <c r="H2659" s="7" t="s">
        <v>20</v>
      </c>
      <c r="I2659" s="7" t="s">
        <v>5102</v>
      </c>
      <c r="J2659" s="7" t="s">
        <v>21</v>
      </c>
      <c r="L2659" t="s">
        <v>3979</v>
      </c>
      <c r="M2659" s="7" t="s">
        <v>22</v>
      </c>
      <c r="N2659" s="7" t="s">
        <v>23</v>
      </c>
      <c r="O2659" s="7" t="s">
        <v>27</v>
      </c>
      <c r="P2659" s="7" t="s">
        <v>5101</v>
      </c>
      <c r="Q2659" s="26">
        <v>20</v>
      </c>
      <c r="R2659" s="26">
        <v>1</v>
      </c>
      <c r="S2659" s="40">
        <v>1</v>
      </c>
      <c r="T2659" s="7"/>
      <c r="U2659" s="7" t="s">
        <v>2951</v>
      </c>
      <c r="V2659" s="7" t="str">
        <f>+IF(U2659="","",IF(U2659="FINES",CONCATENATE("R",IF(OR(B2659="16",B2659="21",B2659="22",B2659="23"),"16212223",IF(OR(B2659="15",B2659="17",B2659="24",B2659="25"),"15172425",B2659))),IF(U2659="CEBAS","UNICO",IF(VALUE(B2659)&lt;=11,"AMBA","INTERIOR"))))</f>
        <v>R06</v>
      </c>
      <c r="W2659" s="38" t="str">
        <f>+IF(U2659="","-",CONCATENATE(U2659,"_",V2659))</f>
        <v>FINES_R06</v>
      </c>
      <c r="X2659" s="42">
        <v>0.625</v>
      </c>
    </row>
    <row r="2660" spans="1:24">
      <c r="A2660" s="21" t="s">
        <v>5100</v>
      </c>
      <c r="B2660" t="s">
        <v>1257</v>
      </c>
      <c r="C2660" t="s">
        <v>519</v>
      </c>
      <c r="D2660" t="s">
        <v>2470</v>
      </c>
      <c r="E2660" s="7" t="s">
        <v>198</v>
      </c>
      <c r="F2660" s="7" t="s">
        <v>198</v>
      </c>
      <c r="G2660" s="7" t="s">
        <v>198</v>
      </c>
      <c r="H2660" s="7" t="s">
        <v>20</v>
      </c>
      <c r="I2660" s="7" t="s">
        <v>5102</v>
      </c>
      <c r="J2660" s="7" t="s">
        <v>21</v>
      </c>
      <c r="L2660" t="s">
        <v>3973</v>
      </c>
      <c r="M2660" s="7" t="s">
        <v>22</v>
      </c>
      <c r="N2660" s="7" t="s">
        <v>23</v>
      </c>
      <c r="O2660" s="7" t="s">
        <v>27</v>
      </c>
      <c r="P2660" s="7" t="s">
        <v>5101</v>
      </c>
      <c r="Q2660" s="26">
        <v>13</v>
      </c>
      <c r="R2660" s="26">
        <v>1</v>
      </c>
      <c r="S2660" s="40">
        <v>1</v>
      </c>
      <c r="T2660" s="7"/>
      <c r="U2660" s="7" t="s">
        <v>2951</v>
      </c>
      <c r="V2660" s="7" t="str">
        <f>+IF(U2660="","",IF(U2660="FINES",CONCATENATE("R",IF(OR(B2660="16",B2660="21",B2660="22",B2660="23"),"16212223",IF(OR(B2660="15",B2660="17",B2660="24",B2660="25"),"15172425",B2660))),IF(U2660="CEBAS","UNICO",IF(VALUE(B2660)&lt;=11,"AMBA","INTERIOR"))))</f>
        <v>R06</v>
      </c>
      <c r="W2660" s="38" t="str">
        <f>+IF(U2660="","-",CONCATENATE(U2660,"_",V2660))</f>
        <v>FINES_R06</v>
      </c>
      <c r="X2660" s="42">
        <v>0.64300000000000002</v>
      </c>
    </row>
    <row r="2661" spans="1:24">
      <c r="A2661" s="21" t="s">
        <v>5100</v>
      </c>
      <c r="B2661" t="s">
        <v>1257</v>
      </c>
      <c r="C2661" t="s">
        <v>2237</v>
      </c>
      <c r="D2661" t="s">
        <v>2238</v>
      </c>
      <c r="E2661" s="7" t="s">
        <v>198</v>
      </c>
      <c r="F2661" s="7" t="s">
        <v>198</v>
      </c>
      <c r="G2661" s="7" t="s">
        <v>198</v>
      </c>
      <c r="H2661" s="7" t="s">
        <v>20</v>
      </c>
      <c r="I2661" s="7" t="s">
        <v>5102</v>
      </c>
      <c r="J2661" s="7" t="s">
        <v>21</v>
      </c>
      <c r="L2661" t="s">
        <v>3950</v>
      </c>
      <c r="M2661" s="7" t="s">
        <v>22</v>
      </c>
      <c r="N2661" s="7" t="s">
        <v>23</v>
      </c>
      <c r="O2661" s="7" t="s">
        <v>27</v>
      </c>
      <c r="P2661" s="7" t="s">
        <v>5101</v>
      </c>
      <c r="Q2661" s="26">
        <v>16</v>
      </c>
      <c r="R2661" s="26">
        <v>1</v>
      </c>
      <c r="S2661" s="40">
        <v>1</v>
      </c>
      <c r="T2661" s="7"/>
      <c r="U2661" s="7" t="s">
        <v>2951</v>
      </c>
      <c r="V2661" s="7" t="str">
        <f>+IF(U2661="","",IF(U2661="FINES",CONCATENATE("R",IF(OR(B2661="16",B2661="21",B2661="22",B2661="23"),"16212223",IF(OR(B2661="15",B2661="17",B2661="24",B2661="25"),"15172425",B2661))),IF(U2661="CEBAS","UNICO",IF(VALUE(B2661)&lt;=11,"AMBA","INTERIOR"))))</f>
        <v>R06</v>
      </c>
      <c r="W2661" s="38" t="str">
        <f>+IF(U2661="","-",CONCATENATE(U2661,"_",V2661))</f>
        <v>FINES_R06</v>
      </c>
      <c r="X2661" s="42">
        <v>0.65</v>
      </c>
    </row>
    <row r="2662" spans="1:24">
      <c r="A2662" s="21" t="s">
        <v>5100</v>
      </c>
      <c r="B2662" t="s">
        <v>1257</v>
      </c>
      <c r="C2662" t="s">
        <v>2213</v>
      </c>
      <c r="D2662" t="s">
        <v>2214</v>
      </c>
      <c r="E2662" s="7" t="s">
        <v>198</v>
      </c>
      <c r="F2662" s="7" t="s">
        <v>198</v>
      </c>
      <c r="G2662" s="7" t="s">
        <v>198</v>
      </c>
      <c r="H2662" s="7" t="s">
        <v>20</v>
      </c>
      <c r="I2662" s="7" t="s">
        <v>5102</v>
      </c>
      <c r="J2662" s="7" t="s">
        <v>21</v>
      </c>
      <c r="L2662" t="s">
        <v>3939</v>
      </c>
      <c r="M2662" s="7" t="s">
        <v>22</v>
      </c>
      <c r="N2662" s="7" t="s">
        <v>23</v>
      </c>
      <c r="O2662" s="7" t="s">
        <v>27</v>
      </c>
      <c r="P2662" s="7" t="s">
        <v>5101</v>
      </c>
      <c r="Q2662" s="26">
        <v>9</v>
      </c>
      <c r="R2662" s="26">
        <v>1</v>
      </c>
      <c r="S2662" s="40">
        <v>1</v>
      </c>
      <c r="T2662" s="7"/>
      <c r="U2662" s="7" t="s">
        <v>2951</v>
      </c>
      <c r="V2662" s="7" t="str">
        <f>+IF(U2662="","",IF(U2662="FINES",CONCATENATE("R",IF(OR(B2662="16",B2662="21",B2662="22",B2662="23"),"16212223",IF(OR(B2662="15",B2662="17",B2662="24",B2662="25"),"15172425",B2662))),IF(U2662="CEBAS","UNICO",IF(VALUE(B2662)&lt;=11,"AMBA","INTERIOR"))))</f>
        <v>R06</v>
      </c>
      <c r="W2662" s="38" t="str">
        <f>+IF(U2662="","-",CONCATENATE(U2662,"_",V2662))</f>
        <v>FINES_R06</v>
      </c>
      <c r="X2662" s="42">
        <v>0.65500000000000003</v>
      </c>
    </row>
    <row r="2663" spans="1:24">
      <c r="A2663" s="21" t="s">
        <v>5100</v>
      </c>
      <c r="B2663" t="s">
        <v>1257</v>
      </c>
      <c r="C2663" t="s">
        <v>1255</v>
      </c>
      <c r="D2663" t="s">
        <v>1256</v>
      </c>
      <c r="E2663" s="7" t="s">
        <v>198</v>
      </c>
      <c r="F2663" s="7" t="s">
        <v>198</v>
      </c>
      <c r="G2663" s="7" t="s">
        <v>198</v>
      </c>
      <c r="H2663" s="7" t="s">
        <v>20</v>
      </c>
      <c r="I2663" s="7" t="s">
        <v>5102</v>
      </c>
      <c r="J2663" s="7" t="s">
        <v>21</v>
      </c>
      <c r="L2663" t="s">
        <v>3969</v>
      </c>
      <c r="M2663" s="7" t="s">
        <v>22</v>
      </c>
      <c r="N2663" s="7" t="s">
        <v>23</v>
      </c>
      <c r="O2663" s="7" t="s">
        <v>27</v>
      </c>
      <c r="P2663" s="7" t="s">
        <v>5101</v>
      </c>
      <c r="Q2663" s="26">
        <v>18</v>
      </c>
      <c r="R2663" s="26">
        <v>2</v>
      </c>
      <c r="S2663" s="40">
        <v>1</v>
      </c>
      <c r="T2663" s="7"/>
      <c r="U2663" s="7" t="s">
        <v>2951</v>
      </c>
      <c r="V2663" s="7" t="str">
        <f>+IF(U2663="","",IF(U2663="FINES",CONCATENATE("R",IF(OR(B2663="16",B2663="21",B2663="22",B2663="23"),"16212223",IF(OR(B2663="15",B2663="17",B2663="24",B2663="25"),"15172425",B2663))),IF(U2663="CEBAS","UNICO",IF(VALUE(B2663)&lt;=11,"AMBA","INTERIOR"))))</f>
        <v>R06</v>
      </c>
      <c r="W2663" s="38" t="str">
        <f>+IF(U2663="","-",CONCATENATE(U2663,"_",V2663))</f>
        <v>FINES_R06</v>
      </c>
      <c r="X2663" s="42">
        <v>0.66900000000000004</v>
      </c>
    </row>
    <row r="2664" spans="1:24">
      <c r="A2664" s="21" t="s">
        <v>5100</v>
      </c>
      <c r="B2664" t="s">
        <v>1257</v>
      </c>
      <c r="C2664" t="s">
        <v>2213</v>
      </c>
      <c r="D2664" t="s">
        <v>2214</v>
      </c>
      <c r="E2664" s="7" t="s">
        <v>198</v>
      </c>
      <c r="F2664" s="7" t="s">
        <v>198</v>
      </c>
      <c r="G2664" s="7" t="s">
        <v>198</v>
      </c>
      <c r="H2664" s="7" t="s">
        <v>20</v>
      </c>
      <c r="I2664" s="7" t="s">
        <v>5102</v>
      </c>
      <c r="J2664" s="7" t="s">
        <v>21</v>
      </c>
      <c r="L2664" t="s">
        <v>3938</v>
      </c>
      <c r="M2664" s="7" t="s">
        <v>22</v>
      </c>
      <c r="N2664" s="7" t="s">
        <v>23</v>
      </c>
      <c r="O2664" s="7" t="s">
        <v>27</v>
      </c>
      <c r="P2664" s="7" t="s">
        <v>5101</v>
      </c>
      <c r="Q2664" s="26">
        <v>24</v>
      </c>
      <c r="R2664" s="26">
        <v>1</v>
      </c>
      <c r="S2664" s="40">
        <v>1</v>
      </c>
      <c r="T2664" s="7"/>
      <c r="U2664" s="7" t="s">
        <v>2951</v>
      </c>
      <c r="V2664" s="7" t="str">
        <f>+IF(U2664="","",IF(U2664="FINES",CONCATENATE("R",IF(OR(B2664="16",B2664="21",B2664="22",B2664="23"),"16212223",IF(OR(B2664="15",B2664="17",B2664="24",B2664="25"),"15172425",B2664))),IF(U2664="CEBAS","UNICO",IF(VALUE(B2664)&lt;=11,"AMBA","INTERIOR"))))</f>
        <v>R06</v>
      </c>
      <c r="W2664" s="38" t="str">
        <f>+IF(U2664="","-",CONCATENATE(U2664,"_",V2664))</f>
        <v>FINES_R06</v>
      </c>
      <c r="X2664" s="42">
        <v>0.67200000000000004</v>
      </c>
    </row>
    <row r="2665" spans="1:24">
      <c r="A2665" s="21" t="s">
        <v>5100</v>
      </c>
      <c r="B2665" t="s">
        <v>1257</v>
      </c>
      <c r="C2665" t="s">
        <v>519</v>
      </c>
      <c r="D2665" t="s">
        <v>2470</v>
      </c>
      <c r="E2665" s="7" t="s">
        <v>198</v>
      </c>
      <c r="F2665" s="7" t="s">
        <v>198</v>
      </c>
      <c r="G2665" s="7" t="s">
        <v>198</v>
      </c>
      <c r="H2665" s="7" t="s">
        <v>20</v>
      </c>
      <c r="I2665" s="7" t="s">
        <v>5102</v>
      </c>
      <c r="J2665" s="7" t="s">
        <v>21</v>
      </c>
      <c r="L2665" t="s">
        <v>3976</v>
      </c>
      <c r="M2665" s="7" t="s">
        <v>22</v>
      </c>
      <c r="N2665" s="7" t="s">
        <v>23</v>
      </c>
      <c r="O2665" s="7" t="s">
        <v>27</v>
      </c>
      <c r="P2665" s="7" t="s">
        <v>5101</v>
      </c>
      <c r="Q2665" s="26">
        <v>15</v>
      </c>
      <c r="R2665" s="26">
        <v>1</v>
      </c>
      <c r="S2665" s="40">
        <v>1</v>
      </c>
      <c r="T2665" s="7"/>
      <c r="U2665" s="7" t="s">
        <v>2951</v>
      </c>
      <c r="V2665" s="7" t="str">
        <f>+IF(U2665="","",IF(U2665="FINES",CONCATENATE("R",IF(OR(B2665="16",B2665="21",B2665="22",B2665="23"),"16212223",IF(OR(B2665="15",B2665="17",B2665="24",B2665="25"),"15172425",B2665))),IF(U2665="CEBAS","UNICO",IF(VALUE(B2665)&lt;=11,"AMBA","INTERIOR"))))</f>
        <v>R06</v>
      </c>
      <c r="W2665" s="38" t="str">
        <f>+IF(U2665="","-",CONCATENATE(U2665,"_",V2665))</f>
        <v>FINES_R06</v>
      </c>
      <c r="X2665" s="42">
        <v>0.70199999999999996</v>
      </c>
    </row>
    <row r="2666" spans="1:24">
      <c r="A2666" s="21" t="s">
        <v>5100</v>
      </c>
      <c r="B2666" t="s">
        <v>1257</v>
      </c>
      <c r="C2666" t="s">
        <v>519</v>
      </c>
      <c r="D2666" t="s">
        <v>2470</v>
      </c>
      <c r="E2666" s="7" t="s">
        <v>198</v>
      </c>
      <c r="F2666" s="7" t="s">
        <v>198</v>
      </c>
      <c r="G2666" s="7" t="s">
        <v>198</v>
      </c>
      <c r="H2666" s="7" t="s">
        <v>20</v>
      </c>
      <c r="I2666" s="7" t="s">
        <v>5102</v>
      </c>
      <c r="J2666" s="7" t="s">
        <v>21</v>
      </c>
      <c r="L2666" t="s">
        <v>3971</v>
      </c>
      <c r="M2666" s="7" t="s">
        <v>22</v>
      </c>
      <c r="N2666" s="7" t="s">
        <v>23</v>
      </c>
      <c r="O2666" s="7" t="s">
        <v>27</v>
      </c>
      <c r="P2666" s="7" t="s">
        <v>5101</v>
      </c>
      <c r="Q2666" s="26">
        <v>56</v>
      </c>
      <c r="R2666" s="26">
        <v>3</v>
      </c>
      <c r="S2666" s="40">
        <v>1</v>
      </c>
      <c r="T2666" s="7"/>
      <c r="U2666" s="7" t="s">
        <v>2951</v>
      </c>
      <c r="V2666" s="7" t="str">
        <f>+IF(U2666="","",IF(U2666="FINES",CONCATENATE("R",IF(OR(B2666="16",B2666="21",B2666="22",B2666="23"),"16212223",IF(OR(B2666="15",B2666="17",B2666="24",B2666="25"),"15172425",B2666))),IF(U2666="CEBAS","UNICO",IF(VALUE(B2666)&lt;=11,"AMBA","INTERIOR"))))</f>
        <v>R06</v>
      </c>
      <c r="W2666" s="38" t="str">
        <f>+IF(U2666="","-",CONCATENATE(U2666,"_",V2666))</f>
        <v>FINES_R06</v>
      </c>
      <c r="X2666" s="42">
        <v>0.70299999999999996</v>
      </c>
    </row>
    <row r="2667" spans="1:24">
      <c r="A2667" s="21" t="s">
        <v>5100</v>
      </c>
      <c r="B2667" t="s">
        <v>1257</v>
      </c>
      <c r="C2667" t="s">
        <v>519</v>
      </c>
      <c r="D2667" t="s">
        <v>2470</v>
      </c>
      <c r="E2667" s="7" t="s">
        <v>198</v>
      </c>
      <c r="F2667" s="7" t="s">
        <v>198</v>
      </c>
      <c r="G2667" s="7" t="s">
        <v>198</v>
      </c>
      <c r="H2667" s="7" t="s">
        <v>20</v>
      </c>
      <c r="I2667" s="7" t="s">
        <v>5102</v>
      </c>
      <c r="J2667" s="7" t="s">
        <v>21</v>
      </c>
      <c r="L2667" t="s">
        <v>3977</v>
      </c>
      <c r="M2667" s="7" t="s">
        <v>22</v>
      </c>
      <c r="N2667" s="7" t="s">
        <v>23</v>
      </c>
      <c r="O2667" s="7" t="s">
        <v>27</v>
      </c>
      <c r="P2667" s="7" t="s">
        <v>5101</v>
      </c>
      <c r="Q2667" s="26">
        <v>6</v>
      </c>
      <c r="R2667" s="26">
        <v>1</v>
      </c>
      <c r="S2667" s="40">
        <v>1</v>
      </c>
      <c r="T2667" s="7"/>
      <c r="U2667" s="7" t="s">
        <v>2951</v>
      </c>
      <c r="V2667" s="7" t="str">
        <f>+IF(U2667="","",IF(U2667="FINES",CONCATENATE("R",IF(OR(B2667="16",B2667="21",B2667="22",B2667="23"),"16212223",IF(OR(B2667="15",B2667="17",B2667="24",B2667="25"),"15172425",B2667))),IF(U2667="CEBAS","UNICO",IF(VALUE(B2667)&lt;=11,"AMBA","INTERIOR"))))</f>
        <v>R06</v>
      </c>
      <c r="W2667" s="38" t="str">
        <f>+IF(U2667="","-",CONCATENATE(U2667,"_",V2667))</f>
        <v>FINES_R06</v>
      </c>
      <c r="X2667" s="42">
        <v>0.73299999999999998</v>
      </c>
    </row>
    <row r="2668" spans="1:24">
      <c r="A2668" s="21" t="s">
        <v>5100</v>
      </c>
      <c r="B2668" t="s">
        <v>1257</v>
      </c>
      <c r="C2668" t="s">
        <v>1255</v>
      </c>
      <c r="D2668" t="s">
        <v>1256</v>
      </c>
      <c r="E2668" s="7" t="s">
        <v>198</v>
      </c>
      <c r="F2668" s="7" t="s">
        <v>198</v>
      </c>
      <c r="G2668" s="7" t="s">
        <v>198</v>
      </c>
      <c r="H2668" s="7" t="s">
        <v>20</v>
      </c>
      <c r="I2668" s="7" t="s">
        <v>5102</v>
      </c>
      <c r="J2668" s="7" t="s">
        <v>21</v>
      </c>
      <c r="L2668" t="s">
        <v>3968</v>
      </c>
      <c r="M2668" s="7" t="s">
        <v>22</v>
      </c>
      <c r="N2668" s="7" t="s">
        <v>23</v>
      </c>
      <c r="O2668" s="7" t="s">
        <v>27</v>
      </c>
      <c r="P2668" s="7" t="s">
        <v>5101</v>
      </c>
      <c r="Q2668" s="26">
        <v>1</v>
      </c>
      <c r="R2668" s="26">
        <v>1</v>
      </c>
      <c r="S2668" s="40">
        <v>1</v>
      </c>
      <c r="T2668" s="7"/>
      <c r="U2668" s="7" t="s">
        <v>2951</v>
      </c>
      <c r="V2668" s="7" t="str">
        <f>+IF(U2668="","",IF(U2668="FINES",CONCATENATE("R",IF(OR(B2668="16",B2668="21",B2668="22",B2668="23"),"16212223",IF(OR(B2668="15",B2668="17",B2668="24",B2668="25"),"15172425",B2668))),IF(U2668="CEBAS","UNICO",IF(VALUE(B2668)&lt;=11,"AMBA","INTERIOR"))))</f>
        <v>R06</v>
      </c>
      <c r="W2668" s="38" t="str">
        <f>+IF(U2668="","-",CONCATENATE(U2668,"_",V2668))</f>
        <v>FINES_R06</v>
      </c>
      <c r="X2668" s="42">
        <v>0.74</v>
      </c>
    </row>
    <row r="2669" spans="1:24">
      <c r="A2669" s="21" t="s">
        <v>5100</v>
      </c>
      <c r="B2669" t="s">
        <v>1257</v>
      </c>
      <c r="C2669" t="s">
        <v>2213</v>
      </c>
      <c r="D2669" t="s">
        <v>2214</v>
      </c>
      <c r="E2669" s="7" t="s">
        <v>198</v>
      </c>
      <c r="F2669" s="7" t="s">
        <v>198</v>
      </c>
      <c r="G2669" s="7" t="s">
        <v>198</v>
      </c>
      <c r="H2669" s="7" t="s">
        <v>20</v>
      </c>
      <c r="I2669" s="7" t="s">
        <v>5102</v>
      </c>
      <c r="J2669" s="7" t="s">
        <v>21</v>
      </c>
      <c r="L2669" t="s">
        <v>3933</v>
      </c>
      <c r="M2669" s="7" t="s">
        <v>22</v>
      </c>
      <c r="N2669" s="7" t="s">
        <v>23</v>
      </c>
      <c r="O2669" s="7" t="s">
        <v>27</v>
      </c>
      <c r="P2669" s="7" t="s">
        <v>5101</v>
      </c>
      <c r="Q2669" s="26">
        <v>11</v>
      </c>
      <c r="R2669" s="26">
        <v>1</v>
      </c>
      <c r="S2669" s="40">
        <v>1</v>
      </c>
      <c r="T2669" s="7"/>
      <c r="U2669" s="7" t="s">
        <v>2951</v>
      </c>
      <c r="V2669" s="7" t="str">
        <f>+IF(U2669="","",IF(U2669="FINES",CONCATENATE("R",IF(OR(B2669="16",B2669="21",B2669="22",B2669="23"),"16212223",IF(OR(B2669="15",B2669="17",B2669="24",B2669="25"),"15172425",B2669))),IF(U2669="CEBAS","UNICO",IF(VALUE(B2669)&lt;=11,"AMBA","INTERIOR"))))</f>
        <v>R06</v>
      </c>
      <c r="W2669" s="38" t="str">
        <f>+IF(U2669="","-",CONCATENATE(U2669,"_",V2669))</f>
        <v>FINES_R06</v>
      </c>
      <c r="X2669" s="42">
        <v>0.74299999999999999</v>
      </c>
    </row>
    <row r="2670" spans="1:24">
      <c r="A2670" s="21" t="s">
        <v>5100</v>
      </c>
      <c r="B2670" t="s">
        <v>1257</v>
      </c>
      <c r="C2670" t="s">
        <v>519</v>
      </c>
      <c r="D2670" t="s">
        <v>2470</v>
      </c>
      <c r="E2670" s="7" t="s">
        <v>198</v>
      </c>
      <c r="F2670" s="7" t="s">
        <v>198</v>
      </c>
      <c r="G2670" s="7" t="s">
        <v>198</v>
      </c>
      <c r="H2670" s="7" t="s">
        <v>20</v>
      </c>
      <c r="I2670" s="7" t="s">
        <v>5102</v>
      </c>
      <c r="J2670" s="7" t="s">
        <v>21</v>
      </c>
      <c r="L2670" t="s">
        <v>3980</v>
      </c>
      <c r="M2670" s="7" t="s">
        <v>22</v>
      </c>
      <c r="N2670" s="7" t="s">
        <v>23</v>
      </c>
      <c r="O2670" s="7" t="s">
        <v>27</v>
      </c>
      <c r="P2670" s="7" t="s">
        <v>5101</v>
      </c>
      <c r="Q2670" s="26">
        <v>38</v>
      </c>
      <c r="R2670" s="26">
        <v>1</v>
      </c>
      <c r="S2670" s="40">
        <v>1</v>
      </c>
      <c r="T2670" s="7"/>
      <c r="U2670" s="7" t="s">
        <v>2951</v>
      </c>
      <c r="V2670" s="7" t="str">
        <f>+IF(U2670="","",IF(U2670="FINES",CONCATENATE("R",IF(OR(B2670="16",B2670="21",B2670="22",B2670="23"),"16212223",IF(OR(B2670="15",B2670="17",B2670="24",B2670="25"),"15172425",B2670))),IF(U2670="CEBAS","UNICO",IF(VALUE(B2670)&lt;=11,"AMBA","INTERIOR"))))</f>
        <v>R06</v>
      </c>
      <c r="W2670" s="38" t="str">
        <f>+IF(U2670="","-",CONCATENATE(U2670,"_",V2670))</f>
        <v>FINES_R06</v>
      </c>
      <c r="X2670" s="42">
        <v>0.749</v>
      </c>
    </row>
    <row r="2671" spans="1:24">
      <c r="A2671" s="21" t="s">
        <v>5100</v>
      </c>
      <c r="B2671" t="s">
        <v>1257</v>
      </c>
      <c r="C2671" t="s">
        <v>2213</v>
      </c>
      <c r="D2671" t="s">
        <v>2214</v>
      </c>
      <c r="E2671" s="7" t="s">
        <v>198</v>
      </c>
      <c r="F2671" s="7" t="s">
        <v>198</v>
      </c>
      <c r="G2671" s="7" t="s">
        <v>198</v>
      </c>
      <c r="H2671" s="7" t="s">
        <v>20</v>
      </c>
      <c r="I2671" s="7" t="s">
        <v>5102</v>
      </c>
      <c r="J2671" s="7" t="s">
        <v>21</v>
      </c>
      <c r="L2671" t="s">
        <v>3937</v>
      </c>
      <c r="M2671" s="7" t="s">
        <v>22</v>
      </c>
      <c r="N2671" s="7" t="s">
        <v>23</v>
      </c>
      <c r="O2671" s="7" t="s">
        <v>27</v>
      </c>
      <c r="P2671" s="7" t="s">
        <v>5101</v>
      </c>
      <c r="Q2671" s="26">
        <v>0</v>
      </c>
      <c r="R2671" s="26">
        <v>1</v>
      </c>
      <c r="S2671" s="40">
        <v>1</v>
      </c>
      <c r="T2671" s="7"/>
      <c r="U2671" s="7" t="s">
        <v>2951</v>
      </c>
      <c r="V2671" s="7" t="str">
        <f>+IF(U2671="","",IF(U2671="FINES",CONCATENATE("R",IF(OR(B2671="16",B2671="21",B2671="22",B2671="23"),"16212223",IF(OR(B2671="15",B2671="17",B2671="24",B2671="25"),"15172425",B2671))),IF(U2671="CEBAS","UNICO",IF(VALUE(B2671)&lt;=11,"AMBA","INTERIOR"))))</f>
        <v>R06</v>
      </c>
      <c r="W2671" s="38" t="str">
        <f>+IF(U2671="","-",CONCATENATE(U2671,"_",V2671))</f>
        <v>FINES_R06</v>
      </c>
      <c r="X2671" s="42">
        <v>0.75</v>
      </c>
    </row>
    <row r="2672" spans="1:24">
      <c r="A2672" s="21" t="s">
        <v>5100</v>
      </c>
      <c r="B2672" t="s">
        <v>1257</v>
      </c>
      <c r="C2672" t="s">
        <v>2237</v>
      </c>
      <c r="D2672" t="s">
        <v>2238</v>
      </c>
      <c r="E2672" s="7" t="s">
        <v>198</v>
      </c>
      <c r="F2672" s="7" t="s">
        <v>198</v>
      </c>
      <c r="G2672" s="7" t="s">
        <v>198</v>
      </c>
      <c r="H2672" s="7" t="s">
        <v>20</v>
      </c>
      <c r="I2672" s="7" t="s">
        <v>5102</v>
      </c>
      <c r="J2672" s="7" t="s">
        <v>21</v>
      </c>
      <c r="L2672" t="s">
        <v>3951</v>
      </c>
      <c r="M2672" s="7" t="s">
        <v>22</v>
      </c>
      <c r="N2672" s="7" t="s">
        <v>23</v>
      </c>
      <c r="O2672" s="7" t="s">
        <v>27</v>
      </c>
      <c r="P2672" s="7" t="s">
        <v>5101</v>
      </c>
      <c r="Q2672" s="26">
        <v>15</v>
      </c>
      <c r="R2672" s="26">
        <v>1</v>
      </c>
      <c r="S2672" s="40">
        <v>1</v>
      </c>
      <c r="T2672" s="7"/>
      <c r="U2672" s="7" t="s">
        <v>2951</v>
      </c>
      <c r="V2672" s="7" t="str">
        <f>+IF(U2672="","",IF(U2672="FINES",CONCATENATE("R",IF(OR(B2672="16",B2672="21",B2672="22",B2672="23"),"16212223",IF(OR(B2672="15",B2672="17",B2672="24",B2672="25"),"15172425",B2672))),IF(U2672="CEBAS","UNICO",IF(VALUE(B2672)&lt;=11,"AMBA","INTERIOR"))))</f>
        <v>R06</v>
      </c>
      <c r="W2672" s="38" t="str">
        <f>+IF(U2672="","-",CONCATENATE(U2672,"_",V2672))</f>
        <v>FINES_R06</v>
      </c>
      <c r="X2672" s="42">
        <v>0.754</v>
      </c>
    </row>
    <row r="2673" spans="1:24">
      <c r="A2673" s="21" t="s">
        <v>5100</v>
      </c>
      <c r="B2673" t="s">
        <v>1257</v>
      </c>
      <c r="C2673" t="s">
        <v>519</v>
      </c>
      <c r="D2673" t="s">
        <v>2470</v>
      </c>
      <c r="E2673" s="7" t="s">
        <v>198</v>
      </c>
      <c r="F2673" s="7" t="s">
        <v>198</v>
      </c>
      <c r="G2673" s="7" t="s">
        <v>198</v>
      </c>
      <c r="H2673" s="7" t="s">
        <v>20</v>
      </c>
      <c r="I2673" s="7" t="s">
        <v>5102</v>
      </c>
      <c r="J2673" s="7" t="s">
        <v>21</v>
      </c>
      <c r="L2673" t="s">
        <v>3982</v>
      </c>
      <c r="M2673" s="7" t="s">
        <v>22</v>
      </c>
      <c r="N2673" s="7" t="s">
        <v>23</v>
      </c>
      <c r="O2673" s="7" t="s">
        <v>27</v>
      </c>
      <c r="P2673" s="7" t="s">
        <v>5101</v>
      </c>
      <c r="Q2673" s="26">
        <v>66</v>
      </c>
      <c r="R2673" s="26">
        <v>3</v>
      </c>
      <c r="S2673" s="40">
        <v>1</v>
      </c>
      <c r="T2673" s="7"/>
      <c r="U2673" s="7" t="s">
        <v>2951</v>
      </c>
      <c r="V2673" s="7" t="str">
        <f>+IF(U2673="","",IF(U2673="FINES",CONCATENATE("R",IF(OR(B2673="16",B2673="21",B2673="22",B2673="23"),"16212223",IF(OR(B2673="15",B2673="17",B2673="24",B2673="25"),"15172425",B2673))),IF(U2673="CEBAS","UNICO",IF(VALUE(B2673)&lt;=11,"AMBA","INTERIOR"))))</f>
        <v>R06</v>
      </c>
      <c r="W2673" s="38" t="str">
        <f>+IF(U2673="","-",CONCATENATE(U2673,"_",V2673))</f>
        <v>FINES_R06</v>
      </c>
      <c r="X2673" s="42">
        <v>0.80800000000000005</v>
      </c>
    </row>
    <row r="2674" spans="1:24">
      <c r="A2674" s="21" t="s">
        <v>5100</v>
      </c>
      <c r="B2674" t="s">
        <v>1257</v>
      </c>
      <c r="C2674" t="s">
        <v>2237</v>
      </c>
      <c r="D2674" t="s">
        <v>2238</v>
      </c>
      <c r="E2674" s="7" t="s">
        <v>198</v>
      </c>
      <c r="F2674" s="7" t="s">
        <v>198</v>
      </c>
      <c r="G2674" s="7" t="s">
        <v>198</v>
      </c>
      <c r="H2674" s="7" t="s">
        <v>20</v>
      </c>
      <c r="I2674" s="7" t="s">
        <v>5102</v>
      </c>
      <c r="J2674" s="7" t="s">
        <v>21</v>
      </c>
      <c r="L2674" t="s">
        <v>3947</v>
      </c>
      <c r="M2674" s="7" t="s">
        <v>22</v>
      </c>
      <c r="N2674" s="7" t="s">
        <v>23</v>
      </c>
      <c r="O2674" s="7" t="s">
        <v>27</v>
      </c>
      <c r="P2674" s="7" t="s">
        <v>5101</v>
      </c>
      <c r="Q2674" s="26">
        <v>38</v>
      </c>
      <c r="R2674" s="26">
        <v>3</v>
      </c>
      <c r="S2674" s="40">
        <v>1</v>
      </c>
      <c r="T2674" s="7"/>
      <c r="U2674" s="7" t="s">
        <v>2951</v>
      </c>
      <c r="V2674" s="7" t="str">
        <f>+IF(U2674="","",IF(U2674="FINES",CONCATENATE("R",IF(OR(B2674="16",B2674="21",B2674="22",B2674="23"),"16212223",IF(OR(B2674="15",B2674="17",B2674="24",B2674="25"),"15172425",B2674))),IF(U2674="CEBAS","UNICO",IF(VALUE(B2674)&lt;=11,"AMBA","INTERIOR"))))</f>
        <v>R06</v>
      </c>
      <c r="W2674" s="38" t="str">
        <f>+IF(U2674="","-",CONCATENATE(U2674,"_",V2674))</f>
        <v>FINES_R06</v>
      </c>
      <c r="X2674" s="42">
        <v>0.82899999999999996</v>
      </c>
    </row>
    <row r="2675" spans="1:24">
      <c r="A2675" s="21" t="s">
        <v>5100</v>
      </c>
      <c r="B2675" t="s">
        <v>1257</v>
      </c>
      <c r="C2675" t="s">
        <v>1255</v>
      </c>
      <c r="D2675" t="s">
        <v>1256</v>
      </c>
      <c r="E2675" s="7" t="s">
        <v>198</v>
      </c>
      <c r="F2675" s="7" t="s">
        <v>198</v>
      </c>
      <c r="G2675" s="7" t="s">
        <v>198</v>
      </c>
      <c r="H2675" s="7" t="s">
        <v>20</v>
      </c>
      <c r="I2675" s="7" t="s">
        <v>5102</v>
      </c>
      <c r="J2675" s="7" t="s">
        <v>21</v>
      </c>
      <c r="L2675" t="s">
        <v>3963</v>
      </c>
      <c r="M2675" s="7" t="s">
        <v>22</v>
      </c>
      <c r="N2675" s="7" t="s">
        <v>23</v>
      </c>
      <c r="O2675" s="7" t="s">
        <v>27</v>
      </c>
      <c r="P2675" s="7" t="s">
        <v>5101</v>
      </c>
      <c r="Q2675" s="26">
        <v>0</v>
      </c>
      <c r="R2675" s="26">
        <v>2</v>
      </c>
      <c r="S2675" s="40">
        <v>1</v>
      </c>
      <c r="T2675" s="7"/>
      <c r="U2675" s="7" t="s">
        <v>2951</v>
      </c>
      <c r="V2675" s="7" t="str">
        <f>+IF(U2675="","",IF(U2675="FINES",CONCATENATE("R",IF(OR(B2675="16",B2675="21",B2675="22",B2675="23"),"16212223",IF(OR(B2675="15",B2675="17",B2675="24",B2675="25"),"15172425",B2675))),IF(U2675="CEBAS","UNICO",IF(VALUE(B2675)&lt;=11,"AMBA","INTERIOR"))))</f>
        <v>R06</v>
      </c>
      <c r="W2675" s="38" t="str">
        <f>+IF(U2675="","-",CONCATENATE(U2675,"_",V2675))</f>
        <v>FINES_R06</v>
      </c>
      <c r="X2675" s="42">
        <v>0.84</v>
      </c>
    </row>
    <row r="2676" spans="1:24">
      <c r="A2676" s="21" t="s">
        <v>5100</v>
      </c>
      <c r="B2676" t="s">
        <v>1257</v>
      </c>
      <c r="C2676" t="s">
        <v>1255</v>
      </c>
      <c r="D2676" t="s">
        <v>1256</v>
      </c>
      <c r="E2676" s="7" t="s">
        <v>198</v>
      </c>
      <c r="F2676" s="7" t="s">
        <v>198</v>
      </c>
      <c r="G2676" s="7" t="s">
        <v>198</v>
      </c>
      <c r="H2676" s="7" t="s">
        <v>20</v>
      </c>
      <c r="I2676" s="7" t="s">
        <v>5102</v>
      </c>
      <c r="J2676" s="7" t="s">
        <v>21</v>
      </c>
      <c r="L2676" t="s">
        <v>3965</v>
      </c>
      <c r="M2676" s="7" t="s">
        <v>22</v>
      </c>
      <c r="N2676" s="7" t="s">
        <v>23</v>
      </c>
      <c r="O2676" s="7" t="s">
        <v>27</v>
      </c>
      <c r="P2676" s="7" t="s">
        <v>5101</v>
      </c>
      <c r="Q2676" s="26">
        <v>17</v>
      </c>
      <c r="R2676" s="26">
        <v>1</v>
      </c>
      <c r="S2676" s="40">
        <v>1</v>
      </c>
      <c r="T2676" s="7"/>
      <c r="U2676" s="7" t="s">
        <v>2951</v>
      </c>
      <c r="V2676" s="7" t="str">
        <f>+IF(U2676="","",IF(U2676="FINES",CONCATENATE("R",IF(OR(B2676="16",B2676="21",B2676="22",B2676="23"),"16212223",IF(OR(B2676="15",B2676="17",B2676="24",B2676="25"),"15172425",B2676))),IF(U2676="CEBAS","UNICO",IF(VALUE(B2676)&lt;=11,"AMBA","INTERIOR"))))</f>
        <v>R06</v>
      </c>
      <c r="W2676" s="38" t="str">
        <f>+IF(U2676="","-",CONCATENATE(U2676,"_",V2676))</f>
        <v>FINES_R06</v>
      </c>
      <c r="X2676" s="42">
        <v>0.85</v>
      </c>
    </row>
    <row r="2677" spans="1:24">
      <c r="A2677" s="21" t="s">
        <v>5100</v>
      </c>
      <c r="B2677" t="s">
        <v>1257</v>
      </c>
      <c r="C2677" t="s">
        <v>519</v>
      </c>
      <c r="D2677" t="s">
        <v>2470</v>
      </c>
      <c r="E2677" s="7" t="s">
        <v>198</v>
      </c>
      <c r="F2677" s="7" t="s">
        <v>198</v>
      </c>
      <c r="G2677" s="7" t="s">
        <v>198</v>
      </c>
      <c r="H2677" s="7" t="s">
        <v>20</v>
      </c>
      <c r="I2677" s="7" t="s">
        <v>5102</v>
      </c>
      <c r="J2677" s="7" t="s">
        <v>21</v>
      </c>
      <c r="L2677" t="s">
        <v>2490</v>
      </c>
      <c r="M2677" s="7" t="s">
        <v>22</v>
      </c>
      <c r="N2677" s="7" t="s">
        <v>23</v>
      </c>
      <c r="O2677" s="7" t="s">
        <v>27</v>
      </c>
      <c r="P2677" s="7" t="s">
        <v>5101</v>
      </c>
      <c r="Q2677" s="26">
        <v>73</v>
      </c>
      <c r="R2677" s="26">
        <v>3</v>
      </c>
      <c r="S2677" s="40">
        <v>1</v>
      </c>
      <c r="T2677" s="7"/>
      <c r="U2677" s="7" t="s">
        <v>2951</v>
      </c>
      <c r="V2677" s="7" t="str">
        <f>+IF(U2677="","",IF(U2677="FINES",CONCATENATE("R",IF(OR(B2677="16",B2677="21",B2677="22",B2677="23"),"16212223",IF(OR(B2677="15",B2677="17",B2677="24",B2677="25"),"15172425",B2677))),IF(U2677="CEBAS","UNICO",IF(VALUE(B2677)&lt;=11,"AMBA","INTERIOR"))))</f>
        <v>R06</v>
      </c>
      <c r="W2677" s="38" t="str">
        <f>+IF(U2677="","-",CONCATENATE(U2677,"_",V2677))</f>
        <v>FINES_R06</v>
      </c>
      <c r="X2677" s="42">
        <v>0.86199999999999999</v>
      </c>
    </row>
    <row r="2678" spans="1:24">
      <c r="A2678" s="21" t="s">
        <v>5100</v>
      </c>
      <c r="B2678" t="s">
        <v>1257</v>
      </c>
      <c r="C2678" t="s">
        <v>2237</v>
      </c>
      <c r="D2678" t="s">
        <v>2238</v>
      </c>
      <c r="E2678" s="7" t="s">
        <v>198</v>
      </c>
      <c r="F2678" s="7" t="s">
        <v>198</v>
      </c>
      <c r="G2678" s="7" t="s">
        <v>198</v>
      </c>
      <c r="H2678" s="7" t="s">
        <v>20</v>
      </c>
      <c r="I2678" s="7" t="s">
        <v>5102</v>
      </c>
      <c r="J2678" s="7" t="s">
        <v>21</v>
      </c>
      <c r="L2678" t="s">
        <v>3952</v>
      </c>
      <c r="M2678" s="7" t="s">
        <v>22</v>
      </c>
      <c r="N2678" s="7" t="s">
        <v>23</v>
      </c>
      <c r="O2678" s="7" t="s">
        <v>27</v>
      </c>
      <c r="P2678" s="7" t="s">
        <v>5101</v>
      </c>
      <c r="Q2678" s="26">
        <v>23</v>
      </c>
      <c r="R2678" s="26">
        <v>1</v>
      </c>
      <c r="S2678" s="40">
        <v>1</v>
      </c>
      <c r="T2678" s="7"/>
      <c r="U2678" s="7" t="s">
        <v>2951</v>
      </c>
      <c r="V2678" s="7" t="str">
        <f>+IF(U2678="","",IF(U2678="FINES",CONCATENATE("R",IF(OR(B2678="16",B2678="21",B2678="22",B2678="23"),"16212223",IF(OR(B2678="15",B2678="17",B2678="24",B2678="25"),"15172425",B2678))),IF(U2678="CEBAS","UNICO",IF(VALUE(B2678)&lt;=11,"AMBA","INTERIOR"))))</f>
        <v>R06</v>
      </c>
      <c r="W2678" s="38" t="str">
        <f>+IF(U2678="","-",CONCATENATE(U2678,"_",V2678))</f>
        <v>FINES_R06</v>
      </c>
      <c r="X2678" s="42">
        <v>0.879</v>
      </c>
    </row>
    <row r="2679" spans="1:24">
      <c r="A2679" s="21" t="s">
        <v>5100</v>
      </c>
      <c r="B2679" t="s">
        <v>1257</v>
      </c>
      <c r="C2679" t="s">
        <v>519</v>
      </c>
      <c r="D2679" t="s">
        <v>2470</v>
      </c>
      <c r="E2679" s="7" t="s">
        <v>198</v>
      </c>
      <c r="F2679" s="7" t="s">
        <v>198</v>
      </c>
      <c r="G2679" s="7" t="s">
        <v>198</v>
      </c>
      <c r="H2679" s="7" t="s">
        <v>20</v>
      </c>
      <c r="I2679" s="7" t="s">
        <v>5102</v>
      </c>
      <c r="J2679" s="7" t="s">
        <v>21</v>
      </c>
      <c r="L2679" t="s">
        <v>3978</v>
      </c>
      <c r="M2679" s="7" t="s">
        <v>22</v>
      </c>
      <c r="N2679" s="7" t="s">
        <v>23</v>
      </c>
      <c r="O2679" s="7" t="s">
        <v>27</v>
      </c>
      <c r="P2679" s="7" t="s">
        <v>5101</v>
      </c>
      <c r="Q2679" s="26">
        <v>42</v>
      </c>
      <c r="R2679" s="26">
        <v>2</v>
      </c>
      <c r="S2679" s="40">
        <v>1</v>
      </c>
      <c r="T2679" s="7"/>
      <c r="U2679" s="7" t="s">
        <v>2951</v>
      </c>
      <c r="V2679" s="7" t="str">
        <f>+IF(U2679="","",IF(U2679="FINES",CONCATENATE("R",IF(OR(B2679="16",B2679="21",B2679="22",B2679="23"),"16212223",IF(OR(B2679="15",B2679="17",B2679="24",B2679="25"),"15172425",B2679))),IF(U2679="CEBAS","UNICO",IF(VALUE(B2679)&lt;=11,"AMBA","INTERIOR"))))</f>
        <v>R06</v>
      </c>
      <c r="W2679" s="38" t="str">
        <f>+IF(U2679="","-",CONCATENATE(U2679,"_",V2679))</f>
        <v>FINES_R06</v>
      </c>
      <c r="X2679" s="42">
        <v>0.94699999999999995</v>
      </c>
    </row>
    <row r="2680" spans="1:24">
      <c r="A2680" s="21" t="s">
        <v>5100</v>
      </c>
      <c r="B2680" t="s">
        <v>1257</v>
      </c>
      <c r="C2680" t="s">
        <v>2213</v>
      </c>
      <c r="D2680" t="s">
        <v>2214</v>
      </c>
      <c r="E2680" s="7" t="s">
        <v>198</v>
      </c>
      <c r="F2680" s="7" t="s">
        <v>198</v>
      </c>
      <c r="G2680" s="7" t="s">
        <v>198</v>
      </c>
      <c r="H2680" s="7" t="s">
        <v>20</v>
      </c>
      <c r="I2680" s="7" t="s">
        <v>5102</v>
      </c>
      <c r="J2680" s="7" t="s">
        <v>21</v>
      </c>
      <c r="L2680" t="s">
        <v>3934</v>
      </c>
      <c r="M2680" s="7" t="s">
        <v>22</v>
      </c>
      <c r="N2680" s="7" t="s">
        <v>23</v>
      </c>
      <c r="O2680" s="7" t="s">
        <v>27</v>
      </c>
      <c r="P2680" s="7" t="s">
        <v>5101</v>
      </c>
      <c r="Q2680" s="26">
        <v>4</v>
      </c>
      <c r="R2680" s="26">
        <v>1</v>
      </c>
      <c r="S2680" s="40">
        <v>1</v>
      </c>
      <c r="T2680" s="7"/>
      <c r="U2680" s="7" t="s">
        <v>2951</v>
      </c>
      <c r="V2680" s="7" t="str">
        <f>+IF(U2680="","",IF(U2680="FINES",CONCATENATE("R",IF(OR(B2680="16",B2680="21",B2680="22",B2680="23"),"16212223",IF(OR(B2680="15",B2680="17",B2680="24",B2680="25"),"15172425",B2680))),IF(U2680="CEBAS","UNICO",IF(VALUE(B2680)&lt;=11,"AMBA","INTERIOR"))))</f>
        <v>R06</v>
      </c>
      <c r="W2680" s="38" t="str">
        <f>+IF(U2680="","-",CONCATENATE(U2680,"_",V2680))</f>
        <v>FINES_R06</v>
      </c>
      <c r="X2680" s="42">
        <v>0.95299999999999996</v>
      </c>
    </row>
    <row r="2681" spans="1:24">
      <c r="A2681" s="21" t="s">
        <v>5100</v>
      </c>
      <c r="B2681" t="s">
        <v>1257</v>
      </c>
      <c r="C2681" t="s">
        <v>1255</v>
      </c>
      <c r="D2681" t="s">
        <v>1256</v>
      </c>
      <c r="E2681" s="7" t="s">
        <v>198</v>
      </c>
      <c r="F2681" s="7" t="s">
        <v>198</v>
      </c>
      <c r="G2681" s="7" t="s">
        <v>198</v>
      </c>
      <c r="H2681" s="7" t="s">
        <v>20</v>
      </c>
      <c r="I2681" s="7" t="s">
        <v>5102</v>
      </c>
      <c r="J2681" s="7" t="s">
        <v>21</v>
      </c>
      <c r="L2681" t="s">
        <v>3958</v>
      </c>
      <c r="M2681" s="7" t="s">
        <v>22</v>
      </c>
      <c r="N2681" s="7" t="s">
        <v>23</v>
      </c>
      <c r="O2681" s="7" t="s">
        <v>27</v>
      </c>
      <c r="P2681" s="7" t="s">
        <v>5101</v>
      </c>
      <c r="Q2681" s="26">
        <v>62</v>
      </c>
      <c r="R2681" s="26">
        <v>3</v>
      </c>
      <c r="S2681" s="40">
        <v>1</v>
      </c>
      <c r="T2681" s="7"/>
      <c r="U2681" s="7" t="s">
        <v>2951</v>
      </c>
      <c r="V2681" s="7" t="str">
        <f>+IF(U2681="","",IF(U2681="FINES",CONCATENATE("R",IF(OR(B2681="16",B2681="21",B2681="22",B2681="23"),"16212223",IF(OR(B2681="15",B2681="17",B2681="24",B2681="25"),"15172425",B2681))),IF(U2681="CEBAS","UNICO",IF(VALUE(B2681)&lt;=11,"AMBA","INTERIOR"))))</f>
        <v>R06</v>
      </c>
      <c r="W2681" s="38" t="str">
        <f>+IF(U2681="","-",CONCATENATE(U2681,"_",V2681))</f>
        <v>FINES_R06</v>
      </c>
      <c r="X2681" s="42">
        <v>0.95899999999999996</v>
      </c>
    </row>
    <row r="2682" spans="1:24">
      <c r="A2682" s="21" t="s">
        <v>5100</v>
      </c>
      <c r="B2682" t="s">
        <v>1257</v>
      </c>
      <c r="C2682" t="s">
        <v>1255</v>
      </c>
      <c r="D2682" t="s">
        <v>1256</v>
      </c>
      <c r="E2682" s="7" t="s">
        <v>198</v>
      </c>
      <c r="F2682" s="7" t="s">
        <v>198</v>
      </c>
      <c r="G2682" s="7" t="s">
        <v>198</v>
      </c>
      <c r="H2682" s="7" t="s">
        <v>20</v>
      </c>
      <c r="I2682" s="7" t="s">
        <v>5102</v>
      </c>
      <c r="J2682" s="7" t="s">
        <v>21</v>
      </c>
      <c r="L2682" t="s">
        <v>3966</v>
      </c>
      <c r="M2682" s="7" t="s">
        <v>22</v>
      </c>
      <c r="N2682" s="7" t="s">
        <v>23</v>
      </c>
      <c r="O2682" s="7" t="s">
        <v>27</v>
      </c>
      <c r="P2682" s="7" t="s">
        <v>5101</v>
      </c>
      <c r="Q2682" s="26">
        <v>24</v>
      </c>
      <c r="R2682" s="26">
        <v>1</v>
      </c>
      <c r="S2682" s="40">
        <v>1</v>
      </c>
      <c r="T2682" s="7"/>
      <c r="U2682" s="7" t="s">
        <v>2951</v>
      </c>
      <c r="V2682" s="7" t="str">
        <f>+IF(U2682="","",IF(U2682="FINES",CONCATENATE("R",IF(OR(B2682="16",B2682="21",B2682="22",B2682="23"),"16212223",IF(OR(B2682="15",B2682="17",B2682="24",B2682="25"),"15172425",B2682))),IF(U2682="CEBAS","UNICO",IF(VALUE(B2682)&lt;=11,"AMBA","INTERIOR"))))</f>
        <v>R06</v>
      </c>
      <c r="W2682" s="38" t="str">
        <f>+IF(U2682="","-",CONCATENATE(U2682,"_",V2682))</f>
        <v>FINES_R06</v>
      </c>
      <c r="X2682" s="42">
        <v>0.98</v>
      </c>
    </row>
    <row r="2683" spans="1:24">
      <c r="A2683" s="21" t="s">
        <v>5100</v>
      </c>
      <c r="B2683" t="s">
        <v>1257</v>
      </c>
      <c r="C2683" t="s">
        <v>1255</v>
      </c>
      <c r="D2683" t="s">
        <v>1256</v>
      </c>
      <c r="E2683" s="7" t="s">
        <v>198</v>
      </c>
      <c r="F2683" s="7" t="s">
        <v>198</v>
      </c>
      <c r="G2683" s="7" t="s">
        <v>198</v>
      </c>
      <c r="H2683" s="7" t="s">
        <v>20</v>
      </c>
      <c r="I2683" s="7" t="s">
        <v>5102</v>
      </c>
      <c r="J2683" s="7" t="s">
        <v>21</v>
      </c>
      <c r="L2683" t="s">
        <v>3967</v>
      </c>
      <c r="M2683" s="7" t="s">
        <v>22</v>
      </c>
      <c r="N2683" s="7" t="s">
        <v>23</v>
      </c>
      <c r="O2683" s="7" t="s">
        <v>27</v>
      </c>
      <c r="P2683" s="7" t="s">
        <v>5101</v>
      </c>
      <c r="Q2683" s="26">
        <v>10</v>
      </c>
      <c r="R2683" s="26">
        <v>2</v>
      </c>
      <c r="S2683" s="40">
        <v>1</v>
      </c>
      <c r="T2683" s="7"/>
      <c r="U2683" s="7" t="s">
        <v>2951</v>
      </c>
      <c r="V2683" s="7" t="str">
        <f>+IF(U2683="","",IF(U2683="FINES",CONCATENATE("R",IF(OR(B2683="16",B2683="21",B2683="22",B2683="23"),"16212223",IF(OR(B2683="15",B2683="17",B2683="24",B2683="25"),"15172425",B2683))),IF(U2683="CEBAS","UNICO",IF(VALUE(B2683)&lt;=11,"AMBA","INTERIOR"))))</f>
        <v>R06</v>
      </c>
      <c r="W2683" s="38" t="str">
        <f>+IF(U2683="","-",CONCATENATE(U2683,"_",V2683))</f>
        <v>FINES_R06</v>
      </c>
      <c r="X2683" s="42">
        <v>0.99299999999999999</v>
      </c>
    </row>
    <row r="2684" spans="1:24">
      <c r="A2684" s="21" t="s">
        <v>5100</v>
      </c>
      <c r="B2684" t="s">
        <v>204</v>
      </c>
      <c r="C2684" t="s">
        <v>1084</v>
      </c>
      <c r="D2684" t="s">
        <v>1085</v>
      </c>
      <c r="E2684" s="7" t="s">
        <v>198</v>
      </c>
      <c r="F2684" s="7" t="s">
        <v>198</v>
      </c>
      <c r="G2684" s="7" t="s">
        <v>198</v>
      </c>
      <c r="H2684" s="7" t="s">
        <v>20</v>
      </c>
      <c r="I2684" s="7" t="s">
        <v>5102</v>
      </c>
      <c r="J2684" s="7" t="s">
        <v>21</v>
      </c>
      <c r="L2684" t="s">
        <v>4014</v>
      </c>
      <c r="M2684" s="7" t="s">
        <v>22</v>
      </c>
      <c r="N2684" s="7" t="s">
        <v>23</v>
      </c>
      <c r="O2684" s="7" t="s">
        <v>27</v>
      </c>
      <c r="P2684" s="7" t="s">
        <v>5101</v>
      </c>
      <c r="Q2684" s="26">
        <v>0</v>
      </c>
      <c r="R2684" s="26">
        <v>1</v>
      </c>
      <c r="S2684" s="40">
        <v>1</v>
      </c>
      <c r="T2684" s="7"/>
      <c r="U2684" s="7" t="s">
        <v>2951</v>
      </c>
      <c r="V2684" s="7" t="str">
        <f>+IF(U2684="","",IF(U2684="FINES",CONCATENATE("R",IF(OR(B2684="16",B2684="21",B2684="22",B2684="23"),"16212223",IF(OR(B2684="15",B2684="17",B2684="24",B2684="25"),"15172425",B2684))),IF(U2684="CEBAS","UNICO",IF(VALUE(B2684)&lt;=11,"AMBA","INTERIOR"))))</f>
        <v>R07</v>
      </c>
      <c r="W2684" s="38" t="str">
        <f>+IF(U2684="","-",CONCATENATE(U2684,"_",V2684))</f>
        <v>FINES_R07</v>
      </c>
      <c r="X2684" s="42">
        <v>2.5999999999999999E-2</v>
      </c>
    </row>
    <row r="2685" spans="1:24">
      <c r="A2685" s="21" t="s">
        <v>5100</v>
      </c>
      <c r="B2685" t="s">
        <v>204</v>
      </c>
      <c r="C2685" t="s">
        <v>137</v>
      </c>
      <c r="D2685" t="s">
        <v>2629</v>
      </c>
      <c r="E2685" s="7" t="s">
        <v>198</v>
      </c>
      <c r="F2685" s="7" t="s">
        <v>198</v>
      </c>
      <c r="G2685" s="7" t="s">
        <v>198</v>
      </c>
      <c r="H2685" s="7" t="s">
        <v>20</v>
      </c>
      <c r="I2685" s="7" t="s">
        <v>5102</v>
      </c>
      <c r="J2685" s="7" t="s">
        <v>21</v>
      </c>
      <c r="L2685" t="s">
        <v>4064</v>
      </c>
      <c r="M2685" s="7" t="s">
        <v>22</v>
      </c>
      <c r="N2685" s="7" t="s">
        <v>23</v>
      </c>
      <c r="O2685" s="7" t="s">
        <v>27</v>
      </c>
      <c r="P2685" s="7" t="s">
        <v>5101</v>
      </c>
      <c r="Q2685" s="26">
        <v>0</v>
      </c>
      <c r="R2685" s="26">
        <v>1</v>
      </c>
      <c r="S2685" s="40">
        <v>1</v>
      </c>
      <c r="T2685" s="7"/>
      <c r="U2685" s="7" t="s">
        <v>2951</v>
      </c>
      <c r="V2685" s="7" t="str">
        <f>+IF(U2685="","",IF(U2685="FINES",CONCATENATE("R",IF(OR(B2685="16",B2685="21",B2685="22",B2685="23"),"16212223",IF(OR(B2685="15",B2685="17",B2685="24",B2685="25"),"15172425",B2685))),IF(U2685="CEBAS","UNICO",IF(VALUE(B2685)&lt;=11,"AMBA","INTERIOR"))))</f>
        <v>R07</v>
      </c>
      <c r="W2685" s="38" t="str">
        <f>+IF(U2685="","-",CONCATENATE(U2685,"_",V2685))</f>
        <v>FINES_R07</v>
      </c>
      <c r="X2685" s="42">
        <v>2.7E-2</v>
      </c>
    </row>
    <row r="2686" spans="1:24">
      <c r="A2686" s="21" t="s">
        <v>5100</v>
      </c>
      <c r="B2686" t="s">
        <v>204</v>
      </c>
      <c r="C2686" t="s">
        <v>1084</v>
      </c>
      <c r="D2686" t="s">
        <v>1085</v>
      </c>
      <c r="E2686" s="7" t="s">
        <v>198</v>
      </c>
      <c r="F2686" s="7" t="s">
        <v>198</v>
      </c>
      <c r="G2686" s="7" t="s">
        <v>198</v>
      </c>
      <c r="H2686" s="7" t="s">
        <v>20</v>
      </c>
      <c r="I2686" s="7" t="s">
        <v>5102</v>
      </c>
      <c r="J2686" s="7" t="s">
        <v>21</v>
      </c>
      <c r="L2686" t="s">
        <v>4007</v>
      </c>
      <c r="M2686" s="7" t="s">
        <v>22</v>
      </c>
      <c r="N2686" s="7" t="s">
        <v>23</v>
      </c>
      <c r="O2686" s="7" t="s">
        <v>27</v>
      </c>
      <c r="P2686" s="7" t="s">
        <v>5101</v>
      </c>
      <c r="Q2686" s="26">
        <v>10</v>
      </c>
      <c r="R2686" s="26">
        <v>1</v>
      </c>
      <c r="S2686" s="40">
        <v>1</v>
      </c>
      <c r="T2686" s="7"/>
      <c r="U2686" s="7" t="s">
        <v>2951</v>
      </c>
      <c r="V2686" s="7" t="str">
        <f>+IF(U2686="","",IF(U2686="FINES",CONCATENATE("R",IF(OR(B2686="16",B2686="21",B2686="22",B2686="23"),"16212223",IF(OR(B2686="15",B2686="17",B2686="24",B2686="25"),"15172425",B2686))),IF(U2686="CEBAS","UNICO",IF(VALUE(B2686)&lt;=11,"AMBA","INTERIOR"))))</f>
        <v>R07</v>
      </c>
      <c r="W2686" s="38" t="str">
        <f>+IF(U2686="","-",CONCATENATE(U2686,"_",V2686))</f>
        <v>FINES_R07</v>
      </c>
      <c r="X2686" s="42">
        <v>2.8000000000000001E-2</v>
      </c>
    </row>
    <row r="2687" spans="1:24">
      <c r="A2687" s="21" t="s">
        <v>5100</v>
      </c>
      <c r="B2687" t="s">
        <v>204</v>
      </c>
      <c r="C2687" t="s">
        <v>219</v>
      </c>
      <c r="D2687" t="s">
        <v>2865</v>
      </c>
      <c r="E2687" s="7" t="s">
        <v>198</v>
      </c>
      <c r="F2687" s="7" t="s">
        <v>198</v>
      </c>
      <c r="G2687" s="7" t="s">
        <v>198</v>
      </c>
      <c r="H2687" s="7" t="s">
        <v>20</v>
      </c>
      <c r="I2687" s="7" t="s">
        <v>5102</v>
      </c>
      <c r="J2687" s="7" t="s">
        <v>21</v>
      </c>
      <c r="L2687" t="s">
        <v>4034</v>
      </c>
      <c r="M2687" s="7" t="s">
        <v>22</v>
      </c>
      <c r="N2687" s="7" t="s">
        <v>23</v>
      </c>
      <c r="O2687" s="7" t="s">
        <v>27</v>
      </c>
      <c r="P2687" s="7" t="s">
        <v>5101</v>
      </c>
      <c r="Q2687" s="26">
        <v>23</v>
      </c>
      <c r="R2687" s="26">
        <v>1</v>
      </c>
      <c r="S2687" s="40">
        <v>1</v>
      </c>
      <c r="T2687" s="7"/>
      <c r="U2687" s="7" t="s">
        <v>2951</v>
      </c>
      <c r="V2687" s="7" t="str">
        <f>+IF(U2687="","",IF(U2687="FINES",CONCATENATE("R",IF(OR(B2687="16",B2687="21",B2687="22",B2687="23"),"16212223",IF(OR(B2687="15",B2687="17",B2687="24",B2687="25"),"15172425",B2687))),IF(U2687="CEBAS","UNICO",IF(VALUE(B2687)&lt;=11,"AMBA","INTERIOR"))))</f>
        <v>R07</v>
      </c>
      <c r="W2687" s="38" t="str">
        <f>+IF(U2687="","-",CONCATENATE(U2687,"_",V2687))</f>
        <v>FINES_R07</v>
      </c>
      <c r="X2687" s="42">
        <v>3.5000000000000003E-2</v>
      </c>
    </row>
    <row r="2688" spans="1:24">
      <c r="A2688" s="21" t="s">
        <v>5100</v>
      </c>
      <c r="B2688" t="s">
        <v>204</v>
      </c>
      <c r="C2688" t="s">
        <v>219</v>
      </c>
      <c r="D2688" t="s">
        <v>2865</v>
      </c>
      <c r="E2688" s="7" t="s">
        <v>198</v>
      </c>
      <c r="F2688" s="7" t="s">
        <v>198</v>
      </c>
      <c r="G2688" s="7" t="s">
        <v>198</v>
      </c>
      <c r="H2688" s="7" t="s">
        <v>20</v>
      </c>
      <c r="I2688" s="7" t="s">
        <v>5102</v>
      </c>
      <c r="J2688" s="7" t="s">
        <v>21</v>
      </c>
      <c r="L2688" t="s">
        <v>4032</v>
      </c>
      <c r="M2688" s="7" t="s">
        <v>22</v>
      </c>
      <c r="N2688" s="7" t="s">
        <v>23</v>
      </c>
      <c r="O2688" s="7" t="s">
        <v>27</v>
      </c>
      <c r="P2688" s="7" t="s">
        <v>5101</v>
      </c>
      <c r="Q2688" s="26">
        <v>54</v>
      </c>
      <c r="R2688" s="26">
        <v>3</v>
      </c>
      <c r="S2688" s="40">
        <v>1</v>
      </c>
      <c r="T2688" s="7"/>
      <c r="U2688" s="7" t="s">
        <v>2951</v>
      </c>
      <c r="V2688" s="7" t="str">
        <f>+IF(U2688="","",IF(U2688="FINES",CONCATENATE("R",IF(OR(B2688="16",B2688="21",B2688="22",B2688="23"),"16212223",IF(OR(B2688="15",B2688="17",B2688="24",B2688="25"),"15172425",B2688))),IF(U2688="CEBAS","UNICO",IF(VALUE(B2688)&lt;=11,"AMBA","INTERIOR"))))</f>
        <v>R07</v>
      </c>
      <c r="W2688" s="38" t="str">
        <f>+IF(U2688="","-",CONCATENATE(U2688,"_",V2688))</f>
        <v>FINES_R07</v>
      </c>
      <c r="X2688" s="42">
        <v>7.4999999999999997E-2</v>
      </c>
    </row>
    <row r="2689" spans="1:24">
      <c r="A2689" s="21" t="s">
        <v>5100</v>
      </c>
      <c r="B2689" t="s">
        <v>204</v>
      </c>
      <c r="C2689" t="s">
        <v>137</v>
      </c>
      <c r="D2689" t="s">
        <v>2629</v>
      </c>
      <c r="E2689" s="7" t="s">
        <v>198</v>
      </c>
      <c r="F2689" s="7" t="s">
        <v>198</v>
      </c>
      <c r="G2689" s="7" t="s">
        <v>198</v>
      </c>
      <c r="H2689" s="7" t="s">
        <v>20</v>
      </c>
      <c r="I2689" s="7" t="s">
        <v>5102</v>
      </c>
      <c r="J2689" s="7" t="s">
        <v>21</v>
      </c>
      <c r="L2689" t="s">
        <v>4051</v>
      </c>
      <c r="M2689" s="7" t="s">
        <v>22</v>
      </c>
      <c r="N2689" s="7" t="s">
        <v>23</v>
      </c>
      <c r="O2689" s="7" t="s">
        <v>27</v>
      </c>
      <c r="P2689" s="7" t="s">
        <v>5101</v>
      </c>
      <c r="Q2689" s="26">
        <v>21</v>
      </c>
      <c r="R2689" s="26">
        <v>1</v>
      </c>
      <c r="S2689" s="40">
        <v>1</v>
      </c>
      <c r="T2689" s="7"/>
      <c r="U2689" s="7" t="s">
        <v>2951</v>
      </c>
      <c r="V2689" s="7" t="str">
        <f>+IF(U2689="","",IF(U2689="FINES",CONCATENATE("R",IF(OR(B2689="16",B2689="21",B2689="22",B2689="23"),"16212223",IF(OR(B2689="15",B2689="17",B2689="24",B2689="25"),"15172425",B2689))),IF(U2689="CEBAS","UNICO",IF(VALUE(B2689)&lt;=11,"AMBA","INTERIOR"))))</f>
        <v>R07</v>
      </c>
      <c r="W2689" s="38" t="str">
        <f>+IF(U2689="","-",CONCATENATE(U2689,"_",V2689))</f>
        <v>FINES_R07</v>
      </c>
      <c r="X2689" s="42">
        <v>7.8E-2</v>
      </c>
    </row>
    <row r="2690" spans="1:24">
      <c r="A2690" s="21" t="s">
        <v>5100</v>
      </c>
      <c r="B2690" t="s">
        <v>204</v>
      </c>
      <c r="C2690" t="s">
        <v>1084</v>
      </c>
      <c r="D2690" t="s">
        <v>1085</v>
      </c>
      <c r="E2690" s="7" t="s">
        <v>198</v>
      </c>
      <c r="F2690" s="7" t="s">
        <v>198</v>
      </c>
      <c r="G2690" s="7" t="s">
        <v>198</v>
      </c>
      <c r="H2690" s="7" t="s">
        <v>20</v>
      </c>
      <c r="I2690" s="7" t="s">
        <v>5102</v>
      </c>
      <c r="J2690" s="7" t="s">
        <v>21</v>
      </c>
      <c r="L2690" t="s">
        <v>4008</v>
      </c>
      <c r="M2690" s="7" t="s">
        <v>22</v>
      </c>
      <c r="N2690" s="7" t="s">
        <v>23</v>
      </c>
      <c r="O2690" s="7" t="s">
        <v>27</v>
      </c>
      <c r="P2690" s="7" t="s">
        <v>5101</v>
      </c>
      <c r="Q2690" s="26">
        <v>0</v>
      </c>
      <c r="R2690" s="26">
        <v>1</v>
      </c>
      <c r="S2690" s="40">
        <v>1</v>
      </c>
      <c r="T2690" s="7"/>
      <c r="U2690" s="7" t="s">
        <v>2951</v>
      </c>
      <c r="V2690" s="7" t="str">
        <f>+IF(U2690="","",IF(U2690="FINES",CONCATENATE("R",IF(OR(B2690="16",B2690="21",B2690="22",B2690="23"),"16212223",IF(OR(B2690="15",B2690="17",B2690="24",B2690="25"),"15172425",B2690))),IF(U2690="CEBAS","UNICO",IF(VALUE(B2690)&lt;=11,"AMBA","INTERIOR"))))</f>
        <v>R07</v>
      </c>
      <c r="W2690" s="38" t="str">
        <f>+IF(U2690="","-",CONCATENATE(U2690,"_",V2690))</f>
        <v>FINES_R07</v>
      </c>
      <c r="X2690" s="42">
        <v>8.1000000000000003E-2</v>
      </c>
    </row>
    <row r="2691" spans="1:24">
      <c r="A2691" s="21" t="s">
        <v>5100</v>
      </c>
      <c r="B2691" t="s">
        <v>204</v>
      </c>
      <c r="C2691" t="s">
        <v>137</v>
      </c>
      <c r="D2691" t="s">
        <v>2629</v>
      </c>
      <c r="E2691" s="7" t="s">
        <v>198</v>
      </c>
      <c r="F2691" s="7" t="s">
        <v>198</v>
      </c>
      <c r="G2691" s="7" t="s">
        <v>198</v>
      </c>
      <c r="H2691" s="7" t="s">
        <v>20</v>
      </c>
      <c r="I2691" s="7" t="s">
        <v>5102</v>
      </c>
      <c r="J2691" s="7" t="s">
        <v>21</v>
      </c>
      <c r="L2691" t="s">
        <v>4063</v>
      </c>
      <c r="M2691" s="7" t="s">
        <v>22</v>
      </c>
      <c r="N2691" s="7" t="s">
        <v>23</v>
      </c>
      <c r="O2691" s="7" t="s">
        <v>27</v>
      </c>
      <c r="P2691" s="7" t="s">
        <v>5101</v>
      </c>
      <c r="Q2691" s="26">
        <v>51</v>
      </c>
      <c r="R2691" s="26">
        <v>2</v>
      </c>
      <c r="S2691" s="40">
        <v>1</v>
      </c>
      <c r="T2691" s="7"/>
      <c r="U2691" s="7" t="s">
        <v>2951</v>
      </c>
      <c r="V2691" s="7" t="str">
        <f>+IF(U2691="","",IF(U2691="FINES",CONCATENATE("R",IF(OR(B2691="16",B2691="21",B2691="22",B2691="23"),"16212223",IF(OR(B2691="15",B2691="17",B2691="24",B2691="25"),"15172425",B2691))),IF(U2691="CEBAS","UNICO",IF(VALUE(B2691)&lt;=11,"AMBA","INTERIOR"))))</f>
        <v>R07</v>
      </c>
      <c r="W2691" s="38" t="str">
        <f>+IF(U2691="","-",CONCATENATE(U2691,"_",V2691))</f>
        <v>FINES_R07</v>
      </c>
      <c r="X2691" s="42">
        <v>8.6999999999999994E-2</v>
      </c>
    </row>
    <row r="2692" spans="1:24">
      <c r="A2692" s="21" t="s">
        <v>5100</v>
      </c>
      <c r="B2692" t="s">
        <v>204</v>
      </c>
      <c r="C2692" t="s">
        <v>137</v>
      </c>
      <c r="D2692" t="s">
        <v>2629</v>
      </c>
      <c r="E2692" s="7" t="s">
        <v>198</v>
      </c>
      <c r="F2692" s="7" t="s">
        <v>198</v>
      </c>
      <c r="G2692" s="7" t="s">
        <v>198</v>
      </c>
      <c r="H2692" s="7" t="s">
        <v>20</v>
      </c>
      <c r="I2692" s="7" t="s">
        <v>5102</v>
      </c>
      <c r="J2692" s="7" t="s">
        <v>21</v>
      </c>
      <c r="L2692" t="s">
        <v>4043</v>
      </c>
      <c r="M2692" s="7" t="s">
        <v>22</v>
      </c>
      <c r="N2692" s="7" t="s">
        <v>23</v>
      </c>
      <c r="O2692" s="7" t="s">
        <v>27</v>
      </c>
      <c r="P2692" s="7" t="s">
        <v>5101</v>
      </c>
      <c r="Q2692" s="26">
        <v>99</v>
      </c>
      <c r="R2692" s="26">
        <v>4</v>
      </c>
      <c r="S2692" s="40">
        <v>1</v>
      </c>
      <c r="T2692" s="7"/>
      <c r="U2692" s="7" t="s">
        <v>2951</v>
      </c>
      <c r="V2692" s="7" t="str">
        <f>+IF(U2692="","",IF(U2692="FINES",CONCATENATE("R",IF(OR(B2692="16",B2692="21",B2692="22",B2692="23"),"16212223",IF(OR(B2692="15",B2692="17",B2692="24",B2692="25"),"15172425",B2692))),IF(U2692="CEBAS","UNICO",IF(VALUE(B2692)&lt;=11,"AMBA","INTERIOR"))))</f>
        <v>R07</v>
      </c>
      <c r="W2692" s="38" t="str">
        <f>+IF(U2692="","-",CONCATENATE(U2692,"_",V2692))</f>
        <v>FINES_R07</v>
      </c>
      <c r="X2692" s="42">
        <v>0.108</v>
      </c>
    </row>
    <row r="2693" spans="1:24">
      <c r="A2693" s="21" t="s">
        <v>5100</v>
      </c>
      <c r="B2693" t="s">
        <v>204</v>
      </c>
      <c r="C2693" t="s">
        <v>1084</v>
      </c>
      <c r="D2693" t="s">
        <v>1085</v>
      </c>
      <c r="E2693" s="7" t="s">
        <v>198</v>
      </c>
      <c r="F2693" s="7" t="s">
        <v>198</v>
      </c>
      <c r="G2693" s="7" t="s">
        <v>198</v>
      </c>
      <c r="H2693" s="7" t="s">
        <v>20</v>
      </c>
      <c r="I2693" s="7" t="s">
        <v>5102</v>
      </c>
      <c r="J2693" s="7" t="s">
        <v>21</v>
      </c>
      <c r="L2693" t="s">
        <v>4000</v>
      </c>
      <c r="M2693" s="7" t="s">
        <v>22</v>
      </c>
      <c r="N2693" s="7" t="s">
        <v>23</v>
      </c>
      <c r="O2693" s="7" t="s">
        <v>27</v>
      </c>
      <c r="P2693" s="7" t="s">
        <v>5101</v>
      </c>
      <c r="Q2693" s="26">
        <v>20</v>
      </c>
      <c r="R2693" s="26">
        <v>1</v>
      </c>
      <c r="S2693" s="40">
        <v>1</v>
      </c>
      <c r="T2693" s="7"/>
      <c r="U2693" s="7" t="s">
        <v>2951</v>
      </c>
      <c r="V2693" s="7" t="str">
        <f>+IF(U2693="","",IF(U2693="FINES",CONCATENATE("R",IF(OR(B2693="16",B2693="21",B2693="22",B2693="23"),"16212223",IF(OR(B2693="15",B2693="17",B2693="24",B2693="25"),"15172425",B2693))),IF(U2693="CEBAS","UNICO",IF(VALUE(B2693)&lt;=11,"AMBA","INTERIOR"))))</f>
        <v>R07</v>
      </c>
      <c r="W2693" s="38" t="str">
        <f>+IF(U2693="","-",CONCATENATE(U2693,"_",V2693))</f>
        <v>FINES_R07</v>
      </c>
      <c r="X2693" s="42">
        <v>0.11</v>
      </c>
    </row>
    <row r="2694" spans="1:24">
      <c r="A2694" s="21" t="s">
        <v>5100</v>
      </c>
      <c r="B2694" t="s">
        <v>204</v>
      </c>
      <c r="C2694" t="s">
        <v>137</v>
      </c>
      <c r="D2694" t="s">
        <v>2629</v>
      </c>
      <c r="E2694" s="7" t="s">
        <v>198</v>
      </c>
      <c r="F2694" s="7" t="s">
        <v>198</v>
      </c>
      <c r="G2694" s="7" t="s">
        <v>198</v>
      </c>
      <c r="H2694" s="7" t="s">
        <v>20</v>
      </c>
      <c r="I2694" s="7" t="s">
        <v>5102</v>
      </c>
      <c r="J2694" s="7" t="s">
        <v>21</v>
      </c>
      <c r="L2694" t="s">
        <v>4070</v>
      </c>
      <c r="M2694" s="7" t="s">
        <v>22</v>
      </c>
      <c r="N2694" s="7" t="s">
        <v>23</v>
      </c>
      <c r="O2694" s="7" t="s">
        <v>27</v>
      </c>
      <c r="P2694" s="7" t="s">
        <v>5101</v>
      </c>
      <c r="Q2694" s="26">
        <v>38</v>
      </c>
      <c r="R2694" s="26">
        <v>1</v>
      </c>
      <c r="S2694" s="40">
        <v>1</v>
      </c>
      <c r="T2694" s="7"/>
      <c r="U2694" s="7" t="s">
        <v>2951</v>
      </c>
      <c r="V2694" s="7" t="str">
        <f>+IF(U2694="","",IF(U2694="FINES",CONCATENATE("R",IF(OR(B2694="16",B2694="21",B2694="22",B2694="23"),"16212223",IF(OR(B2694="15",B2694="17",B2694="24",B2694="25"),"15172425",B2694))),IF(U2694="CEBAS","UNICO",IF(VALUE(B2694)&lt;=11,"AMBA","INTERIOR"))))</f>
        <v>R07</v>
      </c>
      <c r="W2694" s="38" t="str">
        <f>+IF(U2694="","-",CONCATENATE(U2694,"_",V2694))</f>
        <v>FINES_R07</v>
      </c>
      <c r="X2694" s="42">
        <v>0.153</v>
      </c>
    </row>
    <row r="2695" spans="1:24">
      <c r="A2695" s="21" t="s">
        <v>5100</v>
      </c>
      <c r="B2695" t="s">
        <v>204</v>
      </c>
      <c r="C2695" t="s">
        <v>1084</v>
      </c>
      <c r="D2695" t="s">
        <v>1085</v>
      </c>
      <c r="E2695" s="7" t="s">
        <v>198</v>
      </c>
      <c r="F2695" s="7" t="s">
        <v>198</v>
      </c>
      <c r="G2695" s="7" t="s">
        <v>198</v>
      </c>
      <c r="H2695" s="7" t="s">
        <v>20</v>
      </c>
      <c r="I2695" s="7" t="s">
        <v>5102</v>
      </c>
      <c r="J2695" s="7" t="s">
        <v>21</v>
      </c>
      <c r="L2695" t="s">
        <v>3992</v>
      </c>
      <c r="M2695" s="7" t="s">
        <v>22</v>
      </c>
      <c r="N2695" s="7" t="s">
        <v>23</v>
      </c>
      <c r="O2695" s="7" t="s">
        <v>27</v>
      </c>
      <c r="P2695" s="7" t="s">
        <v>5101</v>
      </c>
      <c r="Q2695" s="26">
        <v>0</v>
      </c>
      <c r="R2695" s="26">
        <v>1</v>
      </c>
      <c r="S2695" s="40">
        <v>1</v>
      </c>
      <c r="T2695" s="7"/>
      <c r="U2695" s="7" t="s">
        <v>2951</v>
      </c>
      <c r="V2695" s="7" t="str">
        <f>+IF(U2695="","",IF(U2695="FINES",CONCATENATE("R",IF(OR(B2695="16",B2695="21",B2695="22",B2695="23"),"16212223",IF(OR(B2695="15",B2695="17",B2695="24",B2695="25"),"15172425",B2695))),IF(U2695="CEBAS","UNICO",IF(VALUE(B2695)&lt;=11,"AMBA","INTERIOR"))))</f>
        <v>R07</v>
      </c>
      <c r="W2695" s="38" t="str">
        <f>+IF(U2695="","-",CONCATENATE(U2695,"_",V2695))</f>
        <v>FINES_R07</v>
      </c>
      <c r="X2695" s="42">
        <v>0.17100000000000001</v>
      </c>
    </row>
    <row r="2696" spans="1:24">
      <c r="A2696" s="21" t="s">
        <v>5100</v>
      </c>
      <c r="B2696" t="s">
        <v>204</v>
      </c>
      <c r="C2696" t="s">
        <v>137</v>
      </c>
      <c r="D2696" t="s">
        <v>2629</v>
      </c>
      <c r="E2696" s="7" t="s">
        <v>198</v>
      </c>
      <c r="F2696" s="7" t="s">
        <v>198</v>
      </c>
      <c r="G2696" s="7" t="s">
        <v>198</v>
      </c>
      <c r="H2696" s="7" t="s">
        <v>20</v>
      </c>
      <c r="I2696" s="7" t="s">
        <v>5102</v>
      </c>
      <c r="J2696" s="7" t="s">
        <v>21</v>
      </c>
      <c r="L2696" t="s">
        <v>4046</v>
      </c>
      <c r="M2696" s="7" t="s">
        <v>22</v>
      </c>
      <c r="N2696" s="7" t="s">
        <v>23</v>
      </c>
      <c r="O2696" s="7" t="s">
        <v>27</v>
      </c>
      <c r="P2696" s="7" t="s">
        <v>5101</v>
      </c>
      <c r="Q2696" s="26">
        <v>0</v>
      </c>
      <c r="R2696" s="26">
        <v>2</v>
      </c>
      <c r="S2696" s="40">
        <v>1</v>
      </c>
      <c r="T2696" s="7"/>
      <c r="U2696" s="7" t="s">
        <v>2951</v>
      </c>
      <c r="V2696" s="7" t="str">
        <f>+IF(U2696="","",IF(U2696="FINES",CONCATENATE("R",IF(OR(B2696="16",B2696="21",B2696="22",B2696="23"),"16212223",IF(OR(B2696="15",B2696="17",B2696="24",B2696="25"),"15172425",B2696))),IF(U2696="CEBAS","UNICO",IF(VALUE(B2696)&lt;=11,"AMBA","INTERIOR"))))</f>
        <v>R07</v>
      </c>
      <c r="W2696" s="38" t="str">
        <f>+IF(U2696="","-",CONCATENATE(U2696,"_",V2696))</f>
        <v>FINES_R07</v>
      </c>
      <c r="X2696" s="42">
        <v>0.17199999999999999</v>
      </c>
    </row>
    <row r="2697" spans="1:24">
      <c r="A2697" s="21" t="s">
        <v>5100</v>
      </c>
      <c r="B2697" t="s">
        <v>204</v>
      </c>
      <c r="C2697" t="s">
        <v>219</v>
      </c>
      <c r="D2697" t="s">
        <v>2865</v>
      </c>
      <c r="E2697" s="7" t="s">
        <v>198</v>
      </c>
      <c r="F2697" s="7" t="s">
        <v>198</v>
      </c>
      <c r="G2697" s="7" t="s">
        <v>198</v>
      </c>
      <c r="H2697" s="7" t="s">
        <v>20</v>
      </c>
      <c r="I2697" s="7" t="s">
        <v>5102</v>
      </c>
      <c r="J2697" s="7" t="s">
        <v>21</v>
      </c>
      <c r="L2697" t="s">
        <v>3863</v>
      </c>
      <c r="M2697" s="7" t="s">
        <v>22</v>
      </c>
      <c r="N2697" s="7" t="s">
        <v>23</v>
      </c>
      <c r="O2697" s="7" t="s">
        <v>27</v>
      </c>
      <c r="P2697" s="7" t="s">
        <v>5101</v>
      </c>
      <c r="Q2697" s="26">
        <v>14</v>
      </c>
      <c r="R2697" s="26">
        <v>1</v>
      </c>
      <c r="S2697" s="40">
        <v>1</v>
      </c>
      <c r="T2697" s="7"/>
      <c r="U2697" s="7" t="s">
        <v>2951</v>
      </c>
      <c r="V2697" s="7" t="str">
        <f>+IF(U2697="","",IF(U2697="FINES",CONCATENATE("R",IF(OR(B2697="16",B2697="21",B2697="22",B2697="23"),"16212223",IF(OR(B2697="15",B2697="17",B2697="24",B2697="25"),"15172425",B2697))),IF(U2697="CEBAS","UNICO",IF(VALUE(B2697)&lt;=11,"AMBA","INTERIOR"))))</f>
        <v>R07</v>
      </c>
      <c r="W2697" s="38" t="str">
        <f>+IF(U2697="","-",CONCATENATE(U2697,"_",V2697))</f>
        <v>FINES_R07</v>
      </c>
      <c r="X2697" s="42">
        <v>0.191</v>
      </c>
    </row>
    <row r="2698" spans="1:24">
      <c r="A2698" s="21" t="s">
        <v>5100</v>
      </c>
      <c r="B2698" t="s">
        <v>204</v>
      </c>
      <c r="C2698" t="s">
        <v>1084</v>
      </c>
      <c r="D2698" t="s">
        <v>1085</v>
      </c>
      <c r="E2698" s="7" t="s">
        <v>198</v>
      </c>
      <c r="F2698" s="7" t="s">
        <v>198</v>
      </c>
      <c r="G2698" s="7" t="s">
        <v>198</v>
      </c>
      <c r="H2698" s="7" t="s">
        <v>20</v>
      </c>
      <c r="I2698" s="7" t="s">
        <v>5102</v>
      </c>
      <c r="J2698" s="7" t="s">
        <v>21</v>
      </c>
      <c r="L2698" t="s">
        <v>4009</v>
      </c>
      <c r="M2698" s="7" t="s">
        <v>22</v>
      </c>
      <c r="N2698" s="7" t="s">
        <v>23</v>
      </c>
      <c r="O2698" s="7" t="s">
        <v>27</v>
      </c>
      <c r="P2698" s="7" t="s">
        <v>5101</v>
      </c>
      <c r="Q2698" s="26">
        <v>23</v>
      </c>
      <c r="R2698" s="26">
        <v>1</v>
      </c>
      <c r="S2698" s="40">
        <v>1</v>
      </c>
      <c r="T2698" s="7"/>
      <c r="U2698" s="7" t="s">
        <v>2951</v>
      </c>
      <c r="V2698" s="7" t="str">
        <f>+IF(U2698="","",IF(U2698="FINES",CONCATENATE("R",IF(OR(B2698="16",B2698="21",B2698="22",B2698="23"),"16212223",IF(OR(B2698="15",B2698="17",B2698="24",B2698="25"),"15172425",B2698))),IF(U2698="CEBAS","UNICO",IF(VALUE(B2698)&lt;=11,"AMBA","INTERIOR"))))</f>
        <v>R07</v>
      </c>
      <c r="W2698" s="38" t="str">
        <f>+IF(U2698="","-",CONCATENATE(U2698,"_",V2698))</f>
        <v>FINES_R07</v>
      </c>
      <c r="X2698" s="42">
        <v>0.191</v>
      </c>
    </row>
    <row r="2699" spans="1:24">
      <c r="A2699" s="21" t="s">
        <v>5100</v>
      </c>
      <c r="B2699" t="s">
        <v>204</v>
      </c>
      <c r="C2699" t="s">
        <v>219</v>
      </c>
      <c r="D2699" t="s">
        <v>2865</v>
      </c>
      <c r="E2699" s="7" t="s">
        <v>198</v>
      </c>
      <c r="F2699" s="7" t="s">
        <v>198</v>
      </c>
      <c r="G2699" s="7" t="s">
        <v>198</v>
      </c>
      <c r="H2699" s="7" t="s">
        <v>20</v>
      </c>
      <c r="I2699" s="7" t="s">
        <v>5102</v>
      </c>
      <c r="J2699" s="7" t="s">
        <v>21</v>
      </c>
      <c r="L2699" t="s">
        <v>4040</v>
      </c>
      <c r="M2699" s="7" t="s">
        <v>22</v>
      </c>
      <c r="N2699" s="7" t="s">
        <v>23</v>
      </c>
      <c r="O2699" s="7" t="s">
        <v>27</v>
      </c>
      <c r="P2699" s="7" t="s">
        <v>5101</v>
      </c>
      <c r="Q2699" s="26">
        <v>30</v>
      </c>
      <c r="R2699" s="26">
        <v>1</v>
      </c>
      <c r="S2699" s="40">
        <v>1</v>
      </c>
      <c r="T2699" s="7"/>
      <c r="U2699" s="7" t="s">
        <v>2951</v>
      </c>
      <c r="V2699" s="7" t="str">
        <f>+IF(U2699="","",IF(U2699="FINES",CONCATENATE("R",IF(OR(B2699="16",B2699="21",B2699="22",B2699="23"),"16212223",IF(OR(B2699="15",B2699="17",B2699="24",B2699="25"),"15172425",B2699))),IF(U2699="CEBAS","UNICO",IF(VALUE(B2699)&lt;=11,"AMBA","INTERIOR"))))</f>
        <v>R07</v>
      </c>
      <c r="W2699" s="38" t="str">
        <f>+IF(U2699="","-",CONCATENATE(U2699,"_",V2699))</f>
        <v>FINES_R07</v>
      </c>
      <c r="X2699" s="42">
        <v>0.19600000000000001</v>
      </c>
    </row>
    <row r="2700" spans="1:24">
      <c r="A2700" s="21" t="s">
        <v>5100</v>
      </c>
      <c r="B2700" t="s">
        <v>204</v>
      </c>
      <c r="C2700" t="s">
        <v>1084</v>
      </c>
      <c r="D2700" t="s">
        <v>1085</v>
      </c>
      <c r="E2700" s="7" t="s">
        <v>198</v>
      </c>
      <c r="F2700" s="7" t="s">
        <v>198</v>
      </c>
      <c r="G2700" s="7" t="s">
        <v>198</v>
      </c>
      <c r="H2700" s="7" t="s">
        <v>20</v>
      </c>
      <c r="I2700" s="7" t="s">
        <v>5102</v>
      </c>
      <c r="J2700" s="7" t="s">
        <v>21</v>
      </c>
      <c r="L2700" t="s">
        <v>4004</v>
      </c>
      <c r="M2700" s="7" t="s">
        <v>22</v>
      </c>
      <c r="N2700" s="7" t="s">
        <v>23</v>
      </c>
      <c r="O2700" s="7" t="s">
        <v>27</v>
      </c>
      <c r="P2700" s="7" t="s">
        <v>5101</v>
      </c>
      <c r="Q2700" s="26">
        <v>0</v>
      </c>
      <c r="R2700" s="26">
        <v>1</v>
      </c>
      <c r="S2700" s="40">
        <v>1</v>
      </c>
      <c r="T2700" s="7"/>
      <c r="U2700" s="7" t="s">
        <v>2951</v>
      </c>
      <c r="V2700" s="7" t="str">
        <f>+IF(U2700="","",IF(U2700="FINES",CONCATENATE("R",IF(OR(B2700="16",B2700="21",B2700="22",B2700="23"),"16212223",IF(OR(B2700="15",B2700="17",B2700="24",B2700="25"),"15172425",B2700))),IF(U2700="CEBAS","UNICO",IF(VALUE(B2700)&lt;=11,"AMBA","INTERIOR"))))</f>
        <v>R07</v>
      </c>
      <c r="W2700" s="38" t="str">
        <f>+IF(U2700="","-",CONCATENATE(U2700,"_",V2700))</f>
        <v>FINES_R07</v>
      </c>
      <c r="X2700" s="42">
        <v>0.21099999999999999</v>
      </c>
    </row>
    <row r="2701" spans="1:24">
      <c r="A2701" s="21" t="s">
        <v>5100</v>
      </c>
      <c r="B2701" t="s">
        <v>204</v>
      </c>
      <c r="C2701" t="s">
        <v>219</v>
      </c>
      <c r="D2701" t="s">
        <v>2865</v>
      </c>
      <c r="E2701" s="7" t="s">
        <v>198</v>
      </c>
      <c r="F2701" s="7" t="s">
        <v>198</v>
      </c>
      <c r="G2701" s="7" t="s">
        <v>198</v>
      </c>
      <c r="H2701" s="7" t="s">
        <v>20</v>
      </c>
      <c r="I2701" s="7" t="s">
        <v>5102</v>
      </c>
      <c r="J2701" s="7" t="s">
        <v>21</v>
      </c>
      <c r="L2701" t="s">
        <v>4029</v>
      </c>
      <c r="M2701" s="7" t="s">
        <v>22</v>
      </c>
      <c r="N2701" s="7" t="s">
        <v>23</v>
      </c>
      <c r="O2701" s="7" t="s">
        <v>27</v>
      </c>
      <c r="P2701" s="7" t="s">
        <v>5101</v>
      </c>
      <c r="Q2701" s="26">
        <v>43</v>
      </c>
      <c r="R2701" s="26">
        <v>2</v>
      </c>
      <c r="S2701" s="40">
        <v>1</v>
      </c>
      <c r="T2701" s="7"/>
      <c r="U2701" s="7" t="s">
        <v>2951</v>
      </c>
      <c r="V2701" s="7" t="str">
        <f>+IF(U2701="","",IF(U2701="FINES",CONCATENATE("R",IF(OR(B2701="16",B2701="21",B2701="22",B2701="23"),"16212223",IF(OR(B2701="15",B2701="17",B2701="24",B2701="25"),"15172425",B2701))),IF(U2701="CEBAS","UNICO",IF(VALUE(B2701)&lt;=11,"AMBA","INTERIOR"))))</f>
        <v>R07</v>
      </c>
      <c r="W2701" s="38" t="str">
        <f>+IF(U2701="","-",CONCATENATE(U2701,"_",V2701))</f>
        <v>FINES_R07</v>
      </c>
      <c r="X2701" s="42">
        <v>0.217</v>
      </c>
    </row>
    <row r="2702" spans="1:24">
      <c r="A2702" s="21" t="s">
        <v>5100</v>
      </c>
      <c r="B2702" t="s">
        <v>204</v>
      </c>
      <c r="C2702" t="s">
        <v>137</v>
      </c>
      <c r="D2702" t="s">
        <v>2629</v>
      </c>
      <c r="E2702" s="7" t="s">
        <v>198</v>
      </c>
      <c r="F2702" s="7" t="s">
        <v>198</v>
      </c>
      <c r="G2702" s="7" t="s">
        <v>198</v>
      </c>
      <c r="H2702" s="7" t="s">
        <v>20</v>
      </c>
      <c r="I2702" s="7" t="s">
        <v>5102</v>
      </c>
      <c r="J2702" s="7" t="s">
        <v>21</v>
      </c>
      <c r="L2702" t="s">
        <v>4052</v>
      </c>
      <c r="M2702" s="7" t="s">
        <v>22</v>
      </c>
      <c r="N2702" s="7" t="s">
        <v>23</v>
      </c>
      <c r="O2702" s="7" t="s">
        <v>27</v>
      </c>
      <c r="P2702" s="7" t="s">
        <v>5101</v>
      </c>
      <c r="Q2702" s="26">
        <v>0</v>
      </c>
      <c r="R2702" s="26">
        <v>1</v>
      </c>
      <c r="S2702" s="40">
        <v>1</v>
      </c>
      <c r="T2702" s="7"/>
      <c r="U2702" s="7" t="s">
        <v>2951</v>
      </c>
      <c r="V2702" s="7" t="str">
        <f>+IF(U2702="","",IF(U2702="FINES",CONCATENATE("R",IF(OR(B2702="16",B2702="21",B2702="22",B2702="23"),"16212223",IF(OR(B2702="15",B2702="17",B2702="24",B2702="25"),"15172425",B2702))),IF(U2702="CEBAS","UNICO",IF(VALUE(B2702)&lt;=11,"AMBA","INTERIOR"))))</f>
        <v>R07</v>
      </c>
      <c r="W2702" s="38" t="str">
        <f>+IF(U2702="","-",CONCATENATE(U2702,"_",V2702))</f>
        <v>FINES_R07</v>
      </c>
      <c r="X2702" s="42">
        <v>0.23</v>
      </c>
    </row>
    <row r="2703" spans="1:24">
      <c r="A2703" s="21" t="s">
        <v>5100</v>
      </c>
      <c r="B2703" t="s">
        <v>204</v>
      </c>
      <c r="C2703" t="s">
        <v>137</v>
      </c>
      <c r="D2703" t="s">
        <v>2629</v>
      </c>
      <c r="E2703" s="7" t="s">
        <v>198</v>
      </c>
      <c r="F2703" s="7" t="s">
        <v>198</v>
      </c>
      <c r="G2703" s="7" t="s">
        <v>198</v>
      </c>
      <c r="H2703" s="7" t="s">
        <v>20</v>
      </c>
      <c r="I2703" s="7" t="s">
        <v>5102</v>
      </c>
      <c r="J2703" s="7" t="s">
        <v>21</v>
      </c>
      <c r="L2703" t="s">
        <v>4057</v>
      </c>
      <c r="M2703" s="7" t="s">
        <v>22</v>
      </c>
      <c r="N2703" s="7" t="s">
        <v>23</v>
      </c>
      <c r="O2703" s="7" t="s">
        <v>27</v>
      </c>
      <c r="P2703" s="7" t="s">
        <v>5101</v>
      </c>
      <c r="Q2703" s="26">
        <v>0</v>
      </c>
      <c r="R2703" s="26">
        <v>1</v>
      </c>
      <c r="S2703" s="40">
        <v>1</v>
      </c>
      <c r="T2703" s="7"/>
      <c r="U2703" s="7" t="s">
        <v>2951</v>
      </c>
      <c r="V2703" s="7" t="str">
        <f>+IF(U2703="","",IF(U2703="FINES",CONCATENATE("R",IF(OR(B2703="16",B2703="21",B2703="22",B2703="23"),"16212223",IF(OR(B2703="15",B2703="17",B2703="24",B2703="25"),"15172425",B2703))),IF(U2703="CEBAS","UNICO",IF(VALUE(B2703)&lt;=11,"AMBA","INTERIOR"))))</f>
        <v>R07</v>
      </c>
      <c r="W2703" s="38" t="str">
        <f>+IF(U2703="","-",CONCATENATE(U2703,"_",V2703))</f>
        <v>FINES_R07</v>
      </c>
      <c r="X2703" s="42">
        <v>0.23300000000000001</v>
      </c>
    </row>
    <row r="2704" spans="1:24">
      <c r="A2704" s="21" t="s">
        <v>5100</v>
      </c>
      <c r="B2704" t="s">
        <v>204</v>
      </c>
      <c r="C2704" t="s">
        <v>219</v>
      </c>
      <c r="D2704" t="s">
        <v>2865</v>
      </c>
      <c r="E2704" s="7" t="s">
        <v>198</v>
      </c>
      <c r="F2704" s="7" t="s">
        <v>198</v>
      </c>
      <c r="G2704" s="7" t="s">
        <v>198</v>
      </c>
      <c r="H2704" s="7" t="s">
        <v>20</v>
      </c>
      <c r="I2704" s="7" t="s">
        <v>5102</v>
      </c>
      <c r="J2704" s="7" t="s">
        <v>21</v>
      </c>
      <c r="L2704" t="s">
        <v>4026</v>
      </c>
      <c r="M2704" s="7" t="s">
        <v>22</v>
      </c>
      <c r="N2704" s="7" t="s">
        <v>23</v>
      </c>
      <c r="O2704" s="7" t="s">
        <v>27</v>
      </c>
      <c r="P2704" s="7" t="s">
        <v>5101</v>
      </c>
      <c r="Q2704" s="26">
        <v>56</v>
      </c>
      <c r="R2704" s="26">
        <v>2</v>
      </c>
      <c r="S2704" s="40">
        <v>1</v>
      </c>
      <c r="T2704" s="7"/>
      <c r="U2704" s="7" t="s">
        <v>2951</v>
      </c>
      <c r="V2704" s="7" t="str">
        <f>+IF(U2704="","",IF(U2704="FINES",CONCATENATE("R",IF(OR(B2704="16",B2704="21",B2704="22",B2704="23"),"16212223",IF(OR(B2704="15",B2704="17",B2704="24",B2704="25"),"15172425",B2704))),IF(U2704="CEBAS","UNICO",IF(VALUE(B2704)&lt;=11,"AMBA","INTERIOR"))))</f>
        <v>R07</v>
      </c>
      <c r="W2704" s="38" t="str">
        <f>+IF(U2704="","-",CONCATENATE(U2704,"_",V2704))</f>
        <v>FINES_R07</v>
      </c>
      <c r="X2704" s="42">
        <v>0.248</v>
      </c>
    </row>
    <row r="2705" spans="1:24">
      <c r="A2705" s="21" t="s">
        <v>5100</v>
      </c>
      <c r="B2705" t="s">
        <v>204</v>
      </c>
      <c r="C2705" t="s">
        <v>137</v>
      </c>
      <c r="D2705" t="s">
        <v>2629</v>
      </c>
      <c r="E2705" s="7" t="s">
        <v>198</v>
      </c>
      <c r="F2705" s="7" t="s">
        <v>198</v>
      </c>
      <c r="G2705" s="7" t="s">
        <v>198</v>
      </c>
      <c r="H2705" s="7" t="s">
        <v>20</v>
      </c>
      <c r="I2705" s="7" t="s">
        <v>5102</v>
      </c>
      <c r="J2705" s="7" t="s">
        <v>21</v>
      </c>
      <c r="L2705" t="s">
        <v>4049</v>
      </c>
      <c r="M2705" s="7" t="s">
        <v>22</v>
      </c>
      <c r="N2705" s="7" t="s">
        <v>23</v>
      </c>
      <c r="O2705" s="7" t="s">
        <v>27</v>
      </c>
      <c r="P2705" s="7" t="s">
        <v>5101</v>
      </c>
      <c r="Q2705" s="26">
        <v>0</v>
      </c>
      <c r="R2705" s="26">
        <v>1</v>
      </c>
      <c r="S2705" s="40">
        <v>1</v>
      </c>
      <c r="T2705" s="7"/>
      <c r="U2705" s="7" t="s">
        <v>2951</v>
      </c>
      <c r="V2705" s="7" t="str">
        <f>+IF(U2705="","",IF(U2705="FINES",CONCATENATE("R",IF(OR(B2705="16",B2705="21",B2705="22",B2705="23"),"16212223",IF(OR(B2705="15",B2705="17",B2705="24",B2705="25"),"15172425",B2705))),IF(U2705="CEBAS","UNICO",IF(VALUE(B2705)&lt;=11,"AMBA","INTERIOR"))))</f>
        <v>R07</v>
      </c>
      <c r="W2705" s="38" t="str">
        <f>+IF(U2705="","-",CONCATENATE(U2705,"_",V2705))</f>
        <v>FINES_R07</v>
      </c>
      <c r="X2705" s="42">
        <v>0.251</v>
      </c>
    </row>
    <row r="2706" spans="1:24">
      <c r="A2706" s="21" t="s">
        <v>5100</v>
      </c>
      <c r="B2706" t="s">
        <v>204</v>
      </c>
      <c r="C2706" t="s">
        <v>219</v>
      </c>
      <c r="D2706" t="s">
        <v>2865</v>
      </c>
      <c r="E2706" s="7" t="s">
        <v>198</v>
      </c>
      <c r="F2706" s="7" t="s">
        <v>198</v>
      </c>
      <c r="G2706" s="7" t="s">
        <v>198</v>
      </c>
      <c r="H2706" s="7" t="s">
        <v>20</v>
      </c>
      <c r="I2706" s="7" t="s">
        <v>5102</v>
      </c>
      <c r="J2706" s="7" t="s">
        <v>21</v>
      </c>
      <c r="L2706" t="s">
        <v>4035</v>
      </c>
      <c r="M2706" s="7" t="s">
        <v>22</v>
      </c>
      <c r="N2706" s="7" t="s">
        <v>23</v>
      </c>
      <c r="O2706" s="7" t="s">
        <v>27</v>
      </c>
      <c r="P2706" s="7" t="s">
        <v>5101</v>
      </c>
      <c r="Q2706" s="26">
        <v>11</v>
      </c>
      <c r="R2706" s="26">
        <v>1</v>
      </c>
      <c r="S2706" s="40">
        <v>1</v>
      </c>
      <c r="T2706" s="7"/>
      <c r="U2706" s="7" t="s">
        <v>2951</v>
      </c>
      <c r="V2706" s="7" t="str">
        <f>+IF(U2706="","",IF(U2706="FINES",CONCATENATE("R",IF(OR(B2706="16",B2706="21",B2706="22",B2706="23"),"16212223",IF(OR(B2706="15",B2706="17",B2706="24",B2706="25"),"15172425",B2706))),IF(U2706="CEBAS","UNICO",IF(VALUE(B2706)&lt;=11,"AMBA","INTERIOR"))))</f>
        <v>R07</v>
      </c>
      <c r="W2706" s="38" t="str">
        <f>+IF(U2706="","-",CONCATENATE(U2706,"_",V2706))</f>
        <v>FINES_R07</v>
      </c>
      <c r="X2706" s="42">
        <v>0.27200000000000002</v>
      </c>
    </row>
    <row r="2707" spans="1:24">
      <c r="A2707" s="21" t="s">
        <v>5100</v>
      </c>
      <c r="B2707" t="s">
        <v>204</v>
      </c>
      <c r="C2707" t="s">
        <v>1084</v>
      </c>
      <c r="D2707" t="s">
        <v>1085</v>
      </c>
      <c r="E2707" s="7" t="s">
        <v>198</v>
      </c>
      <c r="F2707" s="7" t="s">
        <v>198</v>
      </c>
      <c r="G2707" s="7" t="s">
        <v>198</v>
      </c>
      <c r="H2707" s="7" t="s">
        <v>20</v>
      </c>
      <c r="I2707" s="7" t="s">
        <v>5102</v>
      </c>
      <c r="J2707" s="7" t="s">
        <v>21</v>
      </c>
      <c r="L2707" t="s">
        <v>4003</v>
      </c>
      <c r="M2707" s="7" t="s">
        <v>22</v>
      </c>
      <c r="N2707" s="7" t="s">
        <v>23</v>
      </c>
      <c r="O2707" s="7" t="s">
        <v>27</v>
      </c>
      <c r="P2707" s="7" t="s">
        <v>5101</v>
      </c>
      <c r="Q2707" s="26">
        <v>0</v>
      </c>
      <c r="R2707" s="26">
        <v>1</v>
      </c>
      <c r="S2707" s="40">
        <v>1</v>
      </c>
      <c r="T2707" s="7"/>
      <c r="U2707" s="7" t="s">
        <v>2951</v>
      </c>
      <c r="V2707" s="7" t="str">
        <f>+IF(U2707="","",IF(U2707="FINES",CONCATENATE("R",IF(OR(B2707="16",B2707="21",B2707="22",B2707="23"),"16212223",IF(OR(B2707="15",B2707="17",B2707="24",B2707="25"),"15172425",B2707))),IF(U2707="CEBAS","UNICO",IF(VALUE(B2707)&lt;=11,"AMBA","INTERIOR"))))</f>
        <v>R07</v>
      </c>
      <c r="W2707" s="38" t="str">
        <f>+IF(U2707="","-",CONCATENATE(U2707,"_",V2707))</f>
        <v>FINES_R07</v>
      </c>
      <c r="X2707" s="42">
        <v>0.27700000000000002</v>
      </c>
    </row>
    <row r="2708" spans="1:24">
      <c r="A2708" s="21" t="s">
        <v>5100</v>
      </c>
      <c r="B2708" t="s">
        <v>204</v>
      </c>
      <c r="C2708" t="s">
        <v>219</v>
      </c>
      <c r="D2708" t="s">
        <v>2865</v>
      </c>
      <c r="E2708" s="7" t="s">
        <v>198</v>
      </c>
      <c r="F2708" s="7" t="s">
        <v>198</v>
      </c>
      <c r="G2708" s="7" t="s">
        <v>198</v>
      </c>
      <c r="H2708" s="7" t="s">
        <v>20</v>
      </c>
      <c r="I2708" s="7" t="s">
        <v>5102</v>
      </c>
      <c r="J2708" s="7" t="s">
        <v>21</v>
      </c>
      <c r="L2708" t="s">
        <v>4037</v>
      </c>
      <c r="M2708" s="7" t="s">
        <v>22</v>
      </c>
      <c r="N2708" s="7" t="s">
        <v>23</v>
      </c>
      <c r="O2708" s="7" t="s">
        <v>27</v>
      </c>
      <c r="P2708" s="7" t="s">
        <v>5101</v>
      </c>
      <c r="Q2708" s="26">
        <v>2</v>
      </c>
      <c r="R2708" s="26">
        <v>1</v>
      </c>
      <c r="S2708" s="40">
        <v>1</v>
      </c>
      <c r="T2708" s="7"/>
      <c r="U2708" s="7" t="s">
        <v>2951</v>
      </c>
      <c r="V2708" s="7" t="str">
        <f>+IF(U2708="","",IF(U2708="FINES",CONCATENATE("R",IF(OR(B2708="16",B2708="21",B2708="22",B2708="23"),"16212223",IF(OR(B2708="15",B2708="17",B2708="24",B2708="25"),"15172425",B2708))),IF(U2708="CEBAS","UNICO",IF(VALUE(B2708)&lt;=11,"AMBA","INTERIOR"))))</f>
        <v>R07</v>
      </c>
      <c r="W2708" s="38" t="str">
        <f>+IF(U2708="","-",CONCATENATE(U2708,"_",V2708))</f>
        <v>FINES_R07</v>
      </c>
      <c r="X2708" s="42">
        <v>0.28999999999999998</v>
      </c>
    </row>
    <row r="2709" spans="1:24">
      <c r="A2709" s="21" t="s">
        <v>5100</v>
      </c>
      <c r="B2709" t="s">
        <v>204</v>
      </c>
      <c r="C2709" t="s">
        <v>137</v>
      </c>
      <c r="D2709" t="s">
        <v>2629</v>
      </c>
      <c r="E2709" s="7" t="s">
        <v>198</v>
      </c>
      <c r="F2709" s="7" t="s">
        <v>198</v>
      </c>
      <c r="G2709" s="7" t="s">
        <v>198</v>
      </c>
      <c r="H2709" s="7" t="s">
        <v>20</v>
      </c>
      <c r="I2709" s="7" t="s">
        <v>5102</v>
      </c>
      <c r="J2709" s="7" t="s">
        <v>21</v>
      </c>
      <c r="L2709" t="s">
        <v>4066</v>
      </c>
      <c r="M2709" s="7" t="s">
        <v>22</v>
      </c>
      <c r="N2709" s="7" t="s">
        <v>23</v>
      </c>
      <c r="O2709" s="7" t="s">
        <v>27</v>
      </c>
      <c r="P2709" s="7" t="s">
        <v>5101</v>
      </c>
      <c r="Q2709" s="26">
        <v>20</v>
      </c>
      <c r="R2709" s="26">
        <v>2</v>
      </c>
      <c r="S2709" s="40">
        <v>1</v>
      </c>
      <c r="T2709" s="7"/>
      <c r="U2709" s="7" t="s">
        <v>2951</v>
      </c>
      <c r="V2709" s="7" t="str">
        <f>+IF(U2709="","",IF(U2709="FINES",CONCATENATE("R",IF(OR(B2709="16",B2709="21",B2709="22",B2709="23"),"16212223",IF(OR(B2709="15",B2709="17",B2709="24",B2709="25"),"15172425",B2709))),IF(U2709="CEBAS","UNICO",IF(VALUE(B2709)&lt;=11,"AMBA","INTERIOR"))))</f>
        <v>R07</v>
      </c>
      <c r="W2709" s="38" t="str">
        <f>+IF(U2709="","-",CONCATENATE(U2709,"_",V2709))</f>
        <v>FINES_R07</v>
      </c>
      <c r="X2709" s="42">
        <v>0.31900000000000001</v>
      </c>
    </row>
    <row r="2710" spans="1:24">
      <c r="A2710" s="21" t="s">
        <v>5100</v>
      </c>
      <c r="B2710" t="s">
        <v>204</v>
      </c>
      <c r="C2710" t="s">
        <v>1084</v>
      </c>
      <c r="D2710" t="s">
        <v>1085</v>
      </c>
      <c r="E2710" s="7" t="s">
        <v>198</v>
      </c>
      <c r="F2710" s="7" t="s">
        <v>198</v>
      </c>
      <c r="G2710" s="7" t="s">
        <v>198</v>
      </c>
      <c r="H2710" s="7" t="s">
        <v>20</v>
      </c>
      <c r="I2710" s="7" t="s">
        <v>5102</v>
      </c>
      <c r="J2710" s="7" t="s">
        <v>21</v>
      </c>
      <c r="L2710" t="s">
        <v>3994</v>
      </c>
      <c r="M2710" s="7" t="s">
        <v>22</v>
      </c>
      <c r="N2710" s="7" t="s">
        <v>23</v>
      </c>
      <c r="O2710" s="7" t="s">
        <v>27</v>
      </c>
      <c r="P2710" s="7" t="s">
        <v>5101</v>
      </c>
      <c r="Q2710" s="26">
        <v>27</v>
      </c>
      <c r="R2710" s="26">
        <v>1</v>
      </c>
      <c r="S2710" s="40">
        <v>1</v>
      </c>
      <c r="T2710" s="7"/>
      <c r="U2710" s="7" t="s">
        <v>2951</v>
      </c>
      <c r="V2710" s="7" t="str">
        <f>+IF(U2710="","",IF(U2710="FINES",CONCATENATE("R",IF(OR(B2710="16",B2710="21",B2710="22",B2710="23"),"16212223",IF(OR(B2710="15",B2710="17",B2710="24",B2710="25"),"15172425",B2710))),IF(U2710="CEBAS","UNICO",IF(VALUE(B2710)&lt;=11,"AMBA","INTERIOR"))))</f>
        <v>R07</v>
      </c>
      <c r="W2710" s="38" t="str">
        <f>+IF(U2710="","-",CONCATENATE(U2710,"_",V2710))</f>
        <v>FINES_R07</v>
      </c>
      <c r="X2710" s="42">
        <v>0.32700000000000001</v>
      </c>
    </row>
    <row r="2711" spans="1:24">
      <c r="A2711" s="21" t="s">
        <v>5100</v>
      </c>
      <c r="B2711" t="s">
        <v>204</v>
      </c>
      <c r="C2711" t="s">
        <v>219</v>
      </c>
      <c r="D2711" t="s">
        <v>2865</v>
      </c>
      <c r="E2711" s="7" t="s">
        <v>198</v>
      </c>
      <c r="F2711" s="7" t="s">
        <v>198</v>
      </c>
      <c r="G2711" s="7" t="s">
        <v>198</v>
      </c>
      <c r="H2711" s="7" t="s">
        <v>20</v>
      </c>
      <c r="I2711" s="7" t="s">
        <v>5102</v>
      </c>
      <c r="J2711" s="7" t="s">
        <v>21</v>
      </c>
      <c r="L2711" t="s">
        <v>4027</v>
      </c>
      <c r="M2711" s="7" t="s">
        <v>22</v>
      </c>
      <c r="N2711" s="7" t="s">
        <v>23</v>
      </c>
      <c r="O2711" s="7" t="s">
        <v>27</v>
      </c>
      <c r="P2711" s="7" t="s">
        <v>5101</v>
      </c>
      <c r="Q2711" s="26">
        <v>13</v>
      </c>
      <c r="R2711" s="26">
        <v>1</v>
      </c>
      <c r="S2711" s="40">
        <v>1</v>
      </c>
      <c r="T2711" s="7"/>
      <c r="U2711" s="7" t="s">
        <v>2951</v>
      </c>
      <c r="V2711" s="7" t="str">
        <f>+IF(U2711="","",IF(U2711="FINES",CONCATENATE("R",IF(OR(B2711="16",B2711="21",B2711="22",B2711="23"),"16212223",IF(OR(B2711="15",B2711="17",B2711="24",B2711="25"),"15172425",B2711))),IF(U2711="CEBAS","UNICO",IF(VALUE(B2711)&lt;=11,"AMBA","INTERIOR"))))</f>
        <v>R07</v>
      </c>
      <c r="W2711" s="38" t="str">
        <f>+IF(U2711="","-",CONCATENATE(U2711,"_",V2711))</f>
        <v>FINES_R07</v>
      </c>
      <c r="X2711" s="42">
        <v>0.34399999999999997</v>
      </c>
    </row>
    <row r="2712" spans="1:24">
      <c r="A2712" s="21" t="s">
        <v>5100</v>
      </c>
      <c r="B2712" t="s">
        <v>204</v>
      </c>
      <c r="C2712" t="s">
        <v>1084</v>
      </c>
      <c r="D2712" t="s">
        <v>1085</v>
      </c>
      <c r="E2712" s="7" t="s">
        <v>198</v>
      </c>
      <c r="F2712" s="7" t="s">
        <v>198</v>
      </c>
      <c r="G2712" s="7" t="s">
        <v>198</v>
      </c>
      <c r="H2712" s="7" t="s">
        <v>20</v>
      </c>
      <c r="I2712" s="7" t="s">
        <v>5102</v>
      </c>
      <c r="J2712" s="7" t="s">
        <v>21</v>
      </c>
      <c r="L2712" t="s">
        <v>3997</v>
      </c>
      <c r="M2712" s="7" t="s">
        <v>22</v>
      </c>
      <c r="N2712" s="7" t="s">
        <v>23</v>
      </c>
      <c r="O2712" s="7" t="s">
        <v>27</v>
      </c>
      <c r="P2712" s="7" t="s">
        <v>5101</v>
      </c>
      <c r="Q2712" s="26">
        <v>14</v>
      </c>
      <c r="R2712" s="26">
        <v>1</v>
      </c>
      <c r="S2712" s="40">
        <v>1</v>
      </c>
      <c r="T2712" s="7"/>
      <c r="U2712" s="7" t="s">
        <v>2951</v>
      </c>
      <c r="V2712" s="7" t="str">
        <f>+IF(U2712="","",IF(U2712="FINES",CONCATENATE("R",IF(OR(B2712="16",B2712="21",B2712="22",B2712="23"),"16212223",IF(OR(B2712="15",B2712="17",B2712="24",B2712="25"),"15172425",B2712))),IF(U2712="CEBAS","UNICO",IF(VALUE(B2712)&lt;=11,"AMBA","INTERIOR"))))</f>
        <v>R07</v>
      </c>
      <c r="W2712" s="38" t="str">
        <f>+IF(U2712="","-",CONCATENATE(U2712,"_",V2712))</f>
        <v>FINES_R07</v>
      </c>
      <c r="X2712" s="42">
        <v>0.34699999999999998</v>
      </c>
    </row>
    <row r="2713" spans="1:24">
      <c r="A2713" s="21" t="s">
        <v>5100</v>
      </c>
      <c r="B2713" t="s">
        <v>204</v>
      </c>
      <c r="C2713" t="s">
        <v>219</v>
      </c>
      <c r="D2713" t="s">
        <v>2865</v>
      </c>
      <c r="E2713" s="7" t="s">
        <v>198</v>
      </c>
      <c r="F2713" s="7" t="s">
        <v>198</v>
      </c>
      <c r="G2713" s="7" t="s">
        <v>198</v>
      </c>
      <c r="H2713" s="7" t="s">
        <v>20</v>
      </c>
      <c r="I2713" s="7" t="s">
        <v>5102</v>
      </c>
      <c r="J2713" s="7" t="s">
        <v>21</v>
      </c>
      <c r="L2713" t="s">
        <v>4028</v>
      </c>
      <c r="M2713" s="7" t="s">
        <v>22</v>
      </c>
      <c r="N2713" s="7" t="s">
        <v>23</v>
      </c>
      <c r="O2713" s="7" t="s">
        <v>27</v>
      </c>
      <c r="P2713" s="7" t="s">
        <v>5101</v>
      </c>
      <c r="Q2713" s="26">
        <v>22</v>
      </c>
      <c r="R2713" s="26">
        <v>1</v>
      </c>
      <c r="S2713" s="40">
        <v>1</v>
      </c>
      <c r="T2713" s="7"/>
      <c r="U2713" s="7" t="s">
        <v>2951</v>
      </c>
      <c r="V2713" s="7" t="str">
        <f>+IF(U2713="","",IF(U2713="FINES",CONCATENATE("R",IF(OR(B2713="16",B2713="21",B2713="22",B2713="23"),"16212223",IF(OR(B2713="15",B2713="17",B2713="24",B2713="25"),"15172425",B2713))),IF(U2713="CEBAS","UNICO",IF(VALUE(B2713)&lt;=11,"AMBA","INTERIOR"))))</f>
        <v>R07</v>
      </c>
      <c r="W2713" s="38" t="str">
        <f>+IF(U2713="","-",CONCATENATE(U2713,"_",V2713))</f>
        <v>FINES_R07</v>
      </c>
      <c r="X2713" s="42">
        <v>0.35799999999999998</v>
      </c>
    </row>
    <row r="2714" spans="1:24">
      <c r="A2714" s="21" t="s">
        <v>5100</v>
      </c>
      <c r="B2714" t="s">
        <v>204</v>
      </c>
      <c r="C2714" t="s">
        <v>1084</v>
      </c>
      <c r="D2714" t="s">
        <v>1085</v>
      </c>
      <c r="E2714" s="7" t="s">
        <v>198</v>
      </c>
      <c r="F2714" s="7" t="s">
        <v>198</v>
      </c>
      <c r="G2714" s="7" t="s">
        <v>198</v>
      </c>
      <c r="H2714" s="7" t="s">
        <v>20</v>
      </c>
      <c r="I2714" s="7" t="s">
        <v>5102</v>
      </c>
      <c r="J2714" s="7" t="s">
        <v>21</v>
      </c>
      <c r="L2714" t="s">
        <v>4017</v>
      </c>
      <c r="M2714" s="7" t="s">
        <v>22</v>
      </c>
      <c r="N2714" s="7" t="s">
        <v>23</v>
      </c>
      <c r="O2714" s="7" t="s">
        <v>27</v>
      </c>
      <c r="P2714" s="7" t="s">
        <v>5101</v>
      </c>
      <c r="Q2714" s="26">
        <v>9</v>
      </c>
      <c r="R2714" s="26">
        <v>1</v>
      </c>
      <c r="S2714" s="40">
        <v>1</v>
      </c>
      <c r="T2714" s="7"/>
      <c r="U2714" s="7" t="s">
        <v>2951</v>
      </c>
      <c r="V2714" s="7" t="str">
        <f>+IF(U2714="","",IF(U2714="FINES",CONCATENATE("R",IF(OR(B2714="16",B2714="21",B2714="22",B2714="23"),"16212223",IF(OR(B2714="15",B2714="17",B2714="24",B2714="25"),"15172425",B2714))),IF(U2714="CEBAS","UNICO",IF(VALUE(B2714)&lt;=11,"AMBA","INTERIOR"))))</f>
        <v>R07</v>
      </c>
      <c r="W2714" s="38" t="str">
        <f>+IF(U2714="","-",CONCATENATE(U2714,"_",V2714))</f>
        <v>FINES_R07</v>
      </c>
      <c r="X2714" s="42">
        <v>0.35899999999999999</v>
      </c>
    </row>
    <row r="2715" spans="1:24">
      <c r="A2715" s="21" t="s">
        <v>5100</v>
      </c>
      <c r="B2715" t="s">
        <v>204</v>
      </c>
      <c r="C2715" t="s">
        <v>137</v>
      </c>
      <c r="D2715" t="s">
        <v>2629</v>
      </c>
      <c r="E2715" s="7" t="s">
        <v>198</v>
      </c>
      <c r="F2715" s="7" t="s">
        <v>198</v>
      </c>
      <c r="G2715" s="7" t="s">
        <v>198</v>
      </c>
      <c r="H2715" s="7" t="s">
        <v>20</v>
      </c>
      <c r="I2715" s="7" t="s">
        <v>5102</v>
      </c>
      <c r="J2715" s="7" t="s">
        <v>21</v>
      </c>
      <c r="L2715" t="s">
        <v>4055</v>
      </c>
      <c r="M2715" s="7" t="s">
        <v>22</v>
      </c>
      <c r="N2715" s="7" t="s">
        <v>23</v>
      </c>
      <c r="O2715" s="7" t="s">
        <v>27</v>
      </c>
      <c r="P2715" s="7" t="s">
        <v>5101</v>
      </c>
      <c r="Q2715" s="26">
        <v>0</v>
      </c>
      <c r="R2715" s="26">
        <v>1</v>
      </c>
      <c r="S2715" s="40">
        <v>1</v>
      </c>
      <c r="T2715" s="7"/>
      <c r="U2715" s="7" t="s">
        <v>2951</v>
      </c>
      <c r="V2715" s="7" t="str">
        <f>+IF(U2715="","",IF(U2715="FINES",CONCATENATE("R",IF(OR(B2715="16",B2715="21",B2715="22",B2715="23"),"16212223",IF(OR(B2715="15",B2715="17",B2715="24",B2715="25"),"15172425",B2715))),IF(U2715="CEBAS","UNICO",IF(VALUE(B2715)&lt;=11,"AMBA","INTERIOR"))))</f>
        <v>R07</v>
      </c>
      <c r="W2715" s="38" t="str">
        <f>+IF(U2715="","-",CONCATENATE(U2715,"_",V2715))</f>
        <v>FINES_R07</v>
      </c>
      <c r="X2715" s="42">
        <v>0.379</v>
      </c>
    </row>
    <row r="2716" spans="1:24">
      <c r="A2716" s="21" t="s">
        <v>5100</v>
      </c>
      <c r="B2716" t="s">
        <v>204</v>
      </c>
      <c r="C2716" t="s">
        <v>219</v>
      </c>
      <c r="D2716" t="s">
        <v>2865</v>
      </c>
      <c r="E2716" s="7" t="s">
        <v>198</v>
      </c>
      <c r="F2716" s="7" t="s">
        <v>198</v>
      </c>
      <c r="G2716" s="7" t="s">
        <v>198</v>
      </c>
      <c r="H2716" s="7" t="s">
        <v>20</v>
      </c>
      <c r="I2716" s="7" t="s">
        <v>5102</v>
      </c>
      <c r="J2716" s="7" t="s">
        <v>21</v>
      </c>
      <c r="L2716">
        <v>46255</v>
      </c>
      <c r="M2716" s="7" t="s">
        <v>22</v>
      </c>
      <c r="N2716" s="7" t="s">
        <v>23</v>
      </c>
      <c r="O2716" s="7" t="s">
        <v>27</v>
      </c>
      <c r="P2716" s="7" t="s">
        <v>5101</v>
      </c>
      <c r="Q2716" s="26">
        <v>12</v>
      </c>
      <c r="R2716" s="26">
        <v>1</v>
      </c>
      <c r="S2716" s="40">
        <v>1</v>
      </c>
      <c r="T2716" s="7"/>
      <c r="U2716" s="7" t="s">
        <v>2951</v>
      </c>
      <c r="V2716" s="7" t="str">
        <f>+IF(U2716="","",IF(U2716="FINES",CONCATENATE("R",IF(OR(B2716="16",B2716="21",B2716="22",B2716="23"),"16212223",IF(OR(B2716="15",B2716="17",B2716="24",B2716="25"),"15172425",B2716))),IF(U2716="CEBAS","UNICO",IF(VALUE(B2716)&lt;=11,"AMBA","INTERIOR"))))</f>
        <v>R07</v>
      </c>
      <c r="W2716" s="38" t="str">
        <f>+IF(U2716="","-",CONCATENATE(U2716,"_",V2716))</f>
        <v>FINES_R07</v>
      </c>
      <c r="X2716" s="42">
        <v>0.38800000000000001</v>
      </c>
    </row>
    <row r="2717" spans="1:24">
      <c r="A2717" s="21" t="s">
        <v>5100</v>
      </c>
      <c r="B2717" t="s">
        <v>204</v>
      </c>
      <c r="C2717" t="s">
        <v>137</v>
      </c>
      <c r="D2717" t="s">
        <v>2629</v>
      </c>
      <c r="E2717" s="7" t="s">
        <v>198</v>
      </c>
      <c r="F2717" s="7" t="s">
        <v>198</v>
      </c>
      <c r="G2717" s="7" t="s">
        <v>198</v>
      </c>
      <c r="H2717" s="7" t="s">
        <v>20</v>
      </c>
      <c r="I2717" s="7" t="s">
        <v>5102</v>
      </c>
      <c r="J2717" s="7" t="s">
        <v>21</v>
      </c>
      <c r="L2717" t="s">
        <v>4048</v>
      </c>
      <c r="M2717" s="7" t="s">
        <v>22</v>
      </c>
      <c r="N2717" s="7" t="s">
        <v>23</v>
      </c>
      <c r="O2717" s="7" t="s">
        <v>27</v>
      </c>
      <c r="P2717" s="7" t="s">
        <v>5101</v>
      </c>
      <c r="Q2717" s="26">
        <v>112</v>
      </c>
      <c r="R2717" s="26">
        <v>3</v>
      </c>
      <c r="S2717" s="40">
        <v>1</v>
      </c>
      <c r="T2717" s="7"/>
      <c r="U2717" s="7" t="s">
        <v>2951</v>
      </c>
      <c r="V2717" s="7" t="str">
        <f>+IF(U2717="","",IF(U2717="FINES",CONCATENATE("R",IF(OR(B2717="16",B2717="21",B2717="22",B2717="23"),"16212223",IF(OR(B2717="15",B2717="17",B2717="24",B2717="25"),"15172425",B2717))),IF(U2717="CEBAS","UNICO",IF(VALUE(B2717)&lt;=11,"AMBA","INTERIOR"))))</f>
        <v>R07</v>
      </c>
      <c r="W2717" s="38" t="str">
        <f>+IF(U2717="","-",CONCATENATE(U2717,"_",V2717))</f>
        <v>FINES_R07</v>
      </c>
      <c r="X2717" s="42">
        <v>0.39700000000000002</v>
      </c>
    </row>
    <row r="2718" spans="1:24">
      <c r="A2718" s="21" t="s">
        <v>5100</v>
      </c>
      <c r="B2718" t="s">
        <v>204</v>
      </c>
      <c r="C2718" t="s">
        <v>1084</v>
      </c>
      <c r="D2718" t="s">
        <v>1085</v>
      </c>
      <c r="E2718" s="7" t="s">
        <v>198</v>
      </c>
      <c r="F2718" s="7" t="s">
        <v>198</v>
      </c>
      <c r="G2718" s="7" t="s">
        <v>198</v>
      </c>
      <c r="H2718" s="7" t="s">
        <v>20</v>
      </c>
      <c r="I2718" s="7" t="s">
        <v>5102</v>
      </c>
      <c r="J2718" s="7" t="s">
        <v>21</v>
      </c>
      <c r="L2718" t="s">
        <v>4018</v>
      </c>
      <c r="M2718" s="7" t="s">
        <v>22</v>
      </c>
      <c r="N2718" s="7" t="s">
        <v>23</v>
      </c>
      <c r="O2718" s="7" t="s">
        <v>27</v>
      </c>
      <c r="P2718" s="7" t="s">
        <v>5101</v>
      </c>
      <c r="Q2718" s="26">
        <v>15</v>
      </c>
      <c r="R2718" s="26">
        <v>1</v>
      </c>
      <c r="S2718" s="40">
        <v>1</v>
      </c>
      <c r="T2718" s="7"/>
      <c r="U2718" s="7" t="s">
        <v>2951</v>
      </c>
      <c r="V2718" s="7" t="str">
        <f>+IF(U2718="","",IF(U2718="FINES",CONCATENATE("R",IF(OR(B2718="16",B2718="21",B2718="22",B2718="23"),"16212223",IF(OR(B2718="15",B2718="17",B2718="24",B2718="25"),"15172425",B2718))),IF(U2718="CEBAS","UNICO",IF(VALUE(B2718)&lt;=11,"AMBA","INTERIOR"))))</f>
        <v>R07</v>
      </c>
      <c r="W2718" s="38" t="str">
        <f>+IF(U2718="","-",CONCATENATE(U2718,"_",V2718))</f>
        <v>FINES_R07</v>
      </c>
      <c r="X2718" s="42">
        <v>0.41799999999999998</v>
      </c>
    </row>
    <row r="2719" spans="1:24">
      <c r="A2719" s="21" t="s">
        <v>5100</v>
      </c>
      <c r="B2719" t="s">
        <v>204</v>
      </c>
      <c r="C2719" t="s">
        <v>137</v>
      </c>
      <c r="D2719" t="s">
        <v>2629</v>
      </c>
      <c r="E2719" s="7" t="s">
        <v>198</v>
      </c>
      <c r="F2719" s="7" t="s">
        <v>198</v>
      </c>
      <c r="G2719" s="7" t="s">
        <v>198</v>
      </c>
      <c r="H2719" s="7" t="s">
        <v>20</v>
      </c>
      <c r="I2719" s="7" t="s">
        <v>5102</v>
      </c>
      <c r="J2719" s="7" t="s">
        <v>21</v>
      </c>
      <c r="L2719" t="s">
        <v>4047</v>
      </c>
      <c r="M2719" s="7" t="s">
        <v>22</v>
      </c>
      <c r="N2719" s="7" t="s">
        <v>23</v>
      </c>
      <c r="O2719" s="7" t="s">
        <v>27</v>
      </c>
      <c r="P2719" s="7" t="s">
        <v>5101</v>
      </c>
      <c r="Q2719" s="26">
        <v>36</v>
      </c>
      <c r="R2719" s="26">
        <v>2</v>
      </c>
      <c r="S2719" s="40">
        <v>1</v>
      </c>
      <c r="T2719" s="7"/>
      <c r="U2719" s="7" t="s">
        <v>2951</v>
      </c>
      <c r="V2719" s="7" t="str">
        <f>+IF(U2719="","",IF(U2719="FINES",CONCATENATE("R",IF(OR(B2719="16",B2719="21",B2719="22",B2719="23"),"16212223",IF(OR(B2719="15",B2719="17",B2719="24",B2719="25"),"15172425",B2719))),IF(U2719="CEBAS","UNICO",IF(VALUE(B2719)&lt;=11,"AMBA","INTERIOR"))))</f>
        <v>R07</v>
      </c>
      <c r="W2719" s="38" t="str">
        <f>+IF(U2719="","-",CONCATENATE(U2719,"_",V2719))</f>
        <v>FINES_R07</v>
      </c>
      <c r="X2719" s="42">
        <v>0.42599999999999999</v>
      </c>
    </row>
    <row r="2720" spans="1:24">
      <c r="A2720" s="21" t="s">
        <v>5100</v>
      </c>
      <c r="B2720" t="s">
        <v>204</v>
      </c>
      <c r="C2720" t="s">
        <v>137</v>
      </c>
      <c r="D2720" t="s">
        <v>2629</v>
      </c>
      <c r="E2720" s="7" t="s">
        <v>198</v>
      </c>
      <c r="F2720" s="7" t="s">
        <v>198</v>
      </c>
      <c r="G2720" s="7" t="s">
        <v>198</v>
      </c>
      <c r="H2720" s="7" t="s">
        <v>20</v>
      </c>
      <c r="I2720" s="7" t="s">
        <v>5102</v>
      </c>
      <c r="J2720" s="7" t="s">
        <v>21</v>
      </c>
      <c r="L2720" t="s">
        <v>4059</v>
      </c>
      <c r="M2720" s="7" t="s">
        <v>22</v>
      </c>
      <c r="N2720" s="7" t="s">
        <v>23</v>
      </c>
      <c r="O2720" s="7" t="s">
        <v>27</v>
      </c>
      <c r="P2720" s="7" t="s">
        <v>5101</v>
      </c>
      <c r="Q2720" s="26">
        <v>12</v>
      </c>
      <c r="R2720" s="26">
        <v>1</v>
      </c>
      <c r="S2720" s="40">
        <v>1</v>
      </c>
      <c r="T2720" s="7"/>
      <c r="U2720" s="7" t="s">
        <v>2951</v>
      </c>
      <c r="V2720" s="7" t="str">
        <f>+IF(U2720="","",IF(U2720="FINES",CONCATENATE("R",IF(OR(B2720="16",B2720="21",B2720="22",B2720="23"),"16212223",IF(OR(B2720="15",B2720="17",B2720="24",B2720="25"),"15172425",B2720))),IF(U2720="CEBAS","UNICO",IF(VALUE(B2720)&lt;=11,"AMBA","INTERIOR"))))</f>
        <v>R07</v>
      </c>
      <c r="W2720" s="38" t="str">
        <f>+IF(U2720="","-",CONCATENATE(U2720,"_",V2720))</f>
        <v>FINES_R07</v>
      </c>
      <c r="X2720" s="42">
        <v>0.439</v>
      </c>
    </row>
    <row r="2721" spans="1:24">
      <c r="A2721" s="21" t="s">
        <v>5100</v>
      </c>
      <c r="B2721" t="s">
        <v>204</v>
      </c>
      <c r="C2721" t="s">
        <v>1084</v>
      </c>
      <c r="D2721" t="s">
        <v>1085</v>
      </c>
      <c r="E2721" s="7" t="s">
        <v>198</v>
      </c>
      <c r="F2721" s="7" t="s">
        <v>198</v>
      </c>
      <c r="G2721" s="7" t="s">
        <v>198</v>
      </c>
      <c r="H2721" s="7" t="s">
        <v>20</v>
      </c>
      <c r="I2721" s="7" t="s">
        <v>5102</v>
      </c>
      <c r="J2721" s="7" t="s">
        <v>21</v>
      </c>
      <c r="L2721" t="s">
        <v>4013</v>
      </c>
      <c r="M2721" s="7" t="s">
        <v>22</v>
      </c>
      <c r="N2721" s="7" t="s">
        <v>23</v>
      </c>
      <c r="O2721" s="7" t="s">
        <v>27</v>
      </c>
      <c r="P2721" s="7" t="s">
        <v>5101</v>
      </c>
      <c r="Q2721" s="26">
        <v>0</v>
      </c>
      <c r="R2721" s="26">
        <v>1</v>
      </c>
      <c r="S2721" s="40">
        <v>1</v>
      </c>
      <c r="T2721" s="7"/>
      <c r="U2721" s="7" t="s">
        <v>2951</v>
      </c>
      <c r="V2721" s="7" t="str">
        <f>+IF(U2721="","",IF(U2721="FINES",CONCATENATE("R",IF(OR(B2721="16",B2721="21",B2721="22",B2721="23"),"16212223",IF(OR(B2721="15",B2721="17",B2721="24",B2721="25"),"15172425",B2721))),IF(U2721="CEBAS","UNICO",IF(VALUE(B2721)&lt;=11,"AMBA","INTERIOR"))))</f>
        <v>R07</v>
      </c>
      <c r="W2721" s="38" t="str">
        <f>+IF(U2721="","-",CONCATENATE(U2721,"_",V2721))</f>
        <v>FINES_R07</v>
      </c>
      <c r="X2721" s="42">
        <v>0.441</v>
      </c>
    </row>
    <row r="2722" spans="1:24">
      <c r="A2722" s="21" t="s">
        <v>5100</v>
      </c>
      <c r="B2722" t="s">
        <v>204</v>
      </c>
      <c r="C2722" t="s">
        <v>1084</v>
      </c>
      <c r="D2722" t="s">
        <v>1085</v>
      </c>
      <c r="E2722" s="7" t="s">
        <v>198</v>
      </c>
      <c r="F2722" s="7" t="s">
        <v>198</v>
      </c>
      <c r="G2722" s="7" t="s">
        <v>198</v>
      </c>
      <c r="H2722" s="7" t="s">
        <v>20</v>
      </c>
      <c r="I2722" s="7" t="s">
        <v>5102</v>
      </c>
      <c r="J2722" s="7" t="s">
        <v>21</v>
      </c>
      <c r="L2722" t="s">
        <v>3990</v>
      </c>
      <c r="M2722" s="7" t="s">
        <v>22</v>
      </c>
      <c r="N2722" s="7" t="s">
        <v>23</v>
      </c>
      <c r="O2722" s="7" t="s">
        <v>27</v>
      </c>
      <c r="P2722" s="7" t="s">
        <v>5101</v>
      </c>
      <c r="Q2722" s="26">
        <v>6</v>
      </c>
      <c r="R2722" s="26">
        <v>1</v>
      </c>
      <c r="S2722" s="40">
        <v>1</v>
      </c>
      <c r="T2722" s="7"/>
      <c r="U2722" s="7" t="s">
        <v>2951</v>
      </c>
      <c r="V2722" s="7" t="str">
        <f>+IF(U2722="","",IF(U2722="FINES",CONCATENATE("R",IF(OR(B2722="16",B2722="21",B2722="22",B2722="23"),"16212223",IF(OR(B2722="15",B2722="17",B2722="24",B2722="25"),"15172425",B2722))),IF(U2722="CEBAS","UNICO",IF(VALUE(B2722)&lt;=11,"AMBA","INTERIOR"))))</f>
        <v>R07</v>
      </c>
      <c r="W2722" s="38" t="str">
        <f>+IF(U2722="","-",CONCATENATE(U2722,"_",V2722))</f>
        <v>FINES_R07</v>
      </c>
      <c r="X2722" s="42">
        <v>0.442</v>
      </c>
    </row>
    <row r="2723" spans="1:24">
      <c r="A2723" s="21" t="s">
        <v>5100</v>
      </c>
      <c r="B2723" t="s">
        <v>204</v>
      </c>
      <c r="C2723" t="s">
        <v>219</v>
      </c>
      <c r="D2723" t="s">
        <v>2865</v>
      </c>
      <c r="E2723" s="7" t="s">
        <v>198</v>
      </c>
      <c r="F2723" s="7" t="s">
        <v>198</v>
      </c>
      <c r="G2723" s="7" t="s">
        <v>198</v>
      </c>
      <c r="H2723" s="7" t="s">
        <v>20</v>
      </c>
      <c r="I2723" s="7" t="s">
        <v>5102</v>
      </c>
      <c r="J2723" s="7" t="s">
        <v>21</v>
      </c>
      <c r="L2723" t="s">
        <v>4036</v>
      </c>
      <c r="M2723" s="7" t="s">
        <v>22</v>
      </c>
      <c r="N2723" s="7" t="s">
        <v>23</v>
      </c>
      <c r="O2723" s="7" t="s">
        <v>27</v>
      </c>
      <c r="P2723" s="7" t="s">
        <v>5101</v>
      </c>
      <c r="Q2723" s="26">
        <v>48</v>
      </c>
      <c r="R2723" s="26">
        <v>2</v>
      </c>
      <c r="S2723" s="40">
        <v>1</v>
      </c>
      <c r="T2723" s="7"/>
      <c r="U2723" s="7" t="s">
        <v>2951</v>
      </c>
      <c r="V2723" s="7" t="str">
        <f>+IF(U2723="","",IF(U2723="FINES",CONCATENATE("R",IF(OR(B2723="16",B2723="21",B2723="22",B2723="23"),"16212223",IF(OR(B2723="15",B2723="17",B2723="24",B2723="25"),"15172425",B2723))),IF(U2723="CEBAS","UNICO",IF(VALUE(B2723)&lt;=11,"AMBA","INTERIOR"))))</f>
        <v>R07</v>
      </c>
      <c r="W2723" s="38" t="str">
        <f>+IF(U2723="","-",CONCATENATE(U2723,"_",V2723))</f>
        <v>FINES_R07</v>
      </c>
      <c r="X2723" s="42">
        <v>0.45300000000000001</v>
      </c>
    </row>
    <row r="2724" spans="1:24">
      <c r="A2724" s="21" t="s">
        <v>5100</v>
      </c>
      <c r="B2724" t="s">
        <v>204</v>
      </c>
      <c r="C2724" t="s">
        <v>1084</v>
      </c>
      <c r="D2724" t="s">
        <v>1085</v>
      </c>
      <c r="E2724" s="7" t="s">
        <v>198</v>
      </c>
      <c r="F2724" s="7" t="s">
        <v>198</v>
      </c>
      <c r="G2724" s="7" t="s">
        <v>198</v>
      </c>
      <c r="H2724" s="7" t="s">
        <v>20</v>
      </c>
      <c r="I2724" s="7" t="s">
        <v>5102</v>
      </c>
      <c r="J2724" s="7" t="s">
        <v>21</v>
      </c>
      <c r="L2724" t="s">
        <v>4021</v>
      </c>
      <c r="M2724" s="7" t="s">
        <v>22</v>
      </c>
      <c r="N2724" s="7" t="s">
        <v>23</v>
      </c>
      <c r="O2724" s="7" t="s">
        <v>27</v>
      </c>
      <c r="P2724" s="7" t="s">
        <v>5101</v>
      </c>
      <c r="Q2724" s="26">
        <v>16</v>
      </c>
      <c r="R2724" s="26">
        <v>1</v>
      </c>
      <c r="S2724" s="40">
        <v>1</v>
      </c>
      <c r="T2724" s="7"/>
      <c r="U2724" s="7" t="s">
        <v>2951</v>
      </c>
      <c r="V2724" s="7" t="str">
        <f>+IF(U2724="","",IF(U2724="FINES",CONCATENATE("R",IF(OR(B2724="16",B2724="21",B2724="22",B2724="23"),"16212223",IF(OR(B2724="15",B2724="17",B2724="24",B2724="25"),"15172425",B2724))),IF(U2724="CEBAS","UNICO",IF(VALUE(B2724)&lt;=11,"AMBA","INTERIOR"))))</f>
        <v>R07</v>
      </c>
      <c r="W2724" s="38" t="str">
        <f>+IF(U2724="","-",CONCATENATE(U2724,"_",V2724))</f>
        <v>FINES_R07</v>
      </c>
      <c r="X2724" s="42">
        <v>0.45400000000000001</v>
      </c>
    </row>
    <row r="2725" spans="1:24">
      <c r="A2725" s="21" t="s">
        <v>5100</v>
      </c>
      <c r="B2725" t="s">
        <v>204</v>
      </c>
      <c r="C2725" t="s">
        <v>137</v>
      </c>
      <c r="D2725" t="s">
        <v>2629</v>
      </c>
      <c r="E2725" s="7" t="s">
        <v>198</v>
      </c>
      <c r="F2725" s="7" t="s">
        <v>198</v>
      </c>
      <c r="G2725" s="7" t="s">
        <v>198</v>
      </c>
      <c r="H2725" s="7" t="s">
        <v>20</v>
      </c>
      <c r="I2725" s="7" t="s">
        <v>5102</v>
      </c>
      <c r="J2725" s="7" t="s">
        <v>21</v>
      </c>
      <c r="L2725" t="s">
        <v>4054</v>
      </c>
      <c r="M2725" s="7" t="s">
        <v>22</v>
      </c>
      <c r="N2725" s="7" t="s">
        <v>23</v>
      </c>
      <c r="O2725" s="7" t="s">
        <v>27</v>
      </c>
      <c r="P2725" s="7" t="s">
        <v>5101</v>
      </c>
      <c r="Q2725" s="26">
        <v>32</v>
      </c>
      <c r="R2725" s="26">
        <v>1</v>
      </c>
      <c r="S2725" s="40">
        <v>1</v>
      </c>
      <c r="T2725" s="7"/>
      <c r="U2725" s="7" t="s">
        <v>2951</v>
      </c>
      <c r="V2725" s="7" t="str">
        <f>+IF(U2725="","",IF(U2725="FINES",CONCATENATE("R",IF(OR(B2725="16",B2725="21",B2725="22",B2725="23"),"16212223",IF(OR(B2725="15",B2725="17",B2725="24",B2725="25"),"15172425",B2725))),IF(U2725="CEBAS","UNICO",IF(VALUE(B2725)&lt;=11,"AMBA","INTERIOR"))))</f>
        <v>R07</v>
      </c>
      <c r="W2725" s="38" t="str">
        <f>+IF(U2725="","-",CONCATENATE(U2725,"_",V2725))</f>
        <v>FINES_R07</v>
      </c>
      <c r="X2725" s="42">
        <v>0.45900000000000002</v>
      </c>
    </row>
    <row r="2726" spans="1:24">
      <c r="A2726" s="21" t="s">
        <v>5100</v>
      </c>
      <c r="B2726" t="s">
        <v>204</v>
      </c>
      <c r="C2726" t="s">
        <v>219</v>
      </c>
      <c r="D2726" t="s">
        <v>2865</v>
      </c>
      <c r="E2726" s="7" t="s">
        <v>198</v>
      </c>
      <c r="F2726" s="7" t="s">
        <v>198</v>
      </c>
      <c r="G2726" s="7" t="s">
        <v>198</v>
      </c>
      <c r="H2726" s="7" t="s">
        <v>20</v>
      </c>
      <c r="I2726" s="7" t="s">
        <v>5102</v>
      </c>
      <c r="J2726" s="7" t="s">
        <v>21</v>
      </c>
      <c r="L2726" t="s">
        <v>4042</v>
      </c>
      <c r="M2726" s="7" t="s">
        <v>22</v>
      </c>
      <c r="N2726" s="7" t="s">
        <v>23</v>
      </c>
      <c r="O2726" s="7" t="s">
        <v>27</v>
      </c>
      <c r="P2726" s="7" t="s">
        <v>5101</v>
      </c>
      <c r="Q2726" s="26">
        <v>18</v>
      </c>
      <c r="R2726" s="26">
        <v>1</v>
      </c>
      <c r="S2726" s="40">
        <v>1</v>
      </c>
      <c r="T2726" s="7"/>
      <c r="U2726" s="7" t="s">
        <v>2951</v>
      </c>
      <c r="V2726" s="7" t="str">
        <f>+IF(U2726="","",IF(U2726="FINES",CONCATENATE("R",IF(OR(B2726="16",B2726="21",B2726="22",B2726="23"),"16212223",IF(OR(B2726="15",B2726="17",B2726="24",B2726="25"),"15172425",B2726))),IF(U2726="CEBAS","UNICO",IF(VALUE(B2726)&lt;=11,"AMBA","INTERIOR"))))</f>
        <v>R07</v>
      </c>
      <c r="W2726" s="38" t="str">
        <f>+IF(U2726="","-",CONCATENATE(U2726,"_",V2726))</f>
        <v>FINES_R07</v>
      </c>
      <c r="X2726" s="42">
        <v>0.46</v>
      </c>
    </row>
    <row r="2727" spans="1:24">
      <c r="A2727" s="21" t="s">
        <v>5100</v>
      </c>
      <c r="B2727" t="s">
        <v>204</v>
      </c>
      <c r="C2727" t="s">
        <v>1084</v>
      </c>
      <c r="D2727" t="s">
        <v>1085</v>
      </c>
      <c r="E2727" s="7" t="s">
        <v>198</v>
      </c>
      <c r="F2727" s="7" t="s">
        <v>198</v>
      </c>
      <c r="G2727" s="7" t="s">
        <v>198</v>
      </c>
      <c r="H2727" s="7" t="s">
        <v>20</v>
      </c>
      <c r="I2727" s="7" t="s">
        <v>5102</v>
      </c>
      <c r="J2727" s="7" t="s">
        <v>21</v>
      </c>
      <c r="L2727" t="s">
        <v>4012</v>
      </c>
      <c r="M2727" s="7" t="s">
        <v>22</v>
      </c>
      <c r="N2727" s="7" t="s">
        <v>23</v>
      </c>
      <c r="O2727" s="7" t="s">
        <v>27</v>
      </c>
      <c r="P2727" s="7" t="s">
        <v>5101</v>
      </c>
      <c r="Q2727" s="26">
        <v>14</v>
      </c>
      <c r="R2727" s="26">
        <v>1</v>
      </c>
      <c r="S2727" s="40">
        <v>1</v>
      </c>
      <c r="T2727" s="7"/>
      <c r="U2727" s="7" t="s">
        <v>2951</v>
      </c>
      <c r="V2727" s="7" t="str">
        <f>+IF(U2727="","",IF(U2727="FINES",CONCATENATE("R",IF(OR(B2727="16",B2727="21",B2727="22",B2727="23"),"16212223",IF(OR(B2727="15",B2727="17",B2727="24",B2727="25"),"15172425",B2727))),IF(U2727="CEBAS","UNICO",IF(VALUE(B2727)&lt;=11,"AMBA","INTERIOR"))))</f>
        <v>R07</v>
      </c>
      <c r="W2727" s="38" t="str">
        <f>+IF(U2727="","-",CONCATENATE(U2727,"_",V2727))</f>
        <v>FINES_R07</v>
      </c>
      <c r="X2727" s="42">
        <v>0.51800000000000002</v>
      </c>
    </row>
    <row r="2728" spans="1:24">
      <c r="A2728" s="21" t="s">
        <v>5100</v>
      </c>
      <c r="B2728" t="s">
        <v>204</v>
      </c>
      <c r="C2728" t="s">
        <v>137</v>
      </c>
      <c r="D2728" t="s">
        <v>2629</v>
      </c>
      <c r="E2728" s="7" t="s">
        <v>198</v>
      </c>
      <c r="F2728" s="7" t="s">
        <v>198</v>
      </c>
      <c r="G2728" s="7" t="s">
        <v>198</v>
      </c>
      <c r="H2728" s="7" t="s">
        <v>20</v>
      </c>
      <c r="I2728" s="7" t="s">
        <v>5102</v>
      </c>
      <c r="J2728" s="7" t="s">
        <v>21</v>
      </c>
      <c r="L2728" t="s">
        <v>4056</v>
      </c>
      <c r="M2728" s="7" t="s">
        <v>22</v>
      </c>
      <c r="N2728" s="7" t="s">
        <v>23</v>
      </c>
      <c r="O2728" s="7" t="s">
        <v>27</v>
      </c>
      <c r="P2728" s="7" t="s">
        <v>5101</v>
      </c>
      <c r="Q2728" s="26">
        <v>0</v>
      </c>
      <c r="R2728" s="26">
        <v>1</v>
      </c>
      <c r="S2728" s="40">
        <v>1</v>
      </c>
      <c r="T2728" s="7"/>
      <c r="U2728" s="7" t="s">
        <v>2951</v>
      </c>
      <c r="V2728" s="7" t="str">
        <f>+IF(U2728="","",IF(U2728="FINES",CONCATENATE("R",IF(OR(B2728="16",B2728="21",B2728="22",B2728="23"),"16212223",IF(OR(B2728="15",B2728="17",B2728="24",B2728="25"),"15172425",B2728))),IF(U2728="CEBAS","UNICO",IF(VALUE(B2728)&lt;=11,"AMBA","INTERIOR"))))</f>
        <v>R07</v>
      </c>
      <c r="W2728" s="38" t="str">
        <f>+IF(U2728="","-",CONCATENATE(U2728,"_",V2728))</f>
        <v>FINES_R07</v>
      </c>
      <c r="X2728" s="42">
        <v>0.52100000000000002</v>
      </c>
    </row>
    <row r="2729" spans="1:24">
      <c r="A2729" s="21" t="s">
        <v>5100</v>
      </c>
      <c r="B2729" t="s">
        <v>204</v>
      </c>
      <c r="C2729" t="s">
        <v>137</v>
      </c>
      <c r="D2729" t="s">
        <v>2629</v>
      </c>
      <c r="E2729" s="7" t="s">
        <v>198</v>
      </c>
      <c r="F2729" s="7" t="s">
        <v>198</v>
      </c>
      <c r="G2729" s="7" t="s">
        <v>198</v>
      </c>
      <c r="H2729" s="7" t="s">
        <v>20</v>
      </c>
      <c r="I2729" s="7" t="s">
        <v>5102</v>
      </c>
      <c r="J2729" s="7" t="s">
        <v>21</v>
      </c>
      <c r="L2729" t="s">
        <v>4069</v>
      </c>
      <c r="M2729" s="7" t="s">
        <v>22</v>
      </c>
      <c r="N2729" s="7" t="s">
        <v>23</v>
      </c>
      <c r="O2729" s="7" t="s">
        <v>27</v>
      </c>
      <c r="P2729" s="7" t="s">
        <v>5101</v>
      </c>
      <c r="Q2729" s="26">
        <v>0</v>
      </c>
      <c r="R2729" s="26">
        <v>1</v>
      </c>
      <c r="S2729" s="40">
        <v>1</v>
      </c>
      <c r="T2729" s="7"/>
      <c r="U2729" s="7" t="s">
        <v>2951</v>
      </c>
      <c r="V2729" s="7" t="str">
        <f>+IF(U2729="","",IF(U2729="FINES",CONCATENATE("R",IF(OR(B2729="16",B2729="21",B2729="22",B2729="23"),"16212223",IF(OR(B2729="15",B2729="17",B2729="24",B2729="25"),"15172425",B2729))),IF(U2729="CEBAS","UNICO",IF(VALUE(B2729)&lt;=11,"AMBA","INTERIOR"))))</f>
        <v>R07</v>
      </c>
      <c r="W2729" s="38" t="str">
        <f>+IF(U2729="","-",CONCATENATE(U2729,"_",V2729))</f>
        <v>FINES_R07</v>
      </c>
      <c r="X2729" s="42">
        <v>0.53400000000000003</v>
      </c>
    </row>
    <row r="2730" spans="1:24">
      <c r="A2730" s="21" t="s">
        <v>5100</v>
      </c>
      <c r="B2730" t="s">
        <v>204</v>
      </c>
      <c r="C2730" t="s">
        <v>137</v>
      </c>
      <c r="D2730" t="s">
        <v>2629</v>
      </c>
      <c r="E2730" s="7" t="s">
        <v>198</v>
      </c>
      <c r="F2730" s="7" t="s">
        <v>198</v>
      </c>
      <c r="G2730" s="7" t="s">
        <v>198</v>
      </c>
      <c r="H2730" s="7" t="s">
        <v>20</v>
      </c>
      <c r="I2730" s="7" t="s">
        <v>5102</v>
      </c>
      <c r="J2730" s="7" t="s">
        <v>21</v>
      </c>
      <c r="L2730" t="s">
        <v>4058</v>
      </c>
      <c r="M2730" s="7" t="s">
        <v>22</v>
      </c>
      <c r="N2730" s="7" t="s">
        <v>23</v>
      </c>
      <c r="O2730" s="7" t="s">
        <v>27</v>
      </c>
      <c r="P2730" s="7" t="s">
        <v>5101</v>
      </c>
      <c r="Q2730" s="26">
        <v>32</v>
      </c>
      <c r="R2730" s="26">
        <v>1</v>
      </c>
      <c r="S2730" s="40">
        <v>1</v>
      </c>
      <c r="T2730" s="7"/>
      <c r="U2730" s="7" t="s">
        <v>2951</v>
      </c>
      <c r="V2730" s="7" t="str">
        <f>+IF(U2730="","",IF(U2730="FINES",CONCATENATE("R",IF(OR(B2730="16",B2730="21",B2730="22",B2730="23"),"16212223",IF(OR(B2730="15",B2730="17",B2730="24",B2730="25"),"15172425",B2730))),IF(U2730="CEBAS","UNICO",IF(VALUE(B2730)&lt;=11,"AMBA","INTERIOR"))))</f>
        <v>R07</v>
      </c>
      <c r="W2730" s="38" t="str">
        <f>+IF(U2730="","-",CONCATENATE(U2730,"_",V2730))</f>
        <v>FINES_R07</v>
      </c>
      <c r="X2730" s="42">
        <v>0.53900000000000003</v>
      </c>
    </row>
    <row r="2731" spans="1:24">
      <c r="A2731" s="21" t="s">
        <v>5100</v>
      </c>
      <c r="B2731" t="s">
        <v>204</v>
      </c>
      <c r="C2731" t="s">
        <v>1084</v>
      </c>
      <c r="D2731" t="s">
        <v>1085</v>
      </c>
      <c r="E2731" s="7" t="s">
        <v>198</v>
      </c>
      <c r="F2731" s="7" t="s">
        <v>198</v>
      </c>
      <c r="G2731" s="7" t="s">
        <v>198</v>
      </c>
      <c r="H2731" s="7" t="s">
        <v>20</v>
      </c>
      <c r="I2731" s="7" t="s">
        <v>5102</v>
      </c>
      <c r="J2731" s="7" t="s">
        <v>21</v>
      </c>
      <c r="L2731" t="s">
        <v>3998</v>
      </c>
      <c r="M2731" s="7" t="s">
        <v>22</v>
      </c>
      <c r="N2731" s="7" t="s">
        <v>23</v>
      </c>
      <c r="O2731" s="7" t="s">
        <v>27</v>
      </c>
      <c r="P2731" s="7" t="s">
        <v>5101</v>
      </c>
      <c r="Q2731" s="26">
        <v>39</v>
      </c>
      <c r="R2731" s="26">
        <v>2</v>
      </c>
      <c r="S2731" s="40">
        <v>1</v>
      </c>
      <c r="T2731" s="7"/>
      <c r="U2731" s="7" t="s">
        <v>2951</v>
      </c>
      <c r="V2731" s="7" t="str">
        <f>+IF(U2731="","",IF(U2731="FINES",CONCATENATE("R",IF(OR(B2731="16",B2731="21",B2731="22",B2731="23"),"16212223",IF(OR(B2731="15",B2731="17",B2731="24",B2731="25"),"15172425",B2731))),IF(U2731="CEBAS","UNICO",IF(VALUE(B2731)&lt;=11,"AMBA","INTERIOR"))))</f>
        <v>R07</v>
      </c>
      <c r="W2731" s="38" t="str">
        <f>+IF(U2731="","-",CONCATENATE(U2731,"_",V2731))</f>
        <v>FINES_R07</v>
      </c>
      <c r="X2731" s="42">
        <v>0.54700000000000004</v>
      </c>
    </row>
    <row r="2732" spans="1:24">
      <c r="A2732" s="21" t="s">
        <v>5100</v>
      </c>
      <c r="B2732" t="s">
        <v>204</v>
      </c>
      <c r="C2732" t="s">
        <v>1084</v>
      </c>
      <c r="D2732" t="s">
        <v>1085</v>
      </c>
      <c r="E2732" s="7" t="s">
        <v>198</v>
      </c>
      <c r="F2732" s="7" t="s">
        <v>198</v>
      </c>
      <c r="G2732" s="7" t="s">
        <v>198</v>
      </c>
      <c r="H2732" s="7" t="s">
        <v>20</v>
      </c>
      <c r="I2732" s="7" t="s">
        <v>5102</v>
      </c>
      <c r="J2732" s="7" t="s">
        <v>21</v>
      </c>
      <c r="L2732" t="s">
        <v>3993</v>
      </c>
      <c r="M2732" s="7" t="s">
        <v>22</v>
      </c>
      <c r="N2732" s="7" t="s">
        <v>23</v>
      </c>
      <c r="O2732" s="7" t="s">
        <v>27</v>
      </c>
      <c r="P2732" s="7" t="s">
        <v>5101</v>
      </c>
      <c r="Q2732" s="26">
        <v>17</v>
      </c>
      <c r="R2732" s="26">
        <v>1</v>
      </c>
      <c r="S2732" s="40">
        <v>1</v>
      </c>
      <c r="T2732" s="7"/>
      <c r="U2732" s="7" t="s">
        <v>2951</v>
      </c>
      <c r="V2732" s="7" t="str">
        <f>+IF(U2732="","",IF(U2732="FINES",CONCATENATE("R",IF(OR(B2732="16",B2732="21",B2732="22",B2732="23"),"16212223",IF(OR(B2732="15",B2732="17",B2732="24",B2732="25"),"15172425",B2732))),IF(U2732="CEBAS","UNICO",IF(VALUE(B2732)&lt;=11,"AMBA","INTERIOR"))))</f>
        <v>R07</v>
      </c>
      <c r="W2732" s="38" t="str">
        <f>+IF(U2732="","-",CONCATENATE(U2732,"_",V2732))</f>
        <v>FINES_R07</v>
      </c>
      <c r="X2732" s="42">
        <v>0.56499999999999995</v>
      </c>
    </row>
    <row r="2733" spans="1:24">
      <c r="A2733" s="21" t="s">
        <v>5100</v>
      </c>
      <c r="B2733" t="s">
        <v>204</v>
      </c>
      <c r="C2733" t="s">
        <v>137</v>
      </c>
      <c r="D2733" t="s">
        <v>2629</v>
      </c>
      <c r="E2733" s="7" t="s">
        <v>198</v>
      </c>
      <c r="F2733" s="7" t="s">
        <v>198</v>
      </c>
      <c r="G2733" s="7" t="s">
        <v>198</v>
      </c>
      <c r="H2733" s="7" t="s">
        <v>20</v>
      </c>
      <c r="I2733" s="7" t="s">
        <v>5102</v>
      </c>
      <c r="J2733" s="7" t="s">
        <v>21</v>
      </c>
      <c r="L2733" t="s">
        <v>4065</v>
      </c>
      <c r="M2733" s="7" t="s">
        <v>22</v>
      </c>
      <c r="N2733" s="7" t="s">
        <v>23</v>
      </c>
      <c r="O2733" s="7" t="s">
        <v>27</v>
      </c>
      <c r="P2733" s="7" t="s">
        <v>5101</v>
      </c>
      <c r="Q2733" s="26">
        <v>59</v>
      </c>
      <c r="R2733" s="26">
        <v>2</v>
      </c>
      <c r="S2733" s="40">
        <v>1</v>
      </c>
      <c r="T2733" s="7"/>
      <c r="U2733" s="7" t="s">
        <v>2951</v>
      </c>
      <c r="V2733" s="7" t="str">
        <f>+IF(U2733="","",IF(U2733="FINES",CONCATENATE("R",IF(OR(B2733="16",B2733="21",B2733="22",B2733="23"),"16212223",IF(OR(B2733="15",B2733="17",B2733="24",B2733="25"),"15172425",B2733))),IF(U2733="CEBAS","UNICO",IF(VALUE(B2733)&lt;=11,"AMBA","INTERIOR"))))</f>
        <v>R07</v>
      </c>
      <c r="W2733" s="38" t="str">
        <f>+IF(U2733="","-",CONCATENATE(U2733,"_",V2733))</f>
        <v>FINES_R07</v>
      </c>
      <c r="X2733" s="42">
        <v>0.56799999999999995</v>
      </c>
    </row>
    <row r="2734" spans="1:24">
      <c r="A2734" s="21" t="s">
        <v>5100</v>
      </c>
      <c r="B2734" t="s">
        <v>204</v>
      </c>
      <c r="C2734" t="s">
        <v>1084</v>
      </c>
      <c r="D2734" t="s">
        <v>1085</v>
      </c>
      <c r="E2734" s="7" t="s">
        <v>198</v>
      </c>
      <c r="F2734" s="7" t="s">
        <v>198</v>
      </c>
      <c r="G2734" s="7" t="s">
        <v>198</v>
      </c>
      <c r="H2734" s="7" t="s">
        <v>20</v>
      </c>
      <c r="I2734" s="7" t="s">
        <v>5102</v>
      </c>
      <c r="J2734" s="7" t="s">
        <v>21</v>
      </c>
      <c r="L2734" t="s">
        <v>3989</v>
      </c>
      <c r="M2734" s="7" t="s">
        <v>22</v>
      </c>
      <c r="N2734" s="7" t="s">
        <v>23</v>
      </c>
      <c r="O2734" s="7" t="s">
        <v>27</v>
      </c>
      <c r="P2734" s="7" t="s">
        <v>5101</v>
      </c>
      <c r="Q2734" s="26">
        <v>24</v>
      </c>
      <c r="R2734" s="26">
        <v>1</v>
      </c>
      <c r="S2734" s="40">
        <v>1</v>
      </c>
      <c r="T2734" s="7"/>
      <c r="U2734" s="7" t="s">
        <v>2951</v>
      </c>
      <c r="V2734" s="7" t="str">
        <f>+IF(U2734="","",IF(U2734="FINES",CONCATENATE("R",IF(OR(B2734="16",B2734="21",B2734="22",B2734="23"),"16212223",IF(OR(B2734="15",B2734="17",B2734="24",B2734="25"),"15172425",B2734))),IF(U2734="CEBAS","UNICO",IF(VALUE(B2734)&lt;=11,"AMBA","INTERIOR"))))</f>
        <v>R07</v>
      </c>
      <c r="W2734" s="38" t="str">
        <f>+IF(U2734="","-",CONCATENATE(U2734,"_",V2734))</f>
        <v>FINES_R07</v>
      </c>
      <c r="X2734" s="42">
        <v>0.60499999999999998</v>
      </c>
    </row>
    <row r="2735" spans="1:24">
      <c r="A2735" s="21" t="s">
        <v>5100</v>
      </c>
      <c r="B2735" t="s">
        <v>204</v>
      </c>
      <c r="C2735" t="s">
        <v>137</v>
      </c>
      <c r="D2735" t="s">
        <v>2629</v>
      </c>
      <c r="E2735" s="7" t="s">
        <v>198</v>
      </c>
      <c r="F2735" s="7" t="s">
        <v>198</v>
      </c>
      <c r="G2735" s="7" t="s">
        <v>198</v>
      </c>
      <c r="H2735" s="7" t="s">
        <v>20</v>
      </c>
      <c r="I2735" s="7" t="s">
        <v>5102</v>
      </c>
      <c r="J2735" s="7" t="s">
        <v>21</v>
      </c>
      <c r="L2735" t="s">
        <v>4053</v>
      </c>
      <c r="M2735" s="7" t="s">
        <v>22</v>
      </c>
      <c r="N2735" s="7" t="s">
        <v>23</v>
      </c>
      <c r="O2735" s="7" t="s">
        <v>27</v>
      </c>
      <c r="P2735" s="7" t="s">
        <v>5101</v>
      </c>
      <c r="Q2735" s="26">
        <v>22</v>
      </c>
      <c r="R2735" s="26">
        <v>2</v>
      </c>
      <c r="S2735" s="40">
        <v>1</v>
      </c>
      <c r="T2735" s="7"/>
      <c r="U2735" s="7" t="s">
        <v>2951</v>
      </c>
      <c r="V2735" s="7" t="str">
        <f>+IF(U2735="","",IF(U2735="FINES",CONCATENATE("R",IF(OR(B2735="16",B2735="21",B2735="22",B2735="23"),"16212223",IF(OR(B2735="15",B2735="17",B2735="24",B2735="25"),"15172425",B2735))),IF(U2735="CEBAS","UNICO",IF(VALUE(B2735)&lt;=11,"AMBA","INTERIOR"))))</f>
        <v>R07</v>
      </c>
      <c r="W2735" s="38" t="str">
        <f>+IF(U2735="","-",CONCATENATE(U2735,"_",V2735))</f>
        <v>FINES_R07</v>
      </c>
      <c r="X2735" s="42">
        <v>0.626</v>
      </c>
    </row>
    <row r="2736" spans="1:24">
      <c r="A2736" s="21" t="s">
        <v>5100</v>
      </c>
      <c r="B2736" t="s">
        <v>204</v>
      </c>
      <c r="C2736" t="s">
        <v>219</v>
      </c>
      <c r="D2736" t="s">
        <v>2865</v>
      </c>
      <c r="E2736" s="7" t="s">
        <v>198</v>
      </c>
      <c r="F2736" s="7" t="s">
        <v>198</v>
      </c>
      <c r="G2736" s="7" t="s">
        <v>198</v>
      </c>
      <c r="H2736" s="7" t="s">
        <v>20</v>
      </c>
      <c r="I2736" s="7" t="s">
        <v>5102</v>
      </c>
      <c r="J2736" s="7" t="s">
        <v>21</v>
      </c>
      <c r="L2736" t="s">
        <v>4039</v>
      </c>
      <c r="M2736" s="7" t="s">
        <v>22</v>
      </c>
      <c r="N2736" s="7" t="s">
        <v>23</v>
      </c>
      <c r="O2736" s="7" t="s">
        <v>27</v>
      </c>
      <c r="P2736" s="7" t="s">
        <v>5101</v>
      </c>
      <c r="Q2736" s="26">
        <v>24</v>
      </c>
      <c r="R2736" s="26">
        <v>1</v>
      </c>
      <c r="S2736" s="40">
        <v>1</v>
      </c>
      <c r="T2736" s="7"/>
      <c r="U2736" s="7" t="s">
        <v>2951</v>
      </c>
      <c r="V2736" s="7" t="str">
        <f>+IF(U2736="","",IF(U2736="FINES",CONCATENATE("R",IF(OR(B2736="16",B2736="21",B2736="22",B2736="23"),"16212223",IF(OR(B2736="15",B2736="17",B2736="24",B2736="25"),"15172425",B2736))),IF(U2736="CEBAS","UNICO",IF(VALUE(B2736)&lt;=11,"AMBA","INTERIOR"))))</f>
        <v>R07</v>
      </c>
      <c r="W2736" s="38" t="str">
        <f>+IF(U2736="","-",CONCATENATE(U2736,"_",V2736))</f>
        <v>FINES_R07</v>
      </c>
      <c r="X2736" s="42">
        <v>0.63100000000000001</v>
      </c>
    </row>
    <row r="2737" spans="1:24">
      <c r="A2737" s="21" t="s">
        <v>5100</v>
      </c>
      <c r="B2737" t="s">
        <v>204</v>
      </c>
      <c r="C2737" t="s">
        <v>1084</v>
      </c>
      <c r="D2737" t="s">
        <v>1085</v>
      </c>
      <c r="E2737" s="7" t="s">
        <v>198</v>
      </c>
      <c r="F2737" s="7" t="s">
        <v>198</v>
      </c>
      <c r="G2737" s="7" t="s">
        <v>198</v>
      </c>
      <c r="H2737" s="7" t="s">
        <v>20</v>
      </c>
      <c r="I2737" s="7" t="s">
        <v>5102</v>
      </c>
      <c r="J2737" s="7" t="s">
        <v>21</v>
      </c>
      <c r="L2737" t="s">
        <v>4019</v>
      </c>
      <c r="M2737" s="7" t="s">
        <v>22</v>
      </c>
      <c r="N2737" s="7" t="s">
        <v>23</v>
      </c>
      <c r="O2737" s="7" t="s">
        <v>27</v>
      </c>
      <c r="P2737" s="7" t="s">
        <v>5101</v>
      </c>
      <c r="Q2737" s="26">
        <v>0</v>
      </c>
      <c r="R2737" s="26">
        <v>1</v>
      </c>
      <c r="S2737" s="40">
        <v>1</v>
      </c>
      <c r="T2737" s="7"/>
      <c r="U2737" s="7" t="s">
        <v>2951</v>
      </c>
      <c r="V2737" s="7" t="str">
        <f>+IF(U2737="","",IF(U2737="FINES",CONCATENATE("R",IF(OR(B2737="16",B2737="21",B2737="22",B2737="23"),"16212223",IF(OR(B2737="15",B2737="17",B2737="24",B2737="25"),"15172425",B2737))),IF(U2737="CEBAS","UNICO",IF(VALUE(B2737)&lt;=11,"AMBA","INTERIOR"))))</f>
        <v>R07</v>
      </c>
      <c r="W2737" s="38" t="str">
        <f>+IF(U2737="","-",CONCATENATE(U2737,"_",V2737))</f>
        <v>FINES_R07</v>
      </c>
      <c r="X2737" s="42">
        <v>0.63600000000000001</v>
      </c>
    </row>
    <row r="2738" spans="1:24">
      <c r="A2738" s="21" t="s">
        <v>5100</v>
      </c>
      <c r="B2738" t="s">
        <v>204</v>
      </c>
      <c r="C2738" t="s">
        <v>219</v>
      </c>
      <c r="D2738" t="s">
        <v>2865</v>
      </c>
      <c r="E2738" s="7" t="s">
        <v>198</v>
      </c>
      <c r="F2738" s="7" t="s">
        <v>198</v>
      </c>
      <c r="G2738" s="7" t="s">
        <v>198</v>
      </c>
      <c r="H2738" s="7" t="s">
        <v>20</v>
      </c>
      <c r="I2738" s="7" t="s">
        <v>5102</v>
      </c>
      <c r="J2738" s="7" t="s">
        <v>21</v>
      </c>
      <c r="L2738" t="s">
        <v>4030</v>
      </c>
      <c r="M2738" s="7" t="s">
        <v>22</v>
      </c>
      <c r="N2738" s="7" t="s">
        <v>23</v>
      </c>
      <c r="O2738" s="7" t="s">
        <v>27</v>
      </c>
      <c r="P2738" s="7" t="s">
        <v>5101</v>
      </c>
      <c r="Q2738" s="26">
        <v>19</v>
      </c>
      <c r="R2738" s="26">
        <v>1</v>
      </c>
      <c r="S2738" s="40">
        <v>1</v>
      </c>
      <c r="T2738" s="7"/>
      <c r="U2738" s="7" t="s">
        <v>2951</v>
      </c>
      <c r="V2738" s="7" t="str">
        <f>+IF(U2738="","",IF(U2738="FINES",CONCATENATE("R",IF(OR(B2738="16",B2738="21",B2738="22",B2738="23"),"16212223",IF(OR(B2738="15",B2738="17",B2738="24",B2738="25"),"15172425",B2738))),IF(U2738="CEBAS","UNICO",IF(VALUE(B2738)&lt;=11,"AMBA","INTERIOR"))))</f>
        <v>R07</v>
      </c>
      <c r="W2738" s="38" t="str">
        <f>+IF(U2738="","-",CONCATENATE(U2738,"_",V2738))</f>
        <v>FINES_R07</v>
      </c>
      <c r="X2738" s="42">
        <v>0.63800000000000001</v>
      </c>
    </row>
    <row r="2739" spans="1:24">
      <c r="A2739" s="21" t="s">
        <v>5100</v>
      </c>
      <c r="B2739" t="s">
        <v>204</v>
      </c>
      <c r="C2739" t="s">
        <v>1084</v>
      </c>
      <c r="D2739" t="s">
        <v>1085</v>
      </c>
      <c r="E2739" s="7" t="s">
        <v>198</v>
      </c>
      <c r="F2739" s="7" t="s">
        <v>198</v>
      </c>
      <c r="G2739" s="7" t="s">
        <v>198</v>
      </c>
      <c r="H2739" s="7" t="s">
        <v>20</v>
      </c>
      <c r="I2739" s="7" t="s">
        <v>5102</v>
      </c>
      <c r="J2739" s="7" t="s">
        <v>21</v>
      </c>
      <c r="L2739" t="s">
        <v>4005</v>
      </c>
      <c r="M2739" s="7" t="s">
        <v>22</v>
      </c>
      <c r="N2739" s="7" t="s">
        <v>23</v>
      </c>
      <c r="O2739" s="7" t="s">
        <v>27</v>
      </c>
      <c r="P2739" s="7" t="s">
        <v>5101</v>
      </c>
      <c r="Q2739" s="26">
        <v>16</v>
      </c>
      <c r="R2739" s="26">
        <v>1</v>
      </c>
      <c r="S2739" s="40">
        <v>1</v>
      </c>
      <c r="T2739" s="7"/>
      <c r="U2739" s="7" t="s">
        <v>2951</v>
      </c>
      <c r="V2739" s="7" t="str">
        <f>+IF(U2739="","",IF(U2739="FINES",CONCATENATE("R",IF(OR(B2739="16",B2739="21",B2739="22",B2739="23"),"16212223",IF(OR(B2739="15",B2739="17",B2739="24",B2739="25"),"15172425",B2739))),IF(U2739="CEBAS","UNICO",IF(VALUE(B2739)&lt;=11,"AMBA","INTERIOR"))))</f>
        <v>R07</v>
      </c>
      <c r="W2739" s="38" t="str">
        <f>+IF(U2739="","-",CONCATENATE(U2739,"_",V2739))</f>
        <v>FINES_R07</v>
      </c>
      <c r="X2739" s="42">
        <v>0.64100000000000001</v>
      </c>
    </row>
    <row r="2740" spans="1:24">
      <c r="A2740" s="21" t="s">
        <v>5100</v>
      </c>
      <c r="B2740" t="s">
        <v>204</v>
      </c>
      <c r="C2740" t="s">
        <v>1084</v>
      </c>
      <c r="D2740" t="s">
        <v>1085</v>
      </c>
      <c r="E2740" s="7" t="s">
        <v>198</v>
      </c>
      <c r="F2740" s="7" t="s">
        <v>198</v>
      </c>
      <c r="G2740" s="7" t="s">
        <v>198</v>
      </c>
      <c r="H2740" s="7" t="s">
        <v>20</v>
      </c>
      <c r="I2740" s="7" t="s">
        <v>5102</v>
      </c>
      <c r="J2740" s="7" t="s">
        <v>21</v>
      </c>
      <c r="L2740" t="s">
        <v>3996</v>
      </c>
      <c r="M2740" s="7" t="s">
        <v>22</v>
      </c>
      <c r="N2740" s="7" t="s">
        <v>23</v>
      </c>
      <c r="O2740" s="7" t="s">
        <v>27</v>
      </c>
      <c r="P2740" s="7" t="s">
        <v>5101</v>
      </c>
      <c r="Q2740" s="26">
        <v>0</v>
      </c>
      <c r="R2740" s="26">
        <v>1</v>
      </c>
      <c r="S2740" s="40">
        <v>1</v>
      </c>
      <c r="T2740" s="7"/>
      <c r="U2740" s="7" t="s">
        <v>2951</v>
      </c>
      <c r="V2740" s="7" t="str">
        <f>+IF(U2740="","",IF(U2740="FINES",CONCATENATE("R",IF(OR(B2740="16",B2740="21",B2740="22",B2740="23"),"16212223",IF(OR(B2740="15",B2740="17",B2740="24",B2740="25"),"15172425",B2740))),IF(U2740="CEBAS","UNICO",IF(VALUE(B2740)&lt;=11,"AMBA","INTERIOR"))))</f>
        <v>R07</v>
      </c>
      <c r="W2740" s="38" t="str">
        <f>+IF(U2740="","-",CONCATENATE(U2740,"_",V2740))</f>
        <v>FINES_R07</v>
      </c>
      <c r="X2740" s="42">
        <v>0.65300000000000002</v>
      </c>
    </row>
    <row r="2741" spans="1:24">
      <c r="A2741" s="21" t="s">
        <v>5100</v>
      </c>
      <c r="B2741" t="s">
        <v>204</v>
      </c>
      <c r="C2741" t="s">
        <v>1084</v>
      </c>
      <c r="D2741" t="s">
        <v>1085</v>
      </c>
      <c r="E2741" s="7" t="s">
        <v>198</v>
      </c>
      <c r="F2741" s="7" t="s">
        <v>198</v>
      </c>
      <c r="G2741" s="7" t="s">
        <v>198</v>
      </c>
      <c r="H2741" s="7" t="s">
        <v>20</v>
      </c>
      <c r="I2741" s="7" t="s">
        <v>5102</v>
      </c>
      <c r="J2741" s="7" t="s">
        <v>21</v>
      </c>
      <c r="L2741" t="s">
        <v>3986</v>
      </c>
      <c r="M2741" s="7" t="s">
        <v>22</v>
      </c>
      <c r="N2741" s="7" t="s">
        <v>23</v>
      </c>
      <c r="O2741" s="7" t="s">
        <v>27</v>
      </c>
      <c r="P2741" s="7" t="s">
        <v>5101</v>
      </c>
      <c r="Q2741" s="26">
        <v>9</v>
      </c>
      <c r="R2741" s="26">
        <v>1</v>
      </c>
      <c r="S2741" s="40">
        <v>1</v>
      </c>
      <c r="T2741" s="7"/>
      <c r="U2741" s="7" t="s">
        <v>2951</v>
      </c>
      <c r="V2741" s="7" t="str">
        <f>+IF(U2741="","",IF(U2741="FINES",CONCATENATE("R",IF(OR(B2741="16",B2741="21",B2741="22",B2741="23"),"16212223",IF(OR(B2741="15",B2741="17",B2741="24",B2741="25"),"15172425",B2741))),IF(U2741="CEBAS","UNICO",IF(VALUE(B2741)&lt;=11,"AMBA","INTERIOR"))))</f>
        <v>R07</v>
      </c>
      <c r="W2741" s="38" t="str">
        <f>+IF(U2741="","-",CONCATENATE(U2741,"_",V2741))</f>
        <v>FINES_R07</v>
      </c>
      <c r="X2741" s="42">
        <v>0.65800000000000003</v>
      </c>
    </row>
    <row r="2742" spans="1:24">
      <c r="A2742" s="21" t="s">
        <v>5100</v>
      </c>
      <c r="B2742" t="s">
        <v>204</v>
      </c>
      <c r="C2742" t="s">
        <v>1084</v>
      </c>
      <c r="D2742" t="s">
        <v>1085</v>
      </c>
      <c r="E2742" s="7" t="s">
        <v>198</v>
      </c>
      <c r="F2742" s="7" t="s">
        <v>198</v>
      </c>
      <c r="G2742" s="7" t="s">
        <v>198</v>
      </c>
      <c r="H2742" s="7" t="s">
        <v>20</v>
      </c>
      <c r="I2742" s="7" t="s">
        <v>5102</v>
      </c>
      <c r="J2742" s="7" t="s">
        <v>21</v>
      </c>
      <c r="L2742" t="s">
        <v>4001</v>
      </c>
      <c r="M2742" s="7" t="s">
        <v>22</v>
      </c>
      <c r="N2742" s="7" t="s">
        <v>23</v>
      </c>
      <c r="O2742" s="7" t="s">
        <v>27</v>
      </c>
      <c r="P2742" s="7" t="s">
        <v>5101</v>
      </c>
      <c r="Q2742" s="26">
        <v>0</v>
      </c>
      <c r="R2742" s="26">
        <v>1</v>
      </c>
      <c r="S2742" s="40">
        <v>1</v>
      </c>
      <c r="T2742" s="7"/>
      <c r="U2742" s="7" t="s">
        <v>2951</v>
      </c>
      <c r="V2742" s="7" t="str">
        <f>+IF(U2742="","",IF(U2742="FINES",CONCATENATE("R",IF(OR(B2742="16",B2742="21",B2742="22",B2742="23"),"16212223",IF(OR(B2742="15",B2742="17",B2742="24",B2742="25"),"15172425",B2742))),IF(U2742="CEBAS","UNICO",IF(VALUE(B2742)&lt;=11,"AMBA","INTERIOR"))))</f>
        <v>R07</v>
      </c>
      <c r="W2742" s="38" t="str">
        <f>+IF(U2742="","-",CONCATENATE(U2742,"_",V2742))</f>
        <v>FINES_R07</v>
      </c>
      <c r="X2742" s="42">
        <v>0.68500000000000005</v>
      </c>
    </row>
    <row r="2743" spans="1:24">
      <c r="A2743" s="21" t="s">
        <v>5100</v>
      </c>
      <c r="B2743" t="s">
        <v>204</v>
      </c>
      <c r="C2743" t="s">
        <v>1084</v>
      </c>
      <c r="D2743" t="s">
        <v>1085</v>
      </c>
      <c r="E2743" s="7" t="s">
        <v>198</v>
      </c>
      <c r="F2743" s="7" t="s">
        <v>198</v>
      </c>
      <c r="G2743" s="7" t="s">
        <v>198</v>
      </c>
      <c r="H2743" s="7" t="s">
        <v>20</v>
      </c>
      <c r="I2743" s="7" t="s">
        <v>5102</v>
      </c>
      <c r="J2743" s="7" t="s">
        <v>21</v>
      </c>
      <c r="L2743" t="s">
        <v>4022</v>
      </c>
      <c r="M2743" s="7" t="s">
        <v>22</v>
      </c>
      <c r="N2743" s="7" t="s">
        <v>23</v>
      </c>
      <c r="O2743" s="7" t="s">
        <v>27</v>
      </c>
      <c r="P2743" s="7" t="s">
        <v>5101</v>
      </c>
      <c r="Q2743" s="26">
        <v>20</v>
      </c>
      <c r="R2743" s="26">
        <v>1</v>
      </c>
      <c r="S2743" s="40">
        <v>1</v>
      </c>
      <c r="T2743" s="7"/>
      <c r="U2743" s="7" t="s">
        <v>2951</v>
      </c>
      <c r="V2743" s="7" t="str">
        <f>+IF(U2743="","",IF(U2743="FINES",CONCATENATE("R",IF(OR(B2743="16",B2743="21",B2743="22",B2743="23"),"16212223",IF(OR(B2743="15",B2743="17",B2743="24",B2743="25"),"15172425",B2743))),IF(U2743="CEBAS","UNICO",IF(VALUE(B2743)&lt;=11,"AMBA","INTERIOR"))))</f>
        <v>R07</v>
      </c>
      <c r="W2743" s="38" t="str">
        <f>+IF(U2743="","-",CONCATENATE(U2743,"_",V2743))</f>
        <v>FINES_R07</v>
      </c>
      <c r="X2743" s="42">
        <v>0.70199999999999996</v>
      </c>
    </row>
    <row r="2744" spans="1:24">
      <c r="A2744" s="21" t="s">
        <v>5100</v>
      </c>
      <c r="B2744" t="s">
        <v>204</v>
      </c>
      <c r="C2744" t="s">
        <v>1084</v>
      </c>
      <c r="D2744" t="s">
        <v>1085</v>
      </c>
      <c r="E2744" s="7" t="s">
        <v>198</v>
      </c>
      <c r="F2744" s="7" t="s">
        <v>198</v>
      </c>
      <c r="G2744" s="7" t="s">
        <v>198</v>
      </c>
      <c r="H2744" s="7" t="s">
        <v>20</v>
      </c>
      <c r="I2744" s="7" t="s">
        <v>5102</v>
      </c>
      <c r="J2744" s="7" t="s">
        <v>21</v>
      </c>
      <c r="L2744" t="s">
        <v>4020</v>
      </c>
      <c r="M2744" s="7" t="s">
        <v>22</v>
      </c>
      <c r="N2744" s="7" t="s">
        <v>23</v>
      </c>
      <c r="O2744" s="7" t="s">
        <v>27</v>
      </c>
      <c r="P2744" s="7" t="s">
        <v>5101</v>
      </c>
      <c r="Q2744" s="26">
        <v>21</v>
      </c>
      <c r="R2744" s="26">
        <v>2</v>
      </c>
      <c r="S2744" s="40">
        <v>1</v>
      </c>
      <c r="T2744" s="7"/>
      <c r="U2744" s="7" t="s">
        <v>2951</v>
      </c>
      <c r="V2744" s="7" t="str">
        <f>+IF(U2744="","",IF(U2744="FINES",CONCATENATE("R",IF(OR(B2744="16",B2744="21",B2744="22",B2744="23"),"16212223",IF(OR(B2744="15",B2744="17",B2744="24",B2744="25"),"15172425",B2744))),IF(U2744="CEBAS","UNICO",IF(VALUE(B2744)&lt;=11,"AMBA","INTERIOR"))))</f>
        <v>R07</v>
      </c>
      <c r="W2744" s="38" t="str">
        <f>+IF(U2744="","-",CONCATENATE(U2744,"_",V2744))</f>
        <v>FINES_R07</v>
      </c>
      <c r="X2744" s="42">
        <v>0.70399999999999996</v>
      </c>
    </row>
    <row r="2745" spans="1:24">
      <c r="A2745" s="21" t="s">
        <v>5100</v>
      </c>
      <c r="B2745" t="s">
        <v>204</v>
      </c>
      <c r="C2745" t="s">
        <v>219</v>
      </c>
      <c r="D2745" t="s">
        <v>2865</v>
      </c>
      <c r="E2745" s="7" t="s">
        <v>198</v>
      </c>
      <c r="F2745" s="7" t="s">
        <v>198</v>
      </c>
      <c r="G2745" s="7" t="s">
        <v>198</v>
      </c>
      <c r="H2745" s="7" t="s">
        <v>20</v>
      </c>
      <c r="I2745" s="7" t="s">
        <v>5102</v>
      </c>
      <c r="J2745" s="7" t="s">
        <v>21</v>
      </c>
      <c r="L2745" t="s">
        <v>4031</v>
      </c>
      <c r="M2745" s="7" t="s">
        <v>22</v>
      </c>
      <c r="N2745" s="7" t="s">
        <v>23</v>
      </c>
      <c r="O2745" s="7" t="s">
        <v>27</v>
      </c>
      <c r="P2745" s="7" t="s">
        <v>5101</v>
      </c>
      <c r="Q2745" s="26">
        <v>21</v>
      </c>
      <c r="R2745" s="26">
        <v>1</v>
      </c>
      <c r="S2745" s="40">
        <v>1</v>
      </c>
      <c r="T2745" s="7"/>
      <c r="U2745" s="7" t="s">
        <v>2951</v>
      </c>
      <c r="V2745" s="7" t="str">
        <f>+IF(U2745="","",IF(U2745="FINES",CONCATENATE("R",IF(OR(B2745="16",B2745="21",B2745="22",B2745="23"),"16212223",IF(OR(B2745="15",B2745="17",B2745="24",B2745="25"),"15172425",B2745))),IF(U2745="CEBAS","UNICO",IF(VALUE(B2745)&lt;=11,"AMBA","INTERIOR"))))</f>
        <v>R07</v>
      </c>
      <c r="W2745" s="38" t="str">
        <f>+IF(U2745="","-",CONCATENATE(U2745,"_",V2745))</f>
        <v>FINES_R07</v>
      </c>
      <c r="X2745" s="42">
        <v>0.70599999999999996</v>
      </c>
    </row>
    <row r="2746" spans="1:24">
      <c r="A2746" s="21" t="s">
        <v>5100</v>
      </c>
      <c r="B2746" t="s">
        <v>204</v>
      </c>
      <c r="C2746" t="s">
        <v>1084</v>
      </c>
      <c r="D2746" t="s">
        <v>1085</v>
      </c>
      <c r="E2746" s="7" t="s">
        <v>198</v>
      </c>
      <c r="F2746" s="7" t="s">
        <v>198</v>
      </c>
      <c r="G2746" s="7" t="s">
        <v>198</v>
      </c>
      <c r="H2746" s="7" t="s">
        <v>20</v>
      </c>
      <c r="I2746" s="7" t="s">
        <v>5102</v>
      </c>
      <c r="J2746" s="7" t="s">
        <v>21</v>
      </c>
      <c r="L2746" t="s">
        <v>3995</v>
      </c>
      <c r="M2746" s="7" t="s">
        <v>22</v>
      </c>
      <c r="N2746" s="7" t="s">
        <v>23</v>
      </c>
      <c r="O2746" s="7" t="s">
        <v>27</v>
      </c>
      <c r="P2746" s="7" t="s">
        <v>5101</v>
      </c>
      <c r="Q2746" s="26">
        <v>32</v>
      </c>
      <c r="R2746" s="26">
        <v>1</v>
      </c>
      <c r="S2746" s="40">
        <v>1</v>
      </c>
      <c r="T2746" s="7"/>
      <c r="U2746" s="7" t="s">
        <v>2951</v>
      </c>
      <c r="V2746" s="7" t="str">
        <f>+IF(U2746="","",IF(U2746="FINES",CONCATENATE("R",IF(OR(B2746="16",B2746="21",B2746="22",B2746="23"),"16212223",IF(OR(B2746="15",B2746="17",B2746="24",B2746="25"),"15172425",B2746))),IF(U2746="CEBAS","UNICO",IF(VALUE(B2746)&lt;=11,"AMBA","INTERIOR"))))</f>
        <v>R07</v>
      </c>
      <c r="W2746" s="38" t="str">
        <f>+IF(U2746="","-",CONCATENATE(U2746,"_",V2746))</f>
        <v>FINES_R07</v>
      </c>
      <c r="X2746" s="42">
        <v>0.71699999999999997</v>
      </c>
    </row>
    <row r="2747" spans="1:24">
      <c r="A2747" s="21" t="s">
        <v>5100</v>
      </c>
      <c r="B2747" t="s">
        <v>204</v>
      </c>
      <c r="C2747" t="s">
        <v>1084</v>
      </c>
      <c r="D2747" t="s">
        <v>1085</v>
      </c>
      <c r="E2747" s="7" t="s">
        <v>198</v>
      </c>
      <c r="F2747" s="7" t="s">
        <v>198</v>
      </c>
      <c r="G2747" s="7" t="s">
        <v>198</v>
      </c>
      <c r="H2747" s="7" t="s">
        <v>20</v>
      </c>
      <c r="I2747" s="7" t="s">
        <v>5102</v>
      </c>
      <c r="J2747" s="7" t="s">
        <v>21</v>
      </c>
      <c r="L2747" t="s">
        <v>4010</v>
      </c>
      <c r="M2747" s="7" t="s">
        <v>22</v>
      </c>
      <c r="N2747" s="7" t="s">
        <v>23</v>
      </c>
      <c r="O2747" s="7" t="s">
        <v>27</v>
      </c>
      <c r="P2747" s="7" t="s">
        <v>5101</v>
      </c>
      <c r="Q2747" s="26">
        <v>21</v>
      </c>
      <c r="R2747" s="26">
        <v>3</v>
      </c>
      <c r="S2747" s="40">
        <v>1</v>
      </c>
      <c r="T2747" s="7"/>
      <c r="U2747" s="7" t="s">
        <v>2951</v>
      </c>
      <c r="V2747" s="7" t="str">
        <f>+IF(U2747="","",IF(U2747="FINES",CONCATENATE("R",IF(OR(B2747="16",B2747="21",B2747="22",B2747="23"),"16212223",IF(OR(B2747="15",B2747="17",B2747="24",B2747="25"),"15172425",B2747))),IF(U2747="CEBAS","UNICO",IF(VALUE(B2747)&lt;=11,"AMBA","INTERIOR"))))</f>
        <v>R07</v>
      </c>
      <c r="W2747" s="38" t="str">
        <f>+IF(U2747="","-",CONCATENATE(U2747,"_",V2747))</f>
        <v>FINES_R07</v>
      </c>
      <c r="X2747" s="42">
        <v>0.71799999999999997</v>
      </c>
    </row>
    <row r="2748" spans="1:24">
      <c r="A2748" s="21" t="s">
        <v>5100</v>
      </c>
      <c r="B2748" t="s">
        <v>204</v>
      </c>
      <c r="C2748" t="s">
        <v>137</v>
      </c>
      <c r="D2748" t="s">
        <v>2629</v>
      </c>
      <c r="E2748" s="7" t="s">
        <v>198</v>
      </c>
      <c r="F2748" s="7" t="s">
        <v>198</v>
      </c>
      <c r="G2748" s="7" t="s">
        <v>198</v>
      </c>
      <c r="H2748" s="7" t="s">
        <v>20</v>
      </c>
      <c r="I2748" s="7" t="s">
        <v>5102</v>
      </c>
      <c r="J2748" s="7" t="s">
        <v>21</v>
      </c>
      <c r="L2748" t="s">
        <v>4045</v>
      </c>
      <c r="M2748" s="7" t="s">
        <v>22</v>
      </c>
      <c r="N2748" s="7" t="s">
        <v>23</v>
      </c>
      <c r="O2748" s="7" t="s">
        <v>27</v>
      </c>
      <c r="P2748" s="7" t="s">
        <v>5101</v>
      </c>
      <c r="Q2748" s="26">
        <v>24</v>
      </c>
      <c r="R2748" s="26">
        <v>1</v>
      </c>
      <c r="S2748" s="40">
        <v>1</v>
      </c>
      <c r="T2748" s="7"/>
      <c r="U2748" s="7" t="s">
        <v>2951</v>
      </c>
      <c r="V2748" s="7" t="str">
        <f>+IF(U2748="","",IF(U2748="FINES",CONCATENATE("R",IF(OR(B2748="16",B2748="21",B2748="22",B2748="23"),"16212223",IF(OR(B2748="15",B2748="17",B2748="24",B2748="25"),"15172425",B2748))),IF(U2748="CEBAS","UNICO",IF(VALUE(B2748)&lt;=11,"AMBA","INTERIOR"))))</f>
        <v>R07</v>
      </c>
      <c r="W2748" s="38" t="str">
        <f>+IF(U2748="","-",CONCATENATE(U2748,"_",V2748))</f>
        <v>FINES_R07</v>
      </c>
      <c r="X2748" s="42">
        <v>0.77</v>
      </c>
    </row>
    <row r="2749" spans="1:24">
      <c r="A2749" s="21" t="s">
        <v>5100</v>
      </c>
      <c r="B2749" t="s">
        <v>204</v>
      </c>
      <c r="C2749" t="s">
        <v>1084</v>
      </c>
      <c r="D2749" t="s">
        <v>1085</v>
      </c>
      <c r="E2749" s="7" t="s">
        <v>198</v>
      </c>
      <c r="F2749" s="7" t="s">
        <v>198</v>
      </c>
      <c r="G2749" s="7" t="s">
        <v>198</v>
      </c>
      <c r="H2749" s="7" t="s">
        <v>20</v>
      </c>
      <c r="I2749" s="7" t="s">
        <v>5102</v>
      </c>
      <c r="J2749" s="7" t="s">
        <v>21</v>
      </c>
      <c r="L2749" t="s">
        <v>4025</v>
      </c>
      <c r="M2749" s="7" t="s">
        <v>22</v>
      </c>
      <c r="N2749" s="7" t="s">
        <v>23</v>
      </c>
      <c r="O2749" s="7" t="s">
        <v>27</v>
      </c>
      <c r="P2749" s="7" t="s">
        <v>5101</v>
      </c>
      <c r="Q2749" s="26">
        <v>0</v>
      </c>
      <c r="R2749" s="26">
        <v>1</v>
      </c>
      <c r="S2749" s="40">
        <v>1</v>
      </c>
      <c r="T2749" s="7"/>
      <c r="U2749" s="7" t="s">
        <v>2951</v>
      </c>
      <c r="V2749" s="7" t="str">
        <f>+IF(U2749="","",IF(U2749="FINES",CONCATENATE("R",IF(OR(B2749="16",B2749="21",B2749="22",B2749="23"),"16212223",IF(OR(B2749="15",B2749="17",B2749="24",B2749="25"),"15172425",B2749))),IF(U2749="CEBAS","UNICO",IF(VALUE(B2749)&lt;=11,"AMBA","INTERIOR"))))</f>
        <v>R07</v>
      </c>
      <c r="W2749" s="38" t="str">
        <f>+IF(U2749="","-",CONCATENATE(U2749,"_",V2749))</f>
        <v>FINES_R07</v>
      </c>
      <c r="X2749" s="42">
        <v>0.77300000000000002</v>
      </c>
    </row>
    <row r="2750" spans="1:24">
      <c r="A2750" s="21" t="s">
        <v>5100</v>
      </c>
      <c r="B2750" t="s">
        <v>204</v>
      </c>
      <c r="C2750" t="s">
        <v>1084</v>
      </c>
      <c r="D2750" t="s">
        <v>1085</v>
      </c>
      <c r="E2750" s="7" t="s">
        <v>198</v>
      </c>
      <c r="F2750" s="7" t="s">
        <v>198</v>
      </c>
      <c r="G2750" s="7" t="s">
        <v>198</v>
      </c>
      <c r="H2750" s="7" t="s">
        <v>20</v>
      </c>
      <c r="I2750" s="7" t="s">
        <v>5102</v>
      </c>
      <c r="J2750" s="7" t="s">
        <v>21</v>
      </c>
      <c r="L2750" t="s">
        <v>4006</v>
      </c>
      <c r="M2750" s="7" t="s">
        <v>22</v>
      </c>
      <c r="N2750" s="7" t="s">
        <v>23</v>
      </c>
      <c r="O2750" s="7" t="s">
        <v>27</v>
      </c>
      <c r="P2750" s="7" t="s">
        <v>5101</v>
      </c>
      <c r="Q2750" s="26">
        <v>12</v>
      </c>
      <c r="R2750" s="26">
        <v>1</v>
      </c>
      <c r="S2750" s="40">
        <v>1</v>
      </c>
      <c r="T2750" s="7"/>
      <c r="U2750" s="7" t="s">
        <v>2951</v>
      </c>
      <c r="V2750" s="7" t="str">
        <f>+IF(U2750="","",IF(U2750="FINES",CONCATENATE("R",IF(OR(B2750="16",B2750="21",B2750="22",B2750="23"),"16212223",IF(OR(B2750="15",B2750="17",B2750="24",B2750="25"),"15172425",B2750))),IF(U2750="CEBAS","UNICO",IF(VALUE(B2750)&lt;=11,"AMBA","INTERIOR"))))</f>
        <v>R07</v>
      </c>
      <c r="W2750" s="38" t="str">
        <f>+IF(U2750="","-",CONCATENATE(U2750,"_",V2750))</f>
        <v>FINES_R07</v>
      </c>
      <c r="X2750" s="42">
        <v>0.78200000000000003</v>
      </c>
    </row>
    <row r="2751" spans="1:24">
      <c r="A2751" s="21" t="s">
        <v>5100</v>
      </c>
      <c r="B2751" t="s">
        <v>204</v>
      </c>
      <c r="C2751" t="s">
        <v>137</v>
      </c>
      <c r="D2751" t="s">
        <v>2629</v>
      </c>
      <c r="E2751" s="7" t="s">
        <v>198</v>
      </c>
      <c r="F2751" s="7" t="s">
        <v>198</v>
      </c>
      <c r="G2751" s="7" t="s">
        <v>198</v>
      </c>
      <c r="H2751" s="7" t="s">
        <v>20</v>
      </c>
      <c r="I2751" s="7" t="s">
        <v>5102</v>
      </c>
      <c r="J2751" s="7" t="s">
        <v>21</v>
      </c>
      <c r="L2751" t="s">
        <v>4061</v>
      </c>
      <c r="M2751" s="7" t="s">
        <v>22</v>
      </c>
      <c r="N2751" s="7" t="s">
        <v>23</v>
      </c>
      <c r="O2751" s="7" t="s">
        <v>27</v>
      </c>
      <c r="P2751" s="7" t="s">
        <v>5101</v>
      </c>
      <c r="Q2751" s="26">
        <v>0</v>
      </c>
      <c r="R2751" s="26">
        <v>1</v>
      </c>
      <c r="S2751" s="40">
        <v>1</v>
      </c>
      <c r="T2751" s="7"/>
      <c r="U2751" s="7" t="s">
        <v>2951</v>
      </c>
      <c r="V2751" s="7" t="str">
        <f>+IF(U2751="","",IF(U2751="FINES",CONCATENATE("R",IF(OR(B2751="16",B2751="21",B2751="22",B2751="23"),"16212223",IF(OR(B2751="15",B2751="17",B2751="24",B2751="25"),"15172425",B2751))),IF(U2751="CEBAS","UNICO",IF(VALUE(B2751)&lt;=11,"AMBA","INTERIOR"))))</f>
        <v>R07</v>
      </c>
      <c r="W2751" s="38" t="str">
        <f>+IF(U2751="","-",CONCATENATE(U2751,"_",V2751))</f>
        <v>FINES_R07</v>
      </c>
      <c r="X2751" s="42">
        <v>0.81299999999999994</v>
      </c>
    </row>
    <row r="2752" spans="1:24">
      <c r="A2752" s="21" t="s">
        <v>5100</v>
      </c>
      <c r="B2752" t="s">
        <v>204</v>
      </c>
      <c r="C2752" t="s">
        <v>137</v>
      </c>
      <c r="D2752" t="s">
        <v>2629</v>
      </c>
      <c r="E2752" s="7" t="s">
        <v>198</v>
      </c>
      <c r="F2752" s="7" t="s">
        <v>198</v>
      </c>
      <c r="G2752" s="7" t="s">
        <v>198</v>
      </c>
      <c r="H2752" s="7" t="s">
        <v>20</v>
      </c>
      <c r="I2752" s="7" t="s">
        <v>5102</v>
      </c>
      <c r="J2752" s="7" t="s">
        <v>21</v>
      </c>
      <c r="L2752" t="s">
        <v>4062</v>
      </c>
      <c r="M2752" s="7" t="s">
        <v>22</v>
      </c>
      <c r="N2752" s="7" t="s">
        <v>23</v>
      </c>
      <c r="O2752" s="7" t="s">
        <v>27</v>
      </c>
      <c r="P2752" s="7" t="s">
        <v>5101</v>
      </c>
      <c r="Q2752" s="26">
        <v>60</v>
      </c>
      <c r="R2752" s="26">
        <v>3</v>
      </c>
      <c r="S2752" s="40">
        <v>1</v>
      </c>
      <c r="T2752" s="7"/>
      <c r="U2752" s="7" t="s">
        <v>2951</v>
      </c>
      <c r="V2752" s="7" t="str">
        <f>+IF(U2752="","",IF(U2752="FINES",CONCATENATE("R",IF(OR(B2752="16",B2752="21",B2752="22",B2752="23"),"16212223",IF(OR(B2752="15",B2752="17",B2752="24",B2752="25"),"15172425",B2752))),IF(U2752="CEBAS","UNICO",IF(VALUE(B2752)&lt;=11,"AMBA","INTERIOR"))))</f>
        <v>R07</v>
      </c>
      <c r="W2752" s="38" t="str">
        <f>+IF(U2752="","-",CONCATENATE(U2752,"_",V2752))</f>
        <v>FINES_R07</v>
      </c>
      <c r="X2752" s="42">
        <v>0.82699999999999996</v>
      </c>
    </row>
    <row r="2753" spans="1:24">
      <c r="A2753" s="21" t="s">
        <v>5100</v>
      </c>
      <c r="B2753" t="s">
        <v>204</v>
      </c>
      <c r="C2753" t="s">
        <v>1084</v>
      </c>
      <c r="D2753" t="s">
        <v>1085</v>
      </c>
      <c r="E2753" s="7" t="s">
        <v>198</v>
      </c>
      <c r="F2753" s="7" t="s">
        <v>198</v>
      </c>
      <c r="G2753" s="7" t="s">
        <v>198</v>
      </c>
      <c r="H2753" s="7" t="s">
        <v>20</v>
      </c>
      <c r="I2753" s="7" t="s">
        <v>5102</v>
      </c>
      <c r="J2753" s="7" t="s">
        <v>21</v>
      </c>
      <c r="L2753" t="s">
        <v>3988</v>
      </c>
      <c r="M2753" s="7" t="s">
        <v>22</v>
      </c>
      <c r="N2753" s="7" t="s">
        <v>23</v>
      </c>
      <c r="O2753" s="7" t="s">
        <v>27</v>
      </c>
      <c r="P2753" s="7" t="s">
        <v>5101</v>
      </c>
      <c r="Q2753" s="26">
        <v>0</v>
      </c>
      <c r="R2753" s="26">
        <v>1</v>
      </c>
      <c r="S2753" s="40">
        <v>1</v>
      </c>
      <c r="T2753" s="7"/>
      <c r="U2753" s="7" t="s">
        <v>2951</v>
      </c>
      <c r="V2753" s="7" t="str">
        <f>+IF(U2753="","",IF(U2753="FINES",CONCATENATE("R",IF(OR(B2753="16",B2753="21",B2753="22",B2753="23"),"16212223",IF(OR(B2753="15",B2753="17",B2753="24",B2753="25"),"15172425",B2753))),IF(U2753="CEBAS","UNICO",IF(VALUE(B2753)&lt;=11,"AMBA","INTERIOR"))))</f>
        <v>R07</v>
      </c>
      <c r="W2753" s="38" t="str">
        <f>+IF(U2753="","-",CONCATENATE(U2753,"_",V2753))</f>
        <v>FINES_R07</v>
      </c>
      <c r="X2753" s="42">
        <v>0.878</v>
      </c>
    </row>
    <row r="2754" spans="1:24">
      <c r="A2754" s="21" t="s">
        <v>5100</v>
      </c>
      <c r="B2754" t="s">
        <v>204</v>
      </c>
      <c r="C2754" t="s">
        <v>137</v>
      </c>
      <c r="D2754" t="s">
        <v>2629</v>
      </c>
      <c r="E2754" s="7" t="s">
        <v>198</v>
      </c>
      <c r="F2754" s="7" t="s">
        <v>198</v>
      </c>
      <c r="G2754" s="7" t="s">
        <v>198</v>
      </c>
      <c r="H2754" s="7" t="s">
        <v>20</v>
      </c>
      <c r="I2754" s="7" t="s">
        <v>5102</v>
      </c>
      <c r="J2754" s="7" t="s">
        <v>21</v>
      </c>
      <c r="L2754" t="s">
        <v>4067</v>
      </c>
      <c r="M2754" s="7" t="s">
        <v>22</v>
      </c>
      <c r="N2754" s="7" t="s">
        <v>23</v>
      </c>
      <c r="O2754" s="7" t="s">
        <v>27</v>
      </c>
      <c r="P2754" s="7" t="s">
        <v>5101</v>
      </c>
      <c r="Q2754" s="26">
        <v>39</v>
      </c>
      <c r="R2754" s="26">
        <v>1</v>
      </c>
      <c r="S2754" s="40">
        <v>1</v>
      </c>
      <c r="T2754" s="7"/>
      <c r="U2754" s="7" t="s">
        <v>2951</v>
      </c>
      <c r="V2754" s="7" t="str">
        <f>+IF(U2754="","",IF(U2754="FINES",CONCATENATE("R",IF(OR(B2754="16",B2754="21",B2754="22",B2754="23"),"16212223",IF(OR(B2754="15",B2754="17",B2754="24",B2754="25"),"15172425",B2754))),IF(U2754="CEBAS","UNICO",IF(VALUE(B2754)&lt;=11,"AMBA","INTERIOR"))))</f>
        <v>R07</v>
      </c>
      <c r="W2754" s="38" t="str">
        <f>+IF(U2754="","-",CONCATENATE(U2754,"_",V2754))</f>
        <v>FINES_R07</v>
      </c>
      <c r="X2754" s="42">
        <v>0.89100000000000001</v>
      </c>
    </row>
    <row r="2755" spans="1:24">
      <c r="A2755" s="21" t="s">
        <v>5100</v>
      </c>
      <c r="B2755" t="s">
        <v>204</v>
      </c>
      <c r="C2755" t="s">
        <v>1084</v>
      </c>
      <c r="D2755" t="s">
        <v>1085</v>
      </c>
      <c r="E2755" s="7" t="s">
        <v>198</v>
      </c>
      <c r="F2755" s="7" t="s">
        <v>198</v>
      </c>
      <c r="G2755" s="7" t="s">
        <v>198</v>
      </c>
      <c r="H2755" s="7" t="s">
        <v>20</v>
      </c>
      <c r="I2755" s="7" t="s">
        <v>5102</v>
      </c>
      <c r="J2755" s="7" t="s">
        <v>21</v>
      </c>
      <c r="L2755" t="s">
        <v>3987</v>
      </c>
      <c r="M2755" s="7" t="s">
        <v>22</v>
      </c>
      <c r="N2755" s="7" t="s">
        <v>23</v>
      </c>
      <c r="O2755" s="7" t="s">
        <v>27</v>
      </c>
      <c r="P2755" s="7" t="s">
        <v>5101</v>
      </c>
      <c r="Q2755" s="26">
        <v>22</v>
      </c>
      <c r="R2755" s="26">
        <v>2</v>
      </c>
      <c r="S2755" s="40">
        <v>1</v>
      </c>
      <c r="T2755" s="7"/>
      <c r="U2755" s="7" t="s">
        <v>2951</v>
      </c>
      <c r="V2755" s="7" t="str">
        <f>+IF(U2755="","",IF(U2755="FINES",CONCATENATE("R",IF(OR(B2755="16",B2755="21",B2755="22",B2755="23"),"16212223",IF(OR(B2755="15",B2755="17",B2755="24",B2755="25"),"15172425",B2755))),IF(U2755="CEBAS","UNICO",IF(VALUE(B2755)&lt;=11,"AMBA","INTERIOR"))))</f>
        <v>R07</v>
      </c>
      <c r="W2755" s="38" t="str">
        <f>+IF(U2755="","-",CONCATENATE(U2755,"_",V2755))</f>
        <v>FINES_R07</v>
      </c>
      <c r="X2755" s="42">
        <v>0.89100000000000001</v>
      </c>
    </row>
    <row r="2756" spans="1:24">
      <c r="A2756" s="21" t="s">
        <v>5100</v>
      </c>
      <c r="B2756" t="s">
        <v>204</v>
      </c>
      <c r="C2756" t="s">
        <v>1084</v>
      </c>
      <c r="D2756" t="s">
        <v>1085</v>
      </c>
      <c r="E2756" s="7" t="s">
        <v>198</v>
      </c>
      <c r="F2756" s="7" t="s">
        <v>198</v>
      </c>
      <c r="G2756" s="7" t="s">
        <v>198</v>
      </c>
      <c r="H2756" s="7" t="s">
        <v>20</v>
      </c>
      <c r="I2756" s="7" t="s">
        <v>5102</v>
      </c>
      <c r="J2756" s="7" t="s">
        <v>21</v>
      </c>
      <c r="L2756" t="s">
        <v>4015</v>
      </c>
      <c r="M2756" s="7" t="s">
        <v>22</v>
      </c>
      <c r="N2756" s="7" t="s">
        <v>23</v>
      </c>
      <c r="O2756" s="7" t="s">
        <v>27</v>
      </c>
      <c r="P2756" s="7" t="s">
        <v>5101</v>
      </c>
      <c r="Q2756" s="26">
        <v>0</v>
      </c>
      <c r="R2756" s="26">
        <v>1</v>
      </c>
      <c r="S2756" s="40">
        <v>1</v>
      </c>
      <c r="T2756" s="7"/>
      <c r="U2756" s="7" t="s">
        <v>2951</v>
      </c>
      <c r="V2756" s="7" t="str">
        <f>+IF(U2756="","",IF(U2756="FINES",CONCATENATE("R",IF(OR(B2756="16",B2756="21",B2756="22",B2756="23"),"16212223",IF(OR(B2756="15",B2756="17",B2756="24",B2756="25"),"15172425",B2756))),IF(U2756="CEBAS","UNICO",IF(VALUE(B2756)&lt;=11,"AMBA","INTERIOR"))))</f>
        <v>R07</v>
      </c>
      <c r="W2756" s="38" t="str">
        <f>+IF(U2756="","-",CONCATENATE(U2756,"_",V2756))</f>
        <v>FINES_R07</v>
      </c>
      <c r="X2756" s="42">
        <v>0.89300000000000002</v>
      </c>
    </row>
    <row r="2757" spans="1:24">
      <c r="A2757" s="21" t="s">
        <v>5100</v>
      </c>
      <c r="B2757" t="s">
        <v>204</v>
      </c>
      <c r="C2757" t="s">
        <v>219</v>
      </c>
      <c r="D2757" t="s">
        <v>2865</v>
      </c>
      <c r="E2757" s="7" t="s">
        <v>198</v>
      </c>
      <c r="F2757" s="7" t="s">
        <v>198</v>
      </c>
      <c r="G2757" s="7" t="s">
        <v>198</v>
      </c>
      <c r="H2757" s="7" t="s">
        <v>20</v>
      </c>
      <c r="I2757" s="7" t="s">
        <v>5102</v>
      </c>
      <c r="J2757" s="7" t="s">
        <v>21</v>
      </c>
      <c r="L2757" t="s">
        <v>4033</v>
      </c>
      <c r="M2757" s="7" t="s">
        <v>22</v>
      </c>
      <c r="N2757" s="7" t="s">
        <v>23</v>
      </c>
      <c r="O2757" s="7" t="s">
        <v>27</v>
      </c>
      <c r="P2757" s="7" t="s">
        <v>5101</v>
      </c>
      <c r="Q2757" s="26">
        <v>55</v>
      </c>
      <c r="R2757" s="26">
        <v>2</v>
      </c>
      <c r="S2757" s="40">
        <v>1</v>
      </c>
      <c r="T2757" s="7"/>
      <c r="U2757" s="7" t="s">
        <v>2951</v>
      </c>
      <c r="V2757" s="7" t="str">
        <f>+IF(U2757="","",IF(U2757="FINES",CONCATENATE("R",IF(OR(B2757="16",B2757="21",B2757="22",B2757="23"),"16212223",IF(OR(B2757="15",B2757="17",B2757="24",B2757="25"),"15172425",B2757))),IF(U2757="CEBAS","UNICO",IF(VALUE(B2757)&lt;=11,"AMBA","INTERIOR"))))</f>
        <v>R07</v>
      </c>
      <c r="W2757" s="38" t="str">
        <f>+IF(U2757="","-",CONCATENATE(U2757,"_",V2757))</f>
        <v>FINES_R07</v>
      </c>
      <c r="X2757" s="42">
        <v>0.89900000000000002</v>
      </c>
    </row>
    <row r="2758" spans="1:24">
      <c r="A2758" s="21" t="s">
        <v>5100</v>
      </c>
      <c r="B2758" t="s">
        <v>204</v>
      </c>
      <c r="C2758" t="s">
        <v>137</v>
      </c>
      <c r="D2758" t="s">
        <v>2629</v>
      </c>
      <c r="E2758" s="7" t="s">
        <v>198</v>
      </c>
      <c r="F2758" s="7" t="s">
        <v>198</v>
      </c>
      <c r="G2758" s="7" t="s">
        <v>198</v>
      </c>
      <c r="H2758" s="7" t="s">
        <v>20</v>
      </c>
      <c r="I2758" s="7" t="s">
        <v>5102</v>
      </c>
      <c r="J2758" s="7" t="s">
        <v>21</v>
      </c>
      <c r="L2758" t="s">
        <v>4050</v>
      </c>
      <c r="M2758" s="7" t="s">
        <v>22</v>
      </c>
      <c r="N2758" s="7" t="s">
        <v>23</v>
      </c>
      <c r="O2758" s="7" t="s">
        <v>27</v>
      </c>
      <c r="P2758" s="7" t="s">
        <v>5101</v>
      </c>
      <c r="Q2758" s="26">
        <v>24</v>
      </c>
      <c r="R2758" s="26">
        <v>2</v>
      </c>
      <c r="S2758" s="40">
        <v>1</v>
      </c>
      <c r="T2758" s="7"/>
      <c r="U2758" s="7" t="s">
        <v>2951</v>
      </c>
      <c r="V2758" s="7" t="str">
        <f>+IF(U2758="","",IF(U2758="FINES",CONCATENATE("R",IF(OR(B2758="16",B2758="21",B2758="22",B2758="23"),"16212223",IF(OR(B2758="15",B2758="17",B2758="24",B2758="25"),"15172425",B2758))),IF(U2758="CEBAS","UNICO",IF(VALUE(B2758)&lt;=11,"AMBA","INTERIOR"))))</f>
        <v>R07</v>
      </c>
      <c r="W2758" s="38" t="str">
        <f>+IF(U2758="","-",CONCATENATE(U2758,"_",V2758))</f>
        <v>FINES_R07</v>
      </c>
      <c r="X2758" s="42">
        <v>0.90300000000000002</v>
      </c>
    </row>
    <row r="2759" spans="1:24">
      <c r="A2759" s="21" t="s">
        <v>5100</v>
      </c>
      <c r="B2759" t="s">
        <v>204</v>
      </c>
      <c r="C2759" t="s">
        <v>137</v>
      </c>
      <c r="D2759" t="s">
        <v>2629</v>
      </c>
      <c r="E2759" s="7" t="s">
        <v>198</v>
      </c>
      <c r="F2759" s="7" t="s">
        <v>198</v>
      </c>
      <c r="G2759" s="7" t="s">
        <v>198</v>
      </c>
      <c r="H2759" s="7" t="s">
        <v>20</v>
      </c>
      <c r="I2759" s="7" t="s">
        <v>5102</v>
      </c>
      <c r="J2759" s="7" t="s">
        <v>21</v>
      </c>
      <c r="L2759" t="s">
        <v>4044</v>
      </c>
      <c r="M2759" s="7" t="s">
        <v>22</v>
      </c>
      <c r="N2759" s="7" t="s">
        <v>23</v>
      </c>
      <c r="O2759" s="7" t="s">
        <v>27</v>
      </c>
      <c r="P2759" s="7" t="s">
        <v>5101</v>
      </c>
      <c r="Q2759" s="26">
        <v>0</v>
      </c>
      <c r="R2759" s="26">
        <v>1</v>
      </c>
      <c r="S2759" s="40">
        <v>1</v>
      </c>
      <c r="T2759" s="7"/>
      <c r="U2759" s="7" t="s">
        <v>2951</v>
      </c>
      <c r="V2759" s="7" t="str">
        <f>+IF(U2759="","",IF(U2759="FINES",CONCATENATE("R",IF(OR(B2759="16",B2759="21",B2759="22",B2759="23"),"16212223",IF(OR(B2759="15",B2759="17",B2759="24",B2759="25"),"15172425",B2759))),IF(U2759="CEBAS","UNICO",IF(VALUE(B2759)&lt;=11,"AMBA","INTERIOR"))))</f>
        <v>R07</v>
      </c>
      <c r="W2759" s="38" t="str">
        <f>+IF(U2759="","-",CONCATENATE(U2759,"_",V2759))</f>
        <v>FINES_R07</v>
      </c>
      <c r="X2759" s="42">
        <v>0.90400000000000003</v>
      </c>
    </row>
    <row r="2760" spans="1:24">
      <c r="A2760" s="21" t="s">
        <v>5100</v>
      </c>
      <c r="B2760" t="s">
        <v>204</v>
      </c>
      <c r="C2760" t="s">
        <v>137</v>
      </c>
      <c r="D2760" t="s">
        <v>2629</v>
      </c>
      <c r="E2760" s="7" t="s">
        <v>198</v>
      </c>
      <c r="F2760" s="7" t="s">
        <v>198</v>
      </c>
      <c r="G2760" s="7" t="s">
        <v>198</v>
      </c>
      <c r="H2760" s="7" t="s">
        <v>20</v>
      </c>
      <c r="I2760" s="7" t="s">
        <v>5102</v>
      </c>
      <c r="J2760" s="7" t="s">
        <v>21</v>
      </c>
      <c r="L2760" t="s">
        <v>4068</v>
      </c>
      <c r="M2760" s="7" t="s">
        <v>22</v>
      </c>
      <c r="N2760" s="7" t="s">
        <v>23</v>
      </c>
      <c r="O2760" s="7" t="s">
        <v>27</v>
      </c>
      <c r="P2760" s="7" t="s">
        <v>5101</v>
      </c>
      <c r="Q2760" s="26">
        <v>35</v>
      </c>
      <c r="R2760" s="26">
        <v>1</v>
      </c>
      <c r="S2760" s="40">
        <v>1</v>
      </c>
      <c r="T2760" s="7"/>
      <c r="U2760" s="7" t="s">
        <v>2951</v>
      </c>
      <c r="V2760" s="7" t="str">
        <f>+IF(U2760="","",IF(U2760="FINES",CONCATENATE("R",IF(OR(B2760="16",B2760="21",B2760="22",B2760="23"),"16212223",IF(OR(B2760="15",B2760="17",B2760="24",B2760="25"),"15172425",B2760))),IF(U2760="CEBAS","UNICO",IF(VALUE(B2760)&lt;=11,"AMBA","INTERIOR"))))</f>
        <v>R07</v>
      </c>
      <c r="W2760" s="38" t="str">
        <f>+IF(U2760="","-",CONCATENATE(U2760,"_",V2760))</f>
        <v>FINES_R07</v>
      </c>
      <c r="X2760" s="42">
        <v>0.90400000000000003</v>
      </c>
    </row>
    <row r="2761" spans="1:24">
      <c r="A2761" s="21" t="s">
        <v>5100</v>
      </c>
      <c r="B2761" t="s">
        <v>204</v>
      </c>
      <c r="C2761" t="s">
        <v>1084</v>
      </c>
      <c r="D2761" t="s">
        <v>1085</v>
      </c>
      <c r="E2761" s="7" t="s">
        <v>198</v>
      </c>
      <c r="F2761" s="7" t="s">
        <v>198</v>
      </c>
      <c r="G2761" s="7" t="s">
        <v>198</v>
      </c>
      <c r="H2761" s="7" t="s">
        <v>20</v>
      </c>
      <c r="I2761" s="7" t="s">
        <v>5102</v>
      </c>
      <c r="J2761" s="7" t="s">
        <v>21</v>
      </c>
      <c r="L2761" t="s">
        <v>3991</v>
      </c>
      <c r="M2761" s="7" t="s">
        <v>22</v>
      </c>
      <c r="N2761" s="7" t="s">
        <v>23</v>
      </c>
      <c r="O2761" s="7" t="s">
        <v>27</v>
      </c>
      <c r="P2761" s="7" t="s">
        <v>5101</v>
      </c>
      <c r="Q2761" s="26">
        <v>7</v>
      </c>
      <c r="R2761" s="26">
        <v>1</v>
      </c>
      <c r="S2761" s="40">
        <v>1</v>
      </c>
      <c r="T2761" s="7"/>
      <c r="U2761" s="7" t="s">
        <v>2951</v>
      </c>
      <c r="V2761" s="7" t="str">
        <f>+IF(U2761="","",IF(U2761="FINES",CONCATENATE("R",IF(OR(B2761="16",B2761="21",B2761="22",B2761="23"),"16212223",IF(OR(B2761="15",B2761="17",B2761="24",B2761="25"),"15172425",B2761))),IF(U2761="CEBAS","UNICO",IF(VALUE(B2761)&lt;=11,"AMBA","INTERIOR"))))</f>
        <v>R07</v>
      </c>
      <c r="W2761" s="38" t="str">
        <f>+IF(U2761="","-",CONCATENATE(U2761,"_",V2761))</f>
        <v>FINES_R07</v>
      </c>
      <c r="X2761" s="42">
        <v>0.90500000000000003</v>
      </c>
    </row>
    <row r="2762" spans="1:24">
      <c r="A2762" s="21" t="s">
        <v>5100</v>
      </c>
      <c r="B2762" t="s">
        <v>204</v>
      </c>
      <c r="C2762" t="s">
        <v>1084</v>
      </c>
      <c r="D2762" t="s">
        <v>1085</v>
      </c>
      <c r="E2762" s="7" t="s">
        <v>198</v>
      </c>
      <c r="F2762" s="7" t="s">
        <v>198</v>
      </c>
      <c r="G2762" s="7" t="s">
        <v>198</v>
      </c>
      <c r="H2762" s="7" t="s">
        <v>20</v>
      </c>
      <c r="I2762" s="7" t="s">
        <v>5102</v>
      </c>
      <c r="J2762" s="7" t="s">
        <v>21</v>
      </c>
      <c r="L2762" t="s">
        <v>4023</v>
      </c>
      <c r="M2762" s="7" t="s">
        <v>22</v>
      </c>
      <c r="N2762" s="7" t="s">
        <v>23</v>
      </c>
      <c r="O2762" s="7" t="s">
        <v>27</v>
      </c>
      <c r="P2762" s="7" t="s">
        <v>5101</v>
      </c>
      <c r="Q2762" s="26">
        <v>0</v>
      </c>
      <c r="R2762" s="26">
        <v>1</v>
      </c>
      <c r="S2762" s="40">
        <v>1</v>
      </c>
      <c r="T2762" s="7"/>
      <c r="U2762" s="7" t="s">
        <v>2951</v>
      </c>
      <c r="V2762" s="7" t="str">
        <f>+IF(U2762="","",IF(U2762="FINES",CONCATENATE("R",IF(OR(B2762="16",B2762="21",B2762="22",B2762="23"),"16212223",IF(OR(B2762="15",B2762="17",B2762="24",B2762="25"),"15172425",B2762))),IF(U2762="CEBAS","UNICO",IF(VALUE(B2762)&lt;=11,"AMBA","INTERIOR"))))</f>
        <v>R07</v>
      </c>
      <c r="W2762" s="38" t="str">
        <f>+IF(U2762="","-",CONCATENATE(U2762,"_",V2762))</f>
        <v>FINES_R07</v>
      </c>
      <c r="X2762" s="42">
        <v>0.91200000000000003</v>
      </c>
    </row>
    <row r="2763" spans="1:24">
      <c r="A2763" s="21" t="s">
        <v>5100</v>
      </c>
      <c r="B2763" t="s">
        <v>204</v>
      </c>
      <c r="C2763" t="s">
        <v>1084</v>
      </c>
      <c r="D2763" t="s">
        <v>1085</v>
      </c>
      <c r="E2763" s="7" t="s">
        <v>198</v>
      </c>
      <c r="F2763" s="7" t="s">
        <v>198</v>
      </c>
      <c r="G2763" s="7" t="s">
        <v>198</v>
      </c>
      <c r="H2763" s="7" t="s">
        <v>20</v>
      </c>
      <c r="I2763" s="7" t="s">
        <v>5102</v>
      </c>
      <c r="J2763" s="7" t="s">
        <v>21</v>
      </c>
      <c r="L2763" t="s">
        <v>4024</v>
      </c>
      <c r="M2763" s="7" t="s">
        <v>22</v>
      </c>
      <c r="N2763" s="7" t="s">
        <v>23</v>
      </c>
      <c r="O2763" s="7" t="s">
        <v>27</v>
      </c>
      <c r="P2763" s="7" t="s">
        <v>5101</v>
      </c>
      <c r="Q2763" s="26">
        <v>141</v>
      </c>
      <c r="R2763" s="26">
        <v>5</v>
      </c>
      <c r="S2763" s="40">
        <v>1</v>
      </c>
      <c r="T2763" s="7"/>
      <c r="U2763" s="7" t="s">
        <v>2951</v>
      </c>
      <c r="V2763" s="7" t="str">
        <f>+IF(U2763="","",IF(U2763="FINES",CONCATENATE("R",IF(OR(B2763="16",B2763="21",B2763="22",B2763="23"),"16212223",IF(OR(B2763="15",B2763="17",B2763="24",B2763="25"),"15172425",B2763))),IF(U2763="CEBAS","UNICO",IF(VALUE(B2763)&lt;=11,"AMBA","INTERIOR"))))</f>
        <v>R07</v>
      </c>
      <c r="W2763" s="38" t="str">
        <f>+IF(U2763="","-",CONCATENATE(U2763,"_",V2763))</f>
        <v>FINES_R07</v>
      </c>
      <c r="X2763" s="42">
        <v>0.94199999999999995</v>
      </c>
    </row>
    <row r="2764" spans="1:24">
      <c r="A2764" s="21" t="s">
        <v>5100</v>
      </c>
      <c r="B2764" t="s">
        <v>204</v>
      </c>
      <c r="C2764" t="s">
        <v>219</v>
      </c>
      <c r="D2764" t="s">
        <v>2865</v>
      </c>
      <c r="E2764" s="7" t="s">
        <v>198</v>
      </c>
      <c r="F2764" s="7" t="s">
        <v>198</v>
      </c>
      <c r="G2764" s="7" t="s">
        <v>198</v>
      </c>
      <c r="H2764" s="7" t="s">
        <v>20</v>
      </c>
      <c r="I2764" s="7" t="s">
        <v>5102</v>
      </c>
      <c r="J2764" s="7" t="s">
        <v>21</v>
      </c>
      <c r="L2764" t="s">
        <v>4041</v>
      </c>
      <c r="M2764" s="7" t="s">
        <v>22</v>
      </c>
      <c r="N2764" s="7" t="s">
        <v>23</v>
      </c>
      <c r="O2764" s="7" t="s">
        <v>27</v>
      </c>
      <c r="P2764" s="7" t="s">
        <v>5101</v>
      </c>
      <c r="Q2764" s="26">
        <v>13</v>
      </c>
      <c r="R2764" s="26">
        <v>1</v>
      </c>
      <c r="S2764" s="40">
        <v>1</v>
      </c>
      <c r="T2764" s="7"/>
      <c r="U2764" s="7" t="s">
        <v>2951</v>
      </c>
      <c r="V2764" s="7" t="str">
        <f>+IF(U2764="","",IF(U2764="FINES",CONCATENATE("R",IF(OR(B2764="16",B2764="21",B2764="22",B2764="23"),"16212223",IF(OR(B2764="15",B2764="17",B2764="24",B2764="25"),"15172425",B2764))),IF(U2764="CEBAS","UNICO",IF(VALUE(B2764)&lt;=11,"AMBA","INTERIOR"))))</f>
        <v>R07</v>
      </c>
      <c r="W2764" s="38" t="str">
        <f>+IF(U2764="","-",CONCATENATE(U2764,"_",V2764))</f>
        <v>FINES_R07</v>
      </c>
      <c r="X2764" s="42">
        <v>0.94299999999999995</v>
      </c>
    </row>
    <row r="2765" spans="1:24">
      <c r="A2765" s="21" t="s">
        <v>5100</v>
      </c>
      <c r="B2765" t="s">
        <v>204</v>
      </c>
      <c r="C2765" t="s">
        <v>137</v>
      </c>
      <c r="D2765" t="s">
        <v>2629</v>
      </c>
      <c r="E2765" s="7" t="s">
        <v>198</v>
      </c>
      <c r="F2765" s="7" t="s">
        <v>198</v>
      </c>
      <c r="G2765" s="7" t="s">
        <v>198</v>
      </c>
      <c r="H2765" s="7" t="s">
        <v>20</v>
      </c>
      <c r="I2765" s="7" t="s">
        <v>5102</v>
      </c>
      <c r="J2765" s="7" t="s">
        <v>21</v>
      </c>
      <c r="L2765" t="s">
        <v>4060</v>
      </c>
      <c r="M2765" s="7" t="s">
        <v>22</v>
      </c>
      <c r="N2765" s="7" t="s">
        <v>23</v>
      </c>
      <c r="O2765" s="7" t="s">
        <v>27</v>
      </c>
      <c r="P2765" s="7" t="s">
        <v>5101</v>
      </c>
      <c r="Q2765" s="26">
        <v>74</v>
      </c>
      <c r="R2765" s="26">
        <v>3</v>
      </c>
      <c r="S2765" s="40">
        <v>1</v>
      </c>
      <c r="T2765" s="7"/>
      <c r="U2765" s="7" t="s">
        <v>2951</v>
      </c>
      <c r="V2765" s="7" t="str">
        <f>+IF(U2765="","",IF(U2765="FINES",CONCATENATE("R",IF(OR(B2765="16",B2765="21",B2765="22",B2765="23"),"16212223",IF(OR(B2765="15",B2765="17",B2765="24",B2765="25"),"15172425",B2765))),IF(U2765="CEBAS","UNICO",IF(VALUE(B2765)&lt;=11,"AMBA","INTERIOR"))))</f>
        <v>R07</v>
      </c>
      <c r="W2765" s="38" t="str">
        <f>+IF(U2765="","-",CONCATENATE(U2765,"_",V2765))</f>
        <v>FINES_R07</v>
      </c>
      <c r="X2765" s="42">
        <v>0.94499999999999995</v>
      </c>
    </row>
    <row r="2766" spans="1:24">
      <c r="A2766" s="21" t="s">
        <v>5100</v>
      </c>
      <c r="B2766" t="s">
        <v>204</v>
      </c>
      <c r="C2766" t="s">
        <v>1084</v>
      </c>
      <c r="D2766" t="s">
        <v>1085</v>
      </c>
      <c r="E2766" s="7" t="s">
        <v>198</v>
      </c>
      <c r="F2766" s="7" t="s">
        <v>198</v>
      </c>
      <c r="G2766" s="7" t="s">
        <v>198</v>
      </c>
      <c r="H2766" s="7" t="s">
        <v>20</v>
      </c>
      <c r="I2766" s="7" t="s">
        <v>5102</v>
      </c>
      <c r="J2766" s="7" t="s">
        <v>21</v>
      </c>
      <c r="L2766" t="s">
        <v>4002</v>
      </c>
      <c r="M2766" s="7" t="s">
        <v>22</v>
      </c>
      <c r="N2766" s="7" t="s">
        <v>23</v>
      </c>
      <c r="O2766" s="7" t="s">
        <v>27</v>
      </c>
      <c r="P2766" s="7" t="s">
        <v>5101</v>
      </c>
      <c r="Q2766" s="26">
        <v>0</v>
      </c>
      <c r="R2766" s="26">
        <v>1</v>
      </c>
      <c r="S2766" s="40">
        <v>1</v>
      </c>
      <c r="T2766" s="7"/>
      <c r="U2766" s="7" t="s">
        <v>2951</v>
      </c>
      <c r="V2766" s="7" t="str">
        <f>+IF(U2766="","",IF(U2766="FINES",CONCATENATE("R",IF(OR(B2766="16",B2766="21",B2766="22",B2766="23"),"16212223",IF(OR(B2766="15",B2766="17",B2766="24",B2766="25"),"15172425",B2766))),IF(U2766="CEBAS","UNICO",IF(VALUE(B2766)&lt;=11,"AMBA","INTERIOR"))))</f>
        <v>R07</v>
      </c>
      <c r="W2766" s="38" t="str">
        <f>+IF(U2766="","-",CONCATENATE(U2766,"_",V2766))</f>
        <v>FINES_R07</v>
      </c>
      <c r="X2766" s="42">
        <v>0.96299999999999997</v>
      </c>
    </row>
    <row r="2767" spans="1:24">
      <c r="A2767" s="21" t="s">
        <v>5100</v>
      </c>
      <c r="B2767" t="s">
        <v>204</v>
      </c>
      <c r="C2767" t="s">
        <v>219</v>
      </c>
      <c r="D2767" t="s">
        <v>2865</v>
      </c>
      <c r="E2767" s="7" t="s">
        <v>198</v>
      </c>
      <c r="F2767" s="7" t="s">
        <v>198</v>
      </c>
      <c r="G2767" s="7" t="s">
        <v>198</v>
      </c>
      <c r="H2767" s="7" t="s">
        <v>20</v>
      </c>
      <c r="I2767" s="7" t="s">
        <v>5102</v>
      </c>
      <c r="J2767" s="7" t="s">
        <v>21</v>
      </c>
      <c r="L2767" t="s">
        <v>4038</v>
      </c>
      <c r="M2767" s="7" t="s">
        <v>22</v>
      </c>
      <c r="N2767" s="7" t="s">
        <v>23</v>
      </c>
      <c r="O2767" s="7" t="s">
        <v>27</v>
      </c>
      <c r="P2767" s="7" t="s">
        <v>5101</v>
      </c>
      <c r="Q2767" s="26">
        <v>13</v>
      </c>
      <c r="R2767" s="26">
        <v>1</v>
      </c>
      <c r="S2767" s="40">
        <v>1</v>
      </c>
      <c r="T2767" s="7"/>
      <c r="U2767" s="7" t="s">
        <v>2951</v>
      </c>
      <c r="V2767" s="7" t="str">
        <f>+IF(U2767="","",IF(U2767="FINES",CONCATENATE("R",IF(OR(B2767="16",B2767="21",B2767="22",B2767="23"),"16212223",IF(OR(B2767="15",B2767="17",B2767="24",B2767="25"),"15172425",B2767))),IF(U2767="CEBAS","UNICO",IF(VALUE(B2767)&lt;=11,"AMBA","INTERIOR"))))</f>
        <v>R07</v>
      </c>
      <c r="W2767" s="38" t="str">
        <f>+IF(U2767="","-",CONCATENATE(U2767,"_",V2767))</f>
        <v>FINES_R07</v>
      </c>
      <c r="X2767" s="42">
        <v>0.96499999999999997</v>
      </c>
    </row>
    <row r="2768" spans="1:24">
      <c r="A2768" s="21" t="s">
        <v>5100</v>
      </c>
      <c r="B2768" t="s">
        <v>204</v>
      </c>
      <c r="C2768" t="s">
        <v>1084</v>
      </c>
      <c r="D2768" t="s">
        <v>1085</v>
      </c>
      <c r="E2768" s="7" t="s">
        <v>198</v>
      </c>
      <c r="F2768" s="7" t="s">
        <v>198</v>
      </c>
      <c r="G2768" s="7" t="s">
        <v>198</v>
      </c>
      <c r="H2768" s="7" t="s">
        <v>20</v>
      </c>
      <c r="I2768" s="7" t="s">
        <v>5102</v>
      </c>
      <c r="J2768" s="7" t="s">
        <v>21</v>
      </c>
      <c r="L2768" t="s">
        <v>3999</v>
      </c>
      <c r="M2768" s="7" t="s">
        <v>22</v>
      </c>
      <c r="N2768" s="7" t="s">
        <v>23</v>
      </c>
      <c r="O2768" s="7" t="s">
        <v>27</v>
      </c>
      <c r="P2768" s="7" t="s">
        <v>5101</v>
      </c>
      <c r="Q2768" s="26">
        <v>29</v>
      </c>
      <c r="R2768" s="26">
        <v>2</v>
      </c>
      <c r="S2768" s="40">
        <v>1</v>
      </c>
      <c r="T2768" s="7"/>
      <c r="U2768" s="7" t="s">
        <v>2951</v>
      </c>
      <c r="V2768" s="7" t="str">
        <f>+IF(U2768="","",IF(U2768="FINES",CONCATENATE("R",IF(OR(B2768="16",B2768="21",B2768="22",B2768="23"),"16212223",IF(OR(B2768="15",B2768="17",B2768="24",B2768="25"),"15172425",B2768))),IF(U2768="CEBAS","UNICO",IF(VALUE(B2768)&lt;=11,"AMBA","INTERIOR"))))</f>
        <v>R07</v>
      </c>
      <c r="W2768" s="38" t="str">
        <f>+IF(U2768="","-",CONCATENATE(U2768,"_",V2768))</f>
        <v>FINES_R07</v>
      </c>
      <c r="X2768" s="42">
        <v>0.96699999999999997</v>
      </c>
    </row>
    <row r="2769" spans="1:24">
      <c r="A2769" s="21" t="s">
        <v>5100</v>
      </c>
      <c r="B2769" t="s">
        <v>204</v>
      </c>
      <c r="C2769" t="s">
        <v>1084</v>
      </c>
      <c r="D2769" t="s">
        <v>1085</v>
      </c>
      <c r="E2769" s="7" t="s">
        <v>198</v>
      </c>
      <c r="F2769" s="7" t="s">
        <v>198</v>
      </c>
      <c r="G2769" s="7" t="s">
        <v>198</v>
      </c>
      <c r="H2769" s="7" t="s">
        <v>20</v>
      </c>
      <c r="I2769" s="7" t="s">
        <v>5102</v>
      </c>
      <c r="J2769" s="7" t="s">
        <v>21</v>
      </c>
      <c r="L2769" t="s">
        <v>4016</v>
      </c>
      <c r="M2769" s="7" t="s">
        <v>22</v>
      </c>
      <c r="N2769" s="7" t="s">
        <v>23</v>
      </c>
      <c r="O2769" s="7" t="s">
        <v>27</v>
      </c>
      <c r="P2769" s="7" t="s">
        <v>5101</v>
      </c>
      <c r="Q2769" s="26">
        <v>7</v>
      </c>
      <c r="R2769" s="26">
        <v>1</v>
      </c>
      <c r="S2769" s="40">
        <v>1</v>
      </c>
      <c r="T2769" s="7"/>
      <c r="U2769" s="7" t="s">
        <v>2951</v>
      </c>
      <c r="V2769" s="7" t="str">
        <f>+IF(U2769="","",IF(U2769="FINES",CONCATENATE("R",IF(OR(B2769="16",B2769="21",B2769="22",B2769="23"),"16212223",IF(OR(B2769="15",B2769="17",B2769="24",B2769="25"),"15172425",B2769))),IF(U2769="CEBAS","UNICO",IF(VALUE(B2769)&lt;=11,"AMBA","INTERIOR"))))</f>
        <v>R07</v>
      </c>
      <c r="W2769" s="38" t="str">
        <f>+IF(U2769="","-",CONCATENATE(U2769,"_",V2769))</f>
        <v>FINES_R07</v>
      </c>
      <c r="X2769" s="42">
        <v>0.98199999999999998</v>
      </c>
    </row>
    <row r="2770" spans="1:24">
      <c r="A2770" s="21" t="s">
        <v>5100</v>
      </c>
      <c r="B2770" t="s">
        <v>204</v>
      </c>
      <c r="C2770" t="s">
        <v>1084</v>
      </c>
      <c r="D2770" t="s">
        <v>1085</v>
      </c>
      <c r="E2770" s="7" t="s">
        <v>198</v>
      </c>
      <c r="F2770" s="7" t="s">
        <v>198</v>
      </c>
      <c r="G2770" s="7" t="s">
        <v>198</v>
      </c>
      <c r="H2770" s="7" t="s">
        <v>20</v>
      </c>
      <c r="I2770" s="7" t="s">
        <v>5102</v>
      </c>
      <c r="J2770" s="7" t="s">
        <v>21</v>
      </c>
      <c r="L2770" t="s">
        <v>4011</v>
      </c>
      <c r="M2770" s="7" t="s">
        <v>22</v>
      </c>
      <c r="N2770" s="7" t="s">
        <v>23</v>
      </c>
      <c r="O2770" s="7" t="s">
        <v>27</v>
      </c>
      <c r="P2770" s="7" t="s">
        <v>5101</v>
      </c>
      <c r="Q2770" s="26">
        <v>15</v>
      </c>
      <c r="R2770" s="26">
        <v>1</v>
      </c>
      <c r="S2770" s="40">
        <v>1</v>
      </c>
      <c r="T2770" s="7"/>
      <c r="U2770" s="7" t="s">
        <v>2951</v>
      </c>
      <c r="V2770" s="7" t="str">
        <f>+IF(U2770="","",IF(U2770="FINES",CONCATENATE("R",IF(OR(B2770="16",B2770="21",B2770="22",B2770="23"),"16212223",IF(OR(B2770="15",B2770="17",B2770="24",B2770="25"),"15172425",B2770))),IF(U2770="CEBAS","UNICO",IF(VALUE(B2770)&lt;=11,"AMBA","INTERIOR"))))</f>
        <v>R07</v>
      </c>
      <c r="W2770" s="38" t="str">
        <f>+IF(U2770="","-",CONCATENATE(U2770,"_",V2770))</f>
        <v>FINES_R07</v>
      </c>
      <c r="X2770" s="42">
        <v>0.98899999999999999</v>
      </c>
    </row>
    <row r="2771" spans="1:24">
      <c r="A2771" s="21" t="s">
        <v>5100</v>
      </c>
      <c r="B2771" t="s">
        <v>1780</v>
      </c>
      <c r="C2771" t="s">
        <v>238</v>
      </c>
      <c r="D2771" t="s">
        <v>2887</v>
      </c>
      <c r="E2771" s="7" t="s">
        <v>198</v>
      </c>
      <c r="F2771" s="7" t="s">
        <v>198</v>
      </c>
      <c r="G2771" s="7" t="s">
        <v>198</v>
      </c>
      <c r="H2771" s="7" t="s">
        <v>20</v>
      </c>
      <c r="I2771" s="7" t="s">
        <v>5102</v>
      </c>
      <c r="J2771" s="7" t="s">
        <v>21</v>
      </c>
      <c r="L2771" t="s">
        <v>4085</v>
      </c>
      <c r="M2771" s="7" t="s">
        <v>22</v>
      </c>
      <c r="N2771" s="7" t="s">
        <v>23</v>
      </c>
      <c r="O2771" s="7" t="s">
        <v>27</v>
      </c>
      <c r="P2771" s="7" t="s">
        <v>5101</v>
      </c>
      <c r="Q2771" s="26">
        <v>24</v>
      </c>
      <c r="R2771" s="26">
        <v>1</v>
      </c>
      <c r="S2771" s="40">
        <v>1</v>
      </c>
      <c r="T2771" s="7"/>
      <c r="U2771" s="7" t="s">
        <v>2951</v>
      </c>
      <c r="V2771" s="7" t="str">
        <f>+IF(U2771="","",IF(U2771="FINES",CONCATENATE("R",IF(OR(B2771="16",B2771="21",B2771="22",B2771="23"),"16212223",IF(OR(B2771="15",B2771="17",B2771="24",B2771="25"),"15172425",B2771))),IF(U2771="CEBAS","UNICO",IF(VALUE(B2771)&lt;=11,"AMBA","INTERIOR"))))</f>
        <v>R08</v>
      </c>
      <c r="W2771" s="38" t="str">
        <f>+IF(U2771="","-",CONCATENATE(U2771,"_",V2771))</f>
        <v>FINES_R08</v>
      </c>
      <c r="X2771" s="42">
        <v>2.5000000000000001E-2</v>
      </c>
    </row>
    <row r="2772" spans="1:24">
      <c r="A2772" s="21" t="s">
        <v>5100</v>
      </c>
      <c r="B2772" t="s">
        <v>1780</v>
      </c>
      <c r="C2772" t="s">
        <v>1778</v>
      </c>
      <c r="D2772" t="s">
        <v>1779</v>
      </c>
      <c r="E2772" s="7" t="s">
        <v>198</v>
      </c>
      <c r="F2772" s="7" t="s">
        <v>198</v>
      </c>
      <c r="G2772" s="7" t="s">
        <v>198</v>
      </c>
      <c r="H2772" s="7" t="s">
        <v>20</v>
      </c>
      <c r="I2772" s="7" t="s">
        <v>5102</v>
      </c>
      <c r="J2772" s="7" t="s">
        <v>21</v>
      </c>
      <c r="L2772" t="s">
        <v>4114</v>
      </c>
      <c r="M2772" s="7" t="s">
        <v>22</v>
      </c>
      <c r="N2772" s="7" t="s">
        <v>23</v>
      </c>
      <c r="O2772" s="7" t="s">
        <v>27</v>
      </c>
      <c r="P2772" s="7" t="s">
        <v>5101</v>
      </c>
      <c r="Q2772" s="26">
        <v>41</v>
      </c>
      <c r="R2772" s="26">
        <v>2</v>
      </c>
      <c r="S2772" s="40">
        <v>1</v>
      </c>
      <c r="T2772" s="7"/>
      <c r="U2772" s="7" t="s">
        <v>2951</v>
      </c>
      <c r="V2772" s="7" t="str">
        <f>+IF(U2772="","",IF(U2772="FINES",CONCATENATE("R",IF(OR(B2772="16",B2772="21",B2772="22",B2772="23"),"16212223",IF(OR(B2772="15",B2772="17",B2772="24",B2772="25"),"15172425",B2772))),IF(U2772="CEBAS","UNICO",IF(VALUE(B2772)&lt;=11,"AMBA","INTERIOR"))))</f>
        <v>R08</v>
      </c>
      <c r="W2772" s="38" t="str">
        <f>+IF(U2772="","-",CONCATENATE(U2772,"_",V2772))</f>
        <v>FINES_R08</v>
      </c>
      <c r="X2772" s="42">
        <v>3.1E-2</v>
      </c>
    </row>
    <row r="2773" spans="1:24">
      <c r="A2773" s="21" t="s">
        <v>5100</v>
      </c>
      <c r="B2773" t="s">
        <v>1780</v>
      </c>
      <c r="C2773" t="s">
        <v>238</v>
      </c>
      <c r="D2773" t="s">
        <v>2887</v>
      </c>
      <c r="E2773" s="7" t="s">
        <v>198</v>
      </c>
      <c r="F2773" s="7" t="s">
        <v>198</v>
      </c>
      <c r="G2773" s="7" t="s">
        <v>198</v>
      </c>
      <c r="H2773" s="7" t="s">
        <v>20</v>
      </c>
      <c r="I2773" s="7" t="s">
        <v>5102</v>
      </c>
      <c r="J2773" s="7" t="s">
        <v>21</v>
      </c>
      <c r="L2773" t="s">
        <v>4088</v>
      </c>
      <c r="M2773" s="7" t="s">
        <v>22</v>
      </c>
      <c r="N2773" s="7" t="s">
        <v>23</v>
      </c>
      <c r="O2773" s="7" t="s">
        <v>27</v>
      </c>
      <c r="P2773" s="7" t="s">
        <v>5101</v>
      </c>
      <c r="Q2773" s="26">
        <v>18</v>
      </c>
      <c r="R2773" s="26">
        <v>1</v>
      </c>
      <c r="S2773" s="40">
        <v>1</v>
      </c>
      <c r="T2773" s="7"/>
      <c r="U2773" s="7" t="s">
        <v>2951</v>
      </c>
      <c r="V2773" s="7" t="str">
        <f>+IF(U2773="","",IF(U2773="FINES",CONCATENATE("R",IF(OR(B2773="16",B2773="21",B2773="22",B2773="23"),"16212223",IF(OR(B2773="15",B2773="17",B2773="24",B2773="25"),"15172425",B2773))),IF(U2773="CEBAS","UNICO",IF(VALUE(B2773)&lt;=11,"AMBA","INTERIOR"))))</f>
        <v>R08</v>
      </c>
      <c r="W2773" s="38" t="str">
        <f>+IF(U2773="","-",CONCATENATE(U2773,"_",V2773))</f>
        <v>FINES_R08</v>
      </c>
      <c r="X2773" s="42">
        <v>3.9E-2</v>
      </c>
    </row>
    <row r="2774" spans="1:24">
      <c r="A2774" s="21" t="s">
        <v>5100</v>
      </c>
      <c r="B2774" t="s">
        <v>1780</v>
      </c>
      <c r="C2774" t="s">
        <v>238</v>
      </c>
      <c r="D2774" t="s">
        <v>2887</v>
      </c>
      <c r="E2774" s="7" t="s">
        <v>198</v>
      </c>
      <c r="F2774" s="7" t="s">
        <v>198</v>
      </c>
      <c r="G2774" s="7" t="s">
        <v>198</v>
      </c>
      <c r="H2774" s="7" t="s">
        <v>20</v>
      </c>
      <c r="I2774" s="7" t="s">
        <v>5102</v>
      </c>
      <c r="J2774" s="7" t="s">
        <v>21</v>
      </c>
      <c r="L2774" t="s">
        <v>4076</v>
      </c>
      <c r="M2774" s="7" t="s">
        <v>22</v>
      </c>
      <c r="N2774" s="7" t="s">
        <v>23</v>
      </c>
      <c r="O2774" s="7" t="s">
        <v>27</v>
      </c>
      <c r="P2774" s="7" t="s">
        <v>5101</v>
      </c>
      <c r="Q2774" s="26">
        <v>22</v>
      </c>
      <c r="R2774" s="26">
        <v>1</v>
      </c>
      <c r="S2774" s="40">
        <v>1</v>
      </c>
      <c r="T2774" s="7"/>
      <c r="U2774" s="7" t="s">
        <v>2951</v>
      </c>
      <c r="V2774" s="7" t="str">
        <f>+IF(U2774="","",IF(U2774="FINES",CONCATENATE("R",IF(OR(B2774="16",B2774="21",B2774="22",B2774="23"),"16212223",IF(OR(B2774="15",B2774="17",B2774="24",B2774="25"),"15172425",B2774))),IF(U2774="CEBAS","UNICO",IF(VALUE(B2774)&lt;=11,"AMBA","INTERIOR"))))</f>
        <v>R08</v>
      </c>
      <c r="W2774" s="38" t="str">
        <f>+IF(U2774="","-",CONCATENATE(U2774,"_",V2774))</f>
        <v>FINES_R08</v>
      </c>
      <c r="X2774" s="42">
        <v>4.3999999999999997E-2</v>
      </c>
    </row>
    <row r="2775" spans="1:24">
      <c r="A2775" s="21" t="s">
        <v>5100</v>
      </c>
      <c r="B2775" t="s">
        <v>1780</v>
      </c>
      <c r="C2775" t="s">
        <v>1778</v>
      </c>
      <c r="D2775" t="s">
        <v>1779</v>
      </c>
      <c r="E2775" s="7" t="s">
        <v>198</v>
      </c>
      <c r="F2775" s="7" t="s">
        <v>198</v>
      </c>
      <c r="G2775" s="7" t="s">
        <v>198</v>
      </c>
      <c r="H2775" s="7" t="s">
        <v>20</v>
      </c>
      <c r="I2775" s="7" t="s">
        <v>5102</v>
      </c>
      <c r="J2775" s="7" t="s">
        <v>21</v>
      </c>
      <c r="L2775" t="s">
        <v>4137</v>
      </c>
      <c r="M2775" s="7" t="s">
        <v>22</v>
      </c>
      <c r="N2775" s="7" t="s">
        <v>23</v>
      </c>
      <c r="O2775" s="7" t="s">
        <v>27</v>
      </c>
      <c r="P2775" s="7" t="s">
        <v>5101</v>
      </c>
      <c r="Q2775" s="26">
        <v>27</v>
      </c>
      <c r="R2775" s="26">
        <v>1</v>
      </c>
      <c r="S2775" s="40">
        <v>1</v>
      </c>
      <c r="T2775" s="7"/>
      <c r="U2775" s="7" t="s">
        <v>2951</v>
      </c>
      <c r="V2775" s="7" t="str">
        <f>+IF(U2775="","",IF(U2775="FINES",CONCATENATE("R",IF(OR(B2775="16",B2775="21",B2775="22",B2775="23"),"16212223",IF(OR(B2775="15",B2775="17",B2775="24",B2775="25"),"15172425",B2775))),IF(U2775="CEBAS","UNICO",IF(VALUE(B2775)&lt;=11,"AMBA","INTERIOR"))))</f>
        <v>R08</v>
      </c>
      <c r="W2775" s="38" t="str">
        <f>+IF(U2775="","-",CONCATENATE(U2775,"_",V2775))</f>
        <v>FINES_R08</v>
      </c>
      <c r="X2775" s="42">
        <v>0.05</v>
      </c>
    </row>
    <row r="2776" spans="1:24">
      <c r="A2776" s="21" t="s">
        <v>5100</v>
      </c>
      <c r="B2776" t="s">
        <v>1780</v>
      </c>
      <c r="C2776" t="s">
        <v>1778</v>
      </c>
      <c r="D2776" t="s">
        <v>1779</v>
      </c>
      <c r="E2776" s="7" t="s">
        <v>198</v>
      </c>
      <c r="F2776" s="7" t="s">
        <v>198</v>
      </c>
      <c r="G2776" s="7" t="s">
        <v>198</v>
      </c>
      <c r="H2776" s="7" t="s">
        <v>20</v>
      </c>
      <c r="I2776" s="7" t="s">
        <v>5102</v>
      </c>
      <c r="J2776" s="7" t="s">
        <v>21</v>
      </c>
      <c r="L2776" t="s">
        <v>4111</v>
      </c>
      <c r="M2776" s="7" t="s">
        <v>22</v>
      </c>
      <c r="N2776" s="7" t="s">
        <v>23</v>
      </c>
      <c r="O2776" s="7" t="s">
        <v>27</v>
      </c>
      <c r="P2776" s="7" t="s">
        <v>5101</v>
      </c>
      <c r="Q2776" s="26">
        <v>14</v>
      </c>
      <c r="R2776" s="26">
        <v>1</v>
      </c>
      <c r="S2776" s="40">
        <v>1</v>
      </c>
      <c r="T2776" s="7"/>
      <c r="U2776" s="7" t="s">
        <v>2951</v>
      </c>
      <c r="V2776" s="7" t="str">
        <f>+IF(U2776="","",IF(U2776="FINES",CONCATENATE("R",IF(OR(B2776="16",B2776="21",B2776="22",B2776="23"),"16212223",IF(OR(B2776="15",B2776="17",B2776="24",B2776="25"),"15172425",B2776))),IF(U2776="CEBAS","UNICO",IF(VALUE(B2776)&lt;=11,"AMBA","INTERIOR"))))</f>
        <v>R08</v>
      </c>
      <c r="W2776" s="38" t="str">
        <f>+IF(U2776="","-",CONCATENATE(U2776,"_",V2776))</f>
        <v>FINES_R08</v>
      </c>
      <c r="X2776" s="42">
        <v>5.0999999999999997E-2</v>
      </c>
    </row>
    <row r="2777" spans="1:24">
      <c r="A2777" s="21" t="s">
        <v>5100</v>
      </c>
      <c r="B2777" t="s">
        <v>1780</v>
      </c>
      <c r="C2777" t="s">
        <v>238</v>
      </c>
      <c r="D2777" t="s">
        <v>2887</v>
      </c>
      <c r="E2777" s="7" t="s">
        <v>198</v>
      </c>
      <c r="F2777" s="7" t="s">
        <v>198</v>
      </c>
      <c r="G2777" s="7" t="s">
        <v>198</v>
      </c>
      <c r="H2777" s="7" t="s">
        <v>20</v>
      </c>
      <c r="I2777" s="7" t="s">
        <v>5102</v>
      </c>
      <c r="J2777" s="7" t="s">
        <v>21</v>
      </c>
      <c r="L2777" t="s">
        <v>4081</v>
      </c>
      <c r="M2777" s="7" t="s">
        <v>22</v>
      </c>
      <c r="N2777" s="7" t="s">
        <v>23</v>
      </c>
      <c r="O2777" s="7" t="s">
        <v>27</v>
      </c>
      <c r="P2777" s="7" t="s">
        <v>5101</v>
      </c>
      <c r="Q2777" s="26">
        <v>15</v>
      </c>
      <c r="R2777" s="26">
        <v>1</v>
      </c>
      <c r="S2777" s="40">
        <v>1</v>
      </c>
      <c r="T2777" s="7"/>
      <c r="U2777" s="7" t="s">
        <v>2951</v>
      </c>
      <c r="V2777" s="7" t="str">
        <f>+IF(U2777="","",IF(U2777="FINES",CONCATENATE("R",IF(OR(B2777="16",B2777="21",B2777="22",B2777="23"),"16212223",IF(OR(B2777="15",B2777="17",B2777="24",B2777="25"),"15172425",B2777))),IF(U2777="CEBAS","UNICO",IF(VALUE(B2777)&lt;=11,"AMBA","INTERIOR"))))</f>
        <v>R08</v>
      </c>
      <c r="W2777" s="38" t="str">
        <f>+IF(U2777="","-",CONCATENATE(U2777,"_",V2777))</f>
        <v>FINES_R08</v>
      </c>
      <c r="X2777" s="42">
        <v>5.7000000000000002E-2</v>
      </c>
    </row>
    <row r="2778" spans="1:24">
      <c r="A2778" s="21" t="s">
        <v>5100</v>
      </c>
      <c r="B2778" t="s">
        <v>1780</v>
      </c>
      <c r="C2778" t="s">
        <v>1778</v>
      </c>
      <c r="D2778" t="s">
        <v>1779</v>
      </c>
      <c r="E2778" s="7" t="s">
        <v>198</v>
      </c>
      <c r="F2778" s="7" t="s">
        <v>198</v>
      </c>
      <c r="G2778" s="7" t="s">
        <v>198</v>
      </c>
      <c r="H2778" s="7" t="s">
        <v>20</v>
      </c>
      <c r="I2778" s="7" t="s">
        <v>5102</v>
      </c>
      <c r="J2778" s="7" t="s">
        <v>21</v>
      </c>
      <c r="L2778" t="s">
        <v>4123</v>
      </c>
      <c r="M2778" s="7" t="s">
        <v>22</v>
      </c>
      <c r="N2778" s="7" t="s">
        <v>23</v>
      </c>
      <c r="O2778" s="7" t="s">
        <v>27</v>
      </c>
      <c r="P2778" s="7" t="s">
        <v>5101</v>
      </c>
      <c r="Q2778" s="26">
        <v>58</v>
      </c>
      <c r="R2778" s="26">
        <v>3</v>
      </c>
      <c r="S2778" s="40">
        <v>1</v>
      </c>
      <c r="T2778" s="7"/>
      <c r="U2778" s="7" t="s">
        <v>2951</v>
      </c>
      <c r="V2778" s="7" t="str">
        <f>+IF(U2778="","",IF(U2778="FINES",CONCATENATE("R",IF(OR(B2778="16",B2778="21",B2778="22",B2778="23"),"16212223",IF(OR(B2778="15",B2778="17",B2778="24",B2778="25"),"15172425",B2778))),IF(U2778="CEBAS","UNICO",IF(VALUE(B2778)&lt;=11,"AMBA","INTERIOR"))))</f>
        <v>R08</v>
      </c>
      <c r="W2778" s="38" t="str">
        <f>+IF(U2778="","-",CONCATENATE(U2778,"_",V2778))</f>
        <v>FINES_R08</v>
      </c>
      <c r="X2778" s="42">
        <v>5.7000000000000002E-2</v>
      </c>
    </row>
    <row r="2779" spans="1:24">
      <c r="A2779" s="21" t="s">
        <v>5100</v>
      </c>
      <c r="B2779" t="s">
        <v>1780</v>
      </c>
      <c r="C2779" t="s">
        <v>238</v>
      </c>
      <c r="D2779" t="s">
        <v>2887</v>
      </c>
      <c r="E2779" s="7" t="s">
        <v>198</v>
      </c>
      <c r="F2779" s="7" t="s">
        <v>198</v>
      </c>
      <c r="G2779" s="7" t="s">
        <v>198</v>
      </c>
      <c r="H2779" s="7" t="s">
        <v>20</v>
      </c>
      <c r="I2779" s="7" t="s">
        <v>5102</v>
      </c>
      <c r="J2779" s="7" t="s">
        <v>21</v>
      </c>
      <c r="L2779" t="s">
        <v>4080</v>
      </c>
      <c r="M2779" s="7" t="s">
        <v>22</v>
      </c>
      <c r="N2779" s="7" t="s">
        <v>23</v>
      </c>
      <c r="O2779" s="7" t="s">
        <v>27</v>
      </c>
      <c r="P2779" s="7" t="s">
        <v>5101</v>
      </c>
      <c r="Q2779" s="26">
        <v>38</v>
      </c>
      <c r="R2779" s="26">
        <v>3</v>
      </c>
      <c r="S2779" s="40">
        <v>1</v>
      </c>
      <c r="T2779" s="7"/>
      <c r="U2779" s="7" t="s">
        <v>2951</v>
      </c>
      <c r="V2779" s="7" t="str">
        <f>+IF(U2779="","",IF(U2779="FINES",CONCATENATE("R",IF(OR(B2779="16",B2779="21",B2779="22",B2779="23"),"16212223",IF(OR(B2779="15",B2779="17",B2779="24",B2779="25"),"15172425",B2779))),IF(U2779="CEBAS","UNICO",IF(VALUE(B2779)&lt;=11,"AMBA","INTERIOR"))))</f>
        <v>R08</v>
      </c>
      <c r="W2779" s="38" t="str">
        <f>+IF(U2779="","-",CONCATENATE(U2779,"_",V2779))</f>
        <v>FINES_R08</v>
      </c>
      <c r="X2779" s="42">
        <v>6.3E-2</v>
      </c>
    </row>
    <row r="2780" spans="1:24">
      <c r="A2780" s="21" t="s">
        <v>5100</v>
      </c>
      <c r="B2780" t="s">
        <v>1780</v>
      </c>
      <c r="C2780" t="s">
        <v>1778</v>
      </c>
      <c r="D2780" t="s">
        <v>1779</v>
      </c>
      <c r="E2780" s="7" t="s">
        <v>198</v>
      </c>
      <c r="F2780" s="7" t="s">
        <v>198</v>
      </c>
      <c r="G2780" s="7" t="s">
        <v>198</v>
      </c>
      <c r="H2780" s="7" t="s">
        <v>20</v>
      </c>
      <c r="I2780" s="7" t="s">
        <v>5102</v>
      </c>
      <c r="J2780" s="7" t="s">
        <v>21</v>
      </c>
      <c r="L2780" t="s">
        <v>4121</v>
      </c>
      <c r="M2780" s="7" t="s">
        <v>22</v>
      </c>
      <c r="N2780" s="7" t="s">
        <v>23</v>
      </c>
      <c r="O2780" s="7" t="s">
        <v>27</v>
      </c>
      <c r="P2780" s="7" t="s">
        <v>5101</v>
      </c>
      <c r="Q2780" s="26">
        <v>17</v>
      </c>
      <c r="R2780" s="26">
        <v>1</v>
      </c>
      <c r="S2780" s="40">
        <v>1</v>
      </c>
      <c r="T2780" s="7"/>
      <c r="U2780" s="7" t="s">
        <v>2951</v>
      </c>
      <c r="V2780" s="7" t="str">
        <f>+IF(U2780="","",IF(U2780="FINES",CONCATENATE("R",IF(OR(B2780="16",B2780="21",B2780="22",B2780="23"),"16212223",IF(OR(B2780="15",B2780="17",B2780="24",B2780="25"),"15172425",B2780))),IF(U2780="CEBAS","UNICO",IF(VALUE(B2780)&lt;=11,"AMBA","INTERIOR"))))</f>
        <v>R08</v>
      </c>
      <c r="W2780" s="38" t="str">
        <f>+IF(U2780="","-",CONCATENATE(U2780,"_",V2780))</f>
        <v>FINES_R08</v>
      </c>
      <c r="X2780" s="42">
        <v>6.7000000000000004E-2</v>
      </c>
    </row>
    <row r="2781" spans="1:24">
      <c r="A2781" s="21" t="s">
        <v>5100</v>
      </c>
      <c r="B2781" t="s">
        <v>1780</v>
      </c>
      <c r="C2781" t="s">
        <v>1248</v>
      </c>
      <c r="D2781" t="s">
        <v>2348</v>
      </c>
      <c r="E2781" s="7" t="s">
        <v>198</v>
      </c>
      <c r="F2781" s="7" t="s">
        <v>198</v>
      </c>
      <c r="G2781" s="7" t="s">
        <v>198</v>
      </c>
      <c r="H2781" s="7" t="s">
        <v>20</v>
      </c>
      <c r="I2781" s="7" t="s">
        <v>5102</v>
      </c>
      <c r="J2781" s="7" t="s">
        <v>21</v>
      </c>
      <c r="L2781" t="s">
        <v>4172</v>
      </c>
      <c r="M2781" s="7" t="s">
        <v>22</v>
      </c>
      <c r="N2781" s="7" t="s">
        <v>23</v>
      </c>
      <c r="O2781" s="7" t="s">
        <v>27</v>
      </c>
      <c r="P2781" s="7" t="s">
        <v>5101</v>
      </c>
      <c r="Q2781" s="26">
        <v>0</v>
      </c>
      <c r="R2781" s="26">
        <v>1</v>
      </c>
      <c r="S2781" s="40">
        <v>1</v>
      </c>
      <c r="T2781" s="7"/>
      <c r="U2781" s="7" t="s">
        <v>2951</v>
      </c>
      <c r="V2781" s="7" t="str">
        <f>+IF(U2781="","",IF(U2781="FINES",CONCATENATE("R",IF(OR(B2781="16",B2781="21",B2781="22",B2781="23"),"16212223",IF(OR(B2781="15",B2781="17",B2781="24",B2781="25"),"15172425",B2781))),IF(U2781="CEBAS","UNICO",IF(VALUE(B2781)&lt;=11,"AMBA","INTERIOR"))))</f>
        <v>R08</v>
      </c>
      <c r="W2781" s="38" t="str">
        <f>+IF(U2781="","-",CONCATENATE(U2781,"_",V2781))</f>
        <v>FINES_R08</v>
      </c>
      <c r="X2781" s="42">
        <v>7.0000000000000007E-2</v>
      </c>
    </row>
    <row r="2782" spans="1:24">
      <c r="A2782" s="21" t="s">
        <v>5100</v>
      </c>
      <c r="B2782" t="s">
        <v>1780</v>
      </c>
      <c r="C2782" t="s">
        <v>1248</v>
      </c>
      <c r="D2782" t="s">
        <v>2348</v>
      </c>
      <c r="E2782" s="7" t="s">
        <v>198</v>
      </c>
      <c r="F2782" s="7" t="s">
        <v>198</v>
      </c>
      <c r="G2782" s="7" t="s">
        <v>198</v>
      </c>
      <c r="H2782" s="7" t="s">
        <v>20</v>
      </c>
      <c r="I2782" s="7" t="s">
        <v>5102</v>
      </c>
      <c r="J2782" s="7" t="s">
        <v>21</v>
      </c>
      <c r="L2782" t="s">
        <v>4162</v>
      </c>
      <c r="M2782" s="7" t="s">
        <v>22</v>
      </c>
      <c r="N2782" s="7" t="s">
        <v>23</v>
      </c>
      <c r="O2782" s="7" t="s">
        <v>27</v>
      </c>
      <c r="P2782" s="7" t="s">
        <v>5101</v>
      </c>
      <c r="Q2782" s="26">
        <v>11</v>
      </c>
      <c r="R2782" s="26">
        <v>1</v>
      </c>
      <c r="S2782" s="40">
        <v>1</v>
      </c>
      <c r="T2782" s="7"/>
      <c r="U2782" s="7" t="s">
        <v>2951</v>
      </c>
      <c r="V2782" s="7" t="str">
        <f>+IF(U2782="","",IF(U2782="FINES",CONCATENATE("R",IF(OR(B2782="16",B2782="21",B2782="22",B2782="23"),"16212223",IF(OR(B2782="15",B2782="17",B2782="24",B2782="25"),"15172425",B2782))),IF(U2782="CEBAS","UNICO",IF(VALUE(B2782)&lt;=11,"AMBA","INTERIOR"))))</f>
        <v>R08</v>
      </c>
      <c r="W2782" s="38" t="str">
        <f>+IF(U2782="","-",CONCATENATE(U2782,"_",V2782))</f>
        <v>FINES_R08</v>
      </c>
      <c r="X2782" s="42">
        <v>8.8999999999999996E-2</v>
      </c>
    </row>
    <row r="2783" spans="1:24">
      <c r="A2783" s="21" t="s">
        <v>5100</v>
      </c>
      <c r="B2783" t="s">
        <v>1780</v>
      </c>
      <c r="C2783" t="s">
        <v>1778</v>
      </c>
      <c r="D2783" t="s">
        <v>1779</v>
      </c>
      <c r="E2783" s="7" t="s">
        <v>198</v>
      </c>
      <c r="F2783" s="7" t="s">
        <v>198</v>
      </c>
      <c r="G2783" s="7" t="s">
        <v>198</v>
      </c>
      <c r="H2783" s="7" t="s">
        <v>20</v>
      </c>
      <c r="I2783" s="7" t="s">
        <v>5102</v>
      </c>
      <c r="J2783" s="7" t="s">
        <v>21</v>
      </c>
      <c r="L2783" t="s">
        <v>4097</v>
      </c>
      <c r="M2783" s="7" t="s">
        <v>22</v>
      </c>
      <c r="N2783" s="7" t="s">
        <v>23</v>
      </c>
      <c r="O2783" s="7" t="s">
        <v>27</v>
      </c>
      <c r="P2783" s="7" t="s">
        <v>5101</v>
      </c>
      <c r="Q2783" s="26">
        <v>0</v>
      </c>
      <c r="R2783" s="26">
        <v>1</v>
      </c>
      <c r="S2783" s="40">
        <v>1</v>
      </c>
      <c r="T2783" s="7"/>
      <c r="U2783" s="7" t="s">
        <v>2951</v>
      </c>
      <c r="V2783" s="7" t="str">
        <f>+IF(U2783="","",IF(U2783="FINES",CONCATENATE("R",IF(OR(B2783="16",B2783="21",B2783="22",B2783="23"),"16212223",IF(OR(B2783="15",B2783="17",B2783="24",B2783="25"),"15172425",B2783))),IF(U2783="CEBAS","UNICO",IF(VALUE(B2783)&lt;=11,"AMBA","INTERIOR"))))</f>
        <v>R08</v>
      </c>
      <c r="W2783" s="38" t="str">
        <f>+IF(U2783="","-",CONCATENATE(U2783,"_",V2783))</f>
        <v>FINES_R08</v>
      </c>
      <c r="X2783" s="42">
        <v>9.1999999999999998E-2</v>
      </c>
    </row>
    <row r="2784" spans="1:24">
      <c r="A2784" s="21" t="s">
        <v>5100</v>
      </c>
      <c r="B2784" t="s">
        <v>1780</v>
      </c>
      <c r="C2784" t="s">
        <v>1778</v>
      </c>
      <c r="D2784" t="s">
        <v>1779</v>
      </c>
      <c r="E2784" s="7" t="s">
        <v>198</v>
      </c>
      <c r="F2784" s="7" t="s">
        <v>198</v>
      </c>
      <c r="G2784" s="7" t="s">
        <v>198</v>
      </c>
      <c r="H2784" s="7" t="s">
        <v>20</v>
      </c>
      <c r="I2784" s="7" t="s">
        <v>5102</v>
      </c>
      <c r="J2784" s="7" t="s">
        <v>21</v>
      </c>
      <c r="L2784" t="s">
        <v>4108</v>
      </c>
      <c r="M2784" s="7" t="s">
        <v>22</v>
      </c>
      <c r="N2784" s="7" t="s">
        <v>23</v>
      </c>
      <c r="O2784" s="7" t="s">
        <v>27</v>
      </c>
      <c r="P2784" s="7" t="s">
        <v>5101</v>
      </c>
      <c r="Q2784" s="26">
        <v>129</v>
      </c>
      <c r="R2784" s="26">
        <v>5</v>
      </c>
      <c r="S2784" s="40">
        <v>1</v>
      </c>
      <c r="T2784" s="7"/>
      <c r="U2784" s="7" t="s">
        <v>2951</v>
      </c>
      <c r="V2784" s="7" t="str">
        <f>+IF(U2784="","",IF(U2784="FINES",CONCATENATE("R",IF(OR(B2784="16",B2784="21",B2784="22",B2784="23"),"16212223",IF(OR(B2784="15",B2784="17",B2784="24",B2784="25"),"15172425",B2784))),IF(U2784="CEBAS","UNICO",IF(VALUE(B2784)&lt;=11,"AMBA","INTERIOR"))))</f>
        <v>R08</v>
      </c>
      <c r="W2784" s="38" t="str">
        <f>+IF(U2784="","-",CONCATENATE(U2784,"_",V2784))</f>
        <v>FINES_R08</v>
      </c>
      <c r="X2784" s="42">
        <v>0.10199999999999999</v>
      </c>
    </row>
    <row r="2785" spans="1:24">
      <c r="A2785" s="21" t="s">
        <v>5100</v>
      </c>
      <c r="B2785" t="s">
        <v>1780</v>
      </c>
      <c r="C2785" t="s">
        <v>238</v>
      </c>
      <c r="D2785" t="s">
        <v>2887</v>
      </c>
      <c r="E2785" s="7" t="s">
        <v>198</v>
      </c>
      <c r="F2785" s="7" t="s">
        <v>198</v>
      </c>
      <c r="G2785" s="7" t="s">
        <v>198</v>
      </c>
      <c r="H2785" s="7" t="s">
        <v>20</v>
      </c>
      <c r="I2785" s="7" t="s">
        <v>5102</v>
      </c>
      <c r="J2785" s="7" t="s">
        <v>21</v>
      </c>
      <c r="L2785" t="s">
        <v>4091</v>
      </c>
      <c r="M2785" s="7" t="s">
        <v>22</v>
      </c>
      <c r="N2785" s="7" t="s">
        <v>23</v>
      </c>
      <c r="O2785" s="7" t="s">
        <v>27</v>
      </c>
      <c r="P2785" s="7" t="s">
        <v>5101</v>
      </c>
      <c r="Q2785" s="26">
        <v>15</v>
      </c>
      <c r="R2785" s="26">
        <v>1</v>
      </c>
      <c r="S2785" s="40">
        <v>1</v>
      </c>
      <c r="T2785" s="7"/>
      <c r="U2785" s="7" t="s">
        <v>2951</v>
      </c>
      <c r="V2785" s="7" t="str">
        <f>+IF(U2785="","",IF(U2785="FINES",CONCATENATE("R",IF(OR(B2785="16",B2785="21",B2785="22",B2785="23"),"16212223",IF(OR(B2785="15",B2785="17",B2785="24",B2785="25"),"15172425",B2785))),IF(U2785="CEBAS","UNICO",IF(VALUE(B2785)&lt;=11,"AMBA","INTERIOR"))))</f>
        <v>R08</v>
      </c>
      <c r="W2785" s="38" t="str">
        <f>+IF(U2785="","-",CONCATENATE(U2785,"_",V2785))</f>
        <v>FINES_R08</v>
      </c>
      <c r="X2785" s="42">
        <v>0.104</v>
      </c>
    </row>
    <row r="2786" spans="1:24">
      <c r="A2786" s="21" t="s">
        <v>5100</v>
      </c>
      <c r="B2786" t="s">
        <v>1780</v>
      </c>
      <c r="C2786" t="s">
        <v>238</v>
      </c>
      <c r="D2786" t="s">
        <v>2887</v>
      </c>
      <c r="E2786" s="7" t="s">
        <v>198</v>
      </c>
      <c r="F2786" s="7" t="s">
        <v>198</v>
      </c>
      <c r="G2786" s="7" t="s">
        <v>198</v>
      </c>
      <c r="H2786" s="7" t="s">
        <v>20</v>
      </c>
      <c r="I2786" s="7" t="s">
        <v>5102</v>
      </c>
      <c r="J2786" s="7" t="s">
        <v>21</v>
      </c>
      <c r="L2786" t="s">
        <v>4083</v>
      </c>
      <c r="M2786" s="7" t="s">
        <v>22</v>
      </c>
      <c r="N2786" s="7" t="s">
        <v>23</v>
      </c>
      <c r="O2786" s="7" t="s">
        <v>27</v>
      </c>
      <c r="P2786" s="7" t="s">
        <v>5101</v>
      </c>
      <c r="Q2786" s="26">
        <v>0</v>
      </c>
      <c r="R2786" s="26">
        <v>1</v>
      </c>
      <c r="S2786" s="40">
        <v>1</v>
      </c>
      <c r="T2786" s="7"/>
      <c r="U2786" s="7" t="s">
        <v>2951</v>
      </c>
      <c r="V2786" s="7" t="str">
        <f>+IF(U2786="","",IF(U2786="FINES",CONCATENATE("R",IF(OR(B2786="16",B2786="21",B2786="22",B2786="23"),"16212223",IF(OR(B2786="15",B2786="17",B2786="24",B2786="25"),"15172425",B2786))),IF(U2786="CEBAS","UNICO",IF(VALUE(B2786)&lt;=11,"AMBA","INTERIOR"))))</f>
        <v>R08</v>
      </c>
      <c r="W2786" s="38" t="str">
        <f>+IF(U2786="","-",CONCATENATE(U2786,"_",V2786))</f>
        <v>FINES_R08</v>
      </c>
      <c r="X2786" s="42">
        <v>0.11799999999999999</v>
      </c>
    </row>
    <row r="2787" spans="1:24">
      <c r="A2787" s="21" t="s">
        <v>5100</v>
      </c>
      <c r="B2787" t="s">
        <v>1780</v>
      </c>
      <c r="C2787" t="s">
        <v>1248</v>
      </c>
      <c r="D2787" t="s">
        <v>2348</v>
      </c>
      <c r="E2787" s="7" t="s">
        <v>198</v>
      </c>
      <c r="F2787" s="7" t="s">
        <v>198</v>
      </c>
      <c r="G2787" s="7" t="s">
        <v>198</v>
      </c>
      <c r="H2787" s="7" t="s">
        <v>20</v>
      </c>
      <c r="I2787" s="7" t="s">
        <v>5102</v>
      </c>
      <c r="J2787" s="7" t="s">
        <v>21</v>
      </c>
      <c r="L2787" t="s">
        <v>4169</v>
      </c>
      <c r="M2787" s="7" t="s">
        <v>22</v>
      </c>
      <c r="N2787" s="7" t="s">
        <v>23</v>
      </c>
      <c r="O2787" s="7" t="s">
        <v>27</v>
      </c>
      <c r="P2787" s="7" t="s">
        <v>5101</v>
      </c>
      <c r="Q2787" s="26">
        <v>15</v>
      </c>
      <c r="R2787" s="26">
        <v>1</v>
      </c>
      <c r="S2787" s="40">
        <v>1</v>
      </c>
      <c r="T2787" s="7"/>
      <c r="U2787" s="7" t="s">
        <v>2951</v>
      </c>
      <c r="V2787" s="7" t="str">
        <f>+IF(U2787="","",IF(U2787="FINES",CONCATENATE("R",IF(OR(B2787="16",B2787="21",B2787="22",B2787="23"),"16212223",IF(OR(B2787="15",B2787="17",B2787="24",B2787="25"),"15172425",B2787))),IF(U2787="CEBAS","UNICO",IF(VALUE(B2787)&lt;=11,"AMBA","INTERIOR"))))</f>
        <v>R08</v>
      </c>
      <c r="W2787" s="38" t="str">
        <f>+IF(U2787="","-",CONCATENATE(U2787,"_",V2787))</f>
        <v>FINES_R08</v>
      </c>
      <c r="X2787" s="42">
        <v>0.12</v>
      </c>
    </row>
    <row r="2788" spans="1:24">
      <c r="A2788" s="21" t="s">
        <v>5100</v>
      </c>
      <c r="B2788" t="s">
        <v>1780</v>
      </c>
      <c r="C2788" t="s">
        <v>1778</v>
      </c>
      <c r="D2788" t="s">
        <v>1779</v>
      </c>
      <c r="E2788" s="7" t="s">
        <v>198</v>
      </c>
      <c r="F2788" s="7" t="s">
        <v>198</v>
      </c>
      <c r="G2788" s="7" t="s">
        <v>198</v>
      </c>
      <c r="H2788" s="7" t="s">
        <v>20</v>
      </c>
      <c r="I2788" s="7" t="s">
        <v>5102</v>
      </c>
      <c r="J2788" s="7" t="s">
        <v>21</v>
      </c>
      <c r="L2788" t="s">
        <v>4133</v>
      </c>
      <c r="M2788" s="7" t="s">
        <v>22</v>
      </c>
      <c r="N2788" s="7" t="s">
        <v>23</v>
      </c>
      <c r="O2788" s="7" t="s">
        <v>27</v>
      </c>
      <c r="P2788" s="7" t="s">
        <v>5101</v>
      </c>
      <c r="Q2788" s="26">
        <v>64</v>
      </c>
      <c r="R2788" s="26">
        <v>3</v>
      </c>
      <c r="S2788" s="40">
        <v>1</v>
      </c>
      <c r="T2788" s="7"/>
      <c r="U2788" s="7" t="s">
        <v>2951</v>
      </c>
      <c r="V2788" s="7" t="str">
        <f>+IF(U2788="","",IF(U2788="FINES",CONCATENATE("R",IF(OR(B2788="16",B2788="21",B2788="22",B2788="23"),"16212223",IF(OR(B2788="15",B2788="17",B2788="24",B2788="25"),"15172425",B2788))),IF(U2788="CEBAS","UNICO",IF(VALUE(B2788)&lt;=11,"AMBA","INTERIOR"))))</f>
        <v>R08</v>
      </c>
      <c r="W2788" s="38" t="str">
        <f>+IF(U2788="","-",CONCATENATE(U2788,"_",V2788))</f>
        <v>FINES_R08</v>
      </c>
      <c r="X2788" s="42">
        <v>0.128</v>
      </c>
    </row>
    <row r="2789" spans="1:24">
      <c r="A2789" s="21" t="s">
        <v>5100</v>
      </c>
      <c r="B2789" t="s">
        <v>1780</v>
      </c>
      <c r="C2789" t="s">
        <v>1778</v>
      </c>
      <c r="D2789" t="s">
        <v>1779</v>
      </c>
      <c r="E2789" s="7" t="s">
        <v>198</v>
      </c>
      <c r="F2789" s="7" t="s">
        <v>198</v>
      </c>
      <c r="G2789" s="7" t="s">
        <v>198</v>
      </c>
      <c r="H2789" s="7" t="s">
        <v>20</v>
      </c>
      <c r="I2789" s="7" t="s">
        <v>5102</v>
      </c>
      <c r="J2789" s="7" t="s">
        <v>21</v>
      </c>
      <c r="L2789" t="s">
        <v>4129</v>
      </c>
      <c r="M2789" s="7" t="s">
        <v>22</v>
      </c>
      <c r="N2789" s="7" t="s">
        <v>23</v>
      </c>
      <c r="O2789" s="7" t="s">
        <v>27</v>
      </c>
      <c r="P2789" s="7" t="s">
        <v>5101</v>
      </c>
      <c r="Q2789" s="26">
        <v>137</v>
      </c>
      <c r="R2789" s="26">
        <v>6</v>
      </c>
      <c r="S2789" s="40">
        <v>1</v>
      </c>
      <c r="T2789" s="7"/>
      <c r="U2789" s="7" t="s">
        <v>2951</v>
      </c>
      <c r="V2789" s="7" t="str">
        <f>+IF(U2789="","",IF(U2789="FINES",CONCATENATE("R",IF(OR(B2789="16",B2789="21",B2789="22",B2789="23"),"16212223",IF(OR(B2789="15",B2789="17",B2789="24",B2789="25"),"15172425",B2789))),IF(U2789="CEBAS","UNICO",IF(VALUE(B2789)&lt;=11,"AMBA","INTERIOR"))))</f>
        <v>R08</v>
      </c>
      <c r="W2789" s="38" t="str">
        <f>+IF(U2789="","-",CONCATENATE(U2789,"_",V2789))</f>
        <v>FINES_R08</v>
      </c>
      <c r="X2789" s="42">
        <v>0.13200000000000001</v>
      </c>
    </row>
    <row r="2790" spans="1:24">
      <c r="A2790" s="21" t="s">
        <v>5100</v>
      </c>
      <c r="B2790" t="s">
        <v>1780</v>
      </c>
      <c r="C2790" t="s">
        <v>1778</v>
      </c>
      <c r="D2790" t="s">
        <v>1779</v>
      </c>
      <c r="E2790" s="7" t="s">
        <v>198</v>
      </c>
      <c r="F2790" s="7" t="s">
        <v>198</v>
      </c>
      <c r="G2790" s="7" t="s">
        <v>198</v>
      </c>
      <c r="H2790" s="7" t="s">
        <v>20</v>
      </c>
      <c r="I2790" s="7" t="s">
        <v>5102</v>
      </c>
      <c r="J2790" s="7" t="s">
        <v>21</v>
      </c>
      <c r="L2790" t="s">
        <v>4106</v>
      </c>
      <c r="M2790" s="7" t="s">
        <v>22</v>
      </c>
      <c r="N2790" s="7" t="s">
        <v>23</v>
      </c>
      <c r="O2790" s="7" t="s">
        <v>27</v>
      </c>
      <c r="P2790" s="7" t="s">
        <v>5101</v>
      </c>
      <c r="Q2790" s="26">
        <v>103</v>
      </c>
      <c r="R2790" s="26">
        <v>5</v>
      </c>
      <c r="S2790" s="40">
        <v>1</v>
      </c>
      <c r="T2790" s="7"/>
      <c r="U2790" s="7" t="s">
        <v>2951</v>
      </c>
      <c r="V2790" s="7" t="str">
        <f>+IF(U2790="","",IF(U2790="FINES",CONCATENATE("R",IF(OR(B2790="16",B2790="21",B2790="22",B2790="23"),"16212223",IF(OR(B2790="15",B2790="17",B2790="24",B2790="25"),"15172425",B2790))),IF(U2790="CEBAS","UNICO",IF(VALUE(B2790)&lt;=11,"AMBA","INTERIOR"))))</f>
        <v>R08</v>
      </c>
      <c r="W2790" s="38" t="str">
        <f>+IF(U2790="","-",CONCATENATE(U2790,"_",V2790))</f>
        <v>FINES_R08</v>
      </c>
      <c r="X2790" s="42">
        <v>0.14699999999999999</v>
      </c>
    </row>
    <row r="2791" spans="1:24">
      <c r="A2791" s="21" t="s">
        <v>5100</v>
      </c>
      <c r="B2791" t="s">
        <v>1780</v>
      </c>
      <c r="C2791" t="s">
        <v>1778</v>
      </c>
      <c r="D2791" t="s">
        <v>1779</v>
      </c>
      <c r="E2791" s="7" t="s">
        <v>198</v>
      </c>
      <c r="F2791" s="7" t="s">
        <v>198</v>
      </c>
      <c r="G2791" s="7" t="s">
        <v>198</v>
      </c>
      <c r="H2791" s="7" t="s">
        <v>20</v>
      </c>
      <c r="I2791" s="7" t="s">
        <v>5102</v>
      </c>
      <c r="J2791" s="7" t="s">
        <v>21</v>
      </c>
      <c r="L2791" t="s">
        <v>4145</v>
      </c>
      <c r="M2791" s="7" t="s">
        <v>22</v>
      </c>
      <c r="N2791" s="7" t="s">
        <v>23</v>
      </c>
      <c r="O2791" s="7" t="s">
        <v>27</v>
      </c>
      <c r="P2791" s="7" t="s">
        <v>5101</v>
      </c>
      <c r="Q2791" s="26">
        <v>67</v>
      </c>
      <c r="R2791" s="26">
        <v>2</v>
      </c>
      <c r="S2791" s="40">
        <v>1</v>
      </c>
      <c r="T2791" s="7"/>
      <c r="U2791" s="7" t="s">
        <v>2951</v>
      </c>
      <c r="V2791" s="7" t="str">
        <f>+IF(U2791="","",IF(U2791="FINES",CONCATENATE("R",IF(OR(B2791="16",B2791="21",B2791="22",B2791="23"),"16212223",IF(OR(B2791="15",B2791="17",B2791="24",B2791="25"),"15172425",B2791))),IF(U2791="CEBAS","UNICO",IF(VALUE(B2791)&lt;=11,"AMBA","INTERIOR"))))</f>
        <v>R08</v>
      </c>
      <c r="W2791" s="38" t="str">
        <f>+IF(U2791="","-",CONCATENATE(U2791,"_",V2791))</f>
        <v>FINES_R08</v>
      </c>
      <c r="X2791" s="42">
        <v>0.15</v>
      </c>
    </row>
    <row r="2792" spans="1:24">
      <c r="A2792" s="21" t="s">
        <v>5100</v>
      </c>
      <c r="B2792" t="s">
        <v>1780</v>
      </c>
      <c r="C2792" t="s">
        <v>1778</v>
      </c>
      <c r="D2792" t="s">
        <v>1779</v>
      </c>
      <c r="E2792" s="7" t="s">
        <v>198</v>
      </c>
      <c r="F2792" s="7" t="s">
        <v>198</v>
      </c>
      <c r="G2792" s="7" t="s">
        <v>198</v>
      </c>
      <c r="H2792" s="7" t="s">
        <v>20</v>
      </c>
      <c r="I2792" s="7" t="s">
        <v>5102</v>
      </c>
      <c r="J2792" s="7" t="s">
        <v>21</v>
      </c>
      <c r="L2792" t="s">
        <v>4134</v>
      </c>
      <c r="M2792" s="7" t="s">
        <v>22</v>
      </c>
      <c r="N2792" s="7" t="s">
        <v>23</v>
      </c>
      <c r="O2792" s="7" t="s">
        <v>27</v>
      </c>
      <c r="P2792" s="7" t="s">
        <v>5101</v>
      </c>
      <c r="Q2792" s="26">
        <v>106</v>
      </c>
      <c r="R2792" s="26">
        <v>4</v>
      </c>
      <c r="S2792" s="40">
        <v>1</v>
      </c>
      <c r="T2792" s="7"/>
      <c r="U2792" s="7" t="s">
        <v>2951</v>
      </c>
      <c r="V2792" s="7" t="str">
        <f>+IF(U2792="","",IF(U2792="FINES",CONCATENATE("R",IF(OR(B2792="16",B2792="21",B2792="22",B2792="23"),"16212223",IF(OR(B2792="15",B2792="17",B2792="24",B2792="25"),"15172425",B2792))),IF(U2792="CEBAS","UNICO",IF(VALUE(B2792)&lt;=11,"AMBA","INTERIOR"))))</f>
        <v>R08</v>
      </c>
      <c r="W2792" s="38" t="str">
        <f>+IF(U2792="","-",CONCATENATE(U2792,"_",V2792))</f>
        <v>FINES_R08</v>
      </c>
      <c r="X2792" s="42">
        <v>0.157</v>
      </c>
    </row>
    <row r="2793" spans="1:24">
      <c r="A2793" s="21" t="s">
        <v>5100</v>
      </c>
      <c r="B2793" t="s">
        <v>1780</v>
      </c>
      <c r="C2793" t="s">
        <v>1778</v>
      </c>
      <c r="D2793" t="s">
        <v>1779</v>
      </c>
      <c r="E2793" s="7" t="s">
        <v>198</v>
      </c>
      <c r="F2793" s="7" t="s">
        <v>198</v>
      </c>
      <c r="G2793" s="7" t="s">
        <v>198</v>
      </c>
      <c r="H2793" s="7" t="s">
        <v>20</v>
      </c>
      <c r="I2793" s="7" t="s">
        <v>5102</v>
      </c>
      <c r="J2793" s="7" t="s">
        <v>21</v>
      </c>
      <c r="L2793" t="s">
        <v>4127</v>
      </c>
      <c r="M2793" s="7" t="s">
        <v>22</v>
      </c>
      <c r="N2793" s="7" t="s">
        <v>23</v>
      </c>
      <c r="O2793" s="7" t="s">
        <v>27</v>
      </c>
      <c r="P2793" s="7" t="s">
        <v>5101</v>
      </c>
      <c r="Q2793" s="26">
        <v>106</v>
      </c>
      <c r="R2793" s="26">
        <v>4</v>
      </c>
      <c r="S2793" s="40">
        <v>1</v>
      </c>
      <c r="T2793" s="7"/>
      <c r="U2793" s="7" t="s">
        <v>2951</v>
      </c>
      <c r="V2793" s="7" t="str">
        <f>+IF(U2793="","",IF(U2793="FINES",CONCATENATE("R",IF(OR(B2793="16",B2793="21",B2793="22",B2793="23"),"16212223",IF(OR(B2793="15",B2793="17",B2793="24",B2793="25"),"15172425",B2793))),IF(U2793="CEBAS","UNICO",IF(VALUE(B2793)&lt;=11,"AMBA","INTERIOR"))))</f>
        <v>R08</v>
      </c>
      <c r="W2793" s="38" t="str">
        <f>+IF(U2793="","-",CONCATENATE(U2793,"_",V2793))</f>
        <v>FINES_R08</v>
      </c>
      <c r="X2793" s="42">
        <v>0.16300000000000001</v>
      </c>
    </row>
    <row r="2794" spans="1:24">
      <c r="A2794" s="21" t="s">
        <v>5100</v>
      </c>
      <c r="B2794" t="s">
        <v>1780</v>
      </c>
      <c r="C2794" t="s">
        <v>238</v>
      </c>
      <c r="D2794" t="s">
        <v>2887</v>
      </c>
      <c r="E2794" s="7" t="s">
        <v>198</v>
      </c>
      <c r="F2794" s="7" t="s">
        <v>198</v>
      </c>
      <c r="G2794" s="7" t="s">
        <v>198</v>
      </c>
      <c r="H2794" s="7" t="s">
        <v>20</v>
      </c>
      <c r="I2794" s="7" t="s">
        <v>5102</v>
      </c>
      <c r="J2794" s="7" t="s">
        <v>21</v>
      </c>
      <c r="L2794" t="s">
        <v>4092</v>
      </c>
      <c r="M2794" s="7" t="s">
        <v>22</v>
      </c>
      <c r="N2794" s="7" t="s">
        <v>23</v>
      </c>
      <c r="O2794" s="7" t="s">
        <v>27</v>
      </c>
      <c r="P2794" s="7" t="s">
        <v>5101</v>
      </c>
      <c r="Q2794" s="26">
        <v>18</v>
      </c>
      <c r="R2794" s="26">
        <v>1</v>
      </c>
      <c r="S2794" s="40">
        <v>1</v>
      </c>
      <c r="T2794" s="7"/>
      <c r="U2794" s="7" t="s">
        <v>2951</v>
      </c>
      <c r="V2794" s="7" t="str">
        <f>+IF(U2794="","",IF(U2794="FINES",CONCATENATE("R",IF(OR(B2794="16",B2794="21",B2794="22",B2794="23"),"16212223",IF(OR(B2794="15",B2794="17",B2794="24",B2794="25"),"15172425",B2794))),IF(U2794="CEBAS","UNICO",IF(VALUE(B2794)&lt;=11,"AMBA","INTERIOR"))))</f>
        <v>R08</v>
      </c>
      <c r="W2794" s="38" t="str">
        <f>+IF(U2794="","-",CONCATENATE(U2794,"_",V2794))</f>
        <v>FINES_R08</v>
      </c>
      <c r="X2794" s="42">
        <v>0.193</v>
      </c>
    </row>
    <row r="2795" spans="1:24">
      <c r="A2795" s="21" t="s">
        <v>5100</v>
      </c>
      <c r="B2795" t="s">
        <v>1780</v>
      </c>
      <c r="C2795" t="s">
        <v>1778</v>
      </c>
      <c r="D2795" t="s">
        <v>1779</v>
      </c>
      <c r="E2795" s="7" t="s">
        <v>198</v>
      </c>
      <c r="F2795" s="7" t="s">
        <v>198</v>
      </c>
      <c r="G2795" s="7" t="s">
        <v>198</v>
      </c>
      <c r="H2795" s="7" t="s">
        <v>20</v>
      </c>
      <c r="I2795" s="7" t="s">
        <v>5102</v>
      </c>
      <c r="J2795" s="7" t="s">
        <v>21</v>
      </c>
      <c r="L2795" t="s">
        <v>4136</v>
      </c>
      <c r="M2795" s="7" t="s">
        <v>22</v>
      </c>
      <c r="N2795" s="7" t="s">
        <v>23</v>
      </c>
      <c r="O2795" s="7" t="s">
        <v>27</v>
      </c>
      <c r="P2795" s="7" t="s">
        <v>5101</v>
      </c>
      <c r="Q2795" s="26">
        <v>186</v>
      </c>
      <c r="R2795" s="26">
        <v>7</v>
      </c>
      <c r="S2795" s="40">
        <v>1</v>
      </c>
      <c r="T2795" s="7"/>
      <c r="U2795" s="7" t="s">
        <v>2951</v>
      </c>
      <c r="V2795" s="7" t="str">
        <f>+IF(U2795="","",IF(U2795="FINES",CONCATENATE("R",IF(OR(B2795="16",B2795="21",B2795="22",B2795="23"),"16212223",IF(OR(B2795="15",B2795="17",B2795="24",B2795="25"),"15172425",B2795))),IF(U2795="CEBAS","UNICO",IF(VALUE(B2795)&lt;=11,"AMBA","INTERIOR"))))</f>
        <v>R08</v>
      </c>
      <c r="W2795" s="38" t="str">
        <f>+IF(U2795="","-",CONCATENATE(U2795,"_",V2795))</f>
        <v>FINES_R08</v>
      </c>
      <c r="X2795" s="42">
        <v>0.20300000000000001</v>
      </c>
    </row>
    <row r="2796" spans="1:24">
      <c r="A2796" s="21" t="s">
        <v>5100</v>
      </c>
      <c r="B2796" t="s">
        <v>1780</v>
      </c>
      <c r="C2796" t="s">
        <v>1778</v>
      </c>
      <c r="D2796" t="s">
        <v>1779</v>
      </c>
      <c r="E2796" s="7" t="s">
        <v>198</v>
      </c>
      <c r="F2796" s="7" t="s">
        <v>198</v>
      </c>
      <c r="G2796" s="7" t="s">
        <v>198</v>
      </c>
      <c r="H2796" s="7" t="s">
        <v>20</v>
      </c>
      <c r="I2796" s="7" t="s">
        <v>5102</v>
      </c>
      <c r="J2796" s="7" t="s">
        <v>21</v>
      </c>
      <c r="L2796" t="s">
        <v>4119</v>
      </c>
      <c r="M2796" s="7" t="s">
        <v>22</v>
      </c>
      <c r="N2796" s="7" t="s">
        <v>23</v>
      </c>
      <c r="O2796" s="7" t="s">
        <v>27</v>
      </c>
      <c r="P2796" s="7" t="s">
        <v>5101</v>
      </c>
      <c r="Q2796" s="26">
        <v>96</v>
      </c>
      <c r="R2796" s="26">
        <v>4</v>
      </c>
      <c r="S2796" s="40">
        <v>1</v>
      </c>
      <c r="T2796" s="7"/>
      <c r="U2796" s="7" t="s">
        <v>2951</v>
      </c>
      <c r="V2796" s="7" t="str">
        <f>+IF(U2796="","",IF(U2796="FINES",CONCATENATE("R",IF(OR(B2796="16",B2796="21",B2796="22",B2796="23"),"16212223",IF(OR(B2796="15",B2796="17",B2796="24",B2796="25"),"15172425",B2796))),IF(U2796="CEBAS","UNICO",IF(VALUE(B2796)&lt;=11,"AMBA","INTERIOR"))))</f>
        <v>R08</v>
      </c>
      <c r="W2796" s="38" t="str">
        <f>+IF(U2796="","-",CONCATENATE(U2796,"_",V2796))</f>
        <v>FINES_R08</v>
      </c>
      <c r="X2796" s="42">
        <v>0.21</v>
      </c>
    </row>
    <row r="2797" spans="1:24">
      <c r="A2797" s="21" t="s">
        <v>5100</v>
      </c>
      <c r="B2797" t="s">
        <v>1780</v>
      </c>
      <c r="C2797" t="s">
        <v>1778</v>
      </c>
      <c r="D2797" t="s">
        <v>1779</v>
      </c>
      <c r="E2797" s="7" t="s">
        <v>198</v>
      </c>
      <c r="F2797" s="7" t="s">
        <v>198</v>
      </c>
      <c r="G2797" s="7" t="s">
        <v>198</v>
      </c>
      <c r="H2797" s="7" t="s">
        <v>20</v>
      </c>
      <c r="I2797" s="7" t="s">
        <v>5102</v>
      </c>
      <c r="J2797" s="7" t="s">
        <v>21</v>
      </c>
      <c r="L2797" t="s">
        <v>4115</v>
      </c>
      <c r="M2797" s="7" t="s">
        <v>22</v>
      </c>
      <c r="N2797" s="7" t="s">
        <v>23</v>
      </c>
      <c r="O2797" s="7" t="s">
        <v>27</v>
      </c>
      <c r="P2797" s="7" t="s">
        <v>5101</v>
      </c>
      <c r="Q2797" s="26">
        <v>109</v>
      </c>
      <c r="R2797" s="26">
        <v>4</v>
      </c>
      <c r="S2797" s="40">
        <v>1</v>
      </c>
      <c r="T2797" s="7"/>
      <c r="U2797" s="7" t="s">
        <v>2951</v>
      </c>
      <c r="V2797" s="7" t="str">
        <f>+IF(U2797="","",IF(U2797="FINES",CONCATENATE("R",IF(OR(B2797="16",B2797="21",B2797="22",B2797="23"),"16212223",IF(OR(B2797="15",B2797="17",B2797="24",B2797="25"),"15172425",B2797))),IF(U2797="CEBAS","UNICO",IF(VALUE(B2797)&lt;=11,"AMBA","INTERIOR"))))</f>
        <v>R08</v>
      </c>
      <c r="W2797" s="38" t="str">
        <f>+IF(U2797="","-",CONCATENATE(U2797,"_",V2797))</f>
        <v>FINES_R08</v>
      </c>
      <c r="X2797" s="42">
        <v>0.221</v>
      </c>
    </row>
    <row r="2798" spans="1:24">
      <c r="A2798" s="21" t="s">
        <v>5100</v>
      </c>
      <c r="B2798" t="s">
        <v>1780</v>
      </c>
      <c r="C2798" t="s">
        <v>1778</v>
      </c>
      <c r="D2798" t="s">
        <v>1779</v>
      </c>
      <c r="E2798" s="7" t="s">
        <v>198</v>
      </c>
      <c r="F2798" s="7" t="s">
        <v>198</v>
      </c>
      <c r="G2798" s="7" t="s">
        <v>198</v>
      </c>
      <c r="H2798" s="7" t="s">
        <v>20</v>
      </c>
      <c r="I2798" s="7" t="s">
        <v>5102</v>
      </c>
      <c r="J2798" s="7" t="s">
        <v>21</v>
      </c>
      <c r="L2798" t="s">
        <v>4105</v>
      </c>
      <c r="M2798" s="7" t="s">
        <v>22</v>
      </c>
      <c r="N2798" s="7" t="s">
        <v>23</v>
      </c>
      <c r="O2798" s="7" t="s">
        <v>27</v>
      </c>
      <c r="P2798" s="7" t="s">
        <v>5101</v>
      </c>
      <c r="Q2798" s="26">
        <v>56</v>
      </c>
      <c r="R2798" s="26">
        <v>3</v>
      </c>
      <c r="S2798" s="40">
        <v>1</v>
      </c>
      <c r="T2798" s="7"/>
      <c r="U2798" s="7" t="s">
        <v>2951</v>
      </c>
      <c r="V2798" s="7" t="str">
        <f>+IF(U2798="","",IF(U2798="FINES",CONCATENATE("R",IF(OR(B2798="16",B2798="21",B2798="22",B2798="23"),"16212223",IF(OR(B2798="15",B2798="17",B2798="24",B2798="25"),"15172425",B2798))),IF(U2798="CEBAS","UNICO",IF(VALUE(B2798)&lt;=11,"AMBA","INTERIOR"))))</f>
        <v>R08</v>
      </c>
      <c r="W2798" s="38" t="str">
        <f>+IF(U2798="","-",CONCATENATE(U2798,"_",V2798))</f>
        <v>FINES_R08</v>
      </c>
      <c r="X2798" s="42">
        <v>0.22700000000000001</v>
      </c>
    </row>
    <row r="2799" spans="1:24">
      <c r="A2799" s="21" t="s">
        <v>5100</v>
      </c>
      <c r="B2799" t="s">
        <v>1780</v>
      </c>
      <c r="C2799" t="s">
        <v>1778</v>
      </c>
      <c r="D2799" t="s">
        <v>1779</v>
      </c>
      <c r="E2799" s="7" t="s">
        <v>198</v>
      </c>
      <c r="F2799" s="7" t="s">
        <v>198</v>
      </c>
      <c r="G2799" s="7" t="s">
        <v>198</v>
      </c>
      <c r="H2799" s="7" t="s">
        <v>20</v>
      </c>
      <c r="I2799" s="7" t="s">
        <v>5102</v>
      </c>
      <c r="J2799" s="7" t="s">
        <v>21</v>
      </c>
      <c r="L2799" t="s">
        <v>4150</v>
      </c>
      <c r="M2799" s="7" t="s">
        <v>22</v>
      </c>
      <c r="N2799" s="7" t="s">
        <v>23</v>
      </c>
      <c r="O2799" s="7" t="s">
        <v>27</v>
      </c>
      <c r="P2799" s="7" t="s">
        <v>5101</v>
      </c>
      <c r="Q2799" s="26">
        <v>35</v>
      </c>
      <c r="R2799" s="26">
        <v>2</v>
      </c>
      <c r="S2799" s="40">
        <v>1</v>
      </c>
      <c r="T2799" s="7"/>
      <c r="U2799" s="7" t="s">
        <v>2951</v>
      </c>
      <c r="V2799" s="7" t="str">
        <f>+IF(U2799="","",IF(U2799="FINES",CONCATENATE("R",IF(OR(B2799="16",B2799="21",B2799="22",B2799="23"),"16212223",IF(OR(B2799="15",B2799="17",B2799="24",B2799="25"),"15172425",B2799))),IF(U2799="CEBAS","UNICO",IF(VALUE(B2799)&lt;=11,"AMBA","INTERIOR"))))</f>
        <v>R08</v>
      </c>
      <c r="W2799" s="38" t="str">
        <f>+IF(U2799="","-",CONCATENATE(U2799,"_",V2799))</f>
        <v>FINES_R08</v>
      </c>
      <c r="X2799" s="42">
        <v>0.23</v>
      </c>
    </row>
    <row r="2800" spans="1:24">
      <c r="A2800" s="21" t="s">
        <v>5100</v>
      </c>
      <c r="B2800" t="s">
        <v>1780</v>
      </c>
      <c r="C2800" t="s">
        <v>1248</v>
      </c>
      <c r="D2800" t="s">
        <v>2348</v>
      </c>
      <c r="E2800" s="7" t="s">
        <v>198</v>
      </c>
      <c r="F2800" s="7" t="s">
        <v>198</v>
      </c>
      <c r="G2800" s="7" t="s">
        <v>198</v>
      </c>
      <c r="H2800" s="7" t="s">
        <v>20</v>
      </c>
      <c r="I2800" s="7" t="s">
        <v>5102</v>
      </c>
      <c r="J2800" s="7" t="s">
        <v>21</v>
      </c>
      <c r="L2800" t="s">
        <v>4171</v>
      </c>
      <c r="M2800" s="7" t="s">
        <v>22</v>
      </c>
      <c r="N2800" s="7" t="s">
        <v>23</v>
      </c>
      <c r="O2800" s="7" t="s">
        <v>27</v>
      </c>
      <c r="P2800" s="7" t="s">
        <v>5101</v>
      </c>
      <c r="Q2800" s="26">
        <v>11</v>
      </c>
      <c r="R2800" s="26">
        <v>1</v>
      </c>
      <c r="S2800" s="40">
        <v>1</v>
      </c>
      <c r="T2800" s="7"/>
      <c r="U2800" s="7" t="s">
        <v>2951</v>
      </c>
      <c r="V2800" s="7" t="str">
        <f>+IF(U2800="","",IF(U2800="FINES",CONCATENATE("R",IF(OR(B2800="16",B2800="21",B2800="22",B2800="23"),"16212223",IF(OR(B2800="15",B2800="17",B2800="24",B2800="25"),"15172425",B2800))),IF(U2800="CEBAS","UNICO",IF(VALUE(B2800)&lt;=11,"AMBA","INTERIOR"))))</f>
        <v>R08</v>
      </c>
      <c r="W2800" s="38" t="str">
        <f>+IF(U2800="","-",CONCATENATE(U2800,"_",V2800))</f>
        <v>FINES_R08</v>
      </c>
      <c r="X2800" s="42">
        <v>0.23100000000000001</v>
      </c>
    </row>
    <row r="2801" spans="1:24">
      <c r="A2801" s="21" t="s">
        <v>5100</v>
      </c>
      <c r="B2801" t="s">
        <v>1780</v>
      </c>
      <c r="C2801" t="s">
        <v>1248</v>
      </c>
      <c r="D2801" t="s">
        <v>2348</v>
      </c>
      <c r="E2801" s="7" t="s">
        <v>198</v>
      </c>
      <c r="F2801" s="7" t="s">
        <v>198</v>
      </c>
      <c r="G2801" s="7" t="s">
        <v>198</v>
      </c>
      <c r="H2801" s="7" t="s">
        <v>20</v>
      </c>
      <c r="I2801" s="7" t="s">
        <v>5102</v>
      </c>
      <c r="J2801" s="7" t="s">
        <v>21</v>
      </c>
      <c r="L2801" t="s">
        <v>4168</v>
      </c>
      <c r="M2801" s="7" t="s">
        <v>22</v>
      </c>
      <c r="N2801" s="7" t="s">
        <v>23</v>
      </c>
      <c r="O2801" s="7" t="s">
        <v>27</v>
      </c>
      <c r="P2801" s="7" t="s">
        <v>5101</v>
      </c>
      <c r="Q2801" s="26">
        <v>10</v>
      </c>
      <c r="R2801" s="26">
        <v>1</v>
      </c>
      <c r="S2801" s="40">
        <v>1</v>
      </c>
      <c r="T2801" s="7"/>
      <c r="U2801" s="7" t="s">
        <v>2951</v>
      </c>
      <c r="V2801" s="7" t="str">
        <f>+IF(U2801="","",IF(U2801="FINES",CONCATENATE("R",IF(OR(B2801="16",B2801="21",B2801="22",B2801="23"),"16212223",IF(OR(B2801="15",B2801="17",B2801="24",B2801="25"),"15172425",B2801))),IF(U2801="CEBAS","UNICO",IF(VALUE(B2801)&lt;=11,"AMBA","INTERIOR"))))</f>
        <v>R08</v>
      </c>
      <c r="W2801" s="38" t="str">
        <f>+IF(U2801="","-",CONCATENATE(U2801,"_",V2801))</f>
        <v>FINES_R08</v>
      </c>
      <c r="X2801" s="42">
        <v>0.24199999999999999</v>
      </c>
    </row>
    <row r="2802" spans="1:24">
      <c r="A2802" s="21" t="s">
        <v>5100</v>
      </c>
      <c r="B2802" t="s">
        <v>1780</v>
      </c>
      <c r="C2802" t="s">
        <v>1778</v>
      </c>
      <c r="D2802" t="s">
        <v>1779</v>
      </c>
      <c r="E2802" s="7" t="s">
        <v>198</v>
      </c>
      <c r="F2802" s="7" t="s">
        <v>198</v>
      </c>
      <c r="G2802" s="7" t="s">
        <v>198</v>
      </c>
      <c r="H2802" s="7" t="s">
        <v>20</v>
      </c>
      <c r="I2802" s="7" t="s">
        <v>5102</v>
      </c>
      <c r="J2802" s="7" t="s">
        <v>21</v>
      </c>
      <c r="L2802" t="s">
        <v>4128</v>
      </c>
      <c r="M2802" s="7" t="s">
        <v>22</v>
      </c>
      <c r="N2802" s="7" t="s">
        <v>23</v>
      </c>
      <c r="O2802" s="7" t="s">
        <v>27</v>
      </c>
      <c r="P2802" s="7" t="s">
        <v>5101</v>
      </c>
      <c r="Q2802" s="26">
        <v>87</v>
      </c>
      <c r="R2802" s="26">
        <v>3</v>
      </c>
      <c r="S2802" s="40">
        <v>1</v>
      </c>
      <c r="T2802" s="7"/>
      <c r="U2802" s="7" t="s">
        <v>2951</v>
      </c>
      <c r="V2802" s="7" t="str">
        <f>+IF(U2802="","",IF(U2802="FINES",CONCATENATE("R",IF(OR(B2802="16",B2802="21",B2802="22",B2802="23"),"16212223",IF(OR(B2802="15",B2802="17",B2802="24",B2802="25"),"15172425",B2802))),IF(U2802="CEBAS","UNICO",IF(VALUE(B2802)&lt;=11,"AMBA","INTERIOR"))))</f>
        <v>R08</v>
      </c>
      <c r="W2802" s="38" t="str">
        <f>+IF(U2802="","-",CONCATENATE(U2802,"_",V2802))</f>
        <v>FINES_R08</v>
      </c>
      <c r="X2802" s="42">
        <v>0.253</v>
      </c>
    </row>
    <row r="2803" spans="1:24">
      <c r="A2803" s="21" t="s">
        <v>5100</v>
      </c>
      <c r="B2803" t="s">
        <v>1780</v>
      </c>
      <c r="C2803" t="s">
        <v>1778</v>
      </c>
      <c r="D2803" t="s">
        <v>1779</v>
      </c>
      <c r="E2803" s="7" t="s">
        <v>198</v>
      </c>
      <c r="F2803" s="7" t="s">
        <v>198</v>
      </c>
      <c r="G2803" s="7" t="s">
        <v>198</v>
      </c>
      <c r="H2803" s="7" t="s">
        <v>20</v>
      </c>
      <c r="I2803" s="7" t="s">
        <v>5102</v>
      </c>
      <c r="J2803" s="7" t="s">
        <v>21</v>
      </c>
      <c r="L2803" t="s">
        <v>4146</v>
      </c>
      <c r="M2803" s="7" t="s">
        <v>22</v>
      </c>
      <c r="N2803" s="7" t="s">
        <v>23</v>
      </c>
      <c r="O2803" s="7" t="s">
        <v>27</v>
      </c>
      <c r="P2803" s="7" t="s">
        <v>5101</v>
      </c>
      <c r="Q2803" s="26">
        <v>15</v>
      </c>
      <c r="R2803" s="26">
        <v>1</v>
      </c>
      <c r="S2803" s="40">
        <v>1</v>
      </c>
      <c r="T2803" s="7"/>
      <c r="U2803" s="7" t="s">
        <v>2951</v>
      </c>
      <c r="V2803" s="7" t="str">
        <f>+IF(U2803="","",IF(U2803="FINES",CONCATENATE("R",IF(OR(B2803="16",B2803="21",B2803="22",B2803="23"),"16212223",IF(OR(B2803="15",B2803="17",B2803="24",B2803="25"),"15172425",B2803))),IF(U2803="CEBAS","UNICO",IF(VALUE(B2803)&lt;=11,"AMBA","INTERIOR"))))</f>
        <v>R08</v>
      </c>
      <c r="W2803" s="38" t="str">
        <f>+IF(U2803="","-",CONCATENATE(U2803,"_",V2803))</f>
        <v>FINES_R08</v>
      </c>
      <c r="X2803" s="42">
        <v>0.29099999999999998</v>
      </c>
    </row>
    <row r="2804" spans="1:24">
      <c r="A2804" s="21" t="s">
        <v>5100</v>
      </c>
      <c r="B2804" t="s">
        <v>1780</v>
      </c>
      <c r="C2804" t="s">
        <v>238</v>
      </c>
      <c r="D2804" t="s">
        <v>2887</v>
      </c>
      <c r="E2804" s="7" t="s">
        <v>198</v>
      </c>
      <c r="F2804" s="7" t="s">
        <v>198</v>
      </c>
      <c r="G2804" s="7" t="s">
        <v>198</v>
      </c>
      <c r="H2804" s="7" t="s">
        <v>20</v>
      </c>
      <c r="I2804" s="7" t="s">
        <v>5102</v>
      </c>
      <c r="J2804" s="7" t="s">
        <v>21</v>
      </c>
      <c r="L2804" t="s">
        <v>4075</v>
      </c>
      <c r="M2804" s="7" t="s">
        <v>22</v>
      </c>
      <c r="N2804" s="7" t="s">
        <v>23</v>
      </c>
      <c r="O2804" s="7" t="s">
        <v>27</v>
      </c>
      <c r="P2804" s="7" t="s">
        <v>5101</v>
      </c>
      <c r="Q2804" s="26">
        <v>19</v>
      </c>
      <c r="R2804" s="26">
        <v>1</v>
      </c>
      <c r="S2804" s="40">
        <v>1</v>
      </c>
      <c r="T2804" s="7"/>
      <c r="U2804" s="7" t="s">
        <v>2951</v>
      </c>
      <c r="V2804" s="7" t="str">
        <f>+IF(U2804="","",IF(U2804="FINES",CONCATENATE("R",IF(OR(B2804="16",B2804="21",B2804="22",B2804="23"),"16212223",IF(OR(B2804="15",B2804="17",B2804="24",B2804="25"),"15172425",B2804))),IF(U2804="CEBAS","UNICO",IF(VALUE(B2804)&lt;=11,"AMBA","INTERIOR"))))</f>
        <v>R08</v>
      </c>
      <c r="W2804" s="38" t="str">
        <f>+IF(U2804="","-",CONCATENATE(U2804,"_",V2804))</f>
        <v>FINES_R08</v>
      </c>
      <c r="X2804" s="42">
        <v>0.308</v>
      </c>
    </row>
    <row r="2805" spans="1:24">
      <c r="A2805" s="21" t="s">
        <v>5100</v>
      </c>
      <c r="B2805" t="s">
        <v>1780</v>
      </c>
      <c r="C2805" t="s">
        <v>1778</v>
      </c>
      <c r="D2805" t="s">
        <v>1779</v>
      </c>
      <c r="E2805" s="7" t="s">
        <v>198</v>
      </c>
      <c r="F2805" s="7" t="s">
        <v>198</v>
      </c>
      <c r="G2805" s="7" t="s">
        <v>198</v>
      </c>
      <c r="H2805" s="7" t="s">
        <v>20</v>
      </c>
      <c r="I2805" s="7" t="s">
        <v>5102</v>
      </c>
      <c r="J2805" s="7" t="s">
        <v>21</v>
      </c>
      <c r="L2805" t="s">
        <v>4095</v>
      </c>
      <c r="M2805" s="7" t="s">
        <v>22</v>
      </c>
      <c r="N2805" s="7" t="s">
        <v>23</v>
      </c>
      <c r="O2805" s="7" t="s">
        <v>27</v>
      </c>
      <c r="P2805" s="7" t="s">
        <v>5101</v>
      </c>
      <c r="Q2805" s="26">
        <v>33</v>
      </c>
      <c r="R2805" s="26">
        <v>1</v>
      </c>
      <c r="S2805" s="40">
        <v>1</v>
      </c>
      <c r="T2805" s="7"/>
      <c r="U2805" s="7" t="s">
        <v>2951</v>
      </c>
      <c r="V2805" s="7" t="str">
        <f>+IF(U2805="","",IF(U2805="FINES",CONCATENATE("R",IF(OR(B2805="16",B2805="21",B2805="22",B2805="23"),"16212223",IF(OR(B2805="15",B2805="17",B2805="24",B2805="25"),"15172425",B2805))),IF(U2805="CEBAS","UNICO",IF(VALUE(B2805)&lt;=11,"AMBA","INTERIOR"))))</f>
        <v>R08</v>
      </c>
      <c r="W2805" s="38" t="str">
        <f>+IF(U2805="","-",CONCATENATE(U2805,"_",V2805))</f>
        <v>FINES_R08</v>
      </c>
      <c r="X2805" s="42">
        <v>0.32200000000000001</v>
      </c>
    </row>
    <row r="2806" spans="1:24">
      <c r="A2806" s="21" t="s">
        <v>5100</v>
      </c>
      <c r="B2806" t="s">
        <v>1780</v>
      </c>
      <c r="C2806" t="s">
        <v>1778</v>
      </c>
      <c r="D2806" t="s">
        <v>1779</v>
      </c>
      <c r="E2806" s="7" t="s">
        <v>198</v>
      </c>
      <c r="F2806" s="7" t="s">
        <v>198</v>
      </c>
      <c r="G2806" s="7" t="s">
        <v>198</v>
      </c>
      <c r="H2806" s="7" t="s">
        <v>20</v>
      </c>
      <c r="I2806" s="7" t="s">
        <v>5102</v>
      </c>
      <c r="J2806" s="7" t="s">
        <v>21</v>
      </c>
      <c r="L2806" t="s">
        <v>4138</v>
      </c>
      <c r="M2806" s="7" t="s">
        <v>22</v>
      </c>
      <c r="N2806" s="7" t="s">
        <v>23</v>
      </c>
      <c r="O2806" s="7" t="s">
        <v>27</v>
      </c>
      <c r="P2806" s="7" t="s">
        <v>5101</v>
      </c>
      <c r="Q2806" s="26">
        <v>35</v>
      </c>
      <c r="R2806" s="26">
        <v>1</v>
      </c>
      <c r="S2806" s="40">
        <v>1</v>
      </c>
      <c r="T2806" s="7"/>
      <c r="U2806" s="7" t="s">
        <v>2951</v>
      </c>
      <c r="V2806" s="7" t="str">
        <f>+IF(U2806="","",IF(U2806="FINES",CONCATENATE("R",IF(OR(B2806="16",B2806="21",B2806="22",B2806="23"),"16212223",IF(OR(B2806="15",B2806="17",B2806="24",B2806="25"),"15172425",B2806))),IF(U2806="CEBAS","UNICO",IF(VALUE(B2806)&lt;=11,"AMBA","INTERIOR"))))</f>
        <v>R08</v>
      </c>
      <c r="W2806" s="38" t="str">
        <f>+IF(U2806="","-",CONCATENATE(U2806,"_",V2806))</f>
        <v>FINES_R08</v>
      </c>
      <c r="X2806" s="42">
        <v>0.32500000000000001</v>
      </c>
    </row>
    <row r="2807" spans="1:24">
      <c r="A2807" s="21" t="s">
        <v>5100</v>
      </c>
      <c r="B2807" t="s">
        <v>1780</v>
      </c>
      <c r="C2807" t="s">
        <v>1248</v>
      </c>
      <c r="D2807" t="s">
        <v>2348</v>
      </c>
      <c r="E2807" s="7" t="s">
        <v>198</v>
      </c>
      <c r="F2807" s="7" t="s">
        <v>198</v>
      </c>
      <c r="G2807" s="7" t="s">
        <v>198</v>
      </c>
      <c r="H2807" s="7" t="s">
        <v>20</v>
      </c>
      <c r="I2807" s="7" t="s">
        <v>5102</v>
      </c>
      <c r="J2807" s="7" t="s">
        <v>21</v>
      </c>
      <c r="L2807" t="s">
        <v>4160</v>
      </c>
      <c r="M2807" s="7" t="s">
        <v>22</v>
      </c>
      <c r="N2807" s="7" t="s">
        <v>23</v>
      </c>
      <c r="O2807" s="7" t="s">
        <v>27</v>
      </c>
      <c r="P2807" s="7" t="s">
        <v>5101</v>
      </c>
      <c r="Q2807" s="26">
        <v>56</v>
      </c>
      <c r="R2807" s="26">
        <v>3</v>
      </c>
      <c r="S2807" s="40">
        <v>1</v>
      </c>
      <c r="T2807" s="7"/>
      <c r="U2807" s="7" t="s">
        <v>2951</v>
      </c>
      <c r="V2807" s="7" t="str">
        <f>+IF(U2807="","",IF(U2807="FINES",CONCATENATE("R",IF(OR(B2807="16",B2807="21",B2807="22",B2807="23"),"16212223",IF(OR(B2807="15",B2807="17",B2807="24",B2807="25"),"15172425",B2807))),IF(U2807="CEBAS","UNICO",IF(VALUE(B2807)&lt;=11,"AMBA","INTERIOR"))))</f>
        <v>R08</v>
      </c>
      <c r="W2807" s="38" t="str">
        <f>+IF(U2807="","-",CONCATENATE(U2807,"_",V2807))</f>
        <v>FINES_R08</v>
      </c>
      <c r="X2807" s="42">
        <v>0.32900000000000001</v>
      </c>
    </row>
    <row r="2808" spans="1:24">
      <c r="A2808" s="21" t="s">
        <v>5100</v>
      </c>
      <c r="B2808" t="s">
        <v>1780</v>
      </c>
      <c r="C2808" t="s">
        <v>1778</v>
      </c>
      <c r="D2808" t="s">
        <v>1779</v>
      </c>
      <c r="E2808" s="7" t="s">
        <v>198</v>
      </c>
      <c r="F2808" s="7" t="s">
        <v>198</v>
      </c>
      <c r="G2808" s="7" t="s">
        <v>198</v>
      </c>
      <c r="H2808" s="7" t="s">
        <v>20</v>
      </c>
      <c r="I2808" s="7" t="s">
        <v>5102</v>
      </c>
      <c r="J2808" s="7" t="s">
        <v>21</v>
      </c>
      <c r="L2808" t="s">
        <v>4103</v>
      </c>
      <c r="M2808" s="7" t="s">
        <v>22</v>
      </c>
      <c r="N2808" s="7" t="s">
        <v>23</v>
      </c>
      <c r="O2808" s="7" t="s">
        <v>27</v>
      </c>
      <c r="P2808" s="7" t="s">
        <v>5101</v>
      </c>
      <c r="Q2808" s="26">
        <v>42</v>
      </c>
      <c r="R2808" s="26">
        <v>2</v>
      </c>
      <c r="S2808" s="40">
        <v>1</v>
      </c>
      <c r="T2808" s="7"/>
      <c r="U2808" s="7" t="s">
        <v>2951</v>
      </c>
      <c r="V2808" s="7" t="str">
        <f>+IF(U2808="","",IF(U2808="FINES",CONCATENATE("R",IF(OR(B2808="16",B2808="21",B2808="22",B2808="23"),"16212223",IF(OR(B2808="15",B2808="17",B2808="24",B2808="25"),"15172425",B2808))),IF(U2808="CEBAS","UNICO",IF(VALUE(B2808)&lt;=11,"AMBA","INTERIOR"))))</f>
        <v>R08</v>
      </c>
      <c r="W2808" s="38" t="str">
        <f>+IF(U2808="","-",CONCATENATE(U2808,"_",V2808))</f>
        <v>FINES_R08</v>
      </c>
      <c r="X2808" s="42">
        <v>0.34399999999999997</v>
      </c>
    </row>
    <row r="2809" spans="1:24">
      <c r="A2809" s="21" t="s">
        <v>5100</v>
      </c>
      <c r="B2809" t="s">
        <v>1780</v>
      </c>
      <c r="C2809" t="s">
        <v>1778</v>
      </c>
      <c r="D2809" t="s">
        <v>1779</v>
      </c>
      <c r="E2809" s="7" t="s">
        <v>198</v>
      </c>
      <c r="F2809" s="7" t="s">
        <v>198</v>
      </c>
      <c r="G2809" s="7" t="s">
        <v>198</v>
      </c>
      <c r="H2809" s="7" t="s">
        <v>20</v>
      </c>
      <c r="I2809" s="7" t="s">
        <v>5102</v>
      </c>
      <c r="J2809" s="7" t="s">
        <v>21</v>
      </c>
      <c r="L2809" t="s">
        <v>4144</v>
      </c>
      <c r="M2809" s="7" t="s">
        <v>22</v>
      </c>
      <c r="N2809" s="7" t="s">
        <v>23</v>
      </c>
      <c r="O2809" s="7" t="s">
        <v>27</v>
      </c>
      <c r="P2809" s="7" t="s">
        <v>5101</v>
      </c>
      <c r="Q2809" s="26">
        <v>66</v>
      </c>
      <c r="R2809" s="26">
        <v>4</v>
      </c>
      <c r="S2809" s="40">
        <v>1</v>
      </c>
      <c r="T2809" s="7"/>
      <c r="U2809" s="7" t="s">
        <v>2951</v>
      </c>
      <c r="V2809" s="7" t="str">
        <f>+IF(U2809="","",IF(U2809="FINES",CONCATENATE("R",IF(OR(B2809="16",B2809="21",B2809="22",B2809="23"),"16212223",IF(OR(B2809="15",B2809="17",B2809="24",B2809="25"),"15172425",B2809))),IF(U2809="CEBAS","UNICO",IF(VALUE(B2809)&lt;=11,"AMBA","INTERIOR"))))</f>
        <v>R08</v>
      </c>
      <c r="W2809" s="38" t="str">
        <f>+IF(U2809="","-",CONCATENATE(U2809,"_",V2809))</f>
        <v>FINES_R08</v>
      </c>
      <c r="X2809" s="42">
        <v>0.34699999999999998</v>
      </c>
    </row>
    <row r="2810" spans="1:24">
      <c r="A2810" s="21" t="s">
        <v>5100</v>
      </c>
      <c r="B2810" t="s">
        <v>1780</v>
      </c>
      <c r="C2810" t="s">
        <v>1778</v>
      </c>
      <c r="D2810" t="s">
        <v>1779</v>
      </c>
      <c r="E2810" s="7" t="s">
        <v>198</v>
      </c>
      <c r="F2810" s="7" t="s">
        <v>198</v>
      </c>
      <c r="G2810" s="7" t="s">
        <v>198</v>
      </c>
      <c r="H2810" s="7" t="s">
        <v>20</v>
      </c>
      <c r="I2810" s="7" t="s">
        <v>5102</v>
      </c>
      <c r="J2810" s="7" t="s">
        <v>21</v>
      </c>
      <c r="L2810" t="s">
        <v>4120</v>
      </c>
      <c r="M2810" s="7" t="s">
        <v>22</v>
      </c>
      <c r="N2810" s="7" t="s">
        <v>23</v>
      </c>
      <c r="O2810" s="7" t="s">
        <v>27</v>
      </c>
      <c r="P2810" s="7" t="s">
        <v>5101</v>
      </c>
      <c r="Q2810" s="26">
        <v>91</v>
      </c>
      <c r="R2810" s="26">
        <v>5</v>
      </c>
      <c r="S2810" s="40">
        <v>1</v>
      </c>
      <c r="T2810" s="7"/>
      <c r="U2810" s="7" t="s">
        <v>2951</v>
      </c>
      <c r="V2810" s="7" t="str">
        <f>+IF(U2810="","",IF(U2810="FINES",CONCATENATE("R",IF(OR(B2810="16",B2810="21",B2810="22",B2810="23"),"16212223",IF(OR(B2810="15",B2810="17",B2810="24",B2810="25"),"15172425",B2810))),IF(U2810="CEBAS","UNICO",IF(VALUE(B2810)&lt;=11,"AMBA","INTERIOR"))))</f>
        <v>R08</v>
      </c>
      <c r="W2810" s="38" t="str">
        <f>+IF(U2810="","-",CONCATENATE(U2810,"_",V2810))</f>
        <v>FINES_R08</v>
      </c>
      <c r="X2810" s="42">
        <v>0.34699999999999998</v>
      </c>
    </row>
    <row r="2811" spans="1:24">
      <c r="A2811" s="21" t="s">
        <v>5100</v>
      </c>
      <c r="B2811" t="s">
        <v>1780</v>
      </c>
      <c r="C2811" t="s">
        <v>1778</v>
      </c>
      <c r="D2811" t="s">
        <v>1779</v>
      </c>
      <c r="E2811" s="7" t="s">
        <v>198</v>
      </c>
      <c r="F2811" s="7" t="s">
        <v>198</v>
      </c>
      <c r="G2811" s="7" t="s">
        <v>198</v>
      </c>
      <c r="H2811" s="7" t="s">
        <v>20</v>
      </c>
      <c r="I2811" s="7" t="s">
        <v>5102</v>
      </c>
      <c r="J2811" s="7" t="s">
        <v>21</v>
      </c>
      <c r="L2811" t="s">
        <v>4139</v>
      </c>
      <c r="M2811" s="7" t="s">
        <v>22</v>
      </c>
      <c r="N2811" s="7" t="s">
        <v>23</v>
      </c>
      <c r="O2811" s="7" t="s">
        <v>27</v>
      </c>
      <c r="P2811" s="7" t="s">
        <v>5101</v>
      </c>
      <c r="Q2811" s="26">
        <v>23</v>
      </c>
      <c r="R2811" s="26">
        <v>1</v>
      </c>
      <c r="S2811" s="40">
        <v>1</v>
      </c>
      <c r="T2811" s="7"/>
      <c r="U2811" s="7" t="s">
        <v>2951</v>
      </c>
      <c r="V2811" s="7" t="str">
        <f>+IF(U2811="","",IF(U2811="FINES",CONCATENATE("R",IF(OR(B2811="16",B2811="21",B2811="22",B2811="23"),"16212223",IF(OR(B2811="15",B2811="17",B2811="24",B2811="25"),"15172425",B2811))),IF(U2811="CEBAS","UNICO",IF(VALUE(B2811)&lt;=11,"AMBA","INTERIOR"))))</f>
        <v>R08</v>
      </c>
      <c r="W2811" s="38" t="str">
        <f>+IF(U2811="","-",CONCATENATE(U2811,"_",V2811))</f>
        <v>FINES_R08</v>
      </c>
      <c r="X2811" s="42">
        <v>0.35799999999999998</v>
      </c>
    </row>
    <row r="2812" spans="1:24">
      <c r="A2812" s="21" t="s">
        <v>5100</v>
      </c>
      <c r="B2812" t="s">
        <v>1780</v>
      </c>
      <c r="C2812" t="s">
        <v>1778</v>
      </c>
      <c r="D2812" t="s">
        <v>1779</v>
      </c>
      <c r="E2812" s="7" t="s">
        <v>198</v>
      </c>
      <c r="F2812" s="7" t="s">
        <v>198</v>
      </c>
      <c r="G2812" s="7" t="s">
        <v>198</v>
      </c>
      <c r="H2812" s="7" t="s">
        <v>20</v>
      </c>
      <c r="I2812" s="7" t="s">
        <v>5102</v>
      </c>
      <c r="J2812" s="7" t="s">
        <v>21</v>
      </c>
      <c r="L2812" t="s">
        <v>4126</v>
      </c>
      <c r="M2812" s="7" t="s">
        <v>22</v>
      </c>
      <c r="N2812" s="7" t="s">
        <v>23</v>
      </c>
      <c r="O2812" s="7" t="s">
        <v>27</v>
      </c>
      <c r="P2812" s="7" t="s">
        <v>5101</v>
      </c>
      <c r="Q2812" s="26">
        <v>88</v>
      </c>
      <c r="R2812" s="26">
        <v>4</v>
      </c>
      <c r="S2812" s="40">
        <v>1</v>
      </c>
      <c r="T2812" s="7"/>
      <c r="U2812" s="7" t="s">
        <v>2951</v>
      </c>
      <c r="V2812" s="7" t="str">
        <f>+IF(U2812="","",IF(U2812="FINES",CONCATENATE("R",IF(OR(B2812="16",B2812="21",B2812="22",B2812="23"),"16212223",IF(OR(B2812="15",B2812="17",B2812="24",B2812="25"),"15172425",B2812))),IF(U2812="CEBAS","UNICO",IF(VALUE(B2812)&lt;=11,"AMBA","INTERIOR"))))</f>
        <v>R08</v>
      </c>
      <c r="W2812" s="38" t="str">
        <f>+IF(U2812="","-",CONCATENATE(U2812,"_",V2812))</f>
        <v>FINES_R08</v>
      </c>
      <c r="X2812" s="42">
        <v>0.374</v>
      </c>
    </row>
    <row r="2813" spans="1:24">
      <c r="A2813" s="21" t="s">
        <v>5100</v>
      </c>
      <c r="B2813" t="s">
        <v>1780</v>
      </c>
      <c r="C2813" t="s">
        <v>238</v>
      </c>
      <c r="D2813" t="s">
        <v>2887</v>
      </c>
      <c r="E2813" s="7" t="s">
        <v>198</v>
      </c>
      <c r="F2813" s="7" t="s">
        <v>198</v>
      </c>
      <c r="G2813" s="7" t="s">
        <v>198</v>
      </c>
      <c r="H2813" s="7" t="s">
        <v>20</v>
      </c>
      <c r="I2813" s="7" t="s">
        <v>5102</v>
      </c>
      <c r="J2813" s="7" t="s">
        <v>21</v>
      </c>
      <c r="L2813" t="s">
        <v>4089</v>
      </c>
      <c r="M2813" s="7" t="s">
        <v>22</v>
      </c>
      <c r="N2813" s="7" t="s">
        <v>23</v>
      </c>
      <c r="O2813" s="7" t="s">
        <v>27</v>
      </c>
      <c r="P2813" s="7" t="s">
        <v>5101</v>
      </c>
      <c r="Q2813" s="26">
        <v>18</v>
      </c>
      <c r="R2813" s="26">
        <v>1</v>
      </c>
      <c r="S2813" s="40">
        <v>1</v>
      </c>
      <c r="T2813" s="7"/>
      <c r="U2813" s="7" t="s">
        <v>2951</v>
      </c>
      <c r="V2813" s="7" t="str">
        <f>+IF(U2813="","",IF(U2813="FINES",CONCATENATE("R",IF(OR(B2813="16",B2813="21",B2813="22",B2813="23"),"16212223",IF(OR(B2813="15",B2813="17",B2813="24",B2813="25"),"15172425",B2813))),IF(U2813="CEBAS","UNICO",IF(VALUE(B2813)&lt;=11,"AMBA","INTERIOR"))))</f>
        <v>R08</v>
      </c>
      <c r="W2813" s="38" t="str">
        <f>+IF(U2813="","-",CONCATENATE(U2813,"_",V2813))</f>
        <v>FINES_R08</v>
      </c>
      <c r="X2813" s="42">
        <v>0.38400000000000001</v>
      </c>
    </row>
    <row r="2814" spans="1:24">
      <c r="A2814" s="21" t="s">
        <v>5100</v>
      </c>
      <c r="B2814" t="s">
        <v>1780</v>
      </c>
      <c r="C2814" t="s">
        <v>238</v>
      </c>
      <c r="D2814" t="s">
        <v>2887</v>
      </c>
      <c r="E2814" s="7" t="s">
        <v>198</v>
      </c>
      <c r="F2814" s="7" t="s">
        <v>198</v>
      </c>
      <c r="G2814" s="7" t="s">
        <v>198</v>
      </c>
      <c r="H2814" s="7" t="s">
        <v>20</v>
      </c>
      <c r="I2814" s="7" t="s">
        <v>5102</v>
      </c>
      <c r="J2814" s="7" t="s">
        <v>21</v>
      </c>
      <c r="L2814" t="s">
        <v>4087</v>
      </c>
      <c r="M2814" s="7" t="s">
        <v>22</v>
      </c>
      <c r="N2814" s="7" t="s">
        <v>23</v>
      </c>
      <c r="O2814" s="7" t="s">
        <v>27</v>
      </c>
      <c r="P2814" s="7" t="s">
        <v>5101</v>
      </c>
      <c r="Q2814" s="26">
        <v>14</v>
      </c>
      <c r="R2814" s="26">
        <v>1</v>
      </c>
      <c r="S2814" s="40">
        <v>1</v>
      </c>
      <c r="T2814" s="7"/>
      <c r="U2814" s="7" t="s">
        <v>2951</v>
      </c>
      <c r="V2814" s="7" t="str">
        <f>+IF(U2814="","",IF(U2814="FINES",CONCATENATE("R",IF(OR(B2814="16",B2814="21",B2814="22",B2814="23"),"16212223",IF(OR(B2814="15",B2814="17",B2814="24",B2814="25"),"15172425",B2814))),IF(U2814="CEBAS","UNICO",IF(VALUE(B2814)&lt;=11,"AMBA","INTERIOR"))))</f>
        <v>R08</v>
      </c>
      <c r="W2814" s="38" t="str">
        <f>+IF(U2814="","-",CONCATENATE(U2814,"_",V2814))</f>
        <v>FINES_R08</v>
      </c>
      <c r="X2814" s="42">
        <v>0.39600000000000002</v>
      </c>
    </row>
    <row r="2815" spans="1:24">
      <c r="A2815" s="21" t="s">
        <v>5100</v>
      </c>
      <c r="B2815" t="s">
        <v>1780</v>
      </c>
      <c r="C2815" t="s">
        <v>1248</v>
      </c>
      <c r="D2815" t="s">
        <v>2348</v>
      </c>
      <c r="E2815" s="7" t="s">
        <v>198</v>
      </c>
      <c r="F2815" s="7" t="s">
        <v>198</v>
      </c>
      <c r="G2815" s="7" t="s">
        <v>198</v>
      </c>
      <c r="H2815" s="7" t="s">
        <v>20</v>
      </c>
      <c r="I2815" s="7" t="s">
        <v>5102</v>
      </c>
      <c r="J2815" s="7" t="s">
        <v>21</v>
      </c>
      <c r="L2815" t="s">
        <v>4164</v>
      </c>
      <c r="M2815" s="7" t="s">
        <v>22</v>
      </c>
      <c r="N2815" s="7" t="s">
        <v>23</v>
      </c>
      <c r="O2815" s="7" t="s">
        <v>27</v>
      </c>
      <c r="P2815" s="7" t="s">
        <v>5101</v>
      </c>
      <c r="Q2815" s="26">
        <v>15</v>
      </c>
      <c r="R2815" s="26">
        <v>1</v>
      </c>
      <c r="S2815" s="40">
        <v>1</v>
      </c>
      <c r="T2815" s="7"/>
      <c r="U2815" s="7" t="s">
        <v>2951</v>
      </c>
      <c r="V2815" s="7" t="str">
        <f>+IF(U2815="","",IF(U2815="FINES",CONCATENATE("R",IF(OR(B2815="16",B2815="21",B2815="22",B2815="23"),"16212223",IF(OR(B2815="15",B2815="17",B2815="24",B2815="25"),"15172425",B2815))),IF(U2815="CEBAS","UNICO",IF(VALUE(B2815)&lt;=11,"AMBA","INTERIOR"))))</f>
        <v>R08</v>
      </c>
      <c r="W2815" s="38" t="str">
        <f>+IF(U2815="","-",CONCATENATE(U2815,"_",V2815))</f>
        <v>FINES_R08</v>
      </c>
      <c r="X2815" s="42">
        <v>0.40500000000000003</v>
      </c>
    </row>
    <row r="2816" spans="1:24">
      <c r="A2816" s="21" t="s">
        <v>5100</v>
      </c>
      <c r="B2816" t="s">
        <v>1780</v>
      </c>
      <c r="C2816" t="s">
        <v>238</v>
      </c>
      <c r="D2816" t="s">
        <v>2887</v>
      </c>
      <c r="E2816" s="7" t="s">
        <v>198</v>
      </c>
      <c r="F2816" s="7" t="s">
        <v>198</v>
      </c>
      <c r="G2816" s="7" t="s">
        <v>198</v>
      </c>
      <c r="H2816" s="7" t="s">
        <v>20</v>
      </c>
      <c r="I2816" s="7" t="s">
        <v>5102</v>
      </c>
      <c r="J2816" s="7" t="s">
        <v>21</v>
      </c>
      <c r="L2816" t="s">
        <v>4086</v>
      </c>
      <c r="M2816" s="7" t="s">
        <v>22</v>
      </c>
      <c r="N2816" s="7" t="s">
        <v>23</v>
      </c>
      <c r="O2816" s="7" t="s">
        <v>27</v>
      </c>
      <c r="P2816" s="7" t="s">
        <v>5101</v>
      </c>
      <c r="Q2816" s="26">
        <v>21</v>
      </c>
      <c r="R2816" s="26">
        <v>1</v>
      </c>
      <c r="S2816" s="40">
        <v>1</v>
      </c>
      <c r="T2816" s="7"/>
      <c r="U2816" s="7" t="s">
        <v>2951</v>
      </c>
      <c r="V2816" s="7" t="str">
        <f>+IF(U2816="","",IF(U2816="FINES",CONCATENATE("R",IF(OR(B2816="16",B2816="21",B2816="22",B2816="23"),"16212223",IF(OR(B2816="15",B2816="17",B2816="24",B2816="25"),"15172425",B2816))),IF(U2816="CEBAS","UNICO",IF(VALUE(B2816)&lt;=11,"AMBA","INTERIOR"))))</f>
        <v>R08</v>
      </c>
      <c r="W2816" s="38" t="str">
        <f>+IF(U2816="","-",CONCATENATE(U2816,"_",V2816))</f>
        <v>FINES_R08</v>
      </c>
      <c r="X2816" s="42">
        <v>0.40899999999999997</v>
      </c>
    </row>
    <row r="2817" spans="1:24">
      <c r="A2817" s="21" t="s">
        <v>5100</v>
      </c>
      <c r="B2817" t="s">
        <v>1780</v>
      </c>
      <c r="C2817" t="s">
        <v>1778</v>
      </c>
      <c r="D2817" t="s">
        <v>1779</v>
      </c>
      <c r="E2817" s="7" t="s">
        <v>198</v>
      </c>
      <c r="F2817" s="7" t="s">
        <v>198</v>
      </c>
      <c r="G2817" s="7" t="s">
        <v>198</v>
      </c>
      <c r="H2817" s="7" t="s">
        <v>20</v>
      </c>
      <c r="I2817" s="7" t="s">
        <v>5102</v>
      </c>
      <c r="J2817" s="7" t="s">
        <v>21</v>
      </c>
      <c r="L2817" t="s">
        <v>4094</v>
      </c>
      <c r="M2817" s="7" t="s">
        <v>22</v>
      </c>
      <c r="N2817" s="7" t="s">
        <v>23</v>
      </c>
      <c r="O2817" s="7" t="s">
        <v>27</v>
      </c>
      <c r="P2817" s="7" t="s">
        <v>5101</v>
      </c>
      <c r="Q2817" s="26">
        <v>49</v>
      </c>
      <c r="R2817" s="26">
        <v>2</v>
      </c>
      <c r="S2817" s="40">
        <v>1</v>
      </c>
      <c r="T2817" s="7"/>
      <c r="U2817" s="7" t="s">
        <v>2951</v>
      </c>
      <c r="V2817" s="7" t="str">
        <f>+IF(U2817="","",IF(U2817="FINES",CONCATENATE("R",IF(OR(B2817="16",B2817="21",B2817="22",B2817="23"),"16212223",IF(OR(B2817="15",B2817="17",B2817="24",B2817="25"),"15172425",B2817))),IF(U2817="CEBAS","UNICO",IF(VALUE(B2817)&lt;=11,"AMBA","INTERIOR"))))</f>
        <v>R08</v>
      </c>
      <c r="W2817" s="38" t="str">
        <f>+IF(U2817="","-",CONCATENATE(U2817,"_",V2817))</f>
        <v>FINES_R08</v>
      </c>
      <c r="X2817" s="42">
        <v>0.41499999999999998</v>
      </c>
    </row>
    <row r="2818" spans="1:24">
      <c r="A2818" s="21" t="s">
        <v>5100</v>
      </c>
      <c r="B2818" t="s">
        <v>1780</v>
      </c>
      <c r="C2818" t="s">
        <v>238</v>
      </c>
      <c r="D2818" t="s">
        <v>2887</v>
      </c>
      <c r="E2818" s="7" t="s">
        <v>198</v>
      </c>
      <c r="F2818" s="7" t="s">
        <v>198</v>
      </c>
      <c r="G2818" s="7" t="s">
        <v>198</v>
      </c>
      <c r="H2818" s="7" t="s">
        <v>20</v>
      </c>
      <c r="I2818" s="7" t="s">
        <v>5102</v>
      </c>
      <c r="J2818" s="7" t="s">
        <v>21</v>
      </c>
      <c r="L2818" t="s">
        <v>4082</v>
      </c>
      <c r="M2818" s="7" t="s">
        <v>22</v>
      </c>
      <c r="N2818" s="7" t="s">
        <v>23</v>
      </c>
      <c r="O2818" s="7" t="s">
        <v>27</v>
      </c>
      <c r="P2818" s="7" t="s">
        <v>5101</v>
      </c>
      <c r="Q2818" s="26">
        <v>55</v>
      </c>
      <c r="R2818" s="26">
        <v>2</v>
      </c>
      <c r="S2818" s="40">
        <v>1</v>
      </c>
      <c r="T2818" s="7"/>
      <c r="U2818" s="7" t="s">
        <v>2951</v>
      </c>
      <c r="V2818" s="7" t="str">
        <f>+IF(U2818="","",IF(U2818="FINES",CONCATENATE("R",IF(OR(B2818="16",B2818="21",B2818="22",B2818="23"),"16212223",IF(OR(B2818="15",B2818="17",B2818="24",B2818="25"),"15172425",B2818))),IF(U2818="CEBAS","UNICO",IF(VALUE(B2818)&lt;=11,"AMBA","INTERIOR"))))</f>
        <v>R08</v>
      </c>
      <c r="W2818" s="38" t="str">
        <f>+IF(U2818="","-",CONCATENATE(U2818,"_",V2818))</f>
        <v>FINES_R08</v>
      </c>
      <c r="X2818" s="42">
        <v>0.439</v>
      </c>
    </row>
    <row r="2819" spans="1:24">
      <c r="A2819" s="21" t="s">
        <v>5100</v>
      </c>
      <c r="B2819" t="s">
        <v>1780</v>
      </c>
      <c r="C2819" t="s">
        <v>1778</v>
      </c>
      <c r="D2819" t="s">
        <v>1779</v>
      </c>
      <c r="E2819" s="7" t="s">
        <v>198</v>
      </c>
      <c r="F2819" s="7" t="s">
        <v>198</v>
      </c>
      <c r="G2819" s="7" t="s">
        <v>198</v>
      </c>
      <c r="H2819" s="7" t="s">
        <v>20</v>
      </c>
      <c r="I2819" s="7" t="s">
        <v>5102</v>
      </c>
      <c r="J2819" s="7" t="s">
        <v>21</v>
      </c>
      <c r="L2819" t="s">
        <v>4098</v>
      </c>
      <c r="M2819" s="7" t="s">
        <v>22</v>
      </c>
      <c r="N2819" s="7" t="s">
        <v>23</v>
      </c>
      <c r="O2819" s="7" t="s">
        <v>27</v>
      </c>
      <c r="P2819" s="7" t="s">
        <v>5101</v>
      </c>
      <c r="Q2819" s="26">
        <v>22</v>
      </c>
      <c r="R2819" s="26">
        <v>1</v>
      </c>
      <c r="S2819" s="40">
        <v>1</v>
      </c>
      <c r="T2819" s="7"/>
      <c r="U2819" s="7" t="s">
        <v>2951</v>
      </c>
      <c r="V2819" s="7" t="str">
        <f>+IF(U2819="","",IF(U2819="FINES",CONCATENATE("R",IF(OR(B2819="16",B2819="21",B2819="22",B2819="23"),"16212223",IF(OR(B2819="15",B2819="17",B2819="24",B2819="25"),"15172425",B2819))),IF(U2819="CEBAS","UNICO",IF(VALUE(B2819)&lt;=11,"AMBA","INTERIOR"))))</f>
        <v>R08</v>
      </c>
      <c r="W2819" s="38" t="str">
        <f>+IF(U2819="","-",CONCATENATE(U2819,"_",V2819))</f>
        <v>FINES_R08</v>
      </c>
      <c r="X2819" s="42">
        <v>0.443</v>
      </c>
    </row>
    <row r="2820" spans="1:24">
      <c r="A2820" s="21" t="s">
        <v>5100</v>
      </c>
      <c r="B2820" t="s">
        <v>1780</v>
      </c>
      <c r="C2820" t="s">
        <v>1778</v>
      </c>
      <c r="D2820" t="s">
        <v>1779</v>
      </c>
      <c r="E2820" s="7" t="s">
        <v>198</v>
      </c>
      <c r="F2820" s="7" t="s">
        <v>198</v>
      </c>
      <c r="G2820" s="7" t="s">
        <v>198</v>
      </c>
      <c r="H2820" s="7" t="s">
        <v>20</v>
      </c>
      <c r="I2820" s="7" t="s">
        <v>5102</v>
      </c>
      <c r="J2820" s="7" t="s">
        <v>21</v>
      </c>
      <c r="L2820" t="s">
        <v>4109</v>
      </c>
      <c r="M2820" s="7" t="s">
        <v>22</v>
      </c>
      <c r="N2820" s="7" t="s">
        <v>23</v>
      </c>
      <c r="O2820" s="7" t="s">
        <v>27</v>
      </c>
      <c r="P2820" s="7" t="s">
        <v>5101</v>
      </c>
      <c r="Q2820" s="26">
        <v>92</v>
      </c>
      <c r="R2820" s="26">
        <v>4</v>
      </c>
      <c r="S2820" s="40">
        <v>1</v>
      </c>
      <c r="T2820" s="7"/>
      <c r="U2820" s="7" t="s">
        <v>2951</v>
      </c>
      <c r="V2820" s="7" t="str">
        <f>+IF(U2820="","",IF(U2820="FINES",CONCATENATE("R",IF(OR(B2820="16",B2820="21",B2820="22",B2820="23"),"16212223",IF(OR(B2820="15",B2820="17",B2820="24",B2820="25"),"15172425",B2820))),IF(U2820="CEBAS","UNICO",IF(VALUE(B2820)&lt;=11,"AMBA","INTERIOR"))))</f>
        <v>R08</v>
      </c>
      <c r="W2820" s="38" t="str">
        <f>+IF(U2820="","-",CONCATENATE(U2820,"_",V2820))</f>
        <v>FINES_R08</v>
      </c>
      <c r="X2820" s="42">
        <v>0.44800000000000001</v>
      </c>
    </row>
    <row r="2821" spans="1:24">
      <c r="A2821" s="21" t="s">
        <v>5100</v>
      </c>
      <c r="B2821" t="s">
        <v>1780</v>
      </c>
      <c r="C2821" t="s">
        <v>1778</v>
      </c>
      <c r="D2821" t="s">
        <v>1779</v>
      </c>
      <c r="E2821" s="7" t="s">
        <v>198</v>
      </c>
      <c r="F2821" s="7" t="s">
        <v>198</v>
      </c>
      <c r="G2821" s="7" t="s">
        <v>198</v>
      </c>
      <c r="H2821" s="7" t="s">
        <v>20</v>
      </c>
      <c r="I2821" s="7" t="s">
        <v>5102</v>
      </c>
      <c r="J2821" s="7" t="s">
        <v>21</v>
      </c>
      <c r="L2821" t="s">
        <v>4147</v>
      </c>
      <c r="M2821" s="7" t="s">
        <v>22</v>
      </c>
      <c r="N2821" s="7" t="s">
        <v>23</v>
      </c>
      <c r="O2821" s="7" t="s">
        <v>27</v>
      </c>
      <c r="P2821" s="7" t="s">
        <v>5101</v>
      </c>
      <c r="Q2821" s="26">
        <v>22</v>
      </c>
      <c r="R2821" s="26">
        <v>1</v>
      </c>
      <c r="S2821" s="40">
        <v>1</v>
      </c>
      <c r="T2821" s="7"/>
      <c r="U2821" s="7" t="s">
        <v>2951</v>
      </c>
      <c r="V2821" s="7" t="str">
        <f>+IF(U2821="","",IF(U2821="FINES",CONCATENATE("R",IF(OR(B2821="16",B2821="21",B2821="22",B2821="23"),"16212223",IF(OR(B2821="15",B2821="17",B2821="24",B2821="25"),"15172425",B2821))),IF(U2821="CEBAS","UNICO",IF(VALUE(B2821)&lt;=11,"AMBA","INTERIOR"))))</f>
        <v>R08</v>
      </c>
      <c r="W2821" s="38" t="str">
        <f>+IF(U2821="","-",CONCATENATE(U2821,"_",V2821))</f>
        <v>FINES_R08</v>
      </c>
      <c r="X2821" s="42">
        <v>0.45500000000000002</v>
      </c>
    </row>
    <row r="2822" spans="1:24">
      <c r="A2822" s="21" t="s">
        <v>5100</v>
      </c>
      <c r="B2822" t="s">
        <v>1780</v>
      </c>
      <c r="C2822" t="s">
        <v>1778</v>
      </c>
      <c r="D2822" t="s">
        <v>1779</v>
      </c>
      <c r="E2822" s="7" t="s">
        <v>198</v>
      </c>
      <c r="F2822" s="7" t="s">
        <v>198</v>
      </c>
      <c r="G2822" s="7" t="s">
        <v>198</v>
      </c>
      <c r="H2822" s="7" t="s">
        <v>20</v>
      </c>
      <c r="I2822" s="7" t="s">
        <v>5102</v>
      </c>
      <c r="J2822" s="7" t="s">
        <v>21</v>
      </c>
      <c r="L2822" t="s">
        <v>4153</v>
      </c>
      <c r="M2822" s="7" t="s">
        <v>22</v>
      </c>
      <c r="N2822" s="7" t="s">
        <v>23</v>
      </c>
      <c r="O2822" s="7" t="s">
        <v>27</v>
      </c>
      <c r="P2822" s="7" t="s">
        <v>5101</v>
      </c>
      <c r="Q2822" s="26">
        <v>25</v>
      </c>
      <c r="R2822" s="26">
        <v>1</v>
      </c>
      <c r="S2822" s="40">
        <v>1</v>
      </c>
      <c r="T2822" s="7"/>
      <c r="U2822" s="7" t="s">
        <v>2951</v>
      </c>
      <c r="V2822" s="7" t="str">
        <f>+IF(U2822="","",IF(U2822="FINES",CONCATENATE("R",IF(OR(B2822="16",B2822="21",B2822="22",B2822="23"),"16212223",IF(OR(B2822="15",B2822="17",B2822="24",B2822="25"),"15172425",B2822))),IF(U2822="CEBAS","UNICO",IF(VALUE(B2822)&lt;=11,"AMBA","INTERIOR"))))</f>
        <v>R08</v>
      </c>
      <c r="W2822" s="38" t="str">
        <f>+IF(U2822="","-",CONCATENATE(U2822,"_",V2822))</f>
        <v>FINES_R08</v>
      </c>
      <c r="X2822" s="42">
        <v>0.47299999999999998</v>
      </c>
    </row>
    <row r="2823" spans="1:24">
      <c r="A2823" s="21" t="s">
        <v>5100</v>
      </c>
      <c r="B2823" t="s">
        <v>1780</v>
      </c>
      <c r="C2823" t="s">
        <v>1778</v>
      </c>
      <c r="D2823" t="s">
        <v>1779</v>
      </c>
      <c r="E2823" s="7" t="s">
        <v>198</v>
      </c>
      <c r="F2823" s="7" t="s">
        <v>198</v>
      </c>
      <c r="G2823" s="7" t="s">
        <v>198</v>
      </c>
      <c r="H2823" s="7" t="s">
        <v>20</v>
      </c>
      <c r="I2823" s="7" t="s">
        <v>5102</v>
      </c>
      <c r="J2823" s="7" t="s">
        <v>21</v>
      </c>
      <c r="L2823" t="s">
        <v>4104</v>
      </c>
      <c r="M2823" s="7" t="s">
        <v>22</v>
      </c>
      <c r="N2823" s="7" t="s">
        <v>23</v>
      </c>
      <c r="O2823" s="7" t="s">
        <v>27</v>
      </c>
      <c r="P2823" s="7" t="s">
        <v>5101</v>
      </c>
      <c r="Q2823" s="26">
        <v>65</v>
      </c>
      <c r="R2823" s="26">
        <v>2</v>
      </c>
      <c r="S2823" s="40">
        <v>1</v>
      </c>
      <c r="T2823" s="7"/>
      <c r="U2823" s="7" t="s">
        <v>2951</v>
      </c>
      <c r="V2823" s="7" t="str">
        <f>+IF(U2823="","",IF(U2823="FINES",CONCATENATE("R",IF(OR(B2823="16",B2823="21",B2823="22",B2823="23"),"16212223",IF(OR(B2823="15",B2823="17",B2823="24",B2823="25"),"15172425",B2823))),IF(U2823="CEBAS","UNICO",IF(VALUE(B2823)&lt;=11,"AMBA","INTERIOR"))))</f>
        <v>R08</v>
      </c>
      <c r="W2823" s="38" t="str">
        <f>+IF(U2823="","-",CONCATENATE(U2823,"_",V2823))</f>
        <v>FINES_R08</v>
      </c>
      <c r="X2823" s="42">
        <v>0.47399999999999998</v>
      </c>
    </row>
    <row r="2824" spans="1:24">
      <c r="A2824" s="21" t="s">
        <v>5100</v>
      </c>
      <c r="B2824" t="s">
        <v>1780</v>
      </c>
      <c r="C2824" t="s">
        <v>1778</v>
      </c>
      <c r="D2824" t="s">
        <v>1779</v>
      </c>
      <c r="E2824" s="7" t="s">
        <v>198</v>
      </c>
      <c r="F2824" s="7" t="s">
        <v>198</v>
      </c>
      <c r="G2824" s="7" t="s">
        <v>198</v>
      </c>
      <c r="H2824" s="7" t="s">
        <v>20</v>
      </c>
      <c r="I2824" s="7" t="s">
        <v>5102</v>
      </c>
      <c r="J2824" s="7" t="s">
        <v>21</v>
      </c>
      <c r="L2824" t="s">
        <v>4102</v>
      </c>
      <c r="M2824" s="7" t="s">
        <v>22</v>
      </c>
      <c r="N2824" s="7" t="s">
        <v>23</v>
      </c>
      <c r="O2824" s="7" t="s">
        <v>27</v>
      </c>
      <c r="P2824" s="7" t="s">
        <v>5101</v>
      </c>
      <c r="Q2824" s="26">
        <v>88</v>
      </c>
      <c r="R2824" s="26">
        <v>3</v>
      </c>
      <c r="S2824" s="40">
        <v>1</v>
      </c>
      <c r="T2824" s="7"/>
      <c r="U2824" s="7" t="s">
        <v>2951</v>
      </c>
      <c r="V2824" s="7" t="str">
        <f>+IF(U2824="","",IF(U2824="FINES",CONCATENATE("R",IF(OR(B2824="16",B2824="21",B2824="22",B2824="23"),"16212223",IF(OR(B2824="15",B2824="17",B2824="24",B2824="25"),"15172425",B2824))),IF(U2824="CEBAS","UNICO",IF(VALUE(B2824)&lt;=11,"AMBA","INTERIOR"))))</f>
        <v>R08</v>
      </c>
      <c r="W2824" s="38" t="str">
        <f>+IF(U2824="","-",CONCATENATE(U2824,"_",V2824))</f>
        <v>FINES_R08</v>
      </c>
      <c r="X2824" s="42">
        <v>0.47699999999999998</v>
      </c>
    </row>
    <row r="2825" spans="1:24">
      <c r="A2825" s="21" t="s">
        <v>5100</v>
      </c>
      <c r="B2825" t="s">
        <v>1780</v>
      </c>
      <c r="C2825" t="s">
        <v>1248</v>
      </c>
      <c r="D2825" t="s">
        <v>2348</v>
      </c>
      <c r="E2825" s="7" t="s">
        <v>198</v>
      </c>
      <c r="F2825" s="7" t="s">
        <v>198</v>
      </c>
      <c r="G2825" s="7" t="s">
        <v>198</v>
      </c>
      <c r="H2825" s="7" t="s">
        <v>20</v>
      </c>
      <c r="I2825" s="7" t="s">
        <v>5102</v>
      </c>
      <c r="J2825" s="7" t="s">
        <v>21</v>
      </c>
      <c r="L2825" t="s">
        <v>4166</v>
      </c>
      <c r="M2825" s="7" t="s">
        <v>22</v>
      </c>
      <c r="N2825" s="7" t="s">
        <v>23</v>
      </c>
      <c r="O2825" s="7" t="s">
        <v>27</v>
      </c>
      <c r="P2825" s="7" t="s">
        <v>5101</v>
      </c>
      <c r="Q2825" s="26">
        <v>29</v>
      </c>
      <c r="R2825" s="26">
        <v>2</v>
      </c>
      <c r="S2825" s="40">
        <v>1</v>
      </c>
      <c r="T2825" s="7"/>
      <c r="U2825" s="7" t="s">
        <v>2951</v>
      </c>
      <c r="V2825" s="7" t="str">
        <f>+IF(U2825="","",IF(U2825="FINES",CONCATENATE("R",IF(OR(B2825="16",B2825="21",B2825="22",B2825="23"),"16212223",IF(OR(B2825="15",B2825="17",B2825="24",B2825="25"),"15172425",B2825))),IF(U2825="CEBAS","UNICO",IF(VALUE(B2825)&lt;=11,"AMBA","INTERIOR"))))</f>
        <v>R08</v>
      </c>
      <c r="W2825" s="38" t="str">
        <f>+IF(U2825="","-",CONCATENATE(U2825,"_",V2825))</f>
        <v>FINES_R08</v>
      </c>
      <c r="X2825" s="42">
        <v>0.47799999999999998</v>
      </c>
    </row>
    <row r="2826" spans="1:24">
      <c r="A2826" s="21" t="s">
        <v>5100</v>
      </c>
      <c r="B2826" t="s">
        <v>1780</v>
      </c>
      <c r="C2826" t="s">
        <v>238</v>
      </c>
      <c r="D2826" t="s">
        <v>2887</v>
      </c>
      <c r="E2826" s="7" t="s">
        <v>198</v>
      </c>
      <c r="F2826" s="7" t="s">
        <v>198</v>
      </c>
      <c r="G2826" s="7" t="s">
        <v>198</v>
      </c>
      <c r="H2826" s="7" t="s">
        <v>20</v>
      </c>
      <c r="I2826" s="7" t="s">
        <v>5102</v>
      </c>
      <c r="J2826" s="7" t="s">
        <v>21</v>
      </c>
      <c r="L2826" t="s">
        <v>4077</v>
      </c>
      <c r="M2826" s="7" t="s">
        <v>22</v>
      </c>
      <c r="N2826" s="7" t="s">
        <v>23</v>
      </c>
      <c r="O2826" s="7" t="s">
        <v>27</v>
      </c>
      <c r="P2826" s="7" t="s">
        <v>5101</v>
      </c>
      <c r="Q2826" s="26">
        <v>20</v>
      </c>
      <c r="R2826" s="26">
        <v>1</v>
      </c>
      <c r="S2826" s="40">
        <v>1</v>
      </c>
      <c r="T2826" s="7"/>
      <c r="U2826" s="7" t="s">
        <v>2951</v>
      </c>
      <c r="V2826" s="7" t="str">
        <f>+IF(U2826="","",IF(U2826="FINES",CONCATENATE("R",IF(OR(B2826="16",B2826="21",B2826="22",B2826="23"),"16212223",IF(OR(B2826="15",B2826="17",B2826="24",B2826="25"),"15172425",B2826))),IF(U2826="CEBAS","UNICO",IF(VALUE(B2826)&lt;=11,"AMBA","INTERIOR"))))</f>
        <v>R08</v>
      </c>
      <c r="W2826" s="38" t="str">
        <f>+IF(U2826="","-",CONCATENATE(U2826,"_",V2826))</f>
        <v>FINES_R08</v>
      </c>
      <c r="X2826" s="42">
        <v>0.47899999999999998</v>
      </c>
    </row>
    <row r="2827" spans="1:24">
      <c r="A2827" s="21" t="s">
        <v>5100</v>
      </c>
      <c r="B2827" t="s">
        <v>1780</v>
      </c>
      <c r="C2827" t="s">
        <v>1778</v>
      </c>
      <c r="D2827" t="s">
        <v>1779</v>
      </c>
      <c r="E2827" s="7" t="s">
        <v>198</v>
      </c>
      <c r="F2827" s="7" t="s">
        <v>198</v>
      </c>
      <c r="G2827" s="7" t="s">
        <v>198</v>
      </c>
      <c r="H2827" s="7" t="s">
        <v>20</v>
      </c>
      <c r="I2827" s="7" t="s">
        <v>5102</v>
      </c>
      <c r="J2827" s="7" t="s">
        <v>21</v>
      </c>
      <c r="L2827" t="s">
        <v>4113</v>
      </c>
      <c r="M2827" s="7" t="s">
        <v>22</v>
      </c>
      <c r="N2827" s="7" t="s">
        <v>23</v>
      </c>
      <c r="O2827" s="7" t="s">
        <v>27</v>
      </c>
      <c r="P2827" s="7" t="s">
        <v>5101</v>
      </c>
      <c r="Q2827" s="26">
        <v>84</v>
      </c>
      <c r="R2827" s="26">
        <v>4</v>
      </c>
      <c r="S2827" s="40">
        <v>1</v>
      </c>
      <c r="T2827" s="7"/>
      <c r="U2827" s="7" t="s">
        <v>2951</v>
      </c>
      <c r="V2827" s="7" t="str">
        <f>+IF(U2827="","",IF(U2827="FINES",CONCATENATE("R",IF(OR(B2827="16",B2827="21",B2827="22",B2827="23"),"16212223",IF(OR(B2827="15",B2827="17",B2827="24",B2827="25"),"15172425",B2827))),IF(U2827="CEBAS","UNICO",IF(VALUE(B2827)&lt;=11,"AMBA","INTERIOR"))))</f>
        <v>R08</v>
      </c>
      <c r="W2827" s="38" t="str">
        <f>+IF(U2827="","-",CONCATENATE(U2827,"_",V2827))</f>
        <v>FINES_R08</v>
      </c>
      <c r="X2827" s="42">
        <v>0.48399999999999999</v>
      </c>
    </row>
    <row r="2828" spans="1:24">
      <c r="A2828" s="21" t="s">
        <v>5100</v>
      </c>
      <c r="B2828" t="s">
        <v>1780</v>
      </c>
      <c r="C2828" t="s">
        <v>1778</v>
      </c>
      <c r="D2828" t="s">
        <v>1779</v>
      </c>
      <c r="E2828" s="7" t="s">
        <v>198</v>
      </c>
      <c r="F2828" s="7" t="s">
        <v>198</v>
      </c>
      <c r="G2828" s="7" t="s">
        <v>198</v>
      </c>
      <c r="H2828" s="7" t="s">
        <v>20</v>
      </c>
      <c r="I2828" s="7" t="s">
        <v>5102</v>
      </c>
      <c r="J2828" s="7" t="s">
        <v>21</v>
      </c>
      <c r="L2828" t="s">
        <v>2321</v>
      </c>
      <c r="M2828" s="7" t="s">
        <v>22</v>
      </c>
      <c r="N2828" s="7" t="s">
        <v>23</v>
      </c>
      <c r="O2828" s="7" t="s">
        <v>27</v>
      </c>
      <c r="P2828" s="7" t="s">
        <v>5101</v>
      </c>
      <c r="Q2828" s="26">
        <v>49</v>
      </c>
      <c r="R2828" s="26">
        <v>2</v>
      </c>
      <c r="S2828" s="40">
        <v>1</v>
      </c>
      <c r="T2828" s="7"/>
      <c r="U2828" s="7" t="s">
        <v>2951</v>
      </c>
      <c r="V2828" s="7" t="str">
        <f>+IF(U2828="","",IF(U2828="FINES",CONCATENATE("R",IF(OR(B2828="16",B2828="21",B2828="22",B2828="23"),"16212223",IF(OR(B2828="15",B2828="17",B2828="24",B2828="25"),"15172425",B2828))),IF(U2828="CEBAS","UNICO",IF(VALUE(B2828)&lt;=11,"AMBA","INTERIOR"))))</f>
        <v>R08</v>
      </c>
      <c r="W2828" s="38" t="str">
        <f>+IF(U2828="","-",CONCATENATE(U2828,"_",V2828))</f>
        <v>FINES_R08</v>
      </c>
      <c r="X2828" s="42">
        <v>0.48599999999999999</v>
      </c>
    </row>
    <row r="2829" spans="1:24">
      <c r="A2829" s="21" t="s">
        <v>5100</v>
      </c>
      <c r="B2829" t="s">
        <v>1780</v>
      </c>
      <c r="C2829" t="s">
        <v>238</v>
      </c>
      <c r="D2829" t="s">
        <v>2887</v>
      </c>
      <c r="E2829" s="7" t="s">
        <v>198</v>
      </c>
      <c r="F2829" s="7" t="s">
        <v>198</v>
      </c>
      <c r="G2829" s="7" t="s">
        <v>198</v>
      </c>
      <c r="H2829" s="7" t="s">
        <v>20</v>
      </c>
      <c r="I2829" s="7" t="s">
        <v>5102</v>
      </c>
      <c r="J2829" s="7" t="s">
        <v>21</v>
      </c>
      <c r="L2829" t="s">
        <v>4074</v>
      </c>
      <c r="M2829" s="7" t="s">
        <v>22</v>
      </c>
      <c r="N2829" s="7" t="s">
        <v>23</v>
      </c>
      <c r="O2829" s="7" t="s">
        <v>27</v>
      </c>
      <c r="P2829" s="7" t="s">
        <v>5101</v>
      </c>
      <c r="Q2829" s="26">
        <v>31</v>
      </c>
      <c r="R2829" s="26">
        <v>2</v>
      </c>
      <c r="S2829" s="40">
        <v>1</v>
      </c>
      <c r="T2829" s="7"/>
      <c r="U2829" s="7" t="s">
        <v>2951</v>
      </c>
      <c r="V2829" s="7" t="str">
        <f>+IF(U2829="","",IF(U2829="FINES",CONCATENATE("R",IF(OR(B2829="16",B2829="21",B2829="22",B2829="23"),"16212223",IF(OR(B2829="15",B2829="17",B2829="24",B2829="25"),"15172425",B2829))),IF(U2829="CEBAS","UNICO",IF(VALUE(B2829)&lt;=11,"AMBA","INTERIOR"))))</f>
        <v>R08</v>
      </c>
      <c r="W2829" s="38" t="str">
        <f>+IF(U2829="","-",CONCATENATE(U2829,"_",V2829))</f>
        <v>FINES_R08</v>
      </c>
      <c r="X2829" s="42">
        <v>0.496</v>
      </c>
    </row>
    <row r="2830" spans="1:24">
      <c r="A2830" s="21" t="s">
        <v>5100</v>
      </c>
      <c r="B2830" t="s">
        <v>1780</v>
      </c>
      <c r="C2830" t="s">
        <v>1248</v>
      </c>
      <c r="D2830" t="s">
        <v>2348</v>
      </c>
      <c r="E2830" s="7" t="s">
        <v>198</v>
      </c>
      <c r="F2830" s="7" t="s">
        <v>198</v>
      </c>
      <c r="G2830" s="7" t="s">
        <v>198</v>
      </c>
      <c r="H2830" s="7" t="s">
        <v>20</v>
      </c>
      <c r="I2830" s="7" t="s">
        <v>5102</v>
      </c>
      <c r="J2830" s="7" t="s">
        <v>21</v>
      </c>
      <c r="L2830" t="s">
        <v>4165</v>
      </c>
      <c r="M2830" s="7" t="s">
        <v>22</v>
      </c>
      <c r="N2830" s="7" t="s">
        <v>23</v>
      </c>
      <c r="O2830" s="7" t="s">
        <v>27</v>
      </c>
      <c r="P2830" s="7" t="s">
        <v>5101</v>
      </c>
      <c r="Q2830" s="26">
        <v>78</v>
      </c>
      <c r="R2830" s="26">
        <v>4</v>
      </c>
      <c r="S2830" s="40">
        <v>1</v>
      </c>
      <c r="T2830" s="7"/>
      <c r="U2830" s="7" t="s">
        <v>2951</v>
      </c>
      <c r="V2830" s="7" t="str">
        <f>+IF(U2830="","",IF(U2830="FINES",CONCATENATE("R",IF(OR(B2830="16",B2830="21",B2830="22",B2830="23"),"16212223",IF(OR(B2830="15",B2830="17",B2830="24",B2830="25"),"15172425",B2830))),IF(U2830="CEBAS","UNICO",IF(VALUE(B2830)&lt;=11,"AMBA","INTERIOR"))))</f>
        <v>R08</v>
      </c>
      <c r="W2830" s="38" t="str">
        <f>+IF(U2830="","-",CONCATENATE(U2830,"_",V2830))</f>
        <v>FINES_R08</v>
      </c>
      <c r="X2830" s="42">
        <v>0.5</v>
      </c>
    </row>
    <row r="2831" spans="1:24">
      <c r="A2831" s="21" t="s">
        <v>5100</v>
      </c>
      <c r="B2831" t="s">
        <v>1780</v>
      </c>
      <c r="C2831" t="s">
        <v>1778</v>
      </c>
      <c r="D2831" t="s">
        <v>1779</v>
      </c>
      <c r="E2831" s="7" t="s">
        <v>198</v>
      </c>
      <c r="F2831" s="7" t="s">
        <v>198</v>
      </c>
      <c r="G2831" s="7" t="s">
        <v>198</v>
      </c>
      <c r="H2831" s="7" t="s">
        <v>20</v>
      </c>
      <c r="I2831" s="7" t="s">
        <v>5102</v>
      </c>
      <c r="J2831" s="7" t="s">
        <v>21</v>
      </c>
      <c r="L2831" t="s">
        <v>4151</v>
      </c>
      <c r="M2831" s="7" t="s">
        <v>22</v>
      </c>
      <c r="N2831" s="7" t="s">
        <v>23</v>
      </c>
      <c r="O2831" s="7" t="s">
        <v>27</v>
      </c>
      <c r="P2831" s="7" t="s">
        <v>5101</v>
      </c>
      <c r="Q2831" s="26">
        <v>14</v>
      </c>
      <c r="R2831" s="26">
        <v>1</v>
      </c>
      <c r="S2831" s="40">
        <v>1</v>
      </c>
      <c r="T2831" s="7"/>
      <c r="U2831" s="7" t="s">
        <v>2951</v>
      </c>
      <c r="V2831" s="7" t="str">
        <f>+IF(U2831="","",IF(U2831="FINES",CONCATENATE("R",IF(OR(B2831="16",B2831="21",B2831="22",B2831="23"),"16212223",IF(OR(B2831="15",B2831="17",B2831="24",B2831="25"),"15172425",B2831))),IF(U2831="CEBAS","UNICO",IF(VALUE(B2831)&lt;=11,"AMBA","INTERIOR"))))</f>
        <v>R08</v>
      </c>
      <c r="W2831" s="38" t="str">
        <f>+IF(U2831="","-",CONCATENATE(U2831,"_",V2831))</f>
        <v>FINES_R08</v>
      </c>
      <c r="X2831" s="42">
        <v>0.52800000000000002</v>
      </c>
    </row>
    <row r="2832" spans="1:24">
      <c r="A2832" s="21" t="s">
        <v>5100</v>
      </c>
      <c r="B2832" t="s">
        <v>1780</v>
      </c>
      <c r="C2832" t="s">
        <v>1778</v>
      </c>
      <c r="D2832" t="s">
        <v>1779</v>
      </c>
      <c r="E2832" s="7" t="s">
        <v>198</v>
      </c>
      <c r="F2832" s="7" t="s">
        <v>198</v>
      </c>
      <c r="G2832" s="7" t="s">
        <v>198</v>
      </c>
      <c r="H2832" s="7" t="s">
        <v>20</v>
      </c>
      <c r="I2832" s="7" t="s">
        <v>5102</v>
      </c>
      <c r="J2832" s="7" t="s">
        <v>21</v>
      </c>
      <c r="L2832" t="s">
        <v>4135</v>
      </c>
      <c r="M2832" s="7" t="s">
        <v>22</v>
      </c>
      <c r="N2832" s="7" t="s">
        <v>23</v>
      </c>
      <c r="O2832" s="7" t="s">
        <v>27</v>
      </c>
      <c r="P2832" s="7" t="s">
        <v>5101</v>
      </c>
      <c r="Q2832" s="26">
        <v>151</v>
      </c>
      <c r="R2832" s="26">
        <v>7</v>
      </c>
      <c r="S2832" s="40">
        <v>1</v>
      </c>
      <c r="T2832" s="7"/>
      <c r="U2832" s="7" t="s">
        <v>2951</v>
      </c>
      <c r="V2832" s="7" t="str">
        <f>+IF(U2832="","",IF(U2832="FINES",CONCATENATE("R",IF(OR(B2832="16",B2832="21",B2832="22",B2832="23"),"16212223",IF(OR(B2832="15",B2832="17",B2832="24",B2832="25"),"15172425",B2832))),IF(U2832="CEBAS","UNICO",IF(VALUE(B2832)&lt;=11,"AMBA","INTERIOR"))))</f>
        <v>R08</v>
      </c>
      <c r="W2832" s="38" t="str">
        <f>+IF(U2832="","-",CONCATENATE(U2832,"_",V2832))</f>
        <v>FINES_R08</v>
      </c>
      <c r="X2832" s="42">
        <v>0.54500000000000004</v>
      </c>
    </row>
    <row r="2833" spans="1:24">
      <c r="A2833" s="21" t="s">
        <v>5100</v>
      </c>
      <c r="B2833" t="s">
        <v>1780</v>
      </c>
      <c r="C2833" t="s">
        <v>1248</v>
      </c>
      <c r="D2833" t="s">
        <v>2348</v>
      </c>
      <c r="E2833" s="7" t="s">
        <v>198</v>
      </c>
      <c r="F2833" s="7" t="s">
        <v>198</v>
      </c>
      <c r="G2833" s="7" t="s">
        <v>198</v>
      </c>
      <c r="H2833" s="7" t="s">
        <v>20</v>
      </c>
      <c r="I2833" s="7" t="s">
        <v>5102</v>
      </c>
      <c r="J2833" s="7" t="s">
        <v>21</v>
      </c>
      <c r="L2833" t="s">
        <v>4155</v>
      </c>
      <c r="M2833" s="7" t="s">
        <v>22</v>
      </c>
      <c r="N2833" s="7" t="s">
        <v>23</v>
      </c>
      <c r="O2833" s="7" t="s">
        <v>27</v>
      </c>
      <c r="P2833" s="7" t="s">
        <v>5101</v>
      </c>
      <c r="Q2833" s="26">
        <v>32</v>
      </c>
      <c r="R2833" s="26">
        <v>1</v>
      </c>
      <c r="S2833" s="40">
        <v>1</v>
      </c>
      <c r="T2833" s="7"/>
      <c r="U2833" s="7" t="s">
        <v>2951</v>
      </c>
      <c r="V2833" s="7" t="str">
        <f>+IF(U2833="","",IF(U2833="FINES",CONCATENATE("R",IF(OR(B2833="16",B2833="21",B2833="22",B2833="23"),"16212223",IF(OR(B2833="15",B2833="17",B2833="24",B2833="25"),"15172425",B2833))),IF(U2833="CEBAS","UNICO",IF(VALUE(B2833)&lt;=11,"AMBA","INTERIOR"))))</f>
        <v>R08</v>
      </c>
      <c r="W2833" s="38" t="str">
        <f>+IF(U2833="","-",CONCATENATE(U2833,"_",V2833))</f>
        <v>FINES_R08</v>
      </c>
      <c r="X2833" s="42">
        <v>0.55200000000000005</v>
      </c>
    </row>
    <row r="2834" spans="1:24">
      <c r="A2834" s="21" t="s">
        <v>5100</v>
      </c>
      <c r="B2834" t="s">
        <v>1780</v>
      </c>
      <c r="C2834" t="s">
        <v>1248</v>
      </c>
      <c r="D2834" t="s">
        <v>2348</v>
      </c>
      <c r="E2834" s="7" t="s">
        <v>198</v>
      </c>
      <c r="F2834" s="7" t="s">
        <v>198</v>
      </c>
      <c r="G2834" s="7" t="s">
        <v>198</v>
      </c>
      <c r="H2834" s="7" t="s">
        <v>20</v>
      </c>
      <c r="I2834" s="7" t="s">
        <v>5102</v>
      </c>
      <c r="J2834" s="7" t="s">
        <v>21</v>
      </c>
      <c r="L2834" t="s">
        <v>4161</v>
      </c>
      <c r="M2834" s="7" t="s">
        <v>22</v>
      </c>
      <c r="N2834" s="7" t="s">
        <v>23</v>
      </c>
      <c r="O2834" s="7" t="s">
        <v>27</v>
      </c>
      <c r="P2834" s="7" t="s">
        <v>5101</v>
      </c>
      <c r="Q2834" s="26">
        <v>15</v>
      </c>
      <c r="R2834" s="26">
        <v>1</v>
      </c>
      <c r="S2834" s="40">
        <v>1</v>
      </c>
      <c r="T2834" s="7"/>
      <c r="U2834" s="7" t="s">
        <v>2951</v>
      </c>
      <c r="V2834" s="7" t="str">
        <f>+IF(U2834="","",IF(U2834="FINES",CONCATENATE("R",IF(OR(B2834="16",B2834="21",B2834="22",B2834="23"),"16212223",IF(OR(B2834="15",B2834="17",B2834="24",B2834="25"),"15172425",B2834))),IF(U2834="CEBAS","UNICO",IF(VALUE(B2834)&lt;=11,"AMBA","INTERIOR"))))</f>
        <v>R08</v>
      </c>
      <c r="W2834" s="38" t="str">
        <f>+IF(U2834="","-",CONCATENATE(U2834,"_",V2834))</f>
        <v>FINES_R08</v>
      </c>
      <c r="X2834" s="42">
        <v>0.55300000000000005</v>
      </c>
    </row>
    <row r="2835" spans="1:24">
      <c r="A2835" s="21" t="s">
        <v>5100</v>
      </c>
      <c r="B2835" t="s">
        <v>1780</v>
      </c>
      <c r="C2835" t="s">
        <v>1778</v>
      </c>
      <c r="D2835" t="s">
        <v>1779</v>
      </c>
      <c r="E2835" s="7" t="s">
        <v>198</v>
      </c>
      <c r="F2835" s="7" t="s">
        <v>198</v>
      </c>
      <c r="G2835" s="7" t="s">
        <v>198</v>
      </c>
      <c r="H2835" s="7" t="s">
        <v>20</v>
      </c>
      <c r="I2835" s="7" t="s">
        <v>5102</v>
      </c>
      <c r="J2835" s="7" t="s">
        <v>21</v>
      </c>
      <c r="L2835" t="s">
        <v>4100</v>
      </c>
      <c r="M2835" s="7" t="s">
        <v>22</v>
      </c>
      <c r="N2835" s="7" t="s">
        <v>23</v>
      </c>
      <c r="O2835" s="7" t="s">
        <v>27</v>
      </c>
      <c r="P2835" s="7" t="s">
        <v>5101</v>
      </c>
      <c r="Q2835" s="26">
        <v>24</v>
      </c>
      <c r="R2835" s="26">
        <v>1</v>
      </c>
      <c r="S2835" s="40">
        <v>1</v>
      </c>
      <c r="T2835" s="7"/>
      <c r="U2835" s="7" t="s">
        <v>2951</v>
      </c>
      <c r="V2835" s="7" t="str">
        <f>+IF(U2835="","",IF(U2835="FINES",CONCATENATE("R",IF(OR(B2835="16",B2835="21",B2835="22",B2835="23"),"16212223",IF(OR(B2835="15",B2835="17",B2835="24",B2835="25"),"15172425",B2835))),IF(U2835="CEBAS","UNICO",IF(VALUE(B2835)&lt;=11,"AMBA","INTERIOR"))))</f>
        <v>R08</v>
      </c>
      <c r="W2835" s="38" t="str">
        <f>+IF(U2835="","-",CONCATENATE(U2835,"_",V2835))</f>
        <v>FINES_R08</v>
      </c>
      <c r="X2835" s="42">
        <v>0.57499999999999996</v>
      </c>
    </row>
    <row r="2836" spans="1:24">
      <c r="A2836" s="21" t="s">
        <v>5100</v>
      </c>
      <c r="B2836" t="s">
        <v>1780</v>
      </c>
      <c r="C2836" t="s">
        <v>1248</v>
      </c>
      <c r="D2836" t="s">
        <v>2348</v>
      </c>
      <c r="E2836" s="7" t="s">
        <v>198</v>
      </c>
      <c r="F2836" s="7" t="s">
        <v>198</v>
      </c>
      <c r="G2836" s="7" t="s">
        <v>198</v>
      </c>
      <c r="H2836" s="7" t="s">
        <v>20</v>
      </c>
      <c r="I2836" s="7" t="s">
        <v>5102</v>
      </c>
      <c r="J2836" s="7" t="s">
        <v>21</v>
      </c>
      <c r="L2836" t="s">
        <v>4170</v>
      </c>
      <c r="M2836" s="7" t="s">
        <v>22</v>
      </c>
      <c r="N2836" s="7" t="s">
        <v>23</v>
      </c>
      <c r="O2836" s="7" t="s">
        <v>27</v>
      </c>
      <c r="P2836" s="7" t="s">
        <v>5101</v>
      </c>
      <c r="Q2836" s="26">
        <v>0</v>
      </c>
      <c r="R2836" s="26">
        <v>1</v>
      </c>
      <c r="S2836" s="40">
        <v>1</v>
      </c>
      <c r="T2836" s="7"/>
      <c r="U2836" s="7" t="s">
        <v>2951</v>
      </c>
      <c r="V2836" s="7" t="str">
        <f>+IF(U2836="","",IF(U2836="FINES",CONCATENATE("R",IF(OR(B2836="16",B2836="21",B2836="22",B2836="23"),"16212223",IF(OR(B2836="15",B2836="17",B2836="24",B2836="25"),"15172425",B2836))),IF(U2836="CEBAS","UNICO",IF(VALUE(B2836)&lt;=11,"AMBA","INTERIOR"))))</f>
        <v>R08</v>
      </c>
      <c r="W2836" s="38" t="str">
        <f>+IF(U2836="","-",CONCATENATE(U2836,"_",V2836))</f>
        <v>FINES_R08</v>
      </c>
      <c r="X2836" s="42">
        <v>0.58499999999999996</v>
      </c>
    </row>
    <row r="2837" spans="1:24">
      <c r="A2837" s="21" t="s">
        <v>5100</v>
      </c>
      <c r="B2837" t="s">
        <v>1780</v>
      </c>
      <c r="C2837" t="s">
        <v>1778</v>
      </c>
      <c r="D2837" t="s">
        <v>1779</v>
      </c>
      <c r="E2837" s="7" t="s">
        <v>198</v>
      </c>
      <c r="F2837" s="7" t="s">
        <v>198</v>
      </c>
      <c r="G2837" s="7" t="s">
        <v>198</v>
      </c>
      <c r="H2837" s="7" t="s">
        <v>20</v>
      </c>
      <c r="I2837" s="7" t="s">
        <v>5102</v>
      </c>
      <c r="J2837" s="7" t="s">
        <v>21</v>
      </c>
      <c r="L2837" t="s">
        <v>4110</v>
      </c>
      <c r="M2837" s="7" t="s">
        <v>22</v>
      </c>
      <c r="N2837" s="7" t="s">
        <v>23</v>
      </c>
      <c r="O2837" s="7" t="s">
        <v>27</v>
      </c>
      <c r="P2837" s="7" t="s">
        <v>5101</v>
      </c>
      <c r="Q2837" s="26">
        <v>23</v>
      </c>
      <c r="R2837" s="26">
        <v>1</v>
      </c>
      <c r="S2837" s="40">
        <v>1</v>
      </c>
      <c r="T2837" s="7"/>
      <c r="U2837" s="7" t="s">
        <v>2951</v>
      </c>
      <c r="V2837" s="7" t="str">
        <f>+IF(U2837="","",IF(U2837="FINES",CONCATENATE("R",IF(OR(B2837="16",B2837="21",B2837="22",B2837="23"),"16212223",IF(OR(B2837="15",B2837="17",B2837="24",B2837="25"),"15172425",B2837))),IF(U2837="CEBAS","UNICO",IF(VALUE(B2837)&lt;=11,"AMBA","INTERIOR"))))</f>
        <v>R08</v>
      </c>
      <c r="W2837" s="38" t="str">
        <f>+IF(U2837="","-",CONCATENATE(U2837,"_",V2837))</f>
        <v>FINES_R08</v>
      </c>
      <c r="X2837" s="42">
        <v>0.60399999999999998</v>
      </c>
    </row>
    <row r="2838" spans="1:24">
      <c r="A2838" s="21" t="s">
        <v>5100</v>
      </c>
      <c r="B2838" t="s">
        <v>1780</v>
      </c>
      <c r="C2838" t="s">
        <v>1778</v>
      </c>
      <c r="D2838" t="s">
        <v>1779</v>
      </c>
      <c r="E2838" s="7" t="s">
        <v>198</v>
      </c>
      <c r="F2838" s="7" t="s">
        <v>198</v>
      </c>
      <c r="G2838" s="7" t="s">
        <v>198</v>
      </c>
      <c r="H2838" s="7" t="s">
        <v>20</v>
      </c>
      <c r="I2838" s="7" t="s">
        <v>5102</v>
      </c>
      <c r="J2838" s="7" t="s">
        <v>21</v>
      </c>
      <c r="L2838" t="s">
        <v>4149</v>
      </c>
      <c r="M2838" s="7" t="s">
        <v>22</v>
      </c>
      <c r="N2838" s="7" t="s">
        <v>23</v>
      </c>
      <c r="O2838" s="7" t="s">
        <v>27</v>
      </c>
      <c r="P2838" s="7" t="s">
        <v>5101</v>
      </c>
      <c r="Q2838" s="26">
        <v>14</v>
      </c>
      <c r="R2838" s="26">
        <v>1</v>
      </c>
      <c r="S2838" s="40">
        <v>1</v>
      </c>
      <c r="T2838" s="7"/>
      <c r="U2838" s="7" t="s">
        <v>2951</v>
      </c>
      <c r="V2838" s="7" t="str">
        <f>+IF(U2838="","",IF(U2838="FINES",CONCATENATE("R",IF(OR(B2838="16",B2838="21",B2838="22",B2838="23"),"16212223",IF(OR(B2838="15",B2838="17",B2838="24",B2838="25"),"15172425",B2838))),IF(U2838="CEBAS","UNICO",IF(VALUE(B2838)&lt;=11,"AMBA","INTERIOR"))))</f>
        <v>R08</v>
      </c>
      <c r="W2838" s="38" t="str">
        <f>+IF(U2838="","-",CONCATENATE(U2838,"_",V2838))</f>
        <v>FINES_R08</v>
      </c>
      <c r="X2838" s="42">
        <v>0.60399999999999998</v>
      </c>
    </row>
    <row r="2839" spans="1:24">
      <c r="A2839" s="21" t="s">
        <v>5100</v>
      </c>
      <c r="B2839" t="s">
        <v>1780</v>
      </c>
      <c r="C2839" t="s">
        <v>1778</v>
      </c>
      <c r="D2839" t="s">
        <v>1779</v>
      </c>
      <c r="E2839" s="7" t="s">
        <v>198</v>
      </c>
      <c r="F2839" s="7" t="s">
        <v>198</v>
      </c>
      <c r="G2839" s="7" t="s">
        <v>198</v>
      </c>
      <c r="H2839" s="7" t="s">
        <v>20</v>
      </c>
      <c r="I2839" s="7" t="s">
        <v>5102</v>
      </c>
      <c r="J2839" s="7" t="s">
        <v>21</v>
      </c>
      <c r="L2839" t="s">
        <v>4107</v>
      </c>
      <c r="M2839" s="7" t="s">
        <v>22</v>
      </c>
      <c r="N2839" s="7" t="s">
        <v>23</v>
      </c>
      <c r="O2839" s="7" t="s">
        <v>27</v>
      </c>
      <c r="P2839" s="7" t="s">
        <v>5101</v>
      </c>
      <c r="Q2839" s="26">
        <v>44</v>
      </c>
      <c r="R2839" s="26">
        <v>2</v>
      </c>
      <c r="S2839" s="40">
        <v>1</v>
      </c>
      <c r="T2839" s="7"/>
      <c r="U2839" s="7" t="s">
        <v>2951</v>
      </c>
      <c r="V2839" s="7" t="str">
        <f>+IF(U2839="","",IF(U2839="FINES",CONCATENATE("R",IF(OR(B2839="16",B2839="21",B2839="22",B2839="23"),"16212223",IF(OR(B2839="15",B2839="17",B2839="24",B2839="25"),"15172425",B2839))),IF(U2839="CEBAS","UNICO",IF(VALUE(B2839)&lt;=11,"AMBA","INTERIOR"))))</f>
        <v>R08</v>
      </c>
      <c r="W2839" s="38" t="str">
        <f>+IF(U2839="","-",CONCATENATE(U2839,"_",V2839))</f>
        <v>FINES_R08</v>
      </c>
      <c r="X2839" s="42">
        <v>0.65</v>
      </c>
    </row>
    <row r="2840" spans="1:24">
      <c r="A2840" s="21" t="s">
        <v>5100</v>
      </c>
      <c r="B2840" t="s">
        <v>1780</v>
      </c>
      <c r="C2840" t="s">
        <v>1778</v>
      </c>
      <c r="D2840" t="s">
        <v>1779</v>
      </c>
      <c r="E2840" s="7" t="s">
        <v>198</v>
      </c>
      <c r="F2840" s="7" t="s">
        <v>198</v>
      </c>
      <c r="G2840" s="7" t="s">
        <v>198</v>
      </c>
      <c r="H2840" s="7" t="s">
        <v>20</v>
      </c>
      <c r="I2840" s="7" t="s">
        <v>5102</v>
      </c>
      <c r="J2840" s="7" t="s">
        <v>21</v>
      </c>
      <c r="L2840" t="s">
        <v>4117</v>
      </c>
      <c r="M2840" s="7" t="s">
        <v>22</v>
      </c>
      <c r="N2840" s="7" t="s">
        <v>23</v>
      </c>
      <c r="O2840" s="7" t="s">
        <v>27</v>
      </c>
      <c r="P2840" s="7" t="s">
        <v>5101</v>
      </c>
      <c r="Q2840" s="26">
        <v>36</v>
      </c>
      <c r="R2840" s="26">
        <v>2</v>
      </c>
      <c r="S2840" s="40">
        <v>1</v>
      </c>
      <c r="T2840" s="7"/>
      <c r="U2840" s="7" t="s">
        <v>2951</v>
      </c>
      <c r="V2840" s="7" t="str">
        <f>+IF(U2840="","",IF(U2840="FINES",CONCATENATE("R",IF(OR(B2840="16",B2840="21",B2840="22",B2840="23"),"16212223",IF(OR(B2840="15",B2840="17",B2840="24",B2840="25"),"15172425",B2840))),IF(U2840="CEBAS","UNICO",IF(VALUE(B2840)&lt;=11,"AMBA","INTERIOR"))))</f>
        <v>R08</v>
      </c>
      <c r="W2840" s="38" t="str">
        <f>+IF(U2840="","-",CONCATENATE(U2840,"_",V2840))</f>
        <v>FINES_R08</v>
      </c>
      <c r="X2840" s="42">
        <v>0.65200000000000002</v>
      </c>
    </row>
    <row r="2841" spans="1:24">
      <c r="A2841" s="21" t="s">
        <v>5100</v>
      </c>
      <c r="B2841" t="s">
        <v>1780</v>
      </c>
      <c r="C2841" t="s">
        <v>1248</v>
      </c>
      <c r="D2841" t="s">
        <v>2348</v>
      </c>
      <c r="E2841" s="7" t="s">
        <v>198</v>
      </c>
      <c r="F2841" s="7" t="s">
        <v>198</v>
      </c>
      <c r="G2841" s="7" t="s">
        <v>198</v>
      </c>
      <c r="H2841" s="7" t="s">
        <v>20</v>
      </c>
      <c r="I2841" s="7" t="s">
        <v>5102</v>
      </c>
      <c r="J2841" s="7" t="s">
        <v>21</v>
      </c>
      <c r="L2841" t="s">
        <v>4154</v>
      </c>
      <c r="M2841" s="7" t="s">
        <v>22</v>
      </c>
      <c r="N2841" s="7" t="s">
        <v>23</v>
      </c>
      <c r="O2841" s="7" t="s">
        <v>27</v>
      </c>
      <c r="P2841" s="7" t="s">
        <v>5101</v>
      </c>
      <c r="Q2841" s="26">
        <v>13</v>
      </c>
      <c r="R2841" s="26">
        <v>1</v>
      </c>
      <c r="S2841" s="40">
        <v>1</v>
      </c>
      <c r="T2841" s="7"/>
      <c r="U2841" s="7" t="s">
        <v>2951</v>
      </c>
      <c r="V2841" s="7" t="str">
        <f>+IF(U2841="","",IF(U2841="FINES",CONCATENATE("R",IF(OR(B2841="16",B2841="21",B2841="22",B2841="23"),"16212223",IF(OR(B2841="15",B2841="17",B2841="24",B2841="25"),"15172425",B2841))),IF(U2841="CEBAS","UNICO",IF(VALUE(B2841)&lt;=11,"AMBA","INTERIOR"))))</f>
        <v>R08</v>
      </c>
      <c r="W2841" s="38" t="str">
        <f>+IF(U2841="","-",CONCATENATE(U2841,"_",V2841))</f>
        <v>FINES_R08</v>
      </c>
      <c r="X2841" s="42">
        <v>0.66100000000000003</v>
      </c>
    </row>
    <row r="2842" spans="1:24">
      <c r="A2842" s="21" t="s">
        <v>5100</v>
      </c>
      <c r="B2842" t="s">
        <v>1780</v>
      </c>
      <c r="C2842" t="s">
        <v>1778</v>
      </c>
      <c r="D2842" t="s">
        <v>1779</v>
      </c>
      <c r="E2842" s="7" t="s">
        <v>198</v>
      </c>
      <c r="F2842" s="7" t="s">
        <v>198</v>
      </c>
      <c r="G2842" s="7" t="s">
        <v>198</v>
      </c>
      <c r="H2842" s="7" t="s">
        <v>20</v>
      </c>
      <c r="I2842" s="7" t="s">
        <v>5102</v>
      </c>
      <c r="J2842" s="7" t="s">
        <v>21</v>
      </c>
      <c r="L2842" t="s">
        <v>4122</v>
      </c>
      <c r="M2842" s="7" t="s">
        <v>22</v>
      </c>
      <c r="N2842" s="7" t="s">
        <v>23</v>
      </c>
      <c r="O2842" s="7" t="s">
        <v>27</v>
      </c>
      <c r="P2842" s="7" t="s">
        <v>5101</v>
      </c>
      <c r="Q2842" s="26">
        <v>78</v>
      </c>
      <c r="R2842" s="26">
        <v>5</v>
      </c>
      <c r="S2842" s="40">
        <v>1</v>
      </c>
      <c r="T2842" s="7"/>
      <c r="U2842" s="7" t="s">
        <v>2951</v>
      </c>
      <c r="V2842" s="7" t="str">
        <f>+IF(U2842="","",IF(U2842="FINES",CONCATENATE("R",IF(OR(B2842="16",B2842="21",B2842="22",B2842="23"),"16212223",IF(OR(B2842="15",B2842="17",B2842="24",B2842="25"),"15172425",B2842))),IF(U2842="CEBAS","UNICO",IF(VALUE(B2842)&lt;=11,"AMBA","INTERIOR"))))</f>
        <v>R08</v>
      </c>
      <c r="W2842" s="38" t="str">
        <f>+IF(U2842="","-",CONCATENATE(U2842,"_",V2842))</f>
        <v>FINES_R08</v>
      </c>
      <c r="X2842" s="42">
        <v>0.68400000000000005</v>
      </c>
    </row>
    <row r="2843" spans="1:24">
      <c r="A2843" s="21" t="s">
        <v>5100</v>
      </c>
      <c r="B2843" t="s">
        <v>1780</v>
      </c>
      <c r="C2843" t="s">
        <v>1778</v>
      </c>
      <c r="D2843" t="s">
        <v>1779</v>
      </c>
      <c r="E2843" s="7" t="s">
        <v>198</v>
      </c>
      <c r="F2843" s="7" t="s">
        <v>198</v>
      </c>
      <c r="G2843" s="7" t="s">
        <v>198</v>
      </c>
      <c r="H2843" s="7" t="s">
        <v>20</v>
      </c>
      <c r="I2843" s="7" t="s">
        <v>5102</v>
      </c>
      <c r="J2843" s="7" t="s">
        <v>21</v>
      </c>
      <c r="L2843" t="s">
        <v>4142</v>
      </c>
      <c r="M2843" s="7" t="s">
        <v>22</v>
      </c>
      <c r="N2843" s="7" t="s">
        <v>23</v>
      </c>
      <c r="O2843" s="7" t="s">
        <v>27</v>
      </c>
      <c r="P2843" s="7" t="s">
        <v>5101</v>
      </c>
      <c r="Q2843" s="26">
        <v>42</v>
      </c>
      <c r="R2843" s="26">
        <v>2</v>
      </c>
      <c r="S2843" s="40">
        <v>1</v>
      </c>
      <c r="T2843" s="7"/>
      <c r="U2843" s="7" t="s">
        <v>2951</v>
      </c>
      <c r="V2843" s="7" t="str">
        <f>+IF(U2843="","",IF(U2843="FINES",CONCATENATE("R",IF(OR(B2843="16",B2843="21",B2843="22",B2843="23"),"16212223",IF(OR(B2843="15",B2843="17",B2843="24",B2843="25"),"15172425",B2843))),IF(U2843="CEBAS","UNICO",IF(VALUE(B2843)&lt;=11,"AMBA","INTERIOR"))))</f>
        <v>R08</v>
      </c>
      <c r="W2843" s="38" t="str">
        <f>+IF(U2843="","-",CONCATENATE(U2843,"_",V2843))</f>
        <v>FINES_R08</v>
      </c>
      <c r="X2843" s="42">
        <v>0.69199999999999995</v>
      </c>
    </row>
    <row r="2844" spans="1:24">
      <c r="A2844" s="21" t="s">
        <v>5100</v>
      </c>
      <c r="B2844" t="s">
        <v>1780</v>
      </c>
      <c r="C2844" t="s">
        <v>1248</v>
      </c>
      <c r="D2844" t="s">
        <v>2348</v>
      </c>
      <c r="E2844" s="7" t="s">
        <v>198</v>
      </c>
      <c r="F2844" s="7" t="s">
        <v>198</v>
      </c>
      <c r="G2844" s="7" t="s">
        <v>198</v>
      </c>
      <c r="H2844" s="7" t="s">
        <v>20</v>
      </c>
      <c r="I2844" s="7" t="s">
        <v>5102</v>
      </c>
      <c r="J2844" s="7" t="s">
        <v>21</v>
      </c>
      <c r="L2844" t="s">
        <v>4158</v>
      </c>
      <c r="M2844" s="7" t="s">
        <v>22</v>
      </c>
      <c r="N2844" s="7" t="s">
        <v>23</v>
      </c>
      <c r="O2844" s="7" t="s">
        <v>27</v>
      </c>
      <c r="P2844" s="7" t="s">
        <v>5101</v>
      </c>
      <c r="Q2844" s="26">
        <v>0</v>
      </c>
      <c r="R2844" s="26">
        <v>1</v>
      </c>
      <c r="S2844" s="40">
        <v>1</v>
      </c>
      <c r="T2844" s="7"/>
      <c r="U2844" s="7" t="s">
        <v>2951</v>
      </c>
      <c r="V2844" s="7" t="str">
        <f>+IF(U2844="","",IF(U2844="FINES",CONCATENATE("R",IF(OR(B2844="16",B2844="21",B2844="22",B2844="23"),"16212223",IF(OR(B2844="15",B2844="17",B2844="24",B2844="25"),"15172425",B2844))),IF(U2844="CEBAS","UNICO",IF(VALUE(B2844)&lt;=11,"AMBA","INTERIOR"))))</f>
        <v>R08</v>
      </c>
      <c r="W2844" s="38" t="str">
        <f>+IF(U2844="","-",CONCATENATE(U2844,"_",V2844))</f>
        <v>FINES_R08</v>
      </c>
      <c r="X2844" s="42">
        <v>0.69799999999999995</v>
      </c>
    </row>
    <row r="2845" spans="1:24">
      <c r="A2845" s="21" t="s">
        <v>5100</v>
      </c>
      <c r="B2845" t="s">
        <v>1780</v>
      </c>
      <c r="C2845" t="s">
        <v>1778</v>
      </c>
      <c r="D2845" t="s">
        <v>1779</v>
      </c>
      <c r="E2845" s="7" t="s">
        <v>198</v>
      </c>
      <c r="F2845" s="7" t="s">
        <v>198</v>
      </c>
      <c r="G2845" s="7" t="s">
        <v>198</v>
      </c>
      <c r="H2845" s="7" t="s">
        <v>20</v>
      </c>
      <c r="I2845" s="7" t="s">
        <v>5102</v>
      </c>
      <c r="J2845" s="7" t="s">
        <v>21</v>
      </c>
      <c r="L2845" t="s">
        <v>4096</v>
      </c>
      <c r="M2845" s="7" t="s">
        <v>22</v>
      </c>
      <c r="N2845" s="7" t="s">
        <v>23</v>
      </c>
      <c r="O2845" s="7" t="s">
        <v>27</v>
      </c>
      <c r="P2845" s="7" t="s">
        <v>5101</v>
      </c>
      <c r="Q2845" s="26">
        <v>51</v>
      </c>
      <c r="R2845" s="26">
        <v>2</v>
      </c>
      <c r="S2845" s="40">
        <v>1</v>
      </c>
      <c r="T2845" s="7"/>
      <c r="U2845" s="7" t="s">
        <v>2951</v>
      </c>
      <c r="V2845" s="7" t="str">
        <f>+IF(U2845="","",IF(U2845="FINES",CONCATENATE("R",IF(OR(B2845="16",B2845="21",B2845="22",B2845="23"),"16212223",IF(OR(B2845="15",B2845="17",B2845="24",B2845="25"),"15172425",B2845))),IF(U2845="CEBAS","UNICO",IF(VALUE(B2845)&lt;=11,"AMBA","INTERIOR"))))</f>
        <v>R08</v>
      </c>
      <c r="W2845" s="38" t="str">
        <f>+IF(U2845="","-",CONCATENATE(U2845,"_",V2845))</f>
        <v>FINES_R08</v>
      </c>
      <c r="X2845" s="42">
        <v>0.70199999999999996</v>
      </c>
    </row>
    <row r="2846" spans="1:24">
      <c r="A2846" s="21" t="s">
        <v>5100</v>
      </c>
      <c r="B2846" t="s">
        <v>1780</v>
      </c>
      <c r="C2846" t="s">
        <v>1778</v>
      </c>
      <c r="D2846" t="s">
        <v>1779</v>
      </c>
      <c r="E2846" s="7" t="s">
        <v>198</v>
      </c>
      <c r="F2846" s="7" t="s">
        <v>198</v>
      </c>
      <c r="G2846" s="7" t="s">
        <v>198</v>
      </c>
      <c r="H2846" s="7" t="s">
        <v>20</v>
      </c>
      <c r="I2846" s="7" t="s">
        <v>5102</v>
      </c>
      <c r="J2846" s="7" t="s">
        <v>21</v>
      </c>
      <c r="L2846" t="s">
        <v>4140</v>
      </c>
      <c r="M2846" s="7" t="s">
        <v>22</v>
      </c>
      <c r="N2846" s="7" t="s">
        <v>23</v>
      </c>
      <c r="O2846" s="7" t="s">
        <v>27</v>
      </c>
      <c r="P2846" s="7" t="s">
        <v>5101</v>
      </c>
      <c r="Q2846" s="26">
        <v>18</v>
      </c>
      <c r="R2846" s="26">
        <v>1</v>
      </c>
      <c r="S2846" s="40">
        <v>1</v>
      </c>
      <c r="T2846" s="7"/>
      <c r="U2846" s="7" t="s">
        <v>2951</v>
      </c>
      <c r="V2846" s="7" t="str">
        <f>+IF(U2846="","",IF(U2846="FINES",CONCATENATE("R",IF(OR(B2846="16",B2846="21",B2846="22",B2846="23"),"16212223",IF(OR(B2846="15",B2846="17",B2846="24",B2846="25"),"15172425",B2846))),IF(U2846="CEBAS","UNICO",IF(VALUE(B2846)&lt;=11,"AMBA","INTERIOR"))))</f>
        <v>R08</v>
      </c>
      <c r="W2846" s="38" t="str">
        <f>+IF(U2846="","-",CONCATENATE(U2846,"_",V2846))</f>
        <v>FINES_R08</v>
      </c>
      <c r="X2846" s="42">
        <v>0.70299999999999996</v>
      </c>
    </row>
    <row r="2847" spans="1:24">
      <c r="A2847" s="21" t="s">
        <v>5100</v>
      </c>
      <c r="B2847" t="s">
        <v>1780</v>
      </c>
      <c r="C2847" t="s">
        <v>1248</v>
      </c>
      <c r="D2847" t="s">
        <v>2348</v>
      </c>
      <c r="E2847" s="7" t="s">
        <v>198</v>
      </c>
      <c r="F2847" s="7" t="s">
        <v>198</v>
      </c>
      <c r="G2847" s="7" t="s">
        <v>198</v>
      </c>
      <c r="H2847" s="7" t="s">
        <v>20</v>
      </c>
      <c r="I2847" s="7" t="s">
        <v>5102</v>
      </c>
      <c r="J2847" s="7" t="s">
        <v>21</v>
      </c>
      <c r="L2847" t="s">
        <v>4159</v>
      </c>
      <c r="M2847" s="7" t="s">
        <v>22</v>
      </c>
      <c r="N2847" s="7" t="s">
        <v>23</v>
      </c>
      <c r="O2847" s="7" t="s">
        <v>27</v>
      </c>
      <c r="P2847" s="7" t="s">
        <v>5101</v>
      </c>
      <c r="Q2847" s="26">
        <v>0</v>
      </c>
      <c r="R2847" s="26">
        <v>1</v>
      </c>
      <c r="S2847" s="40">
        <v>1</v>
      </c>
      <c r="T2847" s="7"/>
      <c r="U2847" s="7" t="s">
        <v>2951</v>
      </c>
      <c r="V2847" s="7" t="str">
        <f>+IF(U2847="","",IF(U2847="FINES",CONCATENATE("R",IF(OR(B2847="16",B2847="21",B2847="22",B2847="23"),"16212223",IF(OR(B2847="15",B2847="17",B2847="24",B2847="25"),"15172425",B2847))),IF(U2847="CEBAS","UNICO",IF(VALUE(B2847)&lt;=11,"AMBA","INTERIOR"))))</f>
        <v>R08</v>
      </c>
      <c r="W2847" s="38" t="str">
        <f>+IF(U2847="","-",CONCATENATE(U2847,"_",V2847))</f>
        <v>FINES_R08</v>
      </c>
      <c r="X2847" s="42">
        <v>0.70399999999999996</v>
      </c>
    </row>
    <row r="2848" spans="1:24">
      <c r="A2848" s="21" t="s">
        <v>5100</v>
      </c>
      <c r="B2848" t="s">
        <v>1780</v>
      </c>
      <c r="C2848" t="s">
        <v>1778</v>
      </c>
      <c r="D2848" t="s">
        <v>1779</v>
      </c>
      <c r="E2848" s="7" t="s">
        <v>198</v>
      </c>
      <c r="F2848" s="7" t="s">
        <v>198</v>
      </c>
      <c r="G2848" s="7" t="s">
        <v>198</v>
      </c>
      <c r="H2848" s="7" t="s">
        <v>20</v>
      </c>
      <c r="I2848" s="7" t="s">
        <v>5102</v>
      </c>
      <c r="J2848" s="7" t="s">
        <v>21</v>
      </c>
      <c r="L2848" t="s">
        <v>4101</v>
      </c>
      <c r="M2848" s="7" t="s">
        <v>22</v>
      </c>
      <c r="N2848" s="7" t="s">
        <v>23</v>
      </c>
      <c r="O2848" s="7" t="s">
        <v>27</v>
      </c>
      <c r="P2848" s="7" t="s">
        <v>5101</v>
      </c>
      <c r="Q2848" s="26">
        <v>13</v>
      </c>
      <c r="R2848" s="26">
        <v>1</v>
      </c>
      <c r="S2848" s="40">
        <v>1</v>
      </c>
      <c r="T2848" s="7"/>
      <c r="U2848" s="7" t="s">
        <v>2951</v>
      </c>
      <c r="V2848" s="7" t="str">
        <f>+IF(U2848="","",IF(U2848="FINES",CONCATENATE("R",IF(OR(B2848="16",B2848="21",B2848="22",B2848="23"),"16212223",IF(OR(B2848="15",B2848="17",B2848="24",B2848="25"),"15172425",B2848))),IF(U2848="CEBAS","UNICO",IF(VALUE(B2848)&lt;=11,"AMBA","INTERIOR"))))</f>
        <v>R08</v>
      </c>
      <c r="W2848" s="38" t="str">
        <f>+IF(U2848="","-",CONCATENATE(U2848,"_",V2848))</f>
        <v>FINES_R08</v>
      </c>
      <c r="X2848" s="42">
        <v>0.70399999999999996</v>
      </c>
    </row>
    <row r="2849" spans="1:24">
      <c r="A2849" s="21" t="s">
        <v>5100</v>
      </c>
      <c r="B2849" t="s">
        <v>1780</v>
      </c>
      <c r="C2849" t="s">
        <v>1778</v>
      </c>
      <c r="D2849" t="s">
        <v>1779</v>
      </c>
      <c r="E2849" s="7" t="s">
        <v>198</v>
      </c>
      <c r="F2849" s="7" t="s">
        <v>198</v>
      </c>
      <c r="G2849" s="7" t="s">
        <v>198</v>
      </c>
      <c r="H2849" s="7" t="s">
        <v>20</v>
      </c>
      <c r="I2849" s="7" t="s">
        <v>5102</v>
      </c>
      <c r="J2849" s="7" t="s">
        <v>21</v>
      </c>
      <c r="L2849" t="s">
        <v>4152</v>
      </c>
      <c r="M2849" s="7" t="s">
        <v>22</v>
      </c>
      <c r="N2849" s="7" t="s">
        <v>23</v>
      </c>
      <c r="O2849" s="7" t="s">
        <v>27</v>
      </c>
      <c r="P2849" s="7" t="s">
        <v>5101</v>
      </c>
      <c r="Q2849" s="26">
        <v>159</v>
      </c>
      <c r="R2849" s="26">
        <v>7</v>
      </c>
      <c r="S2849" s="40">
        <v>1</v>
      </c>
      <c r="T2849" s="7"/>
      <c r="U2849" s="7" t="s">
        <v>2951</v>
      </c>
      <c r="V2849" s="7" t="str">
        <f>+IF(U2849="","",IF(U2849="FINES",CONCATENATE("R",IF(OR(B2849="16",B2849="21",B2849="22",B2849="23"),"16212223",IF(OR(B2849="15",B2849="17",B2849="24",B2849="25"),"15172425",B2849))),IF(U2849="CEBAS","UNICO",IF(VALUE(B2849)&lt;=11,"AMBA","INTERIOR"))))</f>
        <v>R08</v>
      </c>
      <c r="W2849" s="38" t="str">
        <f>+IF(U2849="","-",CONCATENATE(U2849,"_",V2849))</f>
        <v>FINES_R08</v>
      </c>
      <c r="X2849" s="42">
        <v>0.70799999999999996</v>
      </c>
    </row>
    <row r="2850" spans="1:24">
      <c r="A2850" s="21" t="s">
        <v>5100</v>
      </c>
      <c r="B2850" t="s">
        <v>1780</v>
      </c>
      <c r="C2850" t="s">
        <v>1248</v>
      </c>
      <c r="D2850" t="s">
        <v>2348</v>
      </c>
      <c r="E2850" s="7" t="s">
        <v>198</v>
      </c>
      <c r="F2850" s="7" t="s">
        <v>198</v>
      </c>
      <c r="G2850" s="7" t="s">
        <v>198</v>
      </c>
      <c r="H2850" s="7" t="s">
        <v>20</v>
      </c>
      <c r="I2850" s="7" t="s">
        <v>5102</v>
      </c>
      <c r="J2850" s="7" t="s">
        <v>21</v>
      </c>
      <c r="L2850" t="s">
        <v>4163</v>
      </c>
      <c r="M2850" s="7" t="s">
        <v>22</v>
      </c>
      <c r="N2850" s="7" t="s">
        <v>23</v>
      </c>
      <c r="O2850" s="7" t="s">
        <v>27</v>
      </c>
      <c r="P2850" s="7" t="s">
        <v>5101</v>
      </c>
      <c r="Q2850" s="26">
        <v>16</v>
      </c>
      <c r="R2850" s="26">
        <v>1</v>
      </c>
      <c r="S2850" s="40">
        <v>1</v>
      </c>
      <c r="T2850" s="7"/>
      <c r="U2850" s="7" t="s">
        <v>2951</v>
      </c>
      <c r="V2850" s="7" t="str">
        <f>+IF(U2850="","",IF(U2850="FINES",CONCATENATE("R",IF(OR(B2850="16",B2850="21",B2850="22",B2850="23"),"16212223",IF(OR(B2850="15",B2850="17",B2850="24",B2850="25"),"15172425",B2850))),IF(U2850="CEBAS","UNICO",IF(VALUE(B2850)&lt;=11,"AMBA","INTERIOR"))))</f>
        <v>R08</v>
      </c>
      <c r="W2850" s="38" t="str">
        <f>+IF(U2850="","-",CONCATENATE(U2850,"_",V2850))</f>
        <v>FINES_R08</v>
      </c>
      <c r="X2850" s="42">
        <v>0.745</v>
      </c>
    </row>
    <row r="2851" spans="1:24">
      <c r="A2851" s="21" t="s">
        <v>5100</v>
      </c>
      <c r="B2851" t="s">
        <v>1780</v>
      </c>
      <c r="C2851" t="s">
        <v>238</v>
      </c>
      <c r="D2851" t="s">
        <v>2887</v>
      </c>
      <c r="E2851" s="7" t="s">
        <v>198</v>
      </c>
      <c r="F2851" s="7" t="s">
        <v>198</v>
      </c>
      <c r="G2851" s="7" t="s">
        <v>198</v>
      </c>
      <c r="H2851" s="7" t="s">
        <v>20</v>
      </c>
      <c r="I2851" s="7" t="s">
        <v>5102</v>
      </c>
      <c r="J2851" s="7" t="s">
        <v>21</v>
      </c>
      <c r="L2851" t="s">
        <v>4073</v>
      </c>
      <c r="M2851" s="7" t="s">
        <v>22</v>
      </c>
      <c r="N2851" s="7" t="s">
        <v>23</v>
      </c>
      <c r="O2851" s="7" t="s">
        <v>27</v>
      </c>
      <c r="P2851" s="7" t="s">
        <v>5101</v>
      </c>
      <c r="Q2851" s="26">
        <v>0</v>
      </c>
      <c r="R2851" s="26">
        <v>1</v>
      </c>
      <c r="S2851" s="40">
        <v>1</v>
      </c>
      <c r="T2851" s="7"/>
      <c r="U2851" s="7" t="s">
        <v>2951</v>
      </c>
      <c r="V2851" s="7" t="str">
        <f>+IF(U2851="","",IF(U2851="FINES",CONCATENATE("R",IF(OR(B2851="16",B2851="21",B2851="22",B2851="23"),"16212223",IF(OR(B2851="15",B2851="17",B2851="24",B2851="25"),"15172425",B2851))),IF(U2851="CEBAS","UNICO",IF(VALUE(B2851)&lt;=11,"AMBA","INTERIOR"))))</f>
        <v>R08</v>
      </c>
      <c r="W2851" s="38" t="str">
        <f>+IF(U2851="","-",CONCATENATE(U2851,"_",V2851))</f>
        <v>FINES_R08</v>
      </c>
      <c r="X2851" s="42">
        <v>0.747</v>
      </c>
    </row>
    <row r="2852" spans="1:24">
      <c r="A2852" s="21" t="s">
        <v>5100</v>
      </c>
      <c r="B2852" t="s">
        <v>1780</v>
      </c>
      <c r="C2852" t="s">
        <v>238</v>
      </c>
      <c r="D2852" t="s">
        <v>2887</v>
      </c>
      <c r="E2852" s="7" t="s">
        <v>198</v>
      </c>
      <c r="F2852" s="7" t="s">
        <v>198</v>
      </c>
      <c r="G2852" s="7" t="s">
        <v>198</v>
      </c>
      <c r="H2852" s="7" t="s">
        <v>20</v>
      </c>
      <c r="I2852" s="7" t="s">
        <v>5102</v>
      </c>
      <c r="J2852" s="7" t="s">
        <v>21</v>
      </c>
      <c r="L2852" t="s">
        <v>4093</v>
      </c>
      <c r="M2852" s="7" t="s">
        <v>22</v>
      </c>
      <c r="N2852" s="7" t="s">
        <v>23</v>
      </c>
      <c r="O2852" s="7" t="s">
        <v>27</v>
      </c>
      <c r="P2852" s="7" t="s">
        <v>5101</v>
      </c>
      <c r="Q2852" s="26">
        <v>20</v>
      </c>
      <c r="R2852" s="26">
        <v>1</v>
      </c>
      <c r="S2852" s="40">
        <v>1</v>
      </c>
      <c r="T2852" s="7"/>
      <c r="U2852" s="7" t="s">
        <v>2951</v>
      </c>
      <c r="V2852" s="7" t="str">
        <f>+IF(U2852="","",IF(U2852="FINES",CONCATENATE("R",IF(OR(B2852="16",B2852="21",B2852="22",B2852="23"),"16212223",IF(OR(B2852="15",B2852="17",B2852="24",B2852="25"),"15172425",B2852))),IF(U2852="CEBAS","UNICO",IF(VALUE(B2852)&lt;=11,"AMBA","INTERIOR"))))</f>
        <v>R08</v>
      </c>
      <c r="W2852" s="38" t="str">
        <f>+IF(U2852="","-",CONCATENATE(U2852,"_",V2852))</f>
        <v>FINES_R08</v>
      </c>
      <c r="X2852" s="42">
        <v>0.76100000000000001</v>
      </c>
    </row>
    <row r="2853" spans="1:24">
      <c r="A2853" s="21" t="s">
        <v>5100</v>
      </c>
      <c r="B2853" t="s">
        <v>1780</v>
      </c>
      <c r="C2853" t="s">
        <v>1778</v>
      </c>
      <c r="D2853" t="s">
        <v>1779</v>
      </c>
      <c r="E2853" s="7" t="s">
        <v>198</v>
      </c>
      <c r="F2853" s="7" t="s">
        <v>198</v>
      </c>
      <c r="G2853" s="7" t="s">
        <v>198</v>
      </c>
      <c r="H2853" s="7" t="s">
        <v>20</v>
      </c>
      <c r="I2853" s="7" t="s">
        <v>5102</v>
      </c>
      <c r="J2853" s="7" t="s">
        <v>21</v>
      </c>
      <c r="L2853" t="s">
        <v>4125</v>
      </c>
      <c r="M2853" s="7" t="s">
        <v>22</v>
      </c>
      <c r="N2853" s="7" t="s">
        <v>23</v>
      </c>
      <c r="O2853" s="7" t="s">
        <v>27</v>
      </c>
      <c r="P2853" s="7" t="s">
        <v>5101</v>
      </c>
      <c r="Q2853" s="26">
        <v>17</v>
      </c>
      <c r="R2853" s="26">
        <v>1</v>
      </c>
      <c r="S2853" s="40">
        <v>1</v>
      </c>
      <c r="T2853" s="7"/>
      <c r="U2853" s="7" t="s">
        <v>2951</v>
      </c>
      <c r="V2853" s="7" t="str">
        <f>+IF(U2853="","",IF(U2853="FINES",CONCATENATE("R",IF(OR(B2853="16",B2853="21",B2853="22",B2853="23"),"16212223",IF(OR(B2853="15",B2853="17",B2853="24",B2853="25"),"15172425",B2853))),IF(U2853="CEBAS","UNICO",IF(VALUE(B2853)&lt;=11,"AMBA","INTERIOR"))))</f>
        <v>R08</v>
      </c>
      <c r="W2853" s="38" t="str">
        <f>+IF(U2853="","-",CONCATENATE(U2853,"_",V2853))</f>
        <v>FINES_R08</v>
      </c>
      <c r="X2853" s="42">
        <v>0.76600000000000001</v>
      </c>
    </row>
    <row r="2854" spans="1:24">
      <c r="A2854" s="21" t="s">
        <v>5100</v>
      </c>
      <c r="B2854" t="s">
        <v>1780</v>
      </c>
      <c r="C2854" t="s">
        <v>1778</v>
      </c>
      <c r="D2854" t="s">
        <v>1779</v>
      </c>
      <c r="E2854" s="7" t="s">
        <v>198</v>
      </c>
      <c r="F2854" s="7" t="s">
        <v>198</v>
      </c>
      <c r="G2854" s="7" t="s">
        <v>198</v>
      </c>
      <c r="H2854" s="7" t="s">
        <v>20</v>
      </c>
      <c r="I2854" s="7" t="s">
        <v>5102</v>
      </c>
      <c r="J2854" s="7" t="s">
        <v>21</v>
      </c>
      <c r="L2854" t="s">
        <v>4112</v>
      </c>
      <c r="M2854" s="7" t="s">
        <v>22</v>
      </c>
      <c r="N2854" s="7" t="s">
        <v>23</v>
      </c>
      <c r="O2854" s="7" t="s">
        <v>27</v>
      </c>
      <c r="P2854" s="7" t="s">
        <v>5101</v>
      </c>
      <c r="Q2854" s="26">
        <v>113</v>
      </c>
      <c r="R2854" s="26">
        <v>6</v>
      </c>
      <c r="S2854" s="40">
        <v>1</v>
      </c>
      <c r="T2854" s="7"/>
      <c r="U2854" s="7" t="s">
        <v>2951</v>
      </c>
      <c r="V2854" s="7" t="str">
        <f>+IF(U2854="","",IF(U2854="FINES",CONCATENATE("R",IF(OR(B2854="16",B2854="21",B2854="22",B2854="23"),"16212223",IF(OR(B2854="15",B2854="17",B2854="24",B2854="25"),"15172425",B2854))),IF(U2854="CEBAS","UNICO",IF(VALUE(B2854)&lt;=11,"AMBA","INTERIOR"))))</f>
        <v>R08</v>
      </c>
      <c r="W2854" s="38" t="str">
        <f>+IF(U2854="","-",CONCATENATE(U2854,"_",V2854))</f>
        <v>FINES_R08</v>
      </c>
      <c r="X2854" s="42">
        <v>0.76700000000000002</v>
      </c>
    </row>
    <row r="2855" spans="1:24">
      <c r="A2855" s="21" t="s">
        <v>5100</v>
      </c>
      <c r="B2855" t="s">
        <v>1780</v>
      </c>
      <c r="C2855" t="s">
        <v>1248</v>
      </c>
      <c r="D2855" t="s">
        <v>2348</v>
      </c>
      <c r="E2855" s="7" t="s">
        <v>198</v>
      </c>
      <c r="F2855" s="7" t="s">
        <v>198</v>
      </c>
      <c r="G2855" s="7" t="s">
        <v>198</v>
      </c>
      <c r="H2855" s="7" t="s">
        <v>20</v>
      </c>
      <c r="I2855" s="7" t="s">
        <v>5102</v>
      </c>
      <c r="J2855" s="7" t="s">
        <v>21</v>
      </c>
      <c r="L2855" t="s">
        <v>4157</v>
      </c>
      <c r="M2855" s="7" t="s">
        <v>22</v>
      </c>
      <c r="N2855" s="7" t="s">
        <v>23</v>
      </c>
      <c r="O2855" s="7" t="s">
        <v>27</v>
      </c>
      <c r="P2855" s="7" t="s">
        <v>5101</v>
      </c>
      <c r="Q2855" s="26">
        <v>28</v>
      </c>
      <c r="R2855" s="26">
        <v>2</v>
      </c>
      <c r="S2855" s="40">
        <v>1</v>
      </c>
      <c r="T2855" s="7"/>
      <c r="U2855" s="7" t="s">
        <v>2951</v>
      </c>
      <c r="V2855" s="7" t="str">
        <f>+IF(U2855="","",IF(U2855="FINES",CONCATENATE("R",IF(OR(B2855="16",B2855="21",B2855="22",B2855="23"),"16212223",IF(OR(B2855="15",B2855="17",B2855="24",B2855="25"),"15172425",B2855))),IF(U2855="CEBAS","UNICO",IF(VALUE(B2855)&lt;=11,"AMBA","INTERIOR"))))</f>
        <v>R08</v>
      </c>
      <c r="W2855" s="38" t="str">
        <f>+IF(U2855="","-",CONCATENATE(U2855,"_",V2855))</f>
        <v>FINES_R08</v>
      </c>
      <c r="X2855" s="42">
        <v>0.77500000000000002</v>
      </c>
    </row>
    <row r="2856" spans="1:24">
      <c r="A2856" s="21" t="s">
        <v>5100</v>
      </c>
      <c r="B2856" t="s">
        <v>1780</v>
      </c>
      <c r="C2856" t="s">
        <v>1778</v>
      </c>
      <c r="D2856" t="s">
        <v>1779</v>
      </c>
      <c r="E2856" s="7" t="s">
        <v>198</v>
      </c>
      <c r="F2856" s="7" t="s">
        <v>198</v>
      </c>
      <c r="G2856" s="7" t="s">
        <v>198</v>
      </c>
      <c r="H2856" s="7" t="s">
        <v>20</v>
      </c>
      <c r="I2856" s="7" t="s">
        <v>5102</v>
      </c>
      <c r="J2856" s="7" t="s">
        <v>21</v>
      </c>
      <c r="L2856" t="s">
        <v>4118</v>
      </c>
      <c r="M2856" s="7" t="s">
        <v>22</v>
      </c>
      <c r="N2856" s="7" t="s">
        <v>23</v>
      </c>
      <c r="O2856" s="7" t="s">
        <v>27</v>
      </c>
      <c r="P2856" s="7" t="s">
        <v>5101</v>
      </c>
      <c r="Q2856" s="26">
        <v>49</v>
      </c>
      <c r="R2856" s="26">
        <v>2</v>
      </c>
      <c r="S2856" s="40">
        <v>1</v>
      </c>
      <c r="T2856" s="7"/>
      <c r="U2856" s="7" t="s">
        <v>2951</v>
      </c>
      <c r="V2856" s="7" t="str">
        <f>+IF(U2856="","",IF(U2856="FINES",CONCATENATE("R",IF(OR(B2856="16",B2856="21",B2856="22",B2856="23"),"16212223",IF(OR(B2856="15",B2856="17",B2856="24",B2856="25"),"15172425",B2856))),IF(U2856="CEBAS","UNICO",IF(VALUE(B2856)&lt;=11,"AMBA","INTERIOR"))))</f>
        <v>R08</v>
      </c>
      <c r="W2856" s="38" t="str">
        <f>+IF(U2856="","-",CONCATENATE(U2856,"_",V2856))</f>
        <v>FINES_R08</v>
      </c>
      <c r="X2856" s="42">
        <v>0.78100000000000003</v>
      </c>
    </row>
    <row r="2857" spans="1:24">
      <c r="A2857" s="21" t="s">
        <v>5100</v>
      </c>
      <c r="B2857" t="s">
        <v>1780</v>
      </c>
      <c r="C2857" t="s">
        <v>1248</v>
      </c>
      <c r="D2857" t="s">
        <v>2348</v>
      </c>
      <c r="E2857" s="7" t="s">
        <v>198</v>
      </c>
      <c r="F2857" s="7" t="s">
        <v>198</v>
      </c>
      <c r="G2857" s="7" t="s">
        <v>198</v>
      </c>
      <c r="H2857" s="7" t="s">
        <v>20</v>
      </c>
      <c r="I2857" s="7" t="s">
        <v>5102</v>
      </c>
      <c r="J2857" s="7" t="s">
        <v>21</v>
      </c>
      <c r="L2857" t="s">
        <v>4167</v>
      </c>
      <c r="M2857" s="7" t="s">
        <v>22</v>
      </c>
      <c r="N2857" s="7" t="s">
        <v>23</v>
      </c>
      <c r="O2857" s="7" t="s">
        <v>27</v>
      </c>
      <c r="P2857" s="7" t="s">
        <v>5101</v>
      </c>
      <c r="Q2857" s="26">
        <v>66</v>
      </c>
      <c r="R2857" s="26">
        <v>3</v>
      </c>
      <c r="S2857" s="40">
        <v>1</v>
      </c>
      <c r="T2857" s="7"/>
      <c r="U2857" s="7" t="s">
        <v>2951</v>
      </c>
      <c r="V2857" s="7" t="str">
        <f>+IF(U2857="","",IF(U2857="FINES",CONCATENATE("R",IF(OR(B2857="16",B2857="21",B2857="22",B2857="23"),"16212223",IF(OR(B2857="15",B2857="17",B2857="24",B2857="25"),"15172425",B2857))),IF(U2857="CEBAS","UNICO",IF(VALUE(B2857)&lt;=11,"AMBA","INTERIOR"))))</f>
        <v>R08</v>
      </c>
      <c r="W2857" s="38" t="str">
        <f>+IF(U2857="","-",CONCATENATE(U2857,"_",V2857))</f>
        <v>FINES_R08</v>
      </c>
      <c r="X2857" s="42">
        <v>0.78200000000000003</v>
      </c>
    </row>
    <row r="2858" spans="1:24">
      <c r="A2858" s="21" t="s">
        <v>5100</v>
      </c>
      <c r="B2858" t="s">
        <v>1780</v>
      </c>
      <c r="C2858" t="s">
        <v>1778</v>
      </c>
      <c r="D2858" t="s">
        <v>1779</v>
      </c>
      <c r="E2858" s="7" t="s">
        <v>198</v>
      </c>
      <c r="F2858" s="7" t="s">
        <v>198</v>
      </c>
      <c r="G2858" s="7" t="s">
        <v>198</v>
      </c>
      <c r="H2858" s="7" t="s">
        <v>20</v>
      </c>
      <c r="I2858" s="7" t="s">
        <v>5102</v>
      </c>
      <c r="J2858" s="7" t="s">
        <v>21</v>
      </c>
      <c r="L2858" t="s">
        <v>4099</v>
      </c>
      <c r="M2858" s="7" t="s">
        <v>22</v>
      </c>
      <c r="N2858" s="7" t="s">
        <v>23</v>
      </c>
      <c r="O2858" s="7" t="s">
        <v>27</v>
      </c>
      <c r="P2858" s="7" t="s">
        <v>5101</v>
      </c>
      <c r="Q2858" s="26">
        <v>45</v>
      </c>
      <c r="R2858" s="26">
        <v>2</v>
      </c>
      <c r="S2858" s="40">
        <v>1</v>
      </c>
      <c r="T2858" s="7"/>
      <c r="U2858" s="7" t="s">
        <v>2951</v>
      </c>
      <c r="V2858" s="7" t="str">
        <f>+IF(U2858="","",IF(U2858="FINES",CONCATENATE("R",IF(OR(B2858="16",B2858="21",B2858="22",B2858="23"),"16212223",IF(OR(B2858="15",B2858="17",B2858="24",B2858="25"),"15172425",B2858))),IF(U2858="CEBAS","UNICO",IF(VALUE(B2858)&lt;=11,"AMBA","INTERIOR"))))</f>
        <v>R08</v>
      </c>
      <c r="W2858" s="38" t="str">
        <f>+IF(U2858="","-",CONCATENATE(U2858,"_",V2858))</f>
        <v>FINES_R08</v>
      </c>
      <c r="X2858" s="42">
        <v>0.83899999999999997</v>
      </c>
    </row>
    <row r="2859" spans="1:24">
      <c r="A2859" s="21" t="s">
        <v>5100</v>
      </c>
      <c r="B2859" t="s">
        <v>1780</v>
      </c>
      <c r="C2859" t="s">
        <v>1778</v>
      </c>
      <c r="D2859" t="s">
        <v>1779</v>
      </c>
      <c r="E2859" s="7" t="s">
        <v>198</v>
      </c>
      <c r="F2859" s="7" t="s">
        <v>198</v>
      </c>
      <c r="G2859" s="7" t="s">
        <v>198</v>
      </c>
      <c r="H2859" s="7" t="s">
        <v>20</v>
      </c>
      <c r="I2859" s="7" t="s">
        <v>5102</v>
      </c>
      <c r="J2859" s="7" t="s">
        <v>21</v>
      </c>
      <c r="L2859" t="s">
        <v>4132</v>
      </c>
      <c r="M2859" s="7" t="s">
        <v>22</v>
      </c>
      <c r="N2859" s="7" t="s">
        <v>23</v>
      </c>
      <c r="O2859" s="7" t="s">
        <v>27</v>
      </c>
      <c r="P2859" s="7" t="s">
        <v>5101</v>
      </c>
      <c r="Q2859" s="26">
        <v>122</v>
      </c>
      <c r="R2859" s="26">
        <v>4</v>
      </c>
      <c r="S2859" s="40">
        <v>1</v>
      </c>
      <c r="T2859" s="7"/>
      <c r="U2859" s="7" t="s">
        <v>2951</v>
      </c>
      <c r="V2859" s="7" t="str">
        <f>+IF(U2859="","",IF(U2859="FINES",CONCATENATE("R",IF(OR(B2859="16",B2859="21",B2859="22",B2859="23"),"16212223",IF(OR(B2859="15",B2859="17",B2859="24",B2859="25"),"15172425",B2859))),IF(U2859="CEBAS","UNICO",IF(VALUE(B2859)&lt;=11,"AMBA","INTERIOR"))))</f>
        <v>R08</v>
      </c>
      <c r="W2859" s="38" t="str">
        <f>+IF(U2859="","-",CONCATENATE(U2859,"_",V2859))</f>
        <v>FINES_R08</v>
      </c>
      <c r="X2859" s="42">
        <v>0.84299999999999997</v>
      </c>
    </row>
    <row r="2860" spans="1:24">
      <c r="A2860" s="21" t="s">
        <v>5100</v>
      </c>
      <c r="B2860" t="s">
        <v>1780</v>
      </c>
      <c r="C2860" t="s">
        <v>1778</v>
      </c>
      <c r="D2860" t="s">
        <v>1779</v>
      </c>
      <c r="E2860" s="7" t="s">
        <v>198</v>
      </c>
      <c r="F2860" s="7" t="s">
        <v>198</v>
      </c>
      <c r="G2860" s="7" t="s">
        <v>198</v>
      </c>
      <c r="H2860" s="7" t="s">
        <v>20</v>
      </c>
      <c r="I2860" s="7" t="s">
        <v>5102</v>
      </c>
      <c r="J2860" s="7" t="s">
        <v>21</v>
      </c>
      <c r="L2860" t="s">
        <v>4130</v>
      </c>
      <c r="M2860" s="7" t="s">
        <v>22</v>
      </c>
      <c r="N2860" s="7" t="s">
        <v>23</v>
      </c>
      <c r="O2860" s="7" t="s">
        <v>27</v>
      </c>
      <c r="P2860" s="7" t="s">
        <v>5101</v>
      </c>
      <c r="Q2860" s="26">
        <v>106</v>
      </c>
      <c r="R2860" s="26">
        <v>4</v>
      </c>
      <c r="S2860" s="40">
        <v>1</v>
      </c>
      <c r="T2860" s="7"/>
      <c r="U2860" s="7" t="s">
        <v>2951</v>
      </c>
      <c r="V2860" s="7" t="str">
        <f>+IF(U2860="","",IF(U2860="FINES",CONCATENATE("R",IF(OR(B2860="16",B2860="21",B2860="22",B2860="23"),"16212223",IF(OR(B2860="15",B2860="17",B2860="24",B2860="25"),"15172425",B2860))),IF(U2860="CEBAS","UNICO",IF(VALUE(B2860)&lt;=11,"AMBA","INTERIOR"))))</f>
        <v>R08</v>
      </c>
      <c r="W2860" s="38" t="str">
        <f>+IF(U2860="","-",CONCATENATE(U2860,"_",V2860))</f>
        <v>FINES_R08</v>
      </c>
      <c r="X2860" s="42">
        <v>0.85199999999999998</v>
      </c>
    </row>
    <row r="2861" spans="1:24">
      <c r="A2861" s="21" t="s">
        <v>5100</v>
      </c>
      <c r="B2861" t="s">
        <v>1780</v>
      </c>
      <c r="C2861" t="s">
        <v>238</v>
      </c>
      <c r="D2861" t="s">
        <v>2887</v>
      </c>
      <c r="E2861" s="7" t="s">
        <v>198</v>
      </c>
      <c r="F2861" s="7" t="s">
        <v>198</v>
      </c>
      <c r="G2861" s="7" t="s">
        <v>198</v>
      </c>
      <c r="H2861" s="7" t="s">
        <v>20</v>
      </c>
      <c r="I2861" s="7" t="s">
        <v>5102</v>
      </c>
      <c r="J2861" s="7" t="s">
        <v>21</v>
      </c>
      <c r="L2861" t="s">
        <v>4090</v>
      </c>
      <c r="M2861" s="7" t="s">
        <v>22</v>
      </c>
      <c r="N2861" s="7" t="s">
        <v>23</v>
      </c>
      <c r="O2861" s="7" t="s">
        <v>27</v>
      </c>
      <c r="P2861" s="7" t="s">
        <v>5101</v>
      </c>
      <c r="Q2861" s="26">
        <v>21</v>
      </c>
      <c r="R2861" s="26">
        <v>1</v>
      </c>
      <c r="S2861" s="40">
        <v>1</v>
      </c>
      <c r="T2861" s="7"/>
      <c r="U2861" s="7" t="s">
        <v>2951</v>
      </c>
      <c r="V2861" s="7" t="str">
        <f>+IF(U2861="","",IF(U2861="FINES",CONCATENATE("R",IF(OR(B2861="16",B2861="21",B2861="22",B2861="23"),"16212223",IF(OR(B2861="15",B2861="17",B2861="24",B2861="25"),"15172425",B2861))),IF(U2861="CEBAS","UNICO",IF(VALUE(B2861)&lt;=11,"AMBA","INTERIOR"))))</f>
        <v>R08</v>
      </c>
      <c r="W2861" s="38" t="str">
        <f>+IF(U2861="","-",CONCATENATE(U2861,"_",V2861))</f>
        <v>FINES_R08</v>
      </c>
      <c r="X2861" s="42">
        <v>0.88200000000000001</v>
      </c>
    </row>
    <row r="2862" spans="1:24">
      <c r="A2862" s="21" t="s">
        <v>5100</v>
      </c>
      <c r="B2862" t="s">
        <v>1780</v>
      </c>
      <c r="C2862" t="s">
        <v>1778</v>
      </c>
      <c r="D2862" t="s">
        <v>1779</v>
      </c>
      <c r="E2862" s="7" t="s">
        <v>198</v>
      </c>
      <c r="F2862" s="7" t="s">
        <v>198</v>
      </c>
      <c r="G2862" s="7" t="s">
        <v>198</v>
      </c>
      <c r="H2862" s="7" t="s">
        <v>20</v>
      </c>
      <c r="I2862" s="7" t="s">
        <v>5102</v>
      </c>
      <c r="J2862" s="7" t="s">
        <v>21</v>
      </c>
      <c r="L2862" t="s">
        <v>4143</v>
      </c>
      <c r="M2862" s="7" t="s">
        <v>22</v>
      </c>
      <c r="N2862" s="7" t="s">
        <v>23</v>
      </c>
      <c r="O2862" s="7" t="s">
        <v>27</v>
      </c>
      <c r="P2862" s="7" t="s">
        <v>5101</v>
      </c>
      <c r="Q2862" s="26">
        <v>25</v>
      </c>
      <c r="R2862" s="26">
        <v>1</v>
      </c>
      <c r="S2862" s="40">
        <v>1</v>
      </c>
      <c r="T2862" s="7"/>
      <c r="U2862" s="7" t="s">
        <v>2951</v>
      </c>
      <c r="V2862" s="7" t="str">
        <f>+IF(U2862="","",IF(U2862="FINES",CONCATENATE("R",IF(OR(B2862="16",B2862="21",B2862="22",B2862="23"),"16212223",IF(OR(B2862="15",B2862="17",B2862="24",B2862="25"),"15172425",B2862))),IF(U2862="CEBAS","UNICO",IF(VALUE(B2862)&lt;=11,"AMBA","INTERIOR"))))</f>
        <v>R08</v>
      </c>
      <c r="W2862" s="38" t="str">
        <f>+IF(U2862="","-",CONCATENATE(U2862,"_",V2862))</f>
        <v>FINES_R08</v>
      </c>
      <c r="X2862" s="42">
        <v>0.89500000000000002</v>
      </c>
    </row>
    <row r="2863" spans="1:24">
      <c r="A2863" s="21" t="s">
        <v>5100</v>
      </c>
      <c r="B2863" t="s">
        <v>1780</v>
      </c>
      <c r="C2863" t="s">
        <v>238</v>
      </c>
      <c r="D2863" t="s">
        <v>2887</v>
      </c>
      <c r="E2863" s="7" t="s">
        <v>198</v>
      </c>
      <c r="F2863" s="7" t="s">
        <v>198</v>
      </c>
      <c r="G2863" s="7" t="s">
        <v>198</v>
      </c>
      <c r="H2863" s="7" t="s">
        <v>20</v>
      </c>
      <c r="I2863" s="7" t="s">
        <v>5102</v>
      </c>
      <c r="J2863" s="7" t="s">
        <v>21</v>
      </c>
      <c r="L2863" t="s">
        <v>4084</v>
      </c>
      <c r="M2863" s="7" t="s">
        <v>22</v>
      </c>
      <c r="N2863" s="7" t="s">
        <v>23</v>
      </c>
      <c r="O2863" s="7" t="s">
        <v>27</v>
      </c>
      <c r="P2863" s="7" t="s">
        <v>5101</v>
      </c>
      <c r="Q2863" s="26">
        <v>0</v>
      </c>
      <c r="R2863" s="26">
        <v>1</v>
      </c>
      <c r="S2863" s="40">
        <v>1</v>
      </c>
      <c r="T2863" s="7"/>
      <c r="U2863" s="7" t="s">
        <v>2951</v>
      </c>
      <c r="V2863" s="7" t="str">
        <f>+IF(U2863="","",IF(U2863="FINES",CONCATENATE("R",IF(OR(B2863="16",B2863="21",B2863="22",B2863="23"),"16212223",IF(OR(B2863="15",B2863="17",B2863="24",B2863="25"),"15172425",B2863))),IF(U2863="CEBAS","UNICO",IF(VALUE(B2863)&lt;=11,"AMBA","INTERIOR"))))</f>
        <v>R08</v>
      </c>
      <c r="W2863" s="38" t="str">
        <f>+IF(U2863="","-",CONCATENATE(U2863,"_",V2863))</f>
        <v>FINES_R08</v>
      </c>
      <c r="X2863" s="42">
        <v>0.90700000000000003</v>
      </c>
    </row>
    <row r="2864" spans="1:24">
      <c r="A2864" s="21" t="s">
        <v>5100</v>
      </c>
      <c r="B2864" t="s">
        <v>1780</v>
      </c>
      <c r="C2864" t="s">
        <v>238</v>
      </c>
      <c r="D2864" t="s">
        <v>2887</v>
      </c>
      <c r="E2864" s="7" t="s">
        <v>198</v>
      </c>
      <c r="F2864" s="7" t="s">
        <v>198</v>
      </c>
      <c r="G2864" s="7" t="s">
        <v>198</v>
      </c>
      <c r="H2864" s="7" t="s">
        <v>20</v>
      </c>
      <c r="I2864" s="7" t="s">
        <v>5102</v>
      </c>
      <c r="J2864" s="7" t="s">
        <v>21</v>
      </c>
      <c r="L2864" t="s">
        <v>4078</v>
      </c>
      <c r="M2864" s="7" t="s">
        <v>22</v>
      </c>
      <c r="N2864" s="7" t="s">
        <v>23</v>
      </c>
      <c r="O2864" s="7" t="s">
        <v>27</v>
      </c>
      <c r="P2864" s="7" t="s">
        <v>5101</v>
      </c>
      <c r="Q2864" s="26">
        <v>23</v>
      </c>
      <c r="R2864" s="26">
        <v>2</v>
      </c>
      <c r="S2864" s="40">
        <v>1</v>
      </c>
      <c r="T2864" s="7"/>
      <c r="U2864" s="7" t="s">
        <v>2951</v>
      </c>
      <c r="V2864" s="7" t="str">
        <f>+IF(U2864="","",IF(U2864="FINES",CONCATENATE("R",IF(OR(B2864="16",B2864="21",B2864="22",B2864="23"),"16212223",IF(OR(B2864="15",B2864="17",B2864="24",B2864="25"),"15172425",B2864))),IF(U2864="CEBAS","UNICO",IF(VALUE(B2864)&lt;=11,"AMBA","INTERIOR"))))</f>
        <v>R08</v>
      </c>
      <c r="W2864" s="38" t="str">
        <f>+IF(U2864="","-",CONCATENATE(U2864,"_",V2864))</f>
        <v>FINES_R08</v>
      </c>
      <c r="X2864" s="42">
        <v>0.93</v>
      </c>
    </row>
    <row r="2865" spans="1:24">
      <c r="A2865" s="21" t="s">
        <v>5100</v>
      </c>
      <c r="B2865" t="s">
        <v>1780</v>
      </c>
      <c r="C2865" t="s">
        <v>238</v>
      </c>
      <c r="D2865" t="s">
        <v>2887</v>
      </c>
      <c r="E2865" s="7" t="s">
        <v>198</v>
      </c>
      <c r="F2865" s="7" t="s">
        <v>198</v>
      </c>
      <c r="G2865" s="7" t="s">
        <v>198</v>
      </c>
      <c r="H2865" s="7" t="s">
        <v>20</v>
      </c>
      <c r="I2865" s="7" t="s">
        <v>5102</v>
      </c>
      <c r="J2865" s="7" t="s">
        <v>21</v>
      </c>
      <c r="L2865" t="s">
        <v>4072</v>
      </c>
      <c r="M2865" s="7" t="s">
        <v>22</v>
      </c>
      <c r="N2865" s="7" t="s">
        <v>23</v>
      </c>
      <c r="O2865" s="7" t="s">
        <v>27</v>
      </c>
      <c r="P2865" s="7" t="s">
        <v>5101</v>
      </c>
      <c r="Q2865" s="26">
        <v>58</v>
      </c>
      <c r="R2865" s="26">
        <v>3</v>
      </c>
      <c r="S2865" s="40">
        <v>1</v>
      </c>
      <c r="T2865" s="7"/>
      <c r="U2865" s="7" t="s">
        <v>2951</v>
      </c>
      <c r="V2865" s="7" t="str">
        <f>+IF(U2865="","",IF(U2865="FINES",CONCATENATE("R",IF(OR(B2865="16",B2865="21",B2865="22",B2865="23"),"16212223",IF(OR(B2865="15",B2865="17",B2865="24",B2865="25"),"15172425",B2865))),IF(U2865="CEBAS","UNICO",IF(VALUE(B2865)&lt;=11,"AMBA","INTERIOR"))))</f>
        <v>R08</v>
      </c>
      <c r="W2865" s="38" t="str">
        <f>+IF(U2865="","-",CONCATENATE(U2865,"_",V2865))</f>
        <v>FINES_R08</v>
      </c>
      <c r="X2865" s="42">
        <v>0.93200000000000005</v>
      </c>
    </row>
    <row r="2866" spans="1:24">
      <c r="A2866" s="21" t="s">
        <v>5100</v>
      </c>
      <c r="B2866" t="s">
        <v>1780</v>
      </c>
      <c r="C2866" t="s">
        <v>1778</v>
      </c>
      <c r="D2866" t="s">
        <v>1779</v>
      </c>
      <c r="E2866" s="7" t="s">
        <v>198</v>
      </c>
      <c r="F2866" s="7" t="s">
        <v>198</v>
      </c>
      <c r="G2866" s="7" t="s">
        <v>198</v>
      </c>
      <c r="H2866" s="7" t="s">
        <v>20</v>
      </c>
      <c r="I2866" s="7" t="s">
        <v>5102</v>
      </c>
      <c r="J2866" s="7" t="s">
        <v>21</v>
      </c>
      <c r="L2866" t="s">
        <v>4141</v>
      </c>
      <c r="M2866" s="7" t="s">
        <v>22</v>
      </c>
      <c r="N2866" s="7" t="s">
        <v>23</v>
      </c>
      <c r="O2866" s="7" t="s">
        <v>27</v>
      </c>
      <c r="P2866" s="7" t="s">
        <v>5101</v>
      </c>
      <c r="Q2866" s="26">
        <v>19</v>
      </c>
      <c r="R2866" s="26">
        <v>1</v>
      </c>
      <c r="S2866" s="40">
        <v>1</v>
      </c>
      <c r="T2866" s="7"/>
      <c r="U2866" s="7" t="s">
        <v>2951</v>
      </c>
      <c r="V2866" s="7" t="str">
        <f>+IF(U2866="","",IF(U2866="FINES",CONCATENATE("R",IF(OR(B2866="16",B2866="21",B2866="22",B2866="23"),"16212223",IF(OR(B2866="15",B2866="17",B2866="24",B2866="25"),"15172425",B2866))),IF(U2866="CEBAS","UNICO",IF(VALUE(B2866)&lt;=11,"AMBA","INTERIOR"))))</f>
        <v>R08</v>
      </c>
      <c r="W2866" s="38" t="str">
        <f>+IF(U2866="","-",CONCATENATE(U2866,"_",V2866))</f>
        <v>FINES_R08</v>
      </c>
      <c r="X2866" s="42">
        <v>0.94</v>
      </c>
    </row>
    <row r="2867" spans="1:24">
      <c r="A2867" s="21" t="s">
        <v>5100</v>
      </c>
      <c r="B2867" t="s">
        <v>1780</v>
      </c>
      <c r="C2867" t="s">
        <v>1778</v>
      </c>
      <c r="D2867" t="s">
        <v>1779</v>
      </c>
      <c r="E2867" s="7" t="s">
        <v>198</v>
      </c>
      <c r="F2867" s="7" t="s">
        <v>198</v>
      </c>
      <c r="G2867" s="7" t="s">
        <v>198</v>
      </c>
      <c r="H2867" s="7" t="s">
        <v>20</v>
      </c>
      <c r="I2867" s="7" t="s">
        <v>5102</v>
      </c>
      <c r="J2867" s="7" t="s">
        <v>21</v>
      </c>
      <c r="L2867" t="s">
        <v>4124</v>
      </c>
      <c r="M2867" s="7" t="s">
        <v>22</v>
      </c>
      <c r="N2867" s="7" t="s">
        <v>23</v>
      </c>
      <c r="O2867" s="7" t="s">
        <v>27</v>
      </c>
      <c r="P2867" s="7" t="s">
        <v>5101</v>
      </c>
      <c r="Q2867" s="26">
        <v>21</v>
      </c>
      <c r="R2867" s="26">
        <v>1</v>
      </c>
      <c r="S2867" s="40">
        <v>1</v>
      </c>
      <c r="T2867" s="7"/>
      <c r="U2867" s="7" t="s">
        <v>2951</v>
      </c>
      <c r="V2867" s="7" t="str">
        <f>+IF(U2867="","",IF(U2867="FINES",CONCATENATE("R",IF(OR(B2867="16",B2867="21",B2867="22",B2867="23"),"16212223",IF(OR(B2867="15",B2867="17",B2867="24",B2867="25"),"15172425",B2867))),IF(U2867="CEBAS","UNICO",IF(VALUE(B2867)&lt;=11,"AMBA","INTERIOR"))))</f>
        <v>R08</v>
      </c>
      <c r="W2867" s="38" t="str">
        <f>+IF(U2867="","-",CONCATENATE(U2867,"_",V2867))</f>
        <v>FINES_R08</v>
      </c>
      <c r="X2867" s="42">
        <v>0.94899999999999995</v>
      </c>
    </row>
    <row r="2868" spans="1:24">
      <c r="A2868" s="21" t="s">
        <v>5100</v>
      </c>
      <c r="B2868" t="s">
        <v>1780</v>
      </c>
      <c r="C2868" t="s">
        <v>238</v>
      </c>
      <c r="D2868" t="s">
        <v>2887</v>
      </c>
      <c r="E2868" s="7" t="s">
        <v>198</v>
      </c>
      <c r="F2868" s="7" t="s">
        <v>198</v>
      </c>
      <c r="G2868" s="7" t="s">
        <v>198</v>
      </c>
      <c r="H2868" s="7" t="s">
        <v>20</v>
      </c>
      <c r="I2868" s="7" t="s">
        <v>5102</v>
      </c>
      <c r="J2868" s="7" t="s">
        <v>21</v>
      </c>
      <c r="L2868" t="s">
        <v>4079</v>
      </c>
      <c r="M2868" s="7" t="s">
        <v>22</v>
      </c>
      <c r="N2868" s="7" t="s">
        <v>23</v>
      </c>
      <c r="O2868" s="7" t="s">
        <v>27</v>
      </c>
      <c r="P2868" s="7" t="s">
        <v>5101</v>
      </c>
      <c r="Q2868" s="26">
        <v>10</v>
      </c>
      <c r="R2868" s="26">
        <v>1</v>
      </c>
      <c r="S2868" s="40">
        <v>1</v>
      </c>
      <c r="T2868" s="7"/>
      <c r="U2868" s="7" t="s">
        <v>2951</v>
      </c>
      <c r="V2868" s="7" t="str">
        <f>+IF(U2868="","",IF(U2868="FINES",CONCATENATE("R",IF(OR(B2868="16",B2868="21",B2868="22",B2868="23"),"16212223",IF(OR(B2868="15",B2868="17",B2868="24",B2868="25"),"15172425",B2868))),IF(U2868="CEBAS","UNICO",IF(VALUE(B2868)&lt;=11,"AMBA","INTERIOR"))))</f>
        <v>R08</v>
      </c>
      <c r="W2868" s="38" t="str">
        <f>+IF(U2868="","-",CONCATENATE(U2868,"_",V2868))</f>
        <v>FINES_R08</v>
      </c>
      <c r="X2868" s="42">
        <v>0.95</v>
      </c>
    </row>
    <row r="2869" spans="1:24">
      <c r="A2869" s="21" t="s">
        <v>5100</v>
      </c>
      <c r="B2869" t="s">
        <v>1780</v>
      </c>
      <c r="C2869" t="s">
        <v>1778</v>
      </c>
      <c r="D2869" t="s">
        <v>1779</v>
      </c>
      <c r="E2869" s="7" t="s">
        <v>198</v>
      </c>
      <c r="F2869" s="7" t="s">
        <v>198</v>
      </c>
      <c r="G2869" s="7" t="s">
        <v>198</v>
      </c>
      <c r="H2869" s="7" t="s">
        <v>20</v>
      </c>
      <c r="I2869" s="7" t="s">
        <v>5102</v>
      </c>
      <c r="J2869" s="7" t="s">
        <v>21</v>
      </c>
      <c r="L2869" t="s">
        <v>4131</v>
      </c>
      <c r="M2869" s="7" t="s">
        <v>22</v>
      </c>
      <c r="N2869" s="7" t="s">
        <v>23</v>
      </c>
      <c r="O2869" s="7" t="s">
        <v>27</v>
      </c>
      <c r="P2869" s="7" t="s">
        <v>5101</v>
      </c>
      <c r="Q2869" s="26">
        <v>68</v>
      </c>
      <c r="R2869" s="26">
        <v>4</v>
      </c>
      <c r="S2869" s="40">
        <v>1</v>
      </c>
      <c r="T2869" s="7"/>
      <c r="U2869" s="7" t="s">
        <v>2951</v>
      </c>
      <c r="V2869" s="7" t="str">
        <f>+IF(U2869="","",IF(U2869="FINES",CONCATENATE("R",IF(OR(B2869="16",B2869="21",B2869="22",B2869="23"),"16212223",IF(OR(B2869="15",B2869="17",B2869="24",B2869="25"),"15172425",B2869))),IF(U2869="CEBAS","UNICO",IF(VALUE(B2869)&lt;=11,"AMBA","INTERIOR"))))</f>
        <v>R08</v>
      </c>
      <c r="W2869" s="38" t="str">
        <f>+IF(U2869="","-",CONCATENATE(U2869,"_",V2869))</f>
        <v>FINES_R08</v>
      </c>
      <c r="X2869" s="42">
        <v>0.95499999999999996</v>
      </c>
    </row>
    <row r="2870" spans="1:24">
      <c r="A2870" s="21" t="s">
        <v>5100</v>
      </c>
      <c r="B2870" t="s">
        <v>1780</v>
      </c>
      <c r="C2870" t="s">
        <v>1248</v>
      </c>
      <c r="D2870" t="s">
        <v>2348</v>
      </c>
      <c r="E2870" s="7" t="s">
        <v>198</v>
      </c>
      <c r="F2870" s="7" t="s">
        <v>198</v>
      </c>
      <c r="G2870" s="7" t="s">
        <v>198</v>
      </c>
      <c r="H2870" s="7" t="s">
        <v>20</v>
      </c>
      <c r="I2870" s="7" t="s">
        <v>5102</v>
      </c>
      <c r="J2870" s="7" t="s">
        <v>21</v>
      </c>
      <c r="L2870" t="s">
        <v>4156</v>
      </c>
      <c r="M2870" s="7" t="s">
        <v>22</v>
      </c>
      <c r="N2870" s="7" t="s">
        <v>23</v>
      </c>
      <c r="O2870" s="7" t="s">
        <v>27</v>
      </c>
      <c r="P2870" s="7" t="s">
        <v>5101</v>
      </c>
      <c r="Q2870" s="26">
        <v>15</v>
      </c>
      <c r="R2870" s="26">
        <v>1</v>
      </c>
      <c r="S2870" s="40">
        <v>1</v>
      </c>
      <c r="T2870" s="7"/>
      <c r="U2870" s="7" t="s">
        <v>2951</v>
      </c>
      <c r="V2870" s="7" t="str">
        <f>+IF(U2870="","",IF(U2870="FINES",CONCATENATE("R",IF(OR(B2870="16",B2870="21",B2870="22",B2870="23"),"16212223",IF(OR(B2870="15",B2870="17",B2870="24",B2870="25"),"15172425",B2870))),IF(U2870="CEBAS","UNICO",IF(VALUE(B2870)&lt;=11,"AMBA","INTERIOR"))))</f>
        <v>R08</v>
      </c>
      <c r="W2870" s="38" t="str">
        <f>+IF(U2870="","-",CONCATENATE(U2870,"_",V2870))</f>
        <v>FINES_R08</v>
      </c>
      <c r="X2870" s="42">
        <v>0.97199999999999998</v>
      </c>
    </row>
    <row r="2871" spans="1:24">
      <c r="A2871" s="21" t="s">
        <v>5100</v>
      </c>
      <c r="B2871" t="s">
        <v>1780</v>
      </c>
      <c r="C2871" t="s">
        <v>1778</v>
      </c>
      <c r="D2871" t="s">
        <v>1779</v>
      </c>
      <c r="E2871" s="7" t="s">
        <v>198</v>
      </c>
      <c r="F2871" s="7" t="s">
        <v>198</v>
      </c>
      <c r="G2871" s="7" t="s">
        <v>198</v>
      </c>
      <c r="H2871" s="7" t="s">
        <v>20</v>
      </c>
      <c r="I2871" s="7" t="s">
        <v>5102</v>
      </c>
      <c r="J2871" s="7" t="s">
        <v>21</v>
      </c>
      <c r="L2871" t="s">
        <v>4116</v>
      </c>
      <c r="M2871" s="7" t="s">
        <v>22</v>
      </c>
      <c r="N2871" s="7" t="s">
        <v>23</v>
      </c>
      <c r="O2871" s="7" t="s">
        <v>27</v>
      </c>
      <c r="P2871" s="7" t="s">
        <v>5101</v>
      </c>
      <c r="Q2871" s="26">
        <v>45</v>
      </c>
      <c r="R2871" s="26">
        <v>4</v>
      </c>
      <c r="S2871" s="40">
        <v>1</v>
      </c>
      <c r="T2871" s="7"/>
      <c r="U2871" s="7" t="s">
        <v>2951</v>
      </c>
      <c r="V2871" s="7" t="str">
        <f>+IF(U2871="","",IF(U2871="FINES",CONCATENATE("R",IF(OR(B2871="16",B2871="21",B2871="22",B2871="23"),"16212223",IF(OR(B2871="15",B2871="17",B2871="24",B2871="25"),"15172425",B2871))),IF(U2871="CEBAS","UNICO",IF(VALUE(B2871)&lt;=11,"AMBA","INTERIOR"))))</f>
        <v>R08</v>
      </c>
      <c r="W2871" s="38" t="str">
        <f>+IF(U2871="","-",CONCATENATE(U2871,"_",V2871))</f>
        <v>FINES_R08</v>
      </c>
      <c r="X2871" s="42">
        <v>0.98899999999999999</v>
      </c>
    </row>
    <row r="2872" spans="1:24">
      <c r="A2872" s="21" t="s">
        <v>5100</v>
      </c>
      <c r="B2872" t="s">
        <v>1780</v>
      </c>
      <c r="C2872" t="s">
        <v>1778</v>
      </c>
      <c r="D2872" t="s">
        <v>1779</v>
      </c>
      <c r="E2872" s="7" t="s">
        <v>198</v>
      </c>
      <c r="F2872" s="7" t="s">
        <v>198</v>
      </c>
      <c r="G2872" s="7" t="s">
        <v>198</v>
      </c>
      <c r="H2872" s="7" t="s">
        <v>20</v>
      </c>
      <c r="I2872" s="7" t="s">
        <v>5102</v>
      </c>
      <c r="J2872" s="7" t="s">
        <v>21</v>
      </c>
      <c r="L2872" t="s">
        <v>4148</v>
      </c>
      <c r="M2872" s="7" t="s">
        <v>22</v>
      </c>
      <c r="N2872" s="7" t="s">
        <v>23</v>
      </c>
      <c r="O2872" s="7" t="s">
        <v>27</v>
      </c>
      <c r="P2872" s="7" t="s">
        <v>5101</v>
      </c>
      <c r="Q2872" s="26">
        <v>18</v>
      </c>
      <c r="R2872" s="26">
        <v>1</v>
      </c>
      <c r="S2872" s="40">
        <v>1</v>
      </c>
      <c r="T2872" s="7"/>
      <c r="U2872" s="7" t="s">
        <v>2951</v>
      </c>
      <c r="V2872" s="7" t="str">
        <f>+IF(U2872="","",IF(U2872="FINES",CONCATENATE("R",IF(OR(B2872="16",B2872="21",B2872="22",B2872="23"),"16212223",IF(OR(B2872="15",B2872="17",B2872="24",B2872="25"),"15172425",B2872))),IF(U2872="CEBAS","UNICO",IF(VALUE(B2872)&lt;=11,"AMBA","INTERIOR"))))</f>
        <v>R08</v>
      </c>
      <c r="W2872" s="38" t="str">
        <f>+IF(U2872="","-",CONCATENATE(U2872,"_",V2872))</f>
        <v>FINES_R08</v>
      </c>
      <c r="X2872" s="42">
        <v>0.99399999999999999</v>
      </c>
    </row>
    <row r="2873" spans="1:24">
      <c r="A2873" s="21" t="s">
        <v>5100</v>
      </c>
      <c r="B2873" t="s">
        <v>1860</v>
      </c>
      <c r="C2873" t="s">
        <v>1858</v>
      </c>
      <c r="D2873" t="s">
        <v>1859</v>
      </c>
      <c r="E2873" s="7" t="s">
        <v>198</v>
      </c>
      <c r="F2873" s="7" t="s">
        <v>198</v>
      </c>
      <c r="G2873" s="7" t="s">
        <v>198</v>
      </c>
      <c r="H2873" s="7" t="s">
        <v>20</v>
      </c>
      <c r="I2873" s="7" t="s">
        <v>5102</v>
      </c>
      <c r="J2873" s="7" t="s">
        <v>21</v>
      </c>
      <c r="L2873" t="s">
        <v>4260</v>
      </c>
      <c r="M2873" s="7" t="s">
        <v>22</v>
      </c>
      <c r="N2873" s="7" t="s">
        <v>23</v>
      </c>
      <c r="O2873" s="7" t="s">
        <v>27</v>
      </c>
      <c r="P2873" s="7" t="s">
        <v>5101</v>
      </c>
      <c r="Q2873" s="26">
        <v>16</v>
      </c>
      <c r="R2873" s="26">
        <v>1</v>
      </c>
      <c r="S2873" s="40">
        <v>1</v>
      </c>
      <c r="T2873" s="7"/>
      <c r="U2873" s="7" t="s">
        <v>2951</v>
      </c>
      <c r="V2873" s="7" t="str">
        <f>+IF(U2873="","",IF(U2873="FINES",CONCATENATE("R",IF(OR(B2873="16",B2873="21",B2873="22",B2873="23"),"16212223",IF(OR(B2873="15",B2873="17",B2873="24",B2873="25"),"15172425",B2873))),IF(U2873="CEBAS","UNICO",IF(VALUE(B2873)&lt;=11,"AMBA","INTERIOR"))))</f>
        <v>R09</v>
      </c>
      <c r="W2873" s="38" t="str">
        <f>+IF(U2873="","-",CONCATENATE(U2873,"_",V2873))</f>
        <v>FINES_R09</v>
      </c>
      <c r="X2873" s="42">
        <v>1.6E-2</v>
      </c>
    </row>
    <row r="2874" spans="1:24">
      <c r="A2874" s="21" t="s">
        <v>5100</v>
      </c>
      <c r="B2874" t="s">
        <v>1860</v>
      </c>
      <c r="C2874" t="s">
        <v>875</v>
      </c>
      <c r="D2874" t="s">
        <v>2816</v>
      </c>
      <c r="E2874" s="7" t="s">
        <v>198</v>
      </c>
      <c r="F2874" s="7" t="s">
        <v>198</v>
      </c>
      <c r="G2874" s="7" t="s">
        <v>198</v>
      </c>
      <c r="H2874" s="7" t="s">
        <v>20</v>
      </c>
      <c r="I2874" s="7" t="s">
        <v>5102</v>
      </c>
      <c r="J2874" s="7" t="s">
        <v>21</v>
      </c>
      <c r="L2874" t="s">
        <v>4181</v>
      </c>
      <c r="M2874" s="7" t="s">
        <v>22</v>
      </c>
      <c r="N2874" s="7" t="s">
        <v>23</v>
      </c>
      <c r="O2874" s="7" t="s">
        <v>27</v>
      </c>
      <c r="P2874" s="7" t="s">
        <v>5101</v>
      </c>
      <c r="Q2874" s="26">
        <v>10</v>
      </c>
      <c r="R2874" s="26">
        <v>1</v>
      </c>
      <c r="S2874" s="40">
        <v>1</v>
      </c>
      <c r="T2874" s="7"/>
      <c r="U2874" s="7" t="s">
        <v>2951</v>
      </c>
      <c r="V2874" s="7" t="str">
        <f>+IF(U2874="","",IF(U2874="FINES",CONCATENATE("R",IF(OR(B2874="16",B2874="21",B2874="22",B2874="23"),"16212223",IF(OR(B2874="15",B2874="17",B2874="24",B2874="25"),"15172425",B2874))),IF(U2874="CEBAS","UNICO",IF(VALUE(B2874)&lt;=11,"AMBA","INTERIOR"))))</f>
        <v>R09</v>
      </c>
      <c r="W2874" s="38" t="str">
        <f>+IF(U2874="","-",CONCATENATE(U2874,"_",V2874))</f>
        <v>FINES_R09</v>
      </c>
      <c r="X2874" s="42">
        <v>3.3000000000000002E-2</v>
      </c>
    </row>
    <row r="2875" spans="1:24">
      <c r="A2875" s="21" t="s">
        <v>5100</v>
      </c>
      <c r="B2875" t="s">
        <v>1860</v>
      </c>
      <c r="C2875" t="s">
        <v>1858</v>
      </c>
      <c r="D2875" t="s">
        <v>1859</v>
      </c>
      <c r="E2875" s="7" t="s">
        <v>198</v>
      </c>
      <c r="F2875" s="7" t="s">
        <v>198</v>
      </c>
      <c r="G2875" s="7" t="s">
        <v>198</v>
      </c>
      <c r="H2875" s="7" t="s">
        <v>20</v>
      </c>
      <c r="I2875" s="7" t="s">
        <v>5102</v>
      </c>
      <c r="J2875" s="7" t="s">
        <v>21</v>
      </c>
      <c r="L2875" t="s">
        <v>4219</v>
      </c>
      <c r="M2875" s="7" t="s">
        <v>22</v>
      </c>
      <c r="N2875" s="7" t="s">
        <v>23</v>
      </c>
      <c r="O2875" s="7" t="s">
        <v>27</v>
      </c>
      <c r="P2875" s="7" t="s">
        <v>5101</v>
      </c>
      <c r="Q2875" s="26">
        <v>42</v>
      </c>
      <c r="R2875" s="26">
        <v>2</v>
      </c>
      <c r="S2875" s="40">
        <v>1</v>
      </c>
      <c r="T2875" s="7"/>
      <c r="U2875" s="7" t="s">
        <v>2951</v>
      </c>
      <c r="V2875" s="7" t="str">
        <f>+IF(U2875="","",IF(U2875="FINES",CONCATENATE("R",IF(OR(B2875="16",B2875="21",B2875="22",B2875="23"),"16212223",IF(OR(B2875="15",B2875="17",B2875="24",B2875="25"),"15172425",B2875))),IF(U2875="CEBAS","UNICO",IF(VALUE(B2875)&lt;=11,"AMBA","INTERIOR"))))</f>
        <v>R09</v>
      </c>
      <c r="W2875" s="38" t="str">
        <f>+IF(U2875="","-",CONCATENATE(U2875,"_",V2875))</f>
        <v>FINES_R09</v>
      </c>
      <c r="X2875" s="42">
        <v>4.2999999999999997E-2</v>
      </c>
    </row>
    <row r="2876" spans="1:24">
      <c r="A2876" s="21" t="s">
        <v>5100</v>
      </c>
      <c r="B2876" t="s">
        <v>1860</v>
      </c>
      <c r="C2876" t="s">
        <v>411</v>
      </c>
      <c r="D2876" t="s">
        <v>2791</v>
      </c>
      <c r="E2876" s="7" t="s">
        <v>198</v>
      </c>
      <c r="F2876" s="7" t="s">
        <v>198</v>
      </c>
      <c r="G2876" s="7" t="s">
        <v>198</v>
      </c>
      <c r="H2876" s="7" t="s">
        <v>20</v>
      </c>
      <c r="I2876" s="7" t="s">
        <v>5102</v>
      </c>
      <c r="J2876" s="7" t="s">
        <v>21</v>
      </c>
      <c r="L2876" t="s">
        <v>4268</v>
      </c>
      <c r="M2876" s="7" t="s">
        <v>22</v>
      </c>
      <c r="N2876" s="7" t="s">
        <v>23</v>
      </c>
      <c r="O2876" s="7" t="s">
        <v>27</v>
      </c>
      <c r="P2876" s="7" t="s">
        <v>5101</v>
      </c>
      <c r="Q2876" s="26">
        <v>17</v>
      </c>
      <c r="R2876" s="26">
        <v>1</v>
      </c>
      <c r="S2876" s="40">
        <v>1</v>
      </c>
      <c r="T2876" s="7"/>
      <c r="U2876" s="7" t="s">
        <v>2951</v>
      </c>
      <c r="V2876" s="7" t="str">
        <f>+IF(U2876="","",IF(U2876="FINES",CONCATENATE("R",IF(OR(B2876="16",B2876="21",B2876="22",B2876="23"),"16212223",IF(OR(B2876="15",B2876="17",B2876="24",B2876="25"),"15172425",B2876))),IF(U2876="CEBAS","UNICO",IF(VALUE(B2876)&lt;=11,"AMBA","INTERIOR"))))</f>
        <v>R09</v>
      </c>
      <c r="W2876" s="38" t="str">
        <f>+IF(U2876="","-",CONCATENATE(U2876,"_",V2876))</f>
        <v>FINES_R09</v>
      </c>
      <c r="X2876" s="42">
        <v>5.2999999999999999E-2</v>
      </c>
    </row>
    <row r="2877" spans="1:24">
      <c r="A2877" s="21" t="s">
        <v>5100</v>
      </c>
      <c r="B2877" t="s">
        <v>1860</v>
      </c>
      <c r="C2877" t="s">
        <v>875</v>
      </c>
      <c r="D2877" t="s">
        <v>2816</v>
      </c>
      <c r="E2877" s="7" t="s">
        <v>198</v>
      </c>
      <c r="F2877" s="7" t="s">
        <v>198</v>
      </c>
      <c r="G2877" s="7" t="s">
        <v>198</v>
      </c>
      <c r="H2877" s="7" t="s">
        <v>20</v>
      </c>
      <c r="I2877" s="7" t="s">
        <v>5102</v>
      </c>
      <c r="J2877" s="7" t="s">
        <v>21</v>
      </c>
      <c r="L2877" t="s">
        <v>4177</v>
      </c>
      <c r="M2877" s="7" t="s">
        <v>22</v>
      </c>
      <c r="N2877" s="7" t="s">
        <v>23</v>
      </c>
      <c r="O2877" s="7" t="s">
        <v>27</v>
      </c>
      <c r="P2877" s="7" t="s">
        <v>5101</v>
      </c>
      <c r="Q2877" s="26">
        <v>18</v>
      </c>
      <c r="R2877" s="26">
        <v>1</v>
      </c>
      <c r="S2877" s="40">
        <v>1</v>
      </c>
      <c r="T2877" s="7"/>
      <c r="U2877" s="7" t="s">
        <v>2951</v>
      </c>
      <c r="V2877" s="7" t="str">
        <f>+IF(U2877="","",IF(U2877="FINES",CONCATENATE("R",IF(OR(B2877="16",B2877="21",B2877="22",B2877="23"),"16212223",IF(OR(B2877="15",B2877="17",B2877="24",B2877="25"),"15172425",B2877))),IF(U2877="CEBAS","UNICO",IF(VALUE(B2877)&lt;=11,"AMBA","INTERIOR"))))</f>
        <v>R09</v>
      </c>
      <c r="W2877" s="38" t="str">
        <f>+IF(U2877="","-",CONCATENATE(U2877,"_",V2877))</f>
        <v>FINES_R09</v>
      </c>
      <c r="X2877" s="42">
        <v>0.06</v>
      </c>
    </row>
    <row r="2878" spans="1:24">
      <c r="A2878" s="21" t="s">
        <v>5100</v>
      </c>
      <c r="B2878" t="s">
        <v>1860</v>
      </c>
      <c r="C2878" t="s">
        <v>224</v>
      </c>
      <c r="D2878" t="s">
        <v>2837</v>
      </c>
      <c r="E2878" s="7" t="s">
        <v>198</v>
      </c>
      <c r="F2878" s="7" t="s">
        <v>198</v>
      </c>
      <c r="G2878" s="7" t="s">
        <v>198</v>
      </c>
      <c r="H2878" s="7" t="s">
        <v>20</v>
      </c>
      <c r="I2878" s="7" t="s">
        <v>5102</v>
      </c>
      <c r="J2878" s="7" t="s">
        <v>21</v>
      </c>
      <c r="L2878" t="s">
        <v>4214</v>
      </c>
      <c r="M2878" s="7" t="s">
        <v>22</v>
      </c>
      <c r="N2878" s="7" t="s">
        <v>23</v>
      </c>
      <c r="O2878" s="7" t="s">
        <v>27</v>
      </c>
      <c r="P2878" s="7" t="s">
        <v>5101</v>
      </c>
      <c r="Q2878" s="26">
        <v>16</v>
      </c>
      <c r="R2878" s="26">
        <v>1</v>
      </c>
      <c r="S2878" s="40">
        <v>1</v>
      </c>
      <c r="T2878" s="7"/>
      <c r="U2878" s="7" t="s">
        <v>2951</v>
      </c>
      <c r="V2878" s="7" t="str">
        <f>+IF(U2878="","",IF(U2878="FINES",CONCATENATE("R",IF(OR(B2878="16",B2878="21",B2878="22",B2878="23"),"16212223",IF(OR(B2878="15",B2878="17",B2878="24",B2878="25"),"15172425",B2878))),IF(U2878="CEBAS","UNICO",IF(VALUE(B2878)&lt;=11,"AMBA","INTERIOR"))))</f>
        <v>R09</v>
      </c>
      <c r="W2878" s="38" t="str">
        <f>+IF(U2878="","-",CONCATENATE(U2878,"_",V2878))</f>
        <v>FINES_R09</v>
      </c>
      <c r="X2878" s="42">
        <v>6.2E-2</v>
      </c>
    </row>
    <row r="2879" spans="1:24">
      <c r="A2879" s="21" t="s">
        <v>5100</v>
      </c>
      <c r="B2879" t="s">
        <v>1860</v>
      </c>
      <c r="C2879" t="s">
        <v>411</v>
      </c>
      <c r="D2879" t="s">
        <v>2791</v>
      </c>
      <c r="E2879" s="7" t="s">
        <v>198</v>
      </c>
      <c r="F2879" s="7" t="s">
        <v>198</v>
      </c>
      <c r="G2879" s="7" t="s">
        <v>198</v>
      </c>
      <c r="H2879" s="7" t="s">
        <v>20</v>
      </c>
      <c r="I2879" s="7" t="s">
        <v>5102</v>
      </c>
      <c r="J2879" s="7" t="s">
        <v>21</v>
      </c>
      <c r="L2879" t="s">
        <v>4274</v>
      </c>
      <c r="M2879" s="7" t="s">
        <v>22</v>
      </c>
      <c r="N2879" s="7" t="s">
        <v>23</v>
      </c>
      <c r="O2879" s="7" t="s">
        <v>27</v>
      </c>
      <c r="P2879" s="7" t="s">
        <v>5101</v>
      </c>
      <c r="Q2879" s="26">
        <v>37</v>
      </c>
      <c r="R2879" s="26">
        <v>2</v>
      </c>
      <c r="S2879" s="40">
        <v>1</v>
      </c>
      <c r="T2879" s="7"/>
      <c r="U2879" s="7" t="s">
        <v>2951</v>
      </c>
      <c r="V2879" s="7" t="str">
        <f>+IF(U2879="","",IF(U2879="FINES",CONCATENATE("R",IF(OR(B2879="16",B2879="21",B2879="22",B2879="23"),"16212223",IF(OR(B2879="15",B2879="17",B2879="24",B2879="25"),"15172425",B2879))),IF(U2879="CEBAS","UNICO",IF(VALUE(B2879)&lt;=11,"AMBA","INTERIOR"))))</f>
        <v>R09</v>
      </c>
      <c r="W2879" s="38" t="str">
        <f>+IF(U2879="","-",CONCATENATE(U2879,"_",V2879))</f>
        <v>FINES_R09</v>
      </c>
      <c r="X2879" s="42">
        <v>7.3999999999999996E-2</v>
      </c>
    </row>
    <row r="2880" spans="1:24">
      <c r="A2880" s="21" t="s">
        <v>5100</v>
      </c>
      <c r="B2880" t="s">
        <v>1860</v>
      </c>
      <c r="C2880" t="s">
        <v>1858</v>
      </c>
      <c r="D2880" t="s">
        <v>1859</v>
      </c>
      <c r="E2880" s="7" t="s">
        <v>198</v>
      </c>
      <c r="F2880" s="7" t="s">
        <v>198</v>
      </c>
      <c r="G2880" s="7" t="s">
        <v>198</v>
      </c>
      <c r="H2880" s="7" t="s">
        <v>20</v>
      </c>
      <c r="I2880" s="7" t="s">
        <v>5102</v>
      </c>
      <c r="J2880" s="7" t="s">
        <v>21</v>
      </c>
      <c r="L2880" t="s">
        <v>4226</v>
      </c>
      <c r="M2880" s="7" t="s">
        <v>22</v>
      </c>
      <c r="N2880" s="7" t="s">
        <v>23</v>
      </c>
      <c r="O2880" s="7" t="s">
        <v>27</v>
      </c>
      <c r="P2880" s="7" t="s">
        <v>5101</v>
      </c>
      <c r="Q2880" s="26">
        <v>18</v>
      </c>
      <c r="R2880" s="26">
        <v>1</v>
      </c>
      <c r="S2880" s="40">
        <v>1</v>
      </c>
      <c r="T2880" s="7"/>
      <c r="U2880" s="7" t="s">
        <v>2951</v>
      </c>
      <c r="V2880" s="7" t="str">
        <f>+IF(U2880="","",IF(U2880="FINES",CONCATENATE("R",IF(OR(B2880="16",B2880="21",B2880="22",B2880="23"),"16212223",IF(OR(B2880="15",B2880="17",B2880="24",B2880="25"),"15172425",B2880))),IF(U2880="CEBAS","UNICO",IF(VALUE(B2880)&lt;=11,"AMBA","INTERIOR"))))</f>
        <v>R09</v>
      </c>
      <c r="W2880" s="38" t="str">
        <f>+IF(U2880="","-",CONCATENATE(U2880,"_",V2880))</f>
        <v>FINES_R09</v>
      </c>
      <c r="X2880" s="42">
        <v>7.8E-2</v>
      </c>
    </row>
    <row r="2881" spans="1:24">
      <c r="A2881" s="21" t="s">
        <v>5100</v>
      </c>
      <c r="B2881" t="s">
        <v>1860</v>
      </c>
      <c r="C2881" t="s">
        <v>224</v>
      </c>
      <c r="D2881" t="s">
        <v>2837</v>
      </c>
      <c r="E2881" s="7" t="s">
        <v>198</v>
      </c>
      <c r="F2881" s="7" t="s">
        <v>198</v>
      </c>
      <c r="G2881" s="7" t="s">
        <v>198</v>
      </c>
      <c r="H2881" s="7" t="s">
        <v>20</v>
      </c>
      <c r="I2881" s="7" t="s">
        <v>5102</v>
      </c>
      <c r="J2881" s="7" t="s">
        <v>21</v>
      </c>
      <c r="L2881" t="s">
        <v>4209</v>
      </c>
      <c r="M2881" s="7" t="s">
        <v>22</v>
      </c>
      <c r="N2881" s="7" t="s">
        <v>23</v>
      </c>
      <c r="O2881" s="7" t="s">
        <v>27</v>
      </c>
      <c r="P2881" s="7" t="s">
        <v>5101</v>
      </c>
      <c r="Q2881" s="26">
        <v>24</v>
      </c>
      <c r="R2881" s="26">
        <v>1</v>
      </c>
      <c r="S2881" s="40">
        <v>1</v>
      </c>
      <c r="T2881" s="7"/>
      <c r="U2881" s="7" t="s">
        <v>2951</v>
      </c>
      <c r="V2881" s="7" t="str">
        <f>+IF(U2881="","",IF(U2881="FINES",CONCATENATE("R",IF(OR(B2881="16",B2881="21",B2881="22",B2881="23"),"16212223",IF(OR(B2881="15",B2881="17",B2881="24",B2881="25"),"15172425",B2881))),IF(U2881="CEBAS","UNICO",IF(VALUE(B2881)&lt;=11,"AMBA","INTERIOR"))))</f>
        <v>R09</v>
      </c>
      <c r="W2881" s="38" t="str">
        <f>+IF(U2881="","-",CONCATENATE(U2881,"_",V2881))</f>
        <v>FINES_R09</v>
      </c>
      <c r="X2881" s="42">
        <v>8.2000000000000003E-2</v>
      </c>
    </row>
    <row r="2882" spans="1:24">
      <c r="A2882" s="21" t="s">
        <v>5100</v>
      </c>
      <c r="B2882" t="s">
        <v>1860</v>
      </c>
      <c r="C2882" t="s">
        <v>224</v>
      </c>
      <c r="D2882" t="s">
        <v>2837</v>
      </c>
      <c r="E2882" s="7" t="s">
        <v>198</v>
      </c>
      <c r="F2882" s="7" t="s">
        <v>198</v>
      </c>
      <c r="G2882" s="7" t="s">
        <v>198</v>
      </c>
      <c r="H2882" s="7" t="s">
        <v>20</v>
      </c>
      <c r="I2882" s="7" t="s">
        <v>5102</v>
      </c>
      <c r="J2882" s="7" t="s">
        <v>21</v>
      </c>
      <c r="L2882" t="s">
        <v>4207</v>
      </c>
      <c r="M2882" s="7" t="s">
        <v>22</v>
      </c>
      <c r="N2882" s="7" t="s">
        <v>23</v>
      </c>
      <c r="O2882" s="7" t="s">
        <v>27</v>
      </c>
      <c r="P2882" s="7" t="s">
        <v>5101</v>
      </c>
      <c r="Q2882" s="26">
        <v>40</v>
      </c>
      <c r="R2882" s="26">
        <v>1</v>
      </c>
      <c r="S2882" s="40">
        <v>1</v>
      </c>
      <c r="T2882" s="7"/>
      <c r="U2882" s="7" t="s">
        <v>2951</v>
      </c>
      <c r="V2882" s="7" t="str">
        <f>+IF(U2882="","",IF(U2882="FINES",CONCATENATE("R",IF(OR(B2882="16",B2882="21",B2882="22",B2882="23"),"16212223",IF(OR(B2882="15",B2882="17",B2882="24",B2882="25"),"15172425",B2882))),IF(U2882="CEBAS","UNICO",IF(VALUE(B2882)&lt;=11,"AMBA","INTERIOR"))))</f>
        <v>R09</v>
      </c>
      <c r="W2882" s="38" t="str">
        <f>+IF(U2882="","-",CONCATENATE(U2882,"_",V2882))</f>
        <v>FINES_R09</v>
      </c>
      <c r="X2882" s="42">
        <v>8.3000000000000004E-2</v>
      </c>
    </row>
    <row r="2883" spans="1:24">
      <c r="A2883" s="21" t="s">
        <v>5100</v>
      </c>
      <c r="B2883" t="s">
        <v>1860</v>
      </c>
      <c r="C2883" t="s">
        <v>875</v>
      </c>
      <c r="D2883" t="s">
        <v>2816</v>
      </c>
      <c r="E2883" s="7" t="s">
        <v>198</v>
      </c>
      <c r="F2883" s="7" t="s">
        <v>198</v>
      </c>
      <c r="G2883" s="7" t="s">
        <v>198</v>
      </c>
      <c r="H2883" s="7" t="s">
        <v>20</v>
      </c>
      <c r="I2883" s="7" t="s">
        <v>5102</v>
      </c>
      <c r="J2883" s="7" t="s">
        <v>21</v>
      </c>
      <c r="L2883" t="s">
        <v>4183</v>
      </c>
      <c r="M2883" s="7" t="s">
        <v>22</v>
      </c>
      <c r="N2883" s="7" t="s">
        <v>23</v>
      </c>
      <c r="O2883" s="7" t="s">
        <v>27</v>
      </c>
      <c r="P2883" s="7" t="s">
        <v>5101</v>
      </c>
      <c r="Q2883" s="26">
        <v>31</v>
      </c>
      <c r="R2883" s="26">
        <v>1</v>
      </c>
      <c r="S2883" s="40">
        <v>1</v>
      </c>
      <c r="T2883" s="7"/>
      <c r="U2883" s="7" t="s">
        <v>2951</v>
      </c>
      <c r="V2883" s="7" t="str">
        <f>+IF(U2883="","",IF(U2883="FINES",CONCATENATE("R",IF(OR(B2883="16",B2883="21",B2883="22",B2883="23"),"16212223",IF(OR(B2883="15",B2883="17",B2883="24",B2883="25"),"15172425",B2883))),IF(U2883="CEBAS","UNICO",IF(VALUE(B2883)&lt;=11,"AMBA","INTERIOR"))))</f>
        <v>R09</v>
      </c>
      <c r="W2883" s="38" t="str">
        <f>+IF(U2883="","-",CONCATENATE(U2883,"_",V2883))</f>
        <v>FINES_R09</v>
      </c>
      <c r="X2883" s="42">
        <v>9.4E-2</v>
      </c>
    </row>
    <row r="2884" spans="1:24">
      <c r="A2884" s="21" t="s">
        <v>5100</v>
      </c>
      <c r="B2884" t="s">
        <v>1860</v>
      </c>
      <c r="C2884" t="s">
        <v>224</v>
      </c>
      <c r="D2884" t="s">
        <v>2837</v>
      </c>
      <c r="E2884" s="7" t="s">
        <v>198</v>
      </c>
      <c r="F2884" s="7" t="s">
        <v>198</v>
      </c>
      <c r="G2884" s="7" t="s">
        <v>198</v>
      </c>
      <c r="H2884" s="7" t="s">
        <v>20</v>
      </c>
      <c r="I2884" s="7" t="s">
        <v>5102</v>
      </c>
      <c r="J2884" s="7" t="s">
        <v>21</v>
      </c>
      <c r="L2884" t="s">
        <v>4204</v>
      </c>
      <c r="M2884" s="7" t="s">
        <v>22</v>
      </c>
      <c r="N2884" s="7" t="s">
        <v>23</v>
      </c>
      <c r="O2884" s="7" t="s">
        <v>27</v>
      </c>
      <c r="P2884" s="7" t="s">
        <v>5101</v>
      </c>
      <c r="Q2884" s="26">
        <v>28</v>
      </c>
      <c r="R2884" s="26">
        <v>1</v>
      </c>
      <c r="S2884" s="40">
        <v>1</v>
      </c>
      <c r="T2884" s="7"/>
      <c r="U2884" s="7" t="s">
        <v>2951</v>
      </c>
      <c r="V2884" s="7" t="str">
        <f>+IF(U2884="","",IF(U2884="FINES",CONCATENATE("R",IF(OR(B2884="16",B2884="21",B2884="22",B2884="23"),"16212223",IF(OR(B2884="15",B2884="17",B2884="24",B2884="25"),"15172425",B2884))),IF(U2884="CEBAS","UNICO",IF(VALUE(B2884)&lt;=11,"AMBA","INTERIOR"))))</f>
        <v>R09</v>
      </c>
      <c r="W2884" s="38" t="str">
        <f>+IF(U2884="","-",CONCATENATE(U2884,"_",V2884))</f>
        <v>FINES_R09</v>
      </c>
      <c r="X2884" s="42">
        <v>9.6000000000000002E-2</v>
      </c>
    </row>
    <row r="2885" spans="1:24">
      <c r="A2885" s="21" t="s">
        <v>5100</v>
      </c>
      <c r="B2885" t="s">
        <v>1860</v>
      </c>
      <c r="C2885" t="s">
        <v>1858</v>
      </c>
      <c r="D2885" t="s">
        <v>1859</v>
      </c>
      <c r="E2885" s="7" t="s">
        <v>198</v>
      </c>
      <c r="F2885" s="7" t="s">
        <v>198</v>
      </c>
      <c r="G2885" s="7" t="s">
        <v>198</v>
      </c>
      <c r="H2885" s="7" t="s">
        <v>20</v>
      </c>
      <c r="I2885" s="7" t="s">
        <v>5102</v>
      </c>
      <c r="J2885" s="7" t="s">
        <v>21</v>
      </c>
      <c r="L2885" t="s">
        <v>4245</v>
      </c>
      <c r="M2885" s="7" t="s">
        <v>22</v>
      </c>
      <c r="N2885" s="7" t="s">
        <v>23</v>
      </c>
      <c r="O2885" s="7" t="s">
        <v>27</v>
      </c>
      <c r="P2885" s="7" t="s">
        <v>5101</v>
      </c>
      <c r="Q2885" s="26">
        <v>112</v>
      </c>
      <c r="R2885" s="26">
        <v>4</v>
      </c>
      <c r="S2885" s="40">
        <v>1</v>
      </c>
      <c r="T2885" s="7"/>
      <c r="U2885" s="7" t="s">
        <v>2951</v>
      </c>
      <c r="V2885" s="7" t="str">
        <f>+IF(U2885="","",IF(U2885="FINES",CONCATENATE("R",IF(OR(B2885="16",B2885="21",B2885="22",B2885="23"),"16212223",IF(OR(B2885="15",B2885="17",B2885="24",B2885="25"),"15172425",B2885))),IF(U2885="CEBAS","UNICO",IF(VALUE(B2885)&lt;=11,"AMBA","INTERIOR"))))</f>
        <v>R09</v>
      </c>
      <c r="W2885" s="38" t="str">
        <f>+IF(U2885="","-",CONCATENATE(U2885,"_",V2885))</f>
        <v>FINES_R09</v>
      </c>
      <c r="X2885" s="42">
        <v>0.10299999999999999</v>
      </c>
    </row>
    <row r="2886" spans="1:24">
      <c r="A2886" s="21" t="s">
        <v>5100</v>
      </c>
      <c r="B2886" t="s">
        <v>1860</v>
      </c>
      <c r="C2886" t="s">
        <v>1858</v>
      </c>
      <c r="D2886" t="s">
        <v>1859</v>
      </c>
      <c r="E2886" s="7" t="s">
        <v>198</v>
      </c>
      <c r="F2886" s="7" t="s">
        <v>198</v>
      </c>
      <c r="G2886" s="7" t="s">
        <v>198</v>
      </c>
      <c r="H2886" s="7" t="s">
        <v>20</v>
      </c>
      <c r="I2886" s="7" t="s">
        <v>5102</v>
      </c>
      <c r="J2886" s="7" t="s">
        <v>21</v>
      </c>
      <c r="L2886" t="s">
        <v>4257</v>
      </c>
      <c r="M2886" s="7" t="s">
        <v>22</v>
      </c>
      <c r="N2886" s="7" t="s">
        <v>23</v>
      </c>
      <c r="O2886" s="7" t="s">
        <v>27</v>
      </c>
      <c r="P2886" s="7" t="s">
        <v>5101</v>
      </c>
      <c r="Q2886" s="26">
        <v>62</v>
      </c>
      <c r="R2886" s="26">
        <v>2</v>
      </c>
      <c r="S2886" s="40">
        <v>1</v>
      </c>
      <c r="T2886" s="7"/>
      <c r="U2886" s="7" t="s">
        <v>2951</v>
      </c>
      <c r="V2886" s="7" t="str">
        <f>+IF(U2886="","",IF(U2886="FINES",CONCATENATE("R",IF(OR(B2886="16",B2886="21",B2886="22",B2886="23"),"16212223",IF(OR(B2886="15",B2886="17",B2886="24",B2886="25"),"15172425",B2886))),IF(U2886="CEBAS","UNICO",IF(VALUE(B2886)&lt;=11,"AMBA","INTERIOR"))))</f>
        <v>R09</v>
      </c>
      <c r="W2886" s="38" t="str">
        <f>+IF(U2886="","-",CONCATENATE(U2886,"_",V2886))</f>
        <v>FINES_R09</v>
      </c>
      <c r="X2886" s="42">
        <v>0.13200000000000001</v>
      </c>
    </row>
    <row r="2887" spans="1:24">
      <c r="A2887" s="21" t="s">
        <v>5100</v>
      </c>
      <c r="B2887" t="s">
        <v>1860</v>
      </c>
      <c r="C2887" t="s">
        <v>1858</v>
      </c>
      <c r="D2887" t="s">
        <v>1859</v>
      </c>
      <c r="E2887" s="7" t="s">
        <v>198</v>
      </c>
      <c r="F2887" s="7" t="s">
        <v>198</v>
      </c>
      <c r="G2887" s="7" t="s">
        <v>198</v>
      </c>
      <c r="H2887" s="7" t="s">
        <v>20</v>
      </c>
      <c r="I2887" s="7" t="s">
        <v>5102</v>
      </c>
      <c r="J2887" s="7" t="s">
        <v>21</v>
      </c>
      <c r="L2887" t="s">
        <v>4250</v>
      </c>
      <c r="M2887" s="7" t="s">
        <v>22</v>
      </c>
      <c r="N2887" s="7" t="s">
        <v>23</v>
      </c>
      <c r="O2887" s="7" t="s">
        <v>27</v>
      </c>
      <c r="P2887" s="7" t="s">
        <v>5101</v>
      </c>
      <c r="Q2887" s="26">
        <v>52</v>
      </c>
      <c r="R2887" s="26">
        <v>1</v>
      </c>
      <c r="S2887" s="40">
        <v>1</v>
      </c>
      <c r="T2887" s="7"/>
      <c r="U2887" s="7" t="s">
        <v>2951</v>
      </c>
      <c r="V2887" s="7" t="str">
        <f>+IF(U2887="","",IF(U2887="FINES",CONCATENATE("R",IF(OR(B2887="16",B2887="21",B2887="22",B2887="23"),"16212223",IF(OR(B2887="15",B2887="17",B2887="24",B2887="25"),"15172425",B2887))),IF(U2887="CEBAS","UNICO",IF(VALUE(B2887)&lt;=11,"AMBA","INTERIOR"))))</f>
        <v>R09</v>
      </c>
      <c r="W2887" s="38" t="str">
        <f>+IF(U2887="","-",CONCATENATE(U2887,"_",V2887))</f>
        <v>FINES_R09</v>
      </c>
      <c r="X2887" s="42">
        <v>0.13300000000000001</v>
      </c>
    </row>
    <row r="2888" spans="1:24">
      <c r="A2888" s="21" t="s">
        <v>5100</v>
      </c>
      <c r="B2888" t="s">
        <v>1860</v>
      </c>
      <c r="C2888" t="s">
        <v>411</v>
      </c>
      <c r="D2888" t="s">
        <v>2791</v>
      </c>
      <c r="E2888" s="7" t="s">
        <v>198</v>
      </c>
      <c r="F2888" s="7" t="s">
        <v>198</v>
      </c>
      <c r="G2888" s="7" t="s">
        <v>198</v>
      </c>
      <c r="H2888" s="7" t="s">
        <v>20</v>
      </c>
      <c r="I2888" s="7" t="s">
        <v>5102</v>
      </c>
      <c r="J2888" s="7" t="s">
        <v>21</v>
      </c>
      <c r="L2888" t="s">
        <v>4270</v>
      </c>
      <c r="M2888" s="7" t="s">
        <v>22</v>
      </c>
      <c r="N2888" s="7" t="s">
        <v>23</v>
      </c>
      <c r="O2888" s="7" t="s">
        <v>27</v>
      </c>
      <c r="P2888" s="7" t="s">
        <v>5101</v>
      </c>
      <c r="Q2888" s="26">
        <v>17</v>
      </c>
      <c r="R2888" s="26">
        <v>1</v>
      </c>
      <c r="S2888" s="40">
        <v>1</v>
      </c>
      <c r="T2888" s="7"/>
      <c r="U2888" s="7" t="s">
        <v>2951</v>
      </c>
      <c r="V2888" s="7" t="str">
        <f>+IF(U2888="","",IF(U2888="FINES",CONCATENATE("R",IF(OR(B2888="16",B2888="21",B2888="22",B2888="23"),"16212223",IF(OR(B2888="15",B2888="17",B2888="24",B2888="25"),"15172425",B2888))),IF(U2888="CEBAS","UNICO",IF(VALUE(B2888)&lt;=11,"AMBA","INTERIOR"))))</f>
        <v>R09</v>
      </c>
      <c r="W2888" s="38" t="str">
        <f>+IF(U2888="","-",CONCATENATE(U2888,"_",V2888))</f>
        <v>FINES_R09</v>
      </c>
      <c r="X2888" s="42">
        <v>0.16500000000000001</v>
      </c>
    </row>
    <row r="2889" spans="1:24">
      <c r="A2889" s="21" t="s">
        <v>5100</v>
      </c>
      <c r="B2889" t="s">
        <v>1860</v>
      </c>
      <c r="C2889" t="s">
        <v>875</v>
      </c>
      <c r="D2889" t="s">
        <v>2816</v>
      </c>
      <c r="E2889" s="7" t="s">
        <v>198</v>
      </c>
      <c r="F2889" s="7" t="s">
        <v>198</v>
      </c>
      <c r="G2889" s="7" t="s">
        <v>198</v>
      </c>
      <c r="H2889" s="7" t="s">
        <v>20</v>
      </c>
      <c r="I2889" s="7" t="s">
        <v>5102</v>
      </c>
      <c r="J2889" s="7" t="s">
        <v>21</v>
      </c>
      <c r="L2889" t="s">
        <v>4188</v>
      </c>
      <c r="M2889" s="7" t="s">
        <v>22</v>
      </c>
      <c r="N2889" s="7" t="s">
        <v>23</v>
      </c>
      <c r="O2889" s="7" t="s">
        <v>27</v>
      </c>
      <c r="P2889" s="7" t="s">
        <v>5101</v>
      </c>
      <c r="Q2889" s="26">
        <v>29</v>
      </c>
      <c r="R2889" s="26">
        <v>2</v>
      </c>
      <c r="S2889" s="40">
        <v>1</v>
      </c>
      <c r="T2889" s="7"/>
      <c r="U2889" s="7" t="s">
        <v>2951</v>
      </c>
      <c r="V2889" s="7" t="str">
        <f>+IF(U2889="","",IF(U2889="FINES",CONCATENATE("R",IF(OR(B2889="16",B2889="21",B2889="22",B2889="23"),"16212223",IF(OR(B2889="15",B2889="17",B2889="24",B2889="25"),"15172425",B2889))),IF(U2889="CEBAS","UNICO",IF(VALUE(B2889)&lt;=11,"AMBA","INTERIOR"))))</f>
        <v>R09</v>
      </c>
      <c r="W2889" s="38" t="str">
        <f>+IF(U2889="","-",CONCATENATE(U2889,"_",V2889))</f>
        <v>FINES_R09</v>
      </c>
      <c r="X2889" s="42">
        <v>0.16700000000000001</v>
      </c>
    </row>
    <row r="2890" spans="1:24">
      <c r="A2890" s="21" t="s">
        <v>5100</v>
      </c>
      <c r="B2890" t="s">
        <v>1860</v>
      </c>
      <c r="C2890" t="s">
        <v>1858</v>
      </c>
      <c r="D2890" t="s">
        <v>1859</v>
      </c>
      <c r="E2890" s="7" t="s">
        <v>198</v>
      </c>
      <c r="F2890" s="7" t="s">
        <v>198</v>
      </c>
      <c r="G2890" s="7" t="s">
        <v>198</v>
      </c>
      <c r="H2890" s="7" t="s">
        <v>20</v>
      </c>
      <c r="I2890" s="7" t="s">
        <v>5102</v>
      </c>
      <c r="J2890" s="7" t="s">
        <v>21</v>
      </c>
      <c r="L2890" t="s">
        <v>4265</v>
      </c>
      <c r="M2890" s="7" t="s">
        <v>22</v>
      </c>
      <c r="N2890" s="7" t="s">
        <v>23</v>
      </c>
      <c r="O2890" s="7" t="s">
        <v>27</v>
      </c>
      <c r="P2890" s="7" t="s">
        <v>5101</v>
      </c>
      <c r="Q2890" s="26">
        <v>23</v>
      </c>
      <c r="R2890" s="26">
        <v>1</v>
      </c>
      <c r="S2890" s="40">
        <v>1</v>
      </c>
      <c r="T2890" s="7"/>
      <c r="U2890" s="7" t="s">
        <v>2951</v>
      </c>
      <c r="V2890" s="7" t="str">
        <f>+IF(U2890="","",IF(U2890="FINES",CONCATENATE("R",IF(OR(B2890="16",B2890="21",B2890="22",B2890="23"),"16212223",IF(OR(B2890="15",B2890="17",B2890="24",B2890="25"),"15172425",B2890))),IF(U2890="CEBAS","UNICO",IF(VALUE(B2890)&lt;=11,"AMBA","INTERIOR"))))</f>
        <v>R09</v>
      </c>
      <c r="W2890" s="38" t="str">
        <f>+IF(U2890="","-",CONCATENATE(U2890,"_",V2890))</f>
        <v>FINES_R09</v>
      </c>
      <c r="X2890" s="42">
        <v>0.19400000000000001</v>
      </c>
    </row>
    <row r="2891" spans="1:24">
      <c r="A2891" s="21" t="s">
        <v>5100</v>
      </c>
      <c r="B2891" t="s">
        <v>1860</v>
      </c>
      <c r="C2891" t="s">
        <v>875</v>
      </c>
      <c r="D2891" t="s">
        <v>2816</v>
      </c>
      <c r="E2891" s="7" t="s">
        <v>198</v>
      </c>
      <c r="F2891" s="7" t="s">
        <v>198</v>
      </c>
      <c r="G2891" s="7" t="s">
        <v>198</v>
      </c>
      <c r="H2891" s="7" t="s">
        <v>20</v>
      </c>
      <c r="I2891" s="7" t="s">
        <v>5102</v>
      </c>
      <c r="J2891" s="7" t="s">
        <v>21</v>
      </c>
      <c r="L2891" t="s">
        <v>4189</v>
      </c>
      <c r="M2891" s="7" t="s">
        <v>22</v>
      </c>
      <c r="N2891" s="7" t="s">
        <v>23</v>
      </c>
      <c r="O2891" s="7" t="s">
        <v>27</v>
      </c>
      <c r="P2891" s="7" t="s">
        <v>5101</v>
      </c>
      <c r="Q2891" s="26">
        <v>0</v>
      </c>
      <c r="R2891" s="26">
        <v>1</v>
      </c>
      <c r="S2891" s="40">
        <v>1</v>
      </c>
      <c r="T2891" s="7"/>
      <c r="U2891" s="7" t="s">
        <v>2951</v>
      </c>
      <c r="V2891" s="7" t="str">
        <f>+IF(U2891="","",IF(U2891="FINES",CONCATENATE("R",IF(OR(B2891="16",B2891="21",B2891="22",B2891="23"),"16212223",IF(OR(B2891="15",B2891="17",B2891="24",B2891="25"),"15172425",B2891))),IF(U2891="CEBAS","UNICO",IF(VALUE(B2891)&lt;=11,"AMBA","INTERIOR"))))</f>
        <v>R09</v>
      </c>
      <c r="W2891" s="38" t="str">
        <f>+IF(U2891="","-",CONCATENATE(U2891,"_",V2891))</f>
        <v>FINES_R09</v>
      </c>
      <c r="X2891" s="42">
        <v>0.20699999999999999</v>
      </c>
    </row>
    <row r="2892" spans="1:24">
      <c r="A2892" s="21" t="s">
        <v>5100</v>
      </c>
      <c r="B2892" t="s">
        <v>1860</v>
      </c>
      <c r="C2892" t="s">
        <v>875</v>
      </c>
      <c r="D2892" t="s">
        <v>2816</v>
      </c>
      <c r="E2892" s="7" t="s">
        <v>198</v>
      </c>
      <c r="F2892" s="7" t="s">
        <v>198</v>
      </c>
      <c r="G2892" s="7" t="s">
        <v>198</v>
      </c>
      <c r="H2892" s="7" t="s">
        <v>20</v>
      </c>
      <c r="I2892" s="7" t="s">
        <v>5102</v>
      </c>
      <c r="J2892" s="7" t="s">
        <v>21</v>
      </c>
      <c r="L2892" t="s">
        <v>4196</v>
      </c>
      <c r="M2892" s="7" t="s">
        <v>22</v>
      </c>
      <c r="N2892" s="7" t="s">
        <v>23</v>
      </c>
      <c r="O2892" s="7" t="s">
        <v>27</v>
      </c>
      <c r="P2892" s="7" t="s">
        <v>5101</v>
      </c>
      <c r="Q2892" s="26">
        <v>0</v>
      </c>
      <c r="R2892" s="26">
        <v>1</v>
      </c>
      <c r="S2892" s="40">
        <v>1</v>
      </c>
      <c r="T2892" s="7"/>
      <c r="U2892" s="7" t="s">
        <v>2951</v>
      </c>
      <c r="V2892" s="7" t="str">
        <f>+IF(U2892="","",IF(U2892="FINES",CONCATENATE("R",IF(OR(B2892="16",B2892="21",B2892="22",B2892="23"),"16212223",IF(OR(B2892="15",B2892="17",B2892="24",B2892="25"),"15172425",B2892))),IF(U2892="CEBAS","UNICO",IF(VALUE(B2892)&lt;=11,"AMBA","INTERIOR"))))</f>
        <v>R09</v>
      </c>
      <c r="W2892" s="38" t="str">
        <f>+IF(U2892="","-",CONCATENATE(U2892,"_",V2892))</f>
        <v>FINES_R09</v>
      </c>
      <c r="X2892" s="42">
        <v>0.216</v>
      </c>
    </row>
    <row r="2893" spans="1:24">
      <c r="A2893" s="21" t="s">
        <v>5100</v>
      </c>
      <c r="B2893" t="s">
        <v>1860</v>
      </c>
      <c r="C2893" t="s">
        <v>875</v>
      </c>
      <c r="D2893" t="s">
        <v>2816</v>
      </c>
      <c r="E2893" s="7" t="s">
        <v>198</v>
      </c>
      <c r="F2893" s="7" t="s">
        <v>198</v>
      </c>
      <c r="G2893" s="7" t="s">
        <v>198</v>
      </c>
      <c r="H2893" s="7" t="s">
        <v>20</v>
      </c>
      <c r="I2893" s="7" t="s">
        <v>5102</v>
      </c>
      <c r="J2893" s="7" t="s">
        <v>21</v>
      </c>
      <c r="L2893" t="s">
        <v>4182</v>
      </c>
      <c r="M2893" s="7" t="s">
        <v>22</v>
      </c>
      <c r="N2893" s="7" t="s">
        <v>23</v>
      </c>
      <c r="O2893" s="7" t="s">
        <v>27</v>
      </c>
      <c r="P2893" s="7" t="s">
        <v>5101</v>
      </c>
      <c r="Q2893" s="26">
        <v>21</v>
      </c>
      <c r="R2893" s="26">
        <v>1</v>
      </c>
      <c r="S2893" s="40">
        <v>1</v>
      </c>
      <c r="T2893" s="7"/>
      <c r="U2893" s="7" t="s">
        <v>2951</v>
      </c>
      <c r="V2893" s="7" t="str">
        <f>+IF(U2893="","",IF(U2893="FINES",CONCATENATE("R",IF(OR(B2893="16",B2893="21",B2893="22",B2893="23"),"16212223",IF(OR(B2893="15",B2893="17",B2893="24",B2893="25"),"15172425",B2893))),IF(U2893="CEBAS","UNICO",IF(VALUE(B2893)&lt;=11,"AMBA","INTERIOR"))))</f>
        <v>R09</v>
      </c>
      <c r="W2893" s="38" t="str">
        <f>+IF(U2893="","-",CONCATENATE(U2893,"_",V2893))</f>
        <v>FINES_R09</v>
      </c>
      <c r="X2893" s="42">
        <v>0.222</v>
      </c>
    </row>
    <row r="2894" spans="1:24">
      <c r="A2894" s="21" t="s">
        <v>5100</v>
      </c>
      <c r="B2894" t="s">
        <v>1860</v>
      </c>
      <c r="C2894" t="s">
        <v>1858</v>
      </c>
      <c r="D2894" t="s">
        <v>1859</v>
      </c>
      <c r="E2894" s="7" t="s">
        <v>198</v>
      </c>
      <c r="F2894" s="7" t="s">
        <v>198</v>
      </c>
      <c r="G2894" s="7" t="s">
        <v>198</v>
      </c>
      <c r="H2894" s="7" t="s">
        <v>20</v>
      </c>
      <c r="I2894" s="7" t="s">
        <v>5102</v>
      </c>
      <c r="J2894" s="7" t="s">
        <v>21</v>
      </c>
      <c r="L2894" t="s">
        <v>4262</v>
      </c>
      <c r="M2894" s="7" t="s">
        <v>22</v>
      </c>
      <c r="N2894" s="7" t="s">
        <v>23</v>
      </c>
      <c r="O2894" s="7" t="s">
        <v>27</v>
      </c>
      <c r="P2894" s="7" t="s">
        <v>5101</v>
      </c>
      <c r="Q2894" s="26">
        <v>84</v>
      </c>
      <c r="R2894" s="26">
        <v>3</v>
      </c>
      <c r="S2894" s="40">
        <v>1</v>
      </c>
      <c r="T2894" s="7"/>
      <c r="U2894" s="7" t="s">
        <v>2951</v>
      </c>
      <c r="V2894" s="7" t="str">
        <f>+IF(U2894="","",IF(U2894="FINES",CONCATENATE("R",IF(OR(B2894="16",B2894="21",B2894="22",B2894="23"),"16212223",IF(OR(B2894="15",B2894="17",B2894="24",B2894="25"),"15172425",B2894))),IF(U2894="CEBAS","UNICO",IF(VALUE(B2894)&lt;=11,"AMBA","INTERIOR"))))</f>
        <v>R09</v>
      </c>
      <c r="W2894" s="38" t="str">
        <f>+IF(U2894="","-",CONCATENATE(U2894,"_",V2894))</f>
        <v>FINES_R09</v>
      </c>
      <c r="X2894" s="42">
        <v>0.23400000000000001</v>
      </c>
    </row>
    <row r="2895" spans="1:24">
      <c r="A2895" s="21" t="s">
        <v>5100</v>
      </c>
      <c r="B2895" t="s">
        <v>1860</v>
      </c>
      <c r="C2895" t="s">
        <v>411</v>
      </c>
      <c r="D2895" t="s">
        <v>2791</v>
      </c>
      <c r="E2895" s="7" t="s">
        <v>198</v>
      </c>
      <c r="F2895" s="7" t="s">
        <v>198</v>
      </c>
      <c r="G2895" s="7" t="s">
        <v>198</v>
      </c>
      <c r="H2895" s="7" t="s">
        <v>20</v>
      </c>
      <c r="I2895" s="7" t="s">
        <v>5102</v>
      </c>
      <c r="J2895" s="7" t="s">
        <v>21</v>
      </c>
      <c r="L2895" t="s">
        <v>4271</v>
      </c>
      <c r="M2895" s="7" t="s">
        <v>22</v>
      </c>
      <c r="N2895" s="7" t="s">
        <v>23</v>
      </c>
      <c r="O2895" s="7" t="s">
        <v>27</v>
      </c>
      <c r="P2895" s="7" t="s">
        <v>5101</v>
      </c>
      <c r="Q2895" s="26">
        <v>39</v>
      </c>
      <c r="R2895" s="26">
        <v>2</v>
      </c>
      <c r="S2895" s="40">
        <v>1</v>
      </c>
      <c r="T2895" s="7"/>
      <c r="U2895" s="7" t="s">
        <v>2951</v>
      </c>
      <c r="V2895" s="7" t="str">
        <f>+IF(U2895="","",IF(U2895="FINES",CONCATENATE("R",IF(OR(B2895="16",B2895="21",B2895="22",B2895="23"),"16212223",IF(OR(B2895="15",B2895="17",B2895="24",B2895="25"),"15172425",B2895))),IF(U2895="CEBAS","UNICO",IF(VALUE(B2895)&lt;=11,"AMBA","INTERIOR"))))</f>
        <v>R09</v>
      </c>
      <c r="W2895" s="38" t="str">
        <f>+IF(U2895="","-",CONCATENATE(U2895,"_",V2895))</f>
        <v>FINES_R09</v>
      </c>
      <c r="X2895" s="42">
        <v>0.251</v>
      </c>
    </row>
    <row r="2896" spans="1:24">
      <c r="A2896" s="21" t="s">
        <v>5100</v>
      </c>
      <c r="B2896" t="s">
        <v>1860</v>
      </c>
      <c r="C2896" t="s">
        <v>875</v>
      </c>
      <c r="D2896" t="s">
        <v>2816</v>
      </c>
      <c r="E2896" s="7" t="s">
        <v>198</v>
      </c>
      <c r="F2896" s="7" t="s">
        <v>198</v>
      </c>
      <c r="G2896" s="7" t="s">
        <v>198</v>
      </c>
      <c r="H2896" s="7" t="s">
        <v>20</v>
      </c>
      <c r="I2896" s="7" t="s">
        <v>5102</v>
      </c>
      <c r="J2896" s="7" t="s">
        <v>21</v>
      </c>
      <c r="L2896" t="s">
        <v>4186</v>
      </c>
      <c r="M2896" s="7" t="s">
        <v>22</v>
      </c>
      <c r="N2896" s="7" t="s">
        <v>23</v>
      </c>
      <c r="O2896" s="7" t="s">
        <v>27</v>
      </c>
      <c r="P2896" s="7" t="s">
        <v>5101</v>
      </c>
      <c r="Q2896" s="26">
        <v>16</v>
      </c>
      <c r="R2896" s="26">
        <v>1</v>
      </c>
      <c r="S2896" s="40">
        <v>1</v>
      </c>
      <c r="T2896" s="7"/>
      <c r="U2896" s="7" t="s">
        <v>2951</v>
      </c>
      <c r="V2896" s="7" t="str">
        <f>+IF(U2896="","",IF(U2896="FINES",CONCATENATE("R",IF(OR(B2896="16",B2896="21",B2896="22",B2896="23"),"16212223",IF(OR(B2896="15",B2896="17",B2896="24",B2896="25"),"15172425",B2896))),IF(U2896="CEBAS","UNICO",IF(VALUE(B2896)&lt;=11,"AMBA","INTERIOR"))))</f>
        <v>R09</v>
      </c>
      <c r="W2896" s="38" t="str">
        <f>+IF(U2896="","-",CONCATENATE(U2896,"_",V2896))</f>
        <v>FINES_R09</v>
      </c>
      <c r="X2896" s="42">
        <v>0.26100000000000001</v>
      </c>
    </row>
    <row r="2897" spans="1:24">
      <c r="A2897" s="21" t="s">
        <v>5100</v>
      </c>
      <c r="B2897" t="s">
        <v>1860</v>
      </c>
      <c r="C2897" t="s">
        <v>411</v>
      </c>
      <c r="D2897" t="s">
        <v>2791</v>
      </c>
      <c r="E2897" s="7" t="s">
        <v>198</v>
      </c>
      <c r="F2897" s="7" t="s">
        <v>198</v>
      </c>
      <c r="G2897" s="7" t="s">
        <v>198</v>
      </c>
      <c r="H2897" s="7" t="s">
        <v>20</v>
      </c>
      <c r="I2897" s="7" t="s">
        <v>5102</v>
      </c>
      <c r="J2897" s="7" t="s">
        <v>21</v>
      </c>
      <c r="L2897" t="s">
        <v>4276</v>
      </c>
      <c r="M2897" s="7" t="s">
        <v>22</v>
      </c>
      <c r="N2897" s="7" t="s">
        <v>23</v>
      </c>
      <c r="O2897" s="7" t="s">
        <v>27</v>
      </c>
      <c r="P2897" s="7" t="s">
        <v>5101</v>
      </c>
      <c r="Q2897" s="26">
        <v>14</v>
      </c>
      <c r="R2897" s="26">
        <v>1</v>
      </c>
      <c r="S2897" s="40">
        <v>1</v>
      </c>
      <c r="T2897" s="7"/>
      <c r="U2897" s="7" t="s">
        <v>2951</v>
      </c>
      <c r="V2897" s="7" t="str">
        <f>+IF(U2897="","",IF(U2897="FINES",CONCATENATE("R",IF(OR(B2897="16",B2897="21",B2897="22",B2897="23"),"16212223",IF(OR(B2897="15",B2897="17",B2897="24",B2897="25"),"15172425",B2897))),IF(U2897="CEBAS","UNICO",IF(VALUE(B2897)&lt;=11,"AMBA","INTERIOR"))))</f>
        <v>R09</v>
      </c>
      <c r="W2897" s="38" t="str">
        <f>+IF(U2897="","-",CONCATENATE(U2897,"_",V2897))</f>
        <v>FINES_R09</v>
      </c>
      <c r="X2897" s="42">
        <v>0.27</v>
      </c>
    </row>
    <row r="2898" spans="1:24">
      <c r="A2898" s="21" t="s">
        <v>5100</v>
      </c>
      <c r="B2898" t="s">
        <v>1860</v>
      </c>
      <c r="C2898" t="s">
        <v>875</v>
      </c>
      <c r="D2898" t="s">
        <v>2816</v>
      </c>
      <c r="E2898" s="7" t="s">
        <v>198</v>
      </c>
      <c r="F2898" s="7" t="s">
        <v>198</v>
      </c>
      <c r="G2898" s="7" t="s">
        <v>198</v>
      </c>
      <c r="H2898" s="7" t="s">
        <v>20</v>
      </c>
      <c r="I2898" s="7" t="s">
        <v>5102</v>
      </c>
      <c r="J2898" s="7" t="s">
        <v>21</v>
      </c>
      <c r="L2898" t="s">
        <v>4184</v>
      </c>
      <c r="M2898" s="7" t="s">
        <v>22</v>
      </c>
      <c r="N2898" s="7" t="s">
        <v>23</v>
      </c>
      <c r="O2898" s="7" t="s">
        <v>27</v>
      </c>
      <c r="P2898" s="7" t="s">
        <v>5101</v>
      </c>
      <c r="Q2898" s="26">
        <v>0</v>
      </c>
      <c r="R2898" s="26">
        <v>1</v>
      </c>
      <c r="S2898" s="40">
        <v>1</v>
      </c>
      <c r="T2898" s="7"/>
      <c r="U2898" s="7" t="s">
        <v>2951</v>
      </c>
      <c r="V2898" s="7" t="str">
        <f>+IF(U2898="","",IF(U2898="FINES",CONCATENATE("R",IF(OR(B2898="16",B2898="21",B2898="22",B2898="23"),"16212223",IF(OR(B2898="15",B2898="17",B2898="24",B2898="25"),"15172425",B2898))),IF(U2898="CEBAS","UNICO",IF(VALUE(B2898)&lt;=11,"AMBA","INTERIOR"))))</f>
        <v>R09</v>
      </c>
      <c r="W2898" s="38" t="str">
        <f>+IF(U2898="","-",CONCATENATE(U2898,"_",V2898))</f>
        <v>FINES_R09</v>
      </c>
      <c r="X2898" s="42">
        <v>0.29599999999999999</v>
      </c>
    </row>
    <row r="2899" spans="1:24">
      <c r="A2899" s="21" t="s">
        <v>5100</v>
      </c>
      <c r="B2899" t="s">
        <v>1860</v>
      </c>
      <c r="C2899" t="s">
        <v>224</v>
      </c>
      <c r="D2899" t="s">
        <v>2837</v>
      </c>
      <c r="E2899" s="7" t="s">
        <v>198</v>
      </c>
      <c r="F2899" s="7" t="s">
        <v>198</v>
      </c>
      <c r="G2899" s="7" t="s">
        <v>198</v>
      </c>
      <c r="H2899" s="7" t="s">
        <v>20</v>
      </c>
      <c r="I2899" s="7" t="s">
        <v>5102</v>
      </c>
      <c r="J2899" s="7" t="s">
        <v>21</v>
      </c>
      <c r="L2899" t="s">
        <v>4212</v>
      </c>
      <c r="M2899" s="7" t="s">
        <v>22</v>
      </c>
      <c r="N2899" s="7" t="s">
        <v>23</v>
      </c>
      <c r="O2899" s="7" t="s">
        <v>27</v>
      </c>
      <c r="P2899" s="7" t="s">
        <v>5101</v>
      </c>
      <c r="Q2899" s="26">
        <v>38</v>
      </c>
      <c r="R2899" s="26">
        <v>2</v>
      </c>
      <c r="S2899" s="40">
        <v>1</v>
      </c>
      <c r="T2899" s="7"/>
      <c r="U2899" s="7" t="s">
        <v>2951</v>
      </c>
      <c r="V2899" s="7" t="str">
        <f>+IF(U2899="","",IF(U2899="FINES",CONCATENATE("R",IF(OR(B2899="16",B2899="21",B2899="22",B2899="23"),"16212223",IF(OR(B2899="15",B2899="17",B2899="24",B2899="25"),"15172425",B2899))),IF(U2899="CEBAS","UNICO",IF(VALUE(B2899)&lt;=11,"AMBA","INTERIOR"))))</f>
        <v>R09</v>
      </c>
      <c r="W2899" s="38" t="str">
        <f>+IF(U2899="","-",CONCATENATE(U2899,"_",V2899))</f>
        <v>FINES_R09</v>
      </c>
      <c r="X2899" s="42">
        <v>0.34</v>
      </c>
    </row>
    <row r="2900" spans="1:24">
      <c r="A2900" s="21" t="s">
        <v>5100</v>
      </c>
      <c r="B2900" t="s">
        <v>1860</v>
      </c>
      <c r="C2900" t="s">
        <v>1858</v>
      </c>
      <c r="D2900" t="s">
        <v>1859</v>
      </c>
      <c r="E2900" s="7" t="s">
        <v>198</v>
      </c>
      <c r="F2900" s="7" t="s">
        <v>198</v>
      </c>
      <c r="G2900" s="7" t="s">
        <v>198</v>
      </c>
      <c r="H2900" s="7" t="s">
        <v>20</v>
      </c>
      <c r="I2900" s="7" t="s">
        <v>5102</v>
      </c>
      <c r="J2900" s="7" t="s">
        <v>21</v>
      </c>
      <c r="L2900" t="s">
        <v>4253</v>
      </c>
      <c r="M2900" s="7" t="s">
        <v>22</v>
      </c>
      <c r="N2900" s="7" t="s">
        <v>23</v>
      </c>
      <c r="O2900" s="7" t="s">
        <v>27</v>
      </c>
      <c r="P2900" s="7" t="s">
        <v>5101</v>
      </c>
      <c r="Q2900" s="26">
        <v>56</v>
      </c>
      <c r="R2900" s="26">
        <v>2</v>
      </c>
      <c r="S2900" s="40">
        <v>1</v>
      </c>
      <c r="T2900" s="7"/>
      <c r="U2900" s="7" t="s">
        <v>2951</v>
      </c>
      <c r="V2900" s="7" t="str">
        <f>+IF(U2900="","",IF(U2900="FINES",CONCATENATE("R",IF(OR(B2900="16",B2900="21",B2900="22",B2900="23"),"16212223",IF(OR(B2900="15",B2900="17",B2900="24",B2900="25"),"15172425",B2900))),IF(U2900="CEBAS","UNICO",IF(VALUE(B2900)&lt;=11,"AMBA","INTERIOR"))))</f>
        <v>R09</v>
      </c>
      <c r="W2900" s="38" t="str">
        <f>+IF(U2900="","-",CONCATENATE(U2900,"_",V2900))</f>
        <v>FINES_R09</v>
      </c>
      <c r="X2900" s="42">
        <v>0.34899999999999998</v>
      </c>
    </row>
    <row r="2901" spans="1:24">
      <c r="A2901" s="21" t="s">
        <v>5100</v>
      </c>
      <c r="B2901" t="s">
        <v>1860</v>
      </c>
      <c r="C2901" t="s">
        <v>224</v>
      </c>
      <c r="D2901" t="s">
        <v>2837</v>
      </c>
      <c r="E2901" s="7" t="s">
        <v>198</v>
      </c>
      <c r="F2901" s="7" t="s">
        <v>198</v>
      </c>
      <c r="G2901" s="7" t="s">
        <v>198</v>
      </c>
      <c r="H2901" s="7" t="s">
        <v>20</v>
      </c>
      <c r="I2901" s="7" t="s">
        <v>5102</v>
      </c>
      <c r="J2901" s="7" t="s">
        <v>21</v>
      </c>
      <c r="L2901" t="s">
        <v>3130</v>
      </c>
      <c r="M2901" s="7" t="s">
        <v>22</v>
      </c>
      <c r="N2901" s="7" t="s">
        <v>23</v>
      </c>
      <c r="O2901" s="7" t="s">
        <v>27</v>
      </c>
      <c r="P2901" s="7" t="s">
        <v>5101</v>
      </c>
      <c r="Q2901" s="26">
        <v>27</v>
      </c>
      <c r="R2901" s="26">
        <v>1</v>
      </c>
      <c r="S2901" s="40">
        <v>1</v>
      </c>
      <c r="T2901" s="7"/>
      <c r="U2901" s="7" t="s">
        <v>2951</v>
      </c>
      <c r="V2901" s="7" t="str">
        <f>+IF(U2901="","",IF(U2901="FINES",CONCATENATE("R",IF(OR(B2901="16",B2901="21",B2901="22",B2901="23"),"16212223",IF(OR(B2901="15",B2901="17",B2901="24",B2901="25"),"15172425",B2901))),IF(U2901="CEBAS","UNICO",IF(VALUE(B2901)&lt;=11,"AMBA","INTERIOR"))))</f>
        <v>R09</v>
      </c>
      <c r="W2901" s="38" t="str">
        <f>+IF(U2901="","-",CONCATENATE(U2901,"_",V2901))</f>
        <v>FINES_R09</v>
      </c>
      <c r="X2901" s="42">
        <v>0.36199999999999999</v>
      </c>
    </row>
    <row r="2902" spans="1:24">
      <c r="A2902" s="21" t="s">
        <v>5100</v>
      </c>
      <c r="B2902" t="s">
        <v>1860</v>
      </c>
      <c r="C2902" t="s">
        <v>224</v>
      </c>
      <c r="D2902" t="s">
        <v>2837</v>
      </c>
      <c r="E2902" s="7" t="s">
        <v>198</v>
      </c>
      <c r="F2902" s="7" t="s">
        <v>198</v>
      </c>
      <c r="G2902" s="7" t="s">
        <v>198</v>
      </c>
      <c r="H2902" s="7" t="s">
        <v>20</v>
      </c>
      <c r="I2902" s="7" t="s">
        <v>5102</v>
      </c>
      <c r="J2902" s="7" t="s">
        <v>21</v>
      </c>
      <c r="L2902" t="s">
        <v>4199</v>
      </c>
      <c r="M2902" s="7" t="s">
        <v>22</v>
      </c>
      <c r="N2902" s="7" t="s">
        <v>23</v>
      </c>
      <c r="O2902" s="7" t="s">
        <v>27</v>
      </c>
      <c r="P2902" s="7" t="s">
        <v>5101</v>
      </c>
      <c r="Q2902" s="26">
        <v>27</v>
      </c>
      <c r="R2902" s="26">
        <v>1</v>
      </c>
      <c r="S2902" s="40">
        <v>1</v>
      </c>
      <c r="T2902" s="7"/>
      <c r="U2902" s="7" t="s">
        <v>2951</v>
      </c>
      <c r="V2902" s="7" t="str">
        <f>+IF(U2902="","",IF(U2902="FINES",CONCATENATE("R",IF(OR(B2902="16",B2902="21",B2902="22",B2902="23"),"16212223",IF(OR(B2902="15",B2902="17",B2902="24",B2902="25"),"15172425",B2902))),IF(U2902="CEBAS","UNICO",IF(VALUE(B2902)&lt;=11,"AMBA","INTERIOR"))))</f>
        <v>R09</v>
      </c>
      <c r="W2902" s="38" t="str">
        <f>+IF(U2902="","-",CONCATENATE(U2902,"_",V2902))</f>
        <v>FINES_R09</v>
      </c>
      <c r="X2902" s="42">
        <v>0.372</v>
      </c>
    </row>
    <row r="2903" spans="1:24">
      <c r="A2903" s="21" t="s">
        <v>5100</v>
      </c>
      <c r="B2903" t="s">
        <v>1860</v>
      </c>
      <c r="C2903" t="s">
        <v>1858</v>
      </c>
      <c r="D2903" t="s">
        <v>1859</v>
      </c>
      <c r="E2903" s="7" t="s">
        <v>198</v>
      </c>
      <c r="F2903" s="7" t="s">
        <v>198</v>
      </c>
      <c r="G2903" s="7" t="s">
        <v>198</v>
      </c>
      <c r="H2903" s="7" t="s">
        <v>20</v>
      </c>
      <c r="I2903" s="7" t="s">
        <v>5102</v>
      </c>
      <c r="J2903" s="7" t="s">
        <v>21</v>
      </c>
      <c r="L2903" t="s">
        <v>4254</v>
      </c>
      <c r="M2903" s="7" t="s">
        <v>22</v>
      </c>
      <c r="N2903" s="7" t="s">
        <v>23</v>
      </c>
      <c r="O2903" s="7" t="s">
        <v>27</v>
      </c>
      <c r="P2903" s="7" t="s">
        <v>5101</v>
      </c>
      <c r="Q2903" s="26">
        <v>25</v>
      </c>
      <c r="R2903" s="26">
        <v>1</v>
      </c>
      <c r="S2903" s="40">
        <v>1</v>
      </c>
      <c r="T2903" s="7"/>
      <c r="U2903" s="7" t="s">
        <v>2951</v>
      </c>
      <c r="V2903" s="7" t="str">
        <f>+IF(U2903="","",IF(U2903="FINES",CONCATENATE("R",IF(OR(B2903="16",B2903="21",B2903="22",B2903="23"),"16212223",IF(OR(B2903="15",B2903="17",B2903="24",B2903="25"),"15172425",B2903))),IF(U2903="CEBAS","UNICO",IF(VALUE(B2903)&lt;=11,"AMBA","INTERIOR"))))</f>
        <v>R09</v>
      </c>
      <c r="W2903" s="38" t="str">
        <f>+IF(U2903="","-",CONCATENATE(U2903,"_",V2903))</f>
        <v>FINES_R09</v>
      </c>
      <c r="X2903" s="42">
        <v>0.376</v>
      </c>
    </row>
    <row r="2904" spans="1:24">
      <c r="A2904" s="21" t="s">
        <v>5100</v>
      </c>
      <c r="B2904" t="s">
        <v>1860</v>
      </c>
      <c r="C2904" t="s">
        <v>1858</v>
      </c>
      <c r="D2904" t="s">
        <v>1859</v>
      </c>
      <c r="E2904" s="7" t="s">
        <v>198</v>
      </c>
      <c r="F2904" s="7" t="s">
        <v>198</v>
      </c>
      <c r="G2904" s="7" t="s">
        <v>198</v>
      </c>
      <c r="H2904" s="7" t="s">
        <v>20</v>
      </c>
      <c r="I2904" s="7" t="s">
        <v>5102</v>
      </c>
      <c r="J2904" s="7" t="s">
        <v>21</v>
      </c>
      <c r="L2904" t="s">
        <v>4221</v>
      </c>
      <c r="M2904" s="7" t="s">
        <v>22</v>
      </c>
      <c r="N2904" s="7" t="s">
        <v>23</v>
      </c>
      <c r="O2904" s="7" t="s">
        <v>27</v>
      </c>
      <c r="P2904" s="7" t="s">
        <v>5101</v>
      </c>
      <c r="Q2904" s="26">
        <v>31</v>
      </c>
      <c r="R2904" s="26">
        <v>1</v>
      </c>
      <c r="S2904" s="40">
        <v>1</v>
      </c>
      <c r="T2904" s="7"/>
      <c r="U2904" s="7" t="s">
        <v>2951</v>
      </c>
      <c r="V2904" s="7" t="str">
        <f>+IF(U2904="","",IF(U2904="FINES",CONCATENATE("R",IF(OR(B2904="16",B2904="21",B2904="22",B2904="23"),"16212223",IF(OR(B2904="15",B2904="17",B2904="24",B2904="25"),"15172425",B2904))),IF(U2904="CEBAS","UNICO",IF(VALUE(B2904)&lt;=11,"AMBA","INTERIOR"))))</f>
        <v>R09</v>
      </c>
      <c r="W2904" s="38" t="str">
        <f>+IF(U2904="","-",CONCATENATE(U2904,"_",V2904))</f>
        <v>FINES_R09</v>
      </c>
      <c r="X2904" s="42">
        <v>0.379</v>
      </c>
    </row>
    <row r="2905" spans="1:24">
      <c r="A2905" s="21" t="s">
        <v>5100</v>
      </c>
      <c r="B2905" t="s">
        <v>1860</v>
      </c>
      <c r="C2905" t="s">
        <v>411</v>
      </c>
      <c r="D2905" t="s">
        <v>2791</v>
      </c>
      <c r="E2905" s="7" t="s">
        <v>198</v>
      </c>
      <c r="F2905" s="7" t="s">
        <v>198</v>
      </c>
      <c r="G2905" s="7" t="s">
        <v>198</v>
      </c>
      <c r="H2905" s="7" t="s">
        <v>20</v>
      </c>
      <c r="I2905" s="7" t="s">
        <v>5102</v>
      </c>
      <c r="J2905" s="7" t="s">
        <v>21</v>
      </c>
      <c r="L2905" t="s">
        <v>4267</v>
      </c>
      <c r="M2905" s="7" t="s">
        <v>22</v>
      </c>
      <c r="N2905" s="7" t="s">
        <v>23</v>
      </c>
      <c r="O2905" s="7" t="s">
        <v>27</v>
      </c>
      <c r="P2905" s="7" t="s">
        <v>5101</v>
      </c>
      <c r="Q2905" s="26">
        <v>58</v>
      </c>
      <c r="R2905" s="26">
        <v>2</v>
      </c>
      <c r="S2905" s="40">
        <v>1</v>
      </c>
      <c r="T2905" s="7"/>
      <c r="U2905" s="7" t="s">
        <v>2951</v>
      </c>
      <c r="V2905" s="7" t="str">
        <f>+IF(U2905="","",IF(U2905="FINES",CONCATENATE("R",IF(OR(B2905="16",B2905="21",B2905="22",B2905="23"),"16212223",IF(OR(B2905="15",B2905="17",B2905="24",B2905="25"),"15172425",B2905))),IF(U2905="CEBAS","UNICO",IF(VALUE(B2905)&lt;=11,"AMBA","INTERIOR"))))</f>
        <v>R09</v>
      </c>
      <c r="W2905" s="38" t="str">
        <f>+IF(U2905="","-",CONCATENATE(U2905,"_",V2905))</f>
        <v>FINES_R09</v>
      </c>
      <c r="X2905" s="42">
        <v>0.38100000000000001</v>
      </c>
    </row>
    <row r="2906" spans="1:24">
      <c r="A2906" s="21" t="s">
        <v>5100</v>
      </c>
      <c r="B2906" t="s">
        <v>1860</v>
      </c>
      <c r="C2906" t="s">
        <v>224</v>
      </c>
      <c r="D2906" t="s">
        <v>2837</v>
      </c>
      <c r="E2906" s="7" t="s">
        <v>198</v>
      </c>
      <c r="F2906" s="7" t="s">
        <v>198</v>
      </c>
      <c r="G2906" s="7" t="s">
        <v>198</v>
      </c>
      <c r="H2906" s="7" t="s">
        <v>20</v>
      </c>
      <c r="I2906" s="7" t="s">
        <v>5102</v>
      </c>
      <c r="J2906" s="7" t="s">
        <v>21</v>
      </c>
      <c r="L2906" t="s">
        <v>4208</v>
      </c>
      <c r="M2906" s="7" t="s">
        <v>22</v>
      </c>
      <c r="N2906" s="7" t="s">
        <v>23</v>
      </c>
      <c r="O2906" s="7" t="s">
        <v>27</v>
      </c>
      <c r="P2906" s="7" t="s">
        <v>5101</v>
      </c>
      <c r="Q2906" s="26">
        <v>19</v>
      </c>
      <c r="R2906" s="26">
        <v>1</v>
      </c>
      <c r="S2906" s="40">
        <v>1</v>
      </c>
      <c r="T2906" s="7"/>
      <c r="U2906" s="7" t="s">
        <v>2951</v>
      </c>
      <c r="V2906" s="7" t="str">
        <f>+IF(U2906="","",IF(U2906="FINES",CONCATENATE("R",IF(OR(B2906="16",B2906="21",B2906="22",B2906="23"),"16212223",IF(OR(B2906="15",B2906="17",B2906="24",B2906="25"),"15172425",B2906))),IF(U2906="CEBAS","UNICO",IF(VALUE(B2906)&lt;=11,"AMBA","INTERIOR"))))</f>
        <v>R09</v>
      </c>
      <c r="W2906" s="38" t="str">
        <f>+IF(U2906="","-",CONCATENATE(U2906,"_",V2906))</f>
        <v>FINES_R09</v>
      </c>
      <c r="X2906" s="42">
        <v>0.38800000000000001</v>
      </c>
    </row>
    <row r="2907" spans="1:24">
      <c r="A2907" s="21" t="s">
        <v>5100</v>
      </c>
      <c r="B2907" t="s">
        <v>1860</v>
      </c>
      <c r="C2907" t="s">
        <v>224</v>
      </c>
      <c r="D2907" t="s">
        <v>2837</v>
      </c>
      <c r="E2907" s="7" t="s">
        <v>198</v>
      </c>
      <c r="F2907" s="7" t="s">
        <v>198</v>
      </c>
      <c r="G2907" s="7" t="s">
        <v>198</v>
      </c>
      <c r="H2907" s="7" t="s">
        <v>20</v>
      </c>
      <c r="I2907" s="7" t="s">
        <v>5102</v>
      </c>
      <c r="J2907" s="7" t="s">
        <v>21</v>
      </c>
      <c r="L2907" t="s">
        <v>4202</v>
      </c>
      <c r="M2907" s="7" t="s">
        <v>22</v>
      </c>
      <c r="N2907" s="7" t="s">
        <v>23</v>
      </c>
      <c r="O2907" s="7" t="s">
        <v>27</v>
      </c>
      <c r="P2907" s="7" t="s">
        <v>5101</v>
      </c>
      <c r="Q2907" s="26">
        <v>28</v>
      </c>
      <c r="R2907" s="26">
        <v>1</v>
      </c>
      <c r="S2907" s="40">
        <v>1</v>
      </c>
      <c r="T2907" s="7"/>
      <c r="U2907" s="7" t="s">
        <v>2951</v>
      </c>
      <c r="V2907" s="7" t="str">
        <f>+IF(U2907="","",IF(U2907="FINES",CONCATENATE("R",IF(OR(B2907="16",B2907="21",B2907="22",B2907="23"),"16212223",IF(OR(B2907="15",B2907="17",B2907="24",B2907="25"),"15172425",B2907))),IF(U2907="CEBAS","UNICO",IF(VALUE(B2907)&lt;=11,"AMBA","INTERIOR"))))</f>
        <v>R09</v>
      </c>
      <c r="W2907" s="38" t="str">
        <f>+IF(U2907="","-",CONCATENATE(U2907,"_",V2907))</f>
        <v>FINES_R09</v>
      </c>
      <c r="X2907" s="42">
        <v>0.4</v>
      </c>
    </row>
    <row r="2908" spans="1:24">
      <c r="A2908" s="21" t="s">
        <v>5100</v>
      </c>
      <c r="B2908" t="s">
        <v>1860</v>
      </c>
      <c r="C2908" t="s">
        <v>875</v>
      </c>
      <c r="D2908" t="s">
        <v>2816</v>
      </c>
      <c r="E2908" s="7" t="s">
        <v>198</v>
      </c>
      <c r="F2908" s="7" t="s">
        <v>198</v>
      </c>
      <c r="G2908" s="7" t="s">
        <v>198</v>
      </c>
      <c r="H2908" s="7" t="s">
        <v>20</v>
      </c>
      <c r="I2908" s="7" t="s">
        <v>5102</v>
      </c>
      <c r="J2908" s="7" t="s">
        <v>21</v>
      </c>
      <c r="L2908" t="s">
        <v>4187</v>
      </c>
      <c r="M2908" s="7" t="s">
        <v>22</v>
      </c>
      <c r="N2908" s="7" t="s">
        <v>23</v>
      </c>
      <c r="O2908" s="7" t="s">
        <v>27</v>
      </c>
      <c r="P2908" s="7" t="s">
        <v>5101</v>
      </c>
      <c r="Q2908" s="26">
        <v>12</v>
      </c>
      <c r="R2908" s="26">
        <v>1</v>
      </c>
      <c r="S2908" s="40">
        <v>1</v>
      </c>
      <c r="T2908" s="7"/>
      <c r="U2908" s="7" t="s">
        <v>2951</v>
      </c>
      <c r="V2908" s="7" t="str">
        <f>+IF(U2908="","",IF(U2908="FINES",CONCATENATE("R",IF(OR(B2908="16",B2908="21",B2908="22",B2908="23"),"16212223",IF(OR(B2908="15",B2908="17",B2908="24",B2908="25"),"15172425",B2908))),IF(U2908="CEBAS","UNICO",IF(VALUE(B2908)&lt;=11,"AMBA","INTERIOR"))))</f>
        <v>R09</v>
      </c>
      <c r="W2908" s="38" t="str">
        <f>+IF(U2908="","-",CONCATENATE(U2908,"_",V2908))</f>
        <v>FINES_R09</v>
      </c>
      <c r="X2908" s="42">
        <v>0.41499999999999998</v>
      </c>
    </row>
    <row r="2909" spans="1:24">
      <c r="A2909" s="21" t="s">
        <v>5100</v>
      </c>
      <c r="B2909" t="s">
        <v>1860</v>
      </c>
      <c r="C2909" t="s">
        <v>1858</v>
      </c>
      <c r="D2909" t="s">
        <v>1859</v>
      </c>
      <c r="E2909" s="7" t="s">
        <v>198</v>
      </c>
      <c r="F2909" s="7" t="s">
        <v>198</v>
      </c>
      <c r="G2909" s="7" t="s">
        <v>198</v>
      </c>
      <c r="H2909" s="7" t="s">
        <v>20</v>
      </c>
      <c r="I2909" s="7" t="s">
        <v>5102</v>
      </c>
      <c r="J2909" s="7" t="s">
        <v>21</v>
      </c>
      <c r="L2909" t="s">
        <v>4255</v>
      </c>
      <c r="M2909" s="7" t="s">
        <v>22</v>
      </c>
      <c r="N2909" s="7" t="s">
        <v>23</v>
      </c>
      <c r="O2909" s="7" t="s">
        <v>27</v>
      </c>
      <c r="P2909" s="7" t="s">
        <v>5101</v>
      </c>
      <c r="Q2909" s="26">
        <v>119</v>
      </c>
      <c r="R2909" s="26">
        <v>3</v>
      </c>
      <c r="S2909" s="40">
        <v>1</v>
      </c>
      <c r="T2909" s="7"/>
      <c r="U2909" s="7" t="s">
        <v>2951</v>
      </c>
      <c r="V2909" s="7" t="str">
        <f>+IF(U2909="","",IF(U2909="FINES",CONCATENATE("R",IF(OR(B2909="16",B2909="21",B2909="22",B2909="23"),"16212223",IF(OR(B2909="15",B2909="17",B2909="24",B2909="25"),"15172425",B2909))),IF(U2909="CEBAS","UNICO",IF(VALUE(B2909)&lt;=11,"AMBA","INTERIOR"))))</f>
        <v>R09</v>
      </c>
      <c r="W2909" s="38" t="str">
        <f>+IF(U2909="","-",CONCATENATE(U2909,"_",V2909))</f>
        <v>FINES_R09</v>
      </c>
      <c r="X2909" s="42">
        <v>0.42799999999999999</v>
      </c>
    </row>
    <row r="2910" spans="1:24">
      <c r="A2910" s="21" t="s">
        <v>5100</v>
      </c>
      <c r="B2910" t="s">
        <v>1860</v>
      </c>
      <c r="C2910" t="s">
        <v>1858</v>
      </c>
      <c r="D2910" t="s">
        <v>1859</v>
      </c>
      <c r="E2910" s="7" t="s">
        <v>198</v>
      </c>
      <c r="F2910" s="7" t="s">
        <v>198</v>
      </c>
      <c r="G2910" s="7" t="s">
        <v>198</v>
      </c>
      <c r="H2910" s="7" t="s">
        <v>20</v>
      </c>
      <c r="I2910" s="7" t="s">
        <v>5102</v>
      </c>
      <c r="J2910" s="7" t="s">
        <v>21</v>
      </c>
      <c r="L2910" t="s">
        <v>4215</v>
      </c>
      <c r="M2910" s="7" t="s">
        <v>22</v>
      </c>
      <c r="N2910" s="7" t="s">
        <v>23</v>
      </c>
      <c r="O2910" s="7" t="s">
        <v>27</v>
      </c>
      <c r="P2910" s="7" t="s">
        <v>5101</v>
      </c>
      <c r="Q2910" s="26">
        <v>32</v>
      </c>
      <c r="R2910" s="26">
        <v>1</v>
      </c>
      <c r="S2910" s="40">
        <v>1</v>
      </c>
      <c r="T2910" s="7"/>
      <c r="U2910" s="7" t="s">
        <v>2951</v>
      </c>
      <c r="V2910" s="7" t="str">
        <f>+IF(U2910="","",IF(U2910="FINES",CONCATENATE("R",IF(OR(B2910="16",B2910="21",B2910="22",B2910="23"),"16212223",IF(OR(B2910="15",B2910="17",B2910="24",B2910="25"),"15172425",B2910))),IF(U2910="CEBAS","UNICO",IF(VALUE(B2910)&lt;=11,"AMBA","INTERIOR"))))</f>
        <v>R09</v>
      </c>
      <c r="W2910" s="38" t="str">
        <f>+IF(U2910="","-",CONCATENATE(U2910,"_",V2910))</f>
        <v>FINES_R09</v>
      </c>
      <c r="X2910" s="42">
        <v>0.433</v>
      </c>
    </row>
    <row r="2911" spans="1:24">
      <c r="A2911" s="21" t="s">
        <v>5100</v>
      </c>
      <c r="B2911" t="s">
        <v>1860</v>
      </c>
      <c r="C2911" t="s">
        <v>875</v>
      </c>
      <c r="D2911" t="s">
        <v>2816</v>
      </c>
      <c r="E2911" s="7" t="s">
        <v>198</v>
      </c>
      <c r="F2911" s="7" t="s">
        <v>198</v>
      </c>
      <c r="G2911" s="7" t="s">
        <v>198</v>
      </c>
      <c r="H2911" s="7" t="s">
        <v>20</v>
      </c>
      <c r="I2911" s="7" t="s">
        <v>5102</v>
      </c>
      <c r="J2911" s="7" t="s">
        <v>21</v>
      </c>
      <c r="L2911" t="s">
        <v>4191</v>
      </c>
      <c r="M2911" s="7" t="s">
        <v>22</v>
      </c>
      <c r="N2911" s="7" t="s">
        <v>23</v>
      </c>
      <c r="O2911" s="7" t="s">
        <v>27</v>
      </c>
      <c r="P2911" s="7" t="s">
        <v>5101</v>
      </c>
      <c r="Q2911" s="26">
        <v>0</v>
      </c>
      <c r="R2911" s="26">
        <v>1</v>
      </c>
      <c r="S2911" s="40">
        <v>1</v>
      </c>
      <c r="T2911" s="7"/>
      <c r="U2911" s="7" t="s">
        <v>2951</v>
      </c>
      <c r="V2911" s="7" t="str">
        <f>+IF(U2911="","",IF(U2911="FINES",CONCATENATE("R",IF(OR(B2911="16",B2911="21",B2911="22",B2911="23"),"16212223",IF(OR(B2911="15",B2911="17",B2911="24",B2911="25"),"15172425",B2911))),IF(U2911="CEBAS","UNICO",IF(VALUE(B2911)&lt;=11,"AMBA","INTERIOR"))))</f>
        <v>R09</v>
      </c>
      <c r="W2911" s="38" t="str">
        <f>+IF(U2911="","-",CONCATENATE(U2911,"_",V2911))</f>
        <v>FINES_R09</v>
      </c>
      <c r="X2911" s="42">
        <v>0.442</v>
      </c>
    </row>
    <row r="2912" spans="1:24">
      <c r="A2912" s="21" t="s">
        <v>5100</v>
      </c>
      <c r="B2912" t="s">
        <v>1860</v>
      </c>
      <c r="C2912" t="s">
        <v>1858</v>
      </c>
      <c r="D2912" t="s">
        <v>1859</v>
      </c>
      <c r="E2912" s="7" t="s">
        <v>198</v>
      </c>
      <c r="F2912" s="7" t="s">
        <v>198</v>
      </c>
      <c r="G2912" s="7" t="s">
        <v>198</v>
      </c>
      <c r="H2912" s="7" t="s">
        <v>20</v>
      </c>
      <c r="I2912" s="7" t="s">
        <v>5102</v>
      </c>
      <c r="J2912" s="7" t="s">
        <v>21</v>
      </c>
      <c r="L2912" t="s">
        <v>4238</v>
      </c>
      <c r="M2912" s="7" t="s">
        <v>22</v>
      </c>
      <c r="N2912" s="7" t="s">
        <v>23</v>
      </c>
      <c r="O2912" s="7" t="s">
        <v>27</v>
      </c>
      <c r="P2912" s="7" t="s">
        <v>5101</v>
      </c>
      <c r="Q2912" s="26">
        <v>117</v>
      </c>
      <c r="R2912" s="26">
        <v>3</v>
      </c>
      <c r="S2912" s="40">
        <v>1</v>
      </c>
      <c r="T2912" s="7"/>
      <c r="U2912" s="7" t="s">
        <v>2951</v>
      </c>
      <c r="V2912" s="7" t="str">
        <f>+IF(U2912="","",IF(U2912="FINES",CONCATENATE("R",IF(OR(B2912="16",B2912="21",B2912="22",B2912="23"),"16212223",IF(OR(B2912="15",B2912="17",B2912="24",B2912="25"),"15172425",B2912))),IF(U2912="CEBAS","UNICO",IF(VALUE(B2912)&lt;=11,"AMBA","INTERIOR"))))</f>
        <v>R09</v>
      </c>
      <c r="W2912" s="38" t="str">
        <f>+IF(U2912="","-",CONCATENATE(U2912,"_",V2912))</f>
        <v>FINES_R09</v>
      </c>
      <c r="X2912" s="42">
        <v>0.47399999999999998</v>
      </c>
    </row>
    <row r="2913" spans="1:24">
      <c r="A2913" s="21" t="s">
        <v>5100</v>
      </c>
      <c r="B2913" t="s">
        <v>1860</v>
      </c>
      <c r="C2913" t="s">
        <v>1858</v>
      </c>
      <c r="D2913" t="s">
        <v>1859</v>
      </c>
      <c r="E2913" s="7" t="s">
        <v>198</v>
      </c>
      <c r="F2913" s="7" t="s">
        <v>198</v>
      </c>
      <c r="G2913" s="7" t="s">
        <v>198</v>
      </c>
      <c r="H2913" s="7" t="s">
        <v>20</v>
      </c>
      <c r="I2913" s="7" t="s">
        <v>5102</v>
      </c>
      <c r="J2913" s="7" t="s">
        <v>21</v>
      </c>
      <c r="L2913" t="s">
        <v>4264</v>
      </c>
      <c r="M2913" s="7" t="s">
        <v>22</v>
      </c>
      <c r="N2913" s="7" t="s">
        <v>23</v>
      </c>
      <c r="O2913" s="7" t="s">
        <v>27</v>
      </c>
      <c r="P2913" s="7" t="s">
        <v>5101</v>
      </c>
      <c r="Q2913" s="26">
        <v>24</v>
      </c>
      <c r="R2913" s="26">
        <v>1</v>
      </c>
      <c r="S2913" s="40">
        <v>1</v>
      </c>
      <c r="T2913" s="7"/>
      <c r="U2913" s="7" t="s">
        <v>2951</v>
      </c>
      <c r="V2913" s="7" t="str">
        <f>+IF(U2913="","",IF(U2913="FINES",CONCATENATE("R",IF(OR(B2913="16",B2913="21",B2913="22",B2913="23"),"16212223",IF(OR(B2913="15",B2913="17",B2913="24",B2913="25"),"15172425",B2913))),IF(U2913="CEBAS","UNICO",IF(VALUE(B2913)&lt;=11,"AMBA","INTERIOR"))))</f>
        <v>R09</v>
      </c>
      <c r="W2913" s="38" t="str">
        <f>+IF(U2913="","-",CONCATENATE(U2913,"_",V2913))</f>
        <v>FINES_R09</v>
      </c>
      <c r="X2913" s="42">
        <v>0.48799999999999999</v>
      </c>
    </row>
    <row r="2914" spans="1:24">
      <c r="A2914" s="21" t="s">
        <v>5100</v>
      </c>
      <c r="B2914" t="s">
        <v>1860</v>
      </c>
      <c r="C2914" t="s">
        <v>1858</v>
      </c>
      <c r="D2914" t="s">
        <v>1859</v>
      </c>
      <c r="E2914" s="7" t="s">
        <v>198</v>
      </c>
      <c r="F2914" s="7" t="s">
        <v>198</v>
      </c>
      <c r="G2914" s="7" t="s">
        <v>198</v>
      </c>
      <c r="H2914" s="7" t="s">
        <v>20</v>
      </c>
      <c r="I2914" s="7" t="s">
        <v>5102</v>
      </c>
      <c r="J2914" s="7" t="s">
        <v>21</v>
      </c>
      <c r="L2914" t="s">
        <v>4244</v>
      </c>
      <c r="M2914" s="7" t="s">
        <v>22</v>
      </c>
      <c r="N2914" s="7" t="s">
        <v>23</v>
      </c>
      <c r="O2914" s="7" t="s">
        <v>27</v>
      </c>
      <c r="P2914" s="7" t="s">
        <v>5101</v>
      </c>
      <c r="Q2914" s="26">
        <v>100</v>
      </c>
      <c r="R2914" s="26">
        <v>4</v>
      </c>
      <c r="S2914" s="40">
        <v>1</v>
      </c>
      <c r="T2914" s="7"/>
      <c r="U2914" s="7" t="s">
        <v>2951</v>
      </c>
      <c r="V2914" s="7" t="str">
        <f>+IF(U2914="","",IF(U2914="FINES",CONCATENATE("R",IF(OR(B2914="16",B2914="21",B2914="22",B2914="23"),"16212223",IF(OR(B2914="15",B2914="17",B2914="24",B2914="25"),"15172425",B2914))),IF(U2914="CEBAS","UNICO",IF(VALUE(B2914)&lt;=11,"AMBA","INTERIOR"))))</f>
        <v>R09</v>
      </c>
      <c r="W2914" s="38" t="str">
        <f>+IF(U2914="","-",CONCATENATE(U2914,"_",V2914))</f>
        <v>FINES_R09</v>
      </c>
      <c r="X2914" s="42">
        <v>0.48899999999999999</v>
      </c>
    </row>
    <row r="2915" spans="1:24">
      <c r="A2915" s="21" t="s">
        <v>5100</v>
      </c>
      <c r="B2915" t="s">
        <v>1860</v>
      </c>
      <c r="C2915" t="s">
        <v>1858</v>
      </c>
      <c r="D2915" t="s">
        <v>1859</v>
      </c>
      <c r="E2915" s="7" t="s">
        <v>198</v>
      </c>
      <c r="F2915" s="7" t="s">
        <v>198</v>
      </c>
      <c r="G2915" s="7" t="s">
        <v>198</v>
      </c>
      <c r="H2915" s="7" t="s">
        <v>20</v>
      </c>
      <c r="I2915" s="7" t="s">
        <v>5102</v>
      </c>
      <c r="J2915" s="7" t="s">
        <v>21</v>
      </c>
      <c r="L2915" t="s">
        <v>4231</v>
      </c>
      <c r="M2915" s="7" t="s">
        <v>22</v>
      </c>
      <c r="N2915" s="7" t="s">
        <v>23</v>
      </c>
      <c r="O2915" s="7" t="s">
        <v>27</v>
      </c>
      <c r="P2915" s="7" t="s">
        <v>5101</v>
      </c>
      <c r="Q2915" s="26">
        <v>22</v>
      </c>
      <c r="R2915" s="26">
        <v>1</v>
      </c>
      <c r="S2915" s="40">
        <v>1</v>
      </c>
      <c r="T2915" s="7"/>
      <c r="U2915" s="7" t="s">
        <v>2951</v>
      </c>
      <c r="V2915" s="7" t="str">
        <f>+IF(U2915="","",IF(U2915="FINES",CONCATENATE("R",IF(OR(B2915="16",B2915="21",B2915="22",B2915="23"),"16212223",IF(OR(B2915="15",B2915="17",B2915="24",B2915="25"),"15172425",B2915))),IF(U2915="CEBAS","UNICO",IF(VALUE(B2915)&lt;=11,"AMBA","INTERIOR"))))</f>
        <v>R09</v>
      </c>
      <c r="W2915" s="38" t="str">
        <f>+IF(U2915="","-",CONCATENATE(U2915,"_",V2915))</f>
        <v>FINES_R09</v>
      </c>
      <c r="X2915" s="42">
        <v>0.49299999999999999</v>
      </c>
    </row>
    <row r="2916" spans="1:24">
      <c r="A2916" s="21" t="s">
        <v>5100</v>
      </c>
      <c r="B2916" t="s">
        <v>1860</v>
      </c>
      <c r="C2916" t="s">
        <v>1858</v>
      </c>
      <c r="D2916" t="s">
        <v>1859</v>
      </c>
      <c r="E2916" s="7" t="s">
        <v>198</v>
      </c>
      <c r="F2916" s="7" t="s">
        <v>198</v>
      </c>
      <c r="G2916" s="7" t="s">
        <v>198</v>
      </c>
      <c r="H2916" s="7" t="s">
        <v>20</v>
      </c>
      <c r="I2916" s="7" t="s">
        <v>5102</v>
      </c>
      <c r="J2916" s="7" t="s">
        <v>21</v>
      </c>
      <c r="L2916" t="s">
        <v>4246</v>
      </c>
      <c r="M2916" s="7" t="s">
        <v>22</v>
      </c>
      <c r="N2916" s="7" t="s">
        <v>23</v>
      </c>
      <c r="O2916" s="7" t="s">
        <v>27</v>
      </c>
      <c r="P2916" s="7" t="s">
        <v>5101</v>
      </c>
      <c r="Q2916" s="26">
        <v>58</v>
      </c>
      <c r="R2916" s="26">
        <v>2</v>
      </c>
      <c r="S2916" s="40">
        <v>1</v>
      </c>
      <c r="T2916" s="7"/>
      <c r="U2916" s="7" t="s">
        <v>2951</v>
      </c>
      <c r="V2916" s="7" t="str">
        <f>+IF(U2916="","",IF(U2916="FINES",CONCATENATE("R",IF(OR(B2916="16",B2916="21",B2916="22",B2916="23"),"16212223",IF(OR(B2916="15",B2916="17",B2916="24",B2916="25"),"15172425",B2916))),IF(U2916="CEBAS","UNICO",IF(VALUE(B2916)&lt;=11,"AMBA","INTERIOR"))))</f>
        <v>R09</v>
      </c>
      <c r="W2916" s="38" t="str">
        <f>+IF(U2916="","-",CONCATENATE(U2916,"_",V2916))</f>
        <v>FINES_R09</v>
      </c>
      <c r="X2916" s="42">
        <v>0.51</v>
      </c>
    </row>
    <row r="2917" spans="1:24">
      <c r="A2917" s="21" t="s">
        <v>5100</v>
      </c>
      <c r="B2917" t="s">
        <v>1860</v>
      </c>
      <c r="C2917" t="s">
        <v>1858</v>
      </c>
      <c r="D2917" t="s">
        <v>1859</v>
      </c>
      <c r="E2917" s="7" t="s">
        <v>198</v>
      </c>
      <c r="F2917" s="7" t="s">
        <v>198</v>
      </c>
      <c r="G2917" s="7" t="s">
        <v>198</v>
      </c>
      <c r="H2917" s="7" t="s">
        <v>20</v>
      </c>
      <c r="I2917" s="7" t="s">
        <v>5102</v>
      </c>
      <c r="J2917" s="7" t="s">
        <v>21</v>
      </c>
      <c r="L2917" t="s">
        <v>4233</v>
      </c>
      <c r="M2917" s="7" t="s">
        <v>22</v>
      </c>
      <c r="N2917" s="7" t="s">
        <v>23</v>
      </c>
      <c r="O2917" s="7" t="s">
        <v>27</v>
      </c>
      <c r="P2917" s="7" t="s">
        <v>5101</v>
      </c>
      <c r="Q2917" s="26">
        <v>144</v>
      </c>
      <c r="R2917" s="26">
        <v>4</v>
      </c>
      <c r="S2917" s="40">
        <v>1</v>
      </c>
      <c r="T2917" s="7"/>
      <c r="U2917" s="7" t="s">
        <v>2951</v>
      </c>
      <c r="V2917" s="7" t="str">
        <f>+IF(U2917="","",IF(U2917="FINES",CONCATENATE("R",IF(OR(B2917="16",B2917="21",B2917="22",B2917="23"),"16212223",IF(OR(B2917="15",B2917="17",B2917="24",B2917="25"),"15172425",B2917))),IF(U2917="CEBAS","UNICO",IF(VALUE(B2917)&lt;=11,"AMBA","INTERIOR"))))</f>
        <v>R09</v>
      </c>
      <c r="W2917" s="38" t="str">
        <f>+IF(U2917="","-",CONCATENATE(U2917,"_",V2917))</f>
        <v>FINES_R09</v>
      </c>
      <c r="X2917" s="42">
        <v>0.52400000000000002</v>
      </c>
    </row>
    <row r="2918" spans="1:24">
      <c r="A2918" s="21" t="s">
        <v>5100</v>
      </c>
      <c r="B2918" t="s">
        <v>1860</v>
      </c>
      <c r="C2918" t="s">
        <v>1858</v>
      </c>
      <c r="D2918" t="s">
        <v>1859</v>
      </c>
      <c r="E2918" s="7" t="s">
        <v>198</v>
      </c>
      <c r="F2918" s="7" t="s">
        <v>198</v>
      </c>
      <c r="G2918" s="7" t="s">
        <v>198</v>
      </c>
      <c r="H2918" s="7" t="s">
        <v>20</v>
      </c>
      <c r="I2918" s="7" t="s">
        <v>5102</v>
      </c>
      <c r="J2918" s="7" t="s">
        <v>21</v>
      </c>
      <c r="L2918" t="s">
        <v>4240</v>
      </c>
      <c r="M2918" s="7" t="s">
        <v>22</v>
      </c>
      <c r="N2918" s="7" t="s">
        <v>23</v>
      </c>
      <c r="O2918" s="7" t="s">
        <v>27</v>
      </c>
      <c r="P2918" s="7" t="s">
        <v>5101</v>
      </c>
      <c r="Q2918" s="26">
        <v>63</v>
      </c>
      <c r="R2918" s="26">
        <v>2</v>
      </c>
      <c r="S2918" s="40">
        <v>1</v>
      </c>
      <c r="T2918" s="7"/>
      <c r="U2918" s="7" t="s">
        <v>2951</v>
      </c>
      <c r="V2918" s="7" t="str">
        <f>+IF(U2918="","",IF(U2918="FINES",CONCATENATE("R",IF(OR(B2918="16",B2918="21",B2918="22",B2918="23"),"16212223",IF(OR(B2918="15",B2918="17",B2918="24",B2918="25"),"15172425",B2918))),IF(U2918="CEBAS","UNICO",IF(VALUE(B2918)&lt;=11,"AMBA","INTERIOR"))))</f>
        <v>R09</v>
      </c>
      <c r="W2918" s="38" t="str">
        <f>+IF(U2918="","-",CONCATENATE(U2918,"_",V2918))</f>
        <v>FINES_R09</v>
      </c>
      <c r="X2918" s="42">
        <v>0.53</v>
      </c>
    </row>
    <row r="2919" spans="1:24">
      <c r="A2919" s="21" t="s">
        <v>5100</v>
      </c>
      <c r="B2919" t="s">
        <v>1860</v>
      </c>
      <c r="C2919" t="s">
        <v>411</v>
      </c>
      <c r="D2919" t="s">
        <v>2791</v>
      </c>
      <c r="E2919" s="7" t="s">
        <v>198</v>
      </c>
      <c r="F2919" s="7" t="s">
        <v>198</v>
      </c>
      <c r="G2919" s="7" t="s">
        <v>198</v>
      </c>
      <c r="H2919" s="7" t="s">
        <v>20</v>
      </c>
      <c r="I2919" s="7" t="s">
        <v>5102</v>
      </c>
      <c r="J2919" s="7" t="s">
        <v>21</v>
      </c>
      <c r="L2919" t="s">
        <v>4277</v>
      </c>
      <c r="M2919" s="7" t="s">
        <v>22</v>
      </c>
      <c r="N2919" s="7" t="s">
        <v>23</v>
      </c>
      <c r="O2919" s="7" t="s">
        <v>27</v>
      </c>
      <c r="P2919" s="7" t="s">
        <v>5101</v>
      </c>
      <c r="Q2919" s="26">
        <v>16</v>
      </c>
      <c r="R2919" s="26">
        <v>1</v>
      </c>
      <c r="S2919" s="40">
        <v>1</v>
      </c>
      <c r="T2919" s="7"/>
      <c r="U2919" s="7" t="s">
        <v>2951</v>
      </c>
      <c r="V2919" s="7" t="str">
        <f>+IF(U2919="","",IF(U2919="FINES",CONCATENATE("R",IF(OR(B2919="16",B2919="21",B2919="22",B2919="23"),"16212223",IF(OR(B2919="15",B2919="17",B2919="24",B2919="25"),"15172425",B2919))),IF(U2919="CEBAS","UNICO",IF(VALUE(B2919)&lt;=11,"AMBA","INTERIOR"))))</f>
        <v>R09</v>
      </c>
      <c r="W2919" s="38" t="str">
        <f>+IF(U2919="","-",CONCATENATE(U2919,"_",V2919))</f>
        <v>FINES_R09</v>
      </c>
      <c r="X2919" s="42">
        <v>0.53700000000000003</v>
      </c>
    </row>
    <row r="2920" spans="1:24">
      <c r="A2920" s="21" t="s">
        <v>5100</v>
      </c>
      <c r="B2920" t="s">
        <v>1860</v>
      </c>
      <c r="C2920" t="s">
        <v>224</v>
      </c>
      <c r="D2920" t="s">
        <v>2837</v>
      </c>
      <c r="E2920" s="7" t="s">
        <v>198</v>
      </c>
      <c r="F2920" s="7" t="s">
        <v>198</v>
      </c>
      <c r="G2920" s="7" t="s">
        <v>198</v>
      </c>
      <c r="H2920" s="7" t="s">
        <v>20</v>
      </c>
      <c r="I2920" s="7" t="s">
        <v>5102</v>
      </c>
      <c r="J2920" s="7" t="s">
        <v>21</v>
      </c>
      <c r="L2920" t="s">
        <v>4201</v>
      </c>
      <c r="M2920" s="7" t="s">
        <v>22</v>
      </c>
      <c r="N2920" s="7" t="s">
        <v>23</v>
      </c>
      <c r="O2920" s="7" t="s">
        <v>27</v>
      </c>
      <c r="P2920" s="7" t="s">
        <v>5101</v>
      </c>
      <c r="Q2920" s="26">
        <v>18</v>
      </c>
      <c r="R2920" s="26">
        <v>1</v>
      </c>
      <c r="S2920" s="40">
        <v>1</v>
      </c>
      <c r="T2920" s="7"/>
      <c r="U2920" s="7" t="s">
        <v>2951</v>
      </c>
      <c r="V2920" s="7" t="str">
        <f>+IF(U2920="","",IF(U2920="FINES",CONCATENATE("R",IF(OR(B2920="16",B2920="21",B2920="22",B2920="23"),"16212223",IF(OR(B2920="15",B2920="17",B2920="24",B2920="25"),"15172425",B2920))),IF(U2920="CEBAS","UNICO",IF(VALUE(B2920)&lt;=11,"AMBA","INTERIOR"))))</f>
        <v>R09</v>
      </c>
      <c r="W2920" s="38" t="str">
        <f>+IF(U2920="","-",CONCATENATE(U2920,"_",V2920))</f>
        <v>FINES_R09</v>
      </c>
      <c r="X2920" s="42">
        <v>0.54</v>
      </c>
    </row>
    <row r="2921" spans="1:24">
      <c r="A2921" s="21" t="s">
        <v>5100</v>
      </c>
      <c r="B2921" t="s">
        <v>1860</v>
      </c>
      <c r="C2921" t="s">
        <v>875</v>
      </c>
      <c r="D2921" t="s">
        <v>2816</v>
      </c>
      <c r="E2921" s="7" t="s">
        <v>198</v>
      </c>
      <c r="F2921" s="7" t="s">
        <v>198</v>
      </c>
      <c r="G2921" s="7" t="s">
        <v>198</v>
      </c>
      <c r="H2921" s="7" t="s">
        <v>20</v>
      </c>
      <c r="I2921" s="7" t="s">
        <v>5102</v>
      </c>
      <c r="J2921" s="7" t="s">
        <v>21</v>
      </c>
      <c r="L2921" t="s">
        <v>4195</v>
      </c>
      <c r="M2921" s="7" t="s">
        <v>22</v>
      </c>
      <c r="N2921" s="7" t="s">
        <v>23</v>
      </c>
      <c r="O2921" s="7" t="s">
        <v>27</v>
      </c>
      <c r="P2921" s="7" t="s">
        <v>5101</v>
      </c>
      <c r="Q2921" s="26">
        <v>10</v>
      </c>
      <c r="R2921" s="26">
        <v>1</v>
      </c>
      <c r="S2921" s="40">
        <v>1</v>
      </c>
      <c r="T2921" s="7"/>
      <c r="U2921" s="7" t="s">
        <v>2951</v>
      </c>
      <c r="V2921" s="7" t="str">
        <f>+IF(U2921="","",IF(U2921="FINES",CONCATENATE("R",IF(OR(B2921="16",B2921="21",B2921="22",B2921="23"),"16212223",IF(OR(B2921="15",B2921="17",B2921="24",B2921="25"),"15172425",B2921))),IF(U2921="CEBAS","UNICO",IF(VALUE(B2921)&lt;=11,"AMBA","INTERIOR"))))</f>
        <v>R09</v>
      </c>
      <c r="W2921" s="38" t="str">
        <f>+IF(U2921="","-",CONCATENATE(U2921,"_",V2921))</f>
        <v>FINES_R09</v>
      </c>
      <c r="X2921" s="42">
        <v>0.54500000000000004</v>
      </c>
    </row>
    <row r="2922" spans="1:24">
      <c r="A2922" s="21" t="s">
        <v>5100</v>
      </c>
      <c r="B2922" t="s">
        <v>1860</v>
      </c>
      <c r="C2922" t="s">
        <v>411</v>
      </c>
      <c r="D2922" t="s">
        <v>2791</v>
      </c>
      <c r="E2922" s="7" t="s">
        <v>198</v>
      </c>
      <c r="F2922" s="7" t="s">
        <v>198</v>
      </c>
      <c r="G2922" s="7" t="s">
        <v>198</v>
      </c>
      <c r="H2922" s="7" t="s">
        <v>20</v>
      </c>
      <c r="I2922" s="7" t="s">
        <v>5102</v>
      </c>
      <c r="J2922" s="7" t="s">
        <v>21</v>
      </c>
      <c r="L2922" t="s">
        <v>4275</v>
      </c>
      <c r="M2922" s="7" t="s">
        <v>22</v>
      </c>
      <c r="N2922" s="7" t="s">
        <v>23</v>
      </c>
      <c r="O2922" s="7" t="s">
        <v>27</v>
      </c>
      <c r="P2922" s="7" t="s">
        <v>5101</v>
      </c>
      <c r="Q2922" s="26">
        <v>137</v>
      </c>
      <c r="R2922" s="26">
        <v>5</v>
      </c>
      <c r="S2922" s="40">
        <v>1</v>
      </c>
      <c r="T2922" s="7"/>
      <c r="U2922" s="7" t="s">
        <v>2951</v>
      </c>
      <c r="V2922" s="7" t="str">
        <f>+IF(U2922="","",IF(U2922="FINES",CONCATENATE("R",IF(OR(B2922="16",B2922="21",B2922="22",B2922="23"),"16212223",IF(OR(B2922="15",B2922="17",B2922="24",B2922="25"),"15172425",B2922))),IF(U2922="CEBAS","UNICO",IF(VALUE(B2922)&lt;=11,"AMBA","INTERIOR"))))</f>
        <v>R09</v>
      </c>
      <c r="W2922" s="38" t="str">
        <f>+IF(U2922="","-",CONCATENATE(U2922,"_",V2922))</f>
        <v>FINES_R09</v>
      </c>
      <c r="X2922" s="42">
        <v>0.54600000000000004</v>
      </c>
    </row>
    <row r="2923" spans="1:24">
      <c r="A2923" s="21" t="s">
        <v>5100</v>
      </c>
      <c r="B2923" t="s">
        <v>1860</v>
      </c>
      <c r="C2923" t="s">
        <v>1858</v>
      </c>
      <c r="D2923" t="s">
        <v>1859</v>
      </c>
      <c r="E2923" s="7" t="s">
        <v>198</v>
      </c>
      <c r="F2923" s="7" t="s">
        <v>198</v>
      </c>
      <c r="G2923" s="7" t="s">
        <v>198</v>
      </c>
      <c r="H2923" s="7" t="s">
        <v>20</v>
      </c>
      <c r="I2923" s="7" t="s">
        <v>5102</v>
      </c>
      <c r="J2923" s="7" t="s">
        <v>21</v>
      </c>
      <c r="L2923" t="s">
        <v>4234</v>
      </c>
      <c r="M2923" s="7" t="s">
        <v>22</v>
      </c>
      <c r="N2923" s="7" t="s">
        <v>23</v>
      </c>
      <c r="O2923" s="7" t="s">
        <v>27</v>
      </c>
      <c r="P2923" s="7" t="s">
        <v>5101</v>
      </c>
      <c r="Q2923" s="26">
        <v>67</v>
      </c>
      <c r="R2923" s="26">
        <v>3</v>
      </c>
      <c r="S2923" s="40">
        <v>1</v>
      </c>
      <c r="T2923" s="7"/>
      <c r="U2923" s="7" t="s">
        <v>2951</v>
      </c>
      <c r="V2923" s="7" t="str">
        <f>+IF(U2923="","",IF(U2923="FINES",CONCATENATE("R",IF(OR(B2923="16",B2923="21",B2923="22",B2923="23"),"16212223",IF(OR(B2923="15",B2923="17",B2923="24",B2923="25"),"15172425",B2923))),IF(U2923="CEBAS","UNICO",IF(VALUE(B2923)&lt;=11,"AMBA","INTERIOR"))))</f>
        <v>R09</v>
      </c>
      <c r="W2923" s="38" t="str">
        <f>+IF(U2923="","-",CONCATENATE(U2923,"_",V2923))</f>
        <v>FINES_R09</v>
      </c>
      <c r="X2923" s="42">
        <v>0.54900000000000004</v>
      </c>
    </row>
    <row r="2924" spans="1:24">
      <c r="A2924" s="21" t="s">
        <v>5100</v>
      </c>
      <c r="B2924" t="s">
        <v>1860</v>
      </c>
      <c r="C2924" t="s">
        <v>1858</v>
      </c>
      <c r="D2924" t="s">
        <v>1859</v>
      </c>
      <c r="E2924" s="7" t="s">
        <v>198</v>
      </c>
      <c r="F2924" s="7" t="s">
        <v>198</v>
      </c>
      <c r="G2924" s="7" t="s">
        <v>198</v>
      </c>
      <c r="H2924" s="7" t="s">
        <v>20</v>
      </c>
      <c r="I2924" s="7" t="s">
        <v>5102</v>
      </c>
      <c r="J2924" s="7" t="s">
        <v>21</v>
      </c>
      <c r="L2924" t="s">
        <v>4237</v>
      </c>
      <c r="M2924" s="7" t="s">
        <v>22</v>
      </c>
      <c r="N2924" s="7" t="s">
        <v>23</v>
      </c>
      <c r="O2924" s="7" t="s">
        <v>27</v>
      </c>
      <c r="P2924" s="7" t="s">
        <v>5101</v>
      </c>
      <c r="Q2924" s="26">
        <v>95</v>
      </c>
      <c r="R2924" s="26">
        <v>3</v>
      </c>
      <c r="S2924" s="40">
        <v>1</v>
      </c>
      <c r="T2924" s="7"/>
      <c r="U2924" s="7" t="s">
        <v>2951</v>
      </c>
      <c r="V2924" s="7" t="str">
        <f>+IF(U2924="","",IF(U2924="FINES",CONCATENATE("R",IF(OR(B2924="16",B2924="21",B2924="22",B2924="23"),"16212223",IF(OR(B2924="15",B2924="17",B2924="24",B2924="25"),"15172425",B2924))),IF(U2924="CEBAS","UNICO",IF(VALUE(B2924)&lt;=11,"AMBA","INTERIOR"))))</f>
        <v>R09</v>
      </c>
      <c r="W2924" s="38" t="str">
        <f>+IF(U2924="","-",CONCATENATE(U2924,"_",V2924))</f>
        <v>FINES_R09</v>
      </c>
      <c r="X2924" s="42">
        <v>0.57099999999999995</v>
      </c>
    </row>
    <row r="2925" spans="1:24">
      <c r="A2925" s="21" t="s">
        <v>5100</v>
      </c>
      <c r="B2925" t="s">
        <v>1860</v>
      </c>
      <c r="C2925" t="s">
        <v>875</v>
      </c>
      <c r="D2925" t="s">
        <v>2816</v>
      </c>
      <c r="E2925" s="7" t="s">
        <v>198</v>
      </c>
      <c r="F2925" s="7" t="s">
        <v>198</v>
      </c>
      <c r="G2925" s="7" t="s">
        <v>198</v>
      </c>
      <c r="H2925" s="7" t="s">
        <v>20</v>
      </c>
      <c r="I2925" s="7" t="s">
        <v>5102</v>
      </c>
      <c r="J2925" s="7" t="s">
        <v>21</v>
      </c>
      <c r="L2925" t="s">
        <v>4190</v>
      </c>
      <c r="M2925" s="7" t="s">
        <v>22</v>
      </c>
      <c r="N2925" s="7" t="s">
        <v>23</v>
      </c>
      <c r="O2925" s="7" t="s">
        <v>27</v>
      </c>
      <c r="P2925" s="7" t="s">
        <v>5101</v>
      </c>
      <c r="Q2925" s="26">
        <v>12</v>
      </c>
      <c r="R2925" s="26">
        <v>1</v>
      </c>
      <c r="S2925" s="40">
        <v>1</v>
      </c>
      <c r="T2925" s="7"/>
      <c r="U2925" s="7" t="s">
        <v>2951</v>
      </c>
      <c r="V2925" s="7" t="str">
        <f>+IF(U2925="","",IF(U2925="FINES",CONCATENATE("R",IF(OR(B2925="16",B2925="21",B2925="22",B2925="23"),"16212223",IF(OR(B2925="15",B2925="17",B2925="24",B2925="25"),"15172425",B2925))),IF(U2925="CEBAS","UNICO",IF(VALUE(B2925)&lt;=11,"AMBA","INTERIOR"))))</f>
        <v>R09</v>
      </c>
      <c r="W2925" s="38" t="str">
        <f>+IF(U2925="","-",CONCATENATE(U2925,"_",V2925))</f>
        <v>FINES_R09</v>
      </c>
      <c r="X2925" s="42">
        <v>0.57099999999999995</v>
      </c>
    </row>
    <row r="2926" spans="1:24">
      <c r="A2926" s="21" t="s">
        <v>5100</v>
      </c>
      <c r="B2926" t="s">
        <v>1860</v>
      </c>
      <c r="C2926" t="s">
        <v>411</v>
      </c>
      <c r="D2926" t="s">
        <v>2791</v>
      </c>
      <c r="E2926" s="7" t="s">
        <v>198</v>
      </c>
      <c r="F2926" s="7" t="s">
        <v>198</v>
      </c>
      <c r="G2926" s="7" t="s">
        <v>198</v>
      </c>
      <c r="H2926" s="7" t="s">
        <v>20</v>
      </c>
      <c r="I2926" s="7" t="s">
        <v>5102</v>
      </c>
      <c r="J2926" s="7" t="s">
        <v>21</v>
      </c>
      <c r="L2926" t="s">
        <v>4278</v>
      </c>
      <c r="M2926" s="7" t="s">
        <v>22</v>
      </c>
      <c r="N2926" s="7" t="s">
        <v>23</v>
      </c>
      <c r="O2926" s="7" t="s">
        <v>27</v>
      </c>
      <c r="P2926" s="7" t="s">
        <v>5101</v>
      </c>
      <c r="Q2926" s="26">
        <v>89</v>
      </c>
      <c r="R2926" s="26">
        <v>3</v>
      </c>
      <c r="S2926" s="40">
        <v>1</v>
      </c>
      <c r="T2926" s="7"/>
      <c r="U2926" s="7" t="s">
        <v>2951</v>
      </c>
      <c r="V2926" s="7" t="str">
        <f>+IF(U2926="","",IF(U2926="FINES",CONCATENATE("R",IF(OR(B2926="16",B2926="21",B2926="22",B2926="23"),"16212223",IF(OR(B2926="15",B2926="17",B2926="24",B2926="25"),"15172425",B2926))),IF(U2926="CEBAS","UNICO",IF(VALUE(B2926)&lt;=11,"AMBA","INTERIOR"))))</f>
        <v>R09</v>
      </c>
      <c r="W2926" s="38" t="str">
        <f>+IF(U2926="","-",CONCATENATE(U2926,"_",V2926))</f>
        <v>FINES_R09</v>
      </c>
      <c r="X2926" s="42">
        <v>0.57899999999999996</v>
      </c>
    </row>
    <row r="2927" spans="1:24">
      <c r="A2927" s="21" t="s">
        <v>5100</v>
      </c>
      <c r="B2927" t="s">
        <v>1860</v>
      </c>
      <c r="C2927" t="s">
        <v>1858</v>
      </c>
      <c r="D2927" t="s">
        <v>1859</v>
      </c>
      <c r="E2927" s="7" t="s">
        <v>198</v>
      </c>
      <c r="F2927" s="7" t="s">
        <v>198</v>
      </c>
      <c r="G2927" s="7" t="s">
        <v>198</v>
      </c>
      <c r="H2927" s="7" t="s">
        <v>20</v>
      </c>
      <c r="I2927" s="7" t="s">
        <v>5102</v>
      </c>
      <c r="J2927" s="7" t="s">
        <v>21</v>
      </c>
      <c r="L2927" t="s">
        <v>4242</v>
      </c>
      <c r="M2927" s="7" t="s">
        <v>22</v>
      </c>
      <c r="N2927" s="7" t="s">
        <v>23</v>
      </c>
      <c r="O2927" s="7" t="s">
        <v>27</v>
      </c>
      <c r="P2927" s="7" t="s">
        <v>5101</v>
      </c>
      <c r="Q2927" s="26">
        <v>75</v>
      </c>
      <c r="R2927" s="26">
        <v>4</v>
      </c>
      <c r="S2927" s="40">
        <v>1</v>
      </c>
      <c r="T2927" s="7"/>
      <c r="U2927" s="7" t="s">
        <v>2951</v>
      </c>
      <c r="V2927" s="7" t="str">
        <f>+IF(U2927="","",IF(U2927="FINES",CONCATENATE("R",IF(OR(B2927="16",B2927="21",B2927="22",B2927="23"),"16212223",IF(OR(B2927="15",B2927="17",B2927="24",B2927="25"),"15172425",B2927))),IF(U2927="CEBAS","UNICO",IF(VALUE(B2927)&lt;=11,"AMBA","INTERIOR"))))</f>
        <v>R09</v>
      </c>
      <c r="W2927" s="38" t="str">
        <f>+IF(U2927="","-",CONCATENATE(U2927,"_",V2927))</f>
        <v>FINES_R09</v>
      </c>
      <c r="X2927" s="42">
        <v>0.59399999999999997</v>
      </c>
    </row>
    <row r="2928" spans="1:24">
      <c r="A2928" s="21" t="s">
        <v>5100</v>
      </c>
      <c r="B2928" t="s">
        <v>1860</v>
      </c>
      <c r="C2928" t="s">
        <v>1858</v>
      </c>
      <c r="D2928" t="s">
        <v>1859</v>
      </c>
      <c r="E2928" s="7" t="s">
        <v>198</v>
      </c>
      <c r="F2928" s="7" t="s">
        <v>198</v>
      </c>
      <c r="G2928" s="7" t="s">
        <v>198</v>
      </c>
      <c r="H2928" s="7" t="s">
        <v>20</v>
      </c>
      <c r="I2928" s="7" t="s">
        <v>5102</v>
      </c>
      <c r="J2928" s="7" t="s">
        <v>21</v>
      </c>
      <c r="L2928" t="s">
        <v>4258</v>
      </c>
      <c r="M2928" s="7" t="s">
        <v>22</v>
      </c>
      <c r="N2928" s="7" t="s">
        <v>23</v>
      </c>
      <c r="O2928" s="7" t="s">
        <v>27</v>
      </c>
      <c r="P2928" s="7" t="s">
        <v>5101</v>
      </c>
      <c r="Q2928" s="26">
        <v>53</v>
      </c>
      <c r="R2928" s="26">
        <v>2</v>
      </c>
      <c r="S2928" s="40">
        <v>1</v>
      </c>
      <c r="T2928" s="7"/>
      <c r="U2928" s="7" t="s">
        <v>2951</v>
      </c>
      <c r="V2928" s="7" t="str">
        <f>+IF(U2928="","",IF(U2928="FINES",CONCATENATE("R",IF(OR(B2928="16",B2928="21",B2928="22",B2928="23"),"16212223",IF(OR(B2928="15",B2928="17",B2928="24",B2928="25"),"15172425",B2928))),IF(U2928="CEBAS","UNICO",IF(VALUE(B2928)&lt;=11,"AMBA","INTERIOR"))))</f>
        <v>R09</v>
      </c>
      <c r="W2928" s="38" t="str">
        <f>+IF(U2928="","-",CONCATENATE(U2928,"_",V2928))</f>
        <v>FINES_R09</v>
      </c>
      <c r="X2928" s="42">
        <v>0.59699999999999998</v>
      </c>
    </row>
    <row r="2929" spans="1:24">
      <c r="A2929" s="21" t="s">
        <v>5100</v>
      </c>
      <c r="B2929" t="s">
        <v>1860</v>
      </c>
      <c r="C2929" t="s">
        <v>1858</v>
      </c>
      <c r="D2929" t="s">
        <v>1859</v>
      </c>
      <c r="E2929" s="7" t="s">
        <v>198</v>
      </c>
      <c r="F2929" s="7" t="s">
        <v>198</v>
      </c>
      <c r="G2929" s="7" t="s">
        <v>198</v>
      </c>
      <c r="H2929" s="7" t="s">
        <v>20</v>
      </c>
      <c r="I2929" s="7" t="s">
        <v>5102</v>
      </c>
      <c r="J2929" s="7" t="s">
        <v>21</v>
      </c>
      <c r="L2929" t="s">
        <v>4235</v>
      </c>
      <c r="M2929" s="7" t="s">
        <v>22</v>
      </c>
      <c r="N2929" s="7" t="s">
        <v>23</v>
      </c>
      <c r="O2929" s="7" t="s">
        <v>27</v>
      </c>
      <c r="P2929" s="7" t="s">
        <v>5101</v>
      </c>
      <c r="Q2929" s="26">
        <v>33</v>
      </c>
      <c r="R2929" s="26">
        <v>1</v>
      </c>
      <c r="S2929" s="40">
        <v>1</v>
      </c>
      <c r="T2929" s="7"/>
      <c r="U2929" s="7" t="s">
        <v>2951</v>
      </c>
      <c r="V2929" s="7" t="str">
        <f>+IF(U2929="","",IF(U2929="FINES",CONCATENATE("R",IF(OR(B2929="16",B2929="21",B2929="22",B2929="23"),"16212223",IF(OR(B2929="15",B2929="17",B2929="24",B2929="25"),"15172425",B2929))),IF(U2929="CEBAS","UNICO",IF(VALUE(B2929)&lt;=11,"AMBA","INTERIOR"))))</f>
        <v>R09</v>
      </c>
      <c r="W2929" s="38" t="str">
        <f>+IF(U2929="","-",CONCATENATE(U2929,"_",V2929))</f>
        <v>FINES_R09</v>
      </c>
      <c r="X2929" s="42">
        <v>0.60099999999999998</v>
      </c>
    </row>
    <row r="2930" spans="1:24">
      <c r="A2930" s="21" t="s">
        <v>5100</v>
      </c>
      <c r="B2930" t="s">
        <v>1860</v>
      </c>
      <c r="C2930" t="s">
        <v>1858</v>
      </c>
      <c r="D2930" t="s">
        <v>1859</v>
      </c>
      <c r="E2930" s="7" t="s">
        <v>198</v>
      </c>
      <c r="F2930" s="7" t="s">
        <v>198</v>
      </c>
      <c r="G2930" s="7" t="s">
        <v>198</v>
      </c>
      <c r="H2930" s="7" t="s">
        <v>20</v>
      </c>
      <c r="I2930" s="7" t="s">
        <v>5102</v>
      </c>
      <c r="J2930" s="7" t="s">
        <v>21</v>
      </c>
      <c r="L2930" t="s">
        <v>4222</v>
      </c>
      <c r="M2930" s="7" t="s">
        <v>22</v>
      </c>
      <c r="N2930" s="7" t="s">
        <v>23</v>
      </c>
      <c r="O2930" s="7" t="s">
        <v>27</v>
      </c>
      <c r="P2930" s="7" t="s">
        <v>5101</v>
      </c>
      <c r="Q2930" s="26">
        <v>21</v>
      </c>
      <c r="R2930" s="26">
        <v>1</v>
      </c>
      <c r="S2930" s="40">
        <v>1</v>
      </c>
      <c r="T2930" s="7"/>
      <c r="U2930" s="7" t="s">
        <v>2951</v>
      </c>
      <c r="V2930" s="7" t="str">
        <f>+IF(U2930="","",IF(U2930="FINES",CONCATENATE("R",IF(OR(B2930="16",B2930="21",B2930="22",B2930="23"),"16212223",IF(OR(B2930="15",B2930="17",B2930="24",B2930="25"),"15172425",B2930))),IF(U2930="CEBAS","UNICO",IF(VALUE(B2930)&lt;=11,"AMBA","INTERIOR"))))</f>
        <v>R09</v>
      </c>
      <c r="W2930" s="38" t="str">
        <f>+IF(U2930="","-",CONCATENATE(U2930,"_",V2930))</f>
        <v>FINES_R09</v>
      </c>
      <c r="X2930" s="42">
        <v>0.60199999999999998</v>
      </c>
    </row>
    <row r="2931" spans="1:24">
      <c r="A2931" s="21" t="s">
        <v>5100</v>
      </c>
      <c r="B2931" t="s">
        <v>1860</v>
      </c>
      <c r="C2931" t="s">
        <v>411</v>
      </c>
      <c r="D2931" t="s">
        <v>2791</v>
      </c>
      <c r="E2931" s="7" t="s">
        <v>198</v>
      </c>
      <c r="F2931" s="7" t="s">
        <v>198</v>
      </c>
      <c r="G2931" s="7" t="s">
        <v>198</v>
      </c>
      <c r="H2931" s="7" t="s">
        <v>20</v>
      </c>
      <c r="I2931" s="7" t="s">
        <v>5102</v>
      </c>
      <c r="J2931" s="7" t="s">
        <v>21</v>
      </c>
      <c r="L2931" t="s">
        <v>3461</v>
      </c>
      <c r="M2931" s="7" t="s">
        <v>22</v>
      </c>
      <c r="N2931" s="7" t="s">
        <v>23</v>
      </c>
      <c r="O2931" s="7" t="s">
        <v>27</v>
      </c>
      <c r="P2931" s="7" t="s">
        <v>5101</v>
      </c>
      <c r="Q2931" s="26">
        <v>23</v>
      </c>
      <c r="R2931" s="26">
        <v>2</v>
      </c>
      <c r="S2931" s="40">
        <v>1</v>
      </c>
      <c r="T2931" s="7"/>
      <c r="U2931" s="7" t="s">
        <v>2951</v>
      </c>
      <c r="V2931" s="7" t="str">
        <f>+IF(U2931="","",IF(U2931="FINES",CONCATENATE("R",IF(OR(B2931="16",B2931="21",B2931="22",B2931="23"),"16212223",IF(OR(B2931="15",B2931="17",B2931="24",B2931="25"),"15172425",B2931))),IF(U2931="CEBAS","UNICO",IF(VALUE(B2931)&lt;=11,"AMBA","INTERIOR"))))</f>
        <v>R09</v>
      </c>
      <c r="W2931" s="38" t="str">
        <f>+IF(U2931="","-",CONCATENATE(U2931,"_",V2931))</f>
        <v>FINES_R09</v>
      </c>
      <c r="X2931" s="42">
        <v>0.621</v>
      </c>
    </row>
    <row r="2932" spans="1:24">
      <c r="A2932" s="21" t="s">
        <v>5100</v>
      </c>
      <c r="B2932" t="s">
        <v>1860</v>
      </c>
      <c r="C2932" t="s">
        <v>1858</v>
      </c>
      <c r="D2932" t="s">
        <v>1859</v>
      </c>
      <c r="E2932" s="7" t="s">
        <v>198</v>
      </c>
      <c r="F2932" s="7" t="s">
        <v>198</v>
      </c>
      <c r="G2932" s="7" t="s">
        <v>198</v>
      </c>
      <c r="H2932" s="7" t="s">
        <v>20</v>
      </c>
      <c r="I2932" s="7" t="s">
        <v>5102</v>
      </c>
      <c r="J2932" s="7" t="s">
        <v>21</v>
      </c>
      <c r="L2932" t="s">
        <v>4216</v>
      </c>
      <c r="M2932" s="7" t="s">
        <v>22</v>
      </c>
      <c r="N2932" s="7" t="s">
        <v>23</v>
      </c>
      <c r="O2932" s="7" t="s">
        <v>27</v>
      </c>
      <c r="P2932" s="7" t="s">
        <v>5101</v>
      </c>
      <c r="Q2932" s="26">
        <v>42</v>
      </c>
      <c r="R2932" s="26">
        <v>1</v>
      </c>
      <c r="S2932" s="40">
        <v>1</v>
      </c>
      <c r="T2932" s="7"/>
      <c r="U2932" s="7" t="s">
        <v>2951</v>
      </c>
      <c r="V2932" s="7" t="str">
        <f>+IF(U2932="","",IF(U2932="FINES",CONCATENATE("R",IF(OR(B2932="16",B2932="21",B2932="22",B2932="23"),"16212223",IF(OR(B2932="15",B2932="17",B2932="24",B2932="25"),"15172425",B2932))),IF(U2932="CEBAS","UNICO",IF(VALUE(B2932)&lt;=11,"AMBA","INTERIOR"))))</f>
        <v>R09</v>
      </c>
      <c r="W2932" s="38" t="str">
        <f>+IF(U2932="","-",CONCATENATE(U2932,"_",V2932))</f>
        <v>FINES_R09</v>
      </c>
      <c r="X2932" s="42">
        <v>0.623</v>
      </c>
    </row>
    <row r="2933" spans="1:24">
      <c r="A2933" s="21" t="s">
        <v>5100</v>
      </c>
      <c r="B2933" t="s">
        <v>1860</v>
      </c>
      <c r="C2933" t="s">
        <v>411</v>
      </c>
      <c r="D2933" t="s">
        <v>2791</v>
      </c>
      <c r="E2933" s="7" t="s">
        <v>198</v>
      </c>
      <c r="F2933" s="7" t="s">
        <v>198</v>
      </c>
      <c r="G2933" s="7" t="s">
        <v>198</v>
      </c>
      <c r="H2933" s="7" t="s">
        <v>20</v>
      </c>
      <c r="I2933" s="7" t="s">
        <v>5102</v>
      </c>
      <c r="J2933" s="7" t="s">
        <v>21</v>
      </c>
      <c r="L2933" t="s">
        <v>4269</v>
      </c>
      <c r="M2933" s="7" t="s">
        <v>22</v>
      </c>
      <c r="N2933" s="7" t="s">
        <v>23</v>
      </c>
      <c r="O2933" s="7" t="s">
        <v>27</v>
      </c>
      <c r="P2933" s="7" t="s">
        <v>5101</v>
      </c>
      <c r="Q2933" s="26">
        <v>108</v>
      </c>
      <c r="R2933" s="26">
        <v>4</v>
      </c>
      <c r="S2933" s="40">
        <v>1</v>
      </c>
      <c r="T2933" s="7"/>
      <c r="U2933" s="7" t="s">
        <v>2951</v>
      </c>
      <c r="V2933" s="7" t="str">
        <f>+IF(U2933="","",IF(U2933="FINES",CONCATENATE("R",IF(OR(B2933="16",B2933="21",B2933="22",B2933="23"),"16212223",IF(OR(B2933="15",B2933="17",B2933="24",B2933="25"),"15172425",B2933))),IF(U2933="CEBAS","UNICO",IF(VALUE(B2933)&lt;=11,"AMBA","INTERIOR"))))</f>
        <v>R09</v>
      </c>
      <c r="W2933" s="38" t="str">
        <f>+IF(U2933="","-",CONCATENATE(U2933,"_",V2933))</f>
        <v>FINES_R09</v>
      </c>
      <c r="X2933" s="42">
        <v>0.623</v>
      </c>
    </row>
    <row r="2934" spans="1:24">
      <c r="A2934" s="21" t="s">
        <v>5100</v>
      </c>
      <c r="B2934" t="s">
        <v>1860</v>
      </c>
      <c r="C2934" t="s">
        <v>1858</v>
      </c>
      <c r="D2934" t="s">
        <v>1859</v>
      </c>
      <c r="E2934" s="7" t="s">
        <v>198</v>
      </c>
      <c r="F2934" s="7" t="s">
        <v>198</v>
      </c>
      <c r="G2934" s="7" t="s">
        <v>198</v>
      </c>
      <c r="H2934" s="7" t="s">
        <v>20</v>
      </c>
      <c r="I2934" s="7" t="s">
        <v>5102</v>
      </c>
      <c r="J2934" s="7" t="s">
        <v>21</v>
      </c>
      <c r="L2934" t="s">
        <v>4239</v>
      </c>
      <c r="M2934" s="7" t="s">
        <v>22</v>
      </c>
      <c r="N2934" s="7" t="s">
        <v>23</v>
      </c>
      <c r="O2934" s="7" t="s">
        <v>27</v>
      </c>
      <c r="P2934" s="7" t="s">
        <v>5101</v>
      </c>
      <c r="Q2934" s="26">
        <v>26</v>
      </c>
      <c r="R2934" s="26">
        <v>1</v>
      </c>
      <c r="S2934" s="40">
        <v>1</v>
      </c>
      <c r="T2934" s="7"/>
      <c r="U2934" s="7" t="s">
        <v>2951</v>
      </c>
      <c r="V2934" s="7" t="str">
        <f>+IF(U2934="","",IF(U2934="FINES",CONCATENATE("R",IF(OR(B2934="16",B2934="21",B2934="22",B2934="23"),"16212223",IF(OR(B2934="15",B2934="17",B2934="24",B2934="25"),"15172425",B2934))),IF(U2934="CEBAS","UNICO",IF(VALUE(B2934)&lt;=11,"AMBA","INTERIOR"))))</f>
        <v>R09</v>
      </c>
      <c r="W2934" s="38" t="str">
        <f>+IF(U2934="","-",CONCATENATE(U2934,"_",V2934))</f>
        <v>FINES_R09</v>
      </c>
      <c r="X2934" s="42">
        <v>0.63</v>
      </c>
    </row>
    <row r="2935" spans="1:24">
      <c r="A2935" s="21" t="s">
        <v>5100</v>
      </c>
      <c r="B2935" t="s">
        <v>1860</v>
      </c>
      <c r="C2935" t="s">
        <v>875</v>
      </c>
      <c r="D2935" t="s">
        <v>2816</v>
      </c>
      <c r="E2935" s="7" t="s">
        <v>198</v>
      </c>
      <c r="F2935" s="7" t="s">
        <v>198</v>
      </c>
      <c r="G2935" s="7" t="s">
        <v>198</v>
      </c>
      <c r="H2935" s="7" t="s">
        <v>20</v>
      </c>
      <c r="I2935" s="7" t="s">
        <v>5102</v>
      </c>
      <c r="J2935" s="7" t="s">
        <v>21</v>
      </c>
      <c r="L2935" t="s">
        <v>4193</v>
      </c>
      <c r="M2935" s="7" t="s">
        <v>22</v>
      </c>
      <c r="N2935" s="7" t="s">
        <v>23</v>
      </c>
      <c r="O2935" s="7" t="s">
        <v>27</v>
      </c>
      <c r="P2935" s="7" t="s">
        <v>5101</v>
      </c>
      <c r="Q2935" s="26">
        <v>25</v>
      </c>
      <c r="R2935" s="26">
        <v>1</v>
      </c>
      <c r="S2935" s="40">
        <v>1</v>
      </c>
      <c r="T2935" s="7"/>
      <c r="U2935" s="7" t="s">
        <v>2951</v>
      </c>
      <c r="V2935" s="7" t="str">
        <f>+IF(U2935="","",IF(U2935="FINES",CONCATENATE("R",IF(OR(B2935="16",B2935="21",B2935="22",B2935="23"),"16212223",IF(OR(B2935="15",B2935="17",B2935="24",B2935="25"),"15172425",B2935))),IF(U2935="CEBAS","UNICO",IF(VALUE(B2935)&lt;=11,"AMBA","INTERIOR"))))</f>
        <v>R09</v>
      </c>
      <c r="W2935" s="38" t="str">
        <f>+IF(U2935="","-",CONCATENATE(U2935,"_",V2935))</f>
        <v>FINES_R09</v>
      </c>
      <c r="X2935" s="42">
        <v>0.64100000000000001</v>
      </c>
    </row>
    <row r="2936" spans="1:24">
      <c r="A2936" s="21" t="s">
        <v>5100</v>
      </c>
      <c r="B2936" t="s">
        <v>1860</v>
      </c>
      <c r="C2936" t="s">
        <v>1858</v>
      </c>
      <c r="D2936" t="s">
        <v>1859</v>
      </c>
      <c r="E2936" s="7" t="s">
        <v>198</v>
      </c>
      <c r="F2936" s="7" t="s">
        <v>198</v>
      </c>
      <c r="G2936" s="7" t="s">
        <v>198</v>
      </c>
      <c r="H2936" s="7" t="s">
        <v>20</v>
      </c>
      <c r="I2936" s="7" t="s">
        <v>5102</v>
      </c>
      <c r="J2936" s="7" t="s">
        <v>21</v>
      </c>
      <c r="L2936" t="s">
        <v>4243</v>
      </c>
      <c r="M2936" s="7" t="s">
        <v>22</v>
      </c>
      <c r="N2936" s="7" t="s">
        <v>23</v>
      </c>
      <c r="O2936" s="7" t="s">
        <v>27</v>
      </c>
      <c r="P2936" s="7" t="s">
        <v>5101</v>
      </c>
      <c r="Q2936" s="26">
        <v>74</v>
      </c>
      <c r="R2936" s="26">
        <v>3</v>
      </c>
      <c r="S2936" s="40">
        <v>1</v>
      </c>
      <c r="T2936" s="7"/>
      <c r="U2936" s="7" t="s">
        <v>2951</v>
      </c>
      <c r="V2936" s="7" t="str">
        <f>+IF(U2936="","",IF(U2936="FINES",CONCATENATE("R",IF(OR(B2936="16",B2936="21",B2936="22",B2936="23"),"16212223",IF(OR(B2936="15",B2936="17",B2936="24",B2936="25"),"15172425",B2936))),IF(U2936="CEBAS","UNICO",IF(VALUE(B2936)&lt;=11,"AMBA","INTERIOR"))))</f>
        <v>R09</v>
      </c>
      <c r="W2936" s="38" t="str">
        <f>+IF(U2936="","-",CONCATENATE(U2936,"_",V2936))</f>
        <v>FINES_R09</v>
      </c>
      <c r="X2936" s="42">
        <v>0.64300000000000002</v>
      </c>
    </row>
    <row r="2937" spans="1:24">
      <c r="A2937" s="21" t="s">
        <v>5100</v>
      </c>
      <c r="B2937" t="s">
        <v>1860</v>
      </c>
      <c r="C2937" t="s">
        <v>1858</v>
      </c>
      <c r="D2937" t="s">
        <v>1859</v>
      </c>
      <c r="E2937" s="7" t="s">
        <v>198</v>
      </c>
      <c r="F2937" s="7" t="s">
        <v>198</v>
      </c>
      <c r="G2937" s="7" t="s">
        <v>198</v>
      </c>
      <c r="H2937" s="7" t="s">
        <v>20</v>
      </c>
      <c r="I2937" s="7" t="s">
        <v>5102</v>
      </c>
      <c r="J2937" s="7" t="s">
        <v>21</v>
      </c>
      <c r="L2937" t="s">
        <v>4230</v>
      </c>
      <c r="M2937" s="7" t="s">
        <v>22</v>
      </c>
      <c r="N2937" s="7" t="s">
        <v>23</v>
      </c>
      <c r="O2937" s="7" t="s">
        <v>27</v>
      </c>
      <c r="P2937" s="7" t="s">
        <v>5101</v>
      </c>
      <c r="Q2937" s="26">
        <v>21</v>
      </c>
      <c r="R2937" s="26">
        <v>1</v>
      </c>
      <c r="S2937" s="40">
        <v>1</v>
      </c>
      <c r="T2937" s="7"/>
      <c r="U2937" s="7" t="s">
        <v>2951</v>
      </c>
      <c r="V2937" s="7" t="str">
        <f>+IF(U2937="","",IF(U2937="FINES",CONCATENATE("R",IF(OR(B2937="16",B2937="21",B2937="22",B2937="23"),"16212223",IF(OR(B2937="15",B2937="17",B2937="24",B2937="25"),"15172425",B2937))),IF(U2937="CEBAS","UNICO",IF(VALUE(B2937)&lt;=11,"AMBA","INTERIOR"))))</f>
        <v>R09</v>
      </c>
      <c r="W2937" s="38" t="str">
        <f>+IF(U2937="","-",CONCATENATE(U2937,"_",V2937))</f>
        <v>FINES_R09</v>
      </c>
      <c r="X2937" s="42">
        <v>0.64800000000000002</v>
      </c>
    </row>
    <row r="2938" spans="1:24">
      <c r="A2938" s="21" t="s">
        <v>5100</v>
      </c>
      <c r="B2938" t="s">
        <v>1860</v>
      </c>
      <c r="C2938" t="s">
        <v>1858</v>
      </c>
      <c r="D2938" t="s">
        <v>1859</v>
      </c>
      <c r="E2938" s="7" t="s">
        <v>198</v>
      </c>
      <c r="F2938" s="7" t="s">
        <v>198</v>
      </c>
      <c r="G2938" s="7" t="s">
        <v>198</v>
      </c>
      <c r="H2938" s="7" t="s">
        <v>20</v>
      </c>
      <c r="I2938" s="7" t="s">
        <v>5102</v>
      </c>
      <c r="J2938" s="7" t="s">
        <v>21</v>
      </c>
      <c r="L2938" t="s">
        <v>4248</v>
      </c>
      <c r="M2938" s="7" t="s">
        <v>22</v>
      </c>
      <c r="N2938" s="7" t="s">
        <v>23</v>
      </c>
      <c r="O2938" s="7" t="s">
        <v>27</v>
      </c>
      <c r="P2938" s="7" t="s">
        <v>5101</v>
      </c>
      <c r="Q2938" s="26">
        <v>322</v>
      </c>
      <c r="R2938" s="26">
        <v>11</v>
      </c>
      <c r="S2938" s="40">
        <v>1</v>
      </c>
      <c r="T2938" s="7"/>
      <c r="U2938" s="7" t="s">
        <v>2951</v>
      </c>
      <c r="V2938" s="7" t="str">
        <f>+IF(U2938="","",IF(U2938="FINES",CONCATENATE("R",IF(OR(B2938="16",B2938="21",B2938="22",B2938="23"),"16212223",IF(OR(B2938="15",B2938="17",B2938="24",B2938="25"),"15172425",B2938))),IF(U2938="CEBAS","UNICO",IF(VALUE(B2938)&lt;=11,"AMBA","INTERIOR"))))</f>
        <v>R09</v>
      </c>
      <c r="W2938" s="38" t="str">
        <f>+IF(U2938="","-",CONCATENATE(U2938,"_",V2938))</f>
        <v>FINES_R09</v>
      </c>
      <c r="X2938" s="42">
        <v>0.66700000000000004</v>
      </c>
    </row>
    <row r="2939" spans="1:24">
      <c r="A2939" s="21" t="s">
        <v>5100</v>
      </c>
      <c r="B2939" t="s">
        <v>1860</v>
      </c>
      <c r="C2939" t="s">
        <v>1858</v>
      </c>
      <c r="D2939" t="s">
        <v>1859</v>
      </c>
      <c r="E2939" s="7" t="s">
        <v>198</v>
      </c>
      <c r="F2939" s="7" t="s">
        <v>198</v>
      </c>
      <c r="G2939" s="7" t="s">
        <v>198</v>
      </c>
      <c r="H2939" s="7" t="s">
        <v>20</v>
      </c>
      <c r="I2939" s="7" t="s">
        <v>5102</v>
      </c>
      <c r="J2939" s="7" t="s">
        <v>21</v>
      </c>
      <c r="L2939" t="s">
        <v>4249</v>
      </c>
      <c r="M2939" s="7" t="s">
        <v>22</v>
      </c>
      <c r="N2939" s="7" t="s">
        <v>23</v>
      </c>
      <c r="O2939" s="7" t="s">
        <v>27</v>
      </c>
      <c r="P2939" s="7" t="s">
        <v>5101</v>
      </c>
      <c r="Q2939" s="26">
        <v>20</v>
      </c>
      <c r="R2939" s="26">
        <v>1</v>
      </c>
      <c r="S2939" s="40">
        <v>1</v>
      </c>
      <c r="T2939" s="7"/>
      <c r="U2939" s="7" t="s">
        <v>2951</v>
      </c>
      <c r="V2939" s="7" t="str">
        <f>+IF(U2939="","",IF(U2939="FINES",CONCATENATE("R",IF(OR(B2939="16",B2939="21",B2939="22",B2939="23"),"16212223",IF(OR(B2939="15",B2939="17",B2939="24",B2939="25"),"15172425",B2939))),IF(U2939="CEBAS","UNICO",IF(VALUE(B2939)&lt;=11,"AMBA","INTERIOR"))))</f>
        <v>R09</v>
      </c>
      <c r="W2939" s="38" t="str">
        <f>+IF(U2939="","-",CONCATENATE(U2939,"_",V2939))</f>
        <v>FINES_R09</v>
      </c>
      <c r="X2939" s="42">
        <v>0.66800000000000004</v>
      </c>
    </row>
    <row r="2940" spans="1:24">
      <c r="A2940" s="21" t="s">
        <v>5100</v>
      </c>
      <c r="B2940" t="s">
        <v>1860</v>
      </c>
      <c r="C2940" t="s">
        <v>1858</v>
      </c>
      <c r="D2940" t="s">
        <v>1859</v>
      </c>
      <c r="E2940" s="7" t="s">
        <v>198</v>
      </c>
      <c r="F2940" s="7" t="s">
        <v>198</v>
      </c>
      <c r="G2940" s="7" t="s">
        <v>198</v>
      </c>
      <c r="H2940" s="7" t="s">
        <v>20</v>
      </c>
      <c r="I2940" s="7" t="s">
        <v>5102</v>
      </c>
      <c r="J2940" s="7" t="s">
        <v>21</v>
      </c>
      <c r="L2940" t="s">
        <v>4220</v>
      </c>
      <c r="M2940" s="7" t="s">
        <v>22</v>
      </c>
      <c r="N2940" s="7" t="s">
        <v>23</v>
      </c>
      <c r="O2940" s="7" t="s">
        <v>27</v>
      </c>
      <c r="P2940" s="7" t="s">
        <v>5101</v>
      </c>
      <c r="Q2940" s="26">
        <v>103</v>
      </c>
      <c r="R2940" s="26">
        <v>3</v>
      </c>
      <c r="S2940" s="40">
        <v>1</v>
      </c>
      <c r="T2940" s="7"/>
      <c r="U2940" s="7" t="s">
        <v>2951</v>
      </c>
      <c r="V2940" s="7" t="str">
        <f>+IF(U2940="","",IF(U2940="FINES",CONCATENATE("R",IF(OR(B2940="16",B2940="21",B2940="22",B2940="23"),"16212223",IF(OR(B2940="15",B2940="17",B2940="24",B2940="25"),"15172425",B2940))),IF(U2940="CEBAS","UNICO",IF(VALUE(B2940)&lt;=11,"AMBA","INTERIOR"))))</f>
        <v>R09</v>
      </c>
      <c r="W2940" s="38" t="str">
        <f>+IF(U2940="","-",CONCATENATE(U2940,"_",V2940))</f>
        <v>FINES_R09</v>
      </c>
      <c r="X2940" s="42">
        <v>0.67900000000000005</v>
      </c>
    </row>
    <row r="2941" spans="1:24">
      <c r="A2941" s="21" t="s">
        <v>5100</v>
      </c>
      <c r="B2941" t="s">
        <v>1860</v>
      </c>
      <c r="C2941" t="s">
        <v>224</v>
      </c>
      <c r="D2941" t="s">
        <v>2837</v>
      </c>
      <c r="E2941" s="7" t="s">
        <v>198</v>
      </c>
      <c r="F2941" s="7" t="s">
        <v>198</v>
      </c>
      <c r="G2941" s="7" t="s">
        <v>198</v>
      </c>
      <c r="H2941" s="7" t="s">
        <v>20</v>
      </c>
      <c r="I2941" s="7" t="s">
        <v>5102</v>
      </c>
      <c r="J2941" s="7" t="s">
        <v>21</v>
      </c>
      <c r="L2941" t="s">
        <v>4210</v>
      </c>
      <c r="M2941" s="7" t="s">
        <v>22</v>
      </c>
      <c r="N2941" s="7" t="s">
        <v>23</v>
      </c>
      <c r="O2941" s="7" t="s">
        <v>27</v>
      </c>
      <c r="P2941" s="7" t="s">
        <v>5101</v>
      </c>
      <c r="Q2941" s="26">
        <v>17</v>
      </c>
      <c r="R2941" s="26">
        <v>1</v>
      </c>
      <c r="S2941" s="40">
        <v>1</v>
      </c>
      <c r="T2941" s="7"/>
      <c r="U2941" s="7" t="s">
        <v>2951</v>
      </c>
      <c r="V2941" s="7" t="str">
        <f>+IF(U2941="","",IF(U2941="FINES",CONCATENATE("R",IF(OR(B2941="16",B2941="21",B2941="22",B2941="23"),"16212223",IF(OR(B2941="15",B2941="17",B2941="24",B2941="25"),"15172425",B2941))),IF(U2941="CEBAS","UNICO",IF(VALUE(B2941)&lt;=11,"AMBA","INTERIOR"))))</f>
        <v>R09</v>
      </c>
      <c r="W2941" s="38" t="str">
        <f>+IF(U2941="","-",CONCATENATE(U2941,"_",V2941))</f>
        <v>FINES_R09</v>
      </c>
      <c r="X2941" s="42">
        <v>0.68</v>
      </c>
    </row>
    <row r="2942" spans="1:24">
      <c r="A2942" s="21" t="s">
        <v>5100</v>
      </c>
      <c r="B2942" t="s">
        <v>1860</v>
      </c>
      <c r="C2942" t="s">
        <v>224</v>
      </c>
      <c r="D2942" t="s">
        <v>2837</v>
      </c>
      <c r="E2942" s="7" t="s">
        <v>198</v>
      </c>
      <c r="F2942" s="7" t="s">
        <v>198</v>
      </c>
      <c r="G2942" s="7" t="s">
        <v>198</v>
      </c>
      <c r="H2942" s="7" t="s">
        <v>20</v>
      </c>
      <c r="I2942" s="7" t="s">
        <v>5102</v>
      </c>
      <c r="J2942" s="7" t="s">
        <v>21</v>
      </c>
      <c r="L2942" t="s">
        <v>4205</v>
      </c>
      <c r="M2942" s="7" t="s">
        <v>22</v>
      </c>
      <c r="N2942" s="7" t="s">
        <v>23</v>
      </c>
      <c r="O2942" s="7" t="s">
        <v>27</v>
      </c>
      <c r="P2942" s="7" t="s">
        <v>5101</v>
      </c>
      <c r="Q2942" s="26">
        <v>50</v>
      </c>
      <c r="R2942" s="26">
        <v>2</v>
      </c>
      <c r="S2942" s="40">
        <v>1</v>
      </c>
      <c r="T2942" s="7"/>
      <c r="U2942" s="7" t="s">
        <v>2951</v>
      </c>
      <c r="V2942" s="7" t="str">
        <f>+IF(U2942="","",IF(U2942="FINES",CONCATENATE("R",IF(OR(B2942="16",B2942="21",B2942="22",B2942="23"),"16212223",IF(OR(B2942="15",B2942="17",B2942="24",B2942="25"),"15172425",B2942))),IF(U2942="CEBAS","UNICO",IF(VALUE(B2942)&lt;=11,"AMBA","INTERIOR"))))</f>
        <v>R09</v>
      </c>
      <c r="W2942" s="38" t="str">
        <f>+IF(U2942="","-",CONCATENATE(U2942,"_",V2942))</f>
        <v>FINES_R09</v>
      </c>
      <c r="X2942" s="42">
        <v>0.69</v>
      </c>
    </row>
    <row r="2943" spans="1:24">
      <c r="A2943" s="21" t="s">
        <v>5100</v>
      </c>
      <c r="B2943" t="s">
        <v>1860</v>
      </c>
      <c r="C2943" t="s">
        <v>875</v>
      </c>
      <c r="D2943" t="s">
        <v>2816</v>
      </c>
      <c r="E2943" s="7" t="s">
        <v>198</v>
      </c>
      <c r="F2943" s="7" t="s">
        <v>198</v>
      </c>
      <c r="G2943" s="7" t="s">
        <v>198</v>
      </c>
      <c r="H2943" s="7" t="s">
        <v>20</v>
      </c>
      <c r="I2943" s="7" t="s">
        <v>5102</v>
      </c>
      <c r="J2943" s="7" t="s">
        <v>21</v>
      </c>
      <c r="L2943" t="s">
        <v>4174</v>
      </c>
      <c r="M2943" s="7" t="s">
        <v>22</v>
      </c>
      <c r="N2943" s="7" t="s">
        <v>23</v>
      </c>
      <c r="O2943" s="7" t="s">
        <v>27</v>
      </c>
      <c r="P2943" s="7" t="s">
        <v>5101</v>
      </c>
      <c r="Q2943" s="26">
        <v>49</v>
      </c>
      <c r="R2943" s="26">
        <v>3</v>
      </c>
      <c r="S2943" s="40">
        <v>1</v>
      </c>
      <c r="T2943" s="7"/>
      <c r="U2943" s="7" t="s">
        <v>2951</v>
      </c>
      <c r="V2943" s="7" t="str">
        <f>+IF(U2943="","",IF(U2943="FINES",CONCATENATE("R",IF(OR(B2943="16",B2943="21",B2943="22",B2943="23"),"16212223",IF(OR(B2943="15",B2943="17",B2943="24",B2943="25"),"15172425",B2943))),IF(U2943="CEBAS","UNICO",IF(VALUE(B2943)&lt;=11,"AMBA","INTERIOR"))))</f>
        <v>R09</v>
      </c>
      <c r="W2943" s="38" t="str">
        <f>+IF(U2943="","-",CONCATENATE(U2943,"_",V2943))</f>
        <v>FINES_R09</v>
      </c>
      <c r="X2943" s="42">
        <v>0.70199999999999996</v>
      </c>
    </row>
    <row r="2944" spans="1:24">
      <c r="A2944" s="21" t="s">
        <v>5100</v>
      </c>
      <c r="B2944" t="s">
        <v>1860</v>
      </c>
      <c r="C2944" t="s">
        <v>1858</v>
      </c>
      <c r="D2944" t="s">
        <v>1859</v>
      </c>
      <c r="E2944" s="7" t="s">
        <v>198</v>
      </c>
      <c r="F2944" s="7" t="s">
        <v>198</v>
      </c>
      <c r="G2944" s="7" t="s">
        <v>198</v>
      </c>
      <c r="H2944" s="7" t="s">
        <v>20</v>
      </c>
      <c r="I2944" s="7" t="s">
        <v>5102</v>
      </c>
      <c r="J2944" s="7" t="s">
        <v>21</v>
      </c>
      <c r="L2944" t="s">
        <v>4259</v>
      </c>
      <c r="M2944" s="7" t="s">
        <v>22</v>
      </c>
      <c r="N2944" s="7" t="s">
        <v>23</v>
      </c>
      <c r="O2944" s="7" t="s">
        <v>27</v>
      </c>
      <c r="P2944" s="7" t="s">
        <v>5101</v>
      </c>
      <c r="Q2944" s="26">
        <v>21</v>
      </c>
      <c r="R2944" s="26">
        <v>1</v>
      </c>
      <c r="S2944" s="40">
        <v>1</v>
      </c>
      <c r="T2944" s="7"/>
      <c r="U2944" s="7" t="s">
        <v>2951</v>
      </c>
      <c r="V2944" s="7" t="str">
        <f>+IF(U2944="","",IF(U2944="FINES",CONCATENATE("R",IF(OR(B2944="16",B2944="21",B2944="22",B2944="23"),"16212223",IF(OR(B2944="15",B2944="17",B2944="24",B2944="25"),"15172425",B2944))),IF(U2944="CEBAS","UNICO",IF(VALUE(B2944)&lt;=11,"AMBA","INTERIOR"))))</f>
        <v>R09</v>
      </c>
      <c r="W2944" s="38" t="str">
        <f>+IF(U2944="","-",CONCATENATE(U2944,"_",V2944))</f>
        <v>FINES_R09</v>
      </c>
      <c r="X2944" s="42">
        <v>0.70399999999999996</v>
      </c>
    </row>
    <row r="2945" spans="1:24">
      <c r="A2945" s="21" t="s">
        <v>5100</v>
      </c>
      <c r="B2945" t="s">
        <v>1860</v>
      </c>
      <c r="C2945" t="s">
        <v>224</v>
      </c>
      <c r="D2945" t="s">
        <v>2837</v>
      </c>
      <c r="E2945" s="7" t="s">
        <v>198</v>
      </c>
      <c r="F2945" s="7" t="s">
        <v>198</v>
      </c>
      <c r="G2945" s="7" t="s">
        <v>198</v>
      </c>
      <c r="H2945" s="7" t="s">
        <v>20</v>
      </c>
      <c r="I2945" s="7" t="s">
        <v>5102</v>
      </c>
      <c r="J2945" s="7" t="s">
        <v>21</v>
      </c>
      <c r="L2945" t="s">
        <v>4211</v>
      </c>
      <c r="M2945" s="7" t="s">
        <v>22</v>
      </c>
      <c r="N2945" s="7" t="s">
        <v>23</v>
      </c>
      <c r="O2945" s="7" t="s">
        <v>27</v>
      </c>
      <c r="P2945" s="7" t="s">
        <v>5101</v>
      </c>
      <c r="Q2945" s="26">
        <v>26</v>
      </c>
      <c r="R2945" s="26">
        <v>1</v>
      </c>
      <c r="S2945" s="40">
        <v>1</v>
      </c>
      <c r="T2945" s="7"/>
      <c r="U2945" s="7" t="s">
        <v>2951</v>
      </c>
      <c r="V2945" s="7" t="str">
        <f>+IF(U2945="","",IF(U2945="FINES",CONCATENATE("R",IF(OR(B2945="16",B2945="21",B2945="22",B2945="23"),"16212223",IF(OR(B2945="15",B2945="17",B2945="24",B2945="25"),"15172425",B2945))),IF(U2945="CEBAS","UNICO",IF(VALUE(B2945)&lt;=11,"AMBA","INTERIOR"))))</f>
        <v>R09</v>
      </c>
      <c r="W2945" s="38" t="str">
        <f>+IF(U2945="","-",CONCATENATE(U2945,"_",V2945))</f>
        <v>FINES_R09</v>
      </c>
      <c r="X2945" s="42">
        <v>0.71099999999999997</v>
      </c>
    </row>
    <row r="2946" spans="1:24">
      <c r="A2946" s="21" t="s">
        <v>5100</v>
      </c>
      <c r="B2946" t="s">
        <v>1860</v>
      </c>
      <c r="C2946" t="s">
        <v>875</v>
      </c>
      <c r="D2946" t="s">
        <v>2816</v>
      </c>
      <c r="E2946" s="7" t="s">
        <v>198</v>
      </c>
      <c r="F2946" s="7" t="s">
        <v>198</v>
      </c>
      <c r="G2946" s="7" t="s">
        <v>198</v>
      </c>
      <c r="H2946" s="7" t="s">
        <v>20</v>
      </c>
      <c r="I2946" s="7" t="s">
        <v>5102</v>
      </c>
      <c r="J2946" s="7" t="s">
        <v>21</v>
      </c>
      <c r="L2946" t="s">
        <v>4185</v>
      </c>
      <c r="M2946" s="7" t="s">
        <v>22</v>
      </c>
      <c r="N2946" s="7" t="s">
        <v>23</v>
      </c>
      <c r="O2946" s="7" t="s">
        <v>27</v>
      </c>
      <c r="P2946" s="7" t="s">
        <v>5101</v>
      </c>
      <c r="Q2946" s="26">
        <v>8</v>
      </c>
      <c r="R2946" s="26">
        <v>1</v>
      </c>
      <c r="S2946" s="40">
        <v>1</v>
      </c>
      <c r="T2946" s="7"/>
      <c r="U2946" s="7" t="s">
        <v>2951</v>
      </c>
      <c r="V2946" s="7" t="str">
        <f>+IF(U2946="","",IF(U2946="FINES",CONCATENATE("R",IF(OR(B2946="16",B2946="21",B2946="22",B2946="23"),"16212223",IF(OR(B2946="15",B2946="17",B2946="24",B2946="25"),"15172425",B2946))),IF(U2946="CEBAS","UNICO",IF(VALUE(B2946)&lt;=11,"AMBA","INTERIOR"))))</f>
        <v>R09</v>
      </c>
      <c r="W2946" s="38" t="str">
        <f>+IF(U2946="","-",CONCATENATE(U2946,"_",V2946))</f>
        <v>FINES_R09</v>
      </c>
      <c r="X2946" s="42">
        <v>0.71599999999999997</v>
      </c>
    </row>
    <row r="2947" spans="1:24">
      <c r="A2947" s="21" t="s">
        <v>5100</v>
      </c>
      <c r="B2947" t="s">
        <v>1860</v>
      </c>
      <c r="C2947" t="s">
        <v>1858</v>
      </c>
      <c r="D2947" t="s">
        <v>1859</v>
      </c>
      <c r="E2947" s="7" t="s">
        <v>198</v>
      </c>
      <c r="F2947" s="7" t="s">
        <v>198</v>
      </c>
      <c r="G2947" s="7" t="s">
        <v>198</v>
      </c>
      <c r="H2947" s="7" t="s">
        <v>20</v>
      </c>
      <c r="I2947" s="7" t="s">
        <v>5102</v>
      </c>
      <c r="J2947" s="7" t="s">
        <v>21</v>
      </c>
      <c r="L2947" t="s">
        <v>4228</v>
      </c>
      <c r="M2947" s="7" t="s">
        <v>22</v>
      </c>
      <c r="N2947" s="7" t="s">
        <v>23</v>
      </c>
      <c r="O2947" s="7" t="s">
        <v>27</v>
      </c>
      <c r="P2947" s="7" t="s">
        <v>5101</v>
      </c>
      <c r="Q2947" s="26">
        <v>34</v>
      </c>
      <c r="R2947" s="26">
        <v>1</v>
      </c>
      <c r="S2947" s="40">
        <v>1</v>
      </c>
      <c r="T2947" s="7"/>
      <c r="U2947" s="7" t="s">
        <v>2951</v>
      </c>
      <c r="V2947" s="7" t="str">
        <f>+IF(U2947="","",IF(U2947="FINES",CONCATENATE("R",IF(OR(B2947="16",B2947="21",B2947="22",B2947="23"),"16212223",IF(OR(B2947="15",B2947="17",B2947="24",B2947="25"),"15172425",B2947))),IF(U2947="CEBAS","UNICO",IF(VALUE(B2947)&lt;=11,"AMBA","INTERIOR"))))</f>
        <v>R09</v>
      </c>
      <c r="W2947" s="38" t="str">
        <f>+IF(U2947="","-",CONCATENATE(U2947,"_",V2947))</f>
        <v>FINES_R09</v>
      </c>
      <c r="X2947" s="42">
        <v>0.71699999999999997</v>
      </c>
    </row>
    <row r="2948" spans="1:24">
      <c r="A2948" s="21" t="s">
        <v>5100</v>
      </c>
      <c r="B2948" t="s">
        <v>1860</v>
      </c>
      <c r="C2948" t="s">
        <v>1858</v>
      </c>
      <c r="D2948" t="s">
        <v>1859</v>
      </c>
      <c r="E2948" s="7" t="s">
        <v>198</v>
      </c>
      <c r="F2948" s="7" t="s">
        <v>198</v>
      </c>
      <c r="G2948" s="7" t="s">
        <v>198</v>
      </c>
      <c r="H2948" s="7" t="s">
        <v>20</v>
      </c>
      <c r="I2948" s="7" t="s">
        <v>5102</v>
      </c>
      <c r="J2948" s="7" t="s">
        <v>21</v>
      </c>
      <c r="L2948" t="s">
        <v>4251</v>
      </c>
      <c r="M2948" s="7" t="s">
        <v>22</v>
      </c>
      <c r="N2948" s="7" t="s">
        <v>23</v>
      </c>
      <c r="O2948" s="7" t="s">
        <v>27</v>
      </c>
      <c r="P2948" s="7" t="s">
        <v>5101</v>
      </c>
      <c r="Q2948" s="26">
        <v>128</v>
      </c>
      <c r="R2948" s="26">
        <v>4</v>
      </c>
      <c r="S2948" s="40">
        <v>1</v>
      </c>
      <c r="T2948" s="7"/>
      <c r="U2948" s="7" t="s">
        <v>2951</v>
      </c>
      <c r="V2948" s="7" t="str">
        <f>+IF(U2948="","",IF(U2948="FINES",CONCATENATE("R",IF(OR(B2948="16",B2948="21",B2948="22",B2948="23"),"16212223",IF(OR(B2948="15",B2948="17",B2948="24",B2948="25"),"15172425",B2948))),IF(U2948="CEBAS","UNICO",IF(VALUE(B2948)&lt;=11,"AMBA","INTERIOR"))))</f>
        <v>R09</v>
      </c>
      <c r="W2948" s="38" t="str">
        <f>+IF(U2948="","-",CONCATENATE(U2948,"_",V2948))</f>
        <v>FINES_R09</v>
      </c>
      <c r="X2948" s="42">
        <v>0.71899999999999997</v>
      </c>
    </row>
    <row r="2949" spans="1:24">
      <c r="A2949" s="21" t="s">
        <v>5100</v>
      </c>
      <c r="B2949" t="s">
        <v>1860</v>
      </c>
      <c r="C2949" t="s">
        <v>875</v>
      </c>
      <c r="D2949" t="s">
        <v>2816</v>
      </c>
      <c r="E2949" s="7" t="s">
        <v>198</v>
      </c>
      <c r="F2949" s="7" t="s">
        <v>198</v>
      </c>
      <c r="G2949" s="7" t="s">
        <v>198</v>
      </c>
      <c r="H2949" s="7" t="s">
        <v>20</v>
      </c>
      <c r="I2949" s="7" t="s">
        <v>5102</v>
      </c>
      <c r="J2949" s="7" t="s">
        <v>21</v>
      </c>
      <c r="L2949" t="s">
        <v>4194</v>
      </c>
      <c r="M2949" s="7" t="s">
        <v>22</v>
      </c>
      <c r="N2949" s="7" t="s">
        <v>23</v>
      </c>
      <c r="O2949" s="7" t="s">
        <v>27</v>
      </c>
      <c r="P2949" s="7" t="s">
        <v>5101</v>
      </c>
      <c r="Q2949" s="26">
        <v>34</v>
      </c>
      <c r="R2949" s="26">
        <v>1</v>
      </c>
      <c r="S2949" s="40">
        <v>1</v>
      </c>
      <c r="T2949" s="7"/>
      <c r="U2949" s="7" t="s">
        <v>2951</v>
      </c>
      <c r="V2949" s="7" t="str">
        <f>+IF(U2949="","",IF(U2949="FINES",CONCATENATE("R",IF(OR(B2949="16",B2949="21",B2949="22",B2949="23"),"16212223",IF(OR(B2949="15",B2949="17",B2949="24",B2949="25"),"15172425",B2949))),IF(U2949="CEBAS","UNICO",IF(VALUE(B2949)&lt;=11,"AMBA","INTERIOR"))))</f>
        <v>R09</v>
      </c>
      <c r="W2949" s="38" t="str">
        <f>+IF(U2949="","-",CONCATENATE(U2949,"_",V2949))</f>
        <v>FINES_R09</v>
      </c>
      <c r="X2949" s="42">
        <v>0.73799999999999999</v>
      </c>
    </row>
    <row r="2950" spans="1:24">
      <c r="A2950" s="21" t="s">
        <v>5100</v>
      </c>
      <c r="B2950" t="s">
        <v>1860</v>
      </c>
      <c r="C2950" t="s">
        <v>1858</v>
      </c>
      <c r="D2950" t="s">
        <v>1859</v>
      </c>
      <c r="E2950" s="7" t="s">
        <v>198</v>
      </c>
      <c r="F2950" s="7" t="s">
        <v>198</v>
      </c>
      <c r="G2950" s="7" t="s">
        <v>198</v>
      </c>
      <c r="H2950" s="7" t="s">
        <v>20</v>
      </c>
      <c r="I2950" s="7" t="s">
        <v>5102</v>
      </c>
      <c r="J2950" s="7" t="s">
        <v>21</v>
      </c>
      <c r="L2950" t="s">
        <v>4263</v>
      </c>
      <c r="M2950" s="7" t="s">
        <v>22</v>
      </c>
      <c r="N2950" s="7" t="s">
        <v>23</v>
      </c>
      <c r="O2950" s="7" t="s">
        <v>27</v>
      </c>
      <c r="P2950" s="7" t="s">
        <v>5101</v>
      </c>
      <c r="Q2950" s="26">
        <v>19</v>
      </c>
      <c r="R2950" s="26">
        <v>1</v>
      </c>
      <c r="S2950" s="40">
        <v>1</v>
      </c>
      <c r="T2950" s="7"/>
      <c r="U2950" s="7" t="s">
        <v>2951</v>
      </c>
      <c r="V2950" s="7" t="str">
        <f>+IF(U2950="","",IF(U2950="FINES",CONCATENATE("R",IF(OR(B2950="16",B2950="21",B2950="22",B2950="23"),"16212223",IF(OR(B2950="15",B2950="17",B2950="24",B2950="25"),"15172425",B2950))),IF(U2950="CEBAS","UNICO",IF(VALUE(B2950)&lt;=11,"AMBA","INTERIOR"))))</f>
        <v>R09</v>
      </c>
      <c r="W2950" s="38" t="str">
        <f>+IF(U2950="","-",CONCATENATE(U2950,"_",V2950))</f>
        <v>FINES_R09</v>
      </c>
      <c r="X2950" s="42">
        <v>0.75700000000000001</v>
      </c>
    </row>
    <row r="2951" spans="1:24">
      <c r="A2951" s="21" t="s">
        <v>5100</v>
      </c>
      <c r="B2951" t="s">
        <v>1860</v>
      </c>
      <c r="C2951" t="s">
        <v>1858</v>
      </c>
      <c r="D2951" t="s">
        <v>1859</v>
      </c>
      <c r="E2951" s="7" t="s">
        <v>198</v>
      </c>
      <c r="F2951" s="7" t="s">
        <v>198</v>
      </c>
      <c r="G2951" s="7" t="s">
        <v>198</v>
      </c>
      <c r="H2951" s="7" t="s">
        <v>20</v>
      </c>
      <c r="I2951" s="7" t="s">
        <v>5102</v>
      </c>
      <c r="J2951" s="7" t="s">
        <v>21</v>
      </c>
      <c r="L2951" t="s">
        <v>4247</v>
      </c>
      <c r="M2951" s="7" t="s">
        <v>22</v>
      </c>
      <c r="N2951" s="7" t="s">
        <v>23</v>
      </c>
      <c r="O2951" s="7" t="s">
        <v>27</v>
      </c>
      <c r="P2951" s="7" t="s">
        <v>5101</v>
      </c>
      <c r="Q2951" s="26">
        <v>67</v>
      </c>
      <c r="R2951" s="26">
        <v>2</v>
      </c>
      <c r="S2951" s="40">
        <v>1</v>
      </c>
      <c r="T2951" s="7"/>
      <c r="U2951" s="7" t="s">
        <v>2951</v>
      </c>
      <c r="V2951" s="7" t="str">
        <f>+IF(U2951="","",IF(U2951="FINES",CONCATENATE("R",IF(OR(B2951="16",B2951="21",B2951="22",B2951="23"),"16212223",IF(OR(B2951="15",B2951="17",B2951="24",B2951="25"),"15172425",B2951))),IF(U2951="CEBAS","UNICO",IF(VALUE(B2951)&lt;=11,"AMBA","INTERIOR"))))</f>
        <v>R09</v>
      </c>
      <c r="W2951" s="38" t="str">
        <f>+IF(U2951="","-",CONCATENATE(U2951,"_",V2951))</f>
        <v>FINES_R09</v>
      </c>
      <c r="X2951" s="42">
        <v>0.76800000000000002</v>
      </c>
    </row>
    <row r="2952" spans="1:24">
      <c r="A2952" s="21" t="s">
        <v>5100</v>
      </c>
      <c r="B2952" t="s">
        <v>1860</v>
      </c>
      <c r="C2952" t="s">
        <v>875</v>
      </c>
      <c r="D2952" t="s">
        <v>2816</v>
      </c>
      <c r="E2952" s="7" t="s">
        <v>198</v>
      </c>
      <c r="F2952" s="7" t="s">
        <v>198</v>
      </c>
      <c r="G2952" s="7" t="s">
        <v>198</v>
      </c>
      <c r="H2952" s="7" t="s">
        <v>20</v>
      </c>
      <c r="I2952" s="7" t="s">
        <v>5102</v>
      </c>
      <c r="J2952" s="7" t="s">
        <v>21</v>
      </c>
      <c r="L2952" t="s">
        <v>4192</v>
      </c>
      <c r="M2952" s="7" t="s">
        <v>22</v>
      </c>
      <c r="N2952" s="7" t="s">
        <v>23</v>
      </c>
      <c r="O2952" s="7" t="s">
        <v>27</v>
      </c>
      <c r="P2952" s="7" t="s">
        <v>5101</v>
      </c>
      <c r="Q2952" s="26">
        <v>68</v>
      </c>
      <c r="R2952" s="26">
        <v>1</v>
      </c>
      <c r="S2952" s="40">
        <v>1</v>
      </c>
      <c r="T2952" s="7"/>
      <c r="U2952" s="7" t="s">
        <v>2951</v>
      </c>
      <c r="V2952" s="7" t="str">
        <f>+IF(U2952="","",IF(U2952="FINES",CONCATENATE("R",IF(OR(B2952="16",B2952="21",B2952="22",B2952="23"),"16212223",IF(OR(B2952="15",B2952="17",B2952="24",B2952="25"),"15172425",B2952))),IF(U2952="CEBAS","UNICO",IF(VALUE(B2952)&lt;=11,"AMBA","INTERIOR"))))</f>
        <v>R09</v>
      </c>
      <c r="W2952" s="38" t="str">
        <f>+IF(U2952="","-",CONCATENATE(U2952,"_",V2952))</f>
        <v>FINES_R09</v>
      </c>
      <c r="X2952" s="42">
        <v>0.77500000000000002</v>
      </c>
    </row>
    <row r="2953" spans="1:24">
      <c r="A2953" s="21" t="s">
        <v>5100</v>
      </c>
      <c r="B2953" t="s">
        <v>1860</v>
      </c>
      <c r="C2953" t="s">
        <v>1858</v>
      </c>
      <c r="D2953" t="s">
        <v>1859</v>
      </c>
      <c r="E2953" s="7" t="s">
        <v>198</v>
      </c>
      <c r="F2953" s="7" t="s">
        <v>198</v>
      </c>
      <c r="G2953" s="7" t="s">
        <v>198</v>
      </c>
      <c r="H2953" s="7" t="s">
        <v>20</v>
      </c>
      <c r="I2953" s="7" t="s">
        <v>5102</v>
      </c>
      <c r="J2953" s="7" t="s">
        <v>21</v>
      </c>
      <c r="L2953" t="s">
        <v>4232</v>
      </c>
      <c r="M2953" s="7" t="s">
        <v>22</v>
      </c>
      <c r="N2953" s="7" t="s">
        <v>23</v>
      </c>
      <c r="O2953" s="7" t="s">
        <v>27</v>
      </c>
      <c r="P2953" s="7" t="s">
        <v>5101</v>
      </c>
      <c r="Q2953" s="26">
        <v>22</v>
      </c>
      <c r="R2953" s="26">
        <v>1</v>
      </c>
      <c r="S2953" s="40">
        <v>1</v>
      </c>
      <c r="T2953" s="7"/>
      <c r="U2953" s="7" t="s">
        <v>2951</v>
      </c>
      <c r="V2953" s="7" t="str">
        <f>+IF(U2953="","",IF(U2953="FINES",CONCATENATE("R",IF(OR(B2953="16",B2953="21",B2953="22",B2953="23"),"16212223",IF(OR(B2953="15",B2953="17",B2953="24",B2953="25"),"15172425",B2953))),IF(U2953="CEBAS","UNICO",IF(VALUE(B2953)&lt;=11,"AMBA","INTERIOR"))))</f>
        <v>R09</v>
      </c>
      <c r="W2953" s="38" t="str">
        <f>+IF(U2953="","-",CONCATENATE(U2953,"_",V2953))</f>
        <v>FINES_R09</v>
      </c>
      <c r="X2953" s="42">
        <v>0.78200000000000003</v>
      </c>
    </row>
    <row r="2954" spans="1:24">
      <c r="A2954" s="21" t="s">
        <v>5100</v>
      </c>
      <c r="B2954" t="s">
        <v>1860</v>
      </c>
      <c r="C2954" t="s">
        <v>1858</v>
      </c>
      <c r="D2954" t="s">
        <v>1859</v>
      </c>
      <c r="E2954" s="7" t="s">
        <v>198</v>
      </c>
      <c r="F2954" s="7" t="s">
        <v>198</v>
      </c>
      <c r="G2954" s="7" t="s">
        <v>198</v>
      </c>
      <c r="H2954" s="7" t="s">
        <v>20</v>
      </c>
      <c r="I2954" s="7" t="s">
        <v>5102</v>
      </c>
      <c r="J2954" s="7" t="s">
        <v>21</v>
      </c>
      <c r="L2954" t="s">
        <v>4217</v>
      </c>
      <c r="M2954" s="7" t="s">
        <v>22</v>
      </c>
      <c r="N2954" s="7" t="s">
        <v>23</v>
      </c>
      <c r="O2954" s="7" t="s">
        <v>27</v>
      </c>
      <c r="P2954" s="7" t="s">
        <v>5101</v>
      </c>
      <c r="Q2954" s="26">
        <v>16</v>
      </c>
      <c r="R2954" s="26">
        <v>1</v>
      </c>
      <c r="S2954" s="40">
        <v>1</v>
      </c>
      <c r="T2954" s="7"/>
      <c r="U2954" s="7" t="s">
        <v>2951</v>
      </c>
      <c r="V2954" s="7" t="str">
        <f>+IF(U2954="","",IF(U2954="FINES",CONCATENATE("R",IF(OR(B2954="16",B2954="21",B2954="22",B2954="23"),"16212223",IF(OR(B2954="15",B2954="17",B2954="24",B2954="25"),"15172425",B2954))),IF(U2954="CEBAS","UNICO",IF(VALUE(B2954)&lt;=11,"AMBA","INTERIOR"))))</f>
        <v>R09</v>
      </c>
      <c r="W2954" s="38" t="str">
        <f>+IF(U2954="","-",CONCATENATE(U2954,"_",V2954))</f>
        <v>FINES_R09</v>
      </c>
      <c r="X2954" s="42">
        <v>0.78600000000000003</v>
      </c>
    </row>
    <row r="2955" spans="1:24">
      <c r="A2955" s="21" t="s">
        <v>5100</v>
      </c>
      <c r="B2955" t="s">
        <v>1860</v>
      </c>
      <c r="C2955" t="s">
        <v>224</v>
      </c>
      <c r="D2955" t="s">
        <v>2837</v>
      </c>
      <c r="E2955" s="7" t="s">
        <v>198</v>
      </c>
      <c r="F2955" s="7" t="s">
        <v>198</v>
      </c>
      <c r="G2955" s="7" t="s">
        <v>198</v>
      </c>
      <c r="H2955" s="7" t="s">
        <v>20</v>
      </c>
      <c r="I2955" s="7" t="s">
        <v>5102</v>
      </c>
      <c r="J2955" s="7" t="s">
        <v>21</v>
      </c>
      <c r="L2955" t="s">
        <v>4213</v>
      </c>
      <c r="M2955" s="7" t="s">
        <v>22</v>
      </c>
      <c r="N2955" s="7" t="s">
        <v>23</v>
      </c>
      <c r="O2955" s="7" t="s">
        <v>27</v>
      </c>
      <c r="P2955" s="7" t="s">
        <v>5101</v>
      </c>
      <c r="Q2955" s="26">
        <v>18</v>
      </c>
      <c r="R2955" s="26">
        <v>1</v>
      </c>
      <c r="S2955" s="40">
        <v>1</v>
      </c>
      <c r="T2955" s="7"/>
      <c r="U2955" s="7" t="s">
        <v>2951</v>
      </c>
      <c r="V2955" s="7" t="str">
        <f>+IF(U2955="","",IF(U2955="FINES",CONCATENATE("R",IF(OR(B2955="16",B2955="21",B2955="22",B2955="23"),"16212223",IF(OR(B2955="15",B2955="17",B2955="24",B2955="25"),"15172425",B2955))),IF(U2955="CEBAS","UNICO",IF(VALUE(B2955)&lt;=11,"AMBA","INTERIOR"))))</f>
        <v>R09</v>
      </c>
      <c r="W2955" s="38" t="str">
        <f>+IF(U2955="","-",CONCATENATE(U2955,"_",V2955))</f>
        <v>FINES_R09</v>
      </c>
      <c r="X2955" s="42">
        <v>0.78600000000000003</v>
      </c>
    </row>
    <row r="2956" spans="1:24">
      <c r="A2956" s="21" t="s">
        <v>5100</v>
      </c>
      <c r="B2956" t="s">
        <v>1860</v>
      </c>
      <c r="C2956" t="s">
        <v>1858</v>
      </c>
      <c r="D2956" t="s">
        <v>1859</v>
      </c>
      <c r="E2956" s="7" t="s">
        <v>198</v>
      </c>
      <c r="F2956" s="7" t="s">
        <v>198</v>
      </c>
      <c r="G2956" s="7" t="s">
        <v>198</v>
      </c>
      <c r="H2956" s="7" t="s">
        <v>20</v>
      </c>
      <c r="I2956" s="7" t="s">
        <v>5102</v>
      </c>
      <c r="J2956" s="7" t="s">
        <v>21</v>
      </c>
      <c r="L2956" t="s">
        <v>4229</v>
      </c>
      <c r="M2956" s="7" t="s">
        <v>22</v>
      </c>
      <c r="N2956" s="7" t="s">
        <v>23</v>
      </c>
      <c r="O2956" s="7" t="s">
        <v>27</v>
      </c>
      <c r="P2956" s="7" t="s">
        <v>5101</v>
      </c>
      <c r="Q2956" s="26">
        <v>29</v>
      </c>
      <c r="R2956" s="26">
        <v>1</v>
      </c>
      <c r="S2956" s="40">
        <v>1</v>
      </c>
      <c r="T2956" s="7"/>
      <c r="U2956" s="7" t="s">
        <v>2951</v>
      </c>
      <c r="V2956" s="7" t="str">
        <f>+IF(U2956="","",IF(U2956="FINES",CONCATENATE("R",IF(OR(B2956="16",B2956="21",B2956="22",B2956="23"),"16212223",IF(OR(B2956="15",B2956="17",B2956="24",B2956="25"),"15172425",B2956))),IF(U2956="CEBAS","UNICO",IF(VALUE(B2956)&lt;=11,"AMBA","INTERIOR"))))</f>
        <v>R09</v>
      </c>
      <c r="W2956" s="38" t="str">
        <f>+IF(U2956="","-",CONCATENATE(U2956,"_",V2956))</f>
        <v>FINES_R09</v>
      </c>
      <c r="X2956" s="42">
        <v>0.79</v>
      </c>
    </row>
    <row r="2957" spans="1:24">
      <c r="A2957" s="21" t="s">
        <v>5100</v>
      </c>
      <c r="B2957" t="s">
        <v>1860</v>
      </c>
      <c r="C2957" t="s">
        <v>875</v>
      </c>
      <c r="D2957" t="s">
        <v>2816</v>
      </c>
      <c r="E2957" s="7" t="s">
        <v>198</v>
      </c>
      <c r="F2957" s="7" t="s">
        <v>198</v>
      </c>
      <c r="G2957" s="7" t="s">
        <v>198</v>
      </c>
      <c r="H2957" s="7" t="s">
        <v>20</v>
      </c>
      <c r="I2957" s="7" t="s">
        <v>5102</v>
      </c>
      <c r="J2957" s="7" t="s">
        <v>21</v>
      </c>
      <c r="L2957" t="s">
        <v>4178</v>
      </c>
      <c r="M2957" s="7" t="s">
        <v>22</v>
      </c>
      <c r="N2957" s="7" t="s">
        <v>23</v>
      </c>
      <c r="O2957" s="7" t="s">
        <v>27</v>
      </c>
      <c r="P2957" s="7" t="s">
        <v>5101</v>
      </c>
      <c r="Q2957" s="26">
        <v>15</v>
      </c>
      <c r="R2957" s="26">
        <v>1</v>
      </c>
      <c r="S2957" s="40">
        <v>1</v>
      </c>
      <c r="T2957" s="7"/>
      <c r="U2957" s="7" t="s">
        <v>2951</v>
      </c>
      <c r="V2957" s="7" t="str">
        <f>+IF(U2957="","",IF(U2957="FINES",CONCATENATE("R",IF(OR(B2957="16",B2957="21",B2957="22",B2957="23"),"16212223",IF(OR(B2957="15",B2957="17",B2957="24",B2957="25"),"15172425",B2957))),IF(U2957="CEBAS","UNICO",IF(VALUE(B2957)&lt;=11,"AMBA","INTERIOR"))))</f>
        <v>R09</v>
      </c>
      <c r="W2957" s="38" t="str">
        <f>+IF(U2957="","-",CONCATENATE(U2957,"_",V2957))</f>
        <v>FINES_R09</v>
      </c>
      <c r="X2957" s="42">
        <v>0.79300000000000004</v>
      </c>
    </row>
    <row r="2958" spans="1:24">
      <c r="A2958" s="21" t="s">
        <v>5100</v>
      </c>
      <c r="B2958" t="s">
        <v>1860</v>
      </c>
      <c r="C2958" t="s">
        <v>224</v>
      </c>
      <c r="D2958" t="s">
        <v>2837</v>
      </c>
      <c r="E2958" s="7" t="s">
        <v>198</v>
      </c>
      <c r="F2958" s="7" t="s">
        <v>198</v>
      </c>
      <c r="G2958" s="7" t="s">
        <v>198</v>
      </c>
      <c r="H2958" s="7" t="s">
        <v>20</v>
      </c>
      <c r="I2958" s="7" t="s">
        <v>5102</v>
      </c>
      <c r="J2958" s="7" t="s">
        <v>21</v>
      </c>
      <c r="L2958" t="s">
        <v>4203</v>
      </c>
      <c r="M2958" s="7" t="s">
        <v>22</v>
      </c>
      <c r="N2958" s="7" t="s">
        <v>23</v>
      </c>
      <c r="O2958" s="7" t="s">
        <v>27</v>
      </c>
      <c r="P2958" s="7" t="s">
        <v>5101</v>
      </c>
      <c r="Q2958" s="26">
        <v>35</v>
      </c>
      <c r="R2958" s="26">
        <v>1</v>
      </c>
      <c r="S2958" s="40">
        <v>1</v>
      </c>
      <c r="T2958" s="7"/>
      <c r="U2958" s="7" t="s">
        <v>2951</v>
      </c>
      <c r="V2958" s="7" t="str">
        <f>+IF(U2958="","",IF(U2958="FINES",CONCATENATE("R",IF(OR(B2958="16",B2958="21",B2958="22",B2958="23"),"16212223",IF(OR(B2958="15",B2958="17",B2958="24",B2958="25"),"15172425",B2958))),IF(U2958="CEBAS","UNICO",IF(VALUE(B2958)&lt;=11,"AMBA","INTERIOR"))))</f>
        <v>R09</v>
      </c>
      <c r="W2958" s="38" t="str">
        <f>+IF(U2958="","-",CONCATENATE(U2958,"_",V2958))</f>
        <v>FINES_R09</v>
      </c>
      <c r="X2958" s="42">
        <v>0.79400000000000004</v>
      </c>
    </row>
    <row r="2959" spans="1:24">
      <c r="A2959" s="21" t="s">
        <v>5100</v>
      </c>
      <c r="B2959" t="s">
        <v>1860</v>
      </c>
      <c r="C2959" t="s">
        <v>1858</v>
      </c>
      <c r="D2959" t="s">
        <v>1859</v>
      </c>
      <c r="E2959" s="7" t="s">
        <v>198</v>
      </c>
      <c r="F2959" s="7" t="s">
        <v>198</v>
      </c>
      <c r="G2959" s="7" t="s">
        <v>198</v>
      </c>
      <c r="H2959" s="7" t="s">
        <v>20</v>
      </c>
      <c r="I2959" s="7" t="s">
        <v>5102</v>
      </c>
      <c r="J2959" s="7" t="s">
        <v>21</v>
      </c>
      <c r="L2959" t="s">
        <v>4225</v>
      </c>
      <c r="M2959" s="7" t="s">
        <v>22</v>
      </c>
      <c r="N2959" s="7" t="s">
        <v>23</v>
      </c>
      <c r="O2959" s="7" t="s">
        <v>27</v>
      </c>
      <c r="P2959" s="7" t="s">
        <v>5101</v>
      </c>
      <c r="Q2959" s="26">
        <v>31</v>
      </c>
      <c r="R2959" s="26">
        <v>1</v>
      </c>
      <c r="S2959" s="40">
        <v>1</v>
      </c>
      <c r="T2959" s="7"/>
      <c r="U2959" s="7" t="s">
        <v>2951</v>
      </c>
      <c r="V2959" s="7" t="str">
        <f>+IF(U2959="","",IF(U2959="FINES",CONCATENATE("R",IF(OR(B2959="16",B2959="21",B2959="22",B2959="23"),"16212223",IF(OR(B2959="15",B2959="17",B2959="24",B2959="25"),"15172425",B2959))),IF(U2959="CEBAS","UNICO",IF(VALUE(B2959)&lt;=11,"AMBA","INTERIOR"))))</f>
        <v>R09</v>
      </c>
      <c r="W2959" s="38" t="str">
        <f>+IF(U2959="","-",CONCATENATE(U2959,"_",V2959))</f>
        <v>FINES_R09</v>
      </c>
      <c r="X2959" s="42">
        <v>0.79700000000000004</v>
      </c>
    </row>
    <row r="2960" spans="1:24">
      <c r="A2960" s="21" t="s">
        <v>5100</v>
      </c>
      <c r="B2960" t="s">
        <v>1860</v>
      </c>
      <c r="C2960" t="s">
        <v>411</v>
      </c>
      <c r="D2960" t="s">
        <v>2791</v>
      </c>
      <c r="E2960" s="7" t="s">
        <v>198</v>
      </c>
      <c r="F2960" s="7" t="s">
        <v>198</v>
      </c>
      <c r="G2960" s="7" t="s">
        <v>198</v>
      </c>
      <c r="H2960" s="7" t="s">
        <v>20</v>
      </c>
      <c r="I2960" s="7" t="s">
        <v>5102</v>
      </c>
      <c r="J2960" s="7" t="s">
        <v>21</v>
      </c>
      <c r="L2960" t="s">
        <v>4273</v>
      </c>
      <c r="M2960" s="7" t="s">
        <v>22</v>
      </c>
      <c r="N2960" s="7" t="s">
        <v>23</v>
      </c>
      <c r="O2960" s="7" t="s">
        <v>27</v>
      </c>
      <c r="P2960" s="7" t="s">
        <v>5101</v>
      </c>
      <c r="Q2960" s="26">
        <v>31</v>
      </c>
      <c r="R2960" s="26">
        <v>1</v>
      </c>
      <c r="S2960" s="40">
        <v>1</v>
      </c>
      <c r="T2960" s="7"/>
      <c r="U2960" s="7" t="s">
        <v>2951</v>
      </c>
      <c r="V2960" s="7" t="str">
        <f>+IF(U2960="","",IF(U2960="FINES",CONCATENATE("R",IF(OR(B2960="16",B2960="21",B2960="22",B2960="23"),"16212223",IF(OR(B2960="15",B2960="17",B2960="24",B2960="25"),"15172425",B2960))),IF(U2960="CEBAS","UNICO",IF(VALUE(B2960)&lt;=11,"AMBA","INTERIOR"))))</f>
        <v>R09</v>
      </c>
      <c r="W2960" s="38" t="str">
        <f>+IF(U2960="","-",CONCATENATE(U2960,"_",V2960))</f>
        <v>FINES_R09</v>
      </c>
      <c r="X2960" s="42">
        <v>0.81200000000000006</v>
      </c>
    </row>
    <row r="2961" spans="1:24">
      <c r="A2961" s="21" t="s">
        <v>5100</v>
      </c>
      <c r="B2961" t="s">
        <v>1860</v>
      </c>
      <c r="C2961" t="s">
        <v>875</v>
      </c>
      <c r="D2961" t="s">
        <v>2816</v>
      </c>
      <c r="E2961" s="7" t="s">
        <v>198</v>
      </c>
      <c r="F2961" s="7" t="s">
        <v>198</v>
      </c>
      <c r="G2961" s="7" t="s">
        <v>198</v>
      </c>
      <c r="H2961" s="7" t="s">
        <v>20</v>
      </c>
      <c r="I2961" s="7" t="s">
        <v>5102</v>
      </c>
      <c r="J2961" s="7" t="s">
        <v>21</v>
      </c>
      <c r="L2961" t="s">
        <v>4179</v>
      </c>
      <c r="M2961" s="7" t="s">
        <v>22</v>
      </c>
      <c r="N2961" s="7" t="s">
        <v>23</v>
      </c>
      <c r="O2961" s="7" t="s">
        <v>27</v>
      </c>
      <c r="P2961" s="7" t="s">
        <v>5101</v>
      </c>
      <c r="Q2961" s="26">
        <v>15</v>
      </c>
      <c r="R2961" s="26">
        <v>1</v>
      </c>
      <c r="S2961" s="40">
        <v>1</v>
      </c>
      <c r="T2961" s="7"/>
      <c r="U2961" s="7" t="s">
        <v>2951</v>
      </c>
      <c r="V2961" s="7" t="str">
        <f>+IF(U2961="","",IF(U2961="FINES",CONCATENATE("R",IF(OR(B2961="16",B2961="21",B2961="22",B2961="23"),"16212223",IF(OR(B2961="15",B2961="17",B2961="24",B2961="25"),"15172425",B2961))),IF(U2961="CEBAS","UNICO",IF(VALUE(B2961)&lt;=11,"AMBA","INTERIOR"))))</f>
        <v>R09</v>
      </c>
      <c r="W2961" s="38" t="str">
        <f>+IF(U2961="","-",CONCATENATE(U2961,"_",V2961))</f>
        <v>FINES_R09</v>
      </c>
      <c r="X2961" s="42">
        <v>0.81499999999999995</v>
      </c>
    </row>
    <row r="2962" spans="1:24">
      <c r="A2962" s="21" t="s">
        <v>5100</v>
      </c>
      <c r="B2962" t="s">
        <v>1860</v>
      </c>
      <c r="C2962" t="s">
        <v>1858</v>
      </c>
      <c r="D2962" t="s">
        <v>1859</v>
      </c>
      <c r="E2962" s="7" t="s">
        <v>198</v>
      </c>
      <c r="F2962" s="7" t="s">
        <v>198</v>
      </c>
      <c r="G2962" s="7" t="s">
        <v>198</v>
      </c>
      <c r="H2962" s="7" t="s">
        <v>20</v>
      </c>
      <c r="I2962" s="7" t="s">
        <v>5102</v>
      </c>
      <c r="J2962" s="7" t="s">
        <v>21</v>
      </c>
      <c r="L2962" t="s">
        <v>4218</v>
      </c>
      <c r="M2962" s="7" t="s">
        <v>22</v>
      </c>
      <c r="N2962" s="7" t="s">
        <v>23</v>
      </c>
      <c r="O2962" s="7" t="s">
        <v>27</v>
      </c>
      <c r="P2962" s="7" t="s">
        <v>5101</v>
      </c>
      <c r="Q2962" s="26">
        <v>75</v>
      </c>
      <c r="R2962" s="26">
        <v>3</v>
      </c>
      <c r="S2962" s="40">
        <v>1</v>
      </c>
      <c r="T2962" s="7"/>
      <c r="U2962" s="7" t="s">
        <v>2951</v>
      </c>
      <c r="V2962" s="7" t="str">
        <f>+IF(U2962="","",IF(U2962="FINES",CONCATENATE("R",IF(OR(B2962="16",B2962="21",B2962="22",B2962="23"),"16212223",IF(OR(B2962="15",B2962="17",B2962="24",B2962="25"),"15172425",B2962))),IF(U2962="CEBAS","UNICO",IF(VALUE(B2962)&lt;=11,"AMBA","INTERIOR"))))</f>
        <v>R09</v>
      </c>
      <c r="W2962" s="38" t="str">
        <f>+IF(U2962="","-",CONCATENATE(U2962,"_",V2962))</f>
        <v>FINES_R09</v>
      </c>
      <c r="X2962" s="42">
        <v>0.81899999999999995</v>
      </c>
    </row>
    <row r="2963" spans="1:24">
      <c r="A2963" s="21" t="s">
        <v>5100</v>
      </c>
      <c r="B2963" t="s">
        <v>1860</v>
      </c>
      <c r="C2963" t="s">
        <v>875</v>
      </c>
      <c r="D2963" t="s">
        <v>2816</v>
      </c>
      <c r="E2963" s="7" t="s">
        <v>198</v>
      </c>
      <c r="F2963" s="7" t="s">
        <v>198</v>
      </c>
      <c r="G2963" s="7" t="s">
        <v>198</v>
      </c>
      <c r="H2963" s="7" t="s">
        <v>20</v>
      </c>
      <c r="I2963" s="7" t="s">
        <v>5102</v>
      </c>
      <c r="J2963" s="7" t="s">
        <v>21</v>
      </c>
      <c r="L2963" t="s">
        <v>4176</v>
      </c>
      <c r="M2963" s="7" t="s">
        <v>22</v>
      </c>
      <c r="N2963" s="7" t="s">
        <v>23</v>
      </c>
      <c r="O2963" s="7" t="s">
        <v>27</v>
      </c>
      <c r="P2963" s="7" t="s">
        <v>5101</v>
      </c>
      <c r="Q2963" s="26">
        <v>17</v>
      </c>
      <c r="R2963" s="26">
        <v>1</v>
      </c>
      <c r="S2963" s="40">
        <v>1</v>
      </c>
      <c r="T2963" s="7"/>
      <c r="U2963" s="7" t="s">
        <v>2951</v>
      </c>
      <c r="V2963" s="7" t="str">
        <f>+IF(U2963="","",IF(U2963="FINES",CONCATENATE("R",IF(OR(B2963="16",B2963="21",B2963="22",B2963="23"),"16212223",IF(OR(B2963="15",B2963="17",B2963="24",B2963="25"),"15172425",B2963))),IF(U2963="CEBAS","UNICO",IF(VALUE(B2963)&lt;=11,"AMBA","INTERIOR"))))</f>
        <v>R09</v>
      </c>
      <c r="W2963" s="38" t="str">
        <f>+IF(U2963="","-",CONCATENATE(U2963,"_",V2963))</f>
        <v>FINES_R09</v>
      </c>
      <c r="X2963" s="42">
        <v>0.83699999999999997</v>
      </c>
    </row>
    <row r="2964" spans="1:24">
      <c r="A2964" s="21" t="s">
        <v>5100</v>
      </c>
      <c r="B2964" t="s">
        <v>1860</v>
      </c>
      <c r="C2964" t="s">
        <v>1858</v>
      </c>
      <c r="D2964" t="s">
        <v>1859</v>
      </c>
      <c r="E2964" s="7" t="s">
        <v>198</v>
      </c>
      <c r="F2964" s="7" t="s">
        <v>198</v>
      </c>
      <c r="G2964" s="7" t="s">
        <v>198</v>
      </c>
      <c r="H2964" s="7" t="s">
        <v>20</v>
      </c>
      <c r="I2964" s="7" t="s">
        <v>5102</v>
      </c>
      <c r="J2964" s="7" t="s">
        <v>21</v>
      </c>
      <c r="L2964" t="s">
        <v>4256</v>
      </c>
      <c r="M2964" s="7" t="s">
        <v>22</v>
      </c>
      <c r="N2964" s="7" t="s">
        <v>23</v>
      </c>
      <c r="O2964" s="7" t="s">
        <v>27</v>
      </c>
      <c r="P2964" s="7" t="s">
        <v>5101</v>
      </c>
      <c r="Q2964" s="26">
        <v>21</v>
      </c>
      <c r="R2964" s="26">
        <v>1</v>
      </c>
      <c r="S2964" s="40">
        <v>1</v>
      </c>
      <c r="T2964" s="7"/>
      <c r="U2964" s="7" t="s">
        <v>2951</v>
      </c>
      <c r="V2964" s="7" t="str">
        <f>+IF(U2964="","",IF(U2964="FINES",CONCATENATE("R",IF(OR(B2964="16",B2964="21",B2964="22",B2964="23"),"16212223",IF(OR(B2964="15",B2964="17",B2964="24",B2964="25"),"15172425",B2964))),IF(U2964="CEBAS","UNICO",IF(VALUE(B2964)&lt;=11,"AMBA","INTERIOR"))))</f>
        <v>R09</v>
      </c>
      <c r="W2964" s="38" t="str">
        <f>+IF(U2964="","-",CONCATENATE(U2964,"_",V2964))</f>
        <v>FINES_R09</v>
      </c>
      <c r="X2964" s="42">
        <v>0.84599999999999997</v>
      </c>
    </row>
    <row r="2965" spans="1:24">
      <c r="A2965" s="21" t="s">
        <v>5100</v>
      </c>
      <c r="B2965" t="s">
        <v>1860</v>
      </c>
      <c r="C2965" t="s">
        <v>875</v>
      </c>
      <c r="D2965" t="s">
        <v>2816</v>
      </c>
      <c r="E2965" s="7" t="s">
        <v>198</v>
      </c>
      <c r="F2965" s="7" t="s">
        <v>198</v>
      </c>
      <c r="G2965" s="7" t="s">
        <v>198</v>
      </c>
      <c r="H2965" s="7" t="s">
        <v>20</v>
      </c>
      <c r="I2965" s="7" t="s">
        <v>5102</v>
      </c>
      <c r="J2965" s="7" t="s">
        <v>21</v>
      </c>
      <c r="L2965" t="s">
        <v>4175</v>
      </c>
      <c r="M2965" s="7" t="s">
        <v>22</v>
      </c>
      <c r="N2965" s="7" t="s">
        <v>23</v>
      </c>
      <c r="O2965" s="7" t="s">
        <v>27</v>
      </c>
      <c r="P2965" s="7" t="s">
        <v>5101</v>
      </c>
      <c r="Q2965" s="26">
        <v>0</v>
      </c>
      <c r="R2965" s="26">
        <v>1</v>
      </c>
      <c r="S2965" s="40">
        <v>1</v>
      </c>
      <c r="T2965" s="7"/>
      <c r="U2965" s="7" t="s">
        <v>2951</v>
      </c>
      <c r="V2965" s="7" t="str">
        <f>+IF(U2965="","",IF(U2965="FINES",CONCATENATE("R",IF(OR(B2965="16",B2965="21",B2965="22",B2965="23"),"16212223",IF(OR(B2965="15",B2965="17",B2965="24",B2965="25"),"15172425",B2965))),IF(U2965="CEBAS","UNICO",IF(VALUE(B2965)&lt;=11,"AMBA","INTERIOR"))))</f>
        <v>R09</v>
      </c>
      <c r="W2965" s="38" t="str">
        <f>+IF(U2965="","-",CONCATENATE(U2965,"_",V2965))</f>
        <v>FINES_R09</v>
      </c>
      <c r="X2965" s="42">
        <v>0.84599999999999997</v>
      </c>
    </row>
    <row r="2966" spans="1:24">
      <c r="A2966" s="21" t="s">
        <v>5100</v>
      </c>
      <c r="B2966" t="s">
        <v>1860</v>
      </c>
      <c r="C2966" t="s">
        <v>224</v>
      </c>
      <c r="D2966" t="s">
        <v>2837</v>
      </c>
      <c r="E2966" s="7" t="s">
        <v>198</v>
      </c>
      <c r="F2966" s="7" t="s">
        <v>198</v>
      </c>
      <c r="G2966" s="7" t="s">
        <v>198</v>
      </c>
      <c r="H2966" s="7" t="s">
        <v>20</v>
      </c>
      <c r="I2966" s="7" t="s">
        <v>5102</v>
      </c>
      <c r="J2966" s="7" t="s">
        <v>21</v>
      </c>
      <c r="L2966" t="s">
        <v>4200</v>
      </c>
      <c r="M2966" s="7" t="s">
        <v>22</v>
      </c>
      <c r="N2966" s="7" t="s">
        <v>23</v>
      </c>
      <c r="O2966" s="7" t="s">
        <v>27</v>
      </c>
      <c r="P2966" s="7" t="s">
        <v>5101</v>
      </c>
      <c r="Q2966" s="26">
        <v>28</v>
      </c>
      <c r="R2966" s="26">
        <v>1</v>
      </c>
      <c r="S2966" s="40">
        <v>1</v>
      </c>
      <c r="T2966" s="7"/>
      <c r="U2966" s="7" t="s">
        <v>2951</v>
      </c>
      <c r="V2966" s="7" t="str">
        <f>+IF(U2966="","",IF(U2966="FINES",CONCATENATE("R",IF(OR(B2966="16",B2966="21",B2966="22",B2966="23"),"16212223",IF(OR(B2966="15",B2966="17",B2966="24",B2966="25"),"15172425",B2966))),IF(U2966="CEBAS","UNICO",IF(VALUE(B2966)&lt;=11,"AMBA","INTERIOR"))))</f>
        <v>R09</v>
      </c>
      <c r="W2966" s="38" t="str">
        <f>+IF(U2966="","-",CONCATENATE(U2966,"_",V2966))</f>
        <v>FINES_R09</v>
      </c>
      <c r="X2966" s="42">
        <v>0.88600000000000001</v>
      </c>
    </row>
    <row r="2967" spans="1:24">
      <c r="A2967" s="21" t="s">
        <v>5100</v>
      </c>
      <c r="B2967" t="s">
        <v>1860</v>
      </c>
      <c r="C2967" t="s">
        <v>1858</v>
      </c>
      <c r="D2967" t="s">
        <v>1859</v>
      </c>
      <c r="E2967" s="7" t="s">
        <v>198</v>
      </c>
      <c r="F2967" s="7" t="s">
        <v>198</v>
      </c>
      <c r="G2967" s="7" t="s">
        <v>198</v>
      </c>
      <c r="H2967" s="7" t="s">
        <v>20</v>
      </c>
      <c r="I2967" s="7" t="s">
        <v>5102</v>
      </c>
      <c r="J2967" s="7" t="s">
        <v>21</v>
      </c>
      <c r="L2967" t="s">
        <v>4223</v>
      </c>
      <c r="M2967" s="7" t="s">
        <v>22</v>
      </c>
      <c r="N2967" s="7" t="s">
        <v>23</v>
      </c>
      <c r="O2967" s="7" t="s">
        <v>27</v>
      </c>
      <c r="P2967" s="7" t="s">
        <v>5101</v>
      </c>
      <c r="Q2967" s="26">
        <v>63</v>
      </c>
      <c r="R2967" s="26">
        <v>2</v>
      </c>
      <c r="S2967" s="40">
        <v>1</v>
      </c>
      <c r="T2967" s="7"/>
      <c r="U2967" s="7" t="s">
        <v>2951</v>
      </c>
      <c r="V2967" s="7" t="str">
        <f>+IF(U2967="","",IF(U2967="FINES",CONCATENATE("R",IF(OR(B2967="16",B2967="21",B2967="22",B2967="23"),"16212223",IF(OR(B2967="15",B2967="17",B2967="24",B2967="25"),"15172425",B2967))),IF(U2967="CEBAS","UNICO",IF(VALUE(B2967)&lt;=11,"AMBA","INTERIOR"))))</f>
        <v>R09</v>
      </c>
      <c r="W2967" s="38" t="str">
        <f>+IF(U2967="","-",CONCATENATE(U2967,"_",V2967))</f>
        <v>FINES_R09</v>
      </c>
      <c r="X2967" s="42">
        <v>0.88800000000000001</v>
      </c>
    </row>
    <row r="2968" spans="1:24">
      <c r="A2968" s="21" t="s">
        <v>5100</v>
      </c>
      <c r="B2968" t="s">
        <v>1860</v>
      </c>
      <c r="C2968" t="s">
        <v>1858</v>
      </c>
      <c r="D2968" t="s">
        <v>1859</v>
      </c>
      <c r="E2968" s="7" t="s">
        <v>198</v>
      </c>
      <c r="F2968" s="7" t="s">
        <v>198</v>
      </c>
      <c r="G2968" s="7" t="s">
        <v>198</v>
      </c>
      <c r="H2968" s="7" t="s">
        <v>20</v>
      </c>
      <c r="I2968" s="7" t="s">
        <v>5102</v>
      </c>
      <c r="J2968" s="7" t="s">
        <v>21</v>
      </c>
      <c r="L2968" t="s">
        <v>4224</v>
      </c>
      <c r="M2968" s="7" t="s">
        <v>22</v>
      </c>
      <c r="N2968" s="7" t="s">
        <v>23</v>
      </c>
      <c r="O2968" s="7" t="s">
        <v>27</v>
      </c>
      <c r="P2968" s="7" t="s">
        <v>5101</v>
      </c>
      <c r="Q2968" s="26">
        <v>52</v>
      </c>
      <c r="R2968" s="26">
        <v>3</v>
      </c>
      <c r="S2968" s="40">
        <v>1</v>
      </c>
      <c r="T2968" s="7"/>
      <c r="U2968" s="7" t="s">
        <v>2951</v>
      </c>
      <c r="V2968" s="7" t="str">
        <f>+IF(U2968="","",IF(U2968="FINES",CONCATENATE("R",IF(OR(B2968="16",B2968="21",B2968="22",B2968="23"),"16212223",IF(OR(B2968="15",B2968="17",B2968="24",B2968="25"),"15172425",B2968))),IF(U2968="CEBAS","UNICO",IF(VALUE(B2968)&lt;=11,"AMBA","INTERIOR"))))</f>
        <v>R09</v>
      </c>
      <c r="W2968" s="38" t="str">
        <f>+IF(U2968="","-",CONCATENATE(U2968,"_",V2968))</f>
        <v>FINES_R09</v>
      </c>
      <c r="X2968" s="42">
        <v>0.89900000000000002</v>
      </c>
    </row>
    <row r="2969" spans="1:24">
      <c r="A2969" s="21" t="s">
        <v>5100</v>
      </c>
      <c r="B2969" t="s">
        <v>1860</v>
      </c>
      <c r="C2969" t="s">
        <v>411</v>
      </c>
      <c r="D2969" t="s">
        <v>2791</v>
      </c>
      <c r="E2969" s="7" t="s">
        <v>198</v>
      </c>
      <c r="F2969" s="7" t="s">
        <v>198</v>
      </c>
      <c r="G2969" s="7" t="s">
        <v>198</v>
      </c>
      <c r="H2969" s="7" t="s">
        <v>20</v>
      </c>
      <c r="I2969" s="7" t="s">
        <v>5102</v>
      </c>
      <c r="J2969" s="7" t="s">
        <v>21</v>
      </c>
      <c r="L2969" t="s">
        <v>4272</v>
      </c>
      <c r="M2969" s="7" t="s">
        <v>22</v>
      </c>
      <c r="N2969" s="7" t="s">
        <v>23</v>
      </c>
      <c r="O2969" s="7" t="s">
        <v>27</v>
      </c>
      <c r="P2969" s="7" t="s">
        <v>5101</v>
      </c>
      <c r="Q2969" s="26">
        <v>15</v>
      </c>
      <c r="R2969" s="26">
        <v>1</v>
      </c>
      <c r="S2969" s="40">
        <v>1</v>
      </c>
      <c r="T2969" s="7"/>
      <c r="U2969" s="7" t="s">
        <v>2951</v>
      </c>
      <c r="V2969" s="7" t="str">
        <f>+IF(U2969="","",IF(U2969="FINES",CONCATENATE("R",IF(OR(B2969="16",B2969="21",B2969="22",B2969="23"),"16212223",IF(OR(B2969="15",B2969="17",B2969="24",B2969="25"),"15172425",B2969))),IF(U2969="CEBAS","UNICO",IF(VALUE(B2969)&lt;=11,"AMBA","INTERIOR"))))</f>
        <v>R09</v>
      </c>
      <c r="W2969" s="38" t="str">
        <f>+IF(U2969="","-",CONCATENATE(U2969,"_",V2969))</f>
        <v>FINES_R09</v>
      </c>
      <c r="X2969" s="42">
        <v>0.90300000000000002</v>
      </c>
    </row>
    <row r="2970" spans="1:24">
      <c r="A2970" s="21" t="s">
        <v>5100</v>
      </c>
      <c r="B2970" t="s">
        <v>1860</v>
      </c>
      <c r="C2970" t="s">
        <v>875</v>
      </c>
      <c r="D2970" t="s">
        <v>2816</v>
      </c>
      <c r="E2970" s="7" t="s">
        <v>198</v>
      </c>
      <c r="F2970" s="7" t="s">
        <v>198</v>
      </c>
      <c r="G2970" s="7" t="s">
        <v>198</v>
      </c>
      <c r="H2970" s="7" t="s">
        <v>20</v>
      </c>
      <c r="I2970" s="7" t="s">
        <v>5102</v>
      </c>
      <c r="J2970" s="7" t="s">
        <v>21</v>
      </c>
      <c r="L2970">
        <v>159</v>
      </c>
      <c r="M2970" s="7" t="s">
        <v>22</v>
      </c>
      <c r="N2970" s="7" t="s">
        <v>23</v>
      </c>
      <c r="O2970" s="7" t="s">
        <v>27</v>
      </c>
      <c r="P2970" s="7" t="s">
        <v>5101</v>
      </c>
      <c r="Q2970" s="26">
        <v>23</v>
      </c>
      <c r="R2970" s="26">
        <v>1</v>
      </c>
      <c r="S2970" s="40">
        <v>1</v>
      </c>
      <c r="T2970" s="7"/>
      <c r="U2970" s="7" t="s">
        <v>2951</v>
      </c>
      <c r="V2970" s="7" t="str">
        <f>+IF(U2970="","",IF(U2970="FINES",CONCATENATE("R",IF(OR(B2970="16",B2970="21",B2970="22",B2970="23"),"16212223",IF(OR(B2970="15",B2970="17",B2970="24",B2970="25"),"15172425",B2970))),IF(U2970="CEBAS","UNICO",IF(VALUE(B2970)&lt;=11,"AMBA","INTERIOR"))))</f>
        <v>R09</v>
      </c>
      <c r="W2970" s="38" t="str">
        <f>+IF(U2970="","-",CONCATENATE(U2970,"_",V2970))</f>
        <v>FINES_R09</v>
      </c>
      <c r="X2970" s="42">
        <v>0.91500000000000004</v>
      </c>
    </row>
    <row r="2971" spans="1:24">
      <c r="A2971" s="21" t="s">
        <v>5100</v>
      </c>
      <c r="B2971" t="s">
        <v>1860</v>
      </c>
      <c r="C2971" t="s">
        <v>1858</v>
      </c>
      <c r="D2971" t="s">
        <v>1859</v>
      </c>
      <c r="E2971" s="7" t="s">
        <v>198</v>
      </c>
      <c r="F2971" s="7" t="s">
        <v>198</v>
      </c>
      <c r="G2971" s="7" t="s">
        <v>198</v>
      </c>
      <c r="H2971" s="7" t="s">
        <v>20</v>
      </c>
      <c r="I2971" s="7" t="s">
        <v>5102</v>
      </c>
      <c r="J2971" s="7" t="s">
        <v>21</v>
      </c>
      <c r="L2971" t="s">
        <v>4252</v>
      </c>
      <c r="M2971" s="7" t="s">
        <v>22</v>
      </c>
      <c r="N2971" s="7" t="s">
        <v>23</v>
      </c>
      <c r="O2971" s="7" t="s">
        <v>27</v>
      </c>
      <c r="P2971" s="7" t="s">
        <v>5101</v>
      </c>
      <c r="Q2971" s="26">
        <v>143</v>
      </c>
      <c r="R2971" s="26">
        <v>4</v>
      </c>
      <c r="S2971" s="40">
        <v>1</v>
      </c>
      <c r="T2971" s="7"/>
      <c r="U2971" s="7" t="s">
        <v>2951</v>
      </c>
      <c r="V2971" s="7" t="str">
        <f>+IF(U2971="","",IF(U2971="FINES",CONCATENATE("R",IF(OR(B2971="16",B2971="21",B2971="22",B2971="23"),"16212223",IF(OR(B2971="15",B2971="17",B2971="24",B2971="25"),"15172425",B2971))),IF(U2971="CEBAS","UNICO",IF(VALUE(B2971)&lt;=11,"AMBA","INTERIOR"))))</f>
        <v>R09</v>
      </c>
      <c r="W2971" s="38" t="str">
        <f>+IF(U2971="","-",CONCATENATE(U2971,"_",V2971))</f>
        <v>FINES_R09</v>
      </c>
      <c r="X2971" s="42">
        <v>0.92</v>
      </c>
    </row>
    <row r="2972" spans="1:24">
      <c r="A2972" s="21" t="s">
        <v>5100</v>
      </c>
      <c r="B2972" t="s">
        <v>1860</v>
      </c>
      <c r="C2972" t="s">
        <v>875</v>
      </c>
      <c r="D2972" t="s">
        <v>2816</v>
      </c>
      <c r="E2972" s="7" t="s">
        <v>198</v>
      </c>
      <c r="F2972" s="7" t="s">
        <v>198</v>
      </c>
      <c r="G2972" s="7" t="s">
        <v>198</v>
      </c>
      <c r="H2972" s="7" t="s">
        <v>20</v>
      </c>
      <c r="I2972" s="7" t="s">
        <v>5102</v>
      </c>
      <c r="J2972" s="7" t="s">
        <v>21</v>
      </c>
      <c r="L2972" t="s">
        <v>4180</v>
      </c>
      <c r="M2972" s="7" t="s">
        <v>22</v>
      </c>
      <c r="N2972" s="7" t="s">
        <v>23</v>
      </c>
      <c r="O2972" s="7" t="s">
        <v>27</v>
      </c>
      <c r="P2972" s="7" t="s">
        <v>5101</v>
      </c>
      <c r="Q2972" s="26">
        <v>24</v>
      </c>
      <c r="R2972" s="26">
        <v>1</v>
      </c>
      <c r="S2972" s="40">
        <v>1</v>
      </c>
      <c r="T2972" s="7"/>
      <c r="U2972" s="7" t="s">
        <v>2951</v>
      </c>
      <c r="V2972" s="7" t="str">
        <f>+IF(U2972="","",IF(U2972="FINES",CONCATENATE("R",IF(OR(B2972="16",B2972="21",B2972="22",B2972="23"),"16212223",IF(OR(B2972="15",B2972="17",B2972="24",B2972="25"),"15172425",B2972))),IF(U2972="CEBAS","UNICO",IF(VALUE(B2972)&lt;=11,"AMBA","INTERIOR"))))</f>
        <v>R09</v>
      </c>
      <c r="W2972" s="38" t="str">
        <f>+IF(U2972="","-",CONCATENATE(U2972,"_",V2972))</f>
        <v>FINES_R09</v>
      </c>
      <c r="X2972" s="42">
        <v>0.92600000000000005</v>
      </c>
    </row>
    <row r="2973" spans="1:24">
      <c r="A2973" s="21" t="s">
        <v>5100</v>
      </c>
      <c r="B2973" t="s">
        <v>1860</v>
      </c>
      <c r="C2973" t="s">
        <v>224</v>
      </c>
      <c r="D2973" t="s">
        <v>2837</v>
      </c>
      <c r="E2973" s="7" t="s">
        <v>198</v>
      </c>
      <c r="F2973" s="7" t="s">
        <v>198</v>
      </c>
      <c r="G2973" s="7" t="s">
        <v>198</v>
      </c>
      <c r="H2973" s="7" t="s">
        <v>20</v>
      </c>
      <c r="I2973" s="7" t="s">
        <v>5102</v>
      </c>
      <c r="J2973" s="7" t="s">
        <v>21</v>
      </c>
      <c r="L2973" t="s">
        <v>4198</v>
      </c>
      <c r="M2973" s="7" t="s">
        <v>22</v>
      </c>
      <c r="N2973" s="7" t="s">
        <v>23</v>
      </c>
      <c r="O2973" s="7" t="s">
        <v>27</v>
      </c>
      <c r="P2973" s="7" t="s">
        <v>5101</v>
      </c>
      <c r="Q2973" s="26">
        <v>71</v>
      </c>
      <c r="R2973" s="26">
        <v>2</v>
      </c>
      <c r="S2973" s="40">
        <v>1</v>
      </c>
      <c r="T2973" s="7"/>
      <c r="U2973" s="7" t="s">
        <v>2951</v>
      </c>
      <c r="V2973" s="7" t="str">
        <f>+IF(U2973="","",IF(U2973="FINES",CONCATENATE("R",IF(OR(B2973="16",B2973="21",B2973="22",B2973="23"),"16212223",IF(OR(B2973="15",B2973="17",B2973="24",B2973="25"),"15172425",B2973))),IF(U2973="CEBAS","UNICO",IF(VALUE(B2973)&lt;=11,"AMBA","INTERIOR"))))</f>
        <v>R09</v>
      </c>
      <c r="W2973" s="38" t="str">
        <f>+IF(U2973="","-",CONCATENATE(U2973,"_",V2973))</f>
        <v>FINES_R09</v>
      </c>
      <c r="X2973" s="42">
        <v>0.93600000000000005</v>
      </c>
    </row>
    <row r="2974" spans="1:24">
      <c r="A2974" s="21" t="s">
        <v>5100</v>
      </c>
      <c r="B2974" t="s">
        <v>1860</v>
      </c>
      <c r="C2974" t="s">
        <v>1858</v>
      </c>
      <c r="D2974" t="s">
        <v>1859</v>
      </c>
      <c r="E2974" s="7" t="s">
        <v>198</v>
      </c>
      <c r="F2974" s="7" t="s">
        <v>198</v>
      </c>
      <c r="G2974" s="7" t="s">
        <v>198</v>
      </c>
      <c r="H2974" s="7" t="s">
        <v>20</v>
      </c>
      <c r="I2974" s="7" t="s">
        <v>5102</v>
      </c>
      <c r="J2974" s="7" t="s">
        <v>21</v>
      </c>
      <c r="L2974" t="s">
        <v>4227</v>
      </c>
      <c r="M2974" s="7" t="s">
        <v>22</v>
      </c>
      <c r="N2974" s="7" t="s">
        <v>23</v>
      </c>
      <c r="O2974" s="7" t="s">
        <v>27</v>
      </c>
      <c r="P2974" s="7" t="s">
        <v>5101</v>
      </c>
      <c r="Q2974" s="26">
        <v>22</v>
      </c>
      <c r="R2974" s="26">
        <v>1</v>
      </c>
      <c r="S2974" s="40">
        <v>1</v>
      </c>
      <c r="T2974" s="7"/>
      <c r="U2974" s="7" t="s">
        <v>2951</v>
      </c>
      <c r="V2974" s="7" t="str">
        <f>+IF(U2974="","",IF(U2974="FINES",CONCATENATE("R",IF(OR(B2974="16",B2974="21",B2974="22",B2974="23"),"16212223",IF(OR(B2974="15",B2974="17",B2974="24",B2974="25"),"15172425",B2974))),IF(U2974="CEBAS","UNICO",IF(VALUE(B2974)&lt;=11,"AMBA","INTERIOR"))))</f>
        <v>R09</v>
      </c>
      <c r="W2974" s="38" t="str">
        <f>+IF(U2974="","-",CONCATENATE(U2974,"_",V2974))</f>
        <v>FINES_R09</v>
      </c>
      <c r="X2974" s="42">
        <v>0.94099999999999995</v>
      </c>
    </row>
    <row r="2975" spans="1:24">
      <c r="A2975" s="21" t="s">
        <v>5100</v>
      </c>
      <c r="B2975" t="s">
        <v>1860</v>
      </c>
      <c r="C2975" t="s">
        <v>1858</v>
      </c>
      <c r="D2975" t="s">
        <v>1859</v>
      </c>
      <c r="E2975" s="7" t="s">
        <v>198</v>
      </c>
      <c r="F2975" s="7" t="s">
        <v>198</v>
      </c>
      <c r="G2975" s="7" t="s">
        <v>198</v>
      </c>
      <c r="H2975" s="7" t="s">
        <v>20</v>
      </c>
      <c r="I2975" s="7" t="s">
        <v>5102</v>
      </c>
      <c r="J2975" s="7" t="s">
        <v>21</v>
      </c>
      <c r="L2975" t="s">
        <v>4236</v>
      </c>
      <c r="M2975" s="7" t="s">
        <v>22</v>
      </c>
      <c r="N2975" s="7" t="s">
        <v>23</v>
      </c>
      <c r="O2975" s="7" t="s">
        <v>27</v>
      </c>
      <c r="P2975" s="7" t="s">
        <v>5101</v>
      </c>
      <c r="Q2975" s="26">
        <v>132</v>
      </c>
      <c r="R2975" s="26">
        <v>3</v>
      </c>
      <c r="S2975" s="40">
        <v>1</v>
      </c>
      <c r="T2975" s="7"/>
      <c r="U2975" s="7" t="s">
        <v>2951</v>
      </c>
      <c r="V2975" s="7" t="str">
        <f>+IF(U2975="","",IF(U2975="FINES",CONCATENATE("R",IF(OR(B2975="16",B2975="21",B2975="22",B2975="23"),"16212223",IF(OR(B2975="15",B2975="17",B2975="24",B2975="25"),"15172425",B2975))),IF(U2975="CEBAS","UNICO",IF(VALUE(B2975)&lt;=11,"AMBA","INTERIOR"))))</f>
        <v>R09</v>
      </c>
      <c r="W2975" s="38" t="str">
        <f>+IF(U2975="","-",CONCATENATE(U2975,"_",V2975))</f>
        <v>FINES_R09</v>
      </c>
      <c r="X2975" s="42">
        <v>0.95</v>
      </c>
    </row>
    <row r="2976" spans="1:24">
      <c r="A2976" s="21" t="s">
        <v>5100</v>
      </c>
      <c r="B2976" t="s">
        <v>1860</v>
      </c>
      <c r="C2976" t="s">
        <v>224</v>
      </c>
      <c r="D2976" t="s">
        <v>2837</v>
      </c>
      <c r="E2976" s="7" t="s">
        <v>198</v>
      </c>
      <c r="F2976" s="7" t="s">
        <v>198</v>
      </c>
      <c r="G2976" s="7" t="s">
        <v>198</v>
      </c>
      <c r="H2976" s="7" t="s">
        <v>20</v>
      </c>
      <c r="I2976" s="7" t="s">
        <v>5102</v>
      </c>
      <c r="J2976" s="7" t="s">
        <v>21</v>
      </c>
      <c r="L2976" t="s">
        <v>4206</v>
      </c>
      <c r="M2976" s="7" t="s">
        <v>22</v>
      </c>
      <c r="N2976" s="7" t="s">
        <v>23</v>
      </c>
      <c r="O2976" s="7" t="s">
        <v>27</v>
      </c>
      <c r="P2976" s="7" t="s">
        <v>5101</v>
      </c>
      <c r="Q2976" s="26">
        <v>116</v>
      </c>
      <c r="R2976" s="26">
        <v>3</v>
      </c>
      <c r="S2976" s="40">
        <v>1</v>
      </c>
      <c r="T2976" s="7"/>
      <c r="U2976" s="7" t="s">
        <v>2951</v>
      </c>
      <c r="V2976" s="7" t="str">
        <f>+IF(U2976="","",IF(U2976="FINES",CONCATENATE("R",IF(OR(B2976="16",B2976="21",B2976="22",B2976="23"),"16212223",IF(OR(B2976="15",B2976="17",B2976="24",B2976="25"),"15172425",B2976))),IF(U2976="CEBAS","UNICO",IF(VALUE(B2976)&lt;=11,"AMBA","INTERIOR"))))</f>
        <v>R09</v>
      </c>
      <c r="W2976" s="38" t="str">
        <f>+IF(U2976="","-",CONCATENATE(U2976,"_",V2976))</f>
        <v>FINES_R09</v>
      </c>
      <c r="X2976" s="42">
        <v>0.95899999999999996</v>
      </c>
    </row>
    <row r="2977" spans="1:24">
      <c r="A2977" s="21" t="s">
        <v>5100</v>
      </c>
      <c r="B2977" t="s">
        <v>1860</v>
      </c>
      <c r="C2977" t="s">
        <v>411</v>
      </c>
      <c r="D2977" t="s">
        <v>2791</v>
      </c>
      <c r="E2977" s="7" t="s">
        <v>198</v>
      </c>
      <c r="F2977" s="7" t="s">
        <v>198</v>
      </c>
      <c r="G2977" s="7" t="s">
        <v>198</v>
      </c>
      <c r="H2977" s="7" t="s">
        <v>20</v>
      </c>
      <c r="I2977" s="7" t="s">
        <v>5102</v>
      </c>
      <c r="J2977" s="7" t="s">
        <v>21</v>
      </c>
      <c r="L2977" t="s">
        <v>3130</v>
      </c>
      <c r="M2977" s="7" t="s">
        <v>22</v>
      </c>
      <c r="N2977" s="7" t="s">
        <v>23</v>
      </c>
      <c r="O2977" s="7" t="s">
        <v>27</v>
      </c>
      <c r="P2977" s="7" t="s">
        <v>5101</v>
      </c>
      <c r="Q2977" s="26">
        <v>29</v>
      </c>
      <c r="R2977" s="26">
        <v>1</v>
      </c>
      <c r="S2977" s="40">
        <v>1</v>
      </c>
      <c r="T2977" s="7"/>
      <c r="U2977" s="7" t="s">
        <v>2951</v>
      </c>
      <c r="V2977" s="7" t="str">
        <f>+IF(U2977="","",IF(U2977="FINES",CONCATENATE("R",IF(OR(B2977="16",B2977="21",B2977="22",B2977="23"),"16212223",IF(OR(B2977="15",B2977="17",B2977="24",B2977="25"),"15172425",B2977))),IF(U2977="CEBAS","UNICO",IF(VALUE(B2977)&lt;=11,"AMBA","INTERIOR"))))</f>
        <v>R09</v>
      </c>
      <c r="W2977" s="38" t="str">
        <f>+IF(U2977="","-",CONCATENATE(U2977,"_",V2977))</f>
        <v>FINES_R09</v>
      </c>
      <c r="X2977" s="42">
        <v>0.96499999999999997</v>
      </c>
    </row>
    <row r="2978" spans="1:24">
      <c r="A2978" s="21" t="s">
        <v>5100</v>
      </c>
      <c r="B2978" t="s">
        <v>1860</v>
      </c>
      <c r="C2978" t="s">
        <v>1858</v>
      </c>
      <c r="D2978" t="s">
        <v>1859</v>
      </c>
      <c r="E2978" s="7" t="s">
        <v>198</v>
      </c>
      <c r="F2978" s="7" t="s">
        <v>198</v>
      </c>
      <c r="G2978" s="7" t="s">
        <v>198</v>
      </c>
      <c r="H2978" s="7" t="s">
        <v>20</v>
      </c>
      <c r="I2978" s="7" t="s">
        <v>5102</v>
      </c>
      <c r="J2978" s="7" t="s">
        <v>21</v>
      </c>
      <c r="L2978" t="s">
        <v>4241</v>
      </c>
      <c r="M2978" s="7" t="s">
        <v>22</v>
      </c>
      <c r="N2978" s="7" t="s">
        <v>23</v>
      </c>
      <c r="O2978" s="7" t="s">
        <v>27</v>
      </c>
      <c r="P2978" s="7" t="s">
        <v>5101</v>
      </c>
      <c r="Q2978" s="26">
        <v>67</v>
      </c>
      <c r="R2978" s="26">
        <v>2</v>
      </c>
      <c r="S2978" s="40">
        <v>1</v>
      </c>
      <c r="T2978" s="7"/>
      <c r="U2978" s="7" t="s">
        <v>2951</v>
      </c>
      <c r="V2978" s="7" t="str">
        <f>+IF(U2978="","",IF(U2978="FINES",CONCATENATE("R",IF(OR(B2978="16",B2978="21",B2978="22",B2978="23"),"16212223",IF(OR(B2978="15",B2978="17",B2978="24",B2978="25"),"15172425",B2978))),IF(U2978="CEBAS","UNICO",IF(VALUE(B2978)&lt;=11,"AMBA","INTERIOR"))))</f>
        <v>R09</v>
      </c>
      <c r="W2978" s="38" t="str">
        <f>+IF(U2978="","-",CONCATENATE(U2978,"_",V2978))</f>
        <v>FINES_R09</v>
      </c>
      <c r="X2978" s="42">
        <v>0.96699999999999997</v>
      </c>
    </row>
    <row r="2979" spans="1:24">
      <c r="A2979" s="21" t="s">
        <v>5100</v>
      </c>
      <c r="B2979" t="s">
        <v>1860</v>
      </c>
      <c r="C2979" t="s">
        <v>224</v>
      </c>
      <c r="D2979" t="s">
        <v>2837</v>
      </c>
      <c r="E2979" s="7" t="s">
        <v>198</v>
      </c>
      <c r="F2979" s="7" t="s">
        <v>198</v>
      </c>
      <c r="G2979" s="7" t="s">
        <v>198</v>
      </c>
      <c r="H2979" s="7" t="s">
        <v>20</v>
      </c>
      <c r="I2979" s="7" t="s">
        <v>5102</v>
      </c>
      <c r="J2979" s="7" t="s">
        <v>21</v>
      </c>
      <c r="L2979" t="s">
        <v>4197</v>
      </c>
      <c r="M2979" s="7" t="s">
        <v>22</v>
      </c>
      <c r="N2979" s="7" t="s">
        <v>23</v>
      </c>
      <c r="O2979" s="7" t="s">
        <v>27</v>
      </c>
      <c r="P2979" s="7" t="s">
        <v>5101</v>
      </c>
      <c r="Q2979" s="26">
        <v>18</v>
      </c>
      <c r="R2979" s="26">
        <v>1</v>
      </c>
      <c r="S2979" s="40">
        <v>1</v>
      </c>
      <c r="T2979" s="7"/>
      <c r="U2979" s="7" t="s">
        <v>2951</v>
      </c>
      <c r="V2979" s="7" t="str">
        <f>+IF(U2979="","",IF(U2979="FINES",CONCATENATE("R",IF(OR(B2979="16",B2979="21",B2979="22",B2979="23"),"16212223",IF(OR(B2979="15",B2979="17",B2979="24",B2979="25"),"15172425",B2979))),IF(U2979="CEBAS","UNICO",IF(VALUE(B2979)&lt;=11,"AMBA","INTERIOR"))))</f>
        <v>R09</v>
      </c>
      <c r="W2979" s="38" t="str">
        <f>+IF(U2979="","-",CONCATENATE(U2979,"_",V2979))</f>
        <v>FINES_R09</v>
      </c>
      <c r="X2979" s="42">
        <v>0.97</v>
      </c>
    </row>
    <row r="2980" spans="1:24">
      <c r="A2980" s="21" t="s">
        <v>5100</v>
      </c>
      <c r="B2980" t="s">
        <v>1860</v>
      </c>
      <c r="C2980" t="s">
        <v>1858</v>
      </c>
      <c r="D2980" t="s">
        <v>1859</v>
      </c>
      <c r="E2980" s="7" t="s">
        <v>198</v>
      </c>
      <c r="F2980" s="7" t="s">
        <v>198</v>
      </c>
      <c r="G2980" s="7" t="s">
        <v>198</v>
      </c>
      <c r="H2980" s="7" t="s">
        <v>20</v>
      </c>
      <c r="I2980" s="7" t="s">
        <v>5102</v>
      </c>
      <c r="J2980" s="7" t="s">
        <v>21</v>
      </c>
      <c r="L2980" t="s">
        <v>4261</v>
      </c>
      <c r="M2980" s="7" t="s">
        <v>22</v>
      </c>
      <c r="N2980" s="7" t="s">
        <v>23</v>
      </c>
      <c r="O2980" s="7" t="s">
        <v>27</v>
      </c>
      <c r="P2980" s="7" t="s">
        <v>5101</v>
      </c>
      <c r="Q2980" s="26">
        <v>61</v>
      </c>
      <c r="R2980" s="26">
        <v>2</v>
      </c>
      <c r="S2980" s="40">
        <v>1</v>
      </c>
      <c r="T2980" s="7"/>
      <c r="U2980" s="7" t="s">
        <v>2951</v>
      </c>
      <c r="V2980" s="7" t="str">
        <f>+IF(U2980="","",IF(U2980="FINES",CONCATENATE("R",IF(OR(B2980="16",B2980="21",B2980="22",B2980="23"),"16212223",IF(OR(B2980="15",B2980="17",B2980="24",B2980="25"),"15172425",B2980))),IF(U2980="CEBAS","UNICO",IF(VALUE(B2980)&lt;=11,"AMBA","INTERIOR"))))</f>
        <v>R09</v>
      </c>
      <c r="W2980" s="38" t="str">
        <f>+IF(U2980="","-",CONCATENATE(U2980,"_",V2980))</f>
        <v>FINES_R09</v>
      </c>
      <c r="X2980" s="42">
        <v>0.97799999999999998</v>
      </c>
    </row>
    <row r="2981" spans="1:24">
      <c r="A2981" s="21" t="s">
        <v>5100</v>
      </c>
      <c r="B2981" t="s">
        <v>1860</v>
      </c>
      <c r="C2981" t="s">
        <v>1858</v>
      </c>
      <c r="D2981" t="s">
        <v>1859</v>
      </c>
      <c r="E2981" s="7" t="s">
        <v>198</v>
      </c>
      <c r="F2981" s="7" t="s">
        <v>198</v>
      </c>
      <c r="G2981" s="7" t="s">
        <v>198</v>
      </c>
      <c r="H2981" s="7" t="s">
        <v>20</v>
      </c>
      <c r="I2981" s="7" t="s">
        <v>5102</v>
      </c>
      <c r="J2981" s="7" t="s">
        <v>21</v>
      </c>
      <c r="L2981" t="s">
        <v>4266</v>
      </c>
      <c r="M2981" s="7" t="s">
        <v>22</v>
      </c>
      <c r="N2981" s="7" t="s">
        <v>23</v>
      </c>
      <c r="O2981" s="7" t="s">
        <v>27</v>
      </c>
      <c r="P2981" s="7" t="s">
        <v>5101</v>
      </c>
      <c r="Q2981" s="26">
        <v>36</v>
      </c>
      <c r="R2981" s="26">
        <v>1</v>
      </c>
      <c r="S2981" s="40">
        <v>1</v>
      </c>
      <c r="T2981" s="7"/>
      <c r="U2981" s="7" t="s">
        <v>2951</v>
      </c>
      <c r="V2981" s="7" t="str">
        <f>+IF(U2981="","",IF(U2981="FINES",CONCATENATE("R",IF(OR(B2981="16",B2981="21",B2981="22",B2981="23"),"16212223",IF(OR(B2981="15",B2981="17",B2981="24",B2981="25"),"15172425",B2981))),IF(U2981="CEBAS","UNICO",IF(VALUE(B2981)&lt;=11,"AMBA","INTERIOR"))))</f>
        <v>R09</v>
      </c>
      <c r="W2981" s="38" t="str">
        <f>+IF(U2981="","-",CONCATENATE(U2981,"_",V2981))</f>
        <v>FINES_R09</v>
      </c>
      <c r="X2981" s="42">
        <v>0.99199999999999999</v>
      </c>
    </row>
    <row r="2982" spans="1:24">
      <c r="A2982" s="21" t="s">
        <v>5100</v>
      </c>
      <c r="B2982" t="s">
        <v>138</v>
      </c>
      <c r="C2982" t="s">
        <v>522</v>
      </c>
      <c r="D2982" t="s">
        <v>1468</v>
      </c>
      <c r="E2982" s="7" t="s">
        <v>198</v>
      </c>
      <c r="F2982" s="7" t="s">
        <v>198</v>
      </c>
      <c r="G2982" s="7" t="s">
        <v>198</v>
      </c>
      <c r="H2982" s="7" t="s">
        <v>20</v>
      </c>
      <c r="I2982" s="7" t="s">
        <v>5102</v>
      </c>
      <c r="J2982" s="7" t="s">
        <v>21</v>
      </c>
      <c r="L2982" t="s">
        <v>4350</v>
      </c>
      <c r="M2982" s="7" t="s">
        <v>22</v>
      </c>
      <c r="N2982" s="7" t="s">
        <v>23</v>
      </c>
      <c r="O2982" s="7" t="s">
        <v>27</v>
      </c>
      <c r="P2982" s="7" t="s">
        <v>5101</v>
      </c>
      <c r="Q2982" s="26">
        <v>64</v>
      </c>
      <c r="R2982" s="26">
        <v>3</v>
      </c>
      <c r="S2982" s="40">
        <v>1</v>
      </c>
      <c r="T2982" s="7"/>
      <c r="U2982" s="7" t="s">
        <v>2951</v>
      </c>
      <c r="V2982" s="7" t="str">
        <f>+IF(U2982="","",IF(U2982="FINES",CONCATENATE("R",IF(OR(B2982="16",B2982="21",B2982="22",B2982="23"),"16212223",IF(OR(B2982="15",B2982="17",B2982="24",B2982="25"),"15172425",B2982))),IF(U2982="CEBAS","UNICO",IF(VALUE(B2982)&lt;=11,"AMBA","INTERIOR"))))</f>
        <v>R10</v>
      </c>
      <c r="W2982" s="38" t="str">
        <f>+IF(U2982="","-",CONCATENATE(U2982,"_",V2982))</f>
        <v>FINES_R10</v>
      </c>
      <c r="X2982" s="42">
        <v>8.9999999999999993E-3</v>
      </c>
    </row>
    <row r="2983" spans="1:24">
      <c r="A2983" s="21" t="s">
        <v>5100</v>
      </c>
      <c r="B2983" t="s">
        <v>138</v>
      </c>
      <c r="C2983" t="s">
        <v>2199</v>
      </c>
      <c r="D2983" t="s">
        <v>2200</v>
      </c>
      <c r="E2983" s="7" t="s">
        <v>198</v>
      </c>
      <c r="F2983" s="7" t="s">
        <v>198</v>
      </c>
      <c r="G2983" s="7" t="s">
        <v>198</v>
      </c>
      <c r="H2983" s="7" t="s">
        <v>20</v>
      </c>
      <c r="I2983" s="7" t="s">
        <v>5102</v>
      </c>
      <c r="J2983" s="7" t="s">
        <v>21</v>
      </c>
      <c r="L2983" t="s">
        <v>4403</v>
      </c>
      <c r="M2983" s="7" t="s">
        <v>22</v>
      </c>
      <c r="N2983" s="7" t="s">
        <v>23</v>
      </c>
      <c r="O2983" s="7" t="s">
        <v>27</v>
      </c>
      <c r="P2983" s="7" t="s">
        <v>5101</v>
      </c>
      <c r="Q2983" s="26">
        <v>49</v>
      </c>
      <c r="R2983" s="26">
        <v>2</v>
      </c>
      <c r="S2983" s="40">
        <v>1</v>
      </c>
      <c r="T2983" s="7"/>
      <c r="U2983" s="7" t="s">
        <v>2951</v>
      </c>
      <c r="V2983" s="7" t="str">
        <f>+IF(U2983="","",IF(U2983="FINES",CONCATENATE("R",IF(OR(B2983="16",B2983="21",B2983="22",B2983="23"),"16212223",IF(OR(B2983="15",B2983="17",B2983="24",B2983="25"),"15172425",B2983))),IF(U2983="CEBAS","UNICO",IF(VALUE(B2983)&lt;=11,"AMBA","INTERIOR"))))</f>
        <v>R10</v>
      </c>
      <c r="W2983" s="38" t="str">
        <f>+IF(U2983="","-",CONCATENATE(U2983,"_",V2983))</f>
        <v>FINES_R10</v>
      </c>
      <c r="X2983" s="42">
        <v>1.9E-2</v>
      </c>
    </row>
    <row r="2984" spans="1:24">
      <c r="A2984" s="21" t="s">
        <v>5100</v>
      </c>
      <c r="B2984" t="s">
        <v>138</v>
      </c>
      <c r="C2984" t="s">
        <v>1920</v>
      </c>
      <c r="D2984" t="s">
        <v>1921</v>
      </c>
      <c r="E2984" s="7" t="s">
        <v>198</v>
      </c>
      <c r="F2984" s="7" t="s">
        <v>198</v>
      </c>
      <c r="G2984" s="7" t="s">
        <v>198</v>
      </c>
      <c r="H2984" s="7" t="s">
        <v>20</v>
      </c>
      <c r="I2984" s="7" t="s">
        <v>5102</v>
      </c>
      <c r="J2984" s="7" t="s">
        <v>21</v>
      </c>
      <c r="L2984" t="s">
        <v>4395</v>
      </c>
      <c r="M2984" s="7" t="s">
        <v>22</v>
      </c>
      <c r="N2984" s="7" t="s">
        <v>23</v>
      </c>
      <c r="O2984" s="7" t="s">
        <v>27</v>
      </c>
      <c r="P2984" s="7" t="s">
        <v>5101</v>
      </c>
      <c r="Q2984" s="26">
        <v>22</v>
      </c>
      <c r="R2984" s="26">
        <v>1</v>
      </c>
      <c r="S2984" s="40">
        <v>1</v>
      </c>
      <c r="T2984" s="7"/>
      <c r="U2984" s="7" t="s">
        <v>2951</v>
      </c>
      <c r="V2984" s="7" t="str">
        <f>+IF(U2984="","",IF(U2984="FINES",CONCATENATE("R",IF(OR(B2984="16",B2984="21",B2984="22",B2984="23"),"16212223",IF(OR(B2984="15",B2984="17",B2984="24",B2984="25"),"15172425",B2984))),IF(U2984="CEBAS","UNICO",IF(VALUE(B2984)&lt;=11,"AMBA","INTERIOR"))))</f>
        <v>R10</v>
      </c>
      <c r="W2984" s="38" t="str">
        <f>+IF(U2984="","-",CONCATENATE(U2984,"_",V2984))</f>
        <v>FINES_R10</v>
      </c>
      <c r="X2984" s="42">
        <v>3.6999999999999998E-2</v>
      </c>
    </row>
    <row r="2985" spans="1:24">
      <c r="A2985" s="21" t="s">
        <v>5100</v>
      </c>
      <c r="B2985" t="s">
        <v>138</v>
      </c>
      <c r="C2985" t="s">
        <v>522</v>
      </c>
      <c r="D2985" t="s">
        <v>1468</v>
      </c>
      <c r="E2985" s="7" t="s">
        <v>198</v>
      </c>
      <c r="F2985" s="7" t="s">
        <v>198</v>
      </c>
      <c r="G2985" s="7" t="s">
        <v>198</v>
      </c>
      <c r="H2985" s="7" t="s">
        <v>20</v>
      </c>
      <c r="I2985" s="7" t="s">
        <v>5102</v>
      </c>
      <c r="J2985" s="7" t="s">
        <v>21</v>
      </c>
      <c r="L2985" t="s">
        <v>4354</v>
      </c>
      <c r="M2985" s="7" t="s">
        <v>22</v>
      </c>
      <c r="N2985" s="7" t="s">
        <v>23</v>
      </c>
      <c r="O2985" s="7" t="s">
        <v>27</v>
      </c>
      <c r="P2985" s="7" t="s">
        <v>5101</v>
      </c>
      <c r="Q2985" s="26">
        <v>0</v>
      </c>
      <c r="R2985" s="26">
        <v>1</v>
      </c>
      <c r="S2985" s="40">
        <v>1</v>
      </c>
      <c r="T2985" s="7"/>
      <c r="U2985" s="7" t="s">
        <v>2951</v>
      </c>
      <c r="V2985" s="7" t="str">
        <f>+IF(U2985="","",IF(U2985="FINES",CONCATENATE("R",IF(OR(B2985="16",B2985="21",B2985="22",B2985="23"),"16212223",IF(OR(B2985="15",B2985="17",B2985="24",B2985="25"),"15172425",B2985))),IF(U2985="CEBAS","UNICO",IF(VALUE(B2985)&lt;=11,"AMBA","INTERIOR"))))</f>
        <v>R10</v>
      </c>
      <c r="W2985" s="38" t="str">
        <f>+IF(U2985="","-",CONCATENATE(U2985,"_",V2985))</f>
        <v>FINES_R10</v>
      </c>
      <c r="X2985" s="42">
        <v>4.3999999999999997E-2</v>
      </c>
    </row>
    <row r="2986" spans="1:24">
      <c r="A2986" s="21" t="s">
        <v>5100</v>
      </c>
      <c r="B2986" t="s">
        <v>138</v>
      </c>
      <c r="C2986" t="s">
        <v>436</v>
      </c>
      <c r="D2986" t="s">
        <v>1067</v>
      </c>
      <c r="E2986" s="7" t="s">
        <v>198</v>
      </c>
      <c r="F2986" s="7" t="s">
        <v>198</v>
      </c>
      <c r="G2986" s="7" t="s">
        <v>198</v>
      </c>
      <c r="H2986" s="7" t="s">
        <v>20</v>
      </c>
      <c r="I2986" s="7" t="s">
        <v>5102</v>
      </c>
      <c r="J2986" s="7" t="s">
        <v>21</v>
      </c>
      <c r="L2986" t="s">
        <v>4329</v>
      </c>
      <c r="M2986" s="7" t="s">
        <v>22</v>
      </c>
      <c r="N2986" s="7" t="s">
        <v>23</v>
      </c>
      <c r="O2986" s="7" t="s">
        <v>27</v>
      </c>
      <c r="P2986" s="7" t="s">
        <v>5101</v>
      </c>
      <c r="Q2986" s="26">
        <v>20</v>
      </c>
      <c r="R2986" s="26">
        <v>1</v>
      </c>
      <c r="S2986" s="40">
        <v>1</v>
      </c>
      <c r="T2986" s="7"/>
      <c r="U2986" s="7" t="s">
        <v>2951</v>
      </c>
      <c r="V2986" s="7" t="str">
        <f>+IF(U2986="","",IF(U2986="FINES",CONCATENATE("R",IF(OR(B2986="16",B2986="21",B2986="22",B2986="23"),"16212223",IF(OR(B2986="15",B2986="17",B2986="24",B2986="25"),"15172425",B2986))),IF(U2986="CEBAS","UNICO",IF(VALUE(B2986)&lt;=11,"AMBA","INTERIOR"))))</f>
        <v>R10</v>
      </c>
      <c r="W2986" s="38" t="str">
        <f>+IF(U2986="","-",CONCATENATE(U2986,"_",V2986))</f>
        <v>FINES_R10</v>
      </c>
      <c r="X2986" s="42">
        <v>5.0999999999999997E-2</v>
      </c>
    </row>
    <row r="2987" spans="1:24">
      <c r="A2987" s="21" t="s">
        <v>5100</v>
      </c>
      <c r="B2987" t="s">
        <v>138</v>
      </c>
      <c r="C2987" t="s">
        <v>436</v>
      </c>
      <c r="D2987" t="s">
        <v>1067</v>
      </c>
      <c r="E2987" s="7" t="s">
        <v>198</v>
      </c>
      <c r="F2987" s="7" t="s">
        <v>198</v>
      </c>
      <c r="G2987" s="7" t="s">
        <v>198</v>
      </c>
      <c r="H2987" s="7" t="s">
        <v>20</v>
      </c>
      <c r="I2987" s="7" t="s">
        <v>5102</v>
      </c>
      <c r="J2987" s="7" t="s">
        <v>21</v>
      </c>
      <c r="L2987" t="s">
        <v>4331</v>
      </c>
      <c r="M2987" s="7" t="s">
        <v>22</v>
      </c>
      <c r="N2987" s="7" t="s">
        <v>23</v>
      </c>
      <c r="O2987" s="7" t="s">
        <v>27</v>
      </c>
      <c r="P2987" s="7" t="s">
        <v>5101</v>
      </c>
      <c r="Q2987" s="26">
        <v>53</v>
      </c>
      <c r="R2987" s="26">
        <v>2</v>
      </c>
      <c r="S2987" s="40">
        <v>1</v>
      </c>
      <c r="T2987" s="7"/>
      <c r="U2987" s="7" t="s">
        <v>2951</v>
      </c>
      <c r="V2987" s="7" t="str">
        <f>+IF(U2987="","",IF(U2987="FINES",CONCATENATE("R",IF(OR(B2987="16",B2987="21",B2987="22",B2987="23"),"16212223",IF(OR(B2987="15",B2987="17",B2987="24",B2987="25"),"15172425",B2987))),IF(U2987="CEBAS","UNICO",IF(VALUE(B2987)&lt;=11,"AMBA","INTERIOR"))))</f>
        <v>R10</v>
      </c>
      <c r="W2987" s="38" t="str">
        <f>+IF(U2987="","-",CONCATENATE(U2987,"_",V2987))</f>
        <v>FINES_R10</v>
      </c>
      <c r="X2987" s="42">
        <v>5.2999999999999999E-2</v>
      </c>
    </row>
    <row r="2988" spans="1:24">
      <c r="A2988" s="21" t="s">
        <v>5100</v>
      </c>
      <c r="B2988" t="s">
        <v>138</v>
      </c>
      <c r="C2988" t="s">
        <v>643</v>
      </c>
      <c r="D2988" t="s">
        <v>645</v>
      </c>
      <c r="E2988" s="7" t="s">
        <v>198</v>
      </c>
      <c r="F2988" s="7" t="s">
        <v>198</v>
      </c>
      <c r="G2988" s="7" t="s">
        <v>198</v>
      </c>
      <c r="H2988" s="7" t="s">
        <v>20</v>
      </c>
      <c r="I2988" s="7" t="s">
        <v>5102</v>
      </c>
      <c r="J2988" s="7" t="s">
        <v>21</v>
      </c>
      <c r="L2988" t="s">
        <v>4294</v>
      </c>
      <c r="M2988" s="7" t="s">
        <v>22</v>
      </c>
      <c r="N2988" s="7" t="s">
        <v>23</v>
      </c>
      <c r="O2988" s="7" t="s">
        <v>27</v>
      </c>
      <c r="P2988" s="7" t="s">
        <v>5101</v>
      </c>
      <c r="Q2988" s="26">
        <v>18</v>
      </c>
      <c r="R2988" s="26">
        <v>1</v>
      </c>
      <c r="S2988" s="40">
        <v>1</v>
      </c>
      <c r="T2988" s="7"/>
      <c r="U2988" s="7" t="s">
        <v>2951</v>
      </c>
      <c r="V2988" s="7" t="str">
        <f>+IF(U2988="","",IF(U2988="FINES",CONCATENATE("R",IF(OR(B2988="16",B2988="21",B2988="22",B2988="23"),"16212223",IF(OR(B2988="15",B2988="17",B2988="24",B2988="25"),"15172425",B2988))),IF(U2988="CEBAS","UNICO",IF(VALUE(B2988)&lt;=11,"AMBA","INTERIOR"))))</f>
        <v>R10</v>
      </c>
      <c r="W2988" s="38" t="str">
        <f>+IF(U2988="","-",CONCATENATE(U2988,"_",V2988))</f>
        <v>FINES_R10</v>
      </c>
      <c r="X2988" s="42">
        <v>6.8000000000000005E-2</v>
      </c>
    </row>
    <row r="2989" spans="1:24">
      <c r="A2989" s="21" t="s">
        <v>5100</v>
      </c>
      <c r="B2989" t="s">
        <v>138</v>
      </c>
      <c r="C2989" t="s">
        <v>522</v>
      </c>
      <c r="D2989" t="s">
        <v>1468</v>
      </c>
      <c r="E2989" s="7" t="s">
        <v>198</v>
      </c>
      <c r="F2989" s="7" t="s">
        <v>198</v>
      </c>
      <c r="G2989" s="7" t="s">
        <v>198</v>
      </c>
      <c r="H2989" s="7" t="s">
        <v>20</v>
      </c>
      <c r="I2989" s="7" t="s">
        <v>5102</v>
      </c>
      <c r="J2989" s="7" t="s">
        <v>21</v>
      </c>
      <c r="L2989" t="s">
        <v>4333</v>
      </c>
      <c r="M2989" s="7" t="s">
        <v>22</v>
      </c>
      <c r="N2989" s="7" t="s">
        <v>23</v>
      </c>
      <c r="O2989" s="7" t="s">
        <v>27</v>
      </c>
      <c r="P2989" s="7" t="s">
        <v>5101</v>
      </c>
      <c r="Q2989" s="26">
        <v>8</v>
      </c>
      <c r="R2989" s="26">
        <v>1</v>
      </c>
      <c r="S2989" s="40">
        <v>1</v>
      </c>
      <c r="T2989" s="7"/>
      <c r="U2989" s="7" t="s">
        <v>2951</v>
      </c>
      <c r="V2989" s="7" t="str">
        <f>+IF(U2989="","",IF(U2989="FINES",CONCATENATE("R",IF(OR(B2989="16",B2989="21",B2989="22",B2989="23"),"16212223",IF(OR(B2989="15",B2989="17",B2989="24",B2989="25"),"15172425",B2989))),IF(U2989="CEBAS","UNICO",IF(VALUE(B2989)&lt;=11,"AMBA","INTERIOR"))))</f>
        <v>R10</v>
      </c>
      <c r="W2989" s="38" t="str">
        <f>+IF(U2989="","-",CONCATENATE(U2989,"_",V2989))</f>
        <v>FINES_R10</v>
      </c>
      <c r="X2989" s="42">
        <v>7.0000000000000007E-2</v>
      </c>
    </row>
    <row r="2990" spans="1:24">
      <c r="A2990" s="21" t="s">
        <v>5100</v>
      </c>
      <c r="B2990" t="s">
        <v>138</v>
      </c>
      <c r="C2990" t="s">
        <v>1920</v>
      </c>
      <c r="D2990" t="s">
        <v>1921</v>
      </c>
      <c r="E2990" s="7" t="s">
        <v>198</v>
      </c>
      <c r="F2990" s="7" t="s">
        <v>198</v>
      </c>
      <c r="G2990" s="7" t="s">
        <v>198</v>
      </c>
      <c r="H2990" s="7" t="s">
        <v>20</v>
      </c>
      <c r="I2990" s="7" t="s">
        <v>5102</v>
      </c>
      <c r="J2990" s="7" t="s">
        <v>21</v>
      </c>
      <c r="L2990" t="s">
        <v>4397</v>
      </c>
      <c r="M2990" s="7" t="s">
        <v>22</v>
      </c>
      <c r="N2990" s="7" t="s">
        <v>23</v>
      </c>
      <c r="O2990" s="7" t="s">
        <v>27</v>
      </c>
      <c r="P2990" s="7" t="s">
        <v>5101</v>
      </c>
      <c r="Q2990" s="26">
        <v>13</v>
      </c>
      <c r="R2990" s="26">
        <v>1</v>
      </c>
      <c r="S2990" s="40">
        <v>1</v>
      </c>
      <c r="T2990" s="7"/>
      <c r="U2990" s="7" t="s">
        <v>2951</v>
      </c>
      <c r="V2990" s="7" t="str">
        <f>+IF(U2990="","",IF(U2990="FINES",CONCATENATE("R",IF(OR(B2990="16",B2990="21",B2990="22",B2990="23"),"16212223",IF(OR(B2990="15",B2990="17",B2990="24",B2990="25"),"15172425",B2990))),IF(U2990="CEBAS","UNICO",IF(VALUE(B2990)&lt;=11,"AMBA","INTERIOR"))))</f>
        <v>R10</v>
      </c>
      <c r="W2990" s="38" t="str">
        <f>+IF(U2990="","-",CONCATENATE(U2990,"_",V2990))</f>
        <v>FINES_R10</v>
      </c>
      <c r="X2990" s="42">
        <v>7.5999999999999998E-2</v>
      </c>
    </row>
    <row r="2991" spans="1:24">
      <c r="A2991" s="21" t="s">
        <v>5100</v>
      </c>
      <c r="B2991" t="s">
        <v>138</v>
      </c>
      <c r="C2991" t="s">
        <v>522</v>
      </c>
      <c r="D2991" t="s">
        <v>1468</v>
      </c>
      <c r="E2991" s="7" t="s">
        <v>198</v>
      </c>
      <c r="F2991" s="7" t="s">
        <v>198</v>
      </c>
      <c r="G2991" s="7" t="s">
        <v>198</v>
      </c>
      <c r="H2991" s="7" t="s">
        <v>20</v>
      </c>
      <c r="I2991" s="7" t="s">
        <v>5102</v>
      </c>
      <c r="J2991" s="7" t="s">
        <v>21</v>
      </c>
      <c r="L2991" t="s">
        <v>4359</v>
      </c>
      <c r="M2991" s="7" t="s">
        <v>22</v>
      </c>
      <c r="N2991" s="7" t="s">
        <v>23</v>
      </c>
      <c r="O2991" s="7" t="s">
        <v>27</v>
      </c>
      <c r="P2991" s="7" t="s">
        <v>5101</v>
      </c>
      <c r="Q2991" s="26">
        <v>16</v>
      </c>
      <c r="R2991" s="26">
        <v>1</v>
      </c>
      <c r="S2991" s="40">
        <v>1</v>
      </c>
      <c r="T2991" s="7"/>
      <c r="U2991" s="7" t="s">
        <v>2951</v>
      </c>
      <c r="V2991" s="7" t="str">
        <f>+IF(U2991="","",IF(U2991="FINES",CONCATENATE("R",IF(OR(B2991="16",B2991="21",B2991="22",B2991="23"),"16212223",IF(OR(B2991="15",B2991="17",B2991="24",B2991="25"),"15172425",B2991))),IF(U2991="CEBAS","UNICO",IF(VALUE(B2991)&lt;=11,"AMBA","INTERIOR"))))</f>
        <v>R10</v>
      </c>
      <c r="W2991" s="38" t="str">
        <f>+IF(U2991="","-",CONCATENATE(U2991,"_",V2991))</f>
        <v>FINES_R10</v>
      </c>
      <c r="X2991" s="42">
        <v>7.5999999999999998E-2</v>
      </c>
    </row>
    <row r="2992" spans="1:24">
      <c r="A2992" s="21" t="s">
        <v>5100</v>
      </c>
      <c r="B2992" t="s">
        <v>138</v>
      </c>
      <c r="C2992" t="s">
        <v>522</v>
      </c>
      <c r="D2992" t="s">
        <v>1468</v>
      </c>
      <c r="E2992" s="7" t="s">
        <v>198</v>
      </c>
      <c r="F2992" s="7" t="s">
        <v>198</v>
      </c>
      <c r="G2992" s="7" t="s">
        <v>198</v>
      </c>
      <c r="H2992" s="7" t="s">
        <v>20</v>
      </c>
      <c r="I2992" s="7" t="s">
        <v>5102</v>
      </c>
      <c r="J2992" s="7" t="s">
        <v>21</v>
      </c>
      <c r="L2992" t="s">
        <v>4343</v>
      </c>
      <c r="M2992" s="7" t="s">
        <v>22</v>
      </c>
      <c r="N2992" s="7" t="s">
        <v>23</v>
      </c>
      <c r="O2992" s="7" t="s">
        <v>27</v>
      </c>
      <c r="P2992" s="7" t="s">
        <v>5101</v>
      </c>
      <c r="Q2992" s="26">
        <v>14</v>
      </c>
      <c r="R2992" s="26">
        <v>1</v>
      </c>
      <c r="S2992" s="40">
        <v>1</v>
      </c>
      <c r="T2992" s="7"/>
      <c r="U2992" s="7" t="s">
        <v>2951</v>
      </c>
      <c r="V2992" s="7" t="str">
        <f>+IF(U2992="","",IF(U2992="FINES",CONCATENATE("R",IF(OR(B2992="16",B2992="21",B2992="22",B2992="23"),"16212223",IF(OR(B2992="15",B2992="17",B2992="24",B2992="25"),"15172425",B2992))),IF(U2992="CEBAS","UNICO",IF(VALUE(B2992)&lt;=11,"AMBA","INTERIOR"))))</f>
        <v>R10</v>
      </c>
      <c r="W2992" s="38" t="str">
        <f>+IF(U2992="","-",CONCATENATE(U2992,"_",V2992))</f>
        <v>FINES_R10</v>
      </c>
      <c r="X2992" s="42">
        <v>9.9000000000000005E-2</v>
      </c>
    </row>
    <row r="2993" spans="1:24">
      <c r="A2993" s="21" t="s">
        <v>5100</v>
      </c>
      <c r="B2993" t="s">
        <v>138</v>
      </c>
      <c r="C2993" t="s">
        <v>643</v>
      </c>
      <c r="D2993" t="s">
        <v>645</v>
      </c>
      <c r="E2993" s="7" t="s">
        <v>198</v>
      </c>
      <c r="F2993" s="7" t="s">
        <v>198</v>
      </c>
      <c r="G2993" s="7" t="s">
        <v>198</v>
      </c>
      <c r="H2993" s="7" t="s">
        <v>20</v>
      </c>
      <c r="I2993" s="7" t="s">
        <v>5102</v>
      </c>
      <c r="J2993" s="7" t="s">
        <v>21</v>
      </c>
      <c r="L2993" t="s">
        <v>3926</v>
      </c>
      <c r="M2993" s="7" t="s">
        <v>22</v>
      </c>
      <c r="N2993" s="7" t="s">
        <v>23</v>
      </c>
      <c r="O2993" s="7" t="s">
        <v>27</v>
      </c>
      <c r="P2993" s="7" t="s">
        <v>5101</v>
      </c>
      <c r="Q2993" s="26">
        <v>24</v>
      </c>
      <c r="R2993" s="26">
        <v>1</v>
      </c>
      <c r="S2993" s="40">
        <v>1</v>
      </c>
      <c r="T2993" s="7"/>
      <c r="U2993" s="7" t="s">
        <v>2951</v>
      </c>
      <c r="V2993" s="7" t="str">
        <f>+IF(U2993="","",IF(U2993="FINES",CONCATENATE("R",IF(OR(B2993="16",B2993="21",B2993="22",B2993="23"),"16212223",IF(OR(B2993="15",B2993="17",B2993="24",B2993="25"),"15172425",B2993))),IF(U2993="CEBAS","UNICO",IF(VALUE(B2993)&lt;=11,"AMBA","INTERIOR"))))</f>
        <v>R10</v>
      </c>
      <c r="W2993" s="38" t="str">
        <f>+IF(U2993="","-",CONCATENATE(U2993,"_",V2993))</f>
        <v>FINES_R10</v>
      </c>
      <c r="X2993" s="42">
        <v>0.113</v>
      </c>
    </row>
    <row r="2994" spans="1:24">
      <c r="A2994" s="21" t="s">
        <v>5100</v>
      </c>
      <c r="B2994" t="s">
        <v>138</v>
      </c>
      <c r="C2994" t="s">
        <v>643</v>
      </c>
      <c r="D2994" t="s">
        <v>645</v>
      </c>
      <c r="E2994" s="7" t="s">
        <v>198</v>
      </c>
      <c r="F2994" s="7" t="s">
        <v>198</v>
      </c>
      <c r="G2994" s="7" t="s">
        <v>198</v>
      </c>
      <c r="H2994" s="7" t="s">
        <v>20</v>
      </c>
      <c r="I2994" s="7" t="s">
        <v>5102</v>
      </c>
      <c r="J2994" s="7" t="s">
        <v>21</v>
      </c>
      <c r="L2994" t="s">
        <v>4292</v>
      </c>
      <c r="M2994" s="7" t="s">
        <v>22</v>
      </c>
      <c r="N2994" s="7" t="s">
        <v>23</v>
      </c>
      <c r="O2994" s="7" t="s">
        <v>27</v>
      </c>
      <c r="P2994" s="7" t="s">
        <v>5101</v>
      </c>
      <c r="Q2994" s="26">
        <v>6</v>
      </c>
      <c r="R2994" s="26">
        <v>1</v>
      </c>
      <c r="S2994" s="40">
        <v>1</v>
      </c>
      <c r="T2994" s="7"/>
      <c r="U2994" s="7" t="s">
        <v>2951</v>
      </c>
      <c r="V2994" s="7" t="str">
        <f>+IF(U2994="","",IF(U2994="FINES",CONCATENATE("R",IF(OR(B2994="16",B2994="21",B2994="22",B2994="23"),"16212223",IF(OR(B2994="15",B2994="17",B2994="24",B2994="25"),"15172425",B2994))),IF(U2994="CEBAS","UNICO",IF(VALUE(B2994)&lt;=11,"AMBA","INTERIOR"))))</f>
        <v>R10</v>
      </c>
      <c r="W2994" s="38" t="str">
        <f>+IF(U2994="","-",CONCATENATE(U2994,"_",V2994))</f>
        <v>FINES_R10</v>
      </c>
      <c r="X2994" s="42">
        <v>0.128</v>
      </c>
    </row>
    <row r="2995" spans="1:24">
      <c r="A2995" s="21" t="s">
        <v>5100</v>
      </c>
      <c r="B2995" t="s">
        <v>138</v>
      </c>
      <c r="C2995" t="s">
        <v>643</v>
      </c>
      <c r="D2995" t="s">
        <v>645</v>
      </c>
      <c r="E2995" s="7" t="s">
        <v>198</v>
      </c>
      <c r="F2995" s="7" t="s">
        <v>198</v>
      </c>
      <c r="G2995" s="7" t="s">
        <v>198</v>
      </c>
      <c r="H2995" s="7" t="s">
        <v>20</v>
      </c>
      <c r="I2995" s="7" t="s">
        <v>5102</v>
      </c>
      <c r="J2995" s="7" t="s">
        <v>21</v>
      </c>
      <c r="L2995" t="s">
        <v>4293</v>
      </c>
      <c r="M2995" s="7" t="s">
        <v>22</v>
      </c>
      <c r="N2995" s="7" t="s">
        <v>23</v>
      </c>
      <c r="O2995" s="7" t="s">
        <v>27</v>
      </c>
      <c r="P2995" s="7" t="s">
        <v>5101</v>
      </c>
      <c r="Q2995" s="26">
        <v>31</v>
      </c>
      <c r="R2995" s="26">
        <v>1</v>
      </c>
      <c r="S2995" s="40">
        <v>1</v>
      </c>
      <c r="T2995" s="7"/>
      <c r="U2995" s="7" t="s">
        <v>2951</v>
      </c>
      <c r="V2995" s="7" t="str">
        <f>+IF(U2995="","",IF(U2995="FINES",CONCATENATE("R",IF(OR(B2995="16",B2995="21",B2995="22",B2995="23"),"16212223",IF(OR(B2995="15",B2995="17",B2995="24",B2995="25"),"15172425",B2995))),IF(U2995="CEBAS","UNICO",IF(VALUE(B2995)&lt;=11,"AMBA","INTERIOR"))))</f>
        <v>R10</v>
      </c>
      <c r="W2995" s="38" t="str">
        <f>+IF(U2995="","-",CONCATENATE(U2995,"_",V2995))</f>
        <v>FINES_R10</v>
      </c>
      <c r="X2995" s="42">
        <v>0.13</v>
      </c>
    </row>
    <row r="2996" spans="1:24">
      <c r="A2996" s="21" t="s">
        <v>5100</v>
      </c>
      <c r="B2996" t="s">
        <v>138</v>
      </c>
      <c r="C2996" t="s">
        <v>436</v>
      </c>
      <c r="D2996" t="s">
        <v>1067</v>
      </c>
      <c r="E2996" s="7" t="s">
        <v>198</v>
      </c>
      <c r="F2996" s="7" t="s">
        <v>198</v>
      </c>
      <c r="G2996" s="7" t="s">
        <v>198</v>
      </c>
      <c r="H2996" s="7" t="s">
        <v>20</v>
      </c>
      <c r="I2996" s="7" t="s">
        <v>5102</v>
      </c>
      <c r="J2996" s="7" t="s">
        <v>21</v>
      </c>
      <c r="L2996" t="s">
        <v>4308</v>
      </c>
      <c r="M2996" s="7" t="s">
        <v>22</v>
      </c>
      <c r="N2996" s="7" t="s">
        <v>23</v>
      </c>
      <c r="O2996" s="7" t="s">
        <v>27</v>
      </c>
      <c r="P2996" s="7" t="s">
        <v>5101</v>
      </c>
      <c r="Q2996" s="26">
        <v>64</v>
      </c>
      <c r="R2996" s="26">
        <v>4</v>
      </c>
      <c r="S2996" s="40">
        <v>1</v>
      </c>
      <c r="T2996" s="7"/>
      <c r="U2996" s="7" t="s">
        <v>2951</v>
      </c>
      <c r="V2996" s="7" t="str">
        <f>+IF(U2996="","",IF(U2996="FINES",CONCATENATE("R",IF(OR(B2996="16",B2996="21",B2996="22",B2996="23"),"16212223",IF(OR(B2996="15",B2996="17",B2996="24",B2996="25"),"15172425",B2996))),IF(U2996="CEBAS","UNICO",IF(VALUE(B2996)&lt;=11,"AMBA","INTERIOR"))))</f>
        <v>R10</v>
      </c>
      <c r="W2996" s="38" t="str">
        <f>+IF(U2996="","-",CONCATENATE(U2996,"_",V2996))</f>
        <v>FINES_R10</v>
      </c>
      <c r="X2996" s="42">
        <v>0.13</v>
      </c>
    </row>
    <row r="2997" spans="1:24">
      <c r="A2997" s="21" t="s">
        <v>5100</v>
      </c>
      <c r="B2997" t="s">
        <v>138</v>
      </c>
      <c r="C2997" t="s">
        <v>1507</v>
      </c>
      <c r="D2997" t="s">
        <v>1508</v>
      </c>
      <c r="E2997" s="7" t="s">
        <v>198</v>
      </c>
      <c r="F2997" s="7" t="s">
        <v>198</v>
      </c>
      <c r="G2997" s="7" t="s">
        <v>198</v>
      </c>
      <c r="H2997" s="7" t="s">
        <v>20</v>
      </c>
      <c r="I2997" s="7" t="s">
        <v>5102</v>
      </c>
      <c r="J2997" s="7" t="s">
        <v>21</v>
      </c>
      <c r="L2997" t="s">
        <v>4371</v>
      </c>
      <c r="M2997" s="7" t="s">
        <v>22</v>
      </c>
      <c r="N2997" s="7" t="s">
        <v>23</v>
      </c>
      <c r="O2997" s="7" t="s">
        <v>27</v>
      </c>
      <c r="P2997" s="7" t="s">
        <v>5101</v>
      </c>
      <c r="Q2997" s="26">
        <v>10</v>
      </c>
      <c r="R2997" s="26">
        <v>1</v>
      </c>
      <c r="S2997" s="40">
        <v>1</v>
      </c>
      <c r="T2997" s="7"/>
      <c r="U2997" s="7" t="s">
        <v>2951</v>
      </c>
      <c r="V2997" s="7" t="str">
        <f>+IF(U2997="","",IF(U2997="FINES",CONCATENATE("R",IF(OR(B2997="16",B2997="21",B2997="22",B2997="23"),"16212223",IF(OR(B2997="15",B2997="17",B2997="24",B2997="25"),"15172425",B2997))),IF(U2997="CEBAS","UNICO",IF(VALUE(B2997)&lt;=11,"AMBA","INTERIOR"))))</f>
        <v>R10</v>
      </c>
      <c r="W2997" s="38" t="str">
        <f>+IF(U2997="","-",CONCATENATE(U2997,"_",V2997))</f>
        <v>FINES_R10</v>
      </c>
      <c r="X2997" s="42">
        <v>0.13200000000000001</v>
      </c>
    </row>
    <row r="2998" spans="1:24">
      <c r="A2998" s="21" t="s">
        <v>5100</v>
      </c>
      <c r="B2998" t="s">
        <v>138</v>
      </c>
      <c r="C2998" t="s">
        <v>643</v>
      </c>
      <c r="D2998" t="s">
        <v>645</v>
      </c>
      <c r="E2998" s="7" t="s">
        <v>198</v>
      </c>
      <c r="F2998" s="7" t="s">
        <v>198</v>
      </c>
      <c r="G2998" s="7" t="s">
        <v>198</v>
      </c>
      <c r="H2998" s="7" t="s">
        <v>20</v>
      </c>
      <c r="I2998" s="7" t="s">
        <v>5102</v>
      </c>
      <c r="J2998" s="7" t="s">
        <v>21</v>
      </c>
      <c r="L2998" t="s">
        <v>4284</v>
      </c>
      <c r="M2998" s="7" t="s">
        <v>22</v>
      </c>
      <c r="N2998" s="7" t="s">
        <v>23</v>
      </c>
      <c r="O2998" s="7" t="s">
        <v>27</v>
      </c>
      <c r="P2998" s="7" t="s">
        <v>5101</v>
      </c>
      <c r="Q2998" s="26">
        <v>16</v>
      </c>
      <c r="R2998" s="26">
        <v>1</v>
      </c>
      <c r="S2998" s="40">
        <v>1</v>
      </c>
      <c r="T2998" s="7"/>
      <c r="U2998" s="7" t="s">
        <v>2951</v>
      </c>
      <c r="V2998" s="7" t="str">
        <f>+IF(U2998="","",IF(U2998="FINES",CONCATENATE("R",IF(OR(B2998="16",B2998="21",B2998="22",B2998="23"),"16212223",IF(OR(B2998="15",B2998="17",B2998="24",B2998="25"),"15172425",B2998))),IF(U2998="CEBAS","UNICO",IF(VALUE(B2998)&lt;=11,"AMBA","INTERIOR"))))</f>
        <v>R10</v>
      </c>
      <c r="W2998" s="38" t="str">
        <f>+IF(U2998="","-",CONCATENATE(U2998,"_",V2998))</f>
        <v>FINES_R10</v>
      </c>
      <c r="X2998" s="42">
        <v>0.14000000000000001</v>
      </c>
    </row>
    <row r="2999" spans="1:24">
      <c r="A2999" s="21" t="s">
        <v>5100</v>
      </c>
      <c r="B2999" t="s">
        <v>138</v>
      </c>
      <c r="C2999" t="s">
        <v>540</v>
      </c>
      <c r="D2999" t="s">
        <v>1766</v>
      </c>
      <c r="E2999" s="7" t="s">
        <v>198</v>
      </c>
      <c r="F2999" s="7" t="s">
        <v>198</v>
      </c>
      <c r="G2999" s="7" t="s">
        <v>198</v>
      </c>
      <c r="H2999" s="7" t="s">
        <v>20</v>
      </c>
      <c r="I2999" s="7" t="s">
        <v>5102</v>
      </c>
      <c r="J2999" s="7" t="s">
        <v>21</v>
      </c>
      <c r="L2999" t="s">
        <v>4388</v>
      </c>
      <c r="M2999" s="7" t="s">
        <v>22</v>
      </c>
      <c r="N2999" s="7" t="s">
        <v>23</v>
      </c>
      <c r="O2999" s="7" t="s">
        <v>27</v>
      </c>
      <c r="P2999" s="7" t="s">
        <v>5101</v>
      </c>
      <c r="Q2999" s="26">
        <v>11</v>
      </c>
      <c r="R2999" s="26">
        <v>1</v>
      </c>
      <c r="S2999" s="40">
        <v>1</v>
      </c>
      <c r="T2999" s="7"/>
      <c r="U2999" s="7" t="s">
        <v>2951</v>
      </c>
      <c r="V2999" s="7" t="str">
        <f>+IF(U2999="","",IF(U2999="FINES",CONCATENATE("R",IF(OR(B2999="16",B2999="21",B2999="22",B2999="23"),"16212223",IF(OR(B2999="15",B2999="17",B2999="24",B2999="25"),"15172425",B2999))),IF(U2999="CEBAS","UNICO",IF(VALUE(B2999)&lt;=11,"AMBA","INTERIOR"))))</f>
        <v>R10</v>
      </c>
      <c r="W2999" s="38" t="str">
        <f>+IF(U2999="","-",CONCATENATE(U2999,"_",V2999))</f>
        <v>FINES_R10</v>
      </c>
      <c r="X2999" s="42">
        <v>0.14299999999999999</v>
      </c>
    </row>
    <row r="3000" spans="1:24">
      <c r="A3000" s="21" t="s">
        <v>5100</v>
      </c>
      <c r="B3000" t="s">
        <v>138</v>
      </c>
      <c r="C3000" t="s">
        <v>436</v>
      </c>
      <c r="D3000" t="s">
        <v>1067</v>
      </c>
      <c r="E3000" s="7" t="s">
        <v>198</v>
      </c>
      <c r="F3000" s="7" t="s">
        <v>198</v>
      </c>
      <c r="G3000" s="7" t="s">
        <v>198</v>
      </c>
      <c r="H3000" s="7" t="s">
        <v>20</v>
      </c>
      <c r="I3000" s="7" t="s">
        <v>5102</v>
      </c>
      <c r="J3000" s="7" t="s">
        <v>21</v>
      </c>
      <c r="L3000" t="s">
        <v>4323</v>
      </c>
      <c r="M3000" s="7" t="s">
        <v>22</v>
      </c>
      <c r="N3000" s="7" t="s">
        <v>23</v>
      </c>
      <c r="O3000" s="7" t="s">
        <v>27</v>
      </c>
      <c r="P3000" s="7" t="s">
        <v>5101</v>
      </c>
      <c r="Q3000" s="26">
        <v>18</v>
      </c>
      <c r="R3000" s="26">
        <v>1</v>
      </c>
      <c r="S3000" s="40">
        <v>1</v>
      </c>
      <c r="T3000" s="7"/>
      <c r="U3000" s="7" t="s">
        <v>2951</v>
      </c>
      <c r="V3000" s="7" t="str">
        <f>+IF(U3000="","",IF(U3000="FINES",CONCATENATE("R",IF(OR(B3000="16",B3000="21",B3000="22",B3000="23"),"16212223",IF(OR(B3000="15",B3000="17",B3000="24",B3000="25"),"15172425",B3000))),IF(U3000="CEBAS","UNICO",IF(VALUE(B3000)&lt;=11,"AMBA","INTERIOR"))))</f>
        <v>R10</v>
      </c>
      <c r="W3000" s="38" t="str">
        <f>+IF(U3000="","-",CONCATENATE(U3000,"_",V3000))</f>
        <v>FINES_R10</v>
      </c>
      <c r="X3000" s="42">
        <v>0.153</v>
      </c>
    </row>
    <row r="3001" spans="1:24">
      <c r="A3001" s="21" t="s">
        <v>5100</v>
      </c>
      <c r="B3001" t="s">
        <v>138</v>
      </c>
      <c r="C3001" t="s">
        <v>643</v>
      </c>
      <c r="D3001" t="s">
        <v>645</v>
      </c>
      <c r="E3001" s="7" t="s">
        <v>198</v>
      </c>
      <c r="F3001" s="7" t="s">
        <v>198</v>
      </c>
      <c r="G3001" s="7" t="s">
        <v>198</v>
      </c>
      <c r="H3001" s="7" t="s">
        <v>20</v>
      </c>
      <c r="I3001" s="7" t="s">
        <v>5102</v>
      </c>
      <c r="J3001" s="7" t="s">
        <v>21</v>
      </c>
      <c r="L3001" t="s">
        <v>4290</v>
      </c>
      <c r="M3001" s="7" t="s">
        <v>22</v>
      </c>
      <c r="N3001" s="7" t="s">
        <v>23</v>
      </c>
      <c r="O3001" s="7" t="s">
        <v>27</v>
      </c>
      <c r="P3001" s="7" t="s">
        <v>5101</v>
      </c>
      <c r="Q3001" s="26">
        <v>19</v>
      </c>
      <c r="R3001" s="26">
        <v>1</v>
      </c>
      <c r="S3001" s="40">
        <v>1</v>
      </c>
      <c r="T3001" s="7"/>
      <c r="U3001" s="7" t="s">
        <v>2951</v>
      </c>
      <c r="V3001" s="7" t="str">
        <f>+IF(U3001="","",IF(U3001="FINES",CONCATENATE("R",IF(OR(B3001="16",B3001="21",B3001="22",B3001="23"),"16212223",IF(OR(B3001="15",B3001="17",B3001="24",B3001="25"),"15172425",B3001))),IF(U3001="CEBAS","UNICO",IF(VALUE(B3001)&lt;=11,"AMBA","INTERIOR"))))</f>
        <v>R10</v>
      </c>
      <c r="W3001" s="38" t="str">
        <f>+IF(U3001="","-",CONCATENATE(U3001,"_",V3001))</f>
        <v>FINES_R10</v>
      </c>
      <c r="X3001" s="42">
        <v>0.154</v>
      </c>
    </row>
    <row r="3002" spans="1:24">
      <c r="A3002" s="21" t="s">
        <v>5100</v>
      </c>
      <c r="B3002" t="s">
        <v>138</v>
      </c>
      <c r="C3002" t="s">
        <v>1321</v>
      </c>
      <c r="D3002" t="s">
        <v>1322</v>
      </c>
      <c r="E3002" s="7" t="s">
        <v>198</v>
      </c>
      <c r="F3002" s="7" t="s">
        <v>198</v>
      </c>
      <c r="G3002" s="7" t="s">
        <v>198</v>
      </c>
      <c r="H3002" s="7" t="s">
        <v>20</v>
      </c>
      <c r="I3002" s="7" t="s">
        <v>5102</v>
      </c>
      <c r="J3002" s="7" t="s">
        <v>21</v>
      </c>
      <c r="L3002" t="s">
        <v>4299</v>
      </c>
      <c r="M3002" s="7" t="s">
        <v>22</v>
      </c>
      <c r="N3002" s="7" t="s">
        <v>23</v>
      </c>
      <c r="O3002" s="7" t="s">
        <v>27</v>
      </c>
      <c r="P3002" s="7" t="s">
        <v>5101</v>
      </c>
      <c r="Q3002" s="26">
        <v>1</v>
      </c>
      <c r="R3002" s="26">
        <v>1</v>
      </c>
      <c r="S3002" s="40">
        <v>1</v>
      </c>
      <c r="T3002" s="7"/>
      <c r="U3002" s="7" t="s">
        <v>2951</v>
      </c>
      <c r="V3002" s="7" t="str">
        <f>+IF(U3002="","",IF(U3002="FINES",CONCATENATE("R",IF(OR(B3002="16",B3002="21",B3002="22",B3002="23"),"16212223",IF(OR(B3002="15",B3002="17",B3002="24",B3002="25"),"15172425",B3002))),IF(U3002="CEBAS","UNICO",IF(VALUE(B3002)&lt;=11,"AMBA","INTERIOR"))))</f>
        <v>R10</v>
      </c>
      <c r="W3002" s="38" t="str">
        <f>+IF(U3002="","-",CONCATENATE(U3002,"_",V3002))</f>
        <v>FINES_R10</v>
      </c>
      <c r="X3002" s="42">
        <v>0.16300000000000001</v>
      </c>
    </row>
    <row r="3003" spans="1:24">
      <c r="A3003" s="21" t="s">
        <v>5100</v>
      </c>
      <c r="B3003" t="s">
        <v>138</v>
      </c>
      <c r="C3003" t="s">
        <v>436</v>
      </c>
      <c r="D3003" t="s">
        <v>1067</v>
      </c>
      <c r="E3003" s="7" t="s">
        <v>198</v>
      </c>
      <c r="F3003" s="7" t="s">
        <v>198</v>
      </c>
      <c r="G3003" s="7" t="s">
        <v>198</v>
      </c>
      <c r="H3003" s="7" t="s">
        <v>20</v>
      </c>
      <c r="I3003" s="7" t="s">
        <v>5102</v>
      </c>
      <c r="J3003" s="7" t="s">
        <v>21</v>
      </c>
      <c r="L3003" t="s">
        <v>4315</v>
      </c>
      <c r="M3003" s="7" t="s">
        <v>22</v>
      </c>
      <c r="N3003" s="7" t="s">
        <v>23</v>
      </c>
      <c r="O3003" s="7" t="s">
        <v>27</v>
      </c>
      <c r="P3003" s="7" t="s">
        <v>5101</v>
      </c>
      <c r="Q3003" s="26">
        <v>18</v>
      </c>
      <c r="R3003" s="26">
        <v>1</v>
      </c>
      <c r="S3003" s="40">
        <v>1</v>
      </c>
      <c r="T3003" s="7"/>
      <c r="U3003" s="7" t="s">
        <v>2951</v>
      </c>
      <c r="V3003" s="7" t="str">
        <f>+IF(U3003="","",IF(U3003="FINES",CONCATENATE("R",IF(OR(B3003="16",B3003="21",B3003="22",B3003="23"),"16212223",IF(OR(B3003="15",B3003="17",B3003="24",B3003="25"),"15172425",B3003))),IF(U3003="CEBAS","UNICO",IF(VALUE(B3003)&lt;=11,"AMBA","INTERIOR"))))</f>
        <v>R10</v>
      </c>
      <c r="W3003" s="38" t="str">
        <f>+IF(U3003="","-",CONCATENATE(U3003,"_",V3003))</f>
        <v>FINES_R10</v>
      </c>
      <c r="X3003" s="42">
        <v>0.16800000000000001</v>
      </c>
    </row>
    <row r="3004" spans="1:24">
      <c r="A3004" s="21" t="s">
        <v>5100</v>
      </c>
      <c r="B3004" t="s">
        <v>138</v>
      </c>
      <c r="C3004" t="s">
        <v>436</v>
      </c>
      <c r="D3004" t="s">
        <v>1067</v>
      </c>
      <c r="E3004" s="7" t="s">
        <v>198</v>
      </c>
      <c r="F3004" s="7" t="s">
        <v>198</v>
      </c>
      <c r="G3004" s="7" t="s">
        <v>198</v>
      </c>
      <c r="H3004" s="7" t="s">
        <v>20</v>
      </c>
      <c r="I3004" s="7" t="s">
        <v>5102</v>
      </c>
      <c r="J3004" s="7" t="s">
        <v>21</v>
      </c>
      <c r="L3004" t="s">
        <v>4312</v>
      </c>
      <c r="M3004" s="7" t="s">
        <v>22</v>
      </c>
      <c r="N3004" s="7" t="s">
        <v>23</v>
      </c>
      <c r="O3004" s="7" t="s">
        <v>27</v>
      </c>
      <c r="P3004" s="7" t="s">
        <v>5101</v>
      </c>
      <c r="Q3004" s="26">
        <v>20</v>
      </c>
      <c r="R3004" s="26">
        <v>1</v>
      </c>
      <c r="S3004" s="40">
        <v>1</v>
      </c>
      <c r="T3004" s="7"/>
      <c r="U3004" s="7" t="s">
        <v>2951</v>
      </c>
      <c r="V3004" s="7" t="str">
        <f>+IF(U3004="","",IF(U3004="FINES",CONCATENATE("R",IF(OR(B3004="16",B3004="21",B3004="22",B3004="23"),"16212223",IF(OR(B3004="15",B3004="17",B3004="24",B3004="25"),"15172425",B3004))),IF(U3004="CEBAS","UNICO",IF(VALUE(B3004)&lt;=11,"AMBA","INTERIOR"))))</f>
        <v>R10</v>
      </c>
      <c r="W3004" s="38" t="str">
        <f>+IF(U3004="","-",CONCATENATE(U3004,"_",V3004))</f>
        <v>FINES_R10</v>
      </c>
      <c r="X3004" s="42">
        <v>0.187</v>
      </c>
    </row>
    <row r="3005" spans="1:24">
      <c r="A3005" s="21" t="s">
        <v>5100</v>
      </c>
      <c r="B3005" t="s">
        <v>138</v>
      </c>
      <c r="C3005" t="s">
        <v>1507</v>
      </c>
      <c r="D3005" t="s">
        <v>1508</v>
      </c>
      <c r="E3005" s="7" t="s">
        <v>198</v>
      </c>
      <c r="F3005" s="7" t="s">
        <v>198</v>
      </c>
      <c r="G3005" s="7" t="s">
        <v>198</v>
      </c>
      <c r="H3005" s="7" t="s">
        <v>20</v>
      </c>
      <c r="I3005" s="7" t="s">
        <v>5102</v>
      </c>
      <c r="J3005" s="7" t="s">
        <v>21</v>
      </c>
      <c r="L3005" t="s">
        <v>4376</v>
      </c>
      <c r="M3005" s="7" t="s">
        <v>22</v>
      </c>
      <c r="N3005" s="7" t="s">
        <v>23</v>
      </c>
      <c r="O3005" s="7" t="s">
        <v>27</v>
      </c>
      <c r="P3005" s="7" t="s">
        <v>5101</v>
      </c>
      <c r="Q3005" s="26">
        <v>26</v>
      </c>
      <c r="R3005" s="26">
        <v>1</v>
      </c>
      <c r="S3005" s="40">
        <v>1</v>
      </c>
      <c r="T3005" s="7"/>
      <c r="U3005" s="7" t="s">
        <v>2951</v>
      </c>
      <c r="V3005" s="7" t="str">
        <f>+IF(U3005="","",IF(U3005="FINES",CONCATENATE("R",IF(OR(B3005="16",B3005="21",B3005="22",B3005="23"),"16212223",IF(OR(B3005="15",B3005="17",B3005="24",B3005="25"),"15172425",B3005))),IF(U3005="CEBAS","UNICO",IF(VALUE(B3005)&lt;=11,"AMBA","INTERIOR"))))</f>
        <v>R10</v>
      </c>
      <c r="W3005" s="38" t="str">
        <f>+IF(U3005="","-",CONCATENATE(U3005,"_",V3005))</f>
        <v>FINES_R10</v>
      </c>
      <c r="X3005" s="42">
        <v>0.188</v>
      </c>
    </row>
    <row r="3006" spans="1:24">
      <c r="A3006" s="21" t="s">
        <v>5100</v>
      </c>
      <c r="B3006" t="s">
        <v>138</v>
      </c>
      <c r="C3006" t="s">
        <v>522</v>
      </c>
      <c r="D3006" t="s">
        <v>1468</v>
      </c>
      <c r="E3006" s="7" t="s">
        <v>198</v>
      </c>
      <c r="F3006" s="7" t="s">
        <v>198</v>
      </c>
      <c r="G3006" s="7" t="s">
        <v>198</v>
      </c>
      <c r="H3006" s="7" t="s">
        <v>20</v>
      </c>
      <c r="I3006" s="7" t="s">
        <v>5102</v>
      </c>
      <c r="J3006" s="7" t="s">
        <v>21</v>
      </c>
      <c r="L3006" t="s">
        <v>4339</v>
      </c>
      <c r="M3006" s="7" t="s">
        <v>22</v>
      </c>
      <c r="N3006" s="7" t="s">
        <v>23</v>
      </c>
      <c r="O3006" s="7" t="s">
        <v>27</v>
      </c>
      <c r="P3006" s="7" t="s">
        <v>5101</v>
      </c>
      <c r="Q3006" s="26">
        <v>7</v>
      </c>
      <c r="R3006" s="26">
        <v>1</v>
      </c>
      <c r="S3006" s="40">
        <v>1</v>
      </c>
      <c r="T3006" s="7"/>
      <c r="U3006" s="7" t="s">
        <v>2951</v>
      </c>
      <c r="V3006" s="7" t="str">
        <f>+IF(U3006="","",IF(U3006="FINES",CONCATENATE("R",IF(OR(B3006="16",B3006="21",B3006="22",B3006="23"),"16212223",IF(OR(B3006="15",B3006="17",B3006="24",B3006="25"),"15172425",B3006))),IF(U3006="CEBAS","UNICO",IF(VALUE(B3006)&lt;=11,"AMBA","INTERIOR"))))</f>
        <v>R10</v>
      </c>
      <c r="W3006" s="38" t="str">
        <f>+IF(U3006="","-",CONCATENATE(U3006,"_",V3006))</f>
        <v>FINES_R10</v>
      </c>
      <c r="X3006" s="42">
        <v>0.19400000000000001</v>
      </c>
    </row>
    <row r="3007" spans="1:24">
      <c r="A3007" s="21" t="s">
        <v>5100</v>
      </c>
      <c r="B3007" t="s">
        <v>138</v>
      </c>
      <c r="C3007" t="s">
        <v>643</v>
      </c>
      <c r="D3007" t="s">
        <v>645</v>
      </c>
      <c r="E3007" s="7" t="s">
        <v>198</v>
      </c>
      <c r="F3007" s="7" t="s">
        <v>198</v>
      </c>
      <c r="G3007" s="7" t="s">
        <v>198</v>
      </c>
      <c r="H3007" s="7" t="s">
        <v>20</v>
      </c>
      <c r="I3007" s="7" t="s">
        <v>5102</v>
      </c>
      <c r="J3007" s="7" t="s">
        <v>21</v>
      </c>
      <c r="L3007" t="s">
        <v>4285</v>
      </c>
      <c r="M3007" s="7" t="s">
        <v>22</v>
      </c>
      <c r="N3007" s="7" t="s">
        <v>23</v>
      </c>
      <c r="O3007" s="7" t="s">
        <v>27</v>
      </c>
      <c r="P3007" s="7" t="s">
        <v>5101</v>
      </c>
      <c r="Q3007" s="26">
        <v>87</v>
      </c>
      <c r="R3007" s="26">
        <v>3</v>
      </c>
      <c r="S3007" s="40">
        <v>1</v>
      </c>
      <c r="T3007" s="7"/>
      <c r="U3007" s="7" t="s">
        <v>2951</v>
      </c>
      <c r="V3007" s="7" t="str">
        <f>+IF(U3007="","",IF(U3007="FINES",CONCATENATE("R",IF(OR(B3007="16",B3007="21",B3007="22",B3007="23"),"16212223",IF(OR(B3007="15",B3007="17",B3007="24",B3007="25"),"15172425",B3007))),IF(U3007="CEBAS","UNICO",IF(VALUE(B3007)&lt;=11,"AMBA","INTERIOR"))))</f>
        <v>R10</v>
      </c>
      <c r="W3007" s="38" t="str">
        <f>+IF(U3007="","-",CONCATENATE(U3007,"_",V3007))</f>
        <v>FINES_R10</v>
      </c>
      <c r="X3007" s="42">
        <v>0.20899999999999999</v>
      </c>
    </row>
    <row r="3008" spans="1:24">
      <c r="A3008" s="21" t="s">
        <v>5100</v>
      </c>
      <c r="B3008" t="s">
        <v>138</v>
      </c>
      <c r="C3008" t="s">
        <v>1321</v>
      </c>
      <c r="D3008" t="s">
        <v>1322</v>
      </c>
      <c r="E3008" s="7" t="s">
        <v>198</v>
      </c>
      <c r="F3008" s="7" t="s">
        <v>198</v>
      </c>
      <c r="G3008" s="7" t="s">
        <v>198</v>
      </c>
      <c r="H3008" s="7" t="s">
        <v>20</v>
      </c>
      <c r="I3008" s="7" t="s">
        <v>5102</v>
      </c>
      <c r="J3008" s="7" t="s">
        <v>21</v>
      </c>
      <c r="L3008" t="s">
        <v>4301</v>
      </c>
      <c r="M3008" s="7" t="s">
        <v>22</v>
      </c>
      <c r="N3008" s="7" t="s">
        <v>23</v>
      </c>
      <c r="O3008" s="7" t="s">
        <v>27</v>
      </c>
      <c r="P3008" s="7" t="s">
        <v>5101</v>
      </c>
      <c r="Q3008" s="26">
        <v>8</v>
      </c>
      <c r="R3008" s="26">
        <v>1</v>
      </c>
      <c r="S3008" s="40">
        <v>1</v>
      </c>
      <c r="T3008" s="7"/>
      <c r="U3008" s="7" t="s">
        <v>2951</v>
      </c>
      <c r="V3008" s="7" t="str">
        <f>+IF(U3008="","",IF(U3008="FINES",CONCATENATE("R",IF(OR(B3008="16",B3008="21",B3008="22",B3008="23"),"16212223",IF(OR(B3008="15",B3008="17",B3008="24",B3008="25"),"15172425",B3008))),IF(U3008="CEBAS","UNICO",IF(VALUE(B3008)&lt;=11,"AMBA","INTERIOR"))))</f>
        <v>R10</v>
      </c>
      <c r="W3008" s="38" t="str">
        <f>+IF(U3008="","-",CONCATENATE(U3008,"_",V3008))</f>
        <v>FINES_R10</v>
      </c>
      <c r="X3008" s="42">
        <v>0.22600000000000001</v>
      </c>
    </row>
    <row r="3009" spans="1:24">
      <c r="A3009" s="21" t="s">
        <v>5100</v>
      </c>
      <c r="B3009" t="s">
        <v>138</v>
      </c>
      <c r="C3009" t="s">
        <v>1920</v>
      </c>
      <c r="D3009" t="s">
        <v>1921</v>
      </c>
      <c r="E3009" s="7" t="s">
        <v>198</v>
      </c>
      <c r="F3009" s="7" t="s">
        <v>198</v>
      </c>
      <c r="G3009" s="7" t="s">
        <v>198</v>
      </c>
      <c r="H3009" s="7" t="s">
        <v>20</v>
      </c>
      <c r="I3009" s="7" t="s">
        <v>5102</v>
      </c>
      <c r="J3009" s="7" t="s">
        <v>21</v>
      </c>
      <c r="L3009" t="s">
        <v>4396</v>
      </c>
      <c r="M3009" s="7" t="s">
        <v>22</v>
      </c>
      <c r="N3009" s="7" t="s">
        <v>23</v>
      </c>
      <c r="O3009" s="7" t="s">
        <v>27</v>
      </c>
      <c r="P3009" s="7" t="s">
        <v>5101</v>
      </c>
      <c r="Q3009" s="26">
        <v>14</v>
      </c>
      <c r="R3009" s="26">
        <v>1</v>
      </c>
      <c r="S3009" s="40">
        <v>1</v>
      </c>
      <c r="T3009" s="7"/>
      <c r="U3009" s="7" t="s">
        <v>2951</v>
      </c>
      <c r="V3009" s="7" t="str">
        <f>+IF(U3009="","",IF(U3009="FINES",CONCATENATE("R",IF(OR(B3009="16",B3009="21",B3009="22",B3009="23"),"16212223",IF(OR(B3009="15",B3009="17",B3009="24",B3009="25"),"15172425",B3009))),IF(U3009="CEBAS","UNICO",IF(VALUE(B3009)&lt;=11,"AMBA","INTERIOR"))))</f>
        <v>R10</v>
      </c>
      <c r="W3009" s="38" t="str">
        <f>+IF(U3009="","-",CONCATENATE(U3009,"_",V3009))</f>
        <v>FINES_R10</v>
      </c>
      <c r="X3009" s="42">
        <v>0.23200000000000001</v>
      </c>
    </row>
    <row r="3010" spans="1:24">
      <c r="A3010" s="21" t="s">
        <v>5100</v>
      </c>
      <c r="B3010" t="s">
        <v>138</v>
      </c>
      <c r="C3010" t="s">
        <v>436</v>
      </c>
      <c r="D3010" t="s">
        <v>1067</v>
      </c>
      <c r="E3010" s="7" t="s">
        <v>198</v>
      </c>
      <c r="F3010" s="7" t="s">
        <v>198</v>
      </c>
      <c r="G3010" s="7" t="s">
        <v>198</v>
      </c>
      <c r="H3010" s="7" t="s">
        <v>20</v>
      </c>
      <c r="I3010" s="7" t="s">
        <v>5102</v>
      </c>
      <c r="J3010" s="7" t="s">
        <v>21</v>
      </c>
      <c r="L3010" t="s">
        <v>4316</v>
      </c>
      <c r="M3010" s="7" t="s">
        <v>22</v>
      </c>
      <c r="N3010" s="7" t="s">
        <v>23</v>
      </c>
      <c r="O3010" s="7" t="s">
        <v>27</v>
      </c>
      <c r="P3010" s="7" t="s">
        <v>5101</v>
      </c>
      <c r="Q3010" s="26">
        <v>25</v>
      </c>
      <c r="R3010" s="26">
        <v>1</v>
      </c>
      <c r="S3010" s="40">
        <v>1</v>
      </c>
      <c r="T3010" s="7"/>
      <c r="U3010" s="7" t="s">
        <v>2951</v>
      </c>
      <c r="V3010" s="7" t="str">
        <f>+IF(U3010="","",IF(U3010="FINES",CONCATENATE("R",IF(OR(B3010="16",B3010="21",B3010="22",B3010="23"),"16212223",IF(OR(B3010="15",B3010="17",B3010="24",B3010="25"),"15172425",B3010))),IF(U3010="CEBAS","UNICO",IF(VALUE(B3010)&lt;=11,"AMBA","INTERIOR"))))</f>
        <v>R10</v>
      </c>
      <c r="W3010" s="38" t="str">
        <f>+IF(U3010="","-",CONCATENATE(U3010,"_",V3010))</f>
        <v>FINES_R10</v>
      </c>
      <c r="X3010" s="42">
        <v>0.23699999999999999</v>
      </c>
    </row>
    <row r="3011" spans="1:24">
      <c r="A3011" s="21" t="s">
        <v>5100</v>
      </c>
      <c r="B3011" t="s">
        <v>138</v>
      </c>
      <c r="C3011" t="s">
        <v>643</v>
      </c>
      <c r="D3011" t="s">
        <v>645</v>
      </c>
      <c r="E3011" s="7" t="s">
        <v>198</v>
      </c>
      <c r="F3011" s="7" t="s">
        <v>198</v>
      </c>
      <c r="G3011" s="7" t="s">
        <v>198</v>
      </c>
      <c r="H3011" s="7" t="s">
        <v>20</v>
      </c>
      <c r="I3011" s="7" t="s">
        <v>5102</v>
      </c>
      <c r="J3011" s="7" t="s">
        <v>21</v>
      </c>
      <c r="L3011" t="s">
        <v>4282</v>
      </c>
      <c r="M3011" s="7" t="s">
        <v>22</v>
      </c>
      <c r="N3011" s="7" t="s">
        <v>23</v>
      </c>
      <c r="O3011" s="7" t="s">
        <v>27</v>
      </c>
      <c r="P3011" s="7" t="s">
        <v>5101</v>
      </c>
      <c r="Q3011" s="26">
        <v>50</v>
      </c>
      <c r="R3011" s="26">
        <v>2</v>
      </c>
      <c r="S3011" s="40">
        <v>1</v>
      </c>
      <c r="T3011" s="7"/>
      <c r="U3011" s="7" t="s">
        <v>2951</v>
      </c>
      <c r="V3011" s="7" t="str">
        <f>+IF(U3011="","",IF(U3011="FINES",CONCATENATE("R",IF(OR(B3011="16",B3011="21",B3011="22",B3011="23"),"16212223",IF(OR(B3011="15",B3011="17",B3011="24",B3011="25"),"15172425",B3011))),IF(U3011="CEBAS","UNICO",IF(VALUE(B3011)&lt;=11,"AMBA","INTERIOR"))))</f>
        <v>R10</v>
      </c>
      <c r="W3011" s="38" t="str">
        <f>+IF(U3011="","-",CONCATENATE(U3011,"_",V3011))</f>
        <v>FINES_R10</v>
      </c>
      <c r="X3011" s="42">
        <v>0.24199999999999999</v>
      </c>
    </row>
    <row r="3012" spans="1:24">
      <c r="A3012" s="21" t="s">
        <v>5100</v>
      </c>
      <c r="B3012" t="s">
        <v>138</v>
      </c>
      <c r="C3012" t="s">
        <v>1507</v>
      </c>
      <c r="D3012" t="s">
        <v>1508</v>
      </c>
      <c r="E3012" s="7" t="s">
        <v>198</v>
      </c>
      <c r="F3012" s="7" t="s">
        <v>198</v>
      </c>
      <c r="G3012" s="7" t="s">
        <v>198</v>
      </c>
      <c r="H3012" s="7" t="s">
        <v>20</v>
      </c>
      <c r="I3012" s="7" t="s">
        <v>5102</v>
      </c>
      <c r="J3012" s="7" t="s">
        <v>21</v>
      </c>
      <c r="L3012" t="s">
        <v>4378</v>
      </c>
      <c r="M3012" s="7" t="s">
        <v>22</v>
      </c>
      <c r="N3012" s="7" t="s">
        <v>23</v>
      </c>
      <c r="O3012" s="7" t="s">
        <v>27</v>
      </c>
      <c r="P3012" s="7" t="s">
        <v>5101</v>
      </c>
      <c r="Q3012" s="26">
        <v>17</v>
      </c>
      <c r="R3012" s="26">
        <v>1</v>
      </c>
      <c r="S3012" s="40">
        <v>1</v>
      </c>
      <c r="T3012" s="7"/>
      <c r="U3012" s="7" t="s">
        <v>2951</v>
      </c>
      <c r="V3012" s="7" t="str">
        <f>+IF(U3012="","",IF(U3012="FINES",CONCATENATE("R",IF(OR(B3012="16",B3012="21",B3012="22",B3012="23"),"16212223",IF(OR(B3012="15",B3012="17",B3012="24",B3012="25"),"15172425",B3012))),IF(U3012="CEBAS","UNICO",IF(VALUE(B3012)&lt;=11,"AMBA","INTERIOR"))))</f>
        <v>R10</v>
      </c>
      <c r="W3012" s="38" t="str">
        <f>+IF(U3012="","-",CONCATENATE(U3012,"_",V3012))</f>
        <v>FINES_R10</v>
      </c>
      <c r="X3012" s="42">
        <v>0.24299999999999999</v>
      </c>
    </row>
    <row r="3013" spans="1:24">
      <c r="A3013" s="21" t="s">
        <v>5100</v>
      </c>
      <c r="B3013" t="s">
        <v>138</v>
      </c>
      <c r="C3013" t="s">
        <v>1507</v>
      </c>
      <c r="D3013" t="s">
        <v>1508</v>
      </c>
      <c r="E3013" s="7" t="s">
        <v>198</v>
      </c>
      <c r="F3013" s="7" t="s">
        <v>198</v>
      </c>
      <c r="G3013" s="7" t="s">
        <v>198</v>
      </c>
      <c r="H3013" s="7" t="s">
        <v>20</v>
      </c>
      <c r="I3013" s="7" t="s">
        <v>5102</v>
      </c>
      <c r="J3013" s="7" t="s">
        <v>21</v>
      </c>
      <c r="L3013" t="s">
        <v>4380</v>
      </c>
      <c r="M3013" s="7" t="s">
        <v>22</v>
      </c>
      <c r="N3013" s="7" t="s">
        <v>23</v>
      </c>
      <c r="O3013" s="7" t="s">
        <v>27</v>
      </c>
      <c r="P3013" s="7" t="s">
        <v>5101</v>
      </c>
      <c r="Q3013" s="26">
        <v>14</v>
      </c>
      <c r="R3013" s="26">
        <v>1</v>
      </c>
      <c r="S3013" s="40">
        <v>1</v>
      </c>
      <c r="T3013" s="7"/>
      <c r="U3013" s="7" t="s">
        <v>2951</v>
      </c>
      <c r="V3013" s="7" t="str">
        <f>+IF(U3013="","",IF(U3013="FINES",CONCATENATE("R",IF(OR(B3013="16",B3013="21",B3013="22",B3013="23"),"16212223",IF(OR(B3013="15",B3013="17",B3013="24",B3013="25"),"15172425",B3013))),IF(U3013="CEBAS","UNICO",IF(VALUE(B3013)&lt;=11,"AMBA","INTERIOR"))))</f>
        <v>R10</v>
      </c>
      <c r="W3013" s="38" t="str">
        <f>+IF(U3013="","-",CONCATENATE(U3013,"_",V3013))</f>
        <v>FINES_R10</v>
      </c>
      <c r="X3013" s="42">
        <v>0.24299999999999999</v>
      </c>
    </row>
    <row r="3014" spans="1:24">
      <c r="A3014" s="21" t="s">
        <v>5100</v>
      </c>
      <c r="B3014" t="s">
        <v>138</v>
      </c>
      <c r="C3014" t="s">
        <v>436</v>
      </c>
      <c r="D3014" t="s">
        <v>1067</v>
      </c>
      <c r="E3014" s="7" t="s">
        <v>198</v>
      </c>
      <c r="F3014" s="7" t="s">
        <v>198</v>
      </c>
      <c r="G3014" s="7" t="s">
        <v>198</v>
      </c>
      <c r="H3014" s="7" t="s">
        <v>20</v>
      </c>
      <c r="I3014" s="7" t="s">
        <v>5102</v>
      </c>
      <c r="J3014" s="7" t="s">
        <v>21</v>
      </c>
      <c r="L3014" t="s">
        <v>4314</v>
      </c>
      <c r="M3014" s="7" t="s">
        <v>22</v>
      </c>
      <c r="N3014" s="7" t="s">
        <v>23</v>
      </c>
      <c r="O3014" s="7" t="s">
        <v>27</v>
      </c>
      <c r="P3014" s="7" t="s">
        <v>5101</v>
      </c>
      <c r="Q3014" s="26">
        <v>50</v>
      </c>
      <c r="R3014" s="26">
        <v>2</v>
      </c>
      <c r="S3014" s="40">
        <v>1</v>
      </c>
      <c r="T3014" s="7"/>
      <c r="U3014" s="7" t="s">
        <v>2951</v>
      </c>
      <c r="V3014" s="7" t="str">
        <f>+IF(U3014="","",IF(U3014="FINES",CONCATENATE("R",IF(OR(B3014="16",B3014="21",B3014="22",B3014="23"),"16212223",IF(OR(B3014="15",B3014="17",B3014="24",B3014="25"),"15172425",B3014))),IF(U3014="CEBAS","UNICO",IF(VALUE(B3014)&lt;=11,"AMBA","INTERIOR"))))</f>
        <v>R10</v>
      </c>
      <c r="W3014" s="38" t="str">
        <f>+IF(U3014="","-",CONCATENATE(U3014,"_",V3014))</f>
        <v>FINES_R10</v>
      </c>
      <c r="X3014" s="42">
        <v>0.249</v>
      </c>
    </row>
    <row r="3015" spans="1:24">
      <c r="A3015" s="21" t="s">
        <v>5100</v>
      </c>
      <c r="B3015" t="s">
        <v>138</v>
      </c>
      <c r="C3015" t="s">
        <v>1321</v>
      </c>
      <c r="D3015" t="s">
        <v>1322</v>
      </c>
      <c r="E3015" s="7" t="s">
        <v>198</v>
      </c>
      <c r="F3015" s="7" t="s">
        <v>198</v>
      </c>
      <c r="G3015" s="7" t="s">
        <v>198</v>
      </c>
      <c r="H3015" s="7" t="s">
        <v>20</v>
      </c>
      <c r="I3015" s="7" t="s">
        <v>5102</v>
      </c>
      <c r="J3015" s="7" t="s">
        <v>21</v>
      </c>
      <c r="L3015" t="s">
        <v>4297</v>
      </c>
      <c r="M3015" s="7" t="s">
        <v>22</v>
      </c>
      <c r="N3015" s="7" t="s">
        <v>23</v>
      </c>
      <c r="O3015" s="7" t="s">
        <v>27</v>
      </c>
      <c r="P3015" s="7" t="s">
        <v>5101</v>
      </c>
      <c r="Q3015" s="26">
        <v>10</v>
      </c>
      <c r="R3015" s="26">
        <v>1</v>
      </c>
      <c r="S3015" s="40">
        <v>1</v>
      </c>
      <c r="T3015" s="7"/>
      <c r="U3015" s="7" t="s">
        <v>2951</v>
      </c>
      <c r="V3015" s="7" t="str">
        <f>+IF(U3015="","",IF(U3015="FINES",CONCATENATE("R",IF(OR(B3015="16",B3015="21",B3015="22",B3015="23"),"16212223",IF(OR(B3015="15",B3015="17",B3015="24",B3015="25"),"15172425",B3015))),IF(U3015="CEBAS","UNICO",IF(VALUE(B3015)&lt;=11,"AMBA","INTERIOR"))))</f>
        <v>R10</v>
      </c>
      <c r="W3015" s="38" t="str">
        <f>+IF(U3015="","-",CONCATENATE(U3015,"_",V3015))</f>
        <v>FINES_R10</v>
      </c>
      <c r="X3015" s="42">
        <v>0.254</v>
      </c>
    </row>
    <row r="3016" spans="1:24">
      <c r="A3016" s="21" t="s">
        <v>5100</v>
      </c>
      <c r="B3016" t="s">
        <v>138</v>
      </c>
      <c r="C3016" t="s">
        <v>522</v>
      </c>
      <c r="D3016" t="s">
        <v>1468</v>
      </c>
      <c r="E3016" s="7" t="s">
        <v>198</v>
      </c>
      <c r="F3016" s="7" t="s">
        <v>198</v>
      </c>
      <c r="G3016" s="7" t="s">
        <v>198</v>
      </c>
      <c r="H3016" s="7" t="s">
        <v>20</v>
      </c>
      <c r="I3016" s="7" t="s">
        <v>5102</v>
      </c>
      <c r="J3016" s="7" t="s">
        <v>21</v>
      </c>
      <c r="L3016" t="s">
        <v>4352</v>
      </c>
      <c r="M3016" s="7" t="s">
        <v>22</v>
      </c>
      <c r="N3016" s="7" t="s">
        <v>23</v>
      </c>
      <c r="O3016" s="7" t="s">
        <v>27</v>
      </c>
      <c r="P3016" s="7" t="s">
        <v>5101</v>
      </c>
      <c r="Q3016" s="26">
        <v>10</v>
      </c>
      <c r="R3016" s="26">
        <v>1</v>
      </c>
      <c r="S3016" s="40">
        <v>1</v>
      </c>
      <c r="T3016" s="7"/>
      <c r="U3016" s="7" t="s">
        <v>2951</v>
      </c>
      <c r="V3016" s="7" t="str">
        <f>+IF(U3016="","",IF(U3016="FINES",CONCATENATE("R",IF(OR(B3016="16",B3016="21",B3016="22",B3016="23"),"16212223",IF(OR(B3016="15",B3016="17",B3016="24",B3016="25"),"15172425",B3016))),IF(U3016="CEBAS","UNICO",IF(VALUE(B3016)&lt;=11,"AMBA","INTERIOR"))))</f>
        <v>R10</v>
      </c>
      <c r="W3016" s="38" t="str">
        <f>+IF(U3016="","-",CONCATENATE(U3016,"_",V3016))</f>
        <v>FINES_R10</v>
      </c>
      <c r="X3016" s="42">
        <v>0.26600000000000001</v>
      </c>
    </row>
    <row r="3017" spans="1:24">
      <c r="A3017" s="21" t="s">
        <v>5100</v>
      </c>
      <c r="B3017" t="s">
        <v>138</v>
      </c>
      <c r="C3017" t="s">
        <v>643</v>
      </c>
      <c r="D3017" t="s">
        <v>645</v>
      </c>
      <c r="E3017" s="7" t="s">
        <v>198</v>
      </c>
      <c r="F3017" s="7" t="s">
        <v>198</v>
      </c>
      <c r="G3017" s="7" t="s">
        <v>198</v>
      </c>
      <c r="H3017" s="7" t="s">
        <v>20</v>
      </c>
      <c r="I3017" s="7" t="s">
        <v>5102</v>
      </c>
      <c r="J3017" s="7" t="s">
        <v>21</v>
      </c>
      <c r="L3017" t="s">
        <v>4286</v>
      </c>
      <c r="M3017" s="7" t="s">
        <v>22</v>
      </c>
      <c r="N3017" s="7" t="s">
        <v>23</v>
      </c>
      <c r="O3017" s="7" t="s">
        <v>27</v>
      </c>
      <c r="P3017" s="7" t="s">
        <v>5101</v>
      </c>
      <c r="Q3017" s="26">
        <v>44</v>
      </c>
      <c r="R3017" s="26">
        <v>3</v>
      </c>
      <c r="S3017" s="40">
        <v>1</v>
      </c>
      <c r="T3017" s="7"/>
      <c r="U3017" s="7" t="s">
        <v>2951</v>
      </c>
      <c r="V3017" s="7" t="str">
        <f>+IF(U3017="","",IF(U3017="FINES",CONCATENATE("R",IF(OR(B3017="16",B3017="21",B3017="22",B3017="23"),"16212223",IF(OR(B3017="15",B3017="17",B3017="24",B3017="25"),"15172425",B3017))),IF(U3017="CEBAS","UNICO",IF(VALUE(B3017)&lt;=11,"AMBA","INTERIOR"))))</f>
        <v>R10</v>
      </c>
      <c r="W3017" s="38" t="str">
        <f>+IF(U3017="","-",CONCATENATE(U3017,"_",V3017))</f>
        <v>FINES_R10</v>
      </c>
      <c r="X3017" s="42">
        <v>0.27100000000000002</v>
      </c>
    </row>
    <row r="3018" spans="1:24">
      <c r="A3018" s="21" t="s">
        <v>5100</v>
      </c>
      <c r="B3018" t="s">
        <v>138</v>
      </c>
      <c r="C3018" t="s">
        <v>1920</v>
      </c>
      <c r="D3018" t="s">
        <v>1921</v>
      </c>
      <c r="E3018" s="7" t="s">
        <v>198</v>
      </c>
      <c r="F3018" s="7" t="s">
        <v>198</v>
      </c>
      <c r="G3018" s="7" t="s">
        <v>198</v>
      </c>
      <c r="H3018" s="7" t="s">
        <v>20</v>
      </c>
      <c r="I3018" s="7" t="s">
        <v>5102</v>
      </c>
      <c r="J3018" s="7" t="s">
        <v>21</v>
      </c>
      <c r="L3018" t="s">
        <v>4394</v>
      </c>
      <c r="M3018" s="7" t="s">
        <v>22</v>
      </c>
      <c r="N3018" s="7" t="s">
        <v>23</v>
      </c>
      <c r="O3018" s="7" t="s">
        <v>27</v>
      </c>
      <c r="P3018" s="7" t="s">
        <v>5101</v>
      </c>
      <c r="Q3018" s="26">
        <v>13</v>
      </c>
      <c r="R3018" s="26">
        <v>1</v>
      </c>
      <c r="S3018" s="40">
        <v>1</v>
      </c>
      <c r="T3018" s="7"/>
      <c r="U3018" s="7" t="s">
        <v>2951</v>
      </c>
      <c r="V3018" s="7" t="str">
        <f>+IF(U3018="","",IF(U3018="FINES",CONCATENATE("R",IF(OR(B3018="16",B3018="21",B3018="22",B3018="23"),"16212223",IF(OR(B3018="15",B3018="17",B3018="24",B3018="25"),"15172425",B3018))),IF(U3018="CEBAS","UNICO",IF(VALUE(B3018)&lt;=11,"AMBA","INTERIOR"))))</f>
        <v>R10</v>
      </c>
      <c r="W3018" s="38" t="str">
        <f>+IF(U3018="","-",CONCATENATE(U3018,"_",V3018))</f>
        <v>FINES_R10</v>
      </c>
      <c r="X3018" s="42">
        <v>0.27100000000000002</v>
      </c>
    </row>
    <row r="3019" spans="1:24">
      <c r="A3019" s="21" t="s">
        <v>5100</v>
      </c>
      <c r="B3019" t="s">
        <v>138</v>
      </c>
      <c r="C3019" t="s">
        <v>522</v>
      </c>
      <c r="D3019" t="s">
        <v>1468</v>
      </c>
      <c r="E3019" s="7" t="s">
        <v>198</v>
      </c>
      <c r="F3019" s="7" t="s">
        <v>198</v>
      </c>
      <c r="G3019" s="7" t="s">
        <v>198</v>
      </c>
      <c r="H3019" s="7" t="s">
        <v>20</v>
      </c>
      <c r="I3019" s="7" t="s">
        <v>5102</v>
      </c>
      <c r="J3019" s="7" t="s">
        <v>21</v>
      </c>
      <c r="L3019" t="s">
        <v>4360</v>
      </c>
      <c r="M3019" s="7" t="s">
        <v>22</v>
      </c>
      <c r="N3019" s="7" t="s">
        <v>23</v>
      </c>
      <c r="O3019" s="7" t="s">
        <v>27</v>
      </c>
      <c r="P3019" s="7" t="s">
        <v>5101</v>
      </c>
      <c r="Q3019" s="26">
        <v>10</v>
      </c>
      <c r="R3019" s="26">
        <v>1</v>
      </c>
      <c r="S3019" s="40">
        <v>1</v>
      </c>
      <c r="T3019" s="7"/>
      <c r="U3019" s="7" t="s">
        <v>2951</v>
      </c>
      <c r="V3019" s="7" t="str">
        <f>+IF(U3019="","",IF(U3019="FINES",CONCATENATE("R",IF(OR(B3019="16",B3019="21",B3019="22",B3019="23"),"16212223",IF(OR(B3019="15",B3019="17",B3019="24",B3019="25"),"15172425",B3019))),IF(U3019="CEBAS","UNICO",IF(VALUE(B3019)&lt;=11,"AMBA","INTERIOR"))))</f>
        <v>R10</v>
      </c>
      <c r="W3019" s="38" t="str">
        <f>+IF(U3019="","-",CONCATENATE(U3019,"_",V3019))</f>
        <v>FINES_R10</v>
      </c>
      <c r="X3019" s="42">
        <v>0.27400000000000002</v>
      </c>
    </row>
    <row r="3020" spans="1:24">
      <c r="A3020" s="21" t="s">
        <v>5100</v>
      </c>
      <c r="B3020" t="s">
        <v>138</v>
      </c>
      <c r="C3020" t="s">
        <v>436</v>
      </c>
      <c r="D3020" t="s">
        <v>1067</v>
      </c>
      <c r="E3020" s="7" t="s">
        <v>198</v>
      </c>
      <c r="F3020" s="7" t="s">
        <v>198</v>
      </c>
      <c r="G3020" s="7" t="s">
        <v>198</v>
      </c>
      <c r="H3020" s="7" t="s">
        <v>20</v>
      </c>
      <c r="I3020" s="7" t="s">
        <v>5102</v>
      </c>
      <c r="J3020" s="7" t="s">
        <v>21</v>
      </c>
      <c r="L3020" t="s">
        <v>4330</v>
      </c>
      <c r="M3020" s="7" t="s">
        <v>22</v>
      </c>
      <c r="N3020" s="7" t="s">
        <v>23</v>
      </c>
      <c r="O3020" s="7" t="s">
        <v>27</v>
      </c>
      <c r="P3020" s="7" t="s">
        <v>5101</v>
      </c>
      <c r="Q3020" s="26">
        <v>18</v>
      </c>
      <c r="R3020" s="26">
        <v>1</v>
      </c>
      <c r="S3020" s="40">
        <v>1</v>
      </c>
      <c r="T3020" s="7"/>
      <c r="U3020" s="7" t="s">
        <v>2951</v>
      </c>
      <c r="V3020" s="7" t="str">
        <f>+IF(U3020="","",IF(U3020="FINES",CONCATENATE("R",IF(OR(B3020="16",B3020="21",B3020="22",B3020="23"),"16212223",IF(OR(B3020="15",B3020="17",B3020="24",B3020="25"),"15172425",B3020))),IF(U3020="CEBAS","UNICO",IF(VALUE(B3020)&lt;=11,"AMBA","INTERIOR"))))</f>
        <v>R10</v>
      </c>
      <c r="W3020" s="38" t="str">
        <f>+IF(U3020="","-",CONCATENATE(U3020,"_",V3020))</f>
        <v>FINES_R10</v>
      </c>
      <c r="X3020" s="42">
        <v>0.27900000000000003</v>
      </c>
    </row>
    <row r="3021" spans="1:24">
      <c r="A3021" s="21" t="s">
        <v>5100</v>
      </c>
      <c r="B3021" t="s">
        <v>138</v>
      </c>
      <c r="C3021" t="s">
        <v>1507</v>
      </c>
      <c r="D3021" t="s">
        <v>1508</v>
      </c>
      <c r="E3021" s="7" t="s">
        <v>198</v>
      </c>
      <c r="F3021" s="7" t="s">
        <v>198</v>
      </c>
      <c r="G3021" s="7" t="s">
        <v>198</v>
      </c>
      <c r="H3021" s="7" t="s">
        <v>20</v>
      </c>
      <c r="I3021" s="7" t="s">
        <v>5102</v>
      </c>
      <c r="J3021" s="7" t="s">
        <v>21</v>
      </c>
      <c r="L3021" t="s">
        <v>4364</v>
      </c>
      <c r="M3021" s="7" t="s">
        <v>22</v>
      </c>
      <c r="N3021" s="7" t="s">
        <v>23</v>
      </c>
      <c r="O3021" s="7" t="s">
        <v>27</v>
      </c>
      <c r="P3021" s="7" t="s">
        <v>5101</v>
      </c>
      <c r="Q3021" s="26">
        <v>10</v>
      </c>
      <c r="R3021" s="26">
        <v>1</v>
      </c>
      <c r="S3021" s="40">
        <v>1</v>
      </c>
      <c r="T3021" s="7"/>
      <c r="U3021" s="7" t="s">
        <v>2951</v>
      </c>
      <c r="V3021" s="7" t="str">
        <f>+IF(U3021="","",IF(U3021="FINES",CONCATENATE("R",IF(OR(B3021="16",B3021="21",B3021="22",B3021="23"),"16212223",IF(OR(B3021="15",B3021="17",B3021="24",B3021="25"),"15172425",B3021))),IF(U3021="CEBAS","UNICO",IF(VALUE(B3021)&lt;=11,"AMBA","INTERIOR"))))</f>
        <v>R10</v>
      </c>
      <c r="W3021" s="38" t="str">
        <f>+IF(U3021="","-",CONCATENATE(U3021,"_",V3021))</f>
        <v>FINES_R10</v>
      </c>
      <c r="X3021" s="42">
        <v>0.28299999999999997</v>
      </c>
    </row>
    <row r="3022" spans="1:24">
      <c r="A3022" s="21" t="s">
        <v>5100</v>
      </c>
      <c r="B3022" t="s">
        <v>138</v>
      </c>
      <c r="C3022" t="s">
        <v>540</v>
      </c>
      <c r="D3022" t="s">
        <v>1766</v>
      </c>
      <c r="E3022" s="7" t="s">
        <v>198</v>
      </c>
      <c r="F3022" s="7" t="s">
        <v>198</v>
      </c>
      <c r="G3022" s="7" t="s">
        <v>198</v>
      </c>
      <c r="H3022" s="7" t="s">
        <v>20</v>
      </c>
      <c r="I3022" s="7" t="s">
        <v>5102</v>
      </c>
      <c r="J3022" s="7" t="s">
        <v>21</v>
      </c>
      <c r="L3022" t="s">
        <v>4386</v>
      </c>
      <c r="M3022" s="7" t="s">
        <v>22</v>
      </c>
      <c r="N3022" s="7" t="s">
        <v>23</v>
      </c>
      <c r="O3022" s="7" t="s">
        <v>27</v>
      </c>
      <c r="P3022" s="7" t="s">
        <v>5101</v>
      </c>
      <c r="Q3022" s="26">
        <v>54</v>
      </c>
      <c r="R3022" s="26">
        <v>2</v>
      </c>
      <c r="S3022" s="40">
        <v>1</v>
      </c>
      <c r="T3022" s="7"/>
      <c r="U3022" s="7" t="s">
        <v>2951</v>
      </c>
      <c r="V3022" s="7" t="str">
        <f>+IF(U3022="","",IF(U3022="FINES",CONCATENATE("R",IF(OR(B3022="16",B3022="21",B3022="22",B3022="23"),"16212223",IF(OR(B3022="15",B3022="17",B3022="24",B3022="25"),"15172425",B3022))),IF(U3022="CEBAS","UNICO",IF(VALUE(B3022)&lt;=11,"AMBA","INTERIOR"))))</f>
        <v>R10</v>
      </c>
      <c r="W3022" s="38" t="str">
        <f>+IF(U3022="","-",CONCATENATE(U3022,"_",V3022))</f>
        <v>FINES_R10</v>
      </c>
      <c r="X3022" s="42">
        <v>0.28899999999999998</v>
      </c>
    </row>
    <row r="3023" spans="1:24">
      <c r="A3023" s="21" t="s">
        <v>5100</v>
      </c>
      <c r="B3023" t="s">
        <v>138</v>
      </c>
      <c r="C3023" t="s">
        <v>643</v>
      </c>
      <c r="D3023" t="s">
        <v>645</v>
      </c>
      <c r="E3023" s="7" t="s">
        <v>198</v>
      </c>
      <c r="F3023" s="7" t="s">
        <v>198</v>
      </c>
      <c r="G3023" s="7" t="s">
        <v>198</v>
      </c>
      <c r="H3023" s="7" t="s">
        <v>20</v>
      </c>
      <c r="I3023" s="7" t="s">
        <v>5102</v>
      </c>
      <c r="J3023" s="7" t="s">
        <v>21</v>
      </c>
      <c r="L3023" t="s">
        <v>4291</v>
      </c>
      <c r="M3023" s="7" t="s">
        <v>22</v>
      </c>
      <c r="N3023" s="7" t="s">
        <v>23</v>
      </c>
      <c r="O3023" s="7" t="s">
        <v>27</v>
      </c>
      <c r="P3023" s="7" t="s">
        <v>5101</v>
      </c>
      <c r="Q3023" s="26">
        <v>18</v>
      </c>
      <c r="R3023" s="26">
        <v>1</v>
      </c>
      <c r="S3023" s="40">
        <v>1</v>
      </c>
      <c r="T3023" s="7"/>
      <c r="U3023" s="7" t="s">
        <v>2951</v>
      </c>
      <c r="V3023" s="7" t="str">
        <f>+IF(U3023="","",IF(U3023="FINES",CONCATENATE("R",IF(OR(B3023="16",B3023="21",B3023="22",B3023="23"),"16212223",IF(OR(B3023="15",B3023="17",B3023="24",B3023="25"),"15172425",B3023))),IF(U3023="CEBAS","UNICO",IF(VALUE(B3023)&lt;=11,"AMBA","INTERIOR"))))</f>
        <v>R10</v>
      </c>
      <c r="W3023" s="38" t="str">
        <f>+IF(U3023="","-",CONCATENATE(U3023,"_",V3023))</f>
        <v>FINES_R10</v>
      </c>
      <c r="X3023" s="42">
        <v>0.30599999999999999</v>
      </c>
    </row>
    <row r="3024" spans="1:24">
      <c r="A3024" s="21" t="s">
        <v>5100</v>
      </c>
      <c r="B3024" t="s">
        <v>138</v>
      </c>
      <c r="C3024" t="s">
        <v>1321</v>
      </c>
      <c r="D3024" t="s">
        <v>1322</v>
      </c>
      <c r="E3024" s="7" t="s">
        <v>198</v>
      </c>
      <c r="F3024" s="7" t="s">
        <v>198</v>
      </c>
      <c r="G3024" s="7" t="s">
        <v>198</v>
      </c>
      <c r="H3024" s="7" t="s">
        <v>20</v>
      </c>
      <c r="I3024" s="7" t="s">
        <v>5102</v>
      </c>
      <c r="J3024" s="7" t="s">
        <v>21</v>
      </c>
      <c r="L3024" t="s">
        <v>4303</v>
      </c>
      <c r="M3024" s="7" t="s">
        <v>22</v>
      </c>
      <c r="N3024" s="7" t="s">
        <v>23</v>
      </c>
      <c r="O3024" s="7" t="s">
        <v>27</v>
      </c>
      <c r="P3024" s="7" t="s">
        <v>5101</v>
      </c>
      <c r="Q3024" s="26">
        <v>12</v>
      </c>
      <c r="R3024" s="26">
        <v>1</v>
      </c>
      <c r="S3024" s="40">
        <v>1</v>
      </c>
      <c r="T3024" s="7"/>
      <c r="U3024" s="7" t="s">
        <v>2951</v>
      </c>
      <c r="V3024" s="7" t="str">
        <f>+IF(U3024="","",IF(U3024="FINES",CONCATENATE("R",IF(OR(B3024="16",B3024="21",B3024="22",B3024="23"),"16212223",IF(OR(B3024="15",B3024="17",B3024="24",B3024="25"),"15172425",B3024))),IF(U3024="CEBAS","UNICO",IF(VALUE(B3024)&lt;=11,"AMBA","INTERIOR"))))</f>
        <v>R10</v>
      </c>
      <c r="W3024" s="38" t="str">
        <f>+IF(U3024="","-",CONCATENATE(U3024,"_",V3024))</f>
        <v>FINES_R10</v>
      </c>
      <c r="X3024" s="42">
        <v>0.311</v>
      </c>
    </row>
    <row r="3025" spans="1:24">
      <c r="A3025" s="21" t="s">
        <v>5100</v>
      </c>
      <c r="B3025" t="s">
        <v>138</v>
      </c>
      <c r="C3025" t="s">
        <v>540</v>
      </c>
      <c r="D3025" t="s">
        <v>1766</v>
      </c>
      <c r="E3025" s="7" t="s">
        <v>198</v>
      </c>
      <c r="F3025" s="7" t="s">
        <v>198</v>
      </c>
      <c r="G3025" s="7" t="s">
        <v>198</v>
      </c>
      <c r="H3025" s="7" t="s">
        <v>20</v>
      </c>
      <c r="I3025" s="7" t="s">
        <v>5102</v>
      </c>
      <c r="J3025" s="7" t="s">
        <v>21</v>
      </c>
      <c r="L3025" t="s">
        <v>4385</v>
      </c>
      <c r="M3025" s="7" t="s">
        <v>22</v>
      </c>
      <c r="N3025" s="7" t="s">
        <v>23</v>
      </c>
      <c r="O3025" s="7" t="s">
        <v>27</v>
      </c>
      <c r="P3025" s="7" t="s">
        <v>5101</v>
      </c>
      <c r="Q3025" s="26">
        <v>40</v>
      </c>
      <c r="R3025" s="26">
        <v>3</v>
      </c>
      <c r="S3025" s="40">
        <v>1</v>
      </c>
      <c r="T3025" s="7"/>
      <c r="U3025" s="7" t="s">
        <v>2951</v>
      </c>
      <c r="V3025" s="7" t="str">
        <f>+IF(U3025="","",IF(U3025="FINES",CONCATENATE("R",IF(OR(B3025="16",B3025="21",B3025="22",B3025="23"),"16212223",IF(OR(B3025="15",B3025="17",B3025="24",B3025="25"),"15172425",B3025))),IF(U3025="CEBAS","UNICO",IF(VALUE(B3025)&lt;=11,"AMBA","INTERIOR"))))</f>
        <v>R10</v>
      </c>
      <c r="W3025" s="38" t="str">
        <f>+IF(U3025="","-",CONCATENATE(U3025,"_",V3025))</f>
        <v>FINES_R10</v>
      </c>
      <c r="X3025" s="42">
        <v>0.316</v>
      </c>
    </row>
    <row r="3026" spans="1:24">
      <c r="A3026" s="21" t="s">
        <v>5100</v>
      </c>
      <c r="B3026" t="s">
        <v>138</v>
      </c>
      <c r="C3026" t="s">
        <v>1507</v>
      </c>
      <c r="D3026" t="s">
        <v>1508</v>
      </c>
      <c r="E3026" s="7" t="s">
        <v>198</v>
      </c>
      <c r="F3026" s="7" t="s">
        <v>198</v>
      </c>
      <c r="G3026" s="7" t="s">
        <v>198</v>
      </c>
      <c r="H3026" s="7" t="s">
        <v>20</v>
      </c>
      <c r="I3026" s="7" t="s">
        <v>5102</v>
      </c>
      <c r="J3026" s="7" t="s">
        <v>21</v>
      </c>
      <c r="L3026" t="s">
        <v>4375</v>
      </c>
      <c r="M3026" s="7" t="s">
        <v>22</v>
      </c>
      <c r="N3026" s="7" t="s">
        <v>23</v>
      </c>
      <c r="O3026" s="7" t="s">
        <v>27</v>
      </c>
      <c r="P3026" s="7" t="s">
        <v>5101</v>
      </c>
      <c r="Q3026" s="26">
        <v>17</v>
      </c>
      <c r="R3026" s="26">
        <v>1</v>
      </c>
      <c r="S3026" s="40">
        <v>1</v>
      </c>
      <c r="T3026" s="7"/>
      <c r="U3026" s="7" t="s">
        <v>2951</v>
      </c>
      <c r="V3026" s="7" t="str">
        <f>+IF(U3026="","",IF(U3026="FINES",CONCATENATE("R",IF(OR(B3026="16",B3026="21",B3026="22",B3026="23"),"16212223",IF(OR(B3026="15",B3026="17",B3026="24",B3026="25"),"15172425",B3026))),IF(U3026="CEBAS","UNICO",IF(VALUE(B3026)&lt;=11,"AMBA","INTERIOR"))))</f>
        <v>R10</v>
      </c>
      <c r="W3026" s="38" t="str">
        <f>+IF(U3026="","-",CONCATENATE(U3026,"_",V3026))</f>
        <v>FINES_R10</v>
      </c>
      <c r="X3026" s="42">
        <v>0.32100000000000001</v>
      </c>
    </row>
    <row r="3027" spans="1:24">
      <c r="A3027" s="21" t="s">
        <v>5100</v>
      </c>
      <c r="B3027" t="s">
        <v>138</v>
      </c>
      <c r="C3027" t="s">
        <v>1321</v>
      </c>
      <c r="D3027" t="s">
        <v>1322</v>
      </c>
      <c r="E3027" s="7" t="s">
        <v>198</v>
      </c>
      <c r="F3027" s="7" t="s">
        <v>198</v>
      </c>
      <c r="G3027" s="7" t="s">
        <v>198</v>
      </c>
      <c r="H3027" s="7" t="s">
        <v>20</v>
      </c>
      <c r="I3027" s="7" t="s">
        <v>5102</v>
      </c>
      <c r="J3027" s="7" t="s">
        <v>21</v>
      </c>
      <c r="L3027" t="s">
        <v>4304</v>
      </c>
      <c r="M3027" s="7" t="s">
        <v>22</v>
      </c>
      <c r="N3027" s="7" t="s">
        <v>23</v>
      </c>
      <c r="O3027" s="7" t="s">
        <v>27</v>
      </c>
      <c r="P3027" s="7" t="s">
        <v>5101</v>
      </c>
      <c r="Q3027" s="26">
        <v>9</v>
      </c>
      <c r="R3027" s="26">
        <v>1</v>
      </c>
      <c r="S3027" s="40">
        <v>1</v>
      </c>
      <c r="T3027" s="7"/>
      <c r="U3027" s="7" t="s">
        <v>2951</v>
      </c>
      <c r="V3027" s="7" t="str">
        <f>+IF(U3027="","",IF(U3027="FINES",CONCATENATE("R",IF(OR(B3027="16",B3027="21",B3027="22",B3027="23"),"16212223",IF(OR(B3027="15",B3027="17",B3027="24",B3027="25"),"15172425",B3027))),IF(U3027="CEBAS","UNICO",IF(VALUE(B3027)&lt;=11,"AMBA","INTERIOR"))))</f>
        <v>R10</v>
      </c>
      <c r="W3027" s="38" t="str">
        <f>+IF(U3027="","-",CONCATENATE(U3027,"_",V3027))</f>
        <v>FINES_R10</v>
      </c>
      <c r="X3027" s="42">
        <v>0.32100000000000001</v>
      </c>
    </row>
    <row r="3028" spans="1:24">
      <c r="A3028" s="21" t="s">
        <v>5100</v>
      </c>
      <c r="B3028" t="s">
        <v>138</v>
      </c>
      <c r="C3028" t="s">
        <v>436</v>
      </c>
      <c r="D3028" t="s">
        <v>1067</v>
      </c>
      <c r="E3028" s="7" t="s">
        <v>198</v>
      </c>
      <c r="F3028" s="7" t="s">
        <v>198</v>
      </c>
      <c r="G3028" s="7" t="s">
        <v>198</v>
      </c>
      <c r="H3028" s="7" t="s">
        <v>20</v>
      </c>
      <c r="I3028" s="7" t="s">
        <v>5102</v>
      </c>
      <c r="J3028" s="7" t="s">
        <v>21</v>
      </c>
      <c r="L3028" t="s">
        <v>4321</v>
      </c>
      <c r="M3028" s="7" t="s">
        <v>22</v>
      </c>
      <c r="N3028" s="7" t="s">
        <v>23</v>
      </c>
      <c r="O3028" s="7" t="s">
        <v>27</v>
      </c>
      <c r="P3028" s="7" t="s">
        <v>5101</v>
      </c>
      <c r="Q3028" s="26">
        <v>38</v>
      </c>
      <c r="R3028" s="26">
        <v>2</v>
      </c>
      <c r="S3028" s="40">
        <v>1</v>
      </c>
      <c r="T3028" s="7"/>
      <c r="U3028" s="7" t="s">
        <v>2951</v>
      </c>
      <c r="V3028" s="7" t="str">
        <f>+IF(U3028="","",IF(U3028="FINES",CONCATENATE("R",IF(OR(B3028="16",B3028="21",B3028="22",B3028="23"),"16212223",IF(OR(B3028="15",B3028="17",B3028="24",B3028="25"),"15172425",B3028))),IF(U3028="CEBAS","UNICO",IF(VALUE(B3028)&lt;=11,"AMBA","INTERIOR"))))</f>
        <v>R10</v>
      </c>
      <c r="W3028" s="38" t="str">
        <f>+IF(U3028="","-",CONCATENATE(U3028,"_",V3028))</f>
        <v>FINES_R10</v>
      </c>
      <c r="X3028" s="42">
        <v>0.34499999999999997</v>
      </c>
    </row>
    <row r="3029" spans="1:24">
      <c r="A3029" s="21" t="s">
        <v>5100</v>
      </c>
      <c r="B3029" t="s">
        <v>138</v>
      </c>
      <c r="C3029" t="s">
        <v>522</v>
      </c>
      <c r="D3029" t="s">
        <v>1468</v>
      </c>
      <c r="E3029" s="7" t="s">
        <v>198</v>
      </c>
      <c r="F3029" s="7" t="s">
        <v>198</v>
      </c>
      <c r="G3029" s="7" t="s">
        <v>198</v>
      </c>
      <c r="H3029" s="7" t="s">
        <v>20</v>
      </c>
      <c r="I3029" s="7" t="s">
        <v>5102</v>
      </c>
      <c r="J3029" s="7" t="s">
        <v>21</v>
      </c>
      <c r="L3029" t="s">
        <v>4337</v>
      </c>
      <c r="M3029" s="7" t="s">
        <v>22</v>
      </c>
      <c r="N3029" s="7" t="s">
        <v>23</v>
      </c>
      <c r="O3029" s="7" t="s">
        <v>27</v>
      </c>
      <c r="P3029" s="7" t="s">
        <v>5101</v>
      </c>
      <c r="Q3029" s="26">
        <v>36</v>
      </c>
      <c r="R3029" s="26">
        <v>2</v>
      </c>
      <c r="S3029" s="40">
        <v>1</v>
      </c>
      <c r="T3029" s="7"/>
      <c r="U3029" s="7" t="s">
        <v>2951</v>
      </c>
      <c r="V3029" s="7" t="str">
        <f>+IF(U3029="","",IF(U3029="FINES",CONCATENATE("R",IF(OR(B3029="16",B3029="21",B3029="22",B3029="23"),"16212223",IF(OR(B3029="15",B3029="17",B3029="24",B3029="25"),"15172425",B3029))),IF(U3029="CEBAS","UNICO",IF(VALUE(B3029)&lt;=11,"AMBA","INTERIOR"))))</f>
        <v>R10</v>
      </c>
      <c r="W3029" s="38" t="str">
        <f>+IF(U3029="","-",CONCATENATE(U3029,"_",V3029))</f>
        <v>FINES_R10</v>
      </c>
      <c r="X3029" s="42">
        <v>0.35199999999999998</v>
      </c>
    </row>
    <row r="3030" spans="1:24">
      <c r="A3030" s="21" t="s">
        <v>5100</v>
      </c>
      <c r="B3030" t="s">
        <v>138</v>
      </c>
      <c r="C3030" t="s">
        <v>1321</v>
      </c>
      <c r="D3030" t="s">
        <v>1322</v>
      </c>
      <c r="E3030" s="7" t="s">
        <v>198</v>
      </c>
      <c r="F3030" s="7" t="s">
        <v>198</v>
      </c>
      <c r="G3030" s="7" t="s">
        <v>198</v>
      </c>
      <c r="H3030" s="7" t="s">
        <v>20</v>
      </c>
      <c r="I3030" s="7" t="s">
        <v>5102</v>
      </c>
      <c r="J3030" s="7" t="s">
        <v>21</v>
      </c>
      <c r="L3030" t="s">
        <v>4298</v>
      </c>
      <c r="M3030" s="7" t="s">
        <v>22</v>
      </c>
      <c r="N3030" s="7" t="s">
        <v>23</v>
      </c>
      <c r="O3030" s="7" t="s">
        <v>27</v>
      </c>
      <c r="P3030" s="7" t="s">
        <v>5101</v>
      </c>
      <c r="Q3030" s="26">
        <v>9</v>
      </c>
      <c r="R3030" s="26">
        <v>1</v>
      </c>
      <c r="S3030" s="40">
        <v>1</v>
      </c>
      <c r="T3030" s="7"/>
      <c r="U3030" s="7" t="s">
        <v>2951</v>
      </c>
      <c r="V3030" s="7" t="str">
        <f>+IF(U3030="","",IF(U3030="FINES",CONCATENATE("R",IF(OR(B3030="16",B3030="21",B3030="22",B3030="23"),"16212223",IF(OR(B3030="15",B3030="17",B3030="24",B3030="25"),"15172425",B3030))),IF(U3030="CEBAS","UNICO",IF(VALUE(B3030)&lt;=11,"AMBA","INTERIOR"))))</f>
        <v>R10</v>
      </c>
      <c r="W3030" s="38" t="str">
        <f>+IF(U3030="","-",CONCATENATE(U3030,"_",V3030))</f>
        <v>FINES_R10</v>
      </c>
      <c r="X3030" s="42">
        <v>0.35399999999999998</v>
      </c>
    </row>
    <row r="3031" spans="1:24">
      <c r="A3031" s="21" t="s">
        <v>5100</v>
      </c>
      <c r="B3031" t="s">
        <v>138</v>
      </c>
      <c r="C3031" t="s">
        <v>436</v>
      </c>
      <c r="D3031" t="s">
        <v>1067</v>
      </c>
      <c r="E3031" s="7" t="s">
        <v>198</v>
      </c>
      <c r="F3031" s="7" t="s">
        <v>198</v>
      </c>
      <c r="G3031" s="7" t="s">
        <v>198</v>
      </c>
      <c r="H3031" s="7" t="s">
        <v>20</v>
      </c>
      <c r="I3031" s="7" t="s">
        <v>5102</v>
      </c>
      <c r="J3031" s="7" t="s">
        <v>21</v>
      </c>
      <c r="L3031" t="s">
        <v>4310</v>
      </c>
      <c r="M3031" s="7" t="s">
        <v>22</v>
      </c>
      <c r="N3031" s="7" t="s">
        <v>23</v>
      </c>
      <c r="O3031" s="7" t="s">
        <v>27</v>
      </c>
      <c r="P3031" s="7" t="s">
        <v>5101</v>
      </c>
      <c r="Q3031" s="26">
        <v>14</v>
      </c>
      <c r="R3031" s="26">
        <v>1</v>
      </c>
      <c r="S3031" s="40">
        <v>1</v>
      </c>
      <c r="T3031" s="7"/>
      <c r="U3031" s="7" t="s">
        <v>2951</v>
      </c>
      <c r="V3031" s="7" t="str">
        <f>+IF(U3031="","",IF(U3031="FINES",CONCATENATE("R",IF(OR(B3031="16",B3031="21",B3031="22",B3031="23"),"16212223",IF(OR(B3031="15",B3031="17",B3031="24",B3031="25"),"15172425",B3031))),IF(U3031="CEBAS","UNICO",IF(VALUE(B3031)&lt;=11,"AMBA","INTERIOR"))))</f>
        <v>R10</v>
      </c>
      <c r="W3031" s="38" t="str">
        <f>+IF(U3031="","-",CONCATENATE(U3031,"_",V3031))</f>
        <v>FINES_R10</v>
      </c>
      <c r="X3031" s="42">
        <v>0.35799999999999998</v>
      </c>
    </row>
    <row r="3032" spans="1:24">
      <c r="A3032" s="21" t="s">
        <v>5100</v>
      </c>
      <c r="B3032" t="s">
        <v>138</v>
      </c>
      <c r="C3032" t="s">
        <v>1920</v>
      </c>
      <c r="D3032" t="s">
        <v>1921</v>
      </c>
      <c r="E3032" s="7" t="s">
        <v>198</v>
      </c>
      <c r="F3032" s="7" t="s">
        <v>198</v>
      </c>
      <c r="G3032" s="7" t="s">
        <v>198</v>
      </c>
      <c r="H3032" s="7" t="s">
        <v>20</v>
      </c>
      <c r="I3032" s="7" t="s">
        <v>5102</v>
      </c>
      <c r="J3032" s="7" t="s">
        <v>21</v>
      </c>
      <c r="L3032" t="s">
        <v>4399</v>
      </c>
      <c r="M3032" s="7" t="s">
        <v>22</v>
      </c>
      <c r="N3032" s="7" t="s">
        <v>23</v>
      </c>
      <c r="O3032" s="7" t="s">
        <v>27</v>
      </c>
      <c r="P3032" s="7" t="s">
        <v>5101</v>
      </c>
      <c r="Q3032" s="26">
        <v>44</v>
      </c>
      <c r="R3032" s="26">
        <v>2</v>
      </c>
      <c r="S3032" s="40">
        <v>1</v>
      </c>
      <c r="T3032" s="7"/>
      <c r="U3032" s="7" t="s">
        <v>2951</v>
      </c>
      <c r="V3032" s="7" t="str">
        <f>+IF(U3032="","",IF(U3032="FINES",CONCATENATE("R",IF(OR(B3032="16",B3032="21",B3032="22",B3032="23"),"16212223",IF(OR(B3032="15",B3032="17",B3032="24",B3032="25"),"15172425",B3032))),IF(U3032="CEBAS","UNICO",IF(VALUE(B3032)&lt;=11,"AMBA","INTERIOR"))))</f>
        <v>R10</v>
      </c>
      <c r="W3032" s="38" t="str">
        <f>+IF(U3032="","-",CONCATENATE(U3032,"_",V3032))</f>
        <v>FINES_R10</v>
      </c>
      <c r="X3032" s="42">
        <v>0.36599999999999999</v>
      </c>
    </row>
    <row r="3033" spans="1:24">
      <c r="A3033" s="21" t="s">
        <v>5100</v>
      </c>
      <c r="B3033" t="s">
        <v>138</v>
      </c>
      <c r="C3033" t="s">
        <v>1321</v>
      </c>
      <c r="D3033" t="s">
        <v>1322</v>
      </c>
      <c r="E3033" s="7" t="s">
        <v>198</v>
      </c>
      <c r="F3033" s="7" t="s">
        <v>198</v>
      </c>
      <c r="G3033" s="7" t="s">
        <v>198</v>
      </c>
      <c r="H3033" s="7" t="s">
        <v>20</v>
      </c>
      <c r="I3033" s="7" t="s">
        <v>5102</v>
      </c>
      <c r="J3033" s="7" t="s">
        <v>21</v>
      </c>
      <c r="L3033" t="s">
        <v>4306</v>
      </c>
      <c r="M3033" s="7" t="s">
        <v>22</v>
      </c>
      <c r="N3033" s="7" t="s">
        <v>23</v>
      </c>
      <c r="O3033" s="7" t="s">
        <v>27</v>
      </c>
      <c r="P3033" s="7" t="s">
        <v>5101</v>
      </c>
      <c r="Q3033" s="26">
        <v>31</v>
      </c>
      <c r="R3033" s="26">
        <v>2</v>
      </c>
      <c r="S3033" s="40">
        <v>1</v>
      </c>
      <c r="T3033" s="7"/>
      <c r="U3033" s="7" t="s">
        <v>2951</v>
      </c>
      <c r="V3033" s="7" t="str">
        <f>+IF(U3033="","",IF(U3033="FINES",CONCATENATE("R",IF(OR(B3033="16",B3033="21",B3033="22",B3033="23"),"16212223",IF(OR(B3033="15",B3033="17",B3033="24",B3033="25"),"15172425",B3033))),IF(U3033="CEBAS","UNICO",IF(VALUE(B3033)&lt;=11,"AMBA","INTERIOR"))))</f>
        <v>R10</v>
      </c>
      <c r="W3033" s="38" t="str">
        <f>+IF(U3033="","-",CONCATENATE(U3033,"_",V3033))</f>
        <v>FINES_R10</v>
      </c>
      <c r="X3033" s="42">
        <v>0.38</v>
      </c>
    </row>
    <row r="3034" spans="1:24">
      <c r="A3034" s="21" t="s">
        <v>5100</v>
      </c>
      <c r="B3034" t="s">
        <v>138</v>
      </c>
      <c r="C3034" t="s">
        <v>1507</v>
      </c>
      <c r="D3034" t="s">
        <v>1508</v>
      </c>
      <c r="E3034" s="7" t="s">
        <v>198</v>
      </c>
      <c r="F3034" s="7" t="s">
        <v>198</v>
      </c>
      <c r="G3034" s="7" t="s">
        <v>198</v>
      </c>
      <c r="H3034" s="7" t="s">
        <v>20</v>
      </c>
      <c r="I3034" s="7" t="s">
        <v>5102</v>
      </c>
      <c r="J3034" s="7" t="s">
        <v>21</v>
      </c>
      <c r="L3034" t="s">
        <v>4372</v>
      </c>
      <c r="M3034" s="7" t="s">
        <v>22</v>
      </c>
      <c r="N3034" s="7" t="s">
        <v>23</v>
      </c>
      <c r="O3034" s="7" t="s">
        <v>27</v>
      </c>
      <c r="P3034" s="7" t="s">
        <v>5101</v>
      </c>
      <c r="Q3034" s="26">
        <v>14</v>
      </c>
      <c r="R3034" s="26">
        <v>1</v>
      </c>
      <c r="S3034" s="40">
        <v>1</v>
      </c>
      <c r="T3034" s="7"/>
      <c r="U3034" s="7" t="s">
        <v>2951</v>
      </c>
      <c r="V3034" s="7" t="str">
        <f>+IF(U3034="","",IF(U3034="FINES",CONCATENATE("R",IF(OR(B3034="16",B3034="21",B3034="22",B3034="23"),"16212223",IF(OR(B3034="15",B3034="17",B3034="24",B3034="25"),"15172425",B3034))),IF(U3034="CEBAS","UNICO",IF(VALUE(B3034)&lt;=11,"AMBA","INTERIOR"))))</f>
        <v>R10</v>
      </c>
      <c r="W3034" s="38" t="str">
        <f>+IF(U3034="","-",CONCATENATE(U3034,"_",V3034))</f>
        <v>FINES_R10</v>
      </c>
      <c r="X3034" s="42">
        <v>0.38700000000000001</v>
      </c>
    </row>
    <row r="3035" spans="1:24">
      <c r="A3035" s="21" t="s">
        <v>5100</v>
      </c>
      <c r="B3035" t="s">
        <v>138</v>
      </c>
      <c r="C3035" t="s">
        <v>643</v>
      </c>
      <c r="D3035" t="s">
        <v>645</v>
      </c>
      <c r="E3035" s="7" t="s">
        <v>198</v>
      </c>
      <c r="F3035" s="7" t="s">
        <v>198</v>
      </c>
      <c r="G3035" s="7" t="s">
        <v>198</v>
      </c>
      <c r="H3035" s="7" t="s">
        <v>20</v>
      </c>
      <c r="I3035" s="7" t="s">
        <v>5102</v>
      </c>
      <c r="J3035" s="7" t="s">
        <v>21</v>
      </c>
      <c r="L3035" t="s">
        <v>4281</v>
      </c>
      <c r="M3035" s="7" t="s">
        <v>22</v>
      </c>
      <c r="N3035" s="7" t="s">
        <v>23</v>
      </c>
      <c r="O3035" s="7" t="s">
        <v>27</v>
      </c>
      <c r="P3035" s="7" t="s">
        <v>5101</v>
      </c>
      <c r="Q3035" s="26">
        <v>19</v>
      </c>
      <c r="R3035" s="26">
        <v>1</v>
      </c>
      <c r="S3035" s="40">
        <v>1</v>
      </c>
      <c r="T3035" s="7"/>
      <c r="U3035" s="7" t="s">
        <v>2951</v>
      </c>
      <c r="V3035" s="7" t="str">
        <f>+IF(U3035="","",IF(U3035="FINES",CONCATENATE("R",IF(OR(B3035="16",B3035="21",B3035="22",B3035="23"),"16212223",IF(OR(B3035="15",B3035="17",B3035="24",B3035="25"),"15172425",B3035))),IF(U3035="CEBAS","UNICO",IF(VALUE(B3035)&lt;=11,"AMBA","INTERIOR"))))</f>
        <v>R10</v>
      </c>
      <c r="W3035" s="38" t="str">
        <f>+IF(U3035="","-",CONCATENATE(U3035,"_",V3035))</f>
        <v>FINES_R10</v>
      </c>
      <c r="X3035" s="42">
        <v>0.39</v>
      </c>
    </row>
    <row r="3036" spans="1:24">
      <c r="A3036" s="21" t="s">
        <v>5100</v>
      </c>
      <c r="B3036" t="s">
        <v>138</v>
      </c>
      <c r="C3036" t="s">
        <v>522</v>
      </c>
      <c r="D3036" t="s">
        <v>1468</v>
      </c>
      <c r="E3036" s="7" t="s">
        <v>198</v>
      </c>
      <c r="F3036" s="7" t="s">
        <v>198</v>
      </c>
      <c r="G3036" s="7" t="s">
        <v>198</v>
      </c>
      <c r="H3036" s="7" t="s">
        <v>20</v>
      </c>
      <c r="I3036" s="7" t="s">
        <v>5102</v>
      </c>
      <c r="J3036" s="7" t="s">
        <v>21</v>
      </c>
      <c r="L3036" t="s">
        <v>4346</v>
      </c>
      <c r="M3036" s="7" t="s">
        <v>22</v>
      </c>
      <c r="N3036" s="7" t="s">
        <v>23</v>
      </c>
      <c r="O3036" s="7" t="s">
        <v>27</v>
      </c>
      <c r="P3036" s="7" t="s">
        <v>5101</v>
      </c>
      <c r="Q3036" s="26">
        <v>9</v>
      </c>
      <c r="R3036" s="26">
        <v>1</v>
      </c>
      <c r="S3036" s="40">
        <v>1</v>
      </c>
      <c r="T3036" s="7"/>
      <c r="U3036" s="7" t="s">
        <v>2951</v>
      </c>
      <c r="V3036" s="7" t="str">
        <f>+IF(U3036="","",IF(U3036="FINES",CONCATENATE("R",IF(OR(B3036="16",B3036="21",B3036="22",B3036="23"),"16212223",IF(OR(B3036="15",B3036="17",B3036="24",B3036="25"),"15172425",B3036))),IF(U3036="CEBAS","UNICO",IF(VALUE(B3036)&lt;=11,"AMBA","INTERIOR"))))</f>
        <v>R10</v>
      </c>
      <c r="W3036" s="38" t="str">
        <f>+IF(U3036="","-",CONCATENATE(U3036,"_",V3036))</f>
        <v>FINES_R10</v>
      </c>
      <c r="X3036" s="42">
        <v>0.40400000000000003</v>
      </c>
    </row>
    <row r="3037" spans="1:24">
      <c r="A3037" s="21" t="s">
        <v>5100</v>
      </c>
      <c r="B3037" t="s">
        <v>138</v>
      </c>
      <c r="C3037" t="s">
        <v>522</v>
      </c>
      <c r="D3037" t="s">
        <v>1468</v>
      </c>
      <c r="E3037" s="7" t="s">
        <v>198</v>
      </c>
      <c r="F3037" s="7" t="s">
        <v>198</v>
      </c>
      <c r="G3037" s="7" t="s">
        <v>198</v>
      </c>
      <c r="H3037" s="7" t="s">
        <v>20</v>
      </c>
      <c r="I3037" s="7" t="s">
        <v>5102</v>
      </c>
      <c r="J3037" s="7" t="s">
        <v>21</v>
      </c>
      <c r="L3037" t="s">
        <v>4349</v>
      </c>
      <c r="M3037" s="7" t="s">
        <v>22</v>
      </c>
      <c r="N3037" s="7" t="s">
        <v>23</v>
      </c>
      <c r="O3037" s="7" t="s">
        <v>27</v>
      </c>
      <c r="P3037" s="7" t="s">
        <v>5101</v>
      </c>
      <c r="Q3037" s="26">
        <v>24</v>
      </c>
      <c r="R3037" s="26">
        <v>1</v>
      </c>
      <c r="S3037" s="40">
        <v>1</v>
      </c>
      <c r="T3037" s="7"/>
      <c r="U3037" s="7" t="s">
        <v>2951</v>
      </c>
      <c r="V3037" s="7" t="str">
        <f>+IF(U3037="","",IF(U3037="FINES",CONCATENATE("R",IF(OR(B3037="16",B3037="21",B3037="22",B3037="23"),"16212223",IF(OR(B3037="15",B3037="17",B3037="24",B3037="25"),"15172425",B3037))),IF(U3037="CEBAS","UNICO",IF(VALUE(B3037)&lt;=11,"AMBA","INTERIOR"))))</f>
        <v>R10</v>
      </c>
      <c r="W3037" s="38" t="str">
        <f>+IF(U3037="","-",CONCATENATE(U3037,"_",V3037))</f>
        <v>FINES_R10</v>
      </c>
      <c r="X3037" s="42">
        <v>0.40699999999999997</v>
      </c>
    </row>
    <row r="3038" spans="1:24">
      <c r="A3038" s="21" t="s">
        <v>5100</v>
      </c>
      <c r="B3038" t="s">
        <v>138</v>
      </c>
      <c r="C3038" t="s">
        <v>1507</v>
      </c>
      <c r="D3038" t="s">
        <v>1508</v>
      </c>
      <c r="E3038" s="7" t="s">
        <v>198</v>
      </c>
      <c r="F3038" s="7" t="s">
        <v>198</v>
      </c>
      <c r="G3038" s="7" t="s">
        <v>198</v>
      </c>
      <c r="H3038" s="7" t="s">
        <v>20</v>
      </c>
      <c r="I3038" s="7" t="s">
        <v>5102</v>
      </c>
      <c r="J3038" s="7" t="s">
        <v>21</v>
      </c>
      <c r="L3038" t="s">
        <v>4381</v>
      </c>
      <c r="M3038" s="7" t="s">
        <v>22</v>
      </c>
      <c r="N3038" s="7" t="s">
        <v>23</v>
      </c>
      <c r="O3038" s="7" t="s">
        <v>27</v>
      </c>
      <c r="P3038" s="7" t="s">
        <v>5101</v>
      </c>
      <c r="Q3038" s="26">
        <v>6</v>
      </c>
      <c r="R3038" s="26">
        <v>1</v>
      </c>
      <c r="S3038" s="40">
        <v>1</v>
      </c>
      <c r="T3038" s="7"/>
      <c r="U3038" s="7" t="s">
        <v>2951</v>
      </c>
      <c r="V3038" s="7" t="str">
        <f>+IF(U3038="","",IF(U3038="FINES",CONCATENATE("R",IF(OR(B3038="16",B3038="21",B3038="22",B3038="23"),"16212223",IF(OR(B3038="15",B3038="17",B3038="24",B3038="25"),"15172425",B3038))),IF(U3038="CEBAS","UNICO",IF(VALUE(B3038)&lt;=11,"AMBA","INTERIOR"))))</f>
        <v>R10</v>
      </c>
      <c r="W3038" s="38" t="str">
        <f>+IF(U3038="","-",CONCATENATE(U3038,"_",V3038))</f>
        <v>FINES_R10</v>
      </c>
      <c r="X3038" s="42">
        <v>0.41399999999999998</v>
      </c>
    </row>
    <row r="3039" spans="1:24">
      <c r="A3039" s="21" t="s">
        <v>5100</v>
      </c>
      <c r="B3039" t="s">
        <v>138</v>
      </c>
      <c r="C3039" t="s">
        <v>1321</v>
      </c>
      <c r="D3039" t="s">
        <v>1322</v>
      </c>
      <c r="E3039" s="7" t="s">
        <v>198</v>
      </c>
      <c r="F3039" s="7" t="s">
        <v>198</v>
      </c>
      <c r="G3039" s="7" t="s">
        <v>198</v>
      </c>
      <c r="H3039" s="7" t="s">
        <v>20</v>
      </c>
      <c r="I3039" s="7" t="s">
        <v>5102</v>
      </c>
      <c r="J3039" s="7" t="s">
        <v>21</v>
      </c>
      <c r="L3039" t="s">
        <v>4300</v>
      </c>
      <c r="M3039" s="7" t="s">
        <v>22</v>
      </c>
      <c r="N3039" s="7" t="s">
        <v>23</v>
      </c>
      <c r="O3039" s="7" t="s">
        <v>27</v>
      </c>
      <c r="P3039" s="7" t="s">
        <v>5101</v>
      </c>
      <c r="Q3039" s="26">
        <v>26</v>
      </c>
      <c r="R3039" s="26">
        <v>2</v>
      </c>
      <c r="S3039" s="40">
        <v>1</v>
      </c>
      <c r="T3039" s="7"/>
      <c r="U3039" s="7" t="s">
        <v>2951</v>
      </c>
      <c r="V3039" s="7" t="str">
        <f>+IF(U3039="","",IF(U3039="FINES",CONCATENATE("R",IF(OR(B3039="16",B3039="21",B3039="22",B3039="23"),"16212223",IF(OR(B3039="15",B3039="17",B3039="24",B3039="25"),"15172425",B3039))),IF(U3039="CEBAS","UNICO",IF(VALUE(B3039)&lt;=11,"AMBA","INTERIOR"))))</f>
        <v>R10</v>
      </c>
      <c r="W3039" s="38" t="str">
        <f>+IF(U3039="","-",CONCATENATE(U3039,"_",V3039))</f>
        <v>FINES_R10</v>
      </c>
      <c r="X3039" s="42">
        <v>0.41699999999999998</v>
      </c>
    </row>
    <row r="3040" spans="1:24">
      <c r="A3040" s="21" t="s">
        <v>5100</v>
      </c>
      <c r="B3040" t="s">
        <v>138</v>
      </c>
      <c r="C3040" t="s">
        <v>522</v>
      </c>
      <c r="D3040" t="s">
        <v>1468</v>
      </c>
      <c r="E3040" s="7" t="s">
        <v>198</v>
      </c>
      <c r="F3040" s="7" t="s">
        <v>198</v>
      </c>
      <c r="G3040" s="7" t="s">
        <v>198</v>
      </c>
      <c r="H3040" s="7" t="s">
        <v>20</v>
      </c>
      <c r="I3040" s="7" t="s">
        <v>5102</v>
      </c>
      <c r="J3040" s="7" t="s">
        <v>21</v>
      </c>
      <c r="L3040" t="s">
        <v>4351</v>
      </c>
      <c r="M3040" s="7" t="s">
        <v>22</v>
      </c>
      <c r="N3040" s="7" t="s">
        <v>23</v>
      </c>
      <c r="O3040" s="7" t="s">
        <v>27</v>
      </c>
      <c r="P3040" s="7" t="s">
        <v>5101</v>
      </c>
      <c r="Q3040" s="26">
        <v>14</v>
      </c>
      <c r="R3040" s="26">
        <v>1</v>
      </c>
      <c r="S3040" s="40">
        <v>1</v>
      </c>
      <c r="T3040" s="7"/>
      <c r="U3040" s="7" t="s">
        <v>2951</v>
      </c>
      <c r="V3040" s="7" t="str">
        <f>+IF(U3040="","",IF(U3040="FINES",CONCATENATE("R",IF(OR(B3040="16",B3040="21",B3040="22",B3040="23"),"16212223",IF(OR(B3040="15",B3040="17",B3040="24",B3040="25"),"15172425",B3040))),IF(U3040="CEBAS","UNICO",IF(VALUE(B3040)&lt;=11,"AMBA","INTERIOR"))))</f>
        <v>R10</v>
      </c>
      <c r="W3040" s="38" t="str">
        <f>+IF(U3040="","-",CONCATENATE(U3040,"_",V3040))</f>
        <v>FINES_R10</v>
      </c>
      <c r="X3040" s="42">
        <v>0.42799999999999999</v>
      </c>
    </row>
    <row r="3041" spans="1:24">
      <c r="A3041" s="21" t="s">
        <v>5100</v>
      </c>
      <c r="B3041" t="s">
        <v>138</v>
      </c>
      <c r="C3041" t="s">
        <v>540</v>
      </c>
      <c r="D3041" t="s">
        <v>1766</v>
      </c>
      <c r="E3041" s="7" t="s">
        <v>198</v>
      </c>
      <c r="F3041" s="7" t="s">
        <v>198</v>
      </c>
      <c r="G3041" s="7" t="s">
        <v>198</v>
      </c>
      <c r="H3041" s="7" t="s">
        <v>20</v>
      </c>
      <c r="I3041" s="7" t="s">
        <v>5102</v>
      </c>
      <c r="J3041" s="7" t="s">
        <v>21</v>
      </c>
      <c r="L3041" t="s">
        <v>4390</v>
      </c>
      <c r="M3041" s="7" t="s">
        <v>22</v>
      </c>
      <c r="N3041" s="7" t="s">
        <v>23</v>
      </c>
      <c r="O3041" s="7" t="s">
        <v>27</v>
      </c>
      <c r="P3041" s="7" t="s">
        <v>5101</v>
      </c>
      <c r="Q3041" s="26">
        <v>21</v>
      </c>
      <c r="R3041" s="26">
        <v>1</v>
      </c>
      <c r="S3041" s="40">
        <v>1</v>
      </c>
      <c r="T3041" s="7"/>
      <c r="U3041" s="7" t="s">
        <v>2951</v>
      </c>
      <c r="V3041" s="7" t="str">
        <f>+IF(U3041="","",IF(U3041="FINES",CONCATENATE("R",IF(OR(B3041="16",B3041="21",B3041="22",B3041="23"),"16212223",IF(OR(B3041="15",B3041="17",B3041="24",B3041="25"),"15172425",B3041))),IF(U3041="CEBAS","UNICO",IF(VALUE(B3041)&lt;=11,"AMBA","INTERIOR"))))</f>
        <v>R10</v>
      </c>
      <c r="W3041" s="38" t="str">
        <f>+IF(U3041="","-",CONCATENATE(U3041,"_",V3041))</f>
        <v>FINES_R10</v>
      </c>
      <c r="X3041" s="42">
        <v>0.44600000000000001</v>
      </c>
    </row>
    <row r="3042" spans="1:24">
      <c r="A3042" s="21" t="s">
        <v>5100</v>
      </c>
      <c r="B3042" t="s">
        <v>138</v>
      </c>
      <c r="C3042" t="s">
        <v>2199</v>
      </c>
      <c r="D3042" t="s">
        <v>2200</v>
      </c>
      <c r="E3042" s="7" t="s">
        <v>198</v>
      </c>
      <c r="F3042" s="7" t="s">
        <v>198</v>
      </c>
      <c r="G3042" s="7" t="s">
        <v>198</v>
      </c>
      <c r="H3042" s="7" t="s">
        <v>20</v>
      </c>
      <c r="I3042" s="7" t="s">
        <v>5102</v>
      </c>
      <c r="J3042" s="7" t="s">
        <v>21</v>
      </c>
      <c r="L3042" t="s">
        <v>4401</v>
      </c>
      <c r="M3042" s="7" t="s">
        <v>22</v>
      </c>
      <c r="N3042" s="7" t="s">
        <v>23</v>
      </c>
      <c r="O3042" s="7" t="s">
        <v>27</v>
      </c>
      <c r="P3042" s="7" t="s">
        <v>5101</v>
      </c>
      <c r="Q3042" s="26">
        <v>71</v>
      </c>
      <c r="R3042" s="26">
        <v>3</v>
      </c>
      <c r="S3042" s="40">
        <v>1</v>
      </c>
      <c r="T3042" s="7"/>
      <c r="U3042" s="7" t="s">
        <v>2951</v>
      </c>
      <c r="V3042" s="7" t="str">
        <f>+IF(U3042="","",IF(U3042="FINES",CONCATENATE("R",IF(OR(B3042="16",B3042="21",B3042="22",B3042="23"),"16212223",IF(OR(B3042="15",B3042="17",B3042="24",B3042="25"),"15172425",B3042))),IF(U3042="CEBAS","UNICO",IF(VALUE(B3042)&lt;=11,"AMBA","INTERIOR"))))</f>
        <v>R10</v>
      </c>
      <c r="W3042" s="38" t="str">
        <f>+IF(U3042="","-",CONCATENATE(U3042,"_",V3042))</f>
        <v>FINES_R10</v>
      </c>
      <c r="X3042" s="42">
        <v>0.46500000000000002</v>
      </c>
    </row>
    <row r="3043" spans="1:24">
      <c r="A3043" s="21" t="s">
        <v>5100</v>
      </c>
      <c r="B3043" t="s">
        <v>138</v>
      </c>
      <c r="C3043" t="s">
        <v>643</v>
      </c>
      <c r="D3043" t="s">
        <v>645</v>
      </c>
      <c r="E3043" s="7" t="s">
        <v>198</v>
      </c>
      <c r="F3043" s="7" t="s">
        <v>198</v>
      </c>
      <c r="G3043" s="7" t="s">
        <v>198</v>
      </c>
      <c r="H3043" s="7" t="s">
        <v>20</v>
      </c>
      <c r="I3043" s="7" t="s">
        <v>5102</v>
      </c>
      <c r="J3043" s="7" t="s">
        <v>21</v>
      </c>
      <c r="L3043" t="s">
        <v>4283</v>
      </c>
      <c r="M3043" s="7" t="s">
        <v>22</v>
      </c>
      <c r="N3043" s="7" t="s">
        <v>23</v>
      </c>
      <c r="O3043" s="7" t="s">
        <v>27</v>
      </c>
      <c r="P3043" s="7" t="s">
        <v>5101</v>
      </c>
      <c r="Q3043" s="26">
        <v>39</v>
      </c>
      <c r="R3043" s="26">
        <v>2</v>
      </c>
      <c r="S3043" s="40">
        <v>1</v>
      </c>
      <c r="T3043" s="7"/>
      <c r="U3043" s="7" t="s">
        <v>2951</v>
      </c>
      <c r="V3043" s="7" t="str">
        <f>+IF(U3043="","",IF(U3043="FINES",CONCATENATE("R",IF(OR(B3043="16",B3043="21",B3043="22",B3043="23"),"16212223",IF(OR(B3043="15",B3043="17",B3043="24",B3043="25"),"15172425",B3043))),IF(U3043="CEBAS","UNICO",IF(VALUE(B3043)&lt;=11,"AMBA","INTERIOR"))))</f>
        <v>R10</v>
      </c>
      <c r="W3043" s="38" t="str">
        <f>+IF(U3043="","-",CONCATENATE(U3043,"_",V3043))</f>
        <v>FINES_R10</v>
      </c>
      <c r="X3043" s="42">
        <v>0.46700000000000003</v>
      </c>
    </row>
    <row r="3044" spans="1:24">
      <c r="A3044" s="21" t="s">
        <v>5100</v>
      </c>
      <c r="B3044" t="s">
        <v>138</v>
      </c>
      <c r="C3044" t="s">
        <v>1507</v>
      </c>
      <c r="D3044" t="s">
        <v>1508</v>
      </c>
      <c r="E3044" s="7" t="s">
        <v>198</v>
      </c>
      <c r="F3044" s="7" t="s">
        <v>198</v>
      </c>
      <c r="G3044" s="7" t="s">
        <v>198</v>
      </c>
      <c r="H3044" s="7" t="s">
        <v>20</v>
      </c>
      <c r="I3044" s="7" t="s">
        <v>5102</v>
      </c>
      <c r="J3044" s="7" t="s">
        <v>21</v>
      </c>
      <c r="L3044" t="s">
        <v>4366</v>
      </c>
      <c r="M3044" s="7" t="s">
        <v>22</v>
      </c>
      <c r="N3044" s="7" t="s">
        <v>23</v>
      </c>
      <c r="O3044" s="7" t="s">
        <v>27</v>
      </c>
      <c r="P3044" s="7" t="s">
        <v>5101</v>
      </c>
      <c r="Q3044" s="26">
        <v>94</v>
      </c>
      <c r="R3044" s="26">
        <v>3</v>
      </c>
      <c r="S3044" s="40">
        <v>1</v>
      </c>
      <c r="T3044" s="7"/>
      <c r="U3044" s="7" t="s">
        <v>2951</v>
      </c>
      <c r="V3044" s="7" t="str">
        <f>+IF(U3044="","",IF(U3044="FINES",CONCATENATE("R",IF(OR(B3044="16",B3044="21",B3044="22",B3044="23"),"16212223",IF(OR(B3044="15",B3044="17",B3044="24",B3044="25"),"15172425",B3044))),IF(U3044="CEBAS","UNICO",IF(VALUE(B3044)&lt;=11,"AMBA","INTERIOR"))))</f>
        <v>R10</v>
      </c>
      <c r="W3044" s="38" t="str">
        <f>+IF(U3044="","-",CONCATENATE(U3044,"_",V3044))</f>
        <v>FINES_R10</v>
      </c>
      <c r="X3044" s="42">
        <v>0.46899999999999997</v>
      </c>
    </row>
    <row r="3045" spans="1:24">
      <c r="A3045" s="21" t="s">
        <v>5100</v>
      </c>
      <c r="B3045" t="s">
        <v>138</v>
      </c>
      <c r="C3045" t="s">
        <v>522</v>
      </c>
      <c r="D3045" t="s">
        <v>1468</v>
      </c>
      <c r="E3045" s="7" t="s">
        <v>198</v>
      </c>
      <c r="F3045" s="7" t="s">
        <v>198</v>
      </c>
      <c r="G3045" s="7" t="s">
        <v>198</v>
      </c>
      <c r="H3045" s="7" t="s">
        <v>20</v>
      </c>
      <c r="I3045" s="7" t="s">
        <v>5102</v>
      </c>
      <c r="J3045" s="7" t="s">
        <v>21</v>
      </c>
      <c r="L3045" t="s">
        <v>4334</v>
      </c>
      <c r="M3045" s="7" t="s">
        <v>22</v>
      </c>
      <c r="N3045" s="7" t="s">
        <v>23</v>
      </c>
      <c r="O3045" s="7" t="s">
        <v>27</v>
      </c>
      <c r="P3045" s="7" t="s">
        <v>5101</v>
      </c>
      <c r="Q3045" s="26">
        <v>28</v>
      </c>
      <c r="R3045" s="26">
        <v>1</v>
      </c>
      <c r="S3045" s="40">
        <v>1</v>
      </c>
      <c r="T3045" s="7"/>
      <c r="U3045" s="7" t="s">
        <v>2951</v>
      </c>
      <c r="V3045" s="7" t="str">
        <f>+IF(U3045="","",IF(U3045="FINES",CONCATENATE("R",IF(OR(B3045="16",B3045="21",B3045="22",B3045="23"),"16212223",IF(OR(B3045="15",B3045="17",B3045="24",B3045="25"),"15172425",B3045))),IF(U3045="CEBAS","UNICO",IF(VALUE(B3045)&lt;=11,"AMBA","INTERIOR"))))</f>
        <v>R10</v>
      </c>
      <c r="W3045" s="38" t="str">
        <f>+IF(U3045="","-",CONCATENATE(U3045,"_",V3045))</f>
        <v>FINES_R10</v>
      </c>
      <c r="X3045" s="42">
        <v>0.47199999999999998</v>
      </c>
    </row>
    <row r="3046" spans="1:24">
      <c r="A3046" s="21" t="s">
        <v>5100</v>
      </c>
      <c r="B3046" t="s">
        <v>138</v>
      </c>
      <c r="C3046" t="s">
        <v>436</v>
      </c>
      <c r="D3046" t="s">
        <v>1067</v>
      </c>
      <c r="E3046" s="7" t="s">
        <v>198</v>
      </c>
      <c r="F3046" s="7" t="s">
        <v>198</v>
      </c>
      <c r="G3046" s="7" t="s">
        <v>198</v>
      </c>
      <c r="H3046" s="7" t="s">
        <v>20</v>
      </c>
      <c r="I3046" s="7" t="s">
        <v>5102</v>
      </c>
      <c r="J3046" s="7" t="s">
        <v>21</v>
      </c>
      <c r="L3046" t="s">
        <v>4324</v>
      </c>
      <c r="M3046" s="7" t="s">
        <v>22</v>
      </c>
      <c r="N3046" s="7" t="s">
        <v>23</v>
      </c>
      <c r="O3046" s="7" t="s">
        <v>27</v>
      </c>
      <c r="P3046" s="7" t="s">
        <v>5101</v>
      </c>
      <c r="Q3046" s="26">
        <v>14</v>
      </c>
      <c r="R3046" s="26">
        <v>1</v>
      </c>
      <c r="S3046" s="40">
        <v>1</v>
      </c>
      <c r="T3046" s="7"/>
      <c r="U3046" s="7" t="s">
        <v>2951</v>
      </c>
      <c r="V3046" s="7" t="str">
        <f>+IF(U3046="","",IF(U3046="FINES",CONCATENATE("R",IF(OR(B3046="16",B3046="21",B3046="22",B3046="23"),"16212223",IF(OR(B3046="15",B3046="17",B3046="24",B3046="25"),"15172425",B3046))),IF(U3046="CEBAS","UNICO",IF(VALUE(B3046)&lt;=11,"AMBA","INTERIOR"))))</f>
        <v>R10</v>
      </c>
      <c r="W3046" s="38" t="str">
        <f>+IF(U3046="","-",CONCATENATE(U3046,"_",V3046))</f>
        <v>FINES_R10</v>
      </c>
      <c r="X3046" s="42">
        <v>0.47399999999999998</v>
      </c>
    </row>
    <row r="3047" spans="1:24">
      <c r="A3047" s="21" t="s">
        <v>5100</v>
      </c>
      <c r="B3047" t="s">
        <v>138</v>
      </c>
      <c r="C3047" t="s">
        <v>522</v>
      </c>
      <c r="D3047" t="s">
        <v>1468</v>
      </c>
      <c r="E3047" s="7" t="s">
        <v>198</v>
      </c>
      <c r="F3047" s="7" t="s">
        <v>198</v>
      </c>
      <c r="G3047" s="7" t="s">
        <v>198</v>
      </c>
      <c r="H3047" s="7" t="s">
        <v>20</v>
      </c>
      <c r="I3047" s="7" t="s">
        <v>5102</v>
      </c>
      <c r="J3047" s="7" t="s">
        <v>21</v>
      </c>
      <c r="L3047" t="s">
        <v>4358</v>
      </c>
      <c r="M3047" s="7" t="s">
        <v>22</v>
      </c>
      <c r="N3047" s="7" t="s">
        <v>23</v>
      </c>
      <c r="O3047" s="7" t="s">
        <v>27</v>
      </c>
      <c r="P3047" s="7" t="s">
        <v>5101</v>
      </c>
      <c r="Q3047" s="26">
        <v>0</v>
      </c>
      <c r="R3047" s="26">
        <v>1</v>
      </c>
      <c r="S3047" s="40">
        <v>1</v>
      </c>
      <c r="T3047" s="7"/>
      <c r="U3047" s="7" t="s">
        <v>2951</v>
      </c>
      <c r="V3047" s="7" t="str">
        <f>+IF(U3047="","",IF(U3047="FINES",CONCATENATE("R",IF(OR(B3047="16",B3047="21",B3047="22",B3047="23"),"16212223",IF(OR(B3047="15",B3047="17",B3047="24",B3047="25"),"15172425",B3047))),IF(U3047="CEBAS","UNICO",IF(VALUE(B3047)&lt;=11,"AMBA","INTERIOR"))))</f>
        <v>R10</v>
      </c>
      <c r="W3047" s="38" t="str">
        <f>+IF(U3047="","-",CONCATENATE(U3047,"_",V3047))</f>
        <v>FINES_R10</v>
      </c>
      <c r="X3047" s="42">
        <v>0.498</v>
      </c>
    </row>
    <row r="3048" spans="1:24">
      <c r="A3048" s="21" t="s">
        <v>5100</v>
      </c>
      <c r="B3048" t="s">
        <v>138</v>
      </c>
      <c r="C3048" t="s">
        <v>436</v>
      </c>
      <c r="D3048" t="s">
        <v>1067</v>
      </c>
      <c r="E3048" s="7" t="s">
        <v>198</v>
      </c>
      <c r="F3048" s="7" t="s">
        <v>198</v>
      </c>
      <c r="G3048" s="7" t="s">
        <v>198</v>
      </c>
      <c r="H3048" s="7" t="s">
        <v>20</v>
      </c>
      <c r="I3048" s="7" t="s">
        <v>5102</v>
      </c>
      <c r="J3048" s="7" t="s">
        <v>21</v>
      </c>
      <c r="L3048" t="s">
        <v>4318</v>
      </c>
      <c r="M3048" s="7" t="s">
        <v>22</v>
      </c>
      <c r="N3048" s="7" t="s">
        <v>23</v>
      </c>
      <c r="O3048" s="7" t="s">
        <v>27</v>
      </c>
      <c r="P3048" s="7" t="s">
        <v>5101</v>
      </c>
      <c r="Q3048" s="26">
        <v>11</v>
      </c>
      <c r="R3048" s="26">
        <v>1</v>
      </c>
      <c r="S3048" s="40">
        <v>1</v>
      </c>
      <c r="T3048" s="7"/>
      <c r="U3048" s="7" t="s">
        <v>2951</v>
      </c>
      <c r="V3048" s="7" t="str">
        <f>+IF(U3048="","",IF(U3048="FINES",CONCATENATE("R",IF(OR(B3048="16",B3048="21",B3048="22",B3048="23"),"16212223",IF(OR(B3048="15",B3048="17",B3048="24",B3048="25"),"15172425",B3048))),IF(U3048="CEBAS","UNICO",IF(VALUE(B3048)&lt;=11,"AMBA","INTERIOR"))))</f>
        <v>R10</v>
      </c>
      <c r="W3048" s="38" t="str">
        <f>+IF(U3048="","-",CONCATENATE(U3048,"_",V3048))</f>
        <v>FINES_R10</v>
      </c>
      <c r="X3048" s="42">
        <v>0.502</v>
      </c>
    </row>
    <row r="3049" spans="1:24">
      <c r="A3049" s="21" t="s">
        <v>5100</v>
      </c>
      <c r="B3049" t="s">
        <v>138</v>
      </c>
      <c r="C3049" t="s">
        <v>522</v>
      </c>
      <c r="D3049" t="s">
        <v>1468</v>
      </c>
      <c r="E3049" s="7" t="s">
        <v>198</v>
      </c>
      <c r="F3049" s="7" t="s">
        <v>198</v>
      </c>
      <c r="G3049" s="7" t="s">
        <v>198</v>
      </c>
      <c r="H3049" s="7" t="s">
        <v>20</v>
      </c>
      <c r="I3049" s="7" t="s">
        <v>5102</v>
      </c>
      <c r="J3049" s="7" t="s">
        <v>21</v>
      </c>
      <c r="L3049" t="s">
        <v>4338</v>
      </c>
      <c r="M3049" s="7" t="s">
        <v>22</v>
      </c>
      <c r="N3049" s="7" t="s">
        <v>23</v>
      </c>
      <c r="O3049" s="7" t="s">
        <v>27</v>
      </c>
      <c r="P3049" s="7" t="s">
        <v>5101</v>
      </c>
      <c r="Q3049" s="26">
        <v>0</v>
      </c>
      <c r="R3049" s="26">
        <v>1</v>
      </c>
      <c r="S3049" s="40">
        <v>1</v>
      </c>
      <c r="T3049" s="7"/>
      <c r="U3049" s="7" t="s">
        <v>2951</v>
      </c>
      <c r="V3049" s="7" t="str">
        <f>+IF(U3049="","",IF(U3049="FINES",CONCATENATE("R",IF(OR(B3049="16",B3049="21",B3049="22",B3049="23"),"16212223",IF(OR(B3049="15",B3049="17",B3049="24",B3049="25"),"15172425",B3049))),IF(U3049="CEBAS","UNICO",IF(VALUE(B3049)&lt;=11,"AMBA","INTERIOR"))))</f>
        <v>R10</v>
      </c>
      <c r="W3049" s="38" t="str">
        <f>+IF(U3049="","-",CONCATENATE(U3049,"_",V3049))</f>
        <v>FINES_R10</v>
      </c>
      <c r="X3049" s="42">
        <v>0.51800000000000002</v>
      </c>
    </row>
    <row r="3050" spans="1:24">
      <c r="A3050" s="21" t="s">
        <v>5100</v>
      </c>
      <c r="B3050" t="s">
        <v>138</v>
      </c>
      <c r="C3050" t="s">
        <v>1321</v>
      </c>
      <c r="D3050" t="s">
        <v>1322</v>
      </c>
      <c r="E3050" s="7" t="s">
        <v>198</v>
      </c>
      <c r="F3050" s="7" t="s">
        <v>198</v>
      </c>
      <c r="G3050" s="7" t="s">
        <v>198</v>
      </c>
      <c r="H3050" s="7" t="s">
        <v>20</v>
      </c>
      <c r="I3050" s="7" t="s">
        <v>5102</v>
      </c>
      <c r="J3050" s="7" t="s">
        <v>21</v>
      </c>
      <c r="L3050" t="s">
        <v>4302</v>
      </c>
      <c r="M3050" s="7" t="s">
        <v>22</v>
      </c>
      <c r="N3050" s="7" t="s">
        <v>23</v>
      </c>
      <c r="O3050" s="7" t="s">
        <v>27</v>
      </c>
      <c r="P3050" s="7" t="s">
        <v>5101</v>
      </c>
      <c r="Q3050" s="26">
        <v>8</v>
      </c>
      <c r="R3050" s="26">
        <v>1</v>
      </c>
      <c r="S3050" s="40">
        <v>1</v>
      </c>
      <c r="T3050" s="7"/>
      <c r="U3050" s="7" t="s">
        <v>2951</v>
      </c>
      <c r="V3050" s="7" t="str">
        <f>+IF(U3050="","",IF(U3050="FINES",CONCATENATE("R",IF(OR(B3050="16",B3050="21",B3050="22",B3050="23"),"16212223",IF(OR(B3050="15",B3050="17",B3050="24",B3050="25"),"15172425",B3050))),IF(U3050="CEBAS","UNICO",IF(VALUE(B3050)&lt;=11,"AMBA","INTERIOR"))))</f>
        <v>R10</v>
      </c>
      <c r="W3050" s="38" t="str">
        <f>+IF(U3050="","-",CONCATENATE(U3050,"_",V3050))</f>
        <v>FINES_R10</v>
      </c>
      <c r="X3050" s="42">
        <v>0.52400000000000002</v>
      </c>
    </row>
    <row r="3051" spans="1:24">
      <c r="A3051" s="21" t="s">
        <v>5100</v>
      </c>
      <c r="B3051" t="s">
        <v>138</v>
      </c>
      <c r="C3051" t="s">
        <v>436</v>
      </c>
      <c r="D3051" t="s">
        <v>1067</v>
      </c>
      <c r="E3051" s="7" t="s">
        <v>198</v>
      </c>
      <c r="F3051" s="7" t="s">
        <v>198</v>
      </c>
      <c r="G3051" s="7" t="s">
        <v>198</v>
      </c>
      <c r="H3051" s="7" t="s">
        <v>20</v>
      </c>
      <c r="I3051" s="7" t="s">
        <v>5102</v>
      </c>
      <c r="J3051" s="7" t="s">
        <v>21</v>
      </c>
      <c r="L3051" t="s">
        <v>4311</v>
      </c>
      <c r="M3051" s="7" t="s">
        <v>22</v>
      </c>
      <c r="N3051" s="7" t="s">
        <v>23</v>
      </c>
      <c r="O3051" s="7" t="s">
        <v>27</v>
      </c>
      <c r="P3051" s="7" t="s">
        <v>5101</v>
      </c>
      <c r="Q3051" s="26">
        <v>13</v>
      </c>
      <c r="R3051" s="26">
        <v>1</v>
      </c>
      <c r="S3051" s="40">
        <v>1</v>
      </c>
      <c r="T3051" s="7"/>
      <c r="U3051" s="7" t="s">
        <v>2951</v>
      </c>
      <c r="V3051" s="7" t="str">
        <f>+IF(U3051="","",IF(U3051="FINES",CONCATENATE("R",IF(OR(B3051="16",B3051="21",B3051="22",B3051="23"),"16212223",IF(OR(B3051="15",B3051="17",B3051="24",B3051="25"),"15172425",B3051))),IF(U3051="CEBAS","UNICO",IF(VALUE(B3051)&lt;=11,"AMBA","INTERIOR"))))</f>
        <v>R10</v>
      </c>
      <c r="W3051" s="38" t="str">
        <f>+IF(U3051="","-",CONCATENATE(U3051,"_",V3051))</f>
        <v>FINES_R10</v>
      </c>
      <c r="X3051" s="42">
        <v>0.53</v>
      </c>
    </row>
    <row r="3052" spans="1:24">
      <c r="A3052" s="21" t="s">
        <v>5100</v>
      </c>
      <c r="B3052" t="s">
        <v>138</v>
      </c>
      <c r="C3052" t="s">
        <v>1507</v>
      </c>
      <c r="D3052" t="s">
        <v>1508</v>
      </c>
      <c r="E3052" s="7" t="s">
        <v>198</v>
      </c>
      <c r="F3052" s="7" t="s">
        <v>198</v>
      </c>
      <c r="G3052" s="7" t="s">
        <v>198</v>
      </c>
      <c r="H3052" s="7" t="s">
        <v>20</v>
      </c>
      <c r="I3052" s="7" t="s">
        <v>5102</v>
      </c>
      <c r="J3052" s="7" t="s">
        <v>21</v>
      </c>
      <c r="L3052" t="s">
        <v>4383</v>
      </c>
      <c r="M3052" s="7" t="s">
        <v>22</v>
      </c>
      <c r="N3052" s="7" t="s">
        <v>23</v>
      </c>
      <c r="O3052" s="7" t="s">
        <v>27</v>
      </c>
      <c r="P3052" s="7" t="s">
        <v>5101</v>
      </c>
      <c r="Q3052" s="26">
        <v>6</v>
      </c>
      <c r="R3052" s="26">
        <v>1</v>
      </c>
      <c r="S3052" s="40">
        <v>1</v>
      </c>
      <c r="T3052" s="7"/>
      <c r="U3052" s="7" t="s">
        <v>2951</v>
      </c>
      <c r="V3052" s="7" t="str">
        <f>+IF(U3052="","",IF(U3052="FINES",CONCATENATE("R",IF(OR(B3052="16",B3052="21",B3052="22",B3052="23"),"16212223",IF(OR(B3052="15",B3052="17",B3052="24",B3052="25"),"15172425",B3052))),IF(U3052="CEBAS","UNICO",IF(VALUE(B3052)&lt;=11,"AMBA","INTERIOR"))))</f>
        <v>R10</v>
      </c>
      <c r="W3052" s="38" t="str">
        <f>+IF(U3052="","-",CONCATENATE(U3052,"_",V3052))</f>
        <v>FINES_R10</v>
      </c>
      <c r="X3052" s="42">
        <v>0.53400000000000003</v>
      </c>
    </row>
    <row r="3053" spans="1:24">
      <c r="A3053" s="21" t="s">
        <v>5100</v>
      </c>
      <c r="B3053" t="s">
        <v>138</v>
      </c>
      <c r="C3053" t="s">
        <v>522</v>
      </c>
      <c r="D3053" t="s">
        <v>1468</v>
      </c>
      <c r="E3053" s="7" t="s">
        <v>198</v>
      </c>
      <c r="F3053" s="7" t="s">
        <v>198</v>
      </c>
      <c r="G3053" s="7" t="s">
        <v>198</v>
      </c>
      <c r="H3053" s="7" t="s">
        <v>20</v>
      </c>
      <c r="I3053" s="7" t="s">
        <v>5102</v>
      </c>
      <c r="J3053" s="7" t="s">
        <v>21</v>
      </c>
      <c r="L3053" t="s">
        <v>4335</v>
      </c>
      <c r="M3053" s="7" t="s">
        <v>22</v>
      </c>
      <c r="N3053" s="7" t="s">
        <v>23</v>
      </c>
      <c r="O3053" s="7" t="s">
        <v>27</v>
      </c>
      <c r="P3053" s="7" t="s">
        <v>5101</v>
      </c>
      <c r="Q3053" s="26">
        <v>14</v>
      </c>
      <c r="R3053" s="26">
        <v>1</v>
      </c>
      <c r="S3053" s="40">
        <v>1</v>
      </c>
      <c r="T3053" s="7"/>
      <c r="U3053" s="7" t="s">
        <v>2951</v>
      </c>
      <c r="V3053" s="7" t="str">
        <f>+IF(U3053="","",IF(U3053="FINES",CONCATENATE("R",IF(OR(B3053="16",B3053="21",B3053="22",B3053="23"),"16212223",IF(OR(B3053="15",B3053="17",B3053="24",B3053="25"),"15172425",B3053))),IF(U3053="CEBAS","UNICO",IF(VALUE(B3053)&lt;=11,"AMBA","INTERIOR"))))</f>
        <v>R10</v>
      </c>
      <c r="W3053" s="38" t="str">
        <f>+IF(U3053="","-",CONCATENATE(U3053,"_",V3053))</f>
        <v>FINES_R10</v>
      </c>
      <c r="X3053" s="42">
        <v>0.55100000000000005</v>
      </c>
    </row>
    <row r="3054" spans="1:24">
      <c r="A3054" s="21" t="s">
        <v>5100</v>
      </c>
      <c r="B3054" t="s">
        <v>138</v>
      </c>
      <c r="C3054" t="s">
        <v>522</v>
      </c>
      <c r="D3054" t="s">
        <v>1468</v>
      </c>
      <c r="E3054" s="7" t="s">
        <v>198</v>
      </c>
      <c r="F3054" s="7" t="s">
        <v>198</v>
      </c>
      <c r="G3054" s="7" t="s">
        <v>198</v>
      </c>
      <c r="H3054" s="7" t="s">
        <v>20</v>
      </c>
      <c r="I3054" s="7" t="s">
        <v>5102</v>
      </c>
      <c r="J3054" s="7" t="s">
        <v>21</v>
      </c>
      <c r="L3054" t="s">
        <v>4363</v>
      </c>
      <c r="M3054" s="7" t="s">
        <v>22</v>
      </c>
      <c r="N3054" s="7" t="s">
        <v>23</v>
      </c>
      <c r="O3054" s="7" t="s">
        <v>27</v>
      </c>
      <c r="P3054" s="7" t="s">
        <v>5101</v>
      </c>
      <c r="Q3054" s="26">
        <v>14</v>
      </c>
      <c r="R3054" s="26">
        <v>1</v>
      </c>
      <c r="S3054" s="40">
        <v>1</v>
      </c>
      <c r="T3054" s="7"/>
      <c r="U3054" s="7" t="s">
        <v>2951</v>
      </c>
      <c r="V3054" s="7" t="str">
        <f>+IF(U3054="","",IF(U3054="FINES",CONCATENATE("R",IF(OR(B3054="16",B3054="21",B3054="22",B3054="23"),"16212223",IF(OR(B3054="15",B3054="17",B3054="24",B3054="25"),"15172425",B3054))),IF(U3054="CEBAS","UNICO",IF(VALUE(B3054)&lt;=11,"AMBA","INTERIOR"))))</f>
        <v>R10</v>
      </c>
      <c r="W3054" s="38" t="str">
        <f>+IF(U3054="","-",CONCATENATE(U3054,"_",V3054))</f>
        <v>FINES_R10</v>
      </c>
      <c r="X3054" s="42">
        <v>0.56299999999999994</v>
      </c>
    </row>
    <row r="3055" spans="1:24">
      <c r="A3055" s="21" t="s">
        <v>5100</v>
      </c>
      <c r="B3055" t="s">
        <v>138</v>
      </c>
      <c r="C3055" t="s">
        <v>436</v>
      </c>
      <c r="D3055" t="s">
        <v>1067</v>
      </c>
      <c r="E3055" s="7" t="s">
        <v>198</v>
      </c>
      <c r="F3055" s="7" t="s">
        <v>198</v>
      </c>
      <c r="G3055" s="7" t="s">
        <v>198</v>
      </c>
      <c r="H3055" s="7" t="s">
        <v>20</v>
      </c>
      <c r="I3055" s="7" t="s">
        <v>5102</v>
      </c>
      <c r="J3055" s="7" t="s">
        <v>21</v>
      </c>
      <c r="L3055" t="s">
        <v>4328</v>
      </c>
      <c r="M3055" s="7" t="s">
        <v>22</v>
      </c>
      <c r="N3055" s="7" t="s">
        <v>23</v>
      </c>
      <c r="O3055" s="7" t="s">
        <v>27</v>
      </c>
      <c r="P3055" s="7" t="s">
        <v>5101</v>
      </c>
      <c r="Q3055" s="26">
        <v>57</v>
      </c>
      <c r="R3055" s="26">
        <v>2</v>
      </c>
      <c r="S3055" s="40">
        <v>1</v>
      </c>
      <c r="T3055" s="7"/>
      <c r="U3055" s="7" t="s">
        <v>2951</v>
      </c>
      <c r="V3055" s="7" t="str">
        <f>+IF(U3055="","",IF(U3055="FINES",CONCATENATE("R",IF(OR(B3055="16",B3055="21",B3055="22",B3055="23"),"16212223",IF(OR(B3055="15",B3055="17",B3055="24",B3055="25"),"15172425",B3055))),IF(U3055="CEBAS","UNICO",IF(VALUE(B3055)&lt;=11,"AMBA","INTERIOR"))))</f>
        <v>R10</v>
      </c>
      <c r="W3055" s="38" t="str">
        <f>+IF(U3055="","-",CONCATENATE(U3055,"_",V3055))</f>
        <v>FINES_R10</v>
      </c>
      <c r="X3055" s="42">
        <v>0.57699999999999996</v>
      </c>
    </row>
    <row r="3056" spans="1:24">
      <c r="A3056" s="21" t="s">
        <v>5100</v>
      </c>
      <c r="B3056" t="s">
        <v>138</v>
      </c>
      <c r="C3056" t="s">
        <v>643</v>
      </c>
      <c r="D3056" t="s">
        <v>645</v>
      </c>
      <c r="E3056" s="7" t="s">
        <v>198</v>
      </c>
      <c r="F3056" s="7" t="s">
        <v>198</v>
      </c>
      <c r="G3056" s="7" t="s">
        <v>198</v>
      </c>
      <c r="H3056" s="7" t="s">
        <v>20</v>
      </c>
      <c r="I3056" s="7" t="s">
        <v>5102</v>
      </c>
      <c r="J3056" s="7" t="s">
        <v>21</v>
      </c>
      <c r="L3056" t="s">
        <v>4289</v>
      </c>
      <c r="M3056" s="7" t="s">
        <v>22</v>
      </c>
      <c r="N3056" s="7" t="s">
        <v>23</v>
      </c>
      <c r="O3056" s="7" t="s">
        <v>27</v>
      </c>
      <c r="P3056" s="7" t="s">
        <v>5101</v>
      </c>
      <c r="Q3056" s="26">
        <v>14</v>
      </c>
      <c r="R3056" s="26">
        <v>2</v>
      </c>
      <c r="S3056" s="40">
        <v>1</v>
      </c>
      <c r="T3056" s="7"/>
      <c r="U3056" s="7" t="s">
        <v>2951</v>
      </c>
      <c r="V3056" s="7" t="str">
        <f>+IF(U3056="","",IF(U3056="FINES",CONCATENATE("R",IF(OR(B3056="16",B3056="21",B3056="22",B3056="23"),"16212223",IF(OR(B3056="15",B3056="17",B3056="24",B3056="25"),"15172425",B3056))),IF(U3056="CEBAS","UNICO",IF(VALUE(B3056)&lt;=11,"AMBA","INTERIOR"))))</f>
        <v>R10</v>
      </c>
      <c r="W3056" s="38" t="str">
        <f>+IF(U3056="","-",CONCATENATE(U3056,"_",V3056))</f>
        <v>FINES_R10</v>
      </c>
      <c r="X3056" s="42">
        <v>0.6</v>
      </c>
    </row>
    <row r="3057" spans="1:24">
      <c r="A3057" s="21" t="s">
        <v>5100</v>
      </c>
      <c r="B3057" t="s">
        <v>138</v>
      </c>
      <c r="C3057" t="s">
        <v>1920</v>
      </c>
      <c r="D3057" t="s">
        <v>1921</v>
      </c>
      <c r="E3057" s="7" t="s">
        <v>198</v>
      </c>
      <c r="F3057" s="7" t="s">
        <v>198</v>
      </c>
      <c r="G3057" s="7" t="s">
        <v>198</v>
      </c>
      <c r="H3057" s="7" t="s">
        <v>20</v>
      </c>
      <c r="I3057" s="7" t="s">
        <v>5102</v>
      </c>
      <c r="J3057" s="7" t="s">
        <v>21</v>
      </c>
      <c r="L3057" t="s">
        <v>4393</v>
      </c>
      <c r="M3057" s="7" t="s">
        <v>22</v>
      </c>
      <c r="N3057" s="7" t="s">
        <v>23</v>
      </c>
      <c r="O3057" s="7" t="s">
        <v>27</v>
      </c>
      <c r="P3057" s="7" t="s">
        <v>5101</v>
      </c>
      <c r="Q3057" s="26">
        <v>17</v>
      </c>
      <c r="R3057" s="26">
        <v>1</v>
      </c>
      <c r="S3057" s="40">
        <v>1</v>
      </c>
      <c r="T3057" s="7"/>
      <c r="U3057" s="7" t="s">
        <v>2951</v>
      </c>
      <c r="V3057" s="7" t="str">
        <f>+IF(U3057="","",IF(U3057="FINES",CONCATENATE("R",IF(OR(B3057="16",B3057="21",B3057="22",B3057="23"),"16212223",IF(OR(B3057="15",B3057="17",B3057="24",B3057="25"),"15172425",B3057))),IF(U3057="CEBAS","UNICO",IF(VALUE(B3057)&lt;=11,"AMBA","INTERIOR"))))</f>
        <v>R10</v>
      </c>
      <c r="W3057" s="38" t="str">
        <f>+IF(U3057="","-",CONCATENATE(U3057,"_",V3057))</f>
        <v>FINES_R10</v>
      </c>
      <c r="X3057" s="42">
        <v>0.60299999999999998</v>
      </c>
    </row>
    <row r="3058" spans="1:24">
      <c r="A3058" s="21" t="s">
        <v>5100</v>
      </c>
      <c r="B3058" t="s">
        <v>138</v>
      </c>
      <c r="C3058" t="s">
        <v>555</v>
      </c>
      <c r="D3058" t="s">
        <v>2392</v>
      </c>
      <c r="E3058" s="7" t="s">
        <v>198</v>
      </c>
      <c r="F3058" s="7" t="s">
        <v>198</v>
      </c>
      <c r="G3058" s="7" t="s">
        <v>198</v>
      </c>
      <c r="H3058" s="7" t="s">
        <v>20</v>
      </c>
      <c r="I3058" s="7" t="s">
        <v>5102</v>
      </c>
      <c r="J3058" s="7" t="s">
        <v>21</v>
      </c>
      <c r="L3058" t="s">
        <v>4407</v>
      </c>
      <c r="M3058" s="7" t="s">
        <v>22</v>
      </c>
      <c r="N3058" s="7" t="s">
        <v>23</v>
      </c>
      <c r="O3058" s="7" t="s">
        <v>27</v>
      </c>
      <c r="P3058" s="7" t="s">
        <v>5101</v>
      </c>
      <c r="Q3058" s="26">
        <v>17</v>
      </c>
      <c r="R3058" s="26">
        <v>1</v>
      </c>
      <c r="S3058" s="40">
        <v>1</v>
      </c>
      <c r="T3058" s="7"/>
      <c r="U3058" s="7" t="s">
        <v>2951</v>
      </c>
      <c r="V3058" s="7" t="str">
        <f>+IF(U3058="","",IF(U3058="FINES",CONCATENATE("R",IF(OR(B3058="16",B3058="21",B3058="22",B3058="23"),"16212223",IF(OR(B3058="15",B3058="17",B3058="24",B3058="25"),"15172425",B3058))),IF(U3058="CEBAS","UNICO",IF(VALUE(B3058)&lt;=11,"AMBA","INTERIOR"))))</f>
        <v>R10</v>
      </c>
      <c r="W3058" s="38" t="str">
        <f>+IF(U3058="","-",CONCATENATE(U3058,"_",V3058))</f>
        <v>FINES_R10</v>
      </c>
      <c r="X3058" s="42">
        <v>0.60399999999999998</v>
      </c>
    </row>
    <row r="3059" spans="1:24">
      <c r="A3059" s="21" t="s">
        <v>5100</v>
      </c>
      <c r="B3059" t="s">
        <v>138</v>
      </c>
      <c r="C3059" t="s">
        <v>540</v>
      </c>
      <c r="D3059" t="s">
        <v>1766</v>
      </c>
      <c r="E3059" s="7" t="s">
        <v>198</v>
      </c>
      <c r="F3059" s="7" t="s">
        <v>198</v>
      </c>
      <c r="G3059" s="7" t="s">
        <v>198</v>
      </c>
      <c r="H3059" s="7" t="s">
        <v>20</v>
      </c>
      <c r="I3059" s="7" t="s">
        <v>5102</v>
      </c>
      <c r="J3059" s="7" t="s">
        <v>21</v>
      </c>
      <c r="L3059" t="s">
        <v>4392</v>
      </c>
      <c r="M3059" s="7" t="s">
        <v>22</v>
      </c>
      <c r="N3059" s="7" t="s">
        <v>23</v>
      </c>
      <c r="O3059" s="7" t="s">
        <v>27</v>
      </c>
      <c r="P3059" s="7" t="s">
        <v>5101</v>
      </c>
      <c r="Q3059" s="26">
        <v>15</v>
      </c>
      <c r="R3059" s="26">
        <v>1</v>
      </c>
      <c r="S3059" s="40">
        <v>1</v>
      </c>
      <c r="T3059" s="7"/>
      <c r="U3059" s="7" t="s">
        <v>2951</v>
      </c>
      <c r="V3059" s="7" t="str">
        <f>+IF(U3059="","",IF(U3059="FINES",CONCATENATE("R",IF(OR(B3059="16",B3059="21",B3059="22",B3059="23"),"16212223",IF(OR(B3059="15",B3059="17",B3059="24",B3059="25"),"15172425",B3059))),IF(U3059="CEBAS","UNICO",IF(VALUE(B3059)&lt;=11,"AMBA","INTERIOR"))))</f>
        <v>R10</v>
      </c>
      <c r="W3059" s="38" t="str">
        <f>+IF(U3059="","-",CONCATENATE(U3059,"_",V3059))</f>
        <v>FINES_R10</v>
      </c>
      <c r="X3059" s="42">
        <v>0.61299999999999999</v>
      </c>
    </row>
    <row r="3060" spans="1:24">
      <c r="A3060" s="21" t="s">
        <v>5100</v>
      </c>
      <c r="B3060" t="s">
        <v>138</v>
      </c>
      <c r="C3060" t="s">
        <v>522</v>
      </c>
      <c r="D3060" t="s">
        <v>1468</v>
      </c>
      <c r="E3060" s="7" t="s">
        <v>198</v>
      </c>
      <c r="F3060" s="7" t="s">
        <v>198</v>
      </c>
      <c r="G3060" s="7" t="s">
        <v>198</v>
      </c>
      <c r="H3060" s="7" t="s">
        <v>20</v>
      </c>
      <c r="I3060" s="7" t="s">
        <v>5102</v>
      </c>
      <c r="J3060" s="7" t="s">
        <v>21</v>
      </c>
      <c r="L3060" t="s">
        <v>4357</v>
      </c>
      <c r="M3060" s="7" t="s">
        <v>22</v>
      </c>
      <c r="N3060" s="7" t="s">
        <v>23</v>
      </c>
      <c r="O3060" s="7" t="s">
        <v>27</v>
      </c>
      <c r="P3060" s="7" t="s">
        <v>5101</v>
      </c>
      <c r="Q3060" s="26">
        <v>15</v>
      </c>
      <c r="R3060" s="26">
        <v>1</v>
      </c>
      <c r="S3060" s="40">
        <v>1</v>
      </c>
      <c r="T3060" s="7"/>
      <c r="U3060" s="7" t="s">
        <v>2951</v>
      </c>
      <c r="V3060" s="7" t="str">
        <f>+IF(U3060="","",IF(U3060="FINES",CONCATENATE("R",IF(OR(B3060="16",B3060="21",B3060="22",B3060="23"),"16212223",IF(OR(B3060="15",B3060="17",B3060="24",B3060="25"),"15172425",B3060))),IF(U3060="CEBAS","UNICO",IF(VALUE(B3060)&lt;=11,"AMBA","INTERIOR"))))</f>
        <v>R10</v>
      </c>
      <c r="W3060" s="38" t="str">
        <f>+IF(U3060="","-",CONCATENATE(U3060,"_",V3060))</f>
        <v>FINES_R10</v>
      </c>
      <c r="X3060" s="42">
        <v>0.62</v>
      </c>
    </row>
    <row r="3061" spans="1:24">
      <c r="A3061" s="21" t="s">
        <v>5100</v>
      </c>
      <c r="B3061" t="s">
        <v>138</v>
      </c>
      <c r="C3061" t="s">
        <v>522</v>
      </c>
      <c r="D3061" t="s">
        <v>1468</v>
      </c>
      <c r="E3061" s="7" t="s">
        <v>198</v>
      </c>
      <c r="F3061" s="7" t="s">
        <v>198</v>
      </c>
      <c r="G3061" s="7" t="s">
        <v>198</v>
      </c>
      <c r="H3061" s="7" t="s">
        <v>20</v>
      </c>
      <c r="I3061" s="7" t="s">
        <v>5102</v>
      </c>
      <c r="J3061" s="7" t="s">
        <v>21</v>
      </c>
      <c r="L3061" t="s">
        <v>4336</v>
      </c>
      <c r="M3061" s="7" t="s">
        <v>22</v>
      </c>
      <c r="N3061" s="7" t="s">
        <v>23</v>
      </c>
      <c r="O3061" s="7" t="s">
        <v>27</v>
      </c>
      <c r="P3061" s="7" t="s">
        <v>5101</v>
      </c>
      <c r="Q3061" s="26">
        <v>43</v>
      </c>
      <c r="R3061" s="26">
        <v>3</v>
      </c>
      <c r="S3061" s="40">
        <v>1</v>
      </c>
      <c r="T3061" s="7"/>
      <c r="U3061" s="7" t="s">
        <v>2951</v>
      </c>
      <c r="V3061" s="7" t="str">
        <f>+IF(U3061="","",IF(U3061="FINES",CONCATENATE("R",IF(OR(B3061="16",B3061="21",B3061="22",B3061="23"),"16212223",IF(OR(B3061="15",B3061="17",B3061="24",B3061="25"),"15172425",B3061))),IF(U3061="CEBAS","UNICO",IF(VALUE(B3061)&lt;=11,"AMBA","INTERIOR"))))</f>
        <v>R10</v>
      </c>
      <c r="W3061" s="38" t="str">
        <f>+IF(U3061="","-",CONCATENATE(U3061,"_",V3061))</f>
        <v>FINES_R10</v>
      </c>
      <c r="X3061" s="42">
        <v>0.63300000000000001</v>
      </c>
    </row>
    <row r="3062" spans="1:24">
      <c r="A3062" s="21" t="s">
        <v>5100</v>
      </c>
      <c r="B3062" t="s">
        <v>138</v>
      </c>
      <c r="C3062" t="s">
        <v>522</v>
      </c>
      <c r="D3062" t="s">
        <v>1468</v>
      </c>
      <c r="E3062" s="7" t="s">
        <v>198</v>
      </c>
      <c r="F3062" s="7" t="s">
        <v>198</v>
      </c>
      <c r="G3062" s="7" t="s">
        <v>198</v>
      </c>
      <c r="H3062" s="7" t="s">
        <v>20</v>
      </c>
      <c r="I3062" s="7" t="s">
        <v>5102</v>
      </c>
      <c r="J3062" s="7" t="s">
        <v>21</v>
      </c>
      <c r="L3062" t="s">
        <v>4356</v>
      </c>
      <c r="M3062" s="7" t="s">
        <v>22</v>
      </c>
      <c r="N3062" s="7" t="s">
        <v>23</v>
      </c>
      <c r="O3062" s="7" t="s">
        <v>27</v>
      </c>
      <c r="P3062" s="7" t="s">
        <v>5101</v>
      </c>
      <c r="Q3062" s="26">
        <v>16</v>
      </c>
      <c r="R3062" s="26">
        <v>1</v>
      </c>
      <c r="S3062" s="40">
        <v>1</v>
      </c>
      <c r="T3062" s="7"/>
      <c r="U3062" s="7" t="s">
        <v>2951</v>
      </c>
      <c r="V3062" s="7" t="str">
        <f>+IF(U3062="","",IF(U3062="FINES",CONCATENATE("R",IF(OR(B3062="16",B3062="21",B3062="22",B3062="23"),"16212223",IF(OR(B3062="15",B3062="17",B3062="24",B3062="25"),"15172425",B3062))),IF(U3062="CEBAS","UNICO",IF(VALUE(B3062)&lt;=11,"AMBA","INTERIOR"))))</f>
        <v>R10</v>
      </c>
      <c r="W3062" s="38" t="str">
        <f>+IF(U3062="","-",CONCATENATE(U3062,"_",V3062))</f>
        <v>FINES_R10</v>
      </c>
      <c r="X3062" s="42">
        <v>0.64200000000000002</v>
      </c>
    </row>
    <row r="3063" spans="1:24">
      <c r="A3063" s="21" t="s">
        <v>5100</v>
      </c>
      <c r="B3063" t="s">
        <v>138</v>
      </c>
      <c r="C3063" t="s">
        <v>555</v>
      </c>
      <c r="D3063" t="s">
        <v>2392</v>
      </c>
      <c r="E3063" s="7" t="s">
        <v>198</v>
      </c>
      <c r="F3063" s="7" t="s">
        <v>198</v>
      </c>
      <c r="G3063" s="7" t="s">
        <v>198</v>
      </c>
      <c r="H3063" s="7" t="s">
        <v>20</v>
      </c>
      <c r="I3063" s="7" t="s">
        <v>5102</v>
      </c>
      <c r="J3063" s="7" t="s">
        <v>21</v>
      </c>
      <c r="L3063" t="s">
        <v>4408</v>
      </c>
      <c r="M3063" s="7" t="s">
        <v>22</v>
      </c>
      <c r="N3063" s="7" t="s">
        <v>23</v>
      </c>
      <c r="O3063" s="7" t="s">
        <v>27</v>
      </c>
      <c r="P3063" s="7" t="s">
        <v>5101</v>
      </c>
      <c r="Q3063" s="26">
        <v>18</v>
      </c>
      <c r="R3063" s="26">
        <v>1</v>
      </c>
      <c r="S3063" s="40">
        <v>1</v>
      </c>
      <c r="T3063" s="7"/>
      <c r="U3063" s="7" t="s">
        <v>2951</v>
      </c>
      <c r="V3063" s="7" t="str">
        <f>+IF(U3063="","",IF(U3063="FINES",CONCATENATE("R",IF(OR(B3063="16",B3063="21",B3063="22",B3063="23"),"16212223",IF(OR(B3063="15",B3063="17",B3063="24",B3063="25"),"15172425",B3063))),IF(U3063="CEBAS","UNICO",IF(VALUE(B3063)&lt;=11,"AMBA","INTERIOR"))))</f>
        <v>R10</v>
      </c>
      <c r="W3063" s="38" t="str">
        <f>+IF(U3063="","-",CONCATENATE(U3063,"_",V3063))</f>
        <v>FINES_R10</v>
      </c>
      <c r="X3063" s="42">
        <v>0.65100000000000002</v>
      </c>
    </row>
    <row r="3064" spans="1:24">
      <c r="A3064" s="21" t="s">
        <v>5100</v>
      </c>
      <c r="B3064" t="s">
        <v>138</v>
      </c>
      <c r="C3064" t="s">
        <v>522</v>
      </c>
      <c r="D3064" t="s">
        <v>1468</v>
      </c>
      <c r="E3064" s="7" t="s">
        <v>198</v>
      </c>
      <c r="F3064" s="7" t="s">
        <v>198</v>
      </c>
      <c r="G3064" s="7" t="s">
        <v>198</v>
      </c>
      <c r="H3064" s="7" t="s">
        <v>20</v>
      </c>
      <c r="I3064" s="7" t="s">
        <v>5102</v>
      </c>
      <c r="J3064" s="7" t="s">
        <v>21</v>
      </c>
      <c r="L3064" t="s">
        <v>4340</v>
      </c>
      <c r="M3064" s="7" t="s">
        <v>22</v>
      </c>
      <c r="N3064" s="7" t="s">
        <v>23</v>
      </c>
      <c r="O3064" s="7" t="s">
        <v>27</v>
      </c>
      <c r="P3064" s="7" t="s">
        <v>5101</v>
      </c>
      <c r="Q3064" s="26">
        <v>16</v>
      </c>
      <c r="R3064" s="26">
        <v>1</v>
      </c>
      <c r="S3064" s="40">
        <v>1</v>
      </c>
      <c r="T3064" s="7"/>
      <c r="U3064" s="7" t="s">
        <v>2951</v>
      </c>
      <c r="V3064" s="7" t="str">
        <f>+IF(U3064="","",IF(U3064="FINES",CONCATENATE("R",IF(OR(B3064="16",B3064="21",B3064="22",B3064="23"),"16212223",IF(OR(B3064="15",B3064="17",B3064="24",B3064="25"),"15172425",B3064))),IF(U3064="CEBAS","UNICO",IF(VALUE(B3064)&lt;=11,"AMBA","INTERIOR"))))</f>
        <v>R10</v>
      </c>
      <c r="W3064" s="38" t="str">
        <f>+IF(U3064="","-",CONCATENATE(U3064,"_",V3064))</f>
        <v>FINES_R10</v>
      </c>
      <c r="X3064" s="42">
        <v>0.65300000000000002</v>
      </c>
    </row>
    <row r="3065" spans="1:24">
      <c r="A3065" s="21" t="s">
        <v>5100</v>
      </c>
      <c r="B3065" t="s">
        <v>138</v>
      </c>
      <c r="C3065" t="s">
        <v>540</v>
      </c>
      <c r="D3065" t="s">
        <v>1766</v>
      </c>
      <c r="E3065" s="7" t="s">
        <v>198</v>
      </c>
      <c r="F3065" s="7" t="s">
        <v>198</v>
      </c>
      <c r="G3065" s="7" t="s">
        <v>198</v>
      </c>
      <c r="H3065" s="7" t="s">
        <v>20</v>
      </c>
      <c r="I3065" s="7" t="s">
        <v>5102</v>
      </c>
      <c r="J3065" s="7" t="s">
        <v>21</v>
      </c>
      <c r="L3065" t="s">
        <v>4387</v>
      </c>
      <c r="M3065" s="7" t="s">
        <v>22</v>
      </c>
      <c r="N3065" s="7" t="s">
        <v>23</v>
      </c>
      <c r="O3065" s="7" t="s">
        <v>27</v>
      </c>
      <c r="P3065" s="7" t="s">
        <v>5101</v>
      </c>
      <c r="Q3065" s="26">
        <v>18</v>
      </c>
      <c r="R3065" s="26">
        <v>1</v>
      </c>
      <c r="S3065" s="40">
        <v>1</v>
      </c>
      <c r="T3065" s="7"/>
      <c r="U3065" s="7" t="s">
        <v>2951</v>
      </c>
      <c r="V3065" s="7" t="str">
        <f>+IF(U3065="","",IF(U3065="FINES",CONCATENATE("R",IF(OR(B3065="16",B3065="21",B3065="22",B3065="23"),"16212223",IF(OR(B3065="15",B3065="17",B3065="24",B3065="25"),"15172425",B3065))),IF(U3065="CEBAS","UNICO",IF(VALUE(B3065)&lt;=11,"AMBA","INTERIOR"))))</f>
        <v>R10</v>
      </c>
      <c r="W3065" s="38" t="str">
        <f>+IF(U3065="","-",CONCATENATE(U3065,"_",V3065))</f>
        <v>FINES_R10</v>
      </c>
      <c r="X3065" s="42">
        <v>0.66400000000000003</v>
      </c>
    </row>
    <row r="3066" spans="1:24">
      <c r="A3066" s="21" t="s">
        <v>5100</v>
      </c>
      <c r="B3066" t="s">
        <v>138</v>
      </c>
      <c r="C3066" t="s">
        <v>1920</v>
      </c>
      <c r="D3066" t="s">
        <v>1921</v>
      </c>
      <c r="E3066" s="7" t="s">
        <v>198</v>
      </c>
      <c r="F3066" s="7" t="s">
        <v>198</v>
      </c>
      <c r="G3066" s="7" t="s">
        <v>198</v>
      </c>
      <c r="H3066" s="7" t="s">
        <v>20</v>
      </c>
      <c r="I3066" s="7" t="s">
        <v>5102</v>
      </c>
      <c r="J3066" s="7" t="s">
        <v>21</v>
      </c>
      <c r="L3066" t="s">
        <v>4398</v>
      </c>
      <c r="M3066" s="7" t="s">
        <v>22</v>
      </c>
      <c r="N3066" s="7" t="s">
        <v>23</v>
      </c>
      <c r="O3066" s="7" t="s">
        <v>27</v>
      </c>
      <c r="P3066" s="7" t="s">
        <v>5101</v>
      </c>
      <c r="Q3066" s="26">
        <v>72</v>
      </c>
      <c r="R3066" s="26">
        <v>3</v>
      </c>
      <c r="S3066" s="40">
        <v>1</v>
      </c>
      <c r="T3066" s="7"/>
      <c r="U3066" s="7" t="s">
        <v>2951</v>
      </c>
      <c r="V3066" s="7" t="str">
        <f>+IF(U3066="","",IF(U3066="FINES",CONCATENATE("R",IF(OR(B3066="16",B3066="21",B3066="22",B3066="23"),"16212223",IF(OR(B3066="15",B3066="17",B3066="24",B3066="25"),"15172425",B3066))),IF(U3066="CEBAS","UNICO",IF(VALUE(B3066)&lt;=11,"AMBA","INTERIOR"))))</f>
        <v>R10</v>
      </c>
      <c r="W3066" s="38" t="str">
        <f>+IF(U3066="","-",CONCATENATE(U3066,"_",V3066))</f>
        <v>FINES_R10</v>
      </c>
      <c r="X3066" s="42">
        <v>0.67100000000000004</v>
      </c>
    </row>
    <row r="3067" spans="1:24">
      <c r="A3067" s="21" t="s">
        <v>5100</v>
      </c>
      <c r="B3067" t="s">
        <v>138</v>
      </c>
      <c r="C3067" t="s">
        <v>555</v>
      </c>
      <c r="D3067" t="s">
        <v>2392</v>
      </c>
      <c r="E3067" s="7" t="s">
        <v>198</v>
      </c>
      <c r="F3067" s="7" t="s">
        <v>198</v>
      </c>
      <c r="G3067" s="7" t="s">
        <v>198</v>
      </c>
      <c r="H3067" s="7" t="s">
        <v>20</v>
      </c>
      <c r="I3067" s="7" t="s">
        <v>5102</v>
      </c>
      <c r="J3067" s="7" t="s">
        <v>21</v>
      </c>
      <c r="L3067" t="s">
        <v>4409</v>
      </c>
      <c r="M3067" s="7" t="s">
        <v>22</v>
      </c>
      <c r="N3067" s="7" t="s">
        <v>23</v>
      </c>
      <c r="O3067" s="7" t="s">
        <v>27</v>
      </c>
      <c r="P3067" s="7" t="s">
        <v>5101</v>
      </c>
      <c r="Q3067" s="26">
        <v>49</v>
      </c>
      <c r="R3067" s="26">
        <v>3</v>
      </c>
      <c r="S3067" s="40">
        <v>1</v>
      </c>
      <c r="T3067" s="7"/>
      <c r="U3067" s="7" t="s">
        <v>2951</v>
      </c>
      <c r="V3067" s="7" t="str">
        <f>+IF(U3067="","",IF(U3067="FINES",CONCATENATE("R",IF(OR(B3067="16",B3067="21",B3067="22",B3067="23"),"16212223",IF(OR(B3067="15",B3067="17",B3067="24",B3067="25"),"15172425",B3067))),IF(U3067="CEBAS","UNICO",IF(VALUE(B3067)&lt;=11,"AMBA","INTERIOR"))))</f>
        <v>R10</v>
      </c>
      <c r="W3067" s="38" t="str">
        <f>+IF(U3067="","-",CONCATENATE(U3067,"_",V3067))</f>
        <v>FINES_R10</v>
      </c>
      <c r="X3067" s="42">
        <v>0.67700000000000005</v>
      </c>
    </row>
    <row r="3068" spans="1:24">
      <c r="A3068" s="21" t="s">
        <v>5100</v>
      </c>
      <c r="B3068" t="s">
        <v>138</v>
      </c>
      <c r="C3068" t="s">
        <v>1920</v>
      </c>
      <c r="D3068" t="s">
        <v>1921</v>
      </c>
      <c r="E3068" s="7" t="s">
        <v>198</v>
      </c>
      <c r="F3068" s="7" t="s">
        <v>198</v>
      </c>
      <c r="G3068" s="7" t="s">
        <v>198</v>
      </c>
      <c r="H3068" s="7" t="s">
        <v>20</v>
      </c>
      <c r="I3068" s="7" t="s">
        <v>5102</v>
      </c>
      <c r="J3068" s="7" t="s">
        <v>21</v>
      </c>
      <c r="L3068" t="s">
        <v>4400</v>
      </c>
      <c r="M3068" s="7" t="s">
        <v>22</v>
      </c>
      <c r="N3068" s="7" t="s">
        <v>23</v>
      </c>
      <c r="O3068" s="7" t="s">
        <v>27</v>
      </c>
      <c r="P3068" s="7" t="s">
        <v>5101</v>
      </c>
      <c r="Q3068" s="26">
        <v>30</v>
      </c>
      <c r="R3068" s="26">
        <v>1</v>
      </c>
      <c r="S3068" s="40">
        <v>1</v>
      </c>
      <c r="T3068" s="7"/>
      <c r="U3068" s="7" t="s">
        <v>2951</v>
      </c>
      <c r="V3068" s="7" t="str">
        <f>+IF(U3068="","",IF(U3068="FINES",CONCATENATE("R",IF(OR(B3068="16",B3068="21",B3068="22",B3068="23"),"16212223",IF(OR(B3068="15",B3068="17",B3068="24",B3068="25"),"15172425",B3068))),IF(U3068="CEBAS","UNICO",IF(VALUE(B3068)&lt;=11,"AMBA","INTERIOR"))))</f>
        <v>R10</v>
      </c>
      <c r="W3068" s="38" t="str">
        <f>+IF(U3068="","-",CONCATENATE(U3068,"_",V3068))</f>
        <v>FINES_R10</v>
      </c>
      <c r="X3068" s="42">
        <v>0.68400000000000005</v>
      </c>
    </row>
    <row r="3069" spans="1:24">
      <c r="A3069" s="21" t="s">
        <v>5100</v>
      </c>
      <c r="B3069" t="s">
        <v>138</v>
      </c>
      <c r="C3069" t="s">
        <v>540</v>
      </c>
      <c r="D3069" t="s">
        <v>1766</v>
      </c>
      <c r="E3069" s="7" t="s">
        <v>198</v>
      </c>
      <c r="F3069" s="7" t="s">
        <v>198</v>
      </c>
      <c r="G3069" s="7" t="s">
        <v>198</v>
      </c>
      <c r="H3069" s="7" t="s">
        <v>20</v>
      </c>
      <c r="I3069" s="7" t="s">
        <v>5102</v>
      </c>
      <c r="J3069" s="7" t="s">
        <v>21</v>
      </c>
      <c r="L3069" t="s">
        <v>4384</v>
      </c>
      <c r="M3069" s="7" t="s">
        <v>22</v>
      </c>
      <c r="N3069" s="7" t="s">
        <v>23</v>
      </c>
      <c r="O3069" s="7" t="s">
        <v>27</v>
      </c>
      <c r="P3069" s="7" t="s">
        <v>5101</v>
      </c>
      <c r="Q3069" s="26">
        <v>17</v>
      </c>
      <c r="R3069" s="26">
        <v>1</v>
      </c>
      <c r="S3069" s="40">
        <v>1</v>
      </c>
      <c r="T3069" s="7"/>
      <c r="U3069" s="7" t="s">
        <v>2951</v>
      </c>
      <c r="V3069" s="7" t="str">
        <f>+IF(U3069="","",IF(U3069="FINES",CONCATENATE("R",IF(OR(B3069="16",B3069="21",B3069="22",B3069="23"),"16212223",IF(OR(B3069="15",B3069="17",B3069="24",B3069="25"),"15172425",B3069))),IF(U3069="CEBAS","UNICO",IF(VALUE(B3069)&lt;=11,"AMBA","INTERIOR"))))</f>
        <v>R10</v>
      </c>
      <c r="W3069" s="38" t="str">
        <f>+IF(U3069="","-",CONCATENATE(U3069,"_",V3069))</f>
        <v>FINES_R10</v>
      </c>
      <c r="X3069" s="42">
        <v>0.70799999999999996</v>
      </c>
    </row>
    <row r="3070" spans="1:24">
      <c r="A3070" s="21" t="s">
        <v>5100</v>
      </c>
      <c r="B3070" t="s">
        <v>138</v>
      </c>
      <c r="C3070" t="s">
        <v>522</v>
      </c>
      <c r="D3070" t="s">
        <v>1468</v>
      </c>
      <c r="E3070" s="7" t="s">
        <v>198</v>
      </c>
      <c r="F3070" s="7" t="s">
        <v>198</v>
      </c>
      <c r="G3070" s="7" t="s">
        <v>198</v>
      </c>
      <c r="H3070" s="7" t="s">
        <v>20</v>
      </c>
      <c r="I3070" s="7" t="s">
        <v>5102</v>
      </c>
      <c r="J3070" s="7" t="s">
        <v>21</v>
      </c>
      <c r="L3070" t="s">
        <v>4342</v>
      </c>
      <c r="M3070" s="7" t="s">
        <v>22</v>
      </c>
      <c r="N3070" s="7" t="s">
        <v>23</v>
      </c>
      <c r="O3070" s="7" t="s">
        <v>27</v>
      </c>
      <c r="P3070" s="7" t="s">
        <v>5101</v>
      </c>
      <c r="Q3070" s="26">
        <v>0</v>
      </c>
      <c r="R3070" s="26">
        <v>1</v>
      </c>
      <c r="S3070" s="40">
        <v>1</v>
      </c>
      <c r="T3070" s="7"/>
      <c r="U3070" s="7" t="s">
        <v>2951</v>
      </c>
      <c r="V3070" s="7" t="str">
        <f>+IF(U3070="","",IF(U3070="FINES",CONCATENATE("R",IF(OR(B3070="16",B3070="21",B3070="22",B3070="23"),"16212223",IF(OR(B3070="15",B3070="17",B3070="24",B3070="25"),"15172425",B3070))),IF(U3070="CEBAS","UNICO",IF(VALUE(B3070)&lt;=11,"AMBA","INTERIOR"))))</f>
        <v>R10</v>
      </c>
      <c r="W3070" s="38" t="str">
        <f>+IF(U3070="","-",CONCATENATE(U3070,"_",V3070))</f>
        <v>FINES_R10</v>
      </c>
      <c r="X3070" s="42">
        <v>0.71</v>
      </c>
    </row>
    <row r="3071" spans="1:24">
      <c r="A3071" s="21" t="s">
        <v>5100</v>
      </c>
      <c r="B3071" t="s">
        <v>138</v>
      </c>
      <c r="C3071" t="s">
        <v>522</v>
      </c>
      <c r="D3071" t="s">
        <v>1468</v>
      </c>
      <c r="E3071" s="7" t="s">
        <v>198</v>
      </c>
      <c r="F3071" s="7" t="s">
        <v>198</v>
      </c>
      <c r="G3071" s="7" t="s">
        <v>198</v>
      </c>
      <c r="H3071" s="7" t="s">
        <v>20</v>
      </c>
      <c r="I3071" s="7" t="s">
        <v>5102</v>
      </c>
      <c r="J3071" s="7" t="s">
        <v>21</v>
      </c>
      <c r="L3071" t="s">
        <v>4353</v>
      </c>
      <c r="M3071" s="7" t="s">
        <v>22</v>
      </c>
      <c r="N3071" s="7" t="s">
        <v>23</v>
      </c>
      <c r="O3071" s="7" t="s">
        <v>27</v>
      </c>
      <c r="P3071" s="7" t="s">
        <v>5101</v>
      </c>
      <c r="Q3071" s="26">
        <v>15</v>
      </c>
      <c r="R3071" s="26">
        <v>1</v>
      </c>
      <c r="S3071" s="40">
        <v>1</v>
      </c>
      <c r="T3071" s="7"/>
      <c r="U3071" s="7" t="s">
        <v>2951</v>
      </c>
      <c r="V3071" s="7" t="str">
        <f>+IF(U3071="","",IF(U3071="FINES",CONCATENATE("R",IF(OR(B3071="16",B3071="21",B3071="22",B3071="23"),"16212223",IF(OR(B3071="15",B3071="17",B3071="24",B3071="25"),"15172425",B3071))),IF(U3071="CEBAS","UNICO",IF(VALUE(B3071)&lt;=11,"AMBA","INTERIOR"))))</f>
        <v>R10</v>
      </c>
      <c r="W3071" s="38" t="str">
        <f>+IF(U3071="","-",CONCATENATE(U3071,"_",V3071))</f>
        <v>FINES_R10</v>
      </c>
      <c r="X3071" s="42">
        <v>0.71099999999999997</v>
      </c>
    </row>
    <row r="3072" spans="1:24">
      <c r="A3072" s="21" t="s">
        <v>5100</v>
      </c>
      <c r="B3072" t="s">
        <v>138</v>
      </c>
      <c r="C3072" t="s">
        <v>522</v>
      </c>
      <c r="D3072" t="s">
        <v>1468</v>
      </c>
      <c r="E3072" s="7" t="s">
        <v>198</v>
      </c>
      <c r="F3072" s="7" t="s">
        <v>198</v>
      </c>
      <c r="G3072" s="7" t="s">
        <v>198</v>
      </c>
      <c r="H3072" s="7" t="s">
        <v>20</v>
      </c>
      <c r="I3072" s="7" t="s">
        <v>5102</v>
      </c>
      <c r="J3072" s="7" t="s">
        <v>21</v>
      </c>
      <c r="L3072" t="s">
        <v>4345</v>
      </c>
      <c r="M3072" s="7" t="s">
        <v>22</v>
      </c>
      <c r="N3072" s="7" t="s">
        <v>23</v>
      </c>
      <c r="O3072" s="7" t="s">
        <v>27</v>
      </c>
      <c r="P3072" s="7" t="s">
        <v>5101</v>
      </c>
      <c r="Q3072" s="26">
        <v>53</v>
      </c>
      <c r="R3072" s="26">
        <v>2</v>
      </c>
      <c r="S3072" s="40">
        <v>1</v>
      </c>
      <c r="T3072" s="7"/>
      <c r="U3072" s="7" t="s">
        <v>2951</v>
      </c>
      <c r="V3072" s="7" t="str">
        <f>+IF(U3072="","",IF(U3072="FINES",CONCATENATE("R",IF(OR(B3072="16",B3072="21",B3072="22",B3072="23"),"16212223",IF(OR(B3072="15",B3072="17",B3072="24",B3072="25"),"15172425",B3072))),IF(U3072="CEBAS","UNICO",IF(VALUE(B3072)&lt;=11,"AMBA","INTERIOR"))))</f>
        <v>R10</v>
      </c>
      <c r="W3072" s="38" t="str">
        <f>+IF(U3072="","-",CONCATENATE(U3072,"_",V3072))</f>
        <v>FINES_R10</v>
      </c>
      <c r="X3072" s="42">
        <v>0.71699999999999997</v>
      </c>
    </row>
    <row r="3073" spans="1:24">
      <c r="A3073" s="21" t="s">
        <v>5100</v>
      </c>
      <c r="B3073" t="s">
        <v>138</v>
      </c>
      <c r="C3073" t="s">
        <v>1507</v>
      </c>
      <c r="D3073" t="s">
        <v>1508</v>
      </c>
      <c r="E3073" s="7" t="s">
        <v>198</v>
      </c>
      <c r="F3073" s="7" t="s">
        <v>198</v>
      </c>
      <c r="G3073" s="7" t="s">
        <v>198</v>
      </c>
      <c r="H3073" s="7" t="s">
        <v>20</v>
      </c>
      <c r="I3073" s="7" t="s">
        <v>5102</v>
      </c>
      <c r="J3073" s="7" t="s">
        <v>21</v>
      </c>
      <c r="L3073" t="s">
        <v>4339</v>
      </c>
      <c r="M3073" s="7" t="s">
        <v>22</v>
      </c>
      <c r="N3073" s="7" t="s">
        <v>23</v>
      </c>
      <c r="O3073" s="7" t="s">
        <v>27</v>
      </c>
      <c r="P3073" s="7" t="s">
        <v>5101</v>
      </c>
      <c r="Q3073" s="26">
        <v>35</v>
      </c>
      <c r="R3073" s="26">
        <v>1</v>
      </c>
      <c r="S3073" s="40">
        <v>1</v>
      </c>
      <c r="T3073" s="7"/>
      <c r="U3073" s="7" t="s">
        <v>2951</v>
      </c>
      <c r="V3073" s="7" t="str">
        <f>+IF(U3073="","",IF(U3073="FINES",CONCATENATE("R",IF(OR(B3073="16",B3073="21",B3073="22",B3073="23"),"16212223",IF(OR(B3073="15",B3073="17",B3073="24",B3073="25"),"15172425",B3073))),IF(U3073="CEBAS","UNICO",IF(VALUE(B3073)&lt;=11,"AMBA","INTERIOR"))))</f>
        <v>R10</v>
      </c>
      <c r="W3073" s="38" t="str">
        <f>+IF(U3073="","-",CONCATENATE(U3073,"_",V3073))</f>
        <v>FINES_R10</v>
      </c>
      <c r="X3073" s="42">
        <v>0.72299999999999998</v>
      </c>
    </row>
    <row r="3074" spans="1:24">
      <c r="A3074" s="21" t="s">
        <v>5100</v>
      </c>
      <c r="B3074" t="s">
        <v>138</v>
      </c>
      <c r="C3074" t="s">
        <v>2199</v>
      </c>
      <c r="D3074" t="s">
        <v>2200</v>
      </c>
      <c r="E3074" s="7" t="s">
        <v>198</v>
      </c>
      <c r="F3074" s="7" t="s">
        <v>198</v>
      </c>
      <c r="G3074" s="7" t="s">
        <v>198</v>
      </c>
      <c r="H3074" s="7" t="s">
        <v>20</v>
      </c>
      <c r="I3074" s="7" t="s">
        <v>5102</v>
      </c>
      <c r="J3074" s="7" t="s">
        <v>21</v>
      </c>
      <c r="L3074" t="s">
        <v>4402</v>
      </c>
      <c r="M3074" s="7" t="s">
        <v>22</v>
      </c>
      <c r="N3074" s="7" t="s">
        <v>23</v>
      </c>
      <c r="O3074" s="7" t="s">
        <v>27</v>
      </c>
      <c r="P3074" s="7" t="s">
        <v>5101</v>
      </c>
      <c r="Q3074" s="26">
        <v>36</v>
      </c>
      <c r="R3074" s="26">
        <v>2</v>
      </c>
      <c r="S3074" s="40">
        <v>1</v>
      </c>
      <c r="T3074" s="7"/>
      <c r="U3074" s="7" t="s">
        <v>2951</v>
      </c>
      <c r="V3074" s="7" t="str">
        <f>+IF(U3074="","",IF(U3074="FINES",CONCATENATE("R",IF(OR(B3074="16",B3074="21",B3074="22",B3074="23"),"16212223",IF(OR(B3074="15",B3074="17",B3074="24",B3074="25"),"15172425",B3074))),IF(U3074="CEBAS","UNICO",IF(VALUE(B3074)&lt;=11,"AMBA","INTERIOR"))))</f>
        <v>R10</v>
      </c>
      <c r="W3074" s="38" t="str">
        <f>+IF(U3074="","-",CONCATENATE(U3074,"_",V3074))</f>
        <v>FINES_R10</v>
      </c>
      <c r="X3074" s="42">
        <v>0.72899999999999998</v>
      </c>
    </row>
    <row r="3075" spans="1:24">
      <c r="A3075" s="21" t="s">
        <v>5100</v>
      </c>
      <c r="B3075" t="s">
        <v>138</v>
      </c>
      <c r="C3075" t="s">
        <v>436</v>
      </c>
      <c r="D3075" t="s">
        <v>1067</v>
      </c>
      <c r="E3075" s="7" t="s">
        <v>198</v>
      </c>
      <c r="F3075" s="7" t="s">
        <v>198</v>
      </c>
      <c r="G3075" s="7" t="s">
        <v>198</v>
      </c>
      <c r="H3075" s="7" t="s">
        <v>20</v>
      </c>
      <c r="I3075" s="7" t="s">
        <v>5102</v>
      </c>
      <c r="J3075" s="7" t="s">
        <v>21</v>
      </c>
      <c r="L3075" t="s">
        <v>4313</v>
      </c>
      <c r="M3075" s="7" t="s">
        <v>22</v>
      </c>
      <c r="N3075" s="7" t="s">
        <v>23</v>
      </c>
      <c r="O3075" s="7" t="s">
        <v>27</v>
      </c>
      <c r="P3075" s="7" t="s">
        <v>5101</v>
      </c>
      <c r="Q3075" s="26">
        <v>15</v>
      </c>
      <c r="R3075" s="26">
        <v>1</v>
      </c>
      <c r="S3075" s="40">
        <v>1</v>
      </c>
      <c r="T3075" s="7"/>
      <c r="U3075" s="7" t="s">
        <v>2951</v>
      </c>
      <c r="V3075" s="7" t="str">
        <f>+IF(U3075="","",IF(U3075="FINES",CONCATENATE("R",IF(OR(B3075="16",B3075="21",B3075="22",B3075="23"),"16212223",IF(OR(B3075="15",B3075="17",B3075="24",B3075="25"),"15172425",B3075))),IF(U3075="CEBAS","UNICO",IF(VALUE(B3075)&lt;=11,"AMBA","INTERIOR"))))</f>
        <v>R10</v>
      </c>
      <c r="W3075" s="38" t="str">
        <f>+IF(U3075="","-",CONCATENATE(U3075,"_",V3075))</f>
        <v>FINES_R10</v>
      </c>
      <c r="X3075" s="42">
        <v>0.73</v>
      </c>
    </row>
    <row r="3076" spans="1:24">
      <c r="A3076" s="21" t="s">
        <v>5100</v>
      </c>
      <c r="B3076" t="s">
        <v>138</v>
      </c>
      <c r="C3076" t="s">
        <v>436</v>
      </c>
      <c r="D3076" t="s">
        <v>1067</v>
      </c>
      <c r="E3076" s="7" t="s">
        <v>198</v>
      </c>
      <c r="F3076" s="7" t="s">
        <v>198</v>
      </c>
      <c r="G3076" s="7" t="s">
        <v>198</v>
      </c>
      <c r="H3076" s="7" t="s">
        <v>20</v>
      </c>
      <c r="I3076" s="7" t="s">
        <v>5102</v>
      </c>
      <c r="J3076" s="7" t="s">
        <v>21</v>
      </c>
      <c r="L3076" t="s">
        <v>4317</v>
      </c>
      <c r="M3076" s="7" t="s">
        <v>22</v>
      </c>
      <c r="N3076" s="7" t="s">
        <v>23</v>
      </c>
      <c r="O3076" s="7" t="s">
        <v>27</v>
      </c>
      <c r="P3076" s="7" t="s">
        <v>5101</v>
      </c>
      <c r="Q3076" s="26">
        <v>10</v>
      </c>
      <c r="R3076" s="26">
        <v>2</v>
      </c>
      <c r="S3076" s="40">
        <v>1</v>
      </c>
      <c r="T3076" s="7"/>
      <c r="U3076" s="7" t="s">
        <v>2951</v>
      </c>
      <c r="V3076" s="7" t="str">
        <f>+IF(U3076="","",IF(U3076="FINES",CONCATENATE("R",IF(OR(B3076="16",B3076="21",B3076="22",B3076="23"),"16212223",IF(OR(B3076="15",B3076="17",B3076="24",B3076="25"),"15172425",B3076))),IF(U3076="CEBAS","UNICO",IF(VALUE(B3076)&lt;=11,"AMBA","INTERIOR"))))</f>
        <v>R10</v>
      </c>
      <c r="W3076" s="38" t="str">
        <f>+IF(U3076="","-",CONCATENATE(U3076,"_",V3076))</f>
        <v>FINES_R10</v>
      </c>
      <c r="X3076" s="42">
        <v>0.74299999999999999</v>
      </c>
    </row>
    <row r="3077" spans="1:24">
      <c r="A3077" s="21" t="s">
        <v>5100</v>
      </c>
      <c r="B3077" t="s">
        <v>138</v>
      </c>
      <c r="C3077" t="s">
        <v>436</v>
      </c>
      <c r="D3077" t="s">
        <v>1067</v>
      </c>
      <c r="E3077" s="7" t="s">
        <v>198</v>
      </c>
      <c r="F3077" s="7" t="s">
        <v>198</v>
      </c>
      <c r="G3077" s="7" t="s">
        <v>198</v>
      </c>
      <c r="H3077" s="7" t="s">
        <v>20</v>
      </c>
      <c r="I3077" s="7" t="s">
        <v>5102</v>
      </c>
      <c r="J3077" s="7" t="s">
        <v>21</v>
      </c>
      <c r="L3077" t="s">
        <v>4325</v>
      </c>
      <c r="M3077" s="7" t="s">
        <v>22</v>
      </c>
      <c r="N3077" s="7" t="s">
        <v>23</v>
      </c>
      <c r="O3077" s="7" t="s">
        <v>27</v>
      </c>
      <c r="P3077" s="7" t="s">
        <v>5101</v>
      </c>
      <c r="Q3077" s="26">
        <v>20</v>
      </c>
      <c r="R3077" s="26">
        <v>1</v>
      </c>
      <c r="S3077" s="40">
        <v>1</v>
      </c>
      <c r="T3077" s="7"/>
      <c r="U3077" s="7" t="s">
        <v>2951</v>
      </c>
      <c r="V3077" s="7" t="str">
        <f>+IF(U3077="","",IF(U3077="FINES",CONCATENATE("R",IF(OR(B3077="16",B3077="21",B3077="22",B3077="23"),"16212223",IF(OR(B3077="15",B3077="17",B3077="24",B3077="25"),"15172425",B3077))),IF(U3077="CEBAS","UNICO",IF(VALUE(B3077)&lt;=11,"AMBA","INTERIOR"))))</f>
        <v>R10</v>
      </c>
      <c r="W3077" s="38" t="str">
        <f>+IF(U3077="","-",CONCATENATE(U3077,"_",V3077))</f>
        <v>FINES_R10</v>
      </c>
      <c r="X3077" s="42">
        <v>0.746</v>
      </c>
    </row>
    <row r="3078" spans="1:24">
      <c r="A3078" s="21" t="s">
        <v>5100</v>
      </c>
      <c r="B3078" t="s">
        <v>138</v>
      </c>
      <c r="C3078" t="s">
        <v>522</v>
      </c>
      <c r="D3078" t="s">
        <v>1468</v>
      </c>
      <c r="E3078" s="7" t="s">
        <v>198</v>
      </c>
      <c r="F3078" s="7" t="s">
        <v>198</v>
      </c>
      <c r="G3078" s="7" t="s">
        <v>198</v>
      </c>
      <c r="H3078" s="7" t="s">
        <v>20</v>
      </c>
      <c r="I3078" s="7" t="s">
        <v>5102</v>
      </c>
      <c r="J3078" s="7" t="s">
        <v>21</v>
      </c>
      <c r="L3078" t="s">
        <v>4347</v>
      </c>
      <c r="M3078" s="7" t="s">
        <v>22</v>
      </c>
      <c r="N3078" s="7" t="s">
        <v>23</v>
      </c>
      <c r="O3078" s="7" t="s">
        <v>27</v>
      </c>
      <c r="P3078" s="7" t="s">
        <v>5101</v>
      </c>
      <c r="Q3078" s="26">
        <v>22</v>
      </c>
      <c r="R3078" s="26">
        <v>1</v>
      </c>
      <c r="S3078" s="40">
        <v>1</v>
      </c>
      <c r="T3078" s="7"/>
      <c r="U3078" s="7" t="s">
        <v>2951</v>
      </c>
      <c r="V3078" s="7" t="str">
        <f>+IF(U3078="","",IF(U3078="FINES",CONCATENATE("R",IF(OR(B3078="16",B3078="21",B3078="22",B3078="23"),"16212223",IF(OR(B3078="15",B3078="17",B3078="24",B3078="25"),"15172425",B3078))),IF(U3078="CEBAS","UNICO",IF(VALUE(B3078)&lt;=11,"AMBA","INTERIOR"))))</f>
        <v>R10</v>
      </c>
      <c r="W3078" s="38" t="str">
        <f>+IF(U3078="","-",CONCATENATE(U3078,"_",V3078))</f>
        <v>FINES_R10</v>
      </c>
      <c r="X3078" s="42">
        <v>0.75</v>
      </c>
    </row>
    <row r="3079" spans="1:24">
      <c r="A3079" s="21" t="s">
        <v>5100</v>
      </c>
      <c r="B3079" t="s">
        <v>138</v>
      </c>
      <c r="C3079" t="s">
        <v>540</v>
      </c>
      <c r="D3079" t="s">
        <v>1766</v>
      </c>
      <c r="E3079" s="7" t="s">
        <v>198</v>
      </c>
      <c r="F3079" s="7" t="s">
        <v>198</v>
      </c>
      <c r="G3079" s="7" t="s">
        <v>198</v>
      </c>
      <c r="H3079" s="7" t="s">
        <v>20</v>
      </c>
      <c r="I3079" s="7" t="s">
        <v>5102</v>
      </c>
      <c r="J3079" s="7" t="s">
        <v>21</v>
      </c>
      <c r="L3079" t="s">
        <v>4391</v>
      </c>
      <c r="M3079" s="7" t="s">
        <v>22</v>
      </c>
      <c r="N3079" s="7" t="s">
        <v>23</v>
      </c>
      <c r="O3079" s="7" t="s">
        <v>27</v>
      </c>
      <c r="P3079" s="7" t="s">
        <v>5101</v>
      </c>
      <c r="Q3079" s="26">
        <v>16</v>
      </c>
      <c r="R3079" s="26">
        <v>1</v>
      </c>
      <c r="S3079" s="40">
        <v>1</v>
      </c>
      <c r="T3079" s="7"/>
      <c r="U3079" s="7" t="s">
        <v>2951</v>
      </c>
      <c r="V3079" s="7" t="str">
        <f>+IF(U3079="","",IF(U3079="FINES",CONCATENATE("R",IF(OR(B3079="16",B3079="21",B3079="22",B3079="23"),"16212223",IF(OR(B3079="15",B3079="17",B3079="24",B3079="25"),"15172425",B3079))),IF(U3079="CEBAS","UNICO",IF(VALUE(B3079)&lt;=11,"AMBA","INTERIOR"))))</f>
        <v>R10</v>
      </c>
      <c r="W3079" s="38" t="str">
        <f>+IF(U3079="","-",CONCATENATE(U3079,"_",V3079))</f>
        <v>FINES_R10</v>
      </c>
      <c r="X3079" s="42">
        <v>0.752</v>
      </c>
    </row>
    <row r="3080" spans="1:24">
      <c r="A3080" s="21" t="s">
        <v>5100</v>
      </c>
      <c r="B3080" t="s">
        <v>138</v>
      </c>
      <c r="C3080" t="s">
        <v>436</v>
      </c>
      <c r="D3080" t="s">
        <v>1067</v>
      </c>
      <c r="E3080" s="7" t="s">
        <v>198</v>
      </c>
      <c r="F3080" s="7" t="s">
        <v>198</v>
      </c>
      <c r="G3080" s="7" t="s">
        <v>198</v>
      </c>
      <c r="H3080" s="7" t="s">
        <v>20</v>
      </c>
      <c r="I3080" s="7" t="s">
        <v>5102</v>
      </c>
      <c r="J3080" s="7" t="s">
        <v>21</v>
      </c>
      <c r="L3080" t="s">
        <v>4327</v>
      </c>
      <c r="M3080" s="7" t="s">
        <v>22</v>
      </c>
      <c r="N3080" s="7" t="s">
        <v>23</v>
      </c>
      <c r="O3080" s="7" t="s">
        <v>27</v>
      </c>
      <c r="P3080" s="7" t="s">
        <v>5101</v>
      </c>
      <c r="Q3080" s="26">
        <v>65</v>
      </c>
      <c r="R3080" s="26">
        <v>2</v>
      </c>
      <c r="S3080" s="40">
        <v>1</v>
      </c>
      <c r="T3080" s="7"/>
      <c r="U3080" s="7" t="s">
        <v>2951</v>
      </c>
      <c r="V3080" s="7" t="str">
        <f>+IF(U3080="","",IF(U3080="FINES",CONCATENATE("R",IF(OR(B3080="16",B3080="21",B3080="22",B3080="23"),"16212223",IF(OR(B3080="15",B3080="17",B3080="24",B3080="25"),"15172425",B3080))),IF(U3080="CEBAS","UNICO",IF(VALUE(B3080)&lt;=11,"AMBA","INTERIOR"))))</f>
        <v>R10</v>
      </c>
      <c r="W3080" s="38" t="str">
        <f>+IF(U3080="","-",CONCATENATE(U3080,"_",V3080))</f>
        <v>FINES_R10</v>
      </c>
      <c r="X3080" s="42">
        <v>0.754</v>
      </c>
    </row>
    <row r="3081" spans="1:24">
      <c r="A3081" s="21" t="s">
        <v>5100</v>
      </c>
      <c r="B3081" t="s">
        <v>138</v>
      </c>
      <c r="C3081" t="s">
        <v>522</v>
      </c>
      <c r="D3081" t="s">
        <v>1468</v>
      </c>
      <c r="E3081" s="7" t="s">
        <v>198</v>
      </c>
      <c r="F3081" s="7" t="s">
        <v>198</v>
      </c>
      <c r="G3081" s="7" t="s">
        <v>198</v>
      </c>
      <c r="H3081" s="7" t="s">
        <v>20</v>
      </c>
      <c r="I3081" s="7" t="s">
        <v>5102</v>
      </c>
      <c r="J3081" s="7" t="s">
        <v>21</v>
      </c>
      <c r="L3081" t="s">
        <v>4348</v>
      </c>
      <c r="M3081" s="7" t="s">
        <v>22</v>
      </c>
      <c r="N3081" s="7" t="s">
        <v>23</v>
      </c>
      <c r="O3081" s="7" t="s">
        <v>27</v>
      </c>
      <c r="P3081" s="7" t="s">
        <v>5101</v>
      </c>
      <c r="Q3081" s="26">
        <v>10</v>
      </c>
      <c r="R3081" s="26">
        <v>1</v>
      </c>
      <c r="S3081" s="40">
        <v>1</v>
      </c>
      <c r="T3081" s="7"/>
      <c r="U3081" s="7" t="s">
        <v>2951</v>
      </c>
      <c r="V3081" s="7" t="str">
        <f>+IF(U3081="","",IF(U3081="FINES",CONCATENATE("R",IF(OR(B3081="16",B3081="21",B3081="22",B3081="23"),"16212223",IF(OR(B3081="15",B3081="17",B3081="24",B3081="25"),"15172425",B3081))),IF(U3081="CEBAS","UNICO",IF(VALUE(B3081)&lt;=11,"AMBA","INTERIOR"))))</f>
        <v>R10</v>
      </c>
      <c r="W3081" s="38" t="str">
        <f>+IF(U3081="","-",CONCATENATE(U3081,"_",V3081))</f>
        <v>FINES_R10</v>
      </c>
      <c r="X3081" s="42">
        <v>0.75700000000000001</v>
      </c>
    </row>
    <row r="3082" spans="1:24">
      <c r="A3082" s="21" t="s">
        <v>5100</v>
      </c>
      <c r="B3082" t="s">
        <v>138</v>
      </c>
      <c r="C3082" t="s">
        <v>436</v>
      </c>
      <c r="D3082" t="s">
        <v>1067</v>
      </c>
      <c r="E3082" s="7" t="s">
        <v>198</v>
      </c>
      <c r="F3082" s="7" t="s">
        <v>198</v>
      </c>
      <c r="G3082" s="7" t="s">
        <v>198</v>
      </c>
      <c r="H3082" s="7" t="s">
        <v>20</v>
      </c>
      <c r="I3082" s="7" t="s">
        <v>5102</v>
      </c>
      <c r="J3082" s="7" t="s">
        <v>21</v>
      </c>
      <c r="L3082" t="s">
        <v>4332</v>
      </c>
      <c r="M3082" s="7" t="s">
        <v>22</v>
      </c>
      <c r="N3082" s="7" t="s">
        <v>23</v>
      </c>
      <c r="O3082" s="7" t="s">
        <v>27</v>
      </c>
      <c r="P3082" s="7" t="s">
        <v>5101</v>
      </c>
      <c r="Q3082" s="26">
        <v>24</v>
      </c>
      <c r="R3082" s="26">
        <v>2</v>
      </c>
      <c r="S3082" s="40">
        <v>1</v>
      </c>
      <c r="T3082" s="7"/>
      <c r="U3082" s="7" t="s">
        <v>2951</v>
      </c>
      <c r="V3082" s="7" t="str">
        <f>+IF(U3082="","",IF(U3082="FINES",CONCATENATE("R",IF(OR(B3082="16",B3082="21",B3082="22",B3082="23"),"16212223",IF(OR(B3082="15",B3082="17",B3082="24",B3082="25"),"15172425",B3082))),IF(U3082="CEBAS","UNICO",IF(VALUE(B3082)&lt;=11,"AMBA","INTERIOR"))))</f>
        <v>R10</v>
      </c>
      <c r="W3082" s="38" t="str">
        <f>+IF(U3082="","-",CONCATENATE(U3082,"_",V3082))</f>
        <v>FINES_R10</v>
      </c>
      <c r="X3082" s="42">
        <v>0.75700000000000001</v>
      </c>
    </row>
    <row r="3083" spans="1:24">
      <c r="A3083" s="21" t="s">
        <v>5100</v>
      </c>
      <c r="B3083" t="s">
        <v>138</v>
      </c>
      <c r="C3083" t="s">
        <v>1507</v>
      </c>
      <c r="D3083" t="s">
        <v>1508</v>
      </c>
      <c r="E3083" s="7" t="s">
        <v>198</v>
      </c>
      <c r="F3083" s="7" t="s">
        <v>198</v>
      </c>
      <c r="G3083" s="7" t="s">
        <v>198</v>
      </c>
      <c r="H3083" s="7" t="s">
        <v>20</v>
      </c>
      <c r="I3083" s="7" t="s">
        <v>5102</v>
      </c>
      <c r="J3083" s="7" t="s">
        <v>21</v>
      </c>
      <c r="L3083" t="s">
        <v>4369</v>
      </c>
      <c r="M3083" s="7" t="s">
        <v>22</v>
      </c>
      <c r="N3083" s="7" t="s">
        <v>23</v>
      </c>
      <c r="O3083" s="7" t="s">
        <v>27</v>
      </c>
      <c r="P3083" s="7" t="s">
        <v>5101</v>
      </c>
      <c r="Q3083" s="26">
        <v>26</v>
      </c>
      <c r="R3083" s="26">
        <v>1</v>
      </c>
      <c r="S3083" s="40">
        <v>1</v>
      </c>
      <c r="T3083" s="7"/>
      <c r="U3083" s="7" t="s">
        <v>2951</v>
      </c>
      <c r="V3083" s="7" t="str">
        <f>+IF(U3083="","",IF(U3083="FINES",CONCATENATE("R",IF(OR(B3083="16",B3083="21",B3083="22",B3083="23"),"16212223",IF(OR(B3083="15",B3083="17",B3083="24",B3083="25"),"15172425",B3083))),IF(U3083="CEBAS","UNICO",IF(VALUE(B3083)&lt;=11,"AMBA","INTERIOR"))))</f>
        <v>R10</v>
      </c>
      <c r="W3083" s="38" t="str">
        <f>+IF(U3083="","-",CONCATENATE(U3083,"_",V3083))</f>
        <v>FINES_R10</v>
      </c>
      <c r="X3083" s="42">
        <v>0.75900000000000001</v>
      </c>
    </row>
    <row r="3084" spans="1:24">
      <c r="A3084" s="21" t="s">
        <v>5100</v>
      </c>
      <c r="B3084" t="s">
        <v>138</v>
      </c>
      <c r="C3084" t="s">
        <v>1321</v>
      </c>
      <c r="D3084" t="s">
        <v>1322</v>
      </c>
      <c r="E3084" s="7" t="s">
        <v>198</v>
      </c>
      <c r="F3084" s="7" t="s">
        <v>198</v>
      </c>
      <c r="G3084" s="7" t="s">
        <v>198</v>
      </c>
      <c r="H3084" s="7" t="s">
        <v>20</v>
      </c>
      <c r="I3084" s="7" t="s">
        <v>5102</v>
      </c>
      <c r="J3084" s="7" t="s">
        <v>21</v>
      </c>
      <c r="L3084" t="s">
        <v>4305</v>
      </c>
      <c r="M3084" s="7" t="s">
        <v>22</v>
      </c>
      <c r="N3084" s="7" t="s">
        <v>23</v>
      </c>
      <c r="O3084" s="7" t="s">
        <v>27</v>
      </c>
      <c r="P3084" s="7" t="s">
        <v>5101</v>
      </c>
      <c r="Q3084" s="26">
        <v>38</v>
      </c>
      <c r="R3084" s="26">
        <v>3</v>
      </c>
      <c r="S3084" s="40">
        <v>1</v>
      </c>
      <c r="T3084" s="7"/>
      <c r="U3084" s="7" t="s">
        <v>2951</v>
      </c>
      <c r="V3084" s="7" t="str">
        <f>+IF(U3084="","",IF(U3084="FINES",CONCATENATE("R",IF(OR(B3084="16",B3084="21",B3084="22",B3084="23"),"16212223",IF(OR(B3084="15",B3084="17",B3084="24",B3084="25"),"15172425",B3084))),IF(U3084="CEBAS","UNICO",IF(VALUE(B3084)&lt;=11,"AMBA","INTERIOR"))))</f>
        <v>R10</v>
      </c>
      <c r="W3084" s="38" t="str">
        <f>+IF(U3084="","-",CONCATENATE(U3084,"_",V3084))</f>
        <v>FINES_R10</v>
      </c>
      <c r="X3084" s="42">
        <v>0.76700000000000002</v>
      </c>
    </row>
    <row r="3085" spans="1:24">
      <c r="A3085" s="21" t="s">
        <v>5100</v>
      </c>
      <c r="B3085" t="s">
        <v>138</v>
      </c>
      <c r="C3085" t="s">
        <v>1507</v>
      </c>
      <c r="D3085" t="s">
        <v>1508</v>
      </c>
      <c r="E3085" s="7" t="s">
        <v>198</v>
      </c>
      <c r="F3085" s="7" t="s">
        <v>198</v>
      </c>
      <c r="G3085" s="7" t="s">
        <v>198</v>
      </c>
      <c r="H3085" s="7" t="s">
        <v>20</v>
      </c>
      <c r="I3085" s="7" t="s">
        <v>5102</v>
      </c>
      <c r="J3085" s="7" t="s">
        <v>21</v>
      </c>
      <c r="L3085" t="s">
        <v>4377</v>
      </c>
      <c r="M3085" s="7" t="s">
        <v>22</v>
      </c>
      <c r="N3085" s="7" t="s">
        <v>23</v>
      </c>
      <c r="O3085" s="7" t="s">
        <v>27</v>
      </c>
      <c r="P3085" s="7" t="s">
        <v>5101</v>
      </c>
      <c r="Q3085" s="26">
        <v>13</v>
      </c>
      <c r="R3085" s="26">
        <v>1</v>
      </c>
      <c r="S3085" s="40">
        <v>1</v>
      </c>
      <c r="T3085" s="7"/>
      <c r="U3085" s="7" t="s">
        <v>2951</v>
      </c>
      <c r="V3085" s="7" t="str">
        <f>+IF(U3085="","",IF(U3085="FINES",CONCATENATE("R",IF(OR(B3085="16",B3085="21",B3085="22",B3085="23"),"16212223",IF(OR(B3085="15",B3085="17",B3085="24",B3085="25"),"15172425",B3085))),IF(U3085="CEBAS","UNICO",IF(VALUE(B3085)&lt;=11,"AMBA","INTERIOR"))))</f>
        <v>R10</v>
      </c>
      <c r="W3085" s="38" t="str">
        <f>+IF(U3085="","-",CONCATENATE(U3085,"_",V3085))</f>
        <v>FINES_R10</v>
      </c>
      <c r="X3085" s="42">
        <v>0.79200000000000004</v>
      </c>
    </row>
    <row r="3086" spans="1:24">
      <c r="A3086" s="21" t="s">
        <v>5100</v>
      </c>
      <c r="B3086" t="s">
        <v>138</v>
      </c>
      <c r="C3086" t="s">
        <v>2199</v>
      </c>
      <c r="D3086" t="s">
        <v>2200</v>
      </c>
      <c r="E3086" s="7" t="s">
        <v>198</v>
      </c>
      <c r="F3086" s="7" t="s">
        <v>198</v>
      </c>
      <c r="G3086" s="7" t="s">
        <v>198</v>
      </c>
      <c r="H3086" s="7" t="s">
        <v>20</v>
      </c>
      <c r="I3086" s="7" t="s">
        <v>5102</v>
      </c>
      <c r="J3086" s="7" t="s">
        <v>21</v>
      </c>
      <c r="L3086" t="s">
        <v>4404</v>
      </c>
      <c r="M3086" s="7" t="s">
        <v>22</v>
      </c>
      <c r="N3086" s="7" t="s">
        <v>23</v>
      </c>
      <c r="O3086" s="7" t="s">
        <v>27</v>
      </c>
      <c r="P3086" s="7" t="s">
        <v>5101</v>
      </c>
      <c r="Q3086" s="26">
        <v>17</v>
      </c>
      <c r="R3086" s="26">
        <v>1</v>
      </c>
      <c r="S3086" s="40">
        <v>1</v>
      </c>
      <c r="T3086" s="7"/>
      <c r="U3086" s="7" t="s">
        <v>2951</v>
      </c>
      <c r="V3086" s="7" t="str">
        <f>+IF(U3086="","",IF(U3086="FINES",CONCATENATE("R",IF(OR(B3086="16",B3086="21",B3086="22",B3086="23"),"16212223",IF(OR(B3086="15",B3086="17",B3086="24",B3086="25"),"15172425",B3086))),IF(U3086="CEBAS","UNICO",IF(VALUE(B3086)&lt;=11,"AMBA","INTERIOR"))))</f>
        <v>R10</v>
      </c>
      <c r="W3086" s="38" t="str">
        <f>+IF(U3086="","-",CONCATENATE(U3086,"_",V3086))</f>
        <v>FINES_R10</v>
      </c>
      <c r="X3086" s="42">
        <v>0.79300000000000004</v>
      </c>
    </row>
    <row r="3087" spans="1:24">
      <c r="A3087" s="21" t="s">
        <v>5100</v>
      </c>
      <c r="B3087" t="s">
        <v>138</v>
      </c>
      <c r="C3087" t="s">
        <v>1507</v>
      </c>
      <c r="D3087" t="s">
        <v>1508</v>
      </c>
      <c r="E3087" s="7" t="s">
        <v>198</v>
      </c>
      <c r="F3087" s="7" t="s">
        <v>198</v>
      </c>
      <c r="G3087" s="7" t="s">
        <v>198</v>
      </c>
      <c r="H3087" s="7" t="s">
        <v>20</v>
      </c>
      <c r="I3087" s="7" t="s">
        <v>5102</v>
      </c>
      <c r="J3087" s="7" t="s">
        <v>21</v>
      </c>
      <c r="L3087" t="s">
        <v>4374</v>
      </c>
      <c r="M3087" s="7" t="s">
        <v>22</v>
      </c>
      <c r="N3087" s="7" t="s">
        <v>23</v>
      </c>
      <c r="O3087" s="7" t="s">
        <v>27</v>
      </c>
      <c r="P3087" s="7" t="s">
        <v>5101</v>
      </c>
      <c r="Q3087" s="26">
        <v>6</v>
      </c>
      <c r="R3087" s="26">
        <v>1</v>
      </c>
      <c r="S3087" s="40">
        <v>1</v>
      </c>
      <c r="T3087" s="7"/>
      <c r="U3087" s="7" t="s">
        <v>2951</v>
      </c>
      <c r="V3087" s="7" t="str">
        <f>+IF(U3087="","",IF(U3087="FINES",CONCATENATE("R",IF(OR(B3087="16",B3087="21",B3087="22",B3087="23"),"16212223",IF(OR(B3087="15",B3087="17",B3087="24",B3087="25"),"15172425",B3087))),IF(U3087="CEBAS","UNICO",IF(VALUE(B3087)&lt;=11,"AMBA","INTERIOR"))))</f>
        <v>R10</v>
      </c>
      <c r="W3087" s="38" t="str">
        <f>+IF(U3087="","-",CONCATENATE(U3087,"_",V3087))</f>
        <v>FINES_R10</v>
      </c>
      <c r="X3087" s="42">
        <v>0.79700000000000004</v>
      </c>
    </row>
    <row r="3088" spans="1:24">
      <c r="A3088" s="21" t="s">
        <v>5100</v>
      </c>
      <c r="B3088" t="s">
        <v>138</v>
      </c>
      <c r="C3088" t="s">
        <v>1507</v>
      </c>
      <c r="D3088" t="s">
        <v>1508</v>
      </c>
      <c r="E3088" s="7" t="s">
        <v>198</v>
      </c>
      <c r="F3088" s="7" t="s">
        <v>198</v>
      </c>
      <c r="G3088" s="7" t="s">
        <v>198</v>
      </c>
      <c r="H3088" s="7" t="s">
        <v>20</v>
      </c>
      <c r="I3088" s="7" t="s">
        <v>5102</v>
      </c>
      <c r="J3088" s="7" t="s">
        <v>21</v>
      </c>
      <c r="L3088" t="s">
        <v>4370</v>
      </c>
      <c r="M3088" s="7" t="s">
        <v>22</v>
      </c>
      <c r="N3088" s="7" t="s">
        <v>23</v>
      </c>
      <c r="O3088" s="7" t="s">
        <v>27</v>
      </c>
      <c r="P3088" s="7" t="s">
        <v>5101</v>
      </c>
      <c r="Q3088" s="26">
        <v>33</v>
      </c>
      <c r="R3088" s="26">
        <v>2</v>
      </c>
      <c r="S3088" s="40">
        <v>1</v>
      </c>
      <c r="T3088" s="7"/>
      <c r="U3088" s="7" t="s">
        <v>2951</v>
      </c>
      <c r="V3088" s="7" t="str">
        <f>+IF(U3088="","",IF(U3088="FINES",CONCATENATE("R",IF(OR(B3088="16",B3088="21",B3088="22",B3088="23"),"16212223",IF(OR(B3088="15",B3088="17",B3088="24",B3088="25"),"15172425",B3088))),IF(U3088="CEBAS","UNICO",IF(VALUE(B3088)&lt;=11,"AMBA","INTERIOR"))))</f>
        <v>R10</v>
      </c>
      <c r="W3088" s="38" t="str">
        <f>+IF(U3088="","-",CONCATENATE(U3088,"_",V3088))</f>
        <v>FINES_R10</v>
      </c>
      <c r="X3088" s="42">
        <v>0.80100000000000005</v>
      </c>
    </row>
    <row r="3089" spans="1:24">
      <c r="A3089" s="21" t="s">
        <v>5100</v>
      </c>
      <c r="B3089" t="s">
        <v>138</v>
      </c>
      <c r="C3089" t="s">
        <v>522</v>
      </c>
      <c r="D3089" t="s">
        <v>1468</v>
      </c>
      <c r="E3089" s="7" t="s">
        <v>198</v>
      </c>
      <c r="F3089" s="7" t="s">
        <v>198</v>
      </c>
      <c r="G3089" s="7" t="s">
        <v>198</v>
      </c>
      <c r="H3089" s="7" t="s">
        <v>20</v>
      </c>
      <c r="I3089" s="7" t="s">
        <v>5102</v>
      </c>
      <c r="J3089" s="7" t="s">
        <v>21</v>
      </c>
      <c r="L3089" t="s">
        <v>4355</v>
      </c>
      <c r="M3089" s="7" t="s">
        <v>22</v>
      </c>
      <c r="N3089" s="7" t="s">
        <v>23</v>
      </c>
      <c r="O3089" s="7" t="s">
        <v>27</v>
      </c>
      <c r="P3089" s="7" t="s">
        <v>5101</v>
      </c>
      <c r="Q3089" s="26">
        <v>13</v>
      </c>
      <c r="R3089" s="26">
        <v>1</v>
      </c>
      <c r="S3089" s="40">
        <v>1</v>
      </c>
      <c r="T3089" s="7"/>
      <c r="U3089" s="7" t="s">
        <v>2951</v>
      </c>
      <c r="V3089" s="7" t="str">
        <f>+IF(U3089="","",IF(U3089="FINES",CONCATENATE("R",IF(OR(B3089="16",B3089="21",B3089="22",B3089="23"),"16212223",IF(OR(B3089="15",B3089="17",B3089="24",B3089="25"),"15172425",B3089))),IF(U3089="CEBAS","UNICO",IF(VALUE(B3089)&lt;=11,"AMBA","INTERIOR"))))</f>
        <v>R10</v>
      </c>
      <c r="W3089" s="38" t="str">
        <f>+IF(U3089="","-",CONCATENATE(U3089,"_",V3089))</f>
        <v>FINES_R10</v>
      </c>
      <c r="X3089" s="42">
        <v>0.80900000000000005</v>
      </c>
    </row>
    <row r="3090" spans="1:24">
      <c r="A3090" s="21" t="s">
        <v>5100</v>
      </c>
      <c r="B3090" t="s">
        <v>138</v>
      </c>
      <c r="C3090" t="s">
        <v>643</v>
      </c>
      <c r="D3090" t="s">
        <v>645</v>
      </c>
      <c r="E3090" s="7" t="s">
        <v>198</v>
      </c>
      <c r="F3090" s="7" t="s">
        <v>198</v>
      </c>
      <c r="G3090" s="7" t="s">
        <v>198</v>
      </c>
      <c r="H3090" s="7" t="s">
        <v>20</v>
      </c>
      <c r="I3090" s="7" t="s">
        <v>5102</v>
      </c>
      <c r="J3090" s="7" t="s">
        <v>21</v>
      </c>
      <c r="L3090" t="s">
        <v>4287</v>
      </c>
      <c r="M3090" s="7" t="s">
        <v>22</v>
      </c>
      <c r="N3090" s="7" t="s">
        <v>23</v>
      </c>
      <c r="O3090" s="7" t="s">
        <v>27</v>
      </c>
      <c r="P3090" s="7" t="s">
        <v>5101</v>
      </c>
      <c r="Q3090" s="26">
        <v>15</v>
      </c>
      <c r="R3090" s="26">
        <v>1</v>
      </c>
      <c r="S3090" s="40">
        <v>1</v>
      </c>
      <c r="T3090" s="7"/>
      <c r="U3090" s="7" t="s">
        <v>2951</v>
      </c>
      <c r="V3090" s="7" t="str">
        <f>+IF(U3090="","",IF(U3090="FINES",CONCATENATE("R",IF(OR(B3090="16",B3090="21",B3090="22",B3090="23"),"16212223",IF(OR(B3090="15",B3090="17",B3090="24",B3090="25"),"15172425",B3090))),IF(U3090="CEBAS","UNICO",IF(VALUE(B3090)&lt;=11,"AMBA","INTERIOR"))))</f>
        <v>R10</v>
      </c>
      <c r="W3090" s="38" t="str">
        <f>+IF(U3090="","-",CONCATENATE(U3090,"_",V3090))</f>
        <v>FINES_R10</v>
      </c>
      <c r="X3090" s="42">
        <v>0.82</v>
      </c>
    </row>
    <row r="3091" spans="1:24">
      <c r="A3091" s="21" t="s">
        <v>5100</v>
      </c>
      <c r="B3091" t="s">
        <v>138</v>
      </c>
      <c r="C3091" t="s">
        <v>540</v>
      </c>
      <c r="D3091" t="s">
        <v>1766</v>
      </c>
      <c r="E3091" s="7" t="s">
        <v>198</v>
      </c>
      <c r="F3091" s="7" t="s">
        <v>198</v>
      </c>
      <c r="G3091" s="7" t="s">
        <v>198</v>
      </c>
      <c r="H3091" s="7" t="s">
        <v>20</v>
      </c>
      <c r="I3091" s="7" t="s">
        <v>5102</v>
      </c>
      <c r="J3091" s="7" t="s">
        <v>21</v>
      </c>
      <c r="L3091" t="s">
        <v>3532</v>
      </c>
      <c r="M3091" s="7" t="s">
        <v>22</v>
      </c>
      <c r="N3091" s="7" t="s">
        <v>23</v>
      </c>
      <c r="O3091" s="7" t="s">
        <v>27</v>
      </c>
      <c r="P3091" s="7" t="s">
        <v>5101</v>
      </c>
      <c r="Q3091" s="26">
        <v>17</v>
      </c>
      <c r="R3091" s="26">
        <v>1</v>
      </c>
      <c r="S3091" s="40">
        <v>1</v>
      </c>
      <c r="T3091" s="7"/>
      <c r="U3091" s="7" t="s">
        <v>2951</v>
      </c>
      <c r="V3091" s="7" t="str">
        <f>+IF(U3091="","",IF(U3091="FINES",CONCATENATE("R",IF(OR(B3091="16",B3091="21",B3091="22",B3091="23"),"16212223",IF(OR(B3091="15",B3091="17",B3091="24",B3091="25"),"15172425",B3091))),IF(U3091="CEBAS","UNICO",IF(VALUE(B3091)&lt;=11,"AMBA","INTERIOR"))))</f>
        <v>R10</v>
      </c>
      <c r="W3091" s="38" t="str">
        <f>+IF(U3091="","-",CONCATENATE(U3091,"_",V3091))</f>
        <v>FINES_R10</v>
      </c>
      <c r="X3091" s="42">
        <v>0.83399999999999996</v>
      </c>
    </row>
    <row r="3092" spans="1:24">
      <c r="A3092" s="21" t="s">
        <v>5100</v>
      </c>
      <c r="B3092" t="s">
        <v>138</v>
      </c>
      <c r="C3092" t="s">
        <v>643</v>
      </c>
      <c r="D3092" t="s">
        <v>645</v>
      </c>
      <c r="E3092" s="7" t="s">
        <v>198</v>
      </c>
      <c r="F3092" s="7" t="s">
        <v>198</v>
      </c>
      <c r="G3092" s="7" t="s">
        <v>198</v>
      </c>
      <c r="H3092" s="7" t="s">
        <v>20</v>
      </c>
      <c r="I3092" s="7" t="s">
        <v>5102</v>
      </c>
      <c r="J3092" s="7" t="s">
        <v>21</v>
      </c>
      <c r="L3092" t="s">
        <v>4279</v>
      </c>
      <c r="M3092" s="7" t="s">
        <v>22</v>
      </c>
      <c r="N3092" s="7" t="s">
        <v>23</v>
      </c>
      <c r="O3092" s="7" t="s">
        <v>27</v>
      </c>
      <c r="P3092" s="7" t="s">
        <v>5101</v>
      </c>
      <c r="Q3092" s="26">
        <v>18</v>
      </c>
      <c r="R3092" s="26">
        <v>1</v>
      </c>
      <c r="S3092" s="40">
        <v>1</v>
      </c>
      <c r="T3092" s="7"/>
      <c r="U3092" s="7" t="s">
        <v>2951</v>
      </c>
      <c r="V3092" s="7" t="str">
        <f>+IF(U3092="","",IF(U3092="FINES",CONCATENATE("R",IF(OR(B3092="16",B3092="21",B3092="22",B3092="23"),"16212223",IF(OR(B3092="15",B3092="17",B3092="24",B3092="25"),"15172425",B3092))),IF(U3092="CEBAS","UNICO",IF(VALUE(B3092)&lt;=11,"AMBA","INTERIOR"))))</f>
        <v>R10</v>
      </c>
      <c r="W3092" s="38" t="str">
        <f>+IF(U3092="","-",CONCATENATE(U3092,"_",V3092))</f>
        <v>FINES_R10</v>
      </c>
      <c r="X3092" s="42">
        <v>0.84599999999999997</v>
      </c>
    </row>
    <row r="3093" spans="1:24">
      <c r="A3093" s="21" t="s">
        <v>5100</v>
      </c>
      <c r="B3093" t="s">
        <v>138</v>
      </c>
      <c r="C3093" t="s">
        <v>643</v>
      </c>
      <c r="D3093" t="s">
        <v>645</v>
      </c>
      <c r="E3093" s="7" t="s">
        <v>198</v>
      </c>
      <c r="F3093" s="7" t="s">
        <v>198</v>
      </c>
      <c r="G3093" s="7" t="s">
        <v>198</v>
      </c>
      <c r="H3093" s="7" t="s">
        <v>20</v>
      </c>
      <c r="I3093" s="7" t="s">
        <v>5102</v>
      </c>
      <c r="J3093" s="7" t="s">
        <v>21</v>
      </c>
      <c r="L3093" t="s">
        <v>4288</v>
      </c>
      <c r="M3093" s="7" t="s">
        <v>22</v>
      </c>
      <c r="N3093" s="7" t="s">
        <v>23</v>
      </c>
      <c r="O3093" s="7" t="s">
        <v>27</v>
      </c>
      <c r="P3093" s="7" t="s">
        <v>5101</v>
      </c>
      <c r="Q3093" s="26">
        <v>22</v>
      </c>
      <c r="R3093" s="26">
        <v>1</v>
      </c>
      <c r="S3093" s="40">
        <v>1</v>
      </c>
      <c r="T3093" s="7"/>
      <c r="U3093" s="7" t="s">
        <v>2951</v>
      </c>
      <c r="V3093" s="7" t="str">
        <f>+IF(U3093="","",IF(U3093="FINES",CONCATENATE("R",IF(OR(B3093="16",B3093="21",B3093="22",B3093="23"),"16212223",IF(OR(B3093="15",B3093="17",B3093="24",B3093="25"),"15172425",B3093))),IF(U3093="CEBAS","UNICO",IF(VALUE(B3093)&lt;=11,"AMBA","INTERIOR"))))</f>
        <v>R10</v>
      </c>
      <c r="W3093" s="38" t="str">
        <f>+IF(U3093="","-",CONCATENATE(U3093,"_",V3093))</f>
        <v>FINES_R10</v>
      </c>
      <c r="X3093" s="42">
        <v>0.86199999999999999</v>
      </c>
    </row>
    <row r="3094" spans="1:24">
      <c r="A3094" s="21" t="s">
        <v>5100</v>
      </c>
      <c r="B3094" t="s">
        <v>138</v>
      </c>
      <c r="C3094" t="s">
        <v>2199</v>
      </c>
      <c r="D3094" t="s">
        <v>2200</v>
      </c>
      <c r="E3094" s="7" t="s">
        <v>198</v>
      </c>
      <c r="F3094" s="7" t="s">
        <v>198</v>
      </c>
      <c r="G3094" s="7" t="s">
        <v>198</v>
      </c>
      <c r="H3094" s="7" t="s">
        <v>20</v>
      </c>
      <c r="I3094" s="7" t="s">
        <v>5102</v>
      </c>
      <c r="J3094" s="7" t="s">
        <v>21</v>
      </c>
      <c r="L3094" t="s">
        <v>2205</v>
      </c>
      <c r="M3094" s="7" t="s">
        <v>22</v>
      </c>
      <c r="N3094" s="7" t="s">
        <v>23</v>
      </c>
      <c r="O3094" s="7" t="s">
        <v>27</v>
      </c>
      <c r="P3094" s="7" t="s">
        <v>5101</v>
      </c>
      <c r="Q3094" s="26">
        <v>53</v>
      </c>
      <c r="R3094" s="26">
        <v>3</v>
      </c>
      <c r="S3094" s="40">
        <v>1</v>
      </c>
      <c r="T3094" s="7"/>
      <c r="U3094" s="7" t="s">
        <v>2951</v>
      </c>
      <c r="V3094" s="7" t="str">
        <f>+IF(U3094="","",IF(U3094="FINES",CONCATENATE("R",IF(OR(B3094="16",B3094="21",B3094="22",B3094="23"),"16212223",IF(OR(B3094="15",B3094="17",B3094="24",B3094="25"),"15172425",B3094))),IF(U3094="CEBAS","UNICO",IF(VALUE(B3094)&lt;=11,"AMBA","INTERIOR"))))</f>
        <v>R10</v>
      </c>
      <c r="W3094" s="38" t="str">
        <f>+IF(U3094="","-",CONCATENATE(U3094,"_",V3094))</f>
        <v>FINES_R10</v>
      </c>
      <c r="X3094" s="42">
        <v>0.878</v>
      </c>
    </row>
    <row r="3095" spans="1:24">
      <c r="A3095" s="21" t="s">
        <v>5100</v>
      </c>
      <c r="B3095" t="s">
        <v>138</v>
      </c>
      <c r="C3095" t="s">
        <v>436</v>
      </c>
      <c r="D3095" t="s">
        <v>1067</v>
      </c>
      <c r="E3095" s="7" t="s">
        <v>198</v>
      </c>
      <c r="F3095" s="7" t="s">
        <v>198</v>
      </c>
      <c r="G3095" s="7" t="s">
        <v>198</v>
      </c>
      <c r="H3095" s="7" t="s">
        <v>20</v>
      </c>
      <c r="I3095" s="7" t="s">
        <v>5102</v>
      </c>
      <c r="J3095" s="7" t="s">
        <v>21</v>
      </c>
      <c r="L3095" t="s">
        <v>4309</v>
      </c>
      <c r="M3095" s="7" t="s">
        <v>22</v>
      </c>
      <c r="N3095" s="7" t="s">
        <v>23</v>
      </c>
      <c r="O3095" s="7" t="s">
        <v>27</v>
      </c>
      <c r="P3095" s="7" t="s">
        <v>5101</v>
      </c>
      <c r="Q3095" s="26">
        <v>14</v>
      </c>
      <c r="R3095" s="26">
        <v>1</v>
      </c>
      <c r="S3095" s="40">
        <v>1</v>
      </c>
      <c r="T3095" s="7"/>
      <c r="U3095" s="7" t="s">
        <v>2951</v>
      </c>
      <c r="V3095" s="7" t="str">
        <f>+IF(U3095="","",IF(U3095="FINES",CONCATENATE("R",IF(OR(B3095="16",B3095="21",B3095="22",B3095="23"),"16212223",IF(OR(B3095="15",B3095="17",B3095="24",B3095="25"),"15172425",B3095))),IF(U3095="CEBAS","UNICO",IF(VALUE(B3095)&lt;=11,"AMBA","INTERIOR"))))</f>
        <v>R10</v>
      </c>
      <c r="W3095" s="38" t="str">
        <f>+IF(U3095="","-",CONCATENATE(U3095,"_",V3095))</f>
        <v>FINES_R10</v>
      </c>
      <c r="X3095" s="42">
        <v>0.88900000000000001</v>
      </c>
    </row>
    <row r="3096" spans="1:24">
      <c r="A3096" s="21" t="s">
        <v>5100</v>
      </c>
      <c r="B3096" t="s">
        <v>138</v>
      </c>
      <c r="C3096" t="s">
        <v>1507</v>
      </c>
      <c r="D3096" t="s">
        <v>1508</v>
      </c>
      <c r="E3096" s="7" t="s">
        <v>198</v>
      </c>
      <c r="F3096" s="7" t="s">
        <v>198</v>
      </c>
      <c r="G3096" s="7" t="s">
        <v>198</v>
      </c>
      <c r="H3096" s="7" t="s">
        <v>20</v>
      </c>
      <c r="I3096" s="7" t="s">
        <v>5102</v>
      </c>
      <c r="J3096" s="7" t="s">
        <v>21</v>
      </c>
      <c r="L3096" t="s">
        <v>4379</v>
      </c>
      <c r="M3096" s="7" t="s">
        <v>22</v>
      </c>
      <c r="N3096" s="7" t="s">
        <v>23</v>
      </c>
      <c r="O3096" s="7" t="s">
        <v>27</v>
      </c>
      <c r="P3096" s="7" t="s">
        <v>5101</v>
      </c>
      <c r="Q3096" s="26">
        <v>35</v>
      </c>
      <c r="R3096" s="26">
        <v>2</v>
      </c>
      <c r="S3096" s="40">
        <v>1</v>
      </c>
      <c r="T3096" s="7"/>
      <c r="U3096" s="7" t="s">
        <v>2951</v>
      </c>
      <c r="V3096" s="7" t="str">
        <f>+IF(U3096="","",IF(U3096="FINES",CONCATENATE("R",IF(OR(B3096="16",B3096="21",B3096="22",B3096="23"),"16212223",IF(OR(B3096="15",B3096="17",B3096="24",B3096="25"),"15172425",B3096))),IF(U3096="CEBAS","UNICO",IF(VALUE(B3096)&lt;=11,"AMBA","INTERIOR"))))</f>
        <v>R10</v>
      </c>
      <c r="W3096" s="38" t="str">
        <f>+IF(U3096="","-",CONCATENATE(U3096,"_",V3096))</f>
        <v>FINES_R10</v>
      </c>
      <c r="X3096" s="42">
        <v>0.89</v>
      </c>
    </row>
    <row r="3097" spans="1:24">
      <c r="A3097" s="21" t="s">
        <v>5100</v>
      </c>
      <c r="B3097" t="s">
        <v>138</v>
      </c>
      <c r="C3097" t="s">
        <v>555</v>
      </c>
      <c r="D3097" t="s">
        <v>2392</v>
      </c>
      <c r="E3097" s="7" t="s">
        <v>198</v>
      </c>
      <c r="F3097" s="7" t="s">
        <v>198</v>
      </c>
      <c r="G3097" s="7" t="s">
        <v>198</v>
      </c>
      <c r="H3097" s="7" t="s">
        <v>20</v>
      </c>
      <c r="I3097" s="7" t="s">
        <v>5102</v>
      </c>
      <c r="J3097" s="7" t="s">
        <v>21</v>
      </c>
      <c r="L3097" t="s">
        <v>4405</v>
      </c>
      <c r="M3097" s="7" t="s">
        <v>22</v>
      </c>
      <c r="N3097" s="7" t="s">
        <v>23</v>
      </c>
      <c r="O3097" s="7" t="s">
        <v>27</v>
      </c>
      <c r="P3097" s="7" t="s">
        <v>5101</v>
      </c>
      <c r="Q3097" s="26">
        <v>9</v>
      </c>
      <c r="R3097" s="26">
        <v>1</v>
      </c>
      <c r="S3097" s="40">
        <v>1</v>
      </c>
      <c r="T3097" s="7"/>
      <c r="U3097" s="7" t="s">
        <v>2951</v>
      </c>
      <c r="V3097" s="7" t="str">
        <f>+IF(U3097="","",IF(U3097="FINES",CONCATENATE("R",IF(OR(B3097="16",B3097="21",B3097="22",B3097="23"),"16212223",IF(OR(B3097="15",B3097="17",B3097="24",B3097="25"),"15172425",B3097))),IF(U3097="CEBAS","UNICO",IF(VALUE(B3097)&lt;=11,"AMBA","INTERIOR"))))</f>
        <v>R10</v>
      </c>
      <c r="W3097" s="38" t="str">
        <f>+IF(U3097="","-",CONCATENATE(U3097,"_",V3097))</f>
        <v>FINES_R10</v>
      </c>
      <c r="X3097" s="42">
        <v>0.89600000000000002</v>
      </c>
    </row>
    <row r="3098" spans="1:24">
      <c r="A3098" s="21" t="s">
        <v>5100</v>
      </c>
      <c r="B3098" t="s">
        <v>138</v>
      </c>
      <c r="C3098" t="s">
        <v>436</v>
      </c>
      <c r="D3098" t="s">
        <v>1067</v>
      </c>
      <c r="E3098" s="7" t="s">
        <v>198</v>
      </c>
      <c r="F3098" s="7" t="s">
        <v>198</v>
      </c>
      <c r="G3098" s="7" t="s">
        <v>198</v>
      </c>
      <c r="H3098" s="7" t="s">
        <v>20</v>
      </c>
      <c r="I3098" s="7" t="s">
        <v>5102</v>
      </c>
      <c r="J3098" s="7" t="s">
        <v>21</v>
      </c>
      <c r="L3098" t="s">
        <v>4322</v>
      </c>
      <c r="M3098" s="7" t="s">
        <v>22</v>
      </c>
      <c r="N3098" s="7" t="s">
        <v>23</v>
      </c>
      <c r="O3098" s="7" t="s">
        <v>27</v>
      </c>
      <c r="P3098" s="7" t="s">
        <v>5101</v>
      </c>
      <c r="Q3098" s="26">
        <v>12</v>
      </c>
      <c r="R3098" s="26">
        <v>1</v>
      </c>
      <c r="S3098" s="40">
        <v>1</v>
      </c>
      <c r="T3098" s="7"/>
      <c r="U3098" s="7" t="s">
        <v>2951</v>
      </c>
      <c r="V3098" s="7" t="str">
        <f>+IF(U3098="","",IF(U3098="FINES",CONCATENATE("R",IF(OR(B3098="16",B3098="21",B3098="22",B3098="23"),"16212223",IF(OR(B3098="15",B3098="17",B3098="24",B3098="25"),"15172425",B3098))),IF(U3098="CEBAS","UNICO",IF(VALUE(B3098)&lt;=11,"AMBA","INTERIOR"))))</f>
        <v>R10</v>
      </c>
      <c r="W3098" s="38" t="str">
        <f>+IF(U3098="","-",CONCATENATE(U3098,"_",V3098))</f>
        <v>FINES_R10</v>
      </c>
      <c r="X3098" s="42">
        <v>0.89700000000000002</v>
      </c>
    </row>
    <row r="3099" spans="1:24">
      <c r="A3099" s="21" t="s">
        <v>5100</v>
      </c>
      <c r="B3099" t="s">
        <v>138</v>
      </c>
      <c r="C3099" t="s">
        <v>522</v>
      </c>
      <c r="D3099" t="s">
        <v>1468</v>
      </c>
      <c r="E3099" s="7" t="s">
        <v>198</v>
      </c>
      <c r="F3099" s="7" t="s">
        <v>198</v>
      </c>
      <c r="G3099" s="7" t="s">
        <v>198</v>
      </c>
      <c r="H3099" s="7" t="s">
        <v>20</v>
      </c>
      <c r="I3099" s="7" t="s">
        <v>5102</v>
      </c>
      <c r="J3099" s="7" t="s">
        <v>21</v>
      </c>
      <c r="L3099" t="s">
        <v>4344</v>
      </c>
      <c r="M3099" s="7" t="s">
        <v>22</v>
      </c>
      <c r="N3099" s="7" t="s">
        <v>23</v>
      </c>
      <c r="O3099" s="7" t="s">
        <v>27</v>
      </c>
      <c r="P3099" s="7" t="s">
        <v>5101</v>
      </c>
      <c r="Q3099" s="26">
        <v>18</v>
      </c>
      <c r="R3099" s="26">
        <v>1</v>
      </c>
      <c r="S3099" s="40">
        <v>1</v>
      </c>
      <c r="T3099" s="7"/>
      <c r="U3099" s="7" t="s">
        <v>2951</v>
      </c>
      <c r="V3099" s="7" t="str">
        <f>+IF(U3099="","",IF(U3099="FINES",CONCATENATE("R",IF(OR(B3099="16",B3099="21",B3099="22",B3099="23"),"16212223",IF(OR(B3099="15",B3099="17",B3099="24",B3099="25"),"15172425",B3099))),IF(U3099="CEBAS","UNICO",IF(VALUE(B3099)&lt;=11,"AMBA","INTERIOR"))))</f>
        <v>R10</v>
      </c>
      <c r="W3099" s="38" t="str">
        <f>+IF(U3099="","-",CONCATENATE(U3099,"_",V3099))</f>
        <v>FINES_R10</v>
      </c>
      <c r="X3099" s="42">
        <v>0.89800000000000002</v>
      </c>
    </row>
    <row r="3100" spans="1:24">
      <c r="A3100" s="21" t="s">
        <v>5100</v>
      </c>
      <c r="B3100" t="s">
        <v>138</v>
      </c>
      <c r="C3100" t="s">
        <v>522</v>
      </c>
      <c r="D3100" t="s">
        <v>1468</v>
      </c>
      <c r="E3100" s="7" t="s">
        <v>198</v>
      </c>
      <c r="F3100" s="7" t="s">
        <v>198</v>
      </c>
      <c r="G3100" s="7" t="s">
        <v>198</v>
      </c>
      <c r="H3100" s="7" t="s">
        <v>20</v>
      </c>
      <c r="I3100" s="7" t="s">
        <v>5102</v>
      </c>
      <c r="J3100" s="7" t="s">
        <v>21</v>
      </c>
      <c r="L3100" t="s">
        <v>4361</v>
      </c>
      <c r="M3100" s="7" t="s">
        <v>22</v>
      </c>
      <c r="N3100" s="7" t="s">
        <v>23</v>
      </c>
      <c r="O3100" s="7" t="s">
        <v>27</v>
      </c>
      <c r="P3100" s="7" t="s">
        <v>5101</v>
      </c>
      <c r="Q3100" s="26">
        <v>10</v>
      </c>
      <c r="R3100" s="26">
        <v>1</v>
      </c>
      <c r="S3100" s="40">
        <v>1</v>
      </c>
      <c r="T3100" s="7"/>
      <c r="U3100" s="7" t="s">
        <v>2951</v>
      </c>
      <c r="V3100" s="7" t="str">
        <f>+IF(U3100="","",IF(U3100="FINES",CONCATENATE("R",IF(OR(B3100="16",B3100="21",B3100="22",B3100="23"),"16212223",IF(OR(B3100="15",B3100="17",B3100="24",B3100="25"),"15172425",B3100))),IF(U3100="CEBAS","UNICO",IF(VALUE(B3100)&lt;=11,"AMBA","INTERIOR"))))</f>
        <v>R10</v>
      </c>
      <c r="W3100" s="38" t="str">
        <f>+IF(U3100="","-",CONCATENATE(U3100,"_",V3100))</f>
        <v>FINES_R10</v>
      </c>
      <c r="X3100" s="42">
        <v>0.90700000000000003</v>
      </c>
    </row>
    <row r="3101" spans="1:24">
      <c r="A3101" s="21" t="s">
        <v>5100</v>
      </c>
      <c r="B3101" t="s">
        <v>138</v>
      </c>
      <c r="C3101" t="s">
        <v>436</v>
      </c>
      <c r="D3101" t="s">
        <v>1067</v>
      </c>
      <c r="E3101" s="7" t="s">
        <v>198</v>
      </c>
      <c r="F3101" s="7" t="s">
        <v>198</v>
      </c>
      <c r="G3101" s="7" t="s">
        <v>198</v>
      </c>
      <c r="H3101" s="7" t="s">
        <v>20</v>
      </c>
      <c r="I3101" s="7" t="s">
        <v>5102</v>
      </c>
      <c r="J3101" s="7" t="s">
        <v>21</v>
      </c>
      <c r="L3101" t="s">
        <v>4326</v>
      </c>
      <c r="M3101" s="7" t="s">
        <v>22</v>
      </c>
      <c r="N3101" s="7" t="s">
        <v>23</v>
      </c>
      <c r="O3101" s="7" t="s">
        <v>27</v>
      </c>
      <c r="P3101" s="7" t="s">
        <v>5101</v>
      </c>
      <c r="Q3101" s="26">
        <v>26</v>
      </c>
      <c r="R3101" s="26">
        <v>1</v>
      </c>
      <c r="S3101" s="40">
        <v>1</v>
      </c>
      <c r="T3101" s="7"/>
      <c r="U3101" s="7" t="s">
        <v>2951</v>
      </c>
      <c r="V3101" s="7" t="str">
        <f>+IF(U3101="","",IF(U3101="FINES",CONCATENATE("R",IF(OR(B3101="16",B3101="21",B3101="22",B3101="23"),"16212223",IF(OR(B3101="15",B3101="17",B3101="24",B3101="25"),"15172425",B3101))),IF(U3101="CEBAS","UNICO",IF(VALUE(B3101)&lt;=11,"AMBA","INTERIOR"))))</f>
        <v>R10</v>
      </c>
      <c r="W3101" s="38" t="str">
        <f>+IF(U3101="","-",CONCATENATE(U3101,"_",V3101))</f>
        <v>FINES_R10</v>
      </c>
      <c r="X3101" s="42">
        <v>0.93100000000000005</v>
      </c>
    </row>
    <row r="3102" spans="1:24">
      <c r="A3102" s="21" t="s">
        <v>5100</v>
      </c>
      <c r="B3102" t="s">
        <v>138</v>
      </c>
      <c r="C3102" t="s">
        <v>643</v>
      </c>
      <c r="D3102" t="s">
        <v>645</v>
      </c>
      <c r="E3102" s="7" t="s">
        <v>198</v>
      </c>
      <c r="F3102" s="7" t="s">
        <v>198</v>
      </c>
      <c r="G3102" s="7" t="s">
        <v>198</v>
      </c>
      <c r="H3102" s="7" t="s">
        <v>20</v>
      </c>
      <c r="I3102" s="7" t="s">
        <v>5102</v>
      </c>
      <c r="J3102" s="7" t="s">
        <v>21</v>
      </c>
      <c r="L3102" t="s">
        <v>4280</v>
      </c>
      <c r="M3102" s="7" t="s">
        <v>22</v>
      </c>
      <c r="N3102" s="7" t="s">
        <v>23</v>
      </c>
      <c r="O3102" s="7" t="s">
        <v>27</v>
      </c>
      <c r="P3102" s="7" t="s">
        <v>5101</v>
      </c>
      <c r="Q3102" s="26">
        <v>40</v>
      </c>
      <c r="R3102" s="26">
        <v>2</v>
      </c>
      <c r="S3102" s="40">
        <v>1</v>
      </c>
      <c r="T3102" s="7"/>
      <c r="U3102" s="7" t="s">
        <v>2951</v>
      </c>
      <c r="V3102" s="7" t="str">
        <f>+IF(U3102="","",IF(U3102="FINES",CONCATENATE("R",IF(OR(B3102="16",B3102="21",B3102="22",B3102="23"),"16212223",IF(OR(B3102="15",B3102="17",B3102="24",B3102="25"),"15172425",B3102))),IF(U3102="CEBAS","UNICO",IF(VALUE(B3102)&lt;=11,"AMBA","INTERIOR"))))</f>
        <v>R10</v>
      </c>
      <c r="W3102" s="38" t="str">
        <f>+IF(U3102="","-",CONCATENATE(U3102,"_",V3102))</f>
        <v>FINES_R10</v>
      </c>
      <c r="X3102" s="42">
        <v>0.95499999999999996</v>
      </c>
    </row>
    <row r="3103" spans="1:24">
      <c r="A3103" s="21" t="s">
        <v>5100</v>
      </c>
      <c r="B3103" t="s">
        <v>138</v>
      </c>
      <c r="C3103" t="s">
        <v>436</v>
      </c>
      <c r="D3103" t="s">
        <v>1067</v>
      </c>
      <c r="E3103" s="7" t="s">
        <v>198</v>
      </c>
      <c r="F3103" s="7" t="s">
        <v>198</v>
      </c>
      <c r="G3103" s="7" t="s">
        <v>198</v>
      </c>
      <c r="H3103" s="7" t="s">
        <v>20</v>
      </c>
      <c r="I3103" s="7" t="s">
        <v>5102</v>
      </c>
      <c r="J3103" s="7" t="s">
        <v>21</v>
      </c>
      <c r="L3103" t="s">
        <v>3162</v>
      </c>
      <c r="M3103" s="7" t="s">
        <v>22</v>
      </c>
      <c r="N3103" s="7" t="s">
        <v>23</v>
      </c>
      <c r="O3103" s="7" t="s">
        <v>27</v>
      </c>
      <c r="P3103" s="7" t="s">
        <v>5101</v>
      </c>
      <c r="Q3103" s="26">
        <v>21</v>
      </c>
      <c r="R3103" s="26">
        <v>1</v>
      </c>
      <c r="S3103" s="40">
        <v>1</v>
      </c>
      <c r="T3103" s="7"/>
      <c r="U3103" s="7" t="s">
        <v>2951</v>
      </c>
      <c r="V3103" s="7" t="str">
        <f>+IF(U3103="","",IF(U3103="FINES",CONCATENATE("R",IF(OR(B3103="16",B3103="21",B3103="22",B3103="23"),"16212223",IF(OR(B3103="15",B3103="17",B3103="24",B3103="25"),"15172425",B3103))),IF(U3103="CEBAS","UNICO",IF(VALUE(B3103)&lt;=11,"AMBA","INTERIOR"))))</f>
        <v>R10</v>
      </c>
      <c r="W3103" s="38" t="str">
        <f>+IF(U3103="","-",CONCATENATE(U3103,"_",V3103))</f>
        <v>FINES_R10</v>
      </c>
      <c r="X3103" s="42">
        <v>0.95699999999999996</v>
      </c>
    </row>
    <row r="3104" spans="1:24">
      <c r="A3104" s="21" t="s">
        <v>5100</v>
      </c>
      <c r="B3104" t="s">
        <v>138</v>
      </c>
      <c r="C3104" t="s">
        <v>643</v>
      </c>
      <c r="D3104" t="s">
        <v>645</v>
      </c>
      <c r="E3104" s="7" t="s">
        <v>198</v>
      </c>
      <c r="F3104" s="7" t="s">
        <v>198</v>
      </c>
      <c r="G3104" s="7" t="s">
        <v>198</v>
      </c>
      <c r="H3104" s="7" t="s">
        <v>20</v>
      </c>
      <c r="I3104" s="7" t="s">
        <v>5102</v>
      </c>
      <c r="J3104" s="7" t="s">
        <v>21</v>
      </c>
      <c r="L3104" t="s">
        <v>4296</v>
      </c>
      <c r="M3104" s="7" t="s">
        <v>22</v>
      </c>
      <c r="N3104" s="7" t="s">
        <v>23</v>
      </c>
      <c r="O3104" s="7" t="s">
        <v>27</v>
      </c>
      <c r="P3104" s="7" t="s">
        <v>5101</v>
      </c>
      <c r="Q3104" s="26">
        <v>26</v>
      </c>
      <c r="R3104" s="26">
        <v>1</v>
      </c>
      <c r="S3104" s="40">
        <v>1</v>
      </c>
      <c r="T3104" s="7"/>
      <c r="U3104" s="7" t="s">
        <v>2951</v>
      </c>
      <c r="V3104" s="7" t="str">
        <f>+IF(U3104="","",IF(U3104="FINES",CONCATENATE("R",IF(OR(B3104="16",B3104="21",B3104="22",B3104="23"),"16212223",IF(OR(B3104="15",B3104="17",B3104="24",B3104="25"),"15172425",B3104))),IF(U3104="CEBAS","UNICO",IF(VALUE(B3104)&lt;=11,"AMBA","INTERIOR"))))</f>
        <v>R10</v>
      </c>
      <c r="W3104" s="38" t="str">
        <f>+IF(U3104="","-",CONCATENATE(U3104,"_",V3104))</f>
        <v>FINES_R10</v>
      </c>
      <c r="X3104" s="42">
        <v>0.96099999999999997</v>
      </c>
    </row>
    <row r="3105" spans="1:24">
      <c r="A3105" s="21" t="s">
        <v>5100</v>
      </c>
      <c r="B3105" t="s">
        <v>138</v>
      </c>
      <c r="C3105" t="s">
        <v>1507</v>
      </c>
      <c r="D3105" t="s">
        <v>1508</v>
      </c>
      <c r="E3105" s="7" t="s">
        <v>198</v>
      </c>
      <c r="F3105" s="7" t="s">
        <v>198</v>
      </c>
      <c r="G3105" s="7" t="s">
        <v>198</v>
      </c>
      <c r="H3105" s="7" t="s">
        <v>20</v>
      </c>
      <c r="I3105" s="7" t="s">
        <v>5102</v>
      </c>
      <c r="J3105" s="7" t="s">
        <v>21</v>
      </c>
      <c r="L3105" t="s">
        <v>4367</v>
      </c>
      <c r="M3105" s="7" t="s">
        <v>22</v>
      </c>
      <c r="N3105" s="7" t="s">
        <v>23</v>
      </c>
      <c r="O3105" s="7" t="s">
        <v>27</v>
      </c>
      <c r="P3105" s="7" t="s">
        <v>5101</v>
      </c>
      <c r="Q3105" s="26">
        <v>20</v>
      </c>
      <c r="R3105" s="26">
        <v>1</v>
      </c>
      <c r="S3105" s="40">
        <v>1</v>
      </c>
      <c r="T3105" s="7"/>
      <c r="U3105" s="7" t="s">
        <v>2951</v>
      </c>
      <c r="V3105" s="7" t="str">
        <f>+IF(U3105="","",IF(U3105="FINES",CONCATENATE("R",IF(OR(B3105="16",B3105="21",B3105="22",B3105="23"),"16212223",IF(OR(B3105="15",B3105="17",B3105="24",B3105="25"),"15172425",B3105))),IF(U3105="CEBAS","UNICO",IF(VALUE(B3105)&lt;=11,"AMBA","INTERIOR"))))</f>
        <v>R10</v>
      </c>
      <c r="W3105" s="38" t="str">
        <f>+IF(U3105="","-",CONCATENATE(U3105,"_",V3105))</f>
        <v>FINES_R10</v>
      </c>
      <c r="X3105" s="42">
        <v>0.96099999999999997</v>
      </c>
    </row>
    <row r="3106" spans="1:24">
      <c r="A3106" s="21" t="s">
        <v>5100</v>
      </c>
      <c r="B3106" t="s">
        <v>138</v>
      </c>
      <c r="C3106" t="s">
        <v>643</v>
      </c>
      <c r="D3106" t="s">
        <v>645</v>
      </c>
      <c r="E3106" s="7" t="s">
        <v>198</v>
      </c>
      <c r="F3106" s="7" t="s">
        <v>198</v>
      </c>
      <c r="G3106" s="7" t="s">
        <v>198</v>
      </c>
      <c r="H3106" s="7" t="s">
        <v>20</v>
      </c>
      <c r="I3106" s="7" t="s">
        <v>5102</v>
      </c>
      <c r="J3106" s="7" t="s">
        <v>21</v>
      </c>
      <c r="L3106" t="s">
        <v>4295</v>
      </c>
      <c r="M3106" s="7" t="s">
        <v>22</v>
      </c>
      <c r="N3106" s="7" t="s">
        <v>23</v>
      </c>
      <c r="O3106" s="7" t="s">
        <v>27</v>
      </c>
      <c r="P3106" s="7" t="s">
        <v>5101</v>
      </c>
      <c r="Q3106" s="26">
        <v>17</v>
      </c>
      <c r="R3106" s="26">
        <v>1</v>
      </c>
      <c r="S3106" s="40">
        <v>1</v>
      </c>
      <c r="T3106" s="7"/>
      <c r="U3106" s="7" t="s">
        <v>2951</v>
      </c>
      <c r="V3106" s="7" t="str">
        <f>+IF(U3106="","",IF(U3106="FINES",CONCATENATE("R",IF(OR(B3106="16",B3106="21",B3106="22",B3106="23"),"16212223",IF(OR(B3106="15",B3106="17",B3106="24",B3106="25"),"15172425",B3106))),IF(U3106="CEBAS","UNICO",IF(VALUE(B3106)&lt;=11,"AMBA","INTERIOR"))))</f>
        <v>R10</v>
      </c>
      <c r="W3106" s="38" t="str">
        <f>+IF(U3106="","-",CONCATENATE(U3106,"_",V3106))</f>
        <v>FINES_R10</v>
      </c>
      <c r="X3106" s="42">
        <v>0.96099999999999997</v>
      </c>
    </row>
    <row r="3107" spans="1:24">
      <c r="A3107" s="21" t="s">
        <v>5100</v>
      </c>
      <c r="B3107" t="s">
        <v>138</v>
      </c>
      <c r="C3107" t="s">
        <v>1507</v>
      </c>
      <c r="D3107" t="s">
        <v>1508</v>
      </c>
      <c r="E3107" s="7" t="s">
        <v>198</v>
      </c>
      <c r="F3107" s="7" t="s">
        <v>198</v>
      </c>
      <c r="G3107" s="7" t="s">
        <v>198</v>
      </c>
      <c r="H3107" s="7" t="s">
        <v>20</v>
      </c>
      <c r="I3107" s="7" t="s">
        <v>5102</v>
      </c>
      <c r="J3107" s="7" t="s">
        <v>21</v>
      </c>
      <c r="L3107" t="s">
        <v>4368</v>
      </c>
      <c r="M3107" s="7" t="s">
        <v>22</v>
      </c>
      <c r="N3107" s="7" t="s">
        <v>23</v>
      </c>
      <c r="O3107" s="7" t="s">
        <v>27</v>
      </c>
      <c r="P3107" s="7" t="s">
        <v>5101</v>
      </c>
      <c r="Q3107" s="26">
        <v>8</v>
      </c>
      <c r="R3107" s="26">
        <v>1</v>
      </c>
      <c r="S3107" s="40">
        <v>1</v>
      </c>
      <c r="T3107" s="7"/>
      <c r="U3107" s="7" t="s">
        <v>2951</v>
      </c>
      <c r="V3107" s="7" t="str">
        <f>+IF(U3107="","",IF(U3107="FINES",CONCATENATE("R",IF(OR(B3107="16",B3107="21",B3107="22",B3107="23"),"16212223",IF(OR(B3107="15",B3107="17",B3107="24",B3107="25"),"15172425",B3107))),IF(U3107="CEBAS","UNICO",IF(VALUE(B3107)&lt;=11,"AMBA","INTERIOR"))))</f>
        <v>R10</v>
      </c>
      <c r="W3107" s="38" t="str">
        <f>+IF(U3107="","-",CONCATENATE(U3107,"_",V3107))</f>
        <v>FINES_R10</v>
      </c>
      <c r="X3107" s="42">
        <v>0.96599999999999997</v>
      </c>
    </row>
    <row r="3108" spans="1:24">
      <c r="A3108" s="21" t="s">
        <v>5100</v>
      </c>
      <c r="B3108" t="s">
        <v>138</v>
      </c>
      <c r="C3108" t="s">
        <v>436</v>
      </c>
      <c r="D3108" t="s">
        <v>1067</v>
      </c>
      <c r="E3108" s="7" t="s">
        <v>198</v>
      </c>
      <c r="F3108" s="7" t="s">
        <v>198</v>
      </c>
      <c r="G3108" s="7" t="s">
        <v>198</v>
      </c>
      <c r="H3108" s="7" t="s">
        <v>20</v>
      </c>
      <c r="I3108" s="7" t="s">
        <v>5102</v>
      </c>
      <c r="J3108" s="7" t="s">
        <v>21</v>
      </c>
      <c r="L3108" t="s">
        <v>4320</v>
      </c>
      <c r="M3108" s="7" t="s">
        <v>22</v>
      </c>
      <c r="N3108" s="7" t="s">
        <v>23</v>
      </c>
      <c r="O3108" s="7" t="s">
        <v>27</v>
      </c>
      <c r="P3108" s="7" t="s">
        <v>5101</v>
      </c>
      <c r="Q3108" s="26">
        <v>17</v>
      </c>
      <c r="R3108" s="26">
        <v>1</v>
      </c>
      <c r="S3108" s="40">
        <v>1</v>
      </c>
      <c r="T3108" s="7"/>
      <c r="U3108" s="7" t="s">
        <v>2951</v>
      </c>
      <c r="V3108" s="7" t="str">
        <f>+IF(U3108="","",IF(U3108="FINES",CONCATENATE("R",IF(OR(B3108="16",B3108="21",B3108="22",B3108="23"),"16212223",IF(OR(B3108="15",B3108="17",B3108="24",B3108="25"),"15172425",B3108))),IF(U3108="CEBAS","UNICO",IF(VALUE(B3108)&lt;=11,"AMBA","INTERIOR"))))</f>
        <v>R10</v>
      </c>
      <c r="W3108" s="38" t="str">
        <f>+IF(U3108="","-",CONCATENATE(U3108,"_",V3108))</f>
        <v>FINES_R10</v>
      </c>
      <c r="X3108" s="42">
        <v>0.96599999999999997</v>
      </c>
    </row>
    <row r="3109" spans="1:24">
      <c r="A3109" s="21" t="s">
        <v>5100</v>
      </c>
      <c r="B3109" t="s">
        <v>138</v>
      </c>
      <c r="C3109" t="s">
        <v>522</v>
      </c>
      <c r="D3109" t="s">
        <v>1468</v>
      </c>
      <c r="E3109" s="7" t="s">
        <v>198</v>
      </c>
      <c r="F3109" s="7" t="s">
        <v>198</v>
      </c>
      <c r="G3109" s="7" t="s">
        <v>198</v>
      </c>
      <c r="H3109" s="7" t="s">
        <v>20</v>
      </c>
      <c r="I3109" s="7" t="s">
        <v>5102</v>
      </c>
      <c r="J3109" s="7" t="s">
        <v>21</v>
      </c>
      <c r="L3109" t="s">
        <v>4362</v>
      </c>
      <c r="M3109" s="7" t="s">
        <v>22</v>
      </c>
      <c r="N3109" s="7" t="s">
        <v>23</v>
      </c>
      <c r="O3109" s="7" t="s">
        <v>27</v>
      </c>
      <c r="P3109" s="7" t="s">
        <v>5101</v>
      </c>
      <c r="Q3109" s="26">
        <v>3</v>
      </c>
      <c r="R3109" s="26">
        <v>1</v>
      </c>
      <c r="S3109" s="40">
        <v>1</v>
      </c>
      <c r="T3109" s="7"/>
      <c r="U3109" s="7" t="s">
        <v>2951</v>
      </c>
      <c r="V3109" s="7" t="str">
        <f>+IF(U3109="","",IF(U3109="FINES",CONCATENATE("R",IF(OR(B3109="16",B3109="21",B3109="22",B3109="23"),"16212223",IF(OR(B3109="15",B3109="17",B3109="24",B3109="25"),"15172425",B3109))),IF(U3109="CEBAS","UNICO",IF(VALUE(B3109)&lt;=11,"AMBA","INTERIOR"))))</f>
        <v>R10</v>
      </c>
      <c r="W3109" s="38" t="str">
        <f>+IF(U3109="","-",CONCATENATE(U3109,"_",V3109))</f>
        <v>FINES_R10</v>
      </c>
      <c r="X3109" s="42">
        <v>0.96699999999999997</v>
      </c>
    </row>
    <row r="3110" spans="1:24">
      <c r="A3110" s="21" t="s">
        <v>5100</v>
      </c>
      <c r="B3110" t="s">
        <v>138</v>
      </c>
      <c r="C3110" t="s">
        <v>1507</v>
      </c>
      <c r="D3110" t="s">
        <v>1508</v>
      </c>
      <c r="E3110" s="7" t="s">
        <v>198</v>
      </c>
      <c r="F3110" s="7" t="s">
        <v>198</v>
      </c>
      <c r="G3110" s="7" t="s">
        <v>198</v>
      </c>
      <c r="H3110" s="7" t="s">
        <v>20</v>
      </c>
      <c r="I3110" s="7" t="s">
        <v>5102</v>
      </c>
      <c r="J3110" s="7" t="s">
        <v>21</v>
      </c>
      <c r="L3110" t="s">
        <v>4382</v>
      </c>
      <c r="M3110" s="7" t="s">
        <v>22</v>
      </c>
      <c r="N3110" s="7" t="s">
        <v>23</v>
      </c>
      <c r="O3110" s="7" t="s">
        <v>27</v>
      </c>
      <c r="P3110" s="7" t="s">
        <v>5101</v>
      </c>
      <c r="Q3110" s="26">
        <v>6</v>
      </c>
      <c r="R3110" s="26">
        <v>1</v>
      </c>
      <c r="S3110" s="40">
        <v>1</v>
      </c>
      <c r="T3110" s="7"/>
      <c r="U3110" s="7" t="s">
        <v>2951</v>
      </c>
      <c r="V3110" s="7" t="str">
        <f>+IF(U3110="","",IF(U3110="FINES",CONCATENATE("R",IF(OR(B3110="16",B3110="21",B3110="22",B3110="23"),"16212223",IF(OR(B3110="15",B3110="17",B3110="24",B3110="25"),"15172425",B3110))),IF(U3110="CEBAS","UNICO",IF(VALUE(B3110)&lt;=11,"AMBA","INTERIOR"))))</f>
        <v>R10</v>
      </c>
      <c r="W3110" s="38" t="str">
        <f>+IF(U3110="","-",CONCATENATE(U3110,"_",V3110))</f>
        <v>FINES_R10</v>
      </c>
      <c r="X3110" s="42">
        <v>0.96799999999999997</v>
      </c>
    </row>
    <row r="3111" spans="1:24">
      <c r="A3111" s="21" t="s">
        <v>5100</v>
      </c>
      <c r="B3111" t="s">
        <v>138</v>
      </c>
      <c r="C3111" t="s">
        <v>436</v>
      </c>
      <c r="D3111" t="s">
        <v>1067</v>
      </c>
      <c r="E3111" s="7" t="s">
        <v>198</v>
      </c>
      <c r="F3111" s="7" t="s">
        <v>198</v>
      </c>
      <c r="G3111" s="7" t="s">
        <v>198</v>
      </c>
      <c r="H3111" s="7" t="s">
        <v>20</v>
      </c>
      <c r="I3111" s="7" t="s">
        <v>5102</v>
      </c>
      <c r="J3111" s="7" t="s">
        <v>21</v>
      </c>
      <c r="L3111" t="s">
        <v>4319</v>
      </c>
      <c r="M3111" s="7" t="s">
        <v>22</v>
      </c>
      <c r="N3111" s="7" t="s">
        <v>23</v>
      </c>
      <c r="O3111" s="7" t="s">
        <v>27</v>
      </c>
      <c r="P3111" s="7" t="s">
        <v>5101</v>
      </c>
      <c r="Q3111" s="26">
        <v>28</v>
      </c>
      <c r="R3111" s="26">
        <v>1</v>
      </c>
      <c r="S3111" s="40">
        <v>1</v>
      </c>
      <c r="T3111" s="7"/>
      <c r="U3111" s="7" t="s">
        <v>2951</v>
      </c>
      <c r="V3111" s="7" t="str">
        <f>+IF(U3111="","",IF(U3111="FINES",CONCATENATE("R",IF(OR(B3111="16",B3111="21",B3111="22",B3111="23"),"16212223",IF(OR(B3111="15",B3111="17",B3111="24",B3111="25"),"15172425",B3111))),IF(U3111="CEBAS","UNICO",IF(VALUE(B3111)&lt;=11,"AMBA","INTERIOR"))))</f>
        <v>R10</v>
      </c>
      <c r="W3111" s="38" t="str">
        <f>+IF(U3111="","-",CONCATENATE(U3111,"_",V3111))</f>
        <v>FINES_R10</v>
      </c>
      <c r="X3111" s="42">
        <v>0.97199999999999998</v>
      </c>
    </row>
    <row r="3112" spans="1:24">
      <c r="A3112" s="21" t="s">
        <v>5100</v>
      </c>
      <c r="B3112" t="s">
        <v>138</v>
      </c>
      <c r="C3112" t="s">
        <v>522</v>
      </c>
      <c r="D3112" t="s">
        <v>1468</v>
      </c>
      <c r="E3112" s="7" t="s">
        <v>198</v>
      </c>
      <c r="F3112" s="7" t="s">
        <v>198</v>
      </c>
      <c r="G3112" s="7" t="s">
        <v>198</v>
      </c>
      <c r="H3112" s="7" t="s">
        <v>20</v>
      </c>
      <c r="I3112" s="7" t="s">
        <v>5102</v>
      </c>
      <c r="J3112" s="7" t="s">
        <v>21</v>
      </c>
      <c r="L3112" t="s">
        <v>4341</v>
      </c>
      <c r="M3112" s="7" t="s">
        <v>22</v>
      </c>
      <c r="N3112" s="7" t="s">
        <v>23</v>
      </c>
      <c r="O3112" s="7" t="s">
        <v>27</v>
      </c>
      <c r="P3112" s="7" t="s">
        <v>5101</v>
      </c>
      <c r="Q3112" s="26">
        <v>7</v>
      </c>
      <c r="R3112" s="26">
        <v>1</v>
      </c>
      <c r="S3112" s="40">
        <v>1</v>
      </c>
      <c r="T3112" s="7"/>
      <c r="U3112" s="7" t="s">
        <v>2951</v>
      </c>
      <c r="V3112" s="7" t="str">
        <f>+IF(U3112="","",IF(U3112="FINES",CONCATENATE("R",IF(OR(B3112="16",B3112="21",B3112="22",B3112="23"),"16212223",IF(OR(B3112="15",B3112="17",B3112="24",B3112="25"),"15172425",B3112))),IF(U3112="CEBAS","UNICO",IF(VALUE(B3112)&lt;=11,"AMBA","INTERIOR"))))</f>
        <v>R10</v>
      </c>
      <c r="W3112" s="38" t="str">
        <f>+IF(U3112="","-",CONCATENATE(U3112,"_",V3112))</f>
        <v>FINES_R10</v>
      </c>
      <c r="X3112" s="42">
        <v>0.97299999999999998</v>
      </c>
    </row>
    <row r="3113" spans="1:24">
      <c r="A3113" s="21" t="s">
        <v>5100</v>
      </c>
      <c r="B3113" t="s">
        <v>138</v>
      </c>
      <c r="C3113" t="s">
        <v>555</v>
      </c>
      <c r="D3113" t="s">
        <v>2392</v>
      </c>
      <c r="E3113" s="7" t="s">
        <v>198</v>
      </c>
      <c r="F3113" s="7" t="s">
        <v>198</v>
      </c>
      <c r="G3113" s="7" t="s">
        <v>198</v>
      </c>
      <c r="H3113" s="7" t="s">
        <v>20</v>
      </c>
      <c r="I3113" s="7" t="s">
        <v>5102</v>
      </c>
      <c r="J3113" s="7" t="s">
        <v>21</v>
      </c>
      <c r="L3113" t="s">
        <v>4406</v>
      </c>
      <c r="M3113" s="7" t="s">
        <v>22</v>
      </c>
      <c r="N3113" s="7" t="s">
        <v>23</v>
      </c>
      <c r="O3113" s="7" t="s">
        <v>27</v>
      </c>
      <c r="P3113" s="7" t="s">
        <v>5101</v>
      </c>
      <c r="Q3113" s="26">
        <v>17</v>
      </c>
      <c r="R3113" s="26">
        <v>1</v>
      </c>
      <c r="S3113" s="40">
        <v>1</v>
      </c>
      <c r="T3113" s="7"/>
      <c r="U3113" s="7" t="s">
        <v>2951</v>
      </c>
      <c r="V3113" s="7" t="str">
        <f>+IF(U3113="","",IF(U3113="FINES",CONCATENATE("R",IF(OR(B3113="16",B3113="21",B3113="22",B3113="23"),"16212223",IF(OR(B3113="15",B3113="17",B3113="24",B3113="25"),"15172425",B3113))),IF(U3113="CEBAS","UNICO",IF(VALUE(B3113)&lt;=11,"AMBA","INTERIOR"))))</f>
        <v>R10</v>
      </c>
      <c r="W3113" s="38" t="str">
        <f>+IF(U3113="","-",CONCATENATE(U3113,"_",V3113))</f>
        <v>FINES_R10</v>
      </c>
      <c r="X3113" s="42">
        <v>0.97599999999999998</v>
      </c>
    </row>
    <row r="3114" spans="1:24">
      <c r="A3114" s="21" t="s">
        <v>5100</v>
      </c>
      <c r="B3114" t="s">
        <v>138</v>
      </c>
      <c r="C3114" t="s">
        <v>436</v>
      </c>
      <c r="D3114" t="s">
        <v>1067</v>
      </c>
      <c r="E3114" s="7" t="s">
        <v>198</v>
      </c>
      <c r="F3114" s="7" t="s">
        <v>198</v>
      </c>
      <c r="G3114" s="7" t="s">
        <v>198</v>
      </c>
      <c r="H3114" s="7" t="s">
        <v>20</v>
      </c>
      <c r="I3114" s="7" t="s">
        <v>5102</v>
      </c>
      <c r="J3114" s="7" t="s">
        <v>21</v>
      </c>
      <c r="L3114" t="s">
        <v>3624</v>
      </c>
      <c r="M3114" s="7" t="s">
        <v>22</v>
      </c>
      <c r="N3114" s="7" t="s">
        <v>23</v>
      </c>
      <c r="O3114" s="7" t="s">
        <v>27</v>
      </c>
      <c r="P3114" s="7" t="s">
        <v>5101</v>
      </c>
      <c r="Q3114" s="26">
        <v>107</v>
      </c>
      <c r="R3114" s="26">
        <v>3</v>
      </c>
      <c r="S3114" s="40">
        <v>1</v>
      </c>
      <c r="T3114" s="7"/>
      <c r="U3114" s="7" t="s">
        <v>2951</v>
      </c>
      <c r="V3114" s="7" t="str">
        <f>+IF(U3114="","",IF(U3114="FINES",CONCATENATE("R",IF(OR(B3114="16",B3114="21",B3114="22",B3114="23"),"16212223",IF(OR(B3114="15",B3114="17",B3114="24",B3114="25"),"15172425",B3114))),IF(U3114="CEBAS","UNICO",IF(VALUE(B3114)&lt;=11,"AMBA","INTERIOR"))))</f>
        <v>R10</v>
      </c>
      <c r="W3114" s="38" t="str">
        <f>+IF(U3114="","-",CONCATENATE(U3114,"_",V3114))</f>
        <v>FINES_R10</v>
      </c>
      <c r="X3114" s="42">
        <v>0.98499999999999999</v>
      </c>
    </row>
    <row r="3115" spans="1:24">
      <c r="A3115" s="21" t="s">
        <v>5100</v>
      </c>
      <c r="B3115" t="s">
        <v>138</v>
      </c>
      <c r="C3115" t="s">
        <v>1507</v>
      </c>
      <c r="D3115" t="s">
        <v>1508</v>
      </c>
      <c r="E3115" s="7" t="s">
        <v>198</v>
      </c>
      <c r="F3115" s="7" t="s">
        <v>198</v>
      </c>
      <c r="G3115" s="7" t="s">
        <v>198</v>
      </c>
      <c r="H3115" s="7" t="s">
        <v>20</v>
      </c>
      <c r="I3115" s="7" t="s">
        <v>5102</v>
      </c>
      <c r="J3115" s="7" t="s">
        <v>21</v>
      </c>
      <c r="L3115" t="s">
        <v>4373</v>
      </c>
      <c r="M3115" s="7" t="s">
        <v>22</v>
      </c>
      <c r="N3115" s="7" t="s">
        <v>23</v>
      </c>
      <c r="O3115" s="7" t="s">
        <v>27</v>
      </c>
      <c r="P3115" s="7" t="s">
        <v>5101</v>
      </c>
      <c r="Q3115" s="26">
        <v>0</v>
      </c>
      <c r="R3115" s="26">
        <v>2</v>
      </c>
      <c r="S3115" s="40">
        <v>1</v>
      </c>
      <c r="T3115" s="7"/>
      <c r="U3115" s="7" t="s">
        <v>2951</v>
      </c>
      <c r="V3115" s="7" t="str">
        <f>+IF(U3115="","",IF(U3115="FINES",CONCATENATE("R",IF(OR(B3115="16",B3115="21",B3115="22",B3115="23"),"16212223",IF(OR(B3115="15",B3115="17",B3115="24",B3115="25"),"15172425",B3115))),IF(U3115="CEBAS","UNICO",IF(VALUE(B3115)&lt;=11,"AMBA","INTERIOR"))))</f>
        <v>R10</v>
      </c>
      <c r="W3115" s="38" t="str">
        <f>+IF(U3115="","-",CONCATENATE(U3115,"_",V3115))</f>
        <v>FINES_R10</v>
      </c>
      <c r="X3115" s="42">
        <v>0.98699999999999999</v>
      </c>
    </row>
    <row r="3116" spans="1:24">
      <c r="A3116" s="21" t="s">
        <v>5100</v>
      </c>
      <c r="B3116" t="s">
        <v>138</v>
      </c>
      <c r="C3116" t="s">
        <v>540</v>
      </c>
      <c r="D3116" t="s">
        <v>1766</v>
      </c>
      <c r="E3116" s="7" t="s">
        <v>198</v>
      </c>
      <c r="F3116" s="7" t="s">
        <v>198</v>
      </c>
      <c r="G3116" s="7" t="s">
        <v>198</v>
      </c>
      <c r="H3116" s="7" t="s">
        <v>20</v>
      </c>
      <c r="I3116" s="7" t="s">
        <v>5102</v>
      </c>
      <c r="J3116" s="7" t="s">
        <v>21</v>
      </c>
      <c r="L3116" t="s">
        <v>4389</v>
      </c>
      <c r="M3116" s="7" t="s">
        <v>22</v>
      </c>
      <c r="N3116" s="7" t="s">
        <v>23</v>
      </c>
      <c r="O3116" s="7" t="s">
        <v>27</v>
      </c>
      <c r="P3116" s="7" t="s">
        <v>5101</v>
      </c>
      <c r="Q3116" s="26">
        <v>20</v>
      </c>
      <c r="R3116" s="26">
        <v>1</v>
      </c>
      <c r="S3116" s="40">
        <v>1</v>
      </c>
      <c r="T3116" s="7"/>
      <c r="U3116" s="7" t="s">
        <v>2951</v>
      </c>
      <c r="V3116" s="7" t="str">
        <f>+IF(U3116="","",IF(U3116="FINES",CONCATENATE("R",IF(OR(B3116="16",B3116="21",B3116="22",B3116="23"),"16212223",IF(OR(B3116="15",B3116="17",B3116="24",B3116="25"),"15172425",B3116))),IF(U3116="CEBAS","UNICO",IF(VALUE(B3116)&lt;=11,"AMBA","INTERIOR"))))</f>
        <v>R10</v>
      </c>
      <c r="W3116" s="38" t="str">
        <f>+IF(U3116="","-",CONCATENATE(U3116,"_",V3116))</f>
        <v>FINES_R10</v>
      </c>
      <c r="X3116" s="42">
        <v>0.99</v>
      </c>
    </row>
    <row r="3117" spans="1:24">
      <c r="A3117" s="21" t="s">
        <v>5100</v>
      </c>
      <c r="B3117" t="s">
        <v>138</v>
      </c>
      <c r="C3117" t="s">
        <v>1507</v>
      </c>
      <c r="D3117" t="s">
        <v>1508</v>
      </c>
      <c r="E3117" s="7" t="s">
        <v>198</v>
      </c>
      <c r="F3117" s="7" t="s">
        <v>198</v>
      </c>
      <c r="G3117" s="7" t="s">
        <v>198</v>
      </c>
      <c r="H3117" s="7" t="s">
        <v>20</v>
      </c>
      <c r="I3117" s="7" t="s">
        <v>5102</v>
      </c>
      <c r="J3117" s="7" t="s">
        <v>21</v>
      </c>
      <c r="L3117" t="s">
        <v>4365</v>
      </c>
      <c r="M3117" s="7" t="s">
        <v>22</v>
      </c>
      <c r="N3117" s="7" t="s">
        <v>23</v>
      </c>
      <c r="O3117" s="7" t="s">
        <v>27</v>
      </c>
      <c r="P3117" s="7" t="s">
        <v>5101</v>
      </c>
      <c r="Q3117" s="26">
        <v>14</v>
      </c>
      <c r="R3117" s="26">
        <v>1</v>
      </c>
      <c r="S3117" s="40">
        <v>1</v>
      </c>
      <c r="T3117" s="7"/>
      <c r="U3117" s="7" t="s">
        <v>2951</v>
      </c>
      <c r="V3117" s="7" t="str">
        <f>+IF(U3117="","",IF(U3117="FINES",CONCATENATE("R",IF(OR(B3117="16",B3117="21",B3117="22",B3117="23"),"16212223",IF(OR(B3117="15",B3117="17",B3117="24",B3117="25"),"15172425",B3117))),IF(U3117="CEBAS","UNICO",IF(VALUE(B3117)&lt;=11,"AMBA","INTERIOR"))))</f>
        <v>R10</v>
      </c>
      <c r="W3117" s="38" t="str">
        <f>+IF(U3117="","-",CONCATENATE(U3117,"_",V3117))</f>
        <v>FINES_R10</v>
      </c>
      <c r="X3117" s="42">
        <v>0.99199999999999999</v>
      </c>
    </row>
    <row r="3118" spans="1:24">
      <c r="A3118" s="21" t="s">
        <v>5100</v>
      </c>
      <c r="B3118" t="s">
        <v>222</v>
      </c>
      <c r="C3118" t="s">
        <v>227</v>
      </c>
      <c r="D3118" t="s">
        <v>2603</v>
      </c>
      <c r="E3118" s="7" t="s">
        <v>198</v>
      </c>
      <c r="F3118" s="7" t="s">
        <v>198</v>
      </c>
      <c r="G3118" s="7" t="s">
        <v>198</v>
      </c>
      <c r="H3118" s="7" t="s">
        <v>20</v>
      </c>
      <c r="I3118" s="7" t="s">
        <v>5102</v>
      </c>
      <c r="J3118" s="7" t="s">
        <v>21</v>
      </c>
      <c r="L3118" t="s">
        <v>4427</v>
      </c>
      <c r="M3118" s="7" t="s">
        <v>22</v>
      </c>
      <c r="N3118" s="7" t="s">
        <v>23</v>
      </c>
      <c r="O3118" s="7" t="s">
        <v>27</v>
      </c>
      <c r="P3118" s="7" t="s">
        <v>5101</v>
      </c>
      <c r="Q3118" s="26">
        <v>41</v>
      </c>
      <c r="R3118" s="26">
        <v>2</v>
      </c>
      <c r="S3118" s="40">
        <v>1</v>
      </c>
      <c r="T3118" s="7"/>
      <c r="U3118" s="7" t="s">
        <v>2951</v>
      </c>
      <c r="V3118" s="7" t="str">
        <f>+IF(U3118="","",IF(U3118="FINES",CONCATENATE("R",IF(OR(B3118="16",B3118="21",B3118="22",B3118="23"),"16212223",IF(OR(B3118="15",B3118="17",B3118="24",B3118="25"),"15172425",B3118))),IF(U3118="CEBAS","UNICO",IF(VALUE(B3118)&lt;=11,"AMBA","INTERIOR"))))</f>
        <v>R11</v>
      </c>
      <c r="W3118" s="38" t="str">
        <f>+IF(U3118="","-",CONCATENATE(U3118,"_",V3118))</f>
        <v>FINES_R11</v>
      </c>
      <c r="X3118" s="42">
        <v>3.0000000000000001E-3</v>
      </c>
    </row>
    <row r="3119" spans="1:24">
      <c r="A3119" s="21" t="s">
        <v>5100</v>
      </c>
      <c r="B3119" t="s">
        <v>222</v>
      </c>
      <c r="C3119" t="s">
        <v>610</v>
      </c>
      <c r="D3119" t="s">
        <v>611</v>
      </c>
      <c r="E3119" s="7" t="s">
        <v>198</v>
      </c>
      <c r="F3119" s="7" t="s">
        <v>198</v>
      </c>
      <c r="G3119" s="7" t="s">
        <v>198</v>
      </c>
      <c r="H3119" s="7" t="s">
        <v>20</v>
      </c>
      <c r="I3119" s="7" t="s">
        <v>5102</v>
      </c>
      <c r="J3119" s="7" t="s">
        <v>21</v>
      </c>
      <c r="L3119" t="s">
        <v>4414</v>
      </c>
      <c r="M3119" s="7" t="s">
        <v>22</v>
      </c>
      <c r="N3119" s="7" t="s">
        <v>23</v>
      </c>
      <c r="O3119" s="7" t="s">
        <v>27</v>
      </c>
      <c r="P3119" s="7" t="s">
        <v>5101</v>
      </c>
      <c r="Q3119" s="26">
        <v>16</v>
      </c>
      <c r="R3119" s="26">
        <v>1</v>
      </c>
      <c r="S3119" s="40">
        <v>1</v>
      </c>
      <c r="T3119" s="7"/>
      <c r="U3119" s="7" t="s">
        <v>2951</v>
      </c>
      <c r="V3119" s="7" t="str">
        <f>+IF(U3119="","",IF(U3119="FINES",CONCATENATE("R",IF(OR(B3119="16",B3119="21",B3119="22",B3119="23"),"16212223",IF(OR(B3119="15",B3119="17",B3119="24",B3119="25"),"15172425",B3119))),IF(U3119="CEBAS","UNICO",IF(VALUE(B3119)&lt;=11,"AMBA","INTERIOR"))))</f>
        <v>R11</v>
      </c>
      <c r="W3119" s="38" t="str">
        <f>+IF(U3119="","-",CONCATENATE(U3119,"_",V3119))</f>
        <v>FINES_R11</v>
      </c>
      <c r="X3119" s="42">
        <v>5.0000000000000001E-3</v>
      </c>
    </row>
    <row r="3120" spans="1:24">
      <c r="A3120" s="21" t="s">
        <v>5100</v>
      </c>
      <c r="B3120" t="s">
        <v>222</v>
      </c>
      <c r="C3120" t="s">
        <v>227</v>
      </c>
      <c r="D3120" t="s">
        <v>2603</v>
      </c>
      <c r="E3120" s="7" t="s">
        <v>198</v>
      </c>
      <c r="F3120" s="7" t="s">
        <v>198</v>
      </c>
      <c r="G3120" s="7" t="s">
        <v>198</v>
      </c>
      <c r="H3120" s="7" t="s">
        <v>20</v>
      </c>
      <c r="I3120" s="7" t="s">
        <v>5102</v>
      </c>
      <c r="J3120" s="7" t="s">
        <v>21</v>
      </c>
      <c r="L3120" t="s">
        <v>4429</v>
      </c>
      <c r="M3120" s="7" t="s">
        <v>22</v>
      </c>
      <c r="N3120" s="7" t="s">
        <v>23</v>
      </c>
      <c r="O3120" s="7" t="s">
        <v>27</v>
      </c>
      <c r="P3120" s="7" t="s">
        <v>5101</v>
      </c>
      <c r="Q3120" s="26">
        <v>111</v>
      </c>
      <c r="R3120" s="26">
        <v>5</v>
      </c>
      <c r="S3120" s="40">
        <v>1</v>
      </c>
      <c r="T3120" s="7"/>
      <c r="U3120" s="7" t="s">
        <v>2951</v>
      </c>
      <c r="V3120" s="7" t="str">
        <f>+IF(U3120="","",IF(U3120="FINES",CONCATENATE("R",IF(OR(B3120="16",B3120="21",B3120="22",B3120="23"),"16212223",IF(OR(B3120="15",B3120="17",B3120="24",B3120="25"),"15172425",B3120))),IF(U3120="CEBAS","UNICO",IF(VALUE(B3120)&lt;=11,"AMBA","INTERIOR"))))</f>
        <v>R11</v>
      </c>
      <c r="W3120" s="38" t="str">
        <f>+IF(U3120="","-",CONCATENATE(U3120,"_",V3120))</f>
        <v>FINES_R11</v>
      </c>
      <c r="X3120" s="42">
        <v>8.9999999999999993E-3</v>
      </c>
    </row>
    <row r="3121" spans="1:24">
      <c r="A3121" s="21" t="s">
        <v>5100</v>
      </c>
      <c r="B3121" t="s">
        <v>222</v>
      </c>
      <c r="C3121" t="s">
        <v>2047</v>
      </c>
      <c r="D3121" t="s">
        <v>2048</v>
      </c>
      <c r="E3121" s="7" t="s">
        <v>198</v>
      </c>
      <c r="F3121" s="7" t="s">
        <v>198</v>
      </c>
      <c r="G3121" s="7" t="s">
        <v>198</v>
      </c>
      <c r="H3121" s="7" t="s">
        <v>20</v>
      </c>
      <c r="I3121" s="7" t="s">
        <v>5102</v>
      </c>
      <c r="J3121" s="7" t="s">
        <v>21</v>
      </c>
      <c r="L3121" t="s">
        <v>4319</v>
      </c>
      <c r="M3121" s="7" t="s">
        <v>22</v>
      </c>
      <c r="N3121" s="7" t="s">
        <v>23</v>
      </c>
      <c r="O3121" s="7" t="s">
        <v>27</v>
      </c>
      <c r="P3121" s="7" t="s">
        <v>5101</v>
      </c>
      <c r="Q3121" s="26">
        <v>87</v>
      </c>
      <c r="R3121" s="26">
        <v>3</v>
      </c>
      <c r="S3121" s="40">
        <v>1</v>
      </c>
      <c r="T3121" s="7"/>
      <c r="U3121" s="7" t="s">
        <v>2951</v>
      </c>
      <c r="V3121" s="7" t="str">
        <f>+IF(U3121="","",IF(U3121="FINES",CONCATENATE("R",IF(OR(B3121="16",B3121="21",B3121="22",B3121="23"),"16212223",IF(OR(B3121="15",B3121="17",B3121="24",B3121="25"),"15172425",B3121))),IF(U3121="CEBAS","UNICO",IF(VALUE(B3121)&lt;=11,"AMBA","INTERIOR"))))</f>
        <v>R11</v>
      </c>
      <c r="W3121" s="38" t="str">
        <f>+IF(U3121="","-",CONCATENATE(U3121,"_",V3121))</f>
        <v>FINES_R11</v>
      </c>
      <c r="X3121" s="42">
        <v>1.2999999999999999E-2</v>
      </c>
    </row>
    <row r="3122" spans="1:24">
      <c r="A3122" s="21" t="s">
        <v>5100</v>
      </c>
      <c r="B3122" t="s">
        <v>222</v>
      </c>
      <c r="C3122" t="s">
        <v>2047</v>
      </c>
      <c r="D3122" t="s">
        <v>2048</v>
      </c>
      <c r="E3122" s="7" t="s">
        <v>198</v>
      </c>
      <c r="F3122" s="7" t="s">
        <v>198</v>
      </c>
      <c r="G3122" s="7" t="s">
        <v>198</v>
      </c>
      <c r="H3122" s="7" t="s">
        <v>20</v>
      </c>
      <c r="I3122" s="7" t="s">
        <v>5102</v>
      </c>
      <c r="J3122" s="7" t="s">
        <v>21</v>
      </c>
      <c r="L3122" t="s">
        <v>4467</v>
      </c>
      <c r="M3122" s="7" t="s">
        <v>22</v>
      </c>
      <c r="N3122" s="7" t="s">
        <v>23</v>
      </c>
      <c r="O3122" s="7" t="s">
        <v>27</v>
      </c>
      <c r="P3122" s="7" t="s">
        <v>5101</v>
      </c>
      <c r="Q3122" s="26">
        <v>48</v>
      </c>
      <c r="R3122" s="26">
        <v>2</v>
      </c>
      <c r="S3122" s="40">
        <v>1</v>
      </c>
      <c r="T3122" s="7"/>
      <c r="U3122" s="7" t="s">
        <v>2951</v>
      </c>
      <c r="V3122" s="7" t="str">
        <f>+IF(U3122="","",IF(U3122="FINES",CONCATENATE("R",IF(OR(B3122="16",B3122="21",B3122="22",B3122="23"),"16212223",IF(OR(B3122="15",B3122="17",B3122="24",B3122="25"),"15172425",B3122))),IF(U3122="CEBAS","UNICO",IF(VALUE(B3122)&lt;=11,"AMBA","INTERIOR"))))</f>
        <v>R11</v>
      </c>
      <c r="W3122" s="38" t="str">
        <f>+IF(U3122="","-",CONCATENATE(U3122,"_",V3122))</f>
        <v>FINES_R11</v>
      </c>
      <c r="X3122" s="42">
        <v>1.6E-2</v>
      </c>
    </row>
    <row r="3123" spans="1:24">
      <c r="A3123" s="21" t="s">
        <v>5100</v>
      </c>
      <c r="B3123" t="s">
        <v>222</v>
      </c>
      <c r="C3123" t="s">
        <v>2047</v>
      </c>
      <c r="D3123" t="s">
        <v>2048</v>
      </c>
      <c r="E3123" s="7" t="s">
        <v>198</v>
      </c>
      <c r="F3123" s="7" t="s">
        <v>198</v>
      </c>
      <c r="G3123" s="7" t="s">
        <v>198</v>
      </c>
      <c r="H3123" s="7" t="s">
        <v>20</v>
      </c>
      <c r="I3123" s="7" t="s">
        <v>5102</v>
      </c>
      <c r="J3123" s="7" t="s">
        <v>21</v>
      </c>
      <c r="L3123" t="s">
        <v>4459</v>
      </c>
      <c r="M3123" s="7" t="s">
        <v>22</v>
      </c>
      <c r="N3123" s="7" t="s">
        <v>23</v>
      </c>
      <c r="O3123" s="7" t="s">
        <v>27</v>
      </c>
      <c r="P3123" s="7" t="s">
        <v>5101</v>
      </c>
      <c r="Q3123" s="26">
        <v>78</v>
      </c>
      <c r="R3123" s="26">
        <v>3</v>
      </c>
      <c r="S3123" s="40">
        <v>1</v>
      </c>
      <c r="T3123" s="7"/>
      <c r="U3123" s="7" t="s">
        <v>2951</v>
      </c>
      <c r="V3123" s="7" t="str">
        <f>+IF(U3123="","",IF(U3123="FINES",CONCATENATE("R",IF(OR(B3123="16",B3123="21",B3123="22",B3123="23"),"16212223",IF(OR(B3123="15",B3123="17",B3123="24",B3123="25"),"15172425",B3123))),IF(U3123="CEBAS","UNICO",IF(VALUE(B3123)&lt;=11,"AMBA","INTERIOR"))))</f>
        <v>R11</v>
      </c>
      <c r="W3123" s="38" t="str">
        <f>+IF(U3123="","-",CONCATENATE(U3123,"_",V3123))</f>
        <v>FINES_R11</v>
      </c>
      <c r="X3123" s="42">
        <v>2.5000000000000001E-2</v>
      </c>
    </row>
    <row r="3124" spans="1:24">
      <c r="A3124" s="21" t="s">
        <v>5100</v>
      </c>
      <c r="B3124" t="s">
        <v>222</v>
      </c>
      <c r="C3124" t="s">
        <v>610</v>
      </c>
      <c r="D3124" t="s">
        <v>611</v>
      </c>
      <c r="E3124" s="7" t="s">
        <v>198</v>
      </c>
      <c r="F3124" s="7" t="s">
        <v>198</v>
      </c>
      <c r="G3124" s="7" t="s">
        <v>198</v>
      </c>
      <c r="H3124" s="7" t="s">
        <v>20</v>
      </c>
      <c r="I3124" s="7" t="s">
        <v>5102</v>
      </c>
      <c r="J3124" s="7" t="s">
        <v>21</v>
      </c>
      <c r="L3124" t="s">
        <v>4413</v>
      </c>
      <c r="M3124" s="7" t="s">
        <v>22</v>
      </c>
      <c r="N3124" s="7" t="s">
        <v>23</v>
      </c>
      <c r="O3124" s="7" t="s">
        <v>27</v>
      </c>
      <c r="P3124" s="7" t="s">
        <v>5101</v>
      </c>
      <c r="Q3124" s="26">
        <v>52</v>
      </c>
      <c r="R3124" s="26">
        <v>3</v>
      </c>
      <c r="S3124" s="40">
        <v>1</v>
      </c>
      <c r="T3124" s="7"/>
      <c r="U3124" s="7" t="s">
        <v>2951</v>
      </c>
      <c r="V3124" s="7" t="str">
        <f>+IF(U3124="","",IF(U3124="FINES",CONCATENATE("R",IF(OR(B3124="16",B3124="21",B3124="22",B3124="23"),"16212223",IF(OR(B3124="15",B3124="17",B3124="24",B3124="25"),"15172425",B3124))),IF(U3124="CEBAS","UNICO",IF(VALUE(B3124)&lt;=11,"AMBA","INTERIOR"))))</f>
        <v>R11</v>
      </c>
      <c r="W3124" s="38" t="str">
        <f>+IF(U3124="","-",CONCATENATE(U3124,"_",V3124))</f>
        <v>FINES_R11</v>
      </c>
      <c r="X3124" s="42">
        <v>3.9E-2</v>
      </c>
    </row>
    <row r="3125" spans="1:24">
      <c r="A3125" s="21" t="s">
        <v>5100</v>
      </c>
      <c r="B3125" t="s">
        <v>222</v>
      </c>
      <c r="C3125" t="s">
        <v>227</v>
      </c>
      <c r="D3125" t="s">
        <v>2603</v>
      </c>
      <c r="E3125" s="7" t="s">
        <v>198</v>
      </c>
      <c r="F3125" s="7" t="s">
        <v>198</v>
      </c>
      <c r="G3125" s="7" t="s">
        <v>198</v>
      </c>
      <c r="H3125" s="7" t="s">
        <v>20</v>
      </c>
      <c r="I3125" s="7" t="s">
        <v>5102</v>
      </c>
      <c r="J3125" s="7" t="s">
        <v>21</v>
      </c>
      <c r="L3125" t="s">
        <v>4370</v>
      </c>
      <c r="M3125" s="7" t="s">
        <v>22</v>
      </c>
      <c r="N3125" s="7" t="s">
        <v>23</v>
      </c>
      <c r="O3125" s="7" t="s">
        <v>27</v>
      </c>
      <c r="P3125" s="7" t="s">
        <v>5101</v>
      </c>
      <c r="Q3125" s="26">
        <v>56</v>
      </c>
      <c r="R3125" s="26">
        <v>3</v>
      </c>
      <c r="S3125" s="40">
        <v>1</v>
      </c>
      <c r="T3125" s="7"/>
      <c r="U3125" s="7" t="s">
        <v>2951</v>
      </c>
      <c r="V3125" s="7" t="str">
        <f>+IF(U3125="","",IF(U3125="FINES",CONCATENATE("R",IF(OR(B3125="16",B3125="21",B3125="22",B3125="23"),"16212223",IF(OR(B3125="15",B3125="17",B3125="24",B3125="25"),"15172425",B3125))),IF(U3125="CEBAS","UNICO",IF(VALUE(B3125)&lt;=11,"AMBA","INTERIOR"))))</f>
        <v>R11</v>
      </c>
      <c r="W3125" s="38" t="str">
        <f>+IF(U3125="","-",CONCATENATE(U3125,"_",V3125))</f>
        <v>FINES_R11</v>
      </c>
      <c r="X3125" s="42">
        <v>0.04</v>
      </c>
    </row>
    <row r="3126" spans="1:24">
      <c r="A3126" s="21" t="s">
        <v>5100</v>
      </c>
      <c r="B3126" t="s">
        <v>222</v>
      </c>
      <c r="C3126" t="s">
        <v>227</v>
      </c>
      <c r="D3126" t="s">
        <v>2603</v>
      </c>
      <c r="E3126" s="7" t="s">
        <v>198</v>
      </c>
      <c r="F3126" s="7" t="s">
        <v>198</v>
      </c>
      <c r="G3126" s="7" t="s">
        <v>198</v>
      </c>
      <c r="H3126" s="7" t="s">
        <v>20</v>
      </c>
      <c r="I3126" s="7" t="s">
        <v>5102</v>
      </c>
      <c r="J3126" s="7" t="s">
        <v>21</v>
      </c>
      <c r="L3126" t="s">
        <v>4436</v>
      </c>
      <c r="M3126" s="7" t="s">
        <v>22</v>
      </c>
      <c r="N3126" s="7" t="s">
        <v>23</v>
      </c>
      <c r="O3126" s="7" t="s">
        <v>27</v>
      </c>
      <c r="P3126" s="7" t="s">
        <v>5101</v>
      </c>
      <c r="Q3126" s="26">
        <v>17</v>
      </c>
      <c r="R3126" s="26">
        <v>1</v>
      </c>
      <c r="S3126" s="40">
        <v>1</v>
      </c>
      <c r="T3126" s="7"/>
      <c r="U3126" s="7" t="s">
        <v>2951</v>
      </c>
      <c r="V3126" s="7" t="str">
        <f>+IF(U3126="","",IF(U3126="FINES",CONCATENATE("R",IF(OR(B3126="16",B3126="21",B3126="22",B3126="23"),"16212223",IF(OR(B3126="15",B3126="17",B3126="24",B3126="25"),"15172425",B3126))),IF(U3126="CEBAS","UNICO",IF(VALUE(B3126)&lt;=11,"AMBA","INTERIOR"))))</f>
        <v>R11</v>
      </c>
      <c r="W3126" s="38" t="str">
        <f>+IF(U3126="","-",CONCATENATE(U3126,"_",V3126))</f>
        <v>FINES_R11</v>
      </c>
      <c r="X3126" s="42">
        <v>4.3999999999999997E-2</v>
      </c>
    </row>
    <row r="3127" spans="1:24">
      <c r="A3127" s="21" t="s">
        <v>5100</v>
      </c>
      <c r="B3127" t="s">
        <v>222</v>
      </c>
      <c r="C3127" t="s">
        <v>2047</v>
      </c>
      <c r="D3127" t="s">
        <v>2048</v>
      </c>
      <c r="E3127" s="7" t="s">
        <v>198</v>
      </c>
      <c r="F3127" s="7" t="s">
        <v>198</v>
      </c>
      <c r="G3127" s="7" t="s">
        <v>198</v>
      </c>
      <c r="H3127" s="7" t="s">
        <v>20</v>
      </c>
      <c r="I3127" s="7" t="s">
        <v>5102</v>
      </c>
      <c r="J3127" s="7" t="s">
        <v>21</v>
      </c>
      <c r="L3127" t="s">
        <v>4484</v>
      </c>
      <c r="M3127" s="7" t="s">
        <v>22</v>
      </c>
      <c r="N3127" s="7" t="s">
        <v>23</v>
      </c>
      <c r="O3127" s="7" t="s">
        <v>27</v>
      </c>
      <c r="P3127" s="7" t="s">
        <v>5101</v>
      </c>
      <c r="Q3127" s="26">
        <v>23</v>
      </c>
      <c r="R3127" s="26">
        <v>1</v>
      </c>
      <c r="S3127" s="40">
        <v>1</v>
      </c>
      <c r="T3127" s="7"/>
      <c r="U3127" s="7" t="s">
        <v>2951</v>
      </c>
      <c r="V3127" s="7" t="str">
        <f>+IF(U3127="","",IF(U3127="FINES",CONCATENATE("R",IF(OR(B3127="16",B3127="21",B3127="22",B3127="23"),"16212223",IF(OR(B3127="15",B3127="17",B3127="24",B3127="25"),"15172425",B3127))),IF(U3127="CEBAS","UNICO",IF(VALUE(B3127)&lt;=11,"AMBA","INTERIOR"))))</f>
        <v>R11</v>
      </c>
      <c r="W3127" s="38" t="str">
        <f>+IF(U3127="","-",CONCATENATE(U3127,"_",V3127))</f>
        <v>FINES_R11</v>
      </c>
      <c r="X3127" s="42">
        <v>0.05</v>
      </c>
    </row>
    <row r="3128" spans="1:24">
      <c r="A3128" s="21" t="s">
        <v>5100</v>
      </c>
      <c r="B3128" t="s">
        <v>222</v>
      </c>
      <c r="C3128" t="s">
        <v>227</v>
      </c>
      <c r="D3128" t="s">
        <v>2603</v>
      </c>
      <c r="E3128" s="7" t="s">
        <v>198</v>
      </c>
      <c r="F3128" s="7" t="s">
        <v>198</v>
      </c>
      <c r="G3128" s="7" t="s">
        <v>198</v>
      </c>
      <c r="H3128" s="7" t="s">
        <v>20</v>
      </c>
      <c r="I3128" s="7" t="s">
        <v>5102</v>
      </c>
      <c r="J3128" s="7" t="s">
        <v>21</v>
      </c>
      <c r="L3128" t="s">
        <v>4426</v>
      </c>
      <c r="M3128" s="7" t="s">
        <v>22</v>
      </c>
      <c r="N3128" s="7" t="s">
        <v>23</v>
      </c>
      <c r="O3128" s="7" t="s">
        <v>27</v>
      </c>
      <c r="P3128" s="7" t="s">
        <v>5101</v>
      </c>
      <c r="Q3128" s="26">
        <v>61</v>
      </c>
      <c r="R3128" s="26">
        <v>2</v>
      </c>
      <c r="S3128" s="40">
        <v>1</v>
      </c>
      <c r="T3128" s="7"/>
      <c r="U3128" s="7" t="s">
        <v>2951</v>
      </c>
      <c r="V3128" s="7" t="str">
        <f>+IF(U3128="","",IF(U3128="FINES",CONCATENATE("R",IF(OR(B3128="16",B3128="21",B3128="22",B3128="23"),"16212223",IF(OR(B3128="15",B3128="17",B3128="24",B3128="25"),"15172425",B3128))),IF(U3128="CEBAS","UNICO",IF(VALUE(B3128)&lt;=11,"AMBA","INTERIOR"))))</f>
        <v>R11</v>
      </c>
      <c r="W3128" s="38" t="str">
        <f>+IF(U3128="","-",CONCATENATE(U3128,"_",V3128))</f>
        <v>FINES_R11</v>
      </c>
      <c r="X3128" s="42">
        <v>5.7000000000000002E-2</v>
      </c>
    </row>
    <row r="3129" spans="1:24">
      <c r="A3129" s="21" t="s">
        <v>5100</v>
      </c>
      <c r="B3129" t="s">
        <v>222</v>
      </c>
      <c r="C3129" t="s">
        <v>1154</v>
      </c>
      <c r="D3129" t="s">
        <v>1155</v>
      </c>
      <c r="E3129" s="7" t="s">
        <v>198</v>
      </c>
      <c r="F3129" s="7" t="s">
        <v>198</v>
      </c>
      <c r="G3129" s="7" t="s">
        <v>198</v>
      </c>
      <c r="H3129" s="7" t="s">
        <v>20</v>
      </c>
      <c r="I3129" s="7" t="s">
        <v>5102</v>
      </c>
      <c r="J3129" s="7" t="s">
        <v>21</v>
      </c>
      <c r="L3129" t="s">
        <v>4498</v>
      </c>
      <c r="M3129" s="7" t="s">
        <v>22</v>
      </c>
      <c r="N3129" s="7" t="s">
        <v>23</v>
      </c>
      <c r="O3129" s="7" t="s">
        <v>27</v>
      </c>
      <c r="P3129" s="7" t="s">
        <v>5101</v>
      </c>
      <c r="Q3129" s="26">
        <v>12</v>
      </c>
      <c r="R3129" s="26">
        <v>1</v>
      </c>
      <c r="S3129" s="40">
        <v>1</v>
      </c>
      <c r="T3129" s="7"/>
      <c r="U3129" s="7" t="s">
        <v>2951</v>
      </c>
      <c r="V3129" s="7" t="str">
        <f>+IF(U3129="","",IF(U3129="FINES",CONCATENATE("R",IF(OR(B3129="16",B3129="21",B3129="22",B3129="23"),"16212223",IF(OR(B3129="15",B3129="17",B3129="24",B3129="25"),"15172425",B3129))),IF(U3129="CEBAS","UNICO",IF(VALUE(B3129)&lt;=11,"AMBA","INTERIOR"))))</f>
        <v>R11</v>
      </c>
      <c r="W3129" s="38" t="str">
        <f>+IF(U3129="","-",CONCATENATE(U3129,"_",V3129))</f>
        <v>FINES_R11</v>
      </c>
      <c r="X3129" s="42">
        <v>5.8000000000000003E-2</v>
      </c>
    </row>
    <row r="3130" spans="1:24">
      <c r="A3130" s="21" t="s">
        <v>5100</v>
      </c>
      <c r="B3130" t="s">
        <v>222</v>
      </c>
      <c r="C3130" t="s">
        <v>610</v>
      </c>
      <c r="D3130" t="s">
        <v>611</v>
      </c>
      <c r="E3130" s="7" t="s">
        <v>198</v>
      </c>
      <c r="F3130" s="7" t="s">
        <v>198</v>
      </c>
      <c r="G3130" s="7" t="s">
        <v>198</v>
      </c>
      <c r="H3130" s="7" t="s">
        <v>20</v>
      </c>
      <c r="I3130" s="7" t="s">
        <v>5102</v>
      </c>
      <c r="J3130" s="7" t="s">
        <v>21</v>
      </c>
      <c r="L3130" t="s">
        <v>4422</v>
      </c>
      <c r="M3130" s="7" t="s">
        <v>22</v>
      </c>
      <c r="N3130" s="7" t="s">
        <v>23</v>
      </c>
      <c r="O3130" s="7" t="s">
        <v>27</v>
      </c>
      <c r="P3130" s="7" t="s">
        <v>5101</v>
      </c>
      <c r="Q3130" s="26">
        <v>15</v>
      </c>
      <c r="R3130" s="26">
        <v>1</v>
      </c>
      <c r="S3130" s="40">
        <v>1</v>
      </c>
      <c r="T3130" s="7"/>
      <c r="U3130" s="7" t="s">
        <v>2951</v>
      </c>
      <c r="V3130" s="7" t="str">
        <f>+IF(U3130="","",IF(U3130="FINES",CONCATENATE("R",IF(OR(B3130="16",B3130="21",B3130="22",B3130="23"),"16212223",IF(OR(B3130="15",B3130="17",B3130="24",B3130="25"),"15172425",B3130))),IF(U3130="CEBAS","UNICO",IF(VALUE(B3130)&lt;=11,"AMBA","INTERIOR"))))</f>
        <v>R11</v>
      </c>
      <c r="W3130" s="38" t="str">
        <f>+IF(U3130="","-",CONCATENATE(U3130,"_",V3130))</f>
        <v>FINES_R11</v>
      </c>
      <c r="X3130" s="42">
        <v>0.06</v>
      </c>
    </row>
    <row r="3131" spans="1:24">
      <c r="A3131" s="21" t="s">
        <v>5100</v>
      </c>
      <c r="B3131" t="s">
        <v>222</v>
      </c>
      <c r="C3131" t="s">
        <v>2047</v>
      </c>
      <c r="D3131" t="s">
        <v>2048</v>
      </c>
      <c r="E3131" s="7" t="s">
        <v>198</v>
      </c>
      <c r="F3131" s="7" t="s">
        <v>198</v>
      </c>
      <c r="G3131" s="7" t="s">
        <v>198</v>
      </c>
      <c r="H3131" s="7" t="s">
        <v>20</v>
      </c>
      <c r="I3131" s="7" t="s">
        <v>5102</v>
      </c>
      <c r="J3131" s="7" t="s">
        <v>21</v>
      </c>
      <c r="L3131" t="s">
        <v>4475</v>
      </c>
      <c r="M3131" s="7" t="s">
        <v>22</v>
      </c>
      <c r="N3131" s="7" t="s">
        <v>23</v>
      </c>
      <c r="O3131" s="7" t="s">
        <v>27</v>
      </c>
      <c r="P3131" s="7" t="s">
        <v>5101</v>
      </c>
      <c r="Q3131" s="26">
        <v>50</v>
      </c>
      <c r="R3131" s="26">
        <v>2</v>
      </c>
      <c r="S3131" s="40">
        <v>1</v>
      </c>
      <c r="T3131" s="7"/>
      <c r="U3131" s="7" t="s">
        <v>2951</v>
      </c>
      <c r="V3131" s="7" t="str">
        <f>+IF(U3131="","",IF(U3131="FINES",CONCATENATE("R",IF(OR(B3131="16",B3131="21",B3131="22",B3131="23"),"16212223",IF(OR(B3131="15",B3131="17",B3131="24",B3131="25"),"15172425",B3131))),IF(U3131="CEBAS","UNICO",IF(VALUE(B3131)&lt;=11,"AMBA","INTERIOR"))))</f>
        <v>R11</v>
      </c>
      <c r="W3131" s="38" t="str">
        <f>+IF(U3131="","-",CONCATENATE(U3131,"_",V3131))</f>
        <v>FINES_R11</v>
      </c>
      <c r="X3131" s="42">
        <v>6.2E-2</v>
      </c>
    </row>
    <row r="3132" spans="1:24">
      <c r="A3132" s="21" t="s">
        <v>5100</v>
      </c>
      <c r="B3132" t="s">
        <v>222</v>
      </c>
      <c r="C3132" t="s">
        <v>2047</v>
      </c>
      <c r="D3132" t="s">
        <v>2048</v>
      </c>
      <c r="E3132" s="7" t="s">
        <v>198</v>
      </c>
      <c r="F3132" s="7" t="s">
        <v>198</v>
      </c>
      <c r="G3132" s="7" t="s">
        <v>198</v>
      </c>
      <c r="H3132" s="7" t="s">
        <v>20</v>
      </c>
      <c r="I3132" s="7" t="s">
        <v>5102</v>
      </c>
      <c r="J3132" s="7" t="s">
        <v>21</v>
      </c>
      <c r="L3132" t="s">
        <v>4449</v>
      </c>
      <c r="M3132" s="7" t="s">
        <v>22</v>
      </c>
      <c r="N3132" s="7" t="s">
        <v>23</v>
      </c>
      <c r="O3132" s="7" t="s">
        <v>27</v>
      </c>
      <c r="P3132" s="7" t="s">
        <v>5101</v>
      </c>
      <c r="Q3132" s="26">
        <v>83</v>
      </c>
      <c r="R3132" s="26">
        <v>3</v>
      </c>
      <c r="S3132" s="40">
        <v>1</v>
      </c>
      <c r="T3132" s="7"/>
      <c r="U3132" s="7" t="s">
        <v>2951</v>
      </c>
      <c r="V3132" s="7" t="str">
        <f>+IF(U3132="","",IF(U3132="FINES",CONCATENATE("R",IF(OR(B3132="16",B3132="21",B3132="22",B3132="23"),"16212223",IF(OR(B3132="15",B3132="17",B3132="24",B3132="25"),"15172425",B3132))),IF(U3132="CEBAS","UNICO",IF(VALUE(B3132)&lt;=11,"AMBA","INTERIOR"))))</f>
        <v>R11</v>
      </c>
      <c r="W3132" s="38" t="str">
        <f>+IF(U3132="","-",CONCATENATE(U3132,"_",V3132))</f>
        <v>FINES_R11</v>
      </c>
      <c r="X3132" s="42">
        <v>6.3E-2</v>
      </c>
    </row>
    <row r="3133" spans="1:24">
      <c r="A3133" s="21" t="s">
        <v>5100</v>
      </c>
      <c r="B3133" t="s">
        <v>222</v>
      </c>
      <c r="C3133" t="s">
        <v>2047</v>
      </c>
      <c r="D3133" t="s">
        <v>2048</v>
      </c>
      <c r="E3133" s="7" t="s">
        <v>198</v>
      </c>
      <c r="F3133" s="7" t="s">
        <v>198</v>
      </c>
      <c r="G3133" s="7" t="s">
        <v>198</v>
      </c>
      <c r="H3133" s="7" t="s">
        <v>20</v>
      </c>
      <c r="I3133" s="7" t="s">
        <v>5102</v>
      </c>
      <c r="J3133" s="7" t="s">
        <v>21</v>
      </c>
      <c r="L3133" t="s">
        <v>4476</v>
      </c>
      <c r="M3133" s="7" t="s">
        <v>22</v>
      </c>
      <c r="N3133" s="7" t="s">
        <v>23</v>
      </c>
      <c r="O3133" s="7" t="s">
        <v>27</v>
      </c>
      <c r="P3133" s="7" t="s">
        <v>5101</v>
      </c>
      <c r="Q3133" s="26">
        <v>36</v>
      </c>
      <c r="R3133" s="26">
        <v>1</v>
      </c>
      <c r="S3133" s="40">
        <v>1</v>
      </c>
      <c r="T3133" s="7"/>
      <c r="U3133" s="7" t="s">
        <v>2951</v>
      </c>
      <c r="V3133" s="7" t="str">
        <f>+IF(U3133="","",IF(U3133="FINES",CONCATENATE("R",IF(OR(B3133="16",B3133="21",B3133="22",B3133="23"),"16212223",IF(OR(B3133="15",B3133="17",B3133="24",B3133="25"),"15172425",B3133))),IF(U3133="CEBAS","UNICO",IF(VALUE(B3133)&lt;=11,"AMBA","INTERIOR"))))</f>
        <v>R11</v>
      </c>
      <c r="W3133" s="38" t="str">
        <f>+IF(U3133="","-",CONCATENATE(U3133,"_",V3133))</f>
        <v>FINES_R11</v>
      </c>
      <c r="X3133" s="42">
        <v>7.1999999999999995E-2</v>
      </c>
    </row>
    <row r="3134" spans="1:24">
      <c r="A3134" s="21" t="s">
        <v>5100</v>
      </c>
      <c r="B3134" t="s">
        <v>222</v>
      </c>
      <c r="C3134" t="s">
        <v>610</v>
      </c>
      <c r="D3134" t="s">
        <v>611</v>
      </c>
      <c r="E3134" s="7" t="s">
        <v>198</v>
      </c>
      <c r="F3134" s="7" t="s">
        <v>198</v>
      </c>
      <c r="G3134" s="7" t="s">
        <v>198</v>
      </c>
      <c r="H3134" s="7" t="s">
        <v>20</v>
      </c>
      <c r="I3134" s="7" t="s">
        <v>5102</v>
      </c>
      <c r="J3134" s="7" t="s">
        <v>21</v>
      </c>
      <c r="L3134" t="s">
        <v>4423</v>
      </c>
      <c r="M3134" s="7" t="s">
        <v>22</v>
      </c>
      <c r="N3134" s="7" t="s">
        <v>23</v>
      </c>
      <c r="O3134" s="7" t="s">
        <v>27</v>
      </c>
      <c r="P3134" s="7" t="s">
        <v>5101</v>
      </c>
      <c r="Q3134" s="26">
        <v>245</v>
      </c>
      <c r="R3134" s="26">
        <v>6</v>
      </c>
      <c r="S3134" s="40">
        <v>1</v>
      </c>
      <c r="T3134" s="7"/>
      <c r="U3134" s="7" t="s">
        <v>2951</v>
      </c>
      <c r="V3134" s="7" t="str">
        <f>+IF(U3134="","",IF(U3134="FINES",CONCATENATE("R",IF(OR(B3134="16",B3134="21",B3134="22",B3134="23"),"16212223",IF(OR(B3134="15",B3134="17",B3134="24",B3134="25"),"15172425",B3134))),IF(U3134="CEBAS","UNICO",IF(VALUE(B3134)&lt;=11,"AMBA","INTERIOR"))))</f>
        <v>R11</v>
      </c>
      <c r="W3134" s="38" t="str">
        <f>+IF(U3134="","-",CONCATENATE(U3134,"_",V3134))</f>
        <v>FINES_R11</v>
      </c>
      <c r="X3134" s="42">
        <v>9.0999999999999998E-2</v>
      </c>
    </row>
    <row r="3135" spans="1:24">
      <c r="A3135" s="21" t="s">
        <v>5100</v>
      </c>
      <c r="B3135" t="s">
        <v>222</v>
      </c>
      <c r="C3135" t="s">
        <v>227</v>
      </c>
      <c r="D3135" t="s">
        <v>2603</v>
      </c>
      <c r="E3135" s="7" t="s">
        <v>198</v>
      </c>
      <c r="F3135" s="7" t="s">
        <v>198</v>
      </c>
      <c r="G3135" s="7" t="s">
        <v>198</v>
      </c>
      <c r="H3135" s="7" t="s">
        <v>20</v>
      </c>
      <c r="I3135" s="7" t="s">
        <v>5102</v>
      </c>
      <c r="J3135" s="7" t="s">
        <v>21</v>
      </c>
      <c r="L3135" t="s">
        <v>4435</v>
      </c>
      <c r="M3135" s="7" t="s">
        <v>22</v>
      </c>
      <c r="N3135" s="7" t="s">
        <v>23</v>
      </c>
      <c r="O3135" s="7" t="s">
        <v>27</v>
      </c>
      <c r="P3135" s="7" t="s">
        <v>5101</v>
      </c>
      <c r="Q3135" s="26">
        <v>15</v>
      </c>
      <c r="R3135" s="26">
        <v>1</v>
      </c>
      <c r="S3135" s="40">
        <v>1</v>
      </c>
      <c r="T3135" s="7"/>
      <c r="U3135" s="7" t="s">
        <v>2951</v>
      </c>
      <c r="V3135" s="7" t="str">
        <f>+IF(U3135="","",IF(U3135="FINES",CONCATENATE("R",IF(OR(B3135="16",B3135="21",B3135="22",B3135="23"),"16212223",IF(OR(B3135="15",B3135="17",B3135="24",B3135="25"),"15172425",B3135))),IF(U3135="CEBAS","UNICO",IF(VALUE(B3135)&lt;=11,"AMBA","INTERIOR"))))</f>
        <v>R11</v>
      </c>
      <c r="W3135" s="38" t="str">
        <f>+IF(U3135="","-",CONCATENATE(U3135,"_",V3135))</f>
        <v>FINES_R11</v>
      </c>
      <c r="X3135" s="42">
        <v>0.13500000000000001</v>
      </c>
    </row>
    <row r="3136" spans="1:24">
      <c r="A3136" s="21" t="s">
        <v>5100</v>
      </c>
      <c r="B3136" t="s">
        <v>222</v>
      </c>
      <c r="C3136" t="s">
        <v>1154</v>
      </c>
      <c r="D3136" t="s">
        <v>1155</v>
      </c>
      <c r="E3136" s="7" t="s">
        <v>198</v>
      </c>
      <c r="F3136" s="7" t="s">
        <v>198</v>
      </c>
      <c r="G3136" s="7" t="s">
        <v>198</v>
      </c>
      <c r="H3136" s="7" t="s">
        <v>20</v>
      </c>
      <c r="I3136" s="7" t="s">
        <v>5102</v>
      </c>
      <c r="J3136" s="7" t="s">
        <v>21</v>
      </c>
      <c r="L3136" t="s">
        <v>4502</v>
      </c>
      <c r="M3136" s="7" t="s">
        <v>22</v>
      </c>
      <c r="N3136" s="7" t="s">
        <v>23</v>
      </c>
      <c r="O3136" s="7" t="s">
        <v>27</v>
      </c>
      <c r="P3136" s="7" t="s">
        <v>5101</v>
      </c>
      <c r="Q3136" s="26">
        <v>18</v>
      </c>
      <c r="R3136" s="26">
        <v>1</v>
      </c>
      <c r="S3136" s="40">
        <v>1</v>
      </c>
      <c r="T3136" s="7"/>
      <c r="U3136" s="7" t="s">
        <v>2951</v>
      </c>
      <c r="V3136" s="7" t="str">
        <f>+IF(U3136="","",IF(U3136="FINES",CONCATENATE("R",IF(OR(B3136="16",B3136="21",B3136="22",B3136="23"),"16212223",IF(OR(B3136="15",B3136="17",B3136="24",B3136="25"),"15172425",B3136))),IF(U3136="CEBAS","UNICO",IF(VALUE(B3136)&lt;=11,"AMBA","INTERIOR"))))</f>
        <v>R11</v>
      </c>
      <c r="W3136" s="38" t="str">
        <f>+IF(U3136="","-",CONCATENATE(U3136,"_",V3136))</f>
        <v>FINES_R11</v>
      </c>
      <c r="X3136" s="42">
        <v>0.14099999999999999</v>
      </c>
    </row>
    <row r="3137" spans="1:24">
      <c r="A3137" s="21" t="s">
        <v>5100</v>
      </c>
      <c r="B3137" t="s">
        <v>222</v>
      </c>
      <c r="C3137" t="s">
        <v>2047</v>
      </c>
      <c r="D3137" t="s">
        <v>2048</v>
      </c>
      <c r="E3137" s="7" t="s">
        <v>198</v>
      </c>
      <c r="F3137" s="7" t="s">
        <v>198</v>
      </c>
      <c r="G3137" s="7" t="s">
        <v>198</v>
      </c>
      <c r="H3137" s="7" t="s">
        <v>20</v>
      </c>
      <c r="I3137" s="7" t="s">
        <v>5102</v>
      </c>
      <c r="J3137" s="7" t="s">
        <v>21</v>
      </c>
      <c r="L3137" t="s">
        <v>4464</v>
      </c>
      <c r="M3137" s="7" t="s">
        <v>22</v>
      </c>
      <c r="N3137" s="7" t="s">
        <v>23</v>
      </c>
      <c r="O3137" s="7" t="s">
        <v>27</v>
      </c>
      <c r="P3137" s="7" t="s">
        <v>5101</v>
      </c>
      <c r="Q3137" s="26">
        <v>54</v>
      </c>
      <c r="R3137" s="26">
        <v>3</v>
      </c>
      <c r="S3137" s="40">
        <v>1</v>
      </c>
      <c r="T3137" s="7"/>
      <c r="U3137" s="7" t="s">
        <v>2951</v>
      </c>
      <c r="V3137" s="7" t="str">
        <f>+IF(U3137="","",IF(U3137="FINES",CONCATENATE("R",IF(OR(B3137="16",B3137="21",B3137="22",B3137="23"),"16212223",IF(OR(B3137="15",B3137="17",B3137="24",B3137="25"),"15172425",B3137))),IF(U3137="CEBAS","UNICO",IF(VALUE(B3137)&lt;=11,"AMBA","INTERIOR"))))</f>
        <v>R11</v>
      </c>
      <c r="W3137" s="38" t="str">
        <f>+IF(U3137="","-",CONCATENATE(U3137,"_",V3137))</f>
        <v>FINES_R11</v>
      </c>
      <c r="X3137" s="42">
        <v>0.14499999999999999</v>
      </c>
    </row>
    <row r="3138" spans="1:24">
      <c r="A3138" s="21" t="s">
        <v>5100</v>
      </c>
      <c r="B3138" t="s">
        <v>222</v>
      </c>
      <c r="C3138" t="s">
        <v>227</v>
      </c>
      <c r="D3138" t="s">
        <v>2603</v>
      </c>
      <c r="E3138" s="7" t="s">
        <v>198</v>
      </c>
      <c r="F3138" s="7" t="s">
        <v>198</v>
      </c>
      <c r="G3138" s="7" t="s">
        <v>198</v>
      </c>
      <c r="H3138" s="7" t="s">
        <v>20</v>
      </c>
      <c r="I3138" s="7" t="s">
        <v>5102</v>
      </c>
      <c r="J3138" s="7" t="s">
        <v>21</v>
      </c>
      <c r="L3138" t="s">
        <v>4432</v>
      </c>
      <c r="M3138" s="7" t="s">
        <v>22</v>
      </c>
      <c r="N3138" s="7" t="s">
        <v>23</v>
      </c>
      <c r="O3138" s="7" t="s">
        <v>27</v>
      </c>
      <c r="P3138" s="7" t="s">
        <v>5101</v>
      </c>
      <c r="Q3138" s="26">
        <v>84</v>
      </c>
      <c r="R3138" s="26">
        <v>4</v>
      </c>
      <c r="S3138" s="40">
        <v>1</v>
      </c>
      <c r="T3138" s="7"/>
      <c r="U3138" s="7" t="s">
        <v>2951</v>
      </c>
      <c r="V3138" s="7" t="str">
        <f>+IF(U3138="","",IF(U3138="FINES",CONCATENATE("R",IF(OR(B3138="16",B3138="21",B3138="22",B3138="23"),"16212223",IF(OR(B3138="15",B3138="17",B3138="24",B3138="25"),"15172425",B3138))),IF(U3138="CEBAS","UNICO",IF(VALUE(B3138)&lt;=11,"AMBA","INTERIOR"))))</f>
        <v>R11</v>
      </c>
      <c r="W3138" s="38" t="str">
        <f>+IF(U3138="","-",CONCATENATE(U3138,"_",V3138))</f>
        <v>FINES_R11</v>
      </c>
      <c r="X3138" s="42">
        <v>0.14699999999999999</v>
      </c>
    </row>
    <row r="3139" spans="1:24">
      <c r="A3139" s="21" t="s">
        <v>5100</v>
      </c>
      <c r="B3139" t="s">
        <v>222</v>
      </c>
      <c r="C3139" t="s">
        <v>2047</v>
      </c>
      <c r="D3139" t="s">
        <v>2048</v>
      </c>
      <c r="E3139" s="7" t="s">
        <v>198</v>
      </c>
      <c r="F3139" s="7" t="s">
        <v>198</v>
      </c>
      <c r="G3139" s="7" t="s">
        <v>198</v>
      </c>
      <c r="H3139" s="7" t="s">
        <v>20</v>
      </c>
      <c r="I3139" s="7" t="s">
        <v>5102</v>
      </c>
      <c r="J3139" s="7" t="s">
        <v>21</v>
      </c>
      <c r="L3139" t="s">
        <v>4491</v>
      </c>
      <c r="M3139" s="7" t="s">
        <v>22</v>
      </c>
      <c r="N3139" s="7" t="s">
        <v>23</v>
      </c>
      <c r="O3139" s="7" t="s">
        <v>27</v>
      </c>
      <c r="P3139" s="7" t="s">
        <v>5101</v>
      </c>
      <c r="Q3139" s="26">
        <v>21</v>
      </c>
      <c r="R3139" s="26">
        <v>1</v>
      </c>
      <c r="S3139" s="40">
        <v>1</v>
      </c>
      <c r="T3139" s="7"/>
      <c r="U3139" s="7" t="s">
        <v>2951</v>
      </c>
      <c r="V3139" s="7" t="str">
        <f>+IF(U3139="","",IF(U3139="FINES",CONCATENATE("R",IF(OR(B3139="16",B3139="21",B3139="22",B3139="23"),"16212223",IF(OR(B3139="15",B3139="17",B3139="24",B3139="25"),"15172425",B3139))),IF(U3139="CEBAS","UNICO",IF(VALUE(B3139)&lt;=11,"AMBA","INTERIOR"))))</f>
        <v>R11</v>
      </c>
      <c r="W3139" s="38" t="str">
        <f>+IF(U3139="","-",CONCATENATE(U3139,"_",V3139))</f>
        <v>FINES_R11</v>
      </c>
      <c r="X3139" s="42">
        <v>0.14799999999999999</v>
      </c>
    </row>
    <row r="3140" spans="1:24">
      <c r="A3140" s="21" t="s">
        <v>5100</v>
      </c>
      <c r="B3140" t="s">
        <v>222</v>
      </c>
      <c r="C3140" t="s">
        <v>2047</v>
      </c>
      <c r="D3140" t="s">
        <v>2048</v>
      </c>
      <c r="E3140" s="7" t="s">
        <v>198</v>
      </c>
      <c r="F3140" s="7" t="s">
        <v>198</v>
      </c>
      <c r="G3140" s="7" t="s">
        <v>198</v>
      </c>
      <c r="H3140" s="7" t="s">
        <v>20</v>
      </c>
      <c r="I3140" s="7" t="s">
        <v>5102</v>
      </c>
      <c r="J3140" s="7" t="s">
        <v>21</v>
      </c>
      <c r="L3140" t="s">
        <v>4454</v>
      </c>
      <c r="M3140" s="7" t="s">
        <v>22</v>
      </c>
      <c r="N3140" s="7" t="s">
        <v>23</v>
      </c>
      <c r="O3140" s="7" t="s">
        <v>27</v>
      </c>
      <c r="P3140" s="7" t="s">
        <v>5101</v>
      </c>
      <c r="Q3140" s="26">
        <v>16</v>
      </c>
      <c r="R3140" s="26">
        <v>1</v>
      </c>
      <c r="S3140" s="40">
        <v>1</v>
      </c>
      <c r="T3140" s="7"/>
      <c r="U3140" s="7" t="s">
        <v>2951</v>
      </c>
      <c r="V3140" s="7" t="str">
        <f>+IF(U3140="","",IF(U3140="FINES",CONCATENATE("R",IF(OR(B3140="16",B3140="21",B3140="22",B3140="23"),"16212223",IF(OR(B3140="15",B3140="17",B3140="24",B3140="25"),"15172425",B3140))),IF(U3140="CEBAS","UNICO",IF(VALUE(B3140)&lt;=11,"AMBA","INTERIOR"))))</f>
        <v>R11</v>
      </c>
      <c r="W3140" s="38" t="str">
        <f>+IF(U3140="","-",CONCATENATE(U3140,"_",V3140))</f>
        <v>FINES_R11</v>
      </c>
      <c r="X3140" s="42">
        <v>0.152</v>
      </c>
    </row>
    <row r="3141" spans="1:24">
      <c r="A3141" s="21" t="s">
        <v>5100</v>
      </c>
      <c r="B3141" t="s">
        <v>222</v>
      </c>
      <c r="C3141" t="s">
        <v>2047</v>
      </c>
      <c r="D3141" t="s">
        <v>2048</v>
      </c>
      <c r="E3141" s="7" t="s">
        <v>198</v>
      </c>
      <c r="F3141" s="7" t="s">
        <v>198</v>
      </c>
      <c r="G3141" s="7" t="s">
        <v>198</v>
      </c>
      <c r="H3141" s="7" t="s">
        <v>20</v>
      </c>
      <c r="I3141" s="7" t="s">
        <v>5102</v>
      </c>
      <c r="J3141" s="7" t="s">
        <v>21</v>
      </c>
      <c r="L3141" t="s">
        <v>4479</v>
      </c>
      <c r="M3141" s="7" t="s">
        <v>22</v>
      </c>
      <c r="N3141" s="7" t="s">
        <v>23</v>
      </c>
      <c r="O3141" s="7" t="s">
        <v>27</v>
      </c>
      <c r="P3141" s="7" t="s">
        <v>5101</v>
      </c>
      <c r="Q3141" s="26">
        <v>34</v>
      </c>
      <c r="R3141" s="26">
        <v>1</v>
      </c>
      <c r="S3141" s="40">
        <v>1</v>
      </c>
      <c r="T3141" s="7"/>
      <c r="U3141" s="7" t="s">
        <v>2951</v>
      </c>
      <c r="V3141" s="7" t="str">
        <f>+IF(U3141="","",IF(U3141="FINES",CONCATENATE("R",IF(OR(B3141="16",B3141="21",B3141="22",B3141="23"),"16212223",IF(OR(B3141="15",B3141="17",B3141="24",B3141="25"),"15172425",B3141))),IF(U3141="CEBAS","UNICO",IF(VALUE(B3141)&lt;=11,"AMBA","INTERIOR"))))</f>
        <v>R11</v>
      </c>
      <c r="W3141" s="38" t="str">
        <f>+IF(U3141="","-",CONCATENATE(U3141,"_",V3141))</f>
        <v>FINES_R11</v>
      </c>
      <c r="X3141" s="42">
        <v>0.182</v>
      </c>
    </row>
    <row r="3142" spans="1:24">
      <c r="A3142" s="21" t="s">
        <v>5100</v>
      </c>
      <c r="B3142" t="s">
        <v>222</v>
      </c>
      <c r="C3142" t="s">
        <v>2047</v>
      </c>
      <c r="D3142" t="s">
        <v>2048</v>
      </c>
      <c r="E3142" s="7" t="s">
        <v>198</v>
      </c>
      <c r="F3142" s="7" t="s">
        <v>198</v>
      </c>
      <c r="G3142" s="7" t="s">
        <v>198</v>
      </c>
      <c r="H3142" s="7" t="s">
        <v>20</v>
      </c>
      <c r="I3142" s="7" t="s">
        <v>5102</v>
      </c>
      <c r="J3142" s="7" t="s">
        <v>21</v>
      </c>
      <c r="L3142" t="s">
        <v>4480</v>
      </c>
      <c r="M3142" s="7" t="s">
        <v>22</v>
      </c>
      <c r="N3142" s="7" t="s">
        <v>23</v>
      </c>
      <c r="O3142" s="7" t="s">
        <v>27</v>
      </c>
      <c r="P3142" s="7" t="s">
        <v>5101</v>
      </c>
      <c r="Q3142" s="26">
        <v>14</v>
      </c>
      <c r="R3142" s="26">
        <v>1</v>
      </c>
      <c r="S3142" s="40">
        <v>1</v>
      </c>
      <c r="T3142" s="7"/>
      <c r="U3142" s="7" t="s">
        <v>2951</v>
      </c>
      <c r="V3142" s="7" t="str">
        <f>+IF(U3142="","",IF(U3142="FINES",CONCATENATE("R",IF(OR(B3142="16",B3142="21",B3142="22",B3142="23"),"16212223",IF(OR(B3142="15",B3142="17",B3142="24",B3142="25"),"15172425",B3142))),IF(U3142="CEBAS","UNICO",IF(VALUE(B3142)&lt;=11,"AMBA","INTERIOR"))))</f>
        <v>R11</v>
      </c>
      <c r="W3142" s="38" t="str">
        <f>+IF(U3142="","-",CONCATENATE(U3142,"_",V3142))</f>
        <v>FINES_R11</v>
      </c>
      <c r="X3142" s="42">
        <v>0.187</v>
      </c>
    </row>
    <row r="3143" spans="1:24">
      <c r="A3143" s="21" t="s">
        <v>5100</v>
      </c>
      <c r="B3143" t="s">
        <v>222</v>
      </c>
      <c r="C3143" t="s">
        <v>2047</v>
      </c>
      <c r="D3143" t="s">
        <v>2048</v>
      </c>
      <c r="E3143" s="7" t="s">
        <v>198</v>
      </c>
      <c r="F3143" s="7" t="s">
        <v>198</v>
      </c>
      <c r="G3143" s="7" t="s">
        <v>198</v>
      </c>
      <c r="H3143" s="7" t="s">
        <v>20</v>
      </c>
      <c r="I3143" s="7" t="s">
        <v>5102</v>
      </c>
      <c r="J3143" s="7" t="s">
        <v>21</v>
      </c>
      <c r="L3143" t="s">
        <v>4488</v>
      </c>
      <c r="M3143" s="7" t="s">
        <v>22</v>
      </c>
      <c r="N3143" s="7" t="s">
        <v>23</v>
      </c>
      <c r="O3143" s="7" t="s">
        <v>27</v>
      </c>
      <c r="P3143" s="7" t="s">
        <v>5101</v>
      </c>
      <c r="Q3143" s="26">
        <v>88</v>
      </c>
      <c r="R3143" s="26">
        <v>3</v>
      </c>
      <c r="S3143" s="40">
        <v>1</v>
      </c>
      <c r="T3143" s="7"/>
      <c r="U3143" s="7" t="s">
        <v>2951</v>
      </c>
      <c r="V3143" s="7" t="str">
        <f>+IF(U3143="","",IF(U3143="FINES",CONCATENATE("R",IF(OR(B3143="16",B3143="21",B3143="22",B3143="23"),"16212223",IF(OR(B3143="15",B3143="17",B3143="24",B3143="25"),"15172425",B3143))),IF(U3143="CEBAS","UNICO",IF(VALUE(B3143)&lt;=11,"AMBA","INTERIOR"))))</f>
        <v>R11</v>
      </c>
      <c r="W3143" s="38" t="str">
        <f>+IF(U3143="","-",CONCATENATE(U3143,"_",V3143))</f>
        <v>FINES_R11</v>
      </c>
      <c r="X3143" s="42">
        <v>0.19500000000000001</v>
      </c>
    </row>
    <row r="3144" spans="1:24">
      <c r="A3144" s="21" t="s">
        <v>5100</v>
      </c>
      <c r="B3144" t="s">
        <v>222</v>
      </c>
      <c r="C3144" t="s">
        <v>227</v>
      </c>
      <c r="D3144" t="s">
        <v>2603</v>
      </c>
      <c r="E3144" s="7" t="s">
        <v>198</v>
      </c>
      <c r="F3144" s="7" t="s">
        <v>198</v>
      </c>
      <c r="G3144" s="7" t="s">
        <v>198</v>
      </c>
      <c r="H3144" s="7" t="s">
        <v>20</v>
      </c>
      <c r="I3144" s="7" t="s">
        <v>5102</v>
      </c>
      <c r="J3144" s="7" t="s">
        <v>21</v>
      </c>
      <c r="L3144" t="s">
        <v>4437</v>
      </c>
      <c r="M3144" s="7" t="s">
        <v>22</v>
      </c>
      <c r="N3144" s="7" t="s">
        <v>23</v>
      </c>
      <c r="O3144" s="7" t="s">
        <v>27</v>
      </c>
      <c r="P3144" s="7" t="s">
        <v>5101</v>
      </c>
      <c r="Q3144" s="26">
        <v>20</v>
      </c>
      <c r="R3144" s="26">
        <v>1</v>
      </c>
      <c r="S3144" s="40">
        <v>1</v>
      </c>
      <c r="T3144" s="7"/>
      <c r="U3144" s="7" t="s">
        <v>2951</v>
      </c>
      <c r="V3144" s="7" t="str">
        <f>+IF(U3144="","",IF(U3144="FINES",CONCATENATE("R",IF(OR(B3144="16",B3144="21",B3144="22",B3144="23"),"16212223",IF(OR(B3144="15",B3144="17",B3144="24",B3144="25"),"15172425",B3144))),IF(U3144="CEBAS","UNICO",IF(VALUE(B3144)&lt;=11,"AMBA","INTERIOR"))))</f>
        <v>R11</v>
      </c>
      <c r="W3144" s="38" t="str">
        <f>+IF(U3144="","-",CONCATENATE(U3144,"_",V3144))</f>
        <v>FINES_R11</v>
      </c>
      <c r="X3144" s="42">
        <v>0.20499999999999999</v>
      </c>
    </row>
    <row r="3145" spans="1:24">
      <c r="A3145" s="21" t="s">
        <v>5100</v>
      </c>
      <c r="B3145" t="s">
        <v>222</v>
      </c>
      <c r="C3145" t="s">
        <v>2047</v>
      </c>
      <c r="D3145" t="s">
        <v>2048</v>
      </c>
      <c r="E3145" s="7" t="s">
        <v>198</v>
      </c>
      <c r="F3145" s="7" t="s">
        <v>198</v>
      </c>
      <c r="G3145" s="7" t="s">
        <v>198</v>
      </c>
      <c r="H3145" s="7" t="s">
        <v>20</v>
      </c>
      <c r="I3145" s="7" t="s">
        <v>5102</v>
      </c>
      <c r="J3145" s="7" t="s">
        <v>21</v>
      </c>
      <c r="L3145" t="s">
        <v>4492</v>
      </c>
      <c r="M3145" s="7" t="s">
        <v>22</v>
      </c>
      <c r="N3145" s="7" t="s">
        <v>23</v>
      </c>
      <c r="O3145" s="7" t="s">
        <v>27</v>
      </c>
      <c r="P3145" s="7" t="s">
        <v>5101</v>
      </c>
      <c r="Q3145" s="26">
        <v>36</v>
      </c>
      <c r="R3145" s="26">
        <v>2</v>
      </c>
      <c r="S3145" s="40">
        <v>1</v>
      </c>
      <c r="T3145" s="7"/>
      <c r="U3145" s="7" t="s">
        <v>2951</v>
      </c>
      <c r="V3145" s="7" t="str">
        <f>+IF(U3145="","",IF(U3145="FINES",CONCATENATE("R",IF(OR(B3145="16",B3145="21",B3145="22",B3145="23"),"16212223",IF(OR(B3145="15",B3145="17",B3145="24",B3145="25"),"15172425",B3145))),IF(U3145="CEBAS","UNICO",IF(VALUE(B3145)&lt;=11,"AMBA","INTERIOR"))))</f>
        <v>R11</v>
      </c>
      <c r="W3145" s="38" t="str">
        <f>+IF(U3145="","-",CONCATENATE(U3145,"_",V3145))</f>
        <v>FINES_R11</v>
      </c>
      <c r="X3145" s="42">
        <v>0.215</v>
      </c>
    </row>
    <row r="3146" spans="1:24">
      <c r="A3146" s="21" t="s">
        <v>5100</v>
      </c>
      <c r="B3146" t="s">
        <v>222</v>
      </c>
      <c r="C3146" t="s">
        <v>610</v>
      </c>
      <c r="D3146" t="s">
        <v>611</v>
      </c>
      <c r="E3146" s="7" t="s">
        <v>198</v>
      </c>
      <c r="F3146" s="7" t="s">
        <v>198</v>
      </c>
      <c r="G3146" s="7" t="s">
        <v>198</v>
      </c>
      <c r="H3146" s="7" t="s">
        <v>20</v>
      </c>
      <c r="I3146" s="7" t="s">
        <v>5102</v>
      </c>
      <c r="J3146" s="7" t="s">
        <v>21</v>
      </c>
      <c r="L3146" t="s">
        <v>4410</v>
      </c>
      <c r="M3146" s="7" t="s">
        <v>22</v>
      </c>
      <c r="N3146" s="7" t="s">
        <v>23</v>
      </c>
      <c r="O3146" s="7" t="s">
        <v>27</v>
      </c>
      <c r="P3146" s="7" t="s">
        <v>5101</v>
      </c>
      <c r="Q3146" s="26">
        <v>77</v>
      </c>
      <c r="R3146" s="26">
        <v>4</v>
      </c>
      <c r="S3146" s="40">
        <v>1</v>
      </c>
      <c r="T3146" s="7"/>
      <c r="U3146" s="7" t="s">
        <v>2951</v>
      </c>
      <c r="V3146" s="7" t="str">
        <f>+IF(U3146="","",IF(U3146="FINES",CONCATENATE("R",IF(OR(B3146="16",B3146="21",B3146="22",B3146="23"),"16212223",IF(OR(B3146="15",B3146="17",B3146="24",B3146="25"),"15172425",B3146))),IF(U3146="CEBAS","UNICO",IF(VALUE(B3146)&lt;=11,"AMBA","INTERIOR"))))</f>
        <v>R11</v>
      </c>
      <c r="W3146" s="38" t="str">
        <f>+IF(U3146="","-",CONCATENATE(U3146,"_",V3146))</f>
        <v>FINES_R11</v>
      </c>
      <c r="X3146" s="42">
        <v>0.223</v>
      </c>
    </row>
    <row r="3147" spans="1:24">
      <c r="A3147" s="21" t="s">
        <v>5100</v>
      </c>
      <c r="B3147" t="s">
        <v>222</v>
      </c>
      <c r="C3147" t="s">
        <v>2047</v>
      </c>
      <c r="D3147" t="s">
        <v>2048</v>
      </c>
      <c r="E3147" s="7" t="s">
        <v>198</v>
      </c>
      <c r="F3147" s="7" t="s">
        <v>198</v>
      </c>
      <c r="G3147" s="7" t="s">
        <v>198</v>
      </c>
      <c r="H3147" s="7" t="s">
        <v>20</v>
      </c>
      <c r="I3147" s="7" t="s">
        <v>5102</v>
      </c>
      <c r="J3147" s="7" t="s">
        <v>21</v>
      </c>
      <c r="L3147" t="s">
        <v>4448</v>
      </c>
      <c r="M3147" s="7" t="s">
        <v>22</v>
      </c>
      <c r="N3147" s="7" t="s">
        <v>23</v>
      </c>
      <c r="O3147" s="7" t="s">
        <v>27</v>
      </c>
      <c r="P3147" s="7" t="s">
        <v>5101</v>
      </c>
      <c r="Q3147" s="26">
        <v>116</v>
      </c>
      <c r="R3147" s="26">
        <v>3</v>
      </c>
      <c r="S3147" s="40">
        <v>1</v>
      </c>
      <c r="T3147" s="7"/>
      <c r="U3147" s="7" t="s">
        <v>2951</v>
      </c>
      <c r="V3147" s="7" t="str">
        <f>+IF(U3147="","",IF(U3147="FINES",CONCATENATE("R",IF(OR(B3147="16",B3147="21",B3147="22",B3147="23"),"16212223",IF(OR(B3147="15",B3147="17",B3147="24",B3147="25"),"15172425",B3147))),IF(U3147="CEBAS","UNICO",IF(VALUE(B3147)&lt;=11,"AMBA","INTERIOR"))))</f>
        <v>R11</v>
      </c>
      <c r="W3147" s="38" t="str">
        <f>+IF(U3147="","-",CONCATENATE(U3147,"_",V3147))</f>
        <v>FINES_R11</v>
      </c>
      <c r="X3147" s="42">
        <v>0.22800000000000001</v>
      </c>
    </row>
    <row r="3148" spans="1:24">
      <c r="A3148" s="21" t="s">
        <v>5100</v>
      </c>
      <c r="B3148" t="s">
        <v>222</v>
      </c>
      <c r="C3148" t="s">
        <v>2047</v>
      </c>
      <c r="D3148" t="s">
        <v>2048</v>
      </c>
      <c r="E3148" s="7" t="s">
        <v>198</v>
      </c>
      <c r="F3148" s="7" t="s">
        <v>198</v>
      </c>
      <c r="G3148" s="7" t="s">
        <v>198</v>
      </c>
      <c r="H3148" s="7" t="s">
        <v>20</v>
      </c>
      <c r="I3148" s="7" t="s">
        <v>5102</v>
      </c>
      <c r="J3148" s="7" t="s">
        <v>21</v>
      </c>
      <c r="L3148" t="s">
        <v>4452</v>
      </c>
      <c r="M3148" s="7" t="s">
        <v>22</v>
      </c>
      <c r="N3148" s="7" t="s">
        <v>23</v>
      </c>
      <c r="O3148" s="7" t="s">
        <v>27</v>
      </c>
      <c r="P3148" s="7" t="s">
        <v>5101</v>
      </c>
      <c r="Q3148" s="26">
        <v>22</v>
      </c>
      <c r="R3148" s="26">
        <v>1</v>
      </c>
      <c r="S3148" s="40">
        <v>1</v>
      </c>
      <c r="T3148" s="7"/>
      <c r="U3148" s="7" t="s">
        <v>2951</v>
      </c>
      <c r="V3148" s="7" t="str">
        <f>+IF(U3148="","",IF(U3148="FINES",CONCATENATE("R",IF(OR(B3148="16",B3148="21",B3148="22",B3148="23"),"16212223",IF(OR(B3148="15",B3148="17",B3148="24",B3148="25"),"15172425",B3148))),IF(U3148="CEBAS","UNICO",IF(VALUE(B3148)&lt;=11,"AMBA","INTERIOR"))))</f>
        <v>R11</v>
      </c>
      <c r="W3148" s="38" t="str">
        <f>+IF(U3148="","-",CONCATENATE(U3148,"_",V3148))</f>
        <v>FINES_R11</v>
      </c>
      <c r="X3148" s="42">
        <v>0.24399999999999999</v>
      </c>
    </row>
    <row r="3149" spans="1:24">
      <c r="A3149" s="21" t="s">
        <v>5100</v>
      </c>
      <c r="B3149" t="s">
        <v>222</v>
      </c>
      <c r="C3149" t="s">
        <v>227</v>
      </c>
      <c r="D3149" t="s">
        <v>2603</v>
      </c>
      <c r="E3149" s="7" t="s">
        <v>198</v>
      </c>
      <c r="F3149" s="7" t="s">
        <v>198</v>
      </c>
      <c r="G3149" s="7" t="s">
        <v>198</v>
      </c>
      <c r="H3149" s="7" t="s">
        <v>20</v>
      </c>
      <c r="I3149" s="7" t="s">
        <v>5102</v>
      </c>
      <c r="J3149" s="7" t="s">
        <v>21</v>
      </c>
      <c r="L3149" t="s">
        <v>4439</v>
      </c>
      <c r="M3149" s="7" t="s">
        <v>22</v>
      </c>
      <c r="N3149" s="7" t="s">
        <v>23</v>
      </c>
      <c r="O3149" s="7" t="s">
        <v>27</v>
      </c>
      <c r="P3149" s="7" t="s">
        <v>5101</v>
      </c>
      <c r="Q3149" s="26">
        <v>48</v>
      </c>
      <c r="R3149" s="26">
        <v>2</v>
      </c>
      <c r="S3149" s="40">
        <v>1</v>
      </c>
      <c r="T3149" s="7"/>
      <c r="U3149" s="7" t="s">
        <v>2951</v>
      </c>
      <c r="V3149" s="7" t="str">
        <f>+IF(U3149="","",IF(U3149="FINES",CONCATENATE("R",IF(OR(B3149="16",B3149="21",B3149="22",B3149="23"),"16212223",IF(OR(B3149="15",B3149="17",B3149="24",B3149="25"),"15172425",B3149))),IF(U3149="CEBAS","UNICO",IF(VALUE(B3149)&lt;=11,"AMBA","INTERIOR"))))</f>
        <v>R11</v>
      </c>
      <c r="W3149" s="38" t="str">
        <f>+IF(U3149="","-",CONCATENATE(U3149,"_",V3149))</f>
        <v>FINES_R11</v>
      </c>
      <c r="X3149" s="42">
        <v>0.255</v>
      </c>
    </row>
    <row r="3150" spans="1:24">
      <c r="A3150" s="21" t="s">
        <v>5100</v>
      </c>
      <c r="B3150" t="s">
        <v>222</v>
      </c>
      <c r="C3150" t="s">
        <v>227</v>
      </c>
      <c r="D3150" t="s">
        <v>2603</v>
      </c>
      <c r="E3150" s="7" t="s">
        <v>198</v>
      </c>
      <c r="F3150" s="7" t="s">
        <v>198</v>
      </c>
      <c r="G3150" s="7" t="s">
        <v>198</v>
      </c>
      <c r="H3150" s="7" t="s">
        <v>20</v>
      </c>
      <c r="I3150" s="7" t="s">
        <v>5102</v>
      </c>
      <c r="J3150" s="7" t="s">
        <v>21</v>
      </c>
      <c r="L3150" t="s">
        <v>4428</v>
      </c>
      <c r="M3150" s="7" t="s">
        <v>22</v>
      </c>
      <c r="N3150" s="7" t="s">
        <v>23</v>
      </c>
      <c r="O3150" s="7" t="s">
        <v>27</v>
      </c>
      <c r="P3150" s="7" t="s">
        <v>5101</v>
      </c>
      <c r="Q3150" s="26">
        <v>11</v>
      </c>
      <c r="R3150" s="26">
        <v>1</v>
      </c>
      <c r="S3150" s="40">
        <v>1</v>
      </c>
      <c r="T3150" s="7"/>
      <c r="U3150" s="7" t="s">
        <v>2951</v>
      </c>
      <c r="V3150" s="7" t="str">
        <f>+IF(U3150="","",IF(U3150="FINES",CONCATENATE("R",IF(OR(B3150="16",B3150="21",B3150="22",B3150="23"),"16212223",IF(OR(B3150="15",B3150="17",B3150="24",B3150="25"),"15172425",B3150))),IF(U3150="CEBAS","UNICO",IF(VALUE(B3150)&lt;=11,"AMBA","INTERIOR"))))</f>
        <v>R11</v>
      </c>
      <c r="W3150" s="38" t="str">
        <f>+IF(U3150="","-",CONCATENATE(U3150,"_",V3150))</f>
        <v>FINES_R11</v>
      </c>
      <c r="X3150" s="42">
        <v>0.26800000000000002</v>
      </c>
    </row>
    <row r="3151" spans="1:24">
      <c r="A3151" s="21" t="s">
        <v>5100</v>
      </c>
      <c r="B3151" t="s">
        <v>222</v>
      </c>
      <c r="C3151" t="s">
        <v>2047</v>
      </c>
      <c r="D3151" t="s">
        <v>2048</v>
      </c>
      <c r="E3151" s="7" t="s">
        <v>198</v>
      </c>
      <c r="F3151" s="7" t="s">
        <v>198</v>
      </c>
      <c r="G3151" s="7" t="s">
        <v>198</v>
      </c>
      <c r="H3151" s="7" t="s">
        <v>20</v>
      </c>
      <c r="I3151" s="7" t="s">
        <v>5102</v>
      </c>
      <c r="J3151" s="7" t="s">
        <v>21</v>
      </c>
      <c r="L3151" t="s">
        <v>4465</v>
      </c>
      <c r="M3151" s="7" t="s">
        <v>22</v>
      </c>
      <c r="N3151" s="7" t="s">
        <v>23</v>
      </c>
      <c r="O3151" s="7" t="s">
        <v>27</v>
      </c>
      <c r="P3151" s="7" t="s">
        <v>5101</v>
      </c>
      <c r="Q3151" s="26">
        <v>22</v>
      </c>
      <c r="R3151" s="26">
        <v>1</v>
      </c>
      <c r="S3151" s="40">
        <v>1</v>
      </c>
      <c r="T3151" s="7"/>
      <c r="U3151" s="7" t="s">
        <v>2951</v>
      </c>
      <c r="V3151" s="7" t="str">
        <f>+IF(U3151="","",IF(U3151="FINES",CONCATENATE("R",IF(OR(B3151="16",B3151="21",B3151="22",B3151="23"),"16212223",IF(OR(B3151="15",B3151="17",B3151="24",B3151="25"),"15172425",B3151))),IF(U3151="CEBAS","UNICO",IF(VALUE(B3151)&lt;=11,"AMBA","INTERIOR"))))</f>
        <v>R11</v>
      </c>
      <c r="W3151" s="38" t="str">
        <f>+IF(U3151="","-",CONCATENATE(U3151,"_",V3151))</f>
        <v>FINES_R11</v>
      </c>
      <c r="X3151" s="42">
        <v>0.27200000000000002</v>
      </c>
    </row>
    <row r="3152" spans="1:24">
      <c r="A3152" s="21" t="s">
        <v>5100</v>
      </c>
      <c r="B3152" t="s">
        <v>222</v>
      </c>
      <c r="C3152" t="s">
        <v>1154</v>
      </c>
      <c r="D3152" t="s">
        <v>1155</v>
      </c>
      <c r="E3152" s="7" t="s">
        <v>198</v>
      </c>
      <c r="F3152" s="7" t="s">
        <v>198</v>
      </c>
      <c r="G3152" s="7" t="s">
        <v>198</v>
      </c>
      <c r="H3152" s="7" t="s">
        <v>20</v>
      </c>
      <c r="I3152" s="7" t="s">
        <v>5102</v>
      </c>
      <c r="J3152" s="7" t="s">
        <v>21</v>
      </c>
      <c r="L3152" t="s">
        <v>1178</v>
      </c>
      <c r="M3152" s="7" t="s">
        <v>22</v>
      </c>
      <c r="N3152" s="7" t="s">
        <v>23</v>
      </c>
      <c r="O3152" s="7" t="s">
        <v>27</v>
      </c>
      <c r="P3152" s="7" t="s">
        <v>5101</v>
      </c>
      <c r="Q3152" s="26">
        <v>16</v>
      </c>
      <c r="R3152" s="26">
        <v>1</v>
      </c>
      <c r="S3152" s="40">
        <v>1</v>
      </c>
      <c r="T3152" s="7"/>
      <c r="U3152" s="7" t="s">
        <v>2951</v>
      </c>
      <c r="V3152" s="7" t="str">
        <f>+IF(U3152="","",IF(U3152="FINES",CONCATENATE("R",IF(OR(B3152="16",B3152="21",B3152="22",B3152="23"),"16212223",IF(OR(B3152="15",B3152="17",B3152="24",B3152="25"),"15172425",B3152))),IF(U3152="CEBAS","UNICO",IF(VALUE(B3152)&lt;=11,"AMBA","INTERIOR"))))</f>
        <v>R11</v>
      </c>
      <c r="W3152" s="38" t="str">
        <f>+IF(U3152="","-",CONCATENATE(U3152,"_",V3152))</f>
        <v>FINES_R11</v>
      </c>
      <c r="X3152" s="42">
        <v>0.27600000000000002</v>
      </c>
    </row>
    <row r="3153" spans="1:24">
      <c r="A3153" s="21" t="s">
        <v>5100</v>
      </c>
      <c r="B3153" t="s">
        <v>222</v>
      </c>
      <c r="C3153" t="s">
        <v>2047</v>
      </c>
      <c r="D3153" t="s">
        <v>2048</v>
      </c>
      <c r="E3153" s="7" t="s">
        <v>198</v>
      </c>
      <c r="F3153" s="7" t="s">
        <v>198</v>
      </c>
      <c r="G3153" s="7" t="s">
        <v>198</v>
      </c>
      <c r="H3153" s="7" t="s">
        <v>20</v>
      </c>
      <c r="I3153" s="7" t="s">
        <v>5102</v>
      </c>
      <c r="J3153" s="7" t="s">
        <v>21</v>
      </c>
      <c r="L3153" t="s">
        <v>4493</v>
      </c>
      <c r="M3153" s="7" t="s">
        <v>22</v>
      </c>
      <c r="N3153" s="7" t="s">
        <v>23</v>
      </c>
      <c r="O3153" s="7" t="s">
        <v>27</v>
      </c>
      <c r="P3153" s="7" t="s">
        <v>5101</v>
      </c>
      <c r="Q3153" s="26">
        <v>31</v>
      </c>
      <c r="R3153" s="26">
        <v>2</v>
      </c>
      <c r="S3153" s="40">
        <v>1</v>
      </c>
      <c r="T3153" s="7"/>
      <c r="U3153" s="7" t="s">
        <v>2951</v>
      </c>
      <c r="V3153" s="7" t="str">
        <f>+IF(U3153="","",IF(U3153="FINES",CONCATENATE("R",IF(OR(B3153="16",B3153="21",B3153="22",B3153="23"),"16212223",IF(OR(B3153="15",B3153="17",B3153="24",B3153="25"),"15172425",B3153))),IF(U3153="CEBAS","UNICO",IF(VALUE(B3153)&lt;=11,"AMBA","INTERIOR"))))</f>
        <v>R11</v>
      </c>
      <c r="W3153" s="38" t="str">
        <f>+IF(U3153="","-",CONCATENATE(U3153,"_",V3153))</f>
        <v>FINES_R11</v>
      </c>
      <c r="X3153" s="42">
        <v>0.27800000000000002</v>
      </c>
    </row>
    <row r="3154" spans="1:24">
      <c r="A3154" s="21" t="s">
        <v>5100</v>
      </c>
      <c r="B3154" t="s">
        <v>222</v>
      </c>
      <c r="C3154" t="s">
        <v>2047</v>
      </c>
      <c r="D3154" t="s">
        <v>2048</v>
      </c>
      <c r="E3154" s="7" t="s">
        <v>198</v>
      </c>
      <c r="F3154" s="7" t="s">
        <v>198</v>
      </c>
      <c r="G3154" s="7" t="s">
        <v>198</v>
      </c>
      <c r="H3154" s="7" t="s">
        <v>20</v>
      </c>
      <c r="I3154" s="7" t="s">
        <v>5102</v>
      </c>
      <c r="J3154" s="7" t="s">
        <v>21</v>
      </c>
      <c r="L3154" t="s">
        <v>4496</v>
      </c>
      <c r="M3154" s="7" t="s">
        <v>22</v>
      </c>
      <c r="N3154" s="7" t="s">
        <v>23</v>
      </c>
      <c r="O3154" s="7" t="s">
        <v>27</v>
      </c>
      <c r="P3154" s="7" t="s">
        <v>5101</v>
      </c>
      <c r="Q3154" s="26">
        <v>38</v>
      </c>
      <c r="R3154" s="26">
        <v>2</v>
      </c>
      <c r="S3154" s="40">
        <v>1</v>
      </c>
      <c r="T3154" s="7"/>
      <c r="U3154" s="7" t="s">
        <v>2951</v>
      </c>
      <c r="V3154" s="7" t="str">
        <f>+IF(U3154="","",IF(U3154="FINES",CONCATENATE("R",IF(OR(B3154="16",B3154="21",B3154="22",B3154="23"),"16212223",IF(OR(B3154="15",B3154="17",B3154="24",B3154="25"),"15172425",B3154))),IF(U3154="CEBAS","UNICO",IF(VALUE(B3154)&lt;=11,"AMBA","INTERIOR"))))</f>
        <v>R11</v>
      </c>
      <c r="W3154" s="38" t="str">
        <f>+IF(U3154="","-",CONCATENATE(U3154,"_",V3154))</f>
        <v>FINES_R11</v>
      </c>
      <c r="X3154" s="42">
        <v>0.29499999999999998</v>
      </c>
    </row>
    <row r="3155" spans="1:24">
      <c r="A3155" s="21" t="s">
        <v>5100</v>
      </c>
      <c r="B3155" t="s">
        <v>222</v>
      </c>
      <c r="C3155" t="s">
        <v>610</v>
      </c>
      <c r="D3155" t="s">
        <v>611</v>
      </c>
      <c r="E3155" s="7" t="s">
        <v>198</v>
      </c>
      <c r="F3155" s="7" t="s">
        <v>198</v>
      </c>
      <c r="G3155" s="7" t="s">
        <v>198</v>
      </c>
      <c r="H3155" s="7" t="s">
        <v>20</v>
      </c>
      <c r="I3155" s="7" t="s">
        <v>5102</v>
      </c>
      <c r="J3155" s="7" t="s">
        <v>21</v>
      </c>
      <c r="L3155" t="s">
        <v>4416</v>
      </c>
      <c r="M3155" s="7" t="s">
        <v>22</v>
      </c>
      <c r="N3155" s="7" t="s">
        <v>23</v>
      </c>
      <c r="O3155" s="7" t="s">
        <v>27</v>
      </c>
      <c r="P3155" s="7" t="s">
        <v>5101</v>
      </c>
      <c r="Q3155" s="26">
        <v>15</v>
      </c>
      <c r="R3155" s="26">
        <v>1</v>
      </c>
      <c r="S3155" s="40">
        <v>1</v>
      </c>
      <c r="T3155" s="7"/>
      <c r="U3155" s="7" t="s">
        <v>2951</v>
      </c>
      <c r="V3155" s="7" t="str">
        <f>+IF(U3155="","",IF(U3155="FINES",CONCATENATE("R",IF(OR(B3155="16",B3155="21",B3155="22",B3155="23"),"16212223",IF(OR(B3155="15",B3155="17",B3155="24",B3155="25"),"15172425",B3155))),IF(U3155="CEBAS","UNICO",IF(VALUE(B3155)&lt;=11,"AMBA","INTERIOR"))))</f>
        <v>R11</v>
      </c>
      <c r="W3155" s="38" t="str">
        <f>+IF(U3155="","-",CONCATENATE(U3155,"_",V3155))</f>
        <v>FINES_R11</v>
      </c>
      <c r="X3155" s="42">
        <v>0.29699999999999999</v>
      </c>
    </row>
    <row r="3156" spans="1:24">
      <c r="A3156" s="21" t="s">
        <v>5100</v>
      </c>
      <c r="B3156" t="s">
        <v>222</v>
      </c>
      <c r="C3156" t="s">
        <v>610</v>
      </c>
      <c r="D3156" t="s">
        <v>611</v>
      </c>
      <c r="E3156" s="7" t="s">
        <v>198</v>
      </c>
      <c r="F3156" s="7" t="s">
        <v>198</v>
      </c>
      <c r="G3156" s="7" t="s">
        <v>198</v>
      </c>
      <c r="H3156" s="7" t="s">
        <v>20</v>
      </c>
      <c r="I3156" s="7" t="s">
        <v>5102</v>
      </c>
      <c r="J3156" s="7" t="s">
        <v>21</v>
      </c>
      <c r="L3156" t="s">
        <v>4370</v>
      </c>
      <c r="M3156" s="7" t="s">
        <v>22</v>
      </c>
      <c r="N3156" s="7" t="s">
        <v>23</v>
      </c>
      <c r="O3156" s="7" t="s">
        <v>27</v>
      </c>
      <c r="P3156" s="7" t="s">
        <v>5101</v>
      </c>
      <c r="Q3156" s="26">
        <v>41</v>
      </c>
      <c r="R3156" s="26">
        <v>3</v>
      </c>
      <c r="S3156" s="40">
        <v>1</v>
      </c>
      <c r="T3156" s="7"/>
      <c r="U3156" s="7" t="s">
        <v>2951</v>
      </c>
      <c r="V3156" s="7" t="str">
        <f>+IF(U3156="","",IF(U3156="FINES",CONCATENATE("R",IF(OR(B3156="16",B3156="21",B3156="22",B3156="23"),"16212223",IF(OR(B3156="15",B3156="17",B3156="24",B3156="25"),"15172425",B3156))),IF(U3156="CEBAS","UNICO",IF(VALUE(B3156)&lt;=11,"AMBA","INTERIOR"))))</f>
        <v>R11</v>
      </c>
      <c r="W3156" s="38" t="str">
        <f>+IF(U3156="","-",CONCATENATE(U3156,"_",V3156))</f>
        <v>FINES_R11</v>
      </c>
      <c r="X3156" s="42">
        <v>0.31</v>
      </c>
    </row>
    <row r="3157" spans="1:24">
      <c r="A3157" s="21" t="s">
        <v>5100</v>
      </c>
      <c r="B3157" t="s">
        <v>222</v>
      </c>
      <c r="C3157" t="s">
        <v>1154</v>
      </c>
      <c r="D3157" t="s">
        <v>1155</v>
      </c>
      <c r="E3157" s="7" t="s">
        <v>198</v>
      </c>
      <c r="F3157" s="7" t="s">
        <v>198</v>
      </c>
      <c r="G3157" s="7" t="s">
        <v>198</v>
      </c>
      <c r="H3157" s="7" t="s">
        <v>20</v>
      </c>
      <c r="I3157" s="7" t="s">
        <v>5102</v>
      </c>
      <c r="J3157" s="7" t="s">
        <v>21</v>
      </c>
      <c r="L3157" t="s">
        <v>4505</v>
      </c>
      <c r="M3157" s="7" t="s">
        <v>22</v>
      </c>
      <c r="N3157" s="7" t="s">
        <v>23</v>
      </c>
      <c r="O3157" s="7" t="s">
        <v>27</v>
      </c>
      <c r="P3157" s="7" t="s">
        <v>5101</v>
      </c>
      <c r="Q3157" s="26">
        <v>109</v>
      </c>
      <c r="R3157" s="26">
        <v>3</v>
      </c>
      <c r="S3157" s="40">
        <v>1</v>
      </c>
      <c r="T3157" s="7"/>
      <c r="U3157" s="7" t="s">
        <v>2951</v>
      </c>
      <c r="V3157" s="7" t="str">
        <f>+IF(U3157="","",IF(U3157="FINES",CONCATENATE("R",IF(OR(B3157="16",B3157="21",B3157="22",B3157="23"),"16212223",IF(OR(B3157="15",B3157="17",B3157="24",B3157="25"),"15172425",B3157))),IF(U3157="CEBAS","UNICO",IF(VALUE(B3157)&lt;=11,"AMBA","INTERIOR"))))</f>
        <v>R11</v>
      </c>
      <c r="W3157" s="38" t="str">
        <f>+IF(U3157="","-",CONCATENATE(U3157,"_",V3157))</f>
        <v>FINES_R11</v>
      </c>
      <c r="X3157" s="42">
        <v>0.33800000000000002</v>
      </c>
    </row>
    <row r="3158" spans="1:24">
      <c r="A3158" s="21" t="s">
        <v>5100</v>
      </c>
      <c r="B3158" t="s">
        <v>222</v>
      </c>
      <c r="C3158" t="s">
        <v>2047</v>
      </c>
      <c r="D3158" t="s">
        <v>2048</v>
      </c>
      <c r="E3158" s="7" t="s">
        <v>198</v>
      </c>
      <c r="F3158" s="7" t="s">
        <v>198</v>
      </c>
      <c r="G3158" s="7" t="s">
        <v>198</v>
      </c>
      <c r="H3158" s="7" t="s">
        <v>20</v>
      </c>
      <c r="I3158" s="7" t="s">
        <v>5102</v>
      </c>
      <c r="J3158" s="7" t="s">
        <v>21</v>
      </c>
      <c r="L3158" t="s">
        <v>4490</v>
      </c>
      <c r="M3158" s="7" t="s">
        <v>22</v>
      </c>
      <c r="N3158" s="7" t="s">
        <v>23</v>
      </c>
      <c r="O3158" s="7" t="s">
        <v>27</v>
      </c>
      <c r="P3158" s="7" t="s">
        <v>5101</v>
      </c>
      <c r="Q3158" s="26">
        <v>40</v>
      </c>
      <c r="R3158" s="26">
        <v>2</v>
      </c>
      <c r="S3158" s="40">
        <v>1</v>
      </c>
      <c r="T3158" s="7"/>
      <c r="U3158" s="7" t="s">
        <v>2951</v>
      </c>
      <c r="V3158" s="7" t="str">
        <f>+IF(U3158="","",IF(U3158="FINES",CONCATENATE("R",IF(OR(B3158="16",B3158="21",B3158="22",B3158="23"),"16212223",IF(OR(B3158="15",B3158="17",B3158="24",B3158="25"),"15172425",B3158))),IF(U3158="CEBAS","UNICO",IF(VALUE(B3158)&lt;=11,"AMBA","INTERIOR"))))</f>
        <v>R11</v>
      </c>
      <c r="W3158" s="38" t="str">
        <f>+IF(U3158="","-",CONCATENATE(U3158,"_",V3158))</f>
        <v>FINES_R11</v>
      </c>
      <c r="X3158" s="42">
        <v>0.34100000000000003</v>
      </c>
    </row>
    <row r="3159" spans="1:24">
      <c r="A3159" s="21" t="s">
        <v>5100</v>
      </c>
      <c r="B3159" t="s">
        <v>222</v>
      </c>
      <c r="C3159" t="s">
        <v>610</v>
      </c>
      <c r="D3159" t="s">
        <v>611</v>
      </c>
      <c r="E3159" s="7" t="s">
        <v>198</v>
      </c>
      <c r="F3159" s="7" t="s">
        <v>198</v>
      </c>
      <c r="G3159" s="7" t="s">
        <v>198</v>
      </c>
      <c r="H3159" s="7" t="s">
        <v>20</v>
      </c>
      <c r="I3159" s="7" t="s">
        <v>5102</v>
      </c>
      <c r="J3159" s="7" t="s">
        <v>21</v>
      </c>
      <c r="L3159" t="s">
        <v>4415</v>
      </c>
      <c r="M3159" s="7" t="s">
        <v>22</v>
      </c>
      <c r="N3159" s="7" t="s">
        <v>23</v>
      </c>
      <c r="O3159" s="7" t="s">
        <v>27</v>
      </c>
      <c r="P3159" s="7" t="s">
        <v>5101</v>
      </c>
      <c r="Q3159" s="26">
        <v>53</v>
      </c>
      <c r="R3159" s="26">
        <v>3</v>
      </c>
      <c r="S3159" s="40">
        <v>1</v>
      </c>
      <c r="T3159" s="7"/>
      <c r="U3159" s="7" t="s">
        <v>2951</v>
      </c>
      <c r="V3159" s="7" t="str">
        <f>+IF(U3159="","",IF(U3159="FINES",CONCATENATE("R",IF(OR(B3159="16",B3159="21",B3159="22",B3159="23"),"16212223",IF(OR(B3159="15",B3159="17",B3159="24",B3159="25"),"15172425",B3159))),IF(U3159="CEBAS","UNICO",IF(VALUE(B3159)&lt;=11,"AMBA","INTERIOR"))))</f>
        <v>R11</v>
      </c>
      <c r="W3159" s="38" t="str">
        <f>+IF(U3159="","-",CONCATENATE(U3159,"_",V3159))</f>
        <v>FINES_R11</v>
      </c>
      <c r="X3159" s="42">
        <v>0.35299999999999998</v>
      </c>
    </row>
    <row r="3160" spans="1:24">
      <c r="A3160" s="21" t="s">
        <v>5100</v>
      </c>
      <c r="B3160" t="s">
        <v>222</v>
      </c>
      <c r="C3160" t="s">
        <v>807</v>
      </c>
      <c r="D3160" t="s">
        <v>808</v>
      </c>
      <c r="E3160" s="7" t="s">
        <v>198</v>
      </c>
      <c r="F3160" s="7" t="s">
        <v>198</v>
      </c>
      <c r="G3160" s="7" t="s">
        <v>198</v>
      </c>
      <c r="H3160" s="7" t="s">
        <v>20</v>
      </c>
      <c r="I3160" s="7" t="s">
        <v>5102</v>
      </c>
      <c r="J3160" s="7" t="s">
        <v>21</v>
      </c>
      <c r="L3160" t="s">
        <v>4446</v>
      </c>
      <c r="M3160" s="7" t="s">
        <v>22</v>
      </c>
      <c r="N3160" s="7" t="s">
        <v>23</v>
      </c>
      <c r="O3160" s="7" t="s">
        <v>27</v>
      </c>
      <c r="P3160" s="7" t="s">
        <v>5101</v>
      </c>
      <c r="Q3160" s="26">
        <v>56</v>
      </c>
      <c r="R3160" s="26">
        <v>3</v>
      </c>
      <c r="S3160" s="40">
        <v>1</v>
      </c>
      <c r="T3160" s="7"/>
      <c r="U3160" s="7" t="s">
        <v>2951</v>
      </c>
      <c r="V3160" s="7" t="str">
        <f>+IF(U3160="","",IF(U3160="FINES",CONCATENATE("R",IF(OR(B3160="16",B3160="21",B3160="22",B3160="23"),"16212223",IF(OR(B3160="15",B3160="17",B3160="24",B3160="25"),"15172425",B3160))),IF(U3160="CEBAS","UNICO",IF(VALUE(B3160)&lt;=11,"AMBA","INTERIOR"))))</f>
        <v>R11</v>
      </c>
      <c r="W3160" s="38" t="str">
        <f>+IF(U3160="","-",CONCATENATE(U3160,"_",V3160))</f>
        <v>FINES_R11</v>
      </c>
      <c r="X3160" s="42">
        <v>0.36099999999999999</v>
      </c>
    </row>
    <row r="3161" spans="1:24">
      <c r="A3161" s="21" t="s">
        <v>5100</v>
      </c>
      <c r="B3161" t="s">
        <v>222</v>
      </c>
      <c r="C3161" t="s">
        <v>2047</v>
      </c>
      <c r="D3161" t="s">
        <v>2048</v>
      </c>
      <c r="E3161" s="7" t="s">
        <v>198</v>
      </c>
      <c r="F3161" s="7" t="s">
        <v>198</v>
      </c>
      <c r="G3161" s="7" t="s">
        <v>198</v>
      </c>
      <c r="H3161" s="7" t="s">
        <v>20</v>
      </c>
      <c r="I3161" s="7" t="s">
        <v>5102</v>
      </c>
      <c r="J3161" s="7" t="s">
        <v>21</v>
      </c>
      <c r="L3161" t="s">
        <v>4481</v>
      </c>
      <c r="M3161" s="7" t="s">
        <v>22</v>
      </c>
      <c r="N3161" s="7" t="s">
        <v>23</v>
      </c>
      <c r="O3161" s="7" t="s">
        <v>27</v>
      </c>
      <c r="P3161" s="7" t="s">
        <v>5101</v>
      </c>
      <c r="Q3161" s="26">
        <v>29</v>
      </c>
      <c r="R3161" s="26">
        <v>1</v>
      </c>
      <c r="S3161" s="40">
        <v>1</v>
      </c>
      <c r="T3161" s="7"/>
      <c r="U3161" s="7" t="s">
        <v>2951</v>
      </c>
      <c r="V3161" s="7" t="str">
        <f>+IF(U3161="","",IF(U3161="FINES",CONCATENATE("R",IF(OR(B3161="16",B3161="21",B3161="22",B3161="23"),"16212223",IF(OR(B3161="15",B3161="17",B3161="24",B3161="25"),"15172425",B3161))),IF(U3161="CEBAS","UNICO",IF(VALUE(B3161)&lt;=11,"AMBA","INTERIOR"))))</f>
        <v>R11</v>
      </c>
      <c r="W3161" s="38" t="str">
        <f>+IF(U3161="","-",CONCATENATE(U3161,"_",V3161))</f>
        <v>FINES_R11</v>
      </c>
      <c r="X3161" s="42">
        <v>0.38300000000000001</v>
      </c>
    </row>
    <row r="3162" spans="1:24">
      <c r="A3162" s="21" t="s">
        <v>5100</v>
      </c>
      <c r="B3162" t="s">
        <v>222</v>
      </c>
      <c r="C3162" t="s">
        <v>227</v>
      </c>
      <c r="D3162" t="s">
        <v>2603</v>
      </c>
      <c r="E3162" s="7" t="s">
        <v>198</v>
      </c>
      <c r="F3162" s="7" t="s">
        <v>198</v>
      </c>
      <c r="G3162" s="7" t="s">
        <v>198</v>
      </c>
      <c r="H3162" s="7" t="s">
        <v>20</v>
      </c>
      <c r="I3162" s="7" t="s">
        <v>5102</v>
      </c>
      <c r="J3162" s="7" t="s">
        <v>21</v>
      </c>
      <c r="L3162" t="s">
        <v>4431</v>
      </c>
      <c r="M3162" s="7" t="s">
        <v>22</v>
      </c>
      <c r="N3162" s="7" t="s">
        <v>23</v>
      </c>
      <c r="O3162" s="7" t="s">
        <v>27</v>
      </c>
      <c r="P3162" s="7" t="s">
        <v>5101</v>
      </c>
      <c r="Q3162" s="26">
        <v>69</v>
      </c>
      <c r="R3162" s="26">
        <v>5</v>
      </c>
      <c r="S3162" s="40">
        <v>1</v>
      </c>
      <c r="T3162" s="7"/>
      <c r="U3162" s="7" t="s">
        <v>2951</v>
      </c>
      <c r="V3162" s="7" t="str">
        <f>+IF(U3162="","",IF(U3162="FINES",CONCATENATE("R",IF(OR(B3162="16",B3162="21",B3162="22",B3162="23"),"16212223",IF(OR(B3162="15",B3162="17",B3162="24",B3162="25"),"15172425",B3162))),IF(U3162="CEBAS","UNICO",IF(VALUE(B3162)&lt;=11,"AMBA","INTERIOR"))))</f>
        <v>R11</v>
      </c>
      <c r="W3162" s="38" t="str">
        <f>+IF(U3162="","-",CONCATENATE(U3162,"_",V3162))</f>
        <v>FINES_R11</v>
      </c>
      <c r="X3162" s="42">
        <v>0.39300000000000002</v>
      </c>
    </row>
    <row r="3163" spans="1:24">
      <c r="A3163" s="21" t="s">
        <v>5100</v>
      </c>
      <c r="B3163" t="s">
        <v>222</v>
      </c>
      <c r="C3163" t="s">
        <v>2047</v>
      </c>
      <c r="D3163" t="s">
        <v>2048</v>
      </c>
      <c r="E3163" s="7" t="s">
        <v>198</v>
      </c>
      <c r="F3163" s="7" t="s">
        <v>198</v>
      </c>
      <c r="G3163" s="7" t="s">
        <v>198</v>
      </c>
      <c r="H3163" s="7" t="s">
        <v>20</v>
      </c>
      <c r="I3163" s="7" t="s">
        <v>5102</v>
      </c>
      <c r="J3163" s="7" t="s">
        <v>21</v>
      </c>
      <c r="L3163" t="s">
        <v>4489</v>
      </c>
      <c r="M3163" s="7" t="s">
        <v>22</v>
      </c>
      <c r="N3163" s="7" t="s">
        <v>23</v>
      </c>
      <c r="O3163" s="7" t="s">
        <v>27</v>
      </c>
      <c r="P3163" s="7" t="s">
        <v>5101</v>
      </c>
      <c r="Q3163" s="26">
        <v>18</v>
      </c>
      <c r="R3163" s="26">
        <v>1</v>
      </c>
      <c r="S3163" s="40">
        <v>1</v>
      </c>
      <c r="T3163" s="7"/>
      <c r="U3163" s="7" t="s">
        <v>2951</v>
      </c>
      <c r="V3163" s="7" t="str">
        <f>+IF(U3163="","",IF(U3163="FINES",CONCATENATE("R",IF(OR(B3163="16",B3163="21",B3163="22",B3163="23"),"16212223",IF(OR(B3163="15",B3163="17",B3163="24",B3163="25"),"15172425",B3163))),IF(U3163="CEBAS","UNICO",IF(VALUE(B3163)&lt;=11,"AMBA","INTERIOR"))))</f>
        <v>R11</v>
      </c>
      <c r="W3163" s="38" t="str">
        <f>+IF(U3163="","-",CONCATENATE(U3163,"_",V3163))</f>
        <v>FINES_R11</v>
      </c>
      <c r="X3163" s="42">
        <v>0.42199999999999999</v>
      </c>
    </row>
    <row r="3164" spans="1:24">
      <c r="A3164" s="21" t="s">
        <v>5100</v>
      </c>
      <c r="B3164" t="s">
        <v>222</v>
      </c>
      <c r="C3164" t="s">
        <v>610</v>
      </c>
      <c r="D3164" t="s">
        <v>611</v>
      </c>
      <c r="E3164" s="7" t="s">
        <v>198</v>
      </c>
      <c r="F3164" s="7" t="s">
        <v>198</v>
      </c>
      <c r="G3164" s="7" t="s">
        <v>198</v>
      </c>
      <c r="H3164" s="7" t="s">
        <v>20</v>
      </c>
      <c r="I3164" s="7" t="s">
        <v>5102</v>
      </c>
      <c r="J3164" s="7" t="s">
        <v>21</v>
      </c>
      <c r="L3164" t="s">
        <v>4412</v>
      </c>
      <c r="M3164" s="7" t="s">
        <v>22</v>
      </c>
      <c r="N3164" s="7" t="s">
        <v>23</v>
      </c>
      <c r="O3164" s="7" t="s">
        <v>27</v>
      </c>
      <c r="P3164" s="7" t="s">
        <v>5101</v>
      </c>
      <c r="Q3164" s="26">
        <v>60</v>
      </c>
      <c r="R3164" s="26">
        <v>3</v>
      </c>
      <c r="S3164" s="40">
        <v>1</v>
      </c>
      <c r="T3164" s="7"/>
      <c r="U3164" s="7" t="s">
        <v>2951</v>
      </c>
      <c r="V3164" s="7" t="str">
        <f>+IF(U3164="","",IF(U3164="FINES",CONCATENATE("R",IF(OR(B3164="16",B3164="21",B3164="22",B3164="23"),"16212223",IF(OR(B3164="15",B3164="17",B3164="24",B3164="25"),"15172425",B3164))),IF(U3164="CEBAS","UNICO",IF(VALUE(B3164)&lt;=11,"AMBA","INTERIOR"))))</f>
        <v>R11</v>
      </c>
      <c r="W3164" s="38" t="str">
        <f>+IF(U3164="","-",CONCATENATE(U3164,"_",V3164))</f>
        <v>FINES_R11</v>
      </c>
      <c r="X3164" s="42">
        <v>0.43099999999999999</v>
      </c>
    </row>
    <row r="3165" spans="1:24">
      <c r="A3165" s="21" t="s">
        <v>5100</v>
      </c>
      <c r="B3165" t="s">
        <v>222</v>
      </c>
      <c r="C3165" t="s">
        <v>2047</v>
      </c>
      <c r="D3165" t="s">
        <v>2048</v>
      </c>
      <c r="E3165" s="7" t="s">
        <v>198</v>
      </c>
      <c r="F3165" s="7" t="s">
        <v>198</v>
      </c>
      <c r="G3165" s="7" t="s">
        <v>198</v>
      </c>
      <c r="H3165" s="7" t="s">
        <v>20</v>
      </c>
      <c r="I3165" s="7" t="s">
        <v>5102</v>
      </c>
      <c r="J3165" s="7" t="s">
        <v>21</v>
      </c>
      <c r="L3165" t="s">
        <v>4451</v>
      </c>
      <c r="M3165" s="7" t="s">
        <v>22</v>
      </c>
      <c r="N3165" s="7" t="s">
        <v>23</v>
      </c>
      <c r="O3165" s="7" t="s">
        <v>27</v>
      </c>
      <c r="P3165" s="7" t="s">
        <v>5101</v>
      </c>
      <c r="Q3165" s="26">
        <v>90</v>
      </c>
      <c r="R3165" s="26">
        <v>3</v>
      </c>
      <c r="S3165" s="40">
        <v>1</v>
      </c>
      <c r="T3165" s="7"/>
      <c r="U3165" s="7" t="s">
        <v>2951</v>
      </c>
      <c r="V3165" s="7" t="str">
        <f>+IF(U3165="","",IF(U3165="FINES",CONCATENATE("R",IF(OR(B3165="16",B3165="21",B3165="22",B3165="23"),"16212223",IF(OR(B3165="15",B3165="17",B3165="24",B3165="25"),"15172425",B3165))),IF(U3165="CEBAS","UNICO",IF(VALUE(B3165)&lt;=11,"AMBA","INTERIOR"))))</f>
        <v>R11</v>
      </c>
      <c r="W3165" s="38" t="str">
        <f>+IF(U3165="","-",CONCATENATE(U3165,"_",V3165))</f>
        <v>FINES_R11</v>
      </c>
      <c r="X3165" s="42">
        <v>0.435</v>
      </c>
    </row>
    <row r="3166" spans="1:24">
      <c r="A3166" s="21" t="s">
        <v>5100</v>
      </c>
      <c r="B3166" t="s">
        <v>222</v>
      </c>
      <c r="C3166" t="s">
        <v>2047</v>
      </c>
      <c r="D3166" t="s">
        <v>2048</v>
      </c>
      <c r="E3166" s="7" t="s">
        <v>198</v>
      </c>
      <c r="F3166" s="7" t="s">
        <v>198</v>
      </c>
      <c r="G3166" s="7" t="s">
        <v>198</v>
      </c>
      <c r="H3166" s="7" t="s">
        <v>20</v>
      </c>
      <c r="I3166" s="7" t="s">
        <v>5102</v>
      </c>
      <c r="J3166" s="7" t="s">
        <v>21</v>
      </c>
      <c r="L3166" t="s">
        <v>4470</v>
      </c>
      <c r="M3166" s="7" t="s">
        <v>22</v>
      </c>
      <c r="N3166" s="7" t="s">
        <v>23</v>
      </c>
      <c r="O3166" s="7" t="s">
        <v>27</v>
      </c>
      <c r="P3166" s="7" t="s">
        <v>5101</v>
      </c>
      <c r="Q3166" s="26">
        <v>72</v>
      </c>
      <c r="R3166" s="26">
        <v>3</v>
      </c>
      <c r="S3166" s="40">
        <v>1</v>
      </c>
      <c r="T3166" s="7"/>
      <c r="U3166" s="7" t="s">
        <v>2951</v>
      </c>
      <c r="V3166" s="7" t="str">
        <f>+IF(U3166="","",IF(U3166="FINES",CONCATENATE("R",IF(OR(B3166="16",B3166="21",B3166="22",B3166="23"),"16212223",IF(OR(B3166="15",B3166="17",B3166="24",B3166="25"),"15172425",B3166))),IF(U3166="CEBAS","UNICO",IF(VALUE(B3166)&lt;=11,"AMBA","INTERIOR"))))</f>
        <v>R11</v>
      </c>
      <c r="W3166" s="38" t="str">
        <f>+IF(U3166="","-",CONCATENATE(U3166,"_",V3166))</f>
        <v>FINES_R11</v>
      </c>
      <c r="X3166" s="42">
        <v>0.44700000000000001</v>
      </c>
    </row>
    <row r="3167" spans="1:24">
      <c r="A3167" s="21" t="s">
        <v>5100</v>
      </c>
      <c r="B3167" t="s">
        <v>222</v>
      </c>
      <c r="C3167" t="s">
        <v>2047</v>
      </c>
      <c r="D3167" t="s">
        <v>2048</v>
      </c>
      <c r="E3167" s="7" t="s">
        <v>198</v>
      </c>
      <c r="F3167" s="7" t="s">
        <v>198</v>
      </c>
      <c r="G3167" s="7" t="s">
        <v>198</v>
      </c>
      <c r="H3167" s="7" t="s">
        <v>20</v>
      </c>
      <c r="I3167" s="7" t="s">
        <v>5102</v>
      </c>
      <c r="J3167" s="7" t="s">
        <v>21</v>
      </c>
      <c r="L3167" t="s">
        <v>4483</v>
      </c>
      <c r="M3167" s="7" t="s">
        <v>22</v>
      </c>
      <c r="N3167" s="7" t="s">
        <v>23</v>
      </c>
      <c r="O3167" s="7" t="s">
        <v>27</v>
      </c>
      <c r="P3167" s="7" t="s">
        <v>5101</v>
      </c>
      <c r="Q3167" s="26">
        <v>37</v>
      </c>
      <c r="R3167" s="26">
        <v>1</v>
      </c>
      <c r="S3167" s="40">
        <v>1</v>
      </c>
      <c r="T3167" s="7"/>
      <c r="U3167" s="7" t="s">
        <v>2951</v>
      </c>
      <c r="V3167" s="7" t="str">
        <f>+IF(U3167="","",IF(U3167="FINES",CONCATENATE("R",IF(OR(B3167="16",B3167="21",B3167="22",B3167="23"),"16212223",IF(OR(B3167="15",B3167="17",B3167="24",B3167="25"),"15172425",B3167))),IF(U3167="CEBAS","UNICO",IF(VALUE(B3167)&lt;=11,"AMBA","INTERIOR"))))</f>
        <v>R11</v>
      </c>
      <c r="W3167" s="38" t="str">
        <f>+IF(U3167="","-",CONCATENATE(U3167,"_",V3167))</f>
        <v>FINES_R11</v>
      </c>
      <c r="X3167" s="42">
        <v>0.45800000000000002</v>
      </c>
    </row>
    <row r="3168" spans="1:24">
      <c r="A3168" s="21" t="s">
        <v>5100</v>
      </c>
      <c r="B3168" t="s">
        <v>222</v>
      </c>
      <c r="C3168" t="s">
        <v>227</v>
      </c>
      <c r="D3168" t="s">
        <v>2603</v>
      </c>
      <c r="E3168" s="7" t="s">
        <v>198</v>
      </c>
      <c r="F3168" s="7" t="s">
        <v>198</v>
      </c>
      <c r="G3168" s="7" t="s">
        <v>198</v>
      </c>
      <c r="H3168" s="7" t="s">
        <v>20</v>
      </c>
      <c r="I3168" s="7" t="s">
        <v>5102</v>
      </c>
      <c r="J3168" s="7" t="s">
        <v>21</v>
      </c>
      <c r="L3168" t="s">
        <v>4434</v>
      </c>
      <c r="M3168" s="7" t="s">
        <v>22</v>
      </c>
      <c r="N3168" s="7" t="s">
        <v>23</v>
      </c>
      <c r="O3168" s="7" t="s">
        <v>27</v>
      </c>
      <c r="P3168" s="7" t="s">
        <v>5101</v>
      </c>
      <c r="Q3168" s="26">
        <v>21</v>
      </c>
      <c r="R3168" s="26">
        <v>1</v>
      </c>
      <c r="S3168" s="40">
        <v>1</v>
      </c>
      <c r="T3168" s="7"/>
      <c r="U3168" s="7" t="s">
        <v>2951</v>
      </c>
      <c r="V3168" s="7" t="str">
        <f>+IF(U3168="","",IF(U3168="FINES",CONCATENATE("R",IF(OR(B3168="16",B3168="21",B3168="22",B3168="23"),"16212223",IF(OR(B3168="15",B3168="17",B3168="24",B3168="25"),"15172425",B3168))),IF(U3168="CEBAS","UNICO",IF(VALUE(B3168)&lt;=11,"AMBA","INTERIOR"))))</f>
        <v>R11</v>
      </c>
      <c r="W3168" s="38" t="str">
        <f>+IF(U3168="","-",CONCATENATE(U3168,"_",V3168))</f>
        <v>FINES_R11</v>
      </c>
      <c r="X3168" s="42">
        <v>0.45800000000000002</v>
      </c>
    </row>
    <row r="3169" spans="1:24">
      <c r="A3169" s="21" t="s">
        <v>5100</v>
      </c>
      <c r="B3169" t="s">
        <v>222</v>
      </c>
      <c r="C3169" t="s">
        <v>2047</v>
      </c>
      <c r="D3169" t="s">
        <v>2048</v>
      </c>
      <c r="E3169" s="7" t="s">
        <v>198</v>
      </c>
      <c r="F3169" s="7" t="s">
        <v>198</v>
      </c>
      <c r="G3169" s="7" t="s">
        <v>198</v>
      </c>
      <c r="H3169" s="7" t="s">
        <v>20</v>
      </c>
      <c r="I3169" s="7" t="s">
        <v>5102</v>
      </c>
      <c r="J3169" s="7" t="s">
        <v>21</v>
      </c>
      <c r="L3169" t="s">
        <v>4469</v>
      </c>
      <c r="M3169" s="7" t="s">
        <v>22</v>
      </c>
      <c r="N3169" s="7" t="s">
        <v>23</v>
      </c>
      <c r="O3169" s="7" t="s">
        <v>27</v>
      </c>
      <c r="P3169" s="7" t="s">
        <v>5101</v>
      </c>
      <c r="Q3169" s="26">
        <v>113</v>
      </c>
      <c r="R3169" s="26">
        <v>6</v>
      </c>
      <c r="S3169" s="40">
        <v>1</v>
      </c>
      <c r="T3169" s="7"/>
      <c r="U3169" s="7" t="s">
        <v>2951</v>
      </c>
      <c r="V3169" s="7" t="str">
        <f>+IF(U3169="","",IF(U3169="FINES",CONCATENATE("R",IF(OR(B3169="16",B3169="21",B3169="22",B3169="23"),"16212223",IF(OR(B3169="15",B3169="17",B3169="24",B3169="25"),"15172425",B3169))),IF(U3169="CEBAS","UNICO",IF(VALUE(B3169)&lt;=11,"AMBA","INTERIOR"))))</f>
        <v>R11</v>
      </c>
      <c r="W3169" s="38" t="str">
        <f>+IF(U3169="","-",CONCATENATE(U3169,"_",V3169))</f>
        <v>FINES_R11</v>
      </c>
      <c r="X3169" s="42">
        <v>0.46600000000000003</v>
      </c>
    </row>
    <row r="3170" spans="1:24">
      <c r="A3170" s="21" t="s">
        <v>5100</v>
      </c>
      <c r="B3170" t="s">
        <v>222</v>
      </c>
      <c r="C3170" t="s">
        <v>610</v>
      </c>
      <c r="D3170" t="s">
        <v>611</v>
      </c>
      <c r="E3170" s="7" t="s">
        <v>198</v>
      </c>
      <c r="F3170" s="7" t="s">
        <v>198</v>
      </c>
      <c r="G3170" s="7" t="s">
        <v>198</v>
      </c>
      <c r="H3170" s="7" t="s">
        <v>20</v>
      </c>
      <c r="I3170" s="7" t="s">
        <v>5102</v>
      </c>
      <c r="J3170" s="7" t="s">
        <v>21</v>
      </c>
      <c r="L3170" t="s">
        <v>4418</v>
      </c>
      <c r="M3170" s="7" t="s">
        <v>22</v>
      </c>
      <c r="N3170" s="7" t="s">
        <v>23</v>
      </c>
      <c r="O3170" s="7" t="s">
        <v>27</v>
      </c>
      <c r="P3170" s="7" t="s">
        <v>5101</v>
      </c>
      <c r="Q3170" s="26">
        <v>18</v>
      </c>
      <c r="R3170" s="26">
        <v>1</v>
      </c>
      <c r="S3170" s="40">
        <v>1</v>
      </c>
      <c r="T3170" s="7"/>
      <c r="U3170" s="7" t="s">
        <v>2951</v>
      </c>
      <c r="V3170" s="7" t="str">
        <f>+IF(U3170="","",IF(U3170="FINES",CONCATENATE("R",IF(OR(B3170="16",B3170="21",B3170="22",B3170="23"),"16212223",IF(OR(B3170="15",B3170="17",B3170="24",B3170="25"),"15172425",B3170))),IF(U3170="CEBAS","UNICO",IF(VALUE(B3170)&lt;=11,"AMBA","INTERIOR"))))</f>
        <v>R11</v>
      </c>
      <c r="W3170" s="38" t="str">
        <f>+IF(U3170="","-",CONCATENATE(U3170,"_",V3170))</f>
        <v>FINES_R11</v>
      </c>
      <c r="X3170" s="42">
        <v>0.48199999999999998</v>
      </c>
    </row>
    <row r="3171" spans="1:24">
      <c r="A3171" s="21" t="s">
        <v>5100</v>
      </c>
      <c r="B3171" t="s">
        <v>222</v>
      </c>
      <c r="C3171" t="s">
        <v>2047</v>
      </c>
      <c r="D3171" t="s">
        <v>2048</v>
      </c>
      <c r="E3171" s="7" t="s">
        <v>198</v>
      </c>
      <c r="F3171" s="7" t="s">
        <v>198</v>
      </c>
      <c r="G3171" s="7" t="s">
        <v>198</v>
      </c>
      <c r="H3171" s="7" t="s">
        <v>20</v>
      </c>
      <c r="I3171" s="7" t="s">
        <v>5102</v>
      </c>
      <c r="J3171" s="7" t="s">
        <v>21</v>
      </c>
      <c r="L3171" t="s">
        <v>4450</v>
      </c>
      <c r="M3171" s="7" t="s">
        <v>22</v>
      </c>
      <c r="N3171" s="7" t="s">
        <v>23</v>
      </c>
      <c r="O3171" s="7" t="s">
        <v>27</v>
      </c>
      <c r="P3171" s="7" t="s">
        <v>5101</v>
      </c>
      <c r="Q3171" s="26">
        <v>83</v>
      </c>
      <c r="R3171" s="26">
        <v>4</v>
      </c>
      <c r="S3171" s="40">
        <v>1</v>
      </c>
      <c r="T3171" s="7"/>
      <c r="U3171" s="7" t="s">
        <v>2951</v>
      </c>
      <c r="V3171" s="7" t="str">
        <f>+IF(U3171="","",IF(U3171="FINES",CONCATENATE("R",IF(OR(B3171="16",B3171="21",B3171="22",B3171="23"),"16212223",IF(OR(B3171="15",B3171="17",B3171="24",B3171="25"),"15172425",B3171))),IF(U3171="CEBAS","UNICO",IF(VALUE(B3171)&lt;=11,"AMBA","INTERIOR"))))</f>
        <v>R11</v>
      </c>
      <c r="W3171" s="38" t="str">
        <f>+IF(U3171="","-",CONCATENATE(U3171,"_",V3171))</f>
        <v>FINES_R11</v>
      </c>
      <c r="X3171" s="42">
        <v>0.48299999999999998</v>
      </c>
    </row>
    <row r="3172" spans="1:24">
      <c r="A3172" s="21" t="s">
        <v>5100</v>
      </c>
      <c r="B3172" t="s">
        <v>222</v>
      </c>
      <c r="C3172" t="s">
        <v>807</v>
      </c>
      <c r="D3172" t="s">
        <v>808</v>
      </c>
      <c r="E3172" s="7" t="s">
        <v>198</v>
      </c>
      <c r="F3172" s="7" t="s">
        <v>198</v>
      </c>
      <c r="G3172" s="7" t="s">
        <v>198</v>
      </c>
      <c r="H3172" s="7" t="s">
        <v>20</v>
      </c>
      <c r="I3172" s="7" t="s">
        <v>5102</v>
      </c>
      <c r="J3172" s="7" t="s">
        <v>21</v>
      </c>
      <c r="L3172" t="s">
        <v>4442</v>
      </c>
      <c r="M3172" s="7" t="s">
        <v>22</v>
      </c>
      <c r="N3172" s="7" t="s">
        <v>23</v>
      </c>
      <c r="O3172" s="7" t="s">
        <v>27</v>
      </c>
      <c r="P3172" s="7" t="s">
        <v>5101</v>
      </c>
      <c r="Q3172" s="26">
        <v>23</v>
      </c>
      <c r="R3172" s="26">
        <v>1</v>
      </c>
      <c r="S3172" s="40">
        <v>1</v>
      </c>
      <c r="T3172" s="7"/>
      <c r="U3172" s="7" t="s">
        <v>2951</v>
      </c>
      <c r="V3172" s="7" t="str">
        <f>+IF(U3172="","",IF(U3172="FINES",CONCATENATE("R",IF(OR(B3172="16",B3172="21",B3172="22",B3172="23"),"16212223",IF(OR(B3172="15",B3172="17",B3172="24",B3172="25"),"15172425",B3172))),IF(U3172="CEBAS","UNICO",IF(VALUE(B3172)&lt;=11,"AMBA","INTERIOR"))))</f>
        <v>R11</v>
      </c>
      <c r="W3172" s="38" t="str">
        <f>+IF(U3172="","-",CONCATENATE(U3172,"_",V3172))</f>
        <v>FINES_R11</v>
      </c>
      <c r="X3172" s="42">
        <v>0.48699999999999999</v>
      </c>
    </row>
    <row r="3173" spans="1:24">
      <c r="A3173" s="21" t="s">
        <v>5100</v>
      </c>
      <c r="B3173" t="s">
        <v>222</v>
      </c>
      <c r="C3173" t="s">
        <v>2047</v>
      </c>
      <c r="D3173" t="s">
        <v>2048</v>
      </c>
      <c r="E3173" s="7" t="s">
        <v>198</v>
      </c>
      <c r="F3173" s="7" t="s">
        <v>198</v>
      </c>
      <c r="G3173" s="7" t="s">
        <v>198</v>
      </c>
      <c r="H3173" s="7" t="s">
        <v>20</v>
      </c>
      <c r="I3173" s="7" t="s">
        <v>5102</v>
      </c>
      <c r="J3173" s="7" t="s">
        <v>21</v>
      </c>
      <c r="L3173" t="s">
        <v>4458</v>
      </c>
      <c r="M3173" s="7" t="s">
        <v>22</v>
      </c>
      <c r="N3173" s="7" t="s">
        <v>23</v>
      </c>
      <c r="O3173" s="7" t="s">
        <v>27</v>
      </c>
      <c r="P3173" s="7" t="s">
        <v>5101</v>
      </c>
      <c r="Q3173" s="26">
        <v>48</v>
      </c>
      <c r="R3173" s="26">
        <v>2</v>
      </c>
      <c r="S3173" s="40">
        <v>1</v>
      </c>
      <c r="T3173" s="7"/>
      <c r="U3173" s="7" t="s">
        <v>2951</v>
      </c>
      <c r="V3173" s="7" t="str">
        <f>+IF(U3173="","",IF(U3173="FINES",CONCATENATE("R",IF(OR(B3173="16",B3173="21",B3173="22",B3173="23"),"16212223",IF(OR(B3173="15",B3173="17",B3173="24",B3173="25"),"15172425",B3173))),IF(U3173="CEBAS","UNICO",IF(VALUE(B3173)&lt;=11,"AMBA","INTERIOR"))))</f>
        <v>R11</v>
      </c>
      <c r="W3173" s="38" t="str">
        <f>+IF(U3173="","-",CONCATENATE(U3173,"_",V3173))</f>
        <v>FINES_R11</v>
      </c>
      <c r="X3173" s="42">
        <v>0.49399999999999999</v>
      </c>
    </row>
    <row r="3174" spans="1:24">
      <c r="A3174" s="21" t="s">
        <v>5100</v>
      </c>
      <c r="B3174" t="s">
        <v>222</v>
      </c>
      <c r="C3174" t="s">
        <v>1154</v>
      </c>
      <c r="D3174" t="s">
        <v>1155</v>
      </c>
      <c r="E3174" s="7" t="s">
        <v>198</v>
      </c>
      <c r="F3174" s="7" t="s">
        <v>198</v>
      </c>
      <c r="G3174" s="7" t="s">
        <v>198</v>
      </c>
      <c r="H3174" s="7" t="s">
        <v>20</v>
      </c>
      <c r="I3174" s="7" t="s">
        <v>5102</v>
      </c>
      <c r="J3174" s="7" t="s">
        <v>21</v>
      </c>
      <c r="L3174" t="s">
        <v>4499</v>
      </c>
      <c r="M3174" s="7" t="s">
        <v>22</v>
      </c>
      <c r="N3174" s="7" t="s">
        <v>23</v>
      </c>
      <c r="O3174" s="7" t="s">
        <v>27</v>
      </c>
      <c r="P3174" s="7" t="s">
        <v>5101</v>
      </c>
      <c r="Q3174" s="26">
        <v>56</v>
      </c>
      <c r="R3174" s="26">
        <v>2</v>
      </c>
      <c r="S3174" s="40">
        <v>1</v>
      </c>
      <c r="T3174" s="7"/>
      <c r="U3174" s="7" t="s">
        <v>2951</v>
      </c>
      <c r="V3174" s="7" t="str">
        <f>+IF(U3174="","",IF(U3174="FINES",CONCATENATE("R",IF(OR(B3174="16",B3174="21",B3174="22",B3174="23"),"16212223",IF(OR(B3174="15",B3174="17",B3174="24",B3174="25"),"15172425",B3174))),IF(U3174="CEBAS","UNICO",IF(VALUE(B3174)&lt;=11,"AMBA","INTERIOR"))))</f>
        <v>R11</v>
      </c>
      <c r="W3174" s="38" t="str">
        <f>+IF(U3174="","-",CONCATENATE(U3174,"_",V3174))</f>
        <v>FINES_R11</v>
      </c>
      <c r="X3174" s="42">
        <v>0.51700000000000002</v>
      </c>
    </row>
    <row r="3175" spans="1:24">
      <c r="A3175" s="21" t="s">
        <v>5100</v>
      </c>
      <c r="B3175" t="s">
        <v>222</v>
      </c>
      <c r="C3175" t="s">
        <v>807</v>
      </c>
      <c r="D3175" t="s">
        <v>808</v>
      </c>
      <c r="E3175" s="7" t="s">
        <v>198</v>
      </c>
      <c r="F3175" s="7" t="s">
        <v>198</v>
      </c>
      <c r="G3175" s="7" t="s">
        <v>198</v>
      </c>
      <c r="H3175" s="7" t="s">
        <v>20</v>
      </c>
      <c r="I3175" s="7" t="s">
        <v>5102</v>
      </c>
      <c r="J3175" s="7" t="s">
        <v>21</v>
      </c>
      <c r="L3175" t="s">
        <v>4441</v>
      </c>
      <c r="M3175" s="7" t="s">
        <v>22</v>
      </c>
      <c r="N3175" s="7" t="s">
        <v>23</v>
      </c>
      <c r="O3175" s="7" t="s">
        <v>27</v>
      </c>
      <c r="P3175" s="7" t="s">
        <v>5101</v>
      </c>
      <c r="Q3175" s="26">
        <v>17</v>
      </c>
      <c r="R3175" s="26">
        <v>1</v>
      </c>
      <c r="S3175" s="40">
        <v>1</v>
      </c>
      <c r="T3175" s="7"/>
      <c r="U3175" s="7" t="s">
        <v>2951</v>
      </c>
      <c r="V3175" s="7" t="str">
        <f>+IF(U3175="","",IF(U3175="FINES",CONCATENATE("R",IF(OR(B3175="16",B3175="21",B3175="22",B3175="23"),"16212223",IF(OR(B3175="15",B3175="17",B3175="24",B3175="25"),"15172425",B3175))),IF(U3175="CEBAS","UNICO",IF(VALUE(B3175)&lt;=11,"AMBA","INTERIOR"))))</f>
        <v>R11</v>
      </c>
      <c r="W3175" s="38" t="str">
        <f>+IF(U3175="","-",CONCATENATE(U3175,"_",V3175))</f>
        <v>FINES_R11</v>
      </c>
      <c r="X3175" s="42">
        <v>0.52600000000000002</v>
      </c>
    </row>
    <row r="3176" spans="1:24">
      <c r="A3176" s="21" t="s">
        <v>5100</v>
      </c>
      <c r="B3176" t="s">
        <v>222</v>
      </c>
      <c r="C3176" t="s">
        <v>2047</v>
      </c>
      <c r="D3176" t="s">
        <v>2048</v>
      </c>
      <c r="E3176" s="7" t="s">
        <v>198</v>
      </c>
      <c r="F3176" s="7" t="s">
        <v>198</v>
      </c>
      <c r="G3176" s="7" t="s">
        <v>198</v>
      </c>
      <c r="H3176" s="7" t="s">
        <v>20</v>
      </c>
      <c r="I3176" s="7" t="s">
        <v>5102</v>
      </c>
      <c r="J3176" s="7" t="s">
        <v>21</v>
      </c>
      <c r="L3176" t="s">
        <v>4494</v>
      </c>
      <c r="M3176" s="7" t="s">
        <v>22</v>
      </c>
      <c r="N3176" s="7" t="s">
        <v>23</v>
      </c>
      <c r="O3176" s="7" t="s">
        <v>27</v>
      </c>
      <c r="P3176" s="7" t="s">
        <v>5101</v>
      </c>
      <c r="Q3176" s="26">
        <v>37</v>
      </c>
      <c r="R3176" s="26">
        <v>2</v>
      </c>
      <c r="S3176" s="40">
        <v>1</v>
      </c>
      <c r="T3176" s="7"/>
      <c r="U3176" s="7" t="s">
        <v>2951</v>
      </c>
      <c r="V3176" s="7" t="str">
        <f>+IF(U3176="","",IF(U3176="FINES",CONCATENATE("R",IF(OR(B3176="16",B3176="21",B3176="22",B3176="23"),"16212223",IF(OR(B3176="15",B3176="17",B3176="24",B3176="25"),"15172425",B3176))),IF(U3176="CEBAS","UNICO",IF(VALUE(B3176)&lt;=11,"AMBA","INTERIOR"))))</f>
        <v>R11</v>
      </c>
      <c r="W3176" s="38" t="str">
        <f>+IF(U3176="","-",CONCATENATE(U3176,"_",V3176))</f>
        <v>FINES_R11</v>
      </c>
      <c r="X3176" s="42">
        <v>0.53300000000000003</v>
      </c>
    </row>
    <row r="3177" spans="1:24">
      <c r="A3177" s="21" t="s">
        <v>5100</v>
      </c>
      <c r="B3177" t="s">
        <v>222</v>
      </c>
      <c r="C3177" t="s">
        <v>2047</v>
      </c>
      <c r="D3177" t="s">
        <v>2048</v>
      </c>
      <c r="E3177" s="7" t="s">
        <v>198</v>
      </c>
      <c r="F3177" s="7" t="s">
        <v>198</v>
      </c>
      <c r="G3177" s="7" t="s">
        <v>198</v>
      </c>
      <c r="H3177" s="7" t="s">
        <v>20</v>
      </c>
      <c r="I3177" s="7" t="s">
        <v>5102</v>
      </c>
      <c r="J3177" s="7" t="s">
        <v>21</v>
      </c>
      <c r="L3177" t="s">
        <v>4482</v>
      </c>
      <c r="M3177" s="7" t="s">
        <v>22</v>
      </c>
      <c r="N3177" s="7" t="s">
        <v>23</v>
      </c>
      <c r="O3177" s="7" t="s">
        <v>27</v>
      </c>
      <c r="P3177" s="7" t="s">
        <v>5101</v>
      </c>
      <c r="Q3177" s="26">
        <v>16</v>
      </c>
      <c r="R3177" s="26">
        <v>1</v>
      </c>
      <c r="S3177" s="40">
        <v>1</v>
      </c>
      <c r="T3177" s="7"/>
      <c r="U3177" s="7" t="s">
        <v>2951</v>
      </c>
      <c r="V3177" s="7" t="str">
        <f>+IF(U3177="","",IF(U3177="FINES",CONCATENATE("R",IF(OR(B3177="16",B3177="21",B3177="22",B3177="23"),"16212223",IF(OR(B3177="15",B3177="17",B3177="24",B3177="25"),"15172425",B3177))),IF(U3177="CEBAS","UNICO",IF(VALUE(B3177)&lt;=11,"AMBA","INTERIOR"))))</f>
        <v>R11</v>
      </c>
      <c r="W3177" s="38" t="str">
        <f>+IF(U3177="","-",CONCATENATE(U3177,"_",V3177))</f>
        <v>FINES_R11</v>
      </c>
      <c r="X3177" s="42">
        <v>0.53600000000000003</v>
      </c>
    </row>
    <row r="3178" spans="1:24">
      <c r="A3178" s="21" t="s">
        <v>5100</v>
      </c>
      <c r="B3178" t="s">
        <v>222</v>
      </c>
      <c r="C3178" t="s">
        <v>2047</v>
      </c>
      <c r="D3178" t="s">
        <v>2048</v>
      </c>
      <c r="E3178" s="7" t="s">
        <v>198</v>
      </c>
      <c r="F3178" s="7" t="s">
        <v>198</v>
      </c>
      <c r="G3178" s="7" t="s">
        <v>198</v>
      </c>
      <c r="H3178" s="7" t="s">
        <v>20</v>
      </c>
      <c r="I3178" s="7" t="s">
        <v>5102</v>
      </c>
      <c r="J3178" s="7" t="s">
        <v>21</v>
      </c>
      <c r="L3178" t="s">
        <v>4463</v>
      </c>
      <c r="M3178" s="7" t="s">
        <v>22</v>
      </c>
      <c r="N3178" s="7" t="s">
        <v>23</v>
      </c>
      <c r="O3178" s="7" t="s">
        <v>27</v>
      </c>
      <c r="P3178" s="7" t="s">
        <v>5101</v>
      </c>
      <c r="Q3178" s="26">
        <v>55</v>
      </c>
      <c r="R3178" s="26">
        <v>1</v>
      </c>
      <c r="S3178" s="40">
        <v>1</v>
      </c>
      <c r="T3178" s="7"/>
      <c r="U3178" s="7" t="s">
        <v>2951</v>
      </c>
      <c r="V3178" s="7" t="str">
        <f>+IF(U3178="","",IF(U3178="FINES",CONCATENATE("R",IF(OR(B3178="16",B3178="21",B3178="22",B3178="23"),"16212223",IF(OR(B3178="15",B3178="17",B3178="24",B3178="25"),"15172425",B3178))),IF(U3178="CEBAS","UNICO",IF(VALUE(B3178)&lt;=11,"AMBA","INTERIOR"))))</f>
        <v>R11</v>
      </c>
      <c r="W3178" s="38" t="str">
        <f>+IF(U3178="","-",CONCATENATE(U3178,"_",V3178))</f>
        <v>FINES_R11</v>
      </c>
      <c r="X3178" s="42">
        <v>0.54400000000000004</v>
      </c>
    </row>
    <row r="3179" spans="1:24">
      <c r="A3179" s="21" t="s">
        <v>5100</v>
      </c>
      <c r="B3179" t="s">
        <v>222</v>
      </c>
      <c r="C3179" t="s">
        <v>1154</v>
      </c>
      <c r="D3179" t="s">
        <v>1155</v>
      </c>
      <c r="E3179" s="7" t="s">
        <v>198</v>
      </c>
      <c r="F3179" s="7" t="s">
        <v>198</v>
      </c>
      <c r="G3179" s="7" t="s">
        <v>198</v>
      </c>
      <c r="H3179" s="7" t="s">
        <v>20</v>
      </c>
      <c r="I3179" s="7" t="s">
        <v>5102</v>
      </c>
      <c r="J3179" s="7" t="s">
        <v>21</v>
      </c>
      <c r="L3179" t="s">
        <v>4501</v>
      </c>
      <c r="M3179" s="7" t="s">
        <v>22</v>
      </c>
      <c r="N3179" s="7" t="s">
        <v>23</v>
      </c>
      <c r="O3179" s="7" t="s">
        <v>27</v>
      </c>
      <c r="P3179" s="7" t="s">
        <v>5101</v>
      </c>
      <c r="Q3179" s="26">
        <v>16</v>
      </c>
      <c r="R3179" s="26">
        <v>1</v>
      </c>
      <c r="S3179" s="40">
        <v>1</v>
      </c>
      <c r="T3179" s="7"/>
      <c r="U3179" s="7" t="s">
        <v>2951</v>
      </c>
      <c r="V3179" s="7" t="str">
        <f>+IF(U3179="","",IF(U3179="FINES",CONCATENATE("R",IF(OR(B3179="16",B3179="21",B3179="22",B3179="23"),"16212223",IF(OR(B3179="15",B3179="17",B3179="24",B3179="25"),"15172425",B3179))),IF(U3179="CEBAS","UNICO",IF(VALUE(B3179)&lt;=11,"AMBA","INTERIOR"))))</f>
        <v>R11</v>
      </c>
      <c r="W3179" s="38" t="str">
        <f>+IF(U3179="","-",CONCATENATE(U3179,"_",V3179))</f>
        <v>FINES_R11</v>
      </c>
      <c r="X3179" s="42">
        <v>0.55700000000000005</v>
      </c>
    </row>
    <row r="3180" spans="1:24">
      <c r="A3180" s="21" t="s">
        <v>5100</v>
      </c>
      <c r="B3180" t="s">
        <v>222</v>
      </c>
      <c r="C3180" t="s">
        <v>2047</v>
      </c>
      <c r="D3180" t="s">
        <v>2048</v>
      </c>
      <c r="E3180" s="7" t="s">
        <v>198</v>
      </c>
      <c r="F3180" s="7" t="s">
        <v>198</v>
      </c>
      <c r="G3180" s="7" t="s">
        <v>198</v>
      </c>
      <c r="H3180" s="7" t="s">
        <v>20</v>
      </c>
      <c r="I3180" s="7" t="s">
        <v>5102</v>
      </c>
      <c r="J3180" s="7" t="s">
        <v>21</v>
      </c>
      <c r="L3180" t="s">
        <v>4472</v>
      </c>
      <c r="M3180" s="7" t="s">
        <v>22</v>
      </c>
      <c r="N3180" s="7" t="s">
        <v>23</v>
      </c>
      <c r="O3180" s="7" t="s">
        <v>27</v>
      </c>
      <c r="P3180" s="7" t="s">
        <v>5101</v>
      </c>
      <c r="Q3180" s="26">
        <v>37</v>
      </c>
      <c r="R3180" s="26">
        <v>2</v>
      </c>
      <c r="S3180" s="40">
        <v>1</v>
      </c>
      <c r="T3180" s="7"/>
      <c r="U3180" s="7" t="s">
        <v>2951</v>
      </c>
      <c r="V3180" s="7" t="str">
        <f>+IF(U3180="","",IF(U3180="FINES",CONCATENATE("R",IF(OR(B3180="16",B3180="21",B3180="22",B3180="23"),"16212223",IF(OR(B3180="15",B3180="17",B3180="24",B3180="25"),"15172425",B3180))),IF(U3180="CEBAS","UNICO",IF(VALUE(B3180)&lt;=11,"AMBA","INTERIOR"))))</f>
        <v>R11</v>
      </c>
      <c r="W3180" s="38" t="str">
        <f>+IF(U3180="","-",CONCATENATE(U3180,"_",V3180))</f>
        <v>FINES_R11</v>
      </c>
      <c r="X3180" s="42">
        <v>0.56899999999999995</v>
      </c>
    </row>
    <row r="3181" spans="1:24">
      <c r="A3181" s="21" t="s">
        <v>5100</v>
      </c>
      <c r="B3181" t="s">
        <v>222</v>
      </c>
      <c r="C3181" t="s">
        <v>1154</v>
      </c>
      <c r="D3181" t="s">
        <v>1155</v>
      </c>
      <c r="E3181" s="7" t="s">
        <v>198</v>
      </c>
      <c r="F3181" s="7" t="s">
        <v>198</v>
      </c>
      <c r="G3181" s="7" t="s">
        <v>198</v>
      </c>
      <c r="H3181" s="7" t="s">
        <v>20</v>
      </c>
      <c r="I3181" s="7" t="s">
        <v>5102</v>
      </c>
      <c r="J3181" s="7" t="s">
        <v>21</v>
      </c>
      <c r="L3181" t="s">
        <v>4504</v>
      </c>
      <c r="M3181" s="7" t="s">
        <v>22</v>
      </c>
      <c r="N3181" s="7" t="s">
        <v>23</v>
      </c>
      <c r="O3181" s="7" t="s">
        <v>27</v>
      </c>
      <c r="P3181" s="7" t="s">
        <v>5101</v>
      </c>
      <c r="Q3181" s="26">
        <v>12</v>
      </c>
      <c r="R3181" s="26">
        <v>1</v>
      </c>
      <c r="S3181" s="40">
        <v>1</v>
      </c>
      <c r="T3181" s="7"/>
      <c r="U3181" s="7" t="s">
        <v>2951</v>
      </c>
      <c r="V3181" s="7" t="str">
        <f>+IF(U3181="","",IF(U3181="FINES",CONCATENATE("R",IF(OR(B3181="16",B3181="21",B3181="22",B3181="23"),"16212223",IF(OR(B3181="15",B3181="17",B3181="24",B3181="25"),"15172425",B3181))),IF(U3181="CEBAS","UNICO",IF(VALUE(B3181)&lt;=11,"AMBA","INTERIOR"))))</f>
        <v>R11</v>
      </c>
      <c r="W3181" s="38" t="str">
        <f>+IF(U3181="","-",CONCATENATE(U3181,"_",V3181))</f>
        <v>FINES_R11</v>
      </c>
      <c r="X3181" s="42">
        <v>0.57499999999999996</v>
      </c>
    </row>
    <row r="3182" spans="1:24">
      <c r="A3182" s="21" t="s">
        <v>5100</v>
      </c>
      <c r="B3182" t="s">
        <v>222</v>
      </c>
      <c r="C3182" t="s">
        <v>2047</v>
      </c>
      <c r="D3182" t="s">
        <v>2048</v>
      </c>
      <c r="E3182" s="7" t="s">
        <v>198</v>
      </c>
      <c r="F3182" s="7" t="s">
        <v>198</v>
      </c>
      <c r="G3182" s="7" t="s">
        <v>198</v>
      </c>
      <c r="H3182" s="7" t="s">
        <v>20</v>
      </c>
      <c r="I3182" s="7" t="s">
        <v>5102</v>
      </c>
      <c r="J3182" s="7" t="s">
        <v>21</v>
      </c>
      <c r="L3182" t="s">
        <v>4485</v>
      </c>
      <c r="M3182" s="7" t="s">
        <v>22</v>
      </c>
      <c r="N3182" s="7" t="s">
        <v>23</v>
      </c>
      <c r="O3182" s="7" t="s">
        <v>27</v>
      </c>
      <c r="P3182" s="7" t="s">
        <v>5101</v>
      </c>
      <c r="Q3182" s="26">
        <v>56</v>
      </c>
      <c r="R3182" s="26">
        <v>2</v>
      </c>
      <c r="S3182" s="40">
        <v>1</v>
      </c>
      <c r="T3182" s="7"/>
      <c r="U3182" s="7" t="s">
        <v>2951</v>
      </c>
      <c r="V3182" s="7" t="str">
        <f>+IF(U3182="","",IF(U3182="FINES",CONCATENATE("R",IF(OR(B3182="16",B3182="21",B3182="22",B3182="23"),"16212223",IF(OR(B3182="15",B3182="17",B3182="24",B3182="25"),"15172425",B3182))),IF(U3182="CEBAS","UNICO",IF(VALUE(B3182)&lt;=11,"AMBA","INTERIOR"))))</f>
        <v>R11</v>
      </c>
      <c r="W3182" s="38" t="str">
        <f>+IF(U3182="","-",CONCATENATE(U3182,"_",V3182))</f>
        <v>FINES_R11</v>
      </c>
      <c r="X3182" s="42">
        <v>0.57499999999999996</v>
      </c>
    </row>
    <row r="3183" spans="1:24">
      <c r="A3183" s="21" t="s">
        <v>5100</v>
      </c>
      <c r="B3183" t="s">
        <v>222</v>
      </c>
      <c r="C3183" t="s">
        <v>2047</v>
      </c>
      <c r="D3183" t="s">
        <v>2048</v>
      </c>
      <c r="E3183" s="7" t="s">
        <v>198</v>
      </c>
      <c r="F3183" s="7" t="s">
        <v>198</v>
      </c>
      <c r="G3183" s="7" t="s">
        <v>198</v>
      </c>
      <c r="H3183" s="7" t="s">
        <v>20</v>
      </c>
      <c r="I3183" s="7" t="s">
        <v>5102</v>
      </c>
      <c r="J3183" s="7" t="s">
        <v>21</v>
      </c>
      <c r="L3183" t="s">
        <v>2072</v>
      </c>
      <c r="M3183" s="7" t="s">
        <v>22</v>
      </c>
      <c r="N3183" s="7" t="s">
        <v>23</v>
      </c>
      <c r="O3183" s="7" t="s">
        <v>27</v>
      </c>
      <c r="P3183" s="7" t="s">
        <v>5101</v>
      </c>
      <c r="Q3183" s="26">
        <v>17</v>
      </c>
      <c r="R3183" s="26">
        <v>1</v>
      </c>
      <c r="S3183" s="40">
        <v>1</v>
      </c>
      <c r="T3183" s="7"/>
      <c r="U3183" s="7" t="s">
        <v>2951</v>
      </c>
      <c r="V3183" s="7" t="str">
        <f>+IF(U3183="","",IF(U3183="FINES",CONCATENATE("R",IF(OR(B3183="16",B3183="21",B3183="22",B3183="23"),"16212223",IF(OR(B3183="15",B3183="17",B3183="24",B3183="25"),"15172425",B3183))),IF(U3183="CEBAS","UNICO",IF(VALUE(B3183)&lt;=11,"AMBA","INTERIOR"))))</f>
        <v>R11</v>
      </c>
      <c r="W3183" s="38" t="str">
        <f>+IF(U3183="","-",CONCATENATE(U3183,"_",V3183))</f>
        <v>FINES_R11</v>
      </c>
      <c r="X3183" s="42">
        <v>0.58499999999999996</v>
      </c>
    </row>
    <row r="3184" spans="1:24">
      <c r="A3184" s="21" t="s">
        <v>5100</v>
      </c>
      <c r="B3184" t="s">
        <v>222</v>
      </c>
      <c r="C3184" t="s">
        <v>610</v>
      </c>
      <c r="D3184" t="s">
        <v>611</v>
      </c>
      <c r="E3184" s="7" t="s">
        <v>198</v>
      </c>
      <c r="F3184" s="7" t="s">
        <v>198</v>
      </c>
      <c r="G3184" s="7" t="s">
        <v>198</v>
      </c>
      <c r="H3184" s="7" t="s">
        <v>20</v>
      </c>
      <c r="I3184" s="7" t="s">
        <v>5102</v>
      </c>
      <c r="J3184" s="7" t="s">
        <v>21</v>
      </c>
      <c r="L3184" t="s">
        <v>4411</v>
      </c>
      <c r="M3184" s="7" t="s">
        <v>22</v>
      </c>
      <c r="N3184" s="7" t="s">
        <v>23</v>
      </c>
      <c r="O3184" s="7" t="s">
        <v>27</v>
      </c>
      <c r="P3184" s="7" t="s">
        <v>5101</v>
      </c>
      <c r="Q3184" s="26">
        <v>19</v>
      </c>
      <c r="R3184" s="26">
        <v>1</v>
      </c>
      <c r="S3184" s="40">
        <v>1</v>
      </c>
      <c r="T3184" s="7"/>
      <c r="U3184" s="7" t="s">
        <v>2951</v>
      </c>
      <c r="V3184" s="7" t="str">
        <f>+IF(U3184="","",IF(U3184="FINES",CONCATENATE("R",IF(OR(B3184="16",B3184="21",B3184="22",B3184="23"),"16212223",IF(OR(B3184="15",B3184="17",B3184="24",B3184="25"),"15172425",B3184))),IF(U3184="CEBAS","UNICO",IF(VALUE(B3184)&lt;=11,"AMBA","INTERIOR"))))</f>
        <v>R11</v>
      </c>
      <c r="W3184" s="38" t="str">
        <f>+IF(U3184="","-",CONCATENATE(U3184,"_",V3184))</f>
        <v>FINES_R11</v>
      </c>
      <c r="X3184" s="42">
        <v>0.629</v>
      </c>
    </row>
    <row r="3185" spans="1:24">
      <c r="A3185" s="21" t="s">
        <v>5100</v>
      </c>
      <c r="B3185" t="s">
        <v>222</v>
      </c>
      <c r="C3185" t="s">
        <v>227</v>
      </c>
      <c r="D3185" t="s">
        <v>2603</v>
      </c>
      <c r="E3185" s="7" t="s">
        <v>198</v>
      </c>
      <c r="F3185" s="7" t="s">
        <v>198</v>
      </c>
      <c r="G3185" s="7" t="s">
        <v>198</v>
      </c>
      <c r="H3185" s="7" t="s">
        <v>20</v>
      </c>
      <c r="I3185" s="7" t="s">
        <v>5102</v>
      </c>
      <c r="J3185" s="7" t="s">
        <v>21</v>
      </c>
      <c r="L3185" t="s">
        <v>4433</v>
      </c>
      <c r="M3185" s="7" t="s">
        <v>22</v>
      </c>
      <c r="N3185" s="7" t="s">
        <v>23</v>
      </c>
      <c r="O3185" s="7" t="s">
        <v>27</v>
      </c>
      <c r="P3185" s="7" t="s">
        <v>5101</v>
      </c>
      <c r="Q3185" s="26">
        <v>0</v>
      </c>
      <c r="R3185" s="26">
        <v>1</v>
      </c>
      <c r="S3185" s="40">
        <v>1</v>
      </c>
      <c r="T3185" s="7"/>
      <c r="U3185" s="7" t="s">
        <v>2951</v>
      </c>
      <c r="V3185" s="7" t="str">
        <f>+IF(U3185="","",IF(U3185="FINES",CONCATENATE("R",IF(OR(B3185="16",B3185="21",B3185="22",B3185="23"),"16212223",IF(OR(B3185="15",B3185="17",B3185="24",B3185="25"),"15172425",B3185))),IF(U3185="CEBAS","UNICO",IF(VALUE(B3185)&lt;=11,"AMBA","INTERIOR"))))</f>
        <v>R11</v>
      </c>
      <c r="W3185" s="38" t="str">
        <f>+IF(U3185="","-",CONCATENATE(U3185,"_",V3185))</f>
        <v>FINES_R11</v>
      </c>
      <c r="X3185" s="42">
        <v>0.63700000000000001</v>
      </c>
    </row>
    <row r="3186" spans="1:24">
      <c r="A3186" s="21" t="s">
        <v>5100</v>
      </c>
      <c r="B3186" t="s">
        <v>222</v>
      </c>
      <c r="C3186" t="s">
        <v>227</v>
      </c>
      <c r="D3186" t="s">
        <v>2603</v>
      </c>
      <c r="E3186" s="7" t="s">
        <v>198</v>
      </c>
      <c r="F3186" s="7" t="s">
        <v>198</v>
      </c>
      <c r="G3186" s="7" t="s">
        <v>198</v>
      </c>
      <c r="H3186" s="7" t="s">
        <v>20</v>
      </c>
      <c r="I3186" s="7" t="s">
        <v>5102</v>
      </c>
      <c r="J3186" s="7" t="s">
        <v>21</v>
      </c>
      <c r="L3186">
        <v>46312</v>
      </c>
      <c r="M3186" s="7" t="s">
        <v>22</v>
      </c>
      <c r="N3186" s="7" t="s">
        <v>23</v>
      </c>
      <c r="O3186" s="7" t="s">
        <v>27</v>
      </c>
      <c r="P3186" s="7" t="s">
        <v>5101</v>
      </c>
      <c r="Q3186" s="26">
        <v>22</v>
      </c>
      <c r="R3186" s="26">
        <v>1</v>
      </c>
      <c r="S3186" s="40">
        <v>1</v>
      </c>
      <c r="T3186" s="7"/>
      <c r="U3186" s="7" t="s">
        <v>2951</v>
      </c>
      <c r="V3186" s="7" t="str">
        <f>+IF(U3186="","",IF(U3186="FINES",CONCATENATE("R",IF(OR(B3186="16",B3186="21",B3186="22",B3186="23"),"16212223",IF(OR(B3186="15",B3186="17",B3186="24",B3186="25"),"15172425",B3186))),IF(U3186="CEBAS","UNICO",IF(VALUE(B3186)&lt;=11,"AMBA","INTERIOR"))))</f>
        <v>R11</v>
      </c>
      <c r="W3186" s="38" t="str">
        <f>+IF(U3186="","-",CONCATENATE(U3186,"_",V3186))</f>
        <v>FINES_R11</v>
      </c>
      <c r="X3186" s="42">
        <v>0.64500000000000002</v>
      </c>
    </row>
    <row r="3187" spans="1:24">
      <c r="A3187" s="21" t="s">
        <v>5100</v>
      </c>
      <c r="B3187" t="s">
        <v>222</v>
      </c>
      <c r="C3187" t="s">
        <v>2047</v>
      </c>
      <c r="D3187" t="s">
        <v>2048</v>
      </c>
      <c r="E3187" s="7" t="s">
        <v>198</v>
      </c>
      <c r="F3187" s="7" t="s">
        <v>198</v>
      </c>
      <c r="G3187" s="7" t="s">
        <v>198</v>
      </c>
      <c r="H3187" s="7" t="s">
        <v>20</v>
      </c>
      <c r="I3187" s="7" t="s">
        <v>5102</v>
      </c>
      <c r="J3187" s="7" t="s">
        <v>21</v>
      </c>
      <c r="L3187" t="s">
        <v>4457</v>
      </c>
      <c r="M3187" s="7" t="s">
        <v>22</v>
      </c>
      <c r="N3187" s="7" t="s">
        <v>23</v>
      </c>
      <c r="O3187" s="7" t="s">
        <v>27</v>
      </c>
      <c r="P3187" s="7" t="s">
        <v>5101</v>
      </c>
      <c r="Q3187" s="26">
        <v>45</v>
      </c>
      <c r="R3187" s="26">
        <v>2</v>
      </c>
      <c r="S3187" s="40">
        <v>1</v>
      </c>
      <c r="T3187" s="7"/>
      <c r="U3187" s="7" t="s">
        <v>2951</v>
      </c>
      <c r="V3187" s="7" t="str">
        <f>+IF(U3187="","",IF(U3187="FINES",CONCATENATE("R",IF(OR(B3187="16",B3187="21",B3187="22",B3187="23"),"16212223",IF(OR(B3187="15",B3187="17",B3187="24",B3187="25"),"15172425",B3187))),IF(U3187="CEBAS","UNICO",IF(VALUE(B3187)&lt;=11,"AMBA","INTERIOR"))))</f>
        <v>R11</v>
      </c>
      <c r="W3187" s="38" t="str">
        <f>+IF(U3187="","-",CONCATENATE(U3187,"_",V3187))</f>
        <v>FINES_R11</v>
      </c>
      <c r="X3187" s="42">
        <v>0.66900000000000004</v>
      </c>
    </row>
    <row r="3188" spans="1:24">
      <c r="A3188" s="21" t="s">
        <v>5100</v>
      </c>
      <c r="B3188" t="s">
        <v>222</v>
      </c>
      <c r="C3188" t="s">
        <v>807</v>
      </c>
      <c r="D3188" t="s">
        <v>808</v>
      </c>
      <c r="E3188" s="7" t="s">
        <v>198</v>
      </c>
      <c r="F3188" s="7" t="s">
        <v>198</v>
      </c>
      <c r="G3188" s="7" t="s">
        <v>198</v>
      </c>
      <c r="H3188" s="7" t="s">
        <v>20</v>
      </c>
      <c r="I3188" s="7" t="s">
        <v>5102</v>
      </c>
      <c r="J3188" s="7" t="s">
        <v>21</v>
      </c>
      <c r="L3188" t="s">
        <v>4443</v>
      </c>
      <c r="M3188" s="7" t="s">
        <v>22</v>
      </c>
      <c r="N3188" s="7" t="s">
        <v>23</v>
      </c>
      <c r="O3188" s="7" t="s">
        <v>27</v>
      </c>
      <c r="P3188" s="7" t="s">
        <v>5101</v>
      </c>
      <c r="Q3188" s="26">
        <v>16</v>
      </c>
      <c r="R3188" s="26">
        <v>1</v>
      </c>
      <c r="S3188" s="40">
        <v>1</v>
      </c>
      <c r="T3188" s="7"/>
      <c r="U3188" s="7" t="s">
        <v>2951</v>
      </c>
      <c r="V3188" s="7" t="str">
        <f>+IF(U3188="","",IF(U3188="FINES",CONCATENATE("R",IF(OR(B3188="16",B3188="21",B3188="22",B3188="23"),"16212223",IF(OR(B3188="15",B3188="17",B3188="24",B3188="25"),"15172425",B3188))),IF(U3188="CEBAS","UNICO",IF(VALUE(B3188)&lt;=11,"AMBA","INTERIOR"))))</f>
        <v>R11</v>
      </c>
      <c r="W3188" s="38" t="str">
        <f>+IF(U3188="","-",CONCATENATE(U3188,"_",V3188))</f>
        <v>FINES_R11</v>
      </c>
      <c r="X3188" s="42">
        <v>0.68500000000000005</v>
      </c>
    </row>
    <row r="3189" spans="1:24">
      <c r="A3189" s="21" t="s">
        <v>5100</v>
      </c>
      <c r="B3189" t="s">
        <v>222</v>
      </c>
      <c r="C3189" t="s">
        <v>2047</v>
      </c>
      <c r="D3189" t="s">
        <v>2048</v>
      </c>
      <c r="E3189" s="7" t="s">
        <v>198</v>
      </c>
      <c r="F3189" s="7" t="s">
        <v>198</v>
      </c>
      <c r="G3189" s="7" t="s">
        <v>198</v>
      </c>
      <c r="H3189" s="7" t="s">
        <v>20</v>
      </c>
      <c r="I3189" s="7" t="s">
        <v>5102</v>
      </c>
      <c r="J3189" s="7" t="s">
        <v>21</v>
      </c>
      <c r="L3189" t="s">
        <v>4455</v>
      </c>
      <c r="M3189" s="7" t="s">
        <v>22</v>
      </c>
      <c r="N3189" s="7" t="s">
        <v>23</v>
      </c>
      <c r="O3189" s="7" t="s">
        <v>27</v>
      </c>
      <c r="P3189" s="7" t="s">
        <v>5101</v>
      </c>
      <c r="Q3189" s="26">
        <v>23</v>
      </c>
      <c r="R3189" s="26">
        <v>1</v>
      </c>
      <c r="S3189" s="40">
        <v>1</v>
      </c>
      <c r="T3189" s="7"/>
      <c r="U3189" s="7" t="s">
        <v>2951</v>
      </c>
      <c r="V3189" s="7" t="str">
        <f>+IF(U3189="","",IF(U3189="FINES",CONCATENATE("R",IF(OR(B3189="16",B3189="21",B3189="22",B3189="23"),"16212223",IF(OR(B3189="15",B3189="17",B3189="24",B3189="25"),"15172425",B3189))),IF(U3189="CEBAS","UNICO",IF(VALUE(B3189)&lt;=11,"AMBA","INTERIOR"))))</f>
        <v>R11</v>
      </c>
      <c r="W3189" s="38" t="str">
        <f>+IF(U3189="","-",CONCATENATE(U3189,"_",V3189))</f>
        <v>FINES_R11</v>
      </c>
      <c r="X3189" s="42">
        <v>0.72099999999999997</v>
      </c>
    </row>
    <row r="3190" spans="1:24">
      <c r="A3190" s="21" t="s">
        <v>5100</v>
      </c>
      <c r="B3190" t="s">
        <v>222</v>
      </c>
      <c r="C3190" t="s">
        <v>2047</v>
      </c>
      <c r="D3190" t="s">
        <v>2048</v>
      </c>
      <c r="E3190" s="7" t="s">
        <v>198</v>
      </c>
      <c r="F3190" s="7" t="s">
        <v>198</v>
      </c>
      <c r="G3190" s="7" t="s">
        <v>198</v>
      </c>
      <c r="H3190" s="7" t="s">
        <v>20</v>
      </c>
      <c r="I3190" s="7" t="s">
        <v>5102</v>
      </c>
      <c r="J3190" s="7" t="s">
        <v>21</v>
      </c>
      <c r="L3190" t="s">
        <v>4461</v>
      </c>
      <c r="M3190" s="7" t="s">
        <v>22</v>
      </c>
      <c r="N3190" s="7" t="s">
        <v>23</v>
      </c>
      <c r="O3190" s="7" t="s">
        <v>27</v>
      </c>
      <c r="P3190" s="7" t="s">
        <v>5101</v>
      </c>
      <c r="Q3190" s="26">
        <v>68</v>
      </c>
      <c r="R3190" s="26">
        <v>4</v>
      </c>
      <c r="S3190" s="40">
        <v>1</v>
      </c>
      <c r="T3190" s="7"/>
      <c r="U3190" s="7" t="s">
        <v>2951</v>
      </c>
      <c r="V3190" s="7" t="str">
        <f>+IF(U3190="","",IF(U3190="FINES",CONCATENATE("R",IF(OR(B3190="16",B3190="21",B3190="22",B3190="23"),"16212223",IF(OR(B3190="15",B3190="17",B3190="24",B3190="25"),"15172425",B3190))),IF(U3190="CEBAS","UNICO",IF(VALUE(B3190)&lt;=11,"AMBA","INTERIOR"))))</f>
        <v>R11</v>
      </c>
      <c r="W3190" s="38" t="str">
        <f>+IF(U3190="","-",CONCATENATE(U3190,"_",V3190))</f>
        <v>FINES_R11</v>
      </c>
      <c r="X3190" s="42">
        <v>0.72399999999999998</v>
      </c>
    </row>
    <row r="3191" spans="1:24">
      <c r="A3191" s="21" t="s">
        <v>5100</v>
      </c>
      <c r="B3191" t="s">
        <v>222</v>
      </c>
      <c r="C3191" t="s">
        <v>2047</v>
      </c>
      <c r="D3191" t="s">
        <v>2048</v>
      </c>
      <c r="E3191" s="7" t="s">
        <v>198</v>
      </c>
      <c r="F3191" s="7" t="s">
        <v>198</v>
      </c>
      <c r="G3191" s="7" t="s">
        <v>198</v>
      </c>
      <c r="H3191" s="7" t="s">
        <v>20</v>
      </c>
      <c r="I3191" s="7" t="s">
        <v>5102</v>
      </c>
      <c r="J3191" s="7" t="s">
        <v>21</v>
      </c>
      <c r="L3191" t="s">
        <v>4456</v>
      </c>
      <c r="M3191" s="7" t="s">
        <v>22</v>
      </c>
      <c r="N3191" s="7" t="s">
        <v>23</v>
      </c>
      <c r="O3191" s="7" t="s">
        <v>27</v>
      </c>
      <c r="P3191" s="7" t="s">
        <v>5101</v>
      </c>
      <c r="Q3191" s="26">
        <v>18</v>
      </c>
      <c r="R3191" s="26">
        <v>1</v>
      </c>
      <c r="S3191" s="40">
        <v>1</v>
      </c>
      <c r="T3191" s="7"/>
      <c r="U3191" s="7" t="s">
        <v>2951</v>
      </c>
      <c r="V3191" s="7" t="str">
        <f>+IF(U3191="","",IF(U3191="FINES",CONCATENATE("R",IF(OR(B3191="16",B3191="21",B3191="22",B3191="23"),"16212223",IF(OR(B3191="15",B3191="17",B3191="24",B3191="25"),"15172425",B3191))),IF(U3191="CEBAS","UNICO",IF(VALUE(B3191)&lt;=11,"AMBA","INTERIOR"))))</f>
        <v>R11</v>
      </c>
      <c r="W3191" s="38" t="str">
        <f>+IF(U3191="","-",CONCATENATE(U3191,"_",V3191))</f>
        <v>FINES_R11</v>
      </c>
      <c r="X3191" s="42">
        <v>0.73</v>
      </c>
    </row>
    <row r="3192" spans="1:24">
      <c r="A3192" s="21" t="s">
        <v>5100</v>
      </c>
      <c r="B3192" t="s">
        <v>222</v>
      </c>
      <c r="C3192" t="s">
        <v>610</v>
      </c>
      <c r="D3192" t="s">
        <v>611</v>
      </c>
      <c r="E3192" s="7" t="s">
        <v>198</v>
      </c>
      <c r="F3192" s="7" t="s">
        <v>198</v>
      </c>
      <c r="G3192" s="7" t="s">
        <v>198</v>
      </c>
      <c r="H3192" s="7" t="s">
        <v>20</v>
      </c>
      <c r="I3192" s="7" t="s">
        <v>5102</v>
      </c>
      <c r="J3192" s="7" t="s">
        <v>21</v>
      </c>
      <c r="L3192" t="s">
        <v>4421</v>
      </c>
      <c r="M3192" s="7" t="s">
        <v>22</v>
      </c>
      <c r="N3192" s="7" t="s">
        <v>23</v>
      </c>
      <c r="O3192" s="7" t="s">
        <v>27</v>
      </c>
      <c r="P3192" s="7" t="s">
        <v>5101</v>
      </c>
      <c r="Q3192" s="26">
        <v>15</v>
      </c>
      <c r="R3192" s="26">
        <v>1</v>
      </c>
      <c r="S3192" s="40">
        <v>1</v>
      </c>
      <c r="T3192" s="7"/>
      <c r="U3192" s="7" t="s">
        <v>2951</v>
      </c>
      <c r="V3192" s="7" t="str">
        <f>+IF(U3192="","",IF(U3192="FINES",CONCATENATE("R",IF(OR(B3192="16",B3192="21",B3192="22",B3192="23"),"16212223",IF(OR(B3192="15",B3192="17",B3192="24",B3192="25"),"15172425",B3192))),IF(U3192="CEBAS","UNICO",IF(VALUE(B3192)&lt;=11,"AMBA","INTERIOR"))))</f>
        <v>R11</v>
      </c>
      <c r="W3192" s="38" t="str">
        <f>+IF(U3192="","-",CONCATENATE(U3192,"_",V3192))</f>
        <v>FINES_R11</v>
      </c>
      <c r="X3192" s="42">
        <v>0.74299999999999999</v>
      </c>
    </row>
    <row r="3193" spans="1:24">
      <c r="A3193" s="21" t="s">
        <v>5100</v>
      </c>
      <c r="B3193" t="s">
        <v>222</v>
      </c>
      <c r="C3193" t="s">
        <v>610</v>
      </c>
      <c r="D3193" t="s">
        <v>611</v>
      </c>
      <c r="E3193" s="7" t="s">
        <v>198</v>
      </c>
      <c r="F3193" s="7" t="s">
        <v>198</v>
      </c>
      <c r="G3193" s="7" t="s">
        <v>198</v>
      </c>
      <c r="H3193" s="7" t="s">
        <v>20</v>
      </c>
      <c r="I3193" s="7" t="s">
        <v>5102</v>
      </c>
      <c r="J3193" s="7" t="s">
        <v>21</v>
      </c>
      <c r="L3193" t="s">
        <v>4419</v>
      </c>
      <c r="M3193" s="7" t="s">
        <v>22</v>
      </c>
      <c r="N3193" s="7" t="s">
        <v>23</v>
      </c>
      <c r="O3193" s="7" t="s">
        <v>27</v>
      </c>
      <c r="P3193" s="7" t="s">
        <v>5101</v>
      </c>
      <c r="Q3193" s="26">
        <v>0</v>
      </c>
      <c r="R3193" s="26">
        <v>1</v>
      </c>
      <c r="S3193" s="40">
        <v>1</v>
      </c>
      <c r="T3193" s="7"/>
      <c r="U3193" s="7" t="s">
        <v>2951</v>
      </c>
      <c r="V3193" s="7" t="str">
        <f>+IF(U3193="","",IF(U3193="FINES",CONCATENATE("R",IF(OR(B3193="16",B3193="21",B3193="22",B3193="23"),"16212223",IF(OR(B3193="15",B3193="17",B3193="24",B3193="25"),"15172425",B3193))),IF(U3193="CEBAS","UNICO",IF(VALUE(B3193)&lt;=11,"AMBA","INTERIOR"))))</f>
        <v>R11</v>
      </c>
      <c r="W3193" s="38" t="str">
        <f>+IF(U3193="","-",CONCATENATE(U3193,"_",V3193))</f>
        <v>FINES_R11</v>
      </c>
      <c r="X3193" s="42">
        <v>0.754</v>
      </c>
    </row>
    <row r="3194" spans="1:24">
      <c r="A3194" s="21" t="s">
        <v>5100</v>
      </c>
      <c r="B3194" t="s">
        <v>222</v>
      </c>
      <c r="C3194" t="s">
        <v>807</v>
      </c>
      <c r="D3194" t="s">
        <v>808</v>
      </c>
      <c r="E3194" s="7" t="s">
        <v>198</v>
      </c>
      <c r="F3194" s="7" t="s">
        <v>198</v>
      </c>
      <c r="G3194" s="7" t="s">
        <v>198</v>
      </c>
      <c r="H3194" s="7" t="s">
        <v>20</v>
      </c>
      <c r="I3194" s="7" t="s">
        <v>5102</v>
      </c>
      <c r="J3194" s="7" t="s">
        <v>21</v>
      </c>
      <c r="L3194" t="s">
        <v>4444</v>
      </c>
      <c r="M3194" s="7" t="s">
        <v>22</v>
      </c>
      <c r="N3194" s="7" t="s">
        <v>23</v>
      </c>
      <c r="O3194" s="7" t="s">
        <v>27</v>
      </c>
      <c r="P3194" s="7" t="s">
        <v>5101</v>
      </c>
      <c r="Q3194" s="26">
        <v>92</v>
      </c>
      <c r="R3194" s="26">
        <v>4</v>
      </c>
      <c r="S3194" s="40">
        <v>1</v>
      </c>
      <c r="T3194" s="7"/>
      <c r="U3194" s="7" t="s">
        <v>2951</v>
      </c>
      <c r="V3194" s="7" t="str">
        <f>+IF(U3194="","",IF(U3194="FINES",CONCATENATE("R",IF(OR(B3194="16",B3194="21",B3194="22",B3194="23"),"16212223",IF(OR(B3194="15",B3194="17",B3194="24",B3194="25"),"15172425",B3194))),IF(U3194="CEBAS","UNICO",IF(VALUE(B3194)&lt;=11,"AMBA","INTERIOR"))))</f>
        <v>R11</v>
      </c>
      <c r="W3194" s="38" t="str">
        <f>+IF(U3194="","-",CONCATENATE(U3194,"_",V3194))</f>
        <v>FINES_R11</v>
      </c>
      <c r="X3194" s="42">
        <v>0.76300000000000001</v>
      </c>
    </row>
    <row r="3195" spans="1:24">
      <c r="A3195" s="21" t="s">
        <v>5100</v>
      </c>
      <c r="B3195" t="s">
        <v>222</v>
      </c>
      <c r="C3195" t="s">
        <v>2047</v>
      </c>
      <c r="D3195" t="s">
        <v>2048</v>
      </c>
      <c r="E3195" s="7" t="s">
        <v>198</v>
      </c>
      <c r="F3195" s="7" t="s">
        <v>198</v>
      </c>
      <c r="G3195" s="7" t="s">
        <v>198</v>
      </c>
      <c r="H3195" s="7" t="s">
        <v>20</v>
      </c>
      <c r="I3195" s="7" t="s">
        <v>5102</v>
      </c>
      <c r="J3195" s="7" t="s">
        <v>21</v>
      </c>
      <c r="L3195" t="s">
        <v>4453</v>
      </c>
      <c r="M3195" s="7" t="s">
        <v>22</v>
      </c>
      <c r="N3195" s="7" t="s">
        <v>23</v>
      </c>
      <c r="O3195" s="7" t="s">
        <v>27</v>
      </c>
      <c r="P3195" s="7" t="s">
        <v>5101</v>
      </c>
      <c r="Q3195" s="26">
        <v>23</v>
      </c>
      <c r="R3195" s="26">
        <v>1</v>
      </c>
      <c r="S3195" s="40">
        <v>1</v>
      </c>
      <c r="T3195" s="7"/>
      <c r="U3195" s="7" t="s">
        <v>2951</v>
      </c>
      <c r="V3195" s="7" t="str">
        <f>+IF(U3195="","",IF(U3195="FINES",CONCATENATE("R",IF(OR(B3195="16",B3195="21",B3195="22",B3195="23"),"16212223",IF(OR(B3195="15",B3195="17",B3195="24",B3195="25"),"15172425",B3195))),IF(U3195="CEBAS","UNICO",IF(VALUE(B3195)&lt;=11,"AMBA","INTERIOR"))))</f>
        <v>R11</v>
      </c>
      <c r="W3195" s="38" t="str">
        <f>+IF(U3195="","-",CONCATENATE(U3195,"_",V3195))</f>
        <v>FINES_R11</v>
      </c>
      <c r="X3195" s="42">
        <v>0.76500000000000001</v>
      </c>
    </row>
    <row r="3196" spans="1:24">
      <c r="A3196" s="21" t="s">
        <v>5100</v>
      </c>
      <c r="B3196" t="s">
        <v>222</v>
      </c>
      <c r="C3196" t="s">
        <v>2047</v>
      </c>
      <c r="D3196" t="s">
        <v>2048</v>
      </c>
      <c r="E3196" s="7" t="s">
        <v>198</v>
      </c>
      <c r="F3196" s="7" t="s">
        <v>198</v>
      </c>
      <c r="G3196" s="7" t="s">
        <v>198</v>
      </c>
      <c r="H3196" s="7" t="s">
        <v>20</v>
      </c>
      <c r="I3196" s="7" t="s">
        <v>5102</v>
      </c>
      <c r="J3196" s="7" t="s">
        <v>21</v>
      </c>
      <c r="L3196" t="s">
        <v>4468</v>
      </c>
      <c r="M3196" s="7" t="s">
        <v>22</v>
      </c>
      <c r="N3196" s="7" t="s">
        <v>23</v>
      </c>
      <c r="O3196" s="7" t="s">
        <v>27</v>
      </c>
      <c r="P3196" s="7" t="s">
        <v>5101</v>
      </c>
      <c r="Q3196" s="26">
        <v>71</v>
      </c>
      <c r="R3196" s="26">
        <v>3</v>
      </c>
      <c r="S3196" s="40">
        <v>1</v>
      </c>
      <c r="T3196" s="7"/>
      <c r="U3196" s="7" t="s">
        <v>2951</v>
      </c>
      <c r="V3196" s="7" t="str">
        <f>+IF(U3196="","",IF(U3196="FINES",CONCATENATE("R",IF(OR(B3196="16",B3196="21",B3196="22",B3196="23"),"16212223",IF(OR(B3196="15",B3196="17",B3196="24",B3196="25"),"15172425",B3196))),IF(U3196="CEBAS","UNICO",IF(VALUE(B3196)&lt;=11,"AMBA","INTERIOR"))))</f>
        <v>R11</v>
      </c>
      <c r="W3196" s="38" t="str">
        <f>+IF(U3196="","-",CONCATENATE(U3196,"_",V3196))</f>
        <v>FINES_R11</v>
      </c>
      <c r="X3196" s="42">
        <v>0.77700000000000002</v>
      </c>
    </row>
    <row r="3197" spans="1:24">
      <c r="A3197" s="21" t="s">
        <v>5100</v>
      </c>
      <c r="B3197" t="s">
        <v>222</v>
      </c>
      <c r="C3197" t="s">
        <v>2047</v>
      </c>
      <c r="D3197" t="s">
        <v>2048</v>
      </c>
      <c r="E3197" s="7" t="s">
        <v>198</v>
      </c>
      <c r="F3197" s="7" t="s">
        <v>198</v>
      </c>
      <c r="G3197" s="7" t="s">
        <v>198</v>
      </c>
      <c r="H3197" s="7" t="s">
        <v>20</v>
      </c>
      <c r="I3197" s="7" t="s">
        <v>5102</v>
      </c>
      <c r="J3197" s="7" t="s">
        <v>21</v>
      </c>
      <c r="L3197" t="s">
        <v>4495</v>
      </c>
      <c r="M3197" s="7" t="s">
        <v>22</v>
      </c>
      <c r="N3197" s="7" t="s">
        <v>23</v>
      </c>
      <c r="O3197" s="7" t="s">
        <v>27</v>
      </c>
      <c r="P3197" s="7" t="s">
        <v>5101</v>
      </c>
      <c r="Q3197" s="26">
        <v>62</v>
      </c>
      <c r="R3197" s="26">
        <v>2</v>
      </c>
      <c r="S3197" s="40">
        <v>1</v>
      </c>
      <c r="T3197" s="7"/>
      <c r="U3197" s="7" t="s">
        <v>2951</v>
      </c>
      <c r="V3197" s="7" t="str">
        <f>+IF(U3197="","",IF(U3197="FINES",CONCATENATE("R",IF(OR(B3197="16",B3197="21",B3197="22",B3197="23"),"16212223",IF(OR(B3197="15",B3197="17",B3197="24",B3197="25"),"15172425",B3197))),IF(U3197="CEBAS","UNICO",IF(VALUE(B3197)&lt;=11,"AMBA","INTERIOR"))))</f>
        <v>R11</v>
      </c>
      <c r="W3197" s="38" t="str">
        <f>+IF(U3197="","-",CONCATENATE(U3197,"_",V3197))</f>
        <v>FINES_R11</v>
      </c>
      <c r="X3197" s="42">
        <v>0.79</v>
      </c>
    </row>
    <row r="3198" spans="1:24">
      <c r="A3198" s="21" t="s">
        <v>5100</v>
      </c>
      <c r="B3198" t="s">
        <v>222</v>
      </c>
      <c r="C3198" t="s">
        <v>227</v>
      </c>
      <c r="D3198" t="s">
        <v>2603</v>
      </c>
      <c r="E3198" s="7" t="s">
        <v>198</v>
      </c>
      <c r="F3198" s="7" t="s">
        <v>198</v>
      </c>
      <c r="G3198" s="7" t="s">
        <v>198</v>
      </c>
      <c r="H3198" s="7" t="s">
        <v>20</v>
      </c>
      <c r="I3198" s="7" t="s">
        <v>5102</v>
      </c>
      <c r="J3198" s="7" t="s">
        <v>21</v>
      </c>
      <c r="L3198" t="s">
        <v>4425</v>
      </c>
      <c r="M3198" s="7" t="s">
        <v>22</v>
      </c>
      <c r="N3198" s="7" t="s">
        <v>23</v>
      </c>
      <c r="O3198" s="7" t="s">
        <v>27</v>
      </c>
      <c r="P3198" s="7" t="s">
        <v>5101</v>
      </c>
      <c r="Q3198" s="26">
        <v>15</v>
      </c>
      <c r="R3198" s="26">
        <v>1</v>
      </c>
      <c r="S3198" s="40">
        <v>1</v>
      </c>
      <c r="T3198" s="7"/>
      <c r="U3198" s="7" t="s">
        <v>2951</v>
      </c>
      <c r="V3198" s="7" t="str">
        <f>+IF(U3198="","",IF(U3198="FINES",CONCATENATE("R",IF(OR(B3198="16",B3198="21",B3198="22",B3198="23"),"16212223",IF(OR(B3198="15",B3198="17",B3198="24",B3198="25"),"15172425",B3198))),IF(U3198="CEBAS","UNICO",IF(VALUE(B3198)&lt;=11,"AMBA","INTERIOR"))))</f>
        <v>R11</v>
      </c>
      <c r="W3198" s="38" t="str">
        <f>+IF(U3198="","-",CONCATENATE(U3198,"_",V3198))</f>
        <v>FINES_R11</v>
      </c>
      <c r="X3198" s="42">
        <v>0.80600000000000005</v>
      </c>
    </row>
    <row r="3199" spans="1:24">
      <c r="A3199" s="21" t="s">
        <v>5100</v>
      </c>
      <c r="B3199" t="s">
        <v>222</v>
      </c>
      <c r="C3199" t="s">
        <v>610</v>
      </c>
      <c r="D3199" t="s">
        <v>611</v>
      </c>
      <c r="E3199" s="7" t="s">
        <v>198</v>
      </c>
      <c r="F3199" s="7" t="s">
        <v>198</v>
      </c>
      <c r="G3199" s="7" t="s">
        <v>198</v>
      </c>
      <c r="H3199" s="7" t="s">
        <v>20</v>
      </c>
      <c r="I3199" s="7" t="s">
        <v>5102</v>
      </c>
      <c r="J3199" s="7" t="s">
        <v>21</v>
      </c>
      <c r="L3199" t="s">
        <v>4417</v>
      </c>
      <c r="M3199" s="7" t="s">
        <v>22</v>
      </c>
      <c r="N3199" s="7" t="s">
        <v>23</v>
      </c>
      <c r="O3199" s="7" t="s">
        <v>27</v>
      </c>
      <c r="P3199" s="7" t="s">
        <v>5101</v>
      </c>
      <c r="Q3199" s="26">
        <v>47</v>
      </c>
      <c r="R3199" s="26">
        <v>3</v>
      </c>
      <c r="S3199" s="40">
        <v>1</v>
      </c>
      <c r="T3199" s="7"/>
      <c r="U3199" s="7" t="s">
        <v>2951</v>
      </c>
      <c r="V3199" s="7" t="str">
        <f>+IF(U3199="","",IF(U3199="FINES",CONCATENATE("R",IF(OR(B3199="16",B3199="21",B3199="22",B3199="23"),"16212223",IF(OR(B3199="15",B3199="17",B3199="24",B3199="25"),"15172425",B3199))),IF(U3199="CEBAS","UNICO",IF(VALUE(B3199)&lt;=11,"AMBA","INTERIOR"))))</f>
        <v>R11</v>
      </c>
      <c r="W3199" s="38" t="str">
        <f>+IF(U3199="","-",CONCATENATE(U3199,"_",V3199))</f>
        <v>FINES_R11</v>
      </c>
      <c r="X3199" s="42">
        <v>0.82799999999999996</v>
      </c>
    </row>
    <row r="3200" spans="1:24">
      <c r="A3200" s="21" t="s">
        <v>5100</v>
      </c>
      <c r="B3200" t="s">
        <v>222</v>
      </c>
      <c r="C3200" t="s">
        <v>227</v>
      </c>
      <c r="D3200" t="s">
        <v>2603</v>
      </c>
      <c r="E3200" s="7" t="s">
        <v>198</v>
      </c>
      <c r="F3200" s="7" t="s">
        <v>198</v>
      </c>
      <c r="G3200" s="7" t="s">
        <v>198</v>
      </c>
      <c r="H3200" s="7" t="s">
        <v>20</v>
      </c>
      <c r="I3200" s="7" t="s">
        <v>5102</v>
      </c>
      <c r="J3200" s="7" t="s">
        <v>21</v>
      </c>
      <c r="L3200" t="s">
        <v>4438</v>
      </c>
      <c r="M3200" s="7" t="s">
        <v>22</v>
      </c>
      <c r="N3200" s="7" t="s">
        <v>23</v>
      </c>
      <c r="O3200" s="7" t="s">
        <v>27</v>
      </c>
      <c r="P3200" s="7" t="s">
        <v>5101</v>
      </c>
      <c r="Q3200" s="26">
        <v>16</v>
      </c>
      <c r="R3200" s="26">
        <v>1</v>
      </c>
      <c r="S3200" s="40">
        <v>1</v>
      </c>
      <c r="T3200" s="7"/>
      <c r="U3200" s="7" t="s">
        <v>2951</v>
      </c>
      <c r="V3200" s="7" t="str">
        <f>+IF(U3200="","",IF(U3200="FINES",CONCATENATE("R",IF(OR(B3200="16",B3200="21",B3200="22",B3200="23"),"16212223",IF(OR(B3200="15",B3200="17",B3200="24",B3200="25"),"15172425",B3200))),IF(U3200="CEBAS","UNICO",IF(VALUE(B3200)&lt;=11,"AMBA","INTERIOR"))))</f>
        <v>R11</v>
      </c>
      <c r="W3200" s="38" t="str">
        <f>+IF(U3200="","-",CONCATENATE(U3200,"_",V3200))</f>
        <v>FINES_R11</v>
      </c>
      <c r="X3200" s="42">
        <v>0.83099999999999996</v>
      </c>
    </row>
    <row r="3201" spans="1:24">
      <c r="A3201" s="21" t="s">
        <v>5100</v>
      </c>
      <c r="B3201" t="s">
        <v>222</v>
      </c>
      <c r="C3201" t="s">
        <v>227</v>
      </c>
      <c r="D3201" t="s">
        <v>2603</v>
      </c>
      <c r="E3201" s="7" t="s">
        <v>198</v>
      </c>
      <c r="F3201" s="7" t="s">
        <v>198</v>
      </c>
      <c r="G3201" s="7" t="s">
        <v>198</v>
      </c>
      <c r="H3201" s="7" t="s">
        <v>20</v>
      </c>
      <c r="I3201" s="7" t="s">
        <v>5102</v>
      </c>
      <c r="J3201" s="7" t="s">
        <v>21</v>
      </c>
      <c r="L3201" t="s">
        <v>4440</v>
      </c>
      <c r="M3201" s="7" t="s">
        <v>22</v>
      </c>
      <c r="N3201" s="7" t="s">
        <v>23</v>
      </c>
      <c r="O3201" s="7" t="s">
        <v>27</v>
      </c>
      <c r="P3201" s="7" t="s">
        <v>5101</v>
      </c>
      <c r="Q3201" s="26">
        <v>17</v>
      </c>
      <c r="R3201" s="26">
        <v>1</v>
      </c>
      <c r="S3201" s="40">
        <v>1</v>
      </c>
      <c r="T3201" s="7"/>
      <c r="U3201" s="7" t="s">
        <v>2951</v>
      </c>
      <c r="V3201" s="7" t="str">
        <f>+IF(U3201="","",IF(U3201="FINES",CONCATENATE("R",IF(OR(B3201="16",B3201="21",B3201="22",B3201="23"),"16212223",IF(OR(B3201="15",B3201="17",B3201="24",B3201="25"),"15172425",B3201))),IF(U3201="CEBAS","UNICO",IF(VALUE(B3201)&lt;=11,"AMBA","INTERIOR"))))</f>
        <v>R11</v>
      </c>
      <c r="W3201" s="38" t="str">
        <f>+IF(U3201="","-",CONCATENATE(U3201,"_",V3201))</f>
        <v>FINES_R11</v>
      </c>
      <c r="X3201" s="42">
        <v>0.83399999999999996</v>
      </c>
    </row>
    <row r="3202" spans="1:24">
      <c r="A3202" s="21" t="s">
        <v>5100</v>
      </c>
      <c r="B3202" t="s">
        <v>222</v>
      </c>
      <c r="C3202" t="s">
        <v>1154</v>
      </c>
      <c r="D3202" t="s">
        <v>1155</v>
      </c>
      <c r="E3202" s="7" t="s">
        <v>198</v>
      </c>
      <c r="F3202" s="7" t="s">
        <v>198</v>
      </c>
      <c r="G3202" s="7" t="s">
        <v>198</v>
      </c>
      <c r="H3202" s="7" t="s">
        <v>20</v>
      </c>
      <c r="I3202" s="7" t="s">
        <v>5102</v>
      </c>
      <c r="J3202" s="7" t="s">
        <v>21</v>
      </c>
      <c r="L3202" t="s">
        <v>4500</v>
      </c>
      <c r="M3202" s="7" t="s">
        <v>22</v>
      </c>
      <c r="N3202" s="7" t="s">
        <v>23</v>
      </c>
      <c r="O3202" s="7" t="s">
        <v>27</v>
      </c>
      <c r="P3202" s="7" t="s">
        <v>5101</v>
      </c>
      <c r="Q3202" s="26">
        <v>47</v>
      </c>
      <c r="R3202" s="26">
        <v>2</v>
      </c>
      <c r="S3202" s="40">
        <v>1</v>
      </c>
      <c r="T3202" s="7"/>
      <c r="U3202" s="7" t="s">
        <v>2951</v>
      </c>
      <c r="V3202" s="7" t="str">
        <f>+IF(U3202="","",IF(U3202="FINES",CONCATENATE("R",IF(OR(B3202="16",B3202="21",B3202="22",B3202="23"),"16212223",IF(OR(B3202="15",B3202="17",B3202="24",B3202="25"),"15172425",B3202))),IF(U3202="CEBAS","UNICO",IF(VALUE(B3202)&lt;=11,"AMBA","INTERIOR"))))</f>
        <v>R11</v>
      </c>
      <c r="W3202" s="38" t="str">
        <f>+IF(U3202="","-",CONCATENATE(U3202,"_",V3202))</f>
        <v>FINES_R11</v>
      </c>
      <c r="X3202" s="42">
        <v>0.83499999999999996</v>
      </c>
    </row>
    <row r="3203" spans="1:24">
      <c r="A3203" s="21" t="s">
        <v>5100</v>
      </c>
      <c r="B3203" t="s">
        <v>222</v>
      </c>
      <c r="C3203" t="s">
        <v>2047</v>
      </c>
      <c r="D3203" t="s">
        <v>2048</v>
      </c>
      <c r="E3203" s="7" t="s">
        <v>198</v>
      </c>
      <c r="F3203" s="7" t="s">
        <v>198</v>
      </c>
      <c r="G3203" s="7" t="s">
        <v>198</v>
      </c>
      <c r="H3203" s="7" t="s">
        <v>20</v>
      </c>
      <c r="I3203" s="7" t="s">
        <v>5102</v>
      </c>
      <c r="J3203" s="7" t="s">
        <v>21</v>
      </c>
      <c r="L3203" t="s">
        <v>4447</v>
      </c>
      <c r="M3203" s="7" t="s">
        <v>22</v>
      </c>
      <c r="N3203" s="7" t="s">
        <v>23</v>
      </c>
      <c r="O3203" s="7" t="s">
        <v>27</v>
      </c>
      <c r="P3203" s="7" t="s">
        <v>5101</v>
      </c>
      <c r="Q3203" s="26">
        <v>50</v>
      </c>
      <c r="R3203" s="26">
        <v>2</v>
      </c>
      <c r="S3203" s="40">
        <v>1</v>
      </c>
      <c r="T3203" s="7"/>
      <c r="U3203" s="7" t="s">
        <v>2951</v>
      </c>
      <c r="V3203" s="7" t="str">
        <f>+IF(U3203="","",IF(U3203="FINES",CONCATENATE("R",IF(OR(B3203="16",B3203="21",B3203="22",B3203="23"),"16212223",IF(OR(B3203="15",B3203="17",B3203="24",B3203="25"),"15172425",B3203))),IF(U3203="CEBAS","UNICO",IF(VALUE(B3203)&lt;=11,"AMBA","INTERIOR"))))</f>
        <v>R11</v>
      </c>
      <c r="W3203" s="38" t="str">
        <f>+IF(U3203="","-",CONCATENATE(U3203,"_",V3203))</f>
        <v>FINES_R11</v>
      </c>
      <c r="X3203" s="42">
        <v>0.84099999999999997</v>
      </c>
    </row>
    <row r="3204" spans="1:24">
      <c r="A3204" s="21" t="s">
        <v>5100</v>
      </c>
      <c r="B3204" t="s">
        <v>222</v>
      </c>
      <c r="C3204" t="s">
        <v>227</v>
      </c>
      <c r="D3204" t="s">
        <v>2603</v>
      </c>
      <c r="E3204" s="7" t="s">
        <v>198</v>
      </c>
      <c r="F3204" s="7" t="s">
        <v>198</v>
      </c>
      <c r="G3204" s="7" t="s">
        <v>198</v>
      </c>
      <c r="H3204" s="7" t="s">
        <v>20</v>
      </c>
      <c r="I3204" s="7" t="s">
        <v>5102</v>
      </c>
      <c r="J3204" s="7" t="s">
        <v>21</v>
      </c>
      <c r="L3204" t="s">
        <v>4424</v>
      </c>
      <c r="M3204" s="7" t="s">
        <v>22</v>
      </c>
      <c r="N3204" s="7" t="s">
        <v>23</v>
      </c>
      <c r="O3204" s="7" t="s">
        <v>27</v>
      </c>
      <c r="P3204" s="7" t="s">
        <v>5101</v>
      </c>
      <c r="Q3204" s="26">
        <v>36</v>
      </c>
      <c r="R3204" s="26">
        <v>2</v>
      </c>
      <c r="S3204" s="40">
        <v>1</v>
      </c>
      <c r="T3204" s="7"/>
      <c r="U3204" s="7" t="s">
        <v>2951</v>
      </c>
      <c r="V3204" s="7" t="str">
        <f>+IF(U3204="","",IF(U3204="FINES",CONCATENATE("R",IF(OR(B3204="16",B3204="21",B3204="22",B3204="23"),"16212223",IF(OR(B3204="15",B3204="17",B3204="24",B3204="25"),"15172425",B3204))),IF(U3204="CEBAS","UNICO",IF(VALUE(B3204)&lt;=11,"AMBA","INTERIOR"))))</f>
        <v>R11</v>
      </c>
      <c r="W3204" s="38" t="str">
        <f>+IF(U3204="","-",CONCATENATE(U3204,"_",V3204))</f>
        <v>FINES_R11</v>
      </c>
      <c r="X3204" s="42">
        <v>0.84099999999999997</v>
      </c>
    </row>
    <row r="3205" spans="1:24">
      <c r="A3205" s="21" t="s">
        <v>5100</v>
      </c>
      <c r="B3205" t="s">
        <v>222</v>
      </c>
      <c r="C3205" t="s">
        <v>227</v>
      </c>
      <c r="D3205" t="s">
        <v>2603</v>
      </c>
      <c r="E3205" s="7" t="s">
        <v>198</v>
      </c>
      <c r="F3205" s="7" t="s">
        <v>198</v>
      </c>
      <c r="G3205" s="7" t="s">
        <v>198</v>
      </c>
      <c r="H3205" s="7" t="s">
        <v>20</v>
      </c>
      <c r="I3205" s="7" t="s">
        <v>5102</v>
      </c>
      <c r="J3205" s="7" t="s">
        <v>21</v>
      </c>
      <c r="L3205" t="s">
        <v>4430</v>
      </c>
      <c r="M3205" s="7" t="s">
        <v>22</v>
      </c>
      <c r="N3205" s="7" t="s">
        <v>23</v>
      </c>
      <c r="O3205" s="7" t="s">
        <v>27</v>
      </c>
      <c r="P3205" s="7" t="s">
        <v>5101</v>
      </c>
      <c r="Q3205" s="26">
        <v>150</v>
      </c>
      <c r="R3205" s="26">
        <v>5</v>
      </c>
      <c r="S3205" s="40">
        <v>1</v>
      </c>
      <c r="T3205" s="7"/>
      <c r="U3205" s="7" t="s">
        <v>2951</v>
      </c>
      <c r="V3205" s="7" t="str">
        <f>+IF(U3205="","",IF(U3205="FINES",CONCATENATE("R",IF(OR(B3205="16",B3205="21",B3205="22",B3205="23"),"16212223",IF(OR(B3205="15",B3205="17",B3205="24",B3205="25"),"15172425",B3205))),IF(U3205="CEBAS","UNICO",IF(VALUE(B3205)&lt;=11,"AMBA","INTERIOR"))))</f>
        <v>R11</v>
      </c>
      <c r="W3205" s="38" t="str">
        <f>+IF(U3205="","-",CONCATENATE(U3205,"_",V3205))</f>
        <v>FINES_R11</v>
      </c>
      <c r="X3205" s="42">
        <v>0.85099999999999998</v>
      </c>
    </row>
    <row r="3206" spans="1:24">
      <c r="A3206" s="21" t="s">
        <v>5100</v>
      </c>
      <c r="B3206" t="s">
        <v>222</v>
      </c>
      <c r="C3206" t="s">
        <v>2047</v>
      </c>
      <c r="D3206" t="s">
        <v>2048</v>
      </c>
      <c r="E3206" s="7" t="s">
        <v>198</v>
      </c>
      <c r="F3206" s="7" t="s">
        <v>198</v>
      </c>
      <c r="G3206" s="7" t="s">
        <v>198</v>
      </c>
      <c r="H3206" s="7" t="s">
        <v>20</v>
      </c>
      <c r="I3206" s="7" t="s">
        <v>5102</v>
      </c>
      <c r="J3206" s="7" t="s">
        <v>21</v>
      </c>
      <c r="L3206" t="s">
        <v>4462</v>
      </c>
      <c r="M3206" s="7" t="s">
        <v>22</v>
      </c>
      <c r="N3206" s="7" t="s">
        <v>23</v>
      </c>
      <c r="O3206" s="7" t="s">
        <v>27</v>
      </c>
      <c r="P3206" s="7" t="s">
        <v>5101</v>
      </c>
      <c r="Q3206" s="26">
        <v>32</v>
      </c>
      <c r="R3206" s="26">
        <v>2</v>
      </c>
      <c r="S3206" s="40">
        <v>1</v>
      </c>
      <c r="T3206" s="7"/>
      <c r="U3206" s="7" t="s">
        <v>2951</v>
      </c>
      <c r="V3206" s="7" t="str">
        <f>+IF(U3206="","",IF(U3206="FINES",CONCATENATE("R",IF(OR(B3206="16",B3206="21",B3206="22",B3206="23"),"16212223",IF(OR(B3206="15",B3206="17",B3206="24",B3206="25"),"15172425",B3206))),IF(U3206="CEBAS","UNICO",IF(VALUE(B3206)&lt;=11,"AMBA","INTERIOR"))))</f>
        <v>R11</v>
      </c>
      <c r="W3206" s="38" t="str">
        <f>+IF(U3206="","-",CONCATENATE(U3206,"_",V3206))</f>
        <v>FINES_R11</v>
      </c>
      <c r="X3206" s="42">
        <v>0.85199999999999998</v>
      </c>
    </row>
    <row r="3207" spans="1:24">
      <c r="A3207" s="21" t="s">
        <v>5100</v>
      </c>
      <c r="B3207" t="s">
        <v>222</v>
      </c>
      <c r="C3207" t="s">
        <v>2047</v>
      </c>
      <c r="D3207" t="s">
        <v>2048</v>
      </c>
      <c r="E3207" s="7" t="s">
        <v>198</v>
      </c>
      <c r="F3207" s="7" t="s">
        <v>198</v>
      </c>
      <c r="G3207" s="7" t="s">
        <v>198</v>
      </c>
      <c r="H3207" s="7" t="s">
        <v>20</v>
      </c>
      <c r="I3207" s="7" t="s">
        <v>5102</v>
      </c>
      <c r="J3207" s="7" t="s">
        <v>21</v>
      </c>
      <c r="L3207" t="s">
        <v>4460</v>
      </c>
      <c r="M3207" s="7" t="s">
        <v>22</v>
      </c>
      <c r="N3207" s="7" t="s">
        <v>23</v>
      </c>
      <c r="O3207" s="7" t="s">
        <v>27</v>
      </c>
      <c r="P3207" s="7" t="s">
        <v>5101</v>
      </c>
      <c r="Q3207" s="26">
        <v>78</v>
      </c>
      <c r="R3207" s="26">
        <v>3</v>
      </c>
      <c r="S3207" s="40">
        <v>1</v>
      </c>
      <c r="T3207" s="7"/>
      <c r="U3207" s="7" t="s">
        <v>2951</v>
      </c>
      <c r="V3207" s="7" t="str">
        <f>+IF(U3207="","",IF(U3207="FINES",CONCATENATE("R",IF(OR(B3207="16",B3207="21",B3207="22",B3207="23"),"16212223",IF(OR(B3207="15",B3207="17",B3207="24",B3207="25"),"15172425",B3207))),IF(U3207="CEBAS","UNICO",IF(VALUE(B3207)&lt;=11,"AMBA","INTERIOR"))))</f>
        <v>R11</v>
      </c>
      <c r="W3207" s="38" t="str">
        <f>+IF(U3207="","-",CONCATENATE(U3207,"_",V3207))</f>
        <v>FINES_R11</v>
      </c>
      <c r="X3207" s="42">
        <v>0.873</v>
      </c>
    </row>
    <row r="3208" spans="1:24">
      <c r="A3208" s="21" t="s">
        <v>5100</v>
      </c>
      <c r="B3208" t="s">
        <v>222</v>
      </c>
      <c r="C3208" t="s">
        <v>2047</v>
      </c>
      <c r="D3208" t="s">
        <v>2048</v>
      </c>
      <c r="E3208" s="7" t="s">
        <v>198</v>
      </c>
      <c r="F3208" s="7" t="s">
        <v>198</v>
      </c>
      <c r="G3208" s="7" t="s">
        <v>198</v>
      </c>
      <c r="H3208" s="7" t="s">
        <v>20</v>
      </c>
      <c r="I3208" s="7" t="s">
        <v>5102</v>
      </c>
      <c r="J3208" s="7" t="s">
        <v>21</v>
      </c>
      <c r="L3208" t="s">
        <v>4474</v>
      </c>
      <c r="M3208" s="7" t="s">
        <v>22</v>
      </c>
      <c r="N3208" s="7" t="s">
        <v>23</v>
      </c>
      <c r="O3208" s="7" t="s">
        <v>27</v>
      </c>
      <c r="P3208" s="7" t="s">
        <v>5101</v>
      </c>
      <c r="Q3208" s="26">
        <v>107</v>
      </c>
      <c r="R3208" s="26">
        <v>4</v>
      </c>
      <c r="S3208" s="40">
        <v>1</v>
      </c>
      <c r="T3208" s="7"/>
      <c r="U3208" s="7" t="s">
        <v>2951</v>
      </c>
      <c r="V3208" s="7" t="str">
        <f>+IF(U3208="","",IF(U3208="FINES",CONCATENATE("R",IF(OR(B3208="16",B3208="21",B3208="22",B3208="23"),"16212223",IF(OR(B3208="15",B3208="17",B3208="24",B3208="25"),"15172425",B3208))),IF(U3208="CEBAS","UNICO",IF(VALUE(B3208)&lt;=11,"AMBA","INTERIOR"))))</f>
        <v>R11</v>
      </c>
      <c r="W3208" s="38" t="str">
        <f>+IF(U3208="","-",CONCATENATE(U3208,"_",V3208))</f>
        <v>FINES_R11</v>
      </c>
      <c r="X3208" s="42">
        <v>0.88</v>
      </c>
    </row>
    <row r="3209" spans="1:24">
      <c r="A3209" s="21" t="s">
        <v>5100</v>
      </c>
      <c r="B3209" t="s">
        <v>222</v>
      </c>
      <c r="C3209" t="s">
        <v>610</v>
      </c>
      <c r="D3209" t="s">
        <v>611</v>
      </c>
      <c r="E3209" s="7" t="s">
        <v>198</v>
      </c>
      <c r="F3209" s="7" t="s">
        <v>198</v>
      </c>
      <c r="G3209" s="7" t="s">
        <v>198</v>
      </c>
      <c r="H3209" s="7" t="s">
        <v>20</v>
      </c>
      <c r="I3209" s="7" t="s">
        <v>5102</v>
      </c>
      <c r="J3209" s="7" t="s">
        <v>21</v>
      </c>
      <c r="L3209" t="s">
        <v>4420</v>
      </c>
      <c r="M3209" s="7" t="s">
        <v>22</v>
      </c>
      <c r="N3209" s="7" t="s">
        <v>23</v>
      </c>
      <c r="O3209" s="7" t="s">
        <v>27</v>
      </c>
      <c r="P3209" s="7" t="s">
        <v>5101</v>
      </c>
      <c r="Q3209" s="26">
        <v>16</v>
      </c>
      <c r="R3209" s="26">
        <v>1</v>
      </c>
      <c r="S3209" s="40">
        <v>1</v>
      </c>
      <c r="T3209" s="7"/>
      <c r="U3209" s="7" t="s">
        <v>2951</v>
      </c>
      <c r="V3209" s="7" t="str">
        <f>+IF(U3209="","",IF(U3209="FINES",CONCATENATE("R",IF(OR(B3209="16",B3209="21",B3209="22",B3209="23"),"16212223",IF(OR(B3209="15",B3209="17",B3209="24",B3209="25"),"15172425",B3209))),IF(U3209="CEBAS","UNICO",IF(VALUE(B3209)&lt;=11,"AMBA","INTERIOR"))))</f>
        <v>R11</v>
      </c>
      <c r="W3209" s="38" t="str">
        <f>+IF(U3209="","-",CONCATENATE(U3209,"_",V3209))</f>
        <v>FINES_R11</v>
      </c>
      <c r="X3209" s="42">
        <v>0.89500000000000002</v>
      </c>
    </row>
    <row r="3210" spans="1:24">
      <c r="A3210" s="21" t="s">
        <v>5100</v>
      </c>
      <c r="B3210" t="s">
        <v>222</v>
      </c>
      <c r="C3210" t="s">
        <v>1154</v>
      </c>
      <c r="D3210" t="s">
        <v>1155</v>
      </c>
      <c r="E3210" s="7" t="s">
        <v>198</v>
      </c>
      <c r="F3210" s="7" t="s">
        <v>198</v>
      </c>
      <c r="G3210" s="7" t="s">
        <v>198</v>
      </c>
      <c r="H3210" s="7" t="s">
        <v>20</v>
      </c>
      <c r="I3210" s="7" t="s">
        <v>5102</v>
      </c>
      <c r="J3210" s="7" t="s">
        <v>21</v>
      </c>
      <c r="L3210" t="s">
        <v>4319</v>
      </c>
      <c r="M3210" s="7" t="s">
        <v>22</v>
      </c>
      <c r="N3210" s="7" t="s">
        <v>23</v>
      </c>
      <c r="O3210" s="7" t="s">
        <v>27</v>
      </c>
      <c r="P3210" s="7" t="s">
        <v>5101</v>
      </c>
      <c r="Q3210" s="26">
        <v>121</v>
      </c>
      <c r="R3210" s="26">
        <v>4</v>
      </c>
      <c r="S3210" s="40">
        <v>1</v>
      </c>
      <c r="T3210" s="7"/>
      <c r="U3210" s="7" t="s">
        <v>2951</v>
      </c>
      <c r="V3210" s="7" t="str">
        <f>+IF(U3210="","",IF(U3210="FINES",CONCATENATE("R",IF(OR(B3210="16",B3210="21",B3210="22",B3210="23"),"16212223",IF(OR(B3210="15",B3210="17",B3210="24",B3210="25"),"15172425",B3210))),IF(U3210="CEBAS","UNICO",IF(VALUE(B3210)&lt;=11,"AMBA","INTERIOR"))))</f>
        <v>R11</v>
      </c>
      <c r="W3210" s="38" t="str">
        <f>+IF(U3210="","-",CONCATENATE(U3210,"_",V3210))</f>
        <v>FINES_R11</v>
      </c>
      <c r="X3210" s="42">
        <v>0.91200000000000003</v>
      </c>
    </row>
    <row r="3211" spans="1:24">
      <c r="A3211" s="21" t="s">
        <v>5100</v>
      </c>
      <c r="B3211" t="s">
        <v>222</v>
      </c>
      <c r="C3211" t="s">
        <v>2047</v>
      </c>
      <c r="D3211" t="s">
        <v>2048</v>
      </c>
      <c r="E3211" s="7" t="s">
        <v>198</v>
      </c>
      <c r="F3211" s="7" t="s">
        <v>198</v>
      </c>
      <c r="G3211" s="7" t="s">
        <v>198</v>
      </c>
      <c r="H3211" s="7" t="s">
        <v>20</v>
      </c>
      <c r="I3211" s="7" t="s">
        <v>5102</v>
      </c>
      <c r="J3211" s="7" t="s">
        <v>21</v>
      </c>
      <c r="L3211" t="s">
        <v>4471</v>
      </c>
      <c r="M3211" s="7" t="s">
        <v>22</v>
      </c>
      <c r="N3211" s="7" t="s">
        <v>23</v>
      </c>
      <c r="O3211" s="7" t="s">
        <v>27</v>
      </c>
      <c r="P3211" s="7" t="s">
        <v>5101</v>
      </c>
      <c r="Q3211" s="26">
        <v>72</v>
      </c>
      <c r="R3211" s="26">
        <v>2</v>
      </c>
      <c r="S3211" s="40">
        <v>1</v>
      </c>
      <c r="T3211" s="7"/>
      <c r="U3211" s="7" t="s">
        <v>2951</v>
      </c>
      <c r="V3211" s="7" t="str">
        <f>+IF(U3211="","",IF(U3211="FINES",CONCATENATE("R",IF(OR(B3211="16",B3211="21",B3211="22",B3211="23"),"16212223",IF(OR(B3211="15",B3211="17",B3211="24",B3211="25"),"15172425",B3211))),IF(U3211="CEBAS","UNICO",IF(VALUE(B3211)&lt;=11,"AMBA","INTERIOR"))))</f>
        <v>R11</v>
      </c>
      <c r="W3211" s="38" t="str">
        <f>+IF(U3211="","-",CONCATENATE(U3211,"_",V3211))</f>
        <v>FINES_R11</v>
      </c>
      <c r="X3211" s="42">
        <v>0.91400000000000003</v>
      </c>
    </row>
    <row r="3212" spans="1:24">
      <c r="A3212" s="21" t="s">
        <v>5100</v>
      </c>
      <c r="B3212" t="s">
        <v>222</v>
      </c>
      <c r="C3212" t="s">
        <v>2047</v>
      </c>
      <c r="D3212" t="s">
        <v>2048</v>
      </c>
      <c r="E3212" s="7" t="s">
        <v>198</v>
      </c>
      <c r="F3212" s="7" t="s">
        <v>198</v>
      </c>
      <c r="G3212" s="7" t="s">
        <v>198</v>
      </c>
      <c r="H3212" s="7" t="s">
        <v>20</v>
      </c>
      <c r="I3212" s="7" t="s">
        <v>5102</v>
      </c>
      <c r="J3212" s="7" t="s">
        <v>21</v>
      </c>
      <c r="L3212" t="s">
        <v>4486</v>
      </c>
      <c r="M3212" s="7" t="s">
        <v>22</v>
      </c>
      <c r="N3212" s="7" t="s">
        <v>23</v>
      </c>
      <c r="O3212" s="7" t="s">
        <v>27</v>
      </c>
      <c r="P3212" s="7" t="s">
        <v>5101</v>
      </c>
      <c r="Q3212" s="26">
        <v>12</v>
      </c>
      <c r="R3212" s="26">
        <v>1</v>
      </c>
      <c r="S3212" s="40">
        <v>1</v>
      </c>
      <c r="T3212" s="7"/>
      <c r="U3212" s="7" t="s">
        <v>2951</v>
      </c>
      <c r="V3212" s="7" t="str">
        <f>+IF(U3212="","",IF(U3212="FINES",CONCATENATE("R",IF(OR(B3212="16",B3212="21",B3212="22",B3212="23"),"16212223",IF(OR(B3212="15",B3212="17",B3212="24",B3212="25"),"15172425",B3212))),IF(U3212="CEBAS","UNICO",IF(VALUE(B3212)&lt;=11,"AMBA","INTERIOR"))))</f>
        <v>R11</v>
      </c>
      <c r="W3212" s="38" t="str">
        <f>+IF(U3212="","-",CONCATENATE(U3212,"_",V3212))</f>
        <v>FINES_R11</v>
      </c>
      <c r="X3212" s="42">
        <v>0.91500000000000004</v>
      </c>
    </row>
    <row r="3213" spans="1:24">
      <c r="A3213" s="21" t="s">
        <v>5100</v>
      </c>
      <c r="B3213" t="s">
        <v>222</v>
      </c>
      <c r="C3213" t="s">
        <v>2047</v>
      </c>
      <c r="D3213" t="s">
        <v>2048</v>
      </c>
      <c r="E3213" s="7" t="s">
        <v>198</v>
      </c>
      <c r="F3213" s="7" t="s">
        <v>198</v>
      </c>
      <c r="G3213" s="7" t="s">
        <v>198</v>
      </c>
      <c r="H3213" s="7" t="s">
        <v>20</v>
      </c>
      <c r="I3213" s="7" t="s">
        <v>5102</v>
      </c>
      <c r="J3213" s="7" t="s">
        <v>21</v>
      </c>
      <c r="L3213" t="s">
        <v>4466</v>
      </c>
      <c r="M3213" s="7" t="s">
        <v>22</v>
      </c>
      <c r="N3213" s="7" t="s">
        <v>23</v>
      </c>
      <c r="O3213" s="7" t="s">
        <v>27</v>
      </c>
      <c r="P3213" s="7" t="s">
        <v>5101</v>
      </c>
      <c r="Q3213" s="26">
        <v>132</v>
      </c>
      <c r="R3213" s="26">
        <v>5</v>
      </c>
      <c r="S3213" s="40">
        <v>1</v>
      </c>
      <c r="T3213" s="7"/>
      <c r="U3213" s="7" t="s">
        <v>2951</v>
      </c>
      <c r="V3213" s="7" t="str">
        <f>+IF(U3213="","",IF(U3213="FINES",CONCATENATE("R",IF(OR(B3213="16",B3213="21",B3213="22",B3213="23"),"16212223",IF(OR(B3213="15",B3213="17",B3213="24",B3213="25"),"15172425",B3213))),IF(U3213="CEBAS","UNICO",IF(VALUE(B3213)&lt;=11,"AMBA","INTERIOR"))))</f>
        <v>R11</v>
      </c>
      <c r="W3213" s="38" t="str">
        <f>+IF(U3213="","-",CONCATENATE(U3213,"_",V3213))</f>
        <v>FINES_R11</v>
      </c>
      <c r="X3213" s="42">
        <v>0.92500000000000004</v>
      </c>
    </row>
    <row r="3214" spans="1:24">
      <c r="A3214" s="21" t="s">
        <v>5100</v>
      </c>
      <c r="B3214" t="s">
        <v>222</v>
      </c>
      <c r="C3214" t="s">
        <v>1154</v>
      </c>
      <c r="D3214" t="s">
        <v>1155</v>
      </c>
      <c r="E3214" s="7" t="s">
        <v>198</v>
      </c>
      <c r="F3214" s="7" t="s">
        <v>198</v>
      </c>
      <c r="G3214" s="7" t="s">
        <v>198</v>
      </c>
      <c r="H3214" s="7" t="s">
        <v>20</v>
      </c>
      <c r="I3214" s="7" t="s">
        <v>5102</v>
      </c>
      <c r="J3214" s="7" t="s">
        <v>21</v>
      </c>
      <c r="L3214" t="s">
        <v>3883</v>
      </c>
      <c r="M3214" s="7" t="s">
        <v>22</v>
      </c>
      <c r="N3214" s="7" t="s">
        <v>23</v>
      </c>
      <c r="O3214" s="7" t="s">
        <v>27</v>
      </c>
      <c r="P3214" s="7" t="s">
        <v>5101</v>
      </c>
      <c r="Q3214" s="26">
        <v>59</v>
      </c>
      <c r="R3214" s="26">
        <v>2</v>
      </c>
      <c r="S3214" s="40">
        <v>1</v>
      </c>
      <c r="T3214" s="7"/>
      <c r="U3214" s="7" t="s">
        <v>2951</v>
      </c>
      <c r="V3214" s="7" t="str">
        <f>+IF(U3214="","",IF(U3214="FINES",CONCATENATE("R",IF(OR(B3214="16",B3214="21",B3214="22",B3214="23"),"16212223",IF(OR(B3214="15",B3214="17",B3214="24",B3214="25"),"15172425",B3214))),IF(U3214="CEBAS","UNICO",IF(VALUE(B3214)&lt;=11,"AMBA","INTERIOR"))))</f>
        <v>R11</v>
      </c>
      <c r="W3214" s="38" t="str">
        <f>+IF(U3214="","-",CONCATENATE(U3214,"_",V3214))</f>
        <v>FINES_R11</v>
      </c>
      <c r="X3214" s="42">
        <v>0.96199999999999997</v>
      </c>
    </row>
    <row r="3215" spans="1:24">
      <c r="A3215" s="21" t="s">
        <v>5100</v>
      </c>
      <c r="B3215" t="s">
        <v>222</v>
      </c>
      <c r="C3215" t="s">
        <v>2047</v>
      </c>
      <c r="D3215" t="s">
        <v>2048</v>
      </c>
      <c r="E3215" s="7" t="s">
        <v>198</v>
      </c>
      <c r="F3215" s="7" t="s">
        <v>198</v>
      </c>
      <c r="G3215" s="7" t="s">
        <v>198</v>
      </c>
      <c r="H3215" s="7" t="s">
        <v>20</v>
      </c>
      <c r="I3215" s="7" t="s">
        <v>5102</v>
      </c>
      <c r="J3215" s="7" t="s">
        <v>21</v>
      </c>
      <c r="L3215" t="s">
        <v>4478</v>
      </c>
      <c r="M3215" s="7" t="s">
        <v>22</v>
      </c>
      <c r="N3215" s="7" t="s">
        <v>23</v>
      </c>
      <c r="O3215" s="7" t="s">
        <v>27</v>
      </c>
      <c r="P3215" s="7" t="s">
        <v>5101</v>
      </c>
      <c r="Q3215" s="26">
        <v>26</v>
      </c>
      <c r="R3215" s="26">
        <v>1</v>
      </c>
      <c r="S3215" s="40">
        <v>1</v>
      </c>
      <c r="T3215" s="7"/>
      <c r="U3215" s="7" t="s">
        <v>2951</v>
      </c>
      <c r="V3215" s="7" t="str">
        <f>+IF(U3215="","",IF(U3215="FINES",CONCATENATE("R",IF(OR(B3215="16",B3215="21",B3215="22",B3215="23"),"16212223",IF(OR(B3215="15",B3215="17",B3215="24",B3215="25"),"15172425",B3215))),IF(U3215="CEBAS","UNICO",IF(VALUE(B3215)&lt;=11,"AMBA","INTERIOR"))))</f>
        <v>R11</v>
      </c>
      <c r="W3215" s="38" t="str">
        <f>+IF(U3215="","-",CONCATENATE(U3215,"_",V3215))</f>
        <v>FINES_R11</v>
      </c>
      <c r="X3215" s="42">
        <v>0.96599999999999997</v>
      </c>
    </row>
    <row r="3216" spans="1:24">
      <c r="A3216" s="21" t="s">
        <v>5100</v>
      </c>
      <c r="B3216" t="s">
        <v>222</v>
      </c>
      <c r="C3216" t="s">
        <v>2047</v>
      </c>
      <c r="D3216" t="s">
        <v>2048</v>
      </c>
      <c r="E3216" s="7" t="s">
        <v>198</v>
      </c>
      <c r="F3216" s="7" t="s">
        <v>198</v>
      </c>
      <c r="G3216" s="7" t="s">
        <v>198</v>
      </c>
      <c r="H3216" s="7" t="s">
        <v>20</v>
      </c>
      <c r="I3216" s="7" t="s">
        <v>5102</v>
      </c>
      <c r="J3216" s="7" t="s">
        <v>21</v>
      </c>
      <c r="L3216" t="s">
        <v>4473</v>
      </c>
      <c r="M3216" s="7" t="s">
        <v>22</v>
      </c>
      <c r="N3216" s="7" t="s">
        <v>23</v>
      </c>
      <c r="O3216" s="7" t="s">
        <v>27</v>
      </c>
      <c r="P3216" s="7" t="s">
        <v>5101</v>
      </c>
      <c r="Q3216" s="26">
        <v>98</v>
      </c>
      <c r="R3216" s="26">
        <v>3</v>
      </c>
      <c r="S3216" s="40">
        <v>1</v>
      </c>
      <c r="T3216" s="7"/>
      <c r="U3216" s="7" t="s">
        <v>2951</v>
      </c>
      <c r="V3216" s="7" t="str">
        <f>+IF(U3216="","",IF(U3216="FINES",CONCATENATE("R",IF(OR(B3216="16",B3216="21",B3216="22",B3216="23"),"16212223",IF(OR(B3216="15",B3216="17",B3216="24",B3216="25"),"15172425",B3216))),IF(U3216="CEBAS","UNICO",IF(VALUE(B3216)&lt;=11,"AMBA","INTERIOR"))))</f>
        <v>R11</v>
      </c>
      <c r="W3216" s="38" t="str">
        <f>+IF(U3216="","-",CONCATENATE(U3216,"_",V3216))</f>
        <v>FINES_R11</v>
      </c>
      <c r="X3216" s="42">
        <v>0.96699999999999997</v>
      </c>
    </row>
    <row r="3217" spans="1:24">
      <c r="A3217" s="21" t="s">
        <v>5100</v>
      </c>
      <c r="B3217" t="s">
        <v>222</v>
      </c>
      <c r="C3217" t="s">
        <v>1154</v>
      </c>
      <c r="D3217" t="s">
        <v>1155</v>
      </c>
      <c r="E3217" s="7" t="s">
        <v>198</v>
      </c>
      <c r="F3217" s="7" t="s">
        <v>198</v>
      </c>
      <c r="G3217" s="7" t="s">
        <v>198</v>
      </c>
      <c r="H3217" s="7" t="s">
        <v>20</v>
      </c>
      <c r="I3217" s="7" t="s">
        <v>5102</v>
      </c>
      <c r="J3217" s="7" t="s">
        <v>21</v>
      </c>
      <c r="L3217" t="s">
        <v>4503</v>
      </c>
      <c r="M3217" s="7" t="s">
        <v>22</v>
      </c>
      <c r="N3217" s="7" t="s">
        <v>23</v>
      </c>
      <c r="O3217" s="7" t="s">
        <v>27</v>
      </c>
      <c r="P3217" s="7" t="s">
        <v>5101</v>
      </c>
      <c r="Q3217" s="26">
        <v>10</v>
      </c>
      <c r="R3217" s="26">
        <v>1</v>
      </c>
      <c r="S3217" s="40">
        <v>1</v>
      </c>
      <c r="T3217" s="7"/>
      <c r="U3217" s="7" t="s">
        <v>2951</v>
      </c>
      <c r="V3217" s="7" t="str">
        <f>+IF(U3217="","",IF(U3217="FINES",CONCATENATE("R",IF(OR(B3217="16",B3217="21",B3217="22",B3217="23"),"16212223",IF(OR(B3217="15",B3217="17",B3217="24",B3217="25"),"15172425",B3217))),IF(U3217="CEBAS","UNICO",IF(VALUE(B3217)&lt;=11,"AMBA","INTERIOR"))))</f>
        <v>R11</v>
      </c>
      <c r="W3217" s="38" t="str">
        <f>+IF(U3217="","-",CONCATENATE(U3217,"_",V3217))</f>
        <v>FINES_R11</v>
      </c>
      <c r="X3217" s="42">
        <v>0.96699999999999997</v>
      </c>
    </row>
    <row r="3218" spans="1:24">
      <c r="A3218" s="21" t="s">
        <v>5100</v>
      </c>
      <c r="B3218" t="s">
        <v>222</v>
      </c>
      <c r="C3218" t="s">
        <v>2047</v>
      </c>
      <c r="D3218" t="s">
        <v>2048</v>
      </c>
      <c r="E3218" s="7" t="s">
        <v>198</v>
      </c>
      <c r="F3218" s="7" t="s">
        <v>198</v>
      </c>
      <c r="G3218" s="7" t="s">
        <v>198</v>
      </c>
      <c r="H3218" s="7" t="s">
        <v>20</v>
      </c>
      <c r="I3218" s="7" t="s">
        <v>5102</v>
      </c>
      <c r="J3218" s="7" t="s">
        <v>21</v>
      </c>
      <c r="L3218" t="s">
        <v>4487</v>
      </c>
      <c r="M3218" s="7" t="s">
        <v>22</v>
      </c>
      <c r="N3218" s="7" t="s">
        <v>23</v>
      </c>
      <c r="O3218" s="7" t="s">
        <v>27</v>
      </c>
      <c r="P3218" s="7" t="s">
        <v>5101</v>
      </c>
      <c r="Q3218" s="26">
        <v>16</v>
      </c>
      <c r="R3218" s="26">
        <v>1</v>
      </c>
      <c r="S3218" s="40">
        <v>1</v>
      </c>
      <c r="T3218" s="7"/>
      <c r="U3218" s="7" t="s">
        <v>2951</v>
      </c>
      <c r="V3218" s="7" t="str">
        <f>+IF(U3218="","",IF(U3218="FINES",CONCATENATE("R",IF(OR(B3218="16",B3218="21",B3218="22",B3218="23"),"16212223",IF(OR(B3218="15",B3218="17",B3218="24",B3218="25"),"15172425",B3218))),IF(U3218="CEBAS","UNICO",IF(VALUE(B3218)&lt;=11,"AMBA","INTERIOR"))))</f>
        <v>R11</v>
      </c>
      <c r="W3218" s="38" t="str">
        <f>+IF(U3218="","-",CONCATENATE(U3218,"_",V3218))</f>
        <v>FINES_R11</v>
      </c>
      <c r="X3218" s="42">
        <v>0.97499999999999998</v>
      </c>
    </row>
    <row r="3219" spans="1:24">
      <c r="A3219" s="21" t="s">
        <v>5100</v>
      </c>
      <c r="B3219" t="s">
        <v>222</v>
      </c>
      <c r="C3219" t="s">
        <v>807</v>
      </c>
      <c r="D3219" t="s">
        <v>808</v>
      </c>
      <c r="E3219" s="7" t="s">
        <v>198</v>
      </c>
      <c r="F3219" s="7" t="s">
        <v>198</v>
      </c>
      <c r="G3219" s="7" t="s">
        <v>198</v>
      </c>
      <c r="H3219" s="7" t="s">
        <v>20</v>
      </c>
      <c r="I3219" s="7" t="s">
        <v>5102</v>
      </c>
      <c r="J3219" s="7" t="s">
        <v>21</v>
      </c>
      <c r="L3219" t="s">
        <v>4445</v>
      </c>
      <c r="M3219" s="7" t="s">
        <v>22</v>
      </c>
      <c r="N3219" s="7" t="s">
        <v>23</v>
      </c>
      <c r="O3219" s="7" t="s">
        <v>27</v>
      </c>
      <c r="P3219" s="7" t="s">
        <v>5101</v>
      </c>
      <c r="Q3219" s="26">
        <v>73</v>
      </c>
      <c r="R3219" s="26">
        <v>3</v>
      </c>
      <c r="S3219" s="40">
        <v>1</v>
      </c>
      <c r="T3219" s="7"/>
      <c r="U3219" s="7" t="s">
        <v>2951</v>
      </c>
      <c r="V3219" s="7" t="str">
        <f>+IF(U3219="","",IF(U3219="FINES",CONCATENATE("R",IF(OR(B3219="16",B3219="21",B3219="22",B3219="23"),"16212223",IF(OR(B3219="15",B3219="17",B3219="24",B3219="25"),"15172425",B3219))),IF(U3219="CEBAS","UNICO",IF(VALUE(B3219)&lt;=11,"AMBA","INTERIOR"))))</f>
        <v>R11</v>
      </c>
      <c r="W3219" s="38" t="str">
        <f>+IF(U3219="","-",CONCATENATE(U3219,"_",V3219))</f>
        <v>FINES_R11</v>
      </c>
      <c r="X3219" s="42">
        <v>0.98</v>
      </c>
    </row>
    <row r="3220" spans="1:24">
      <c r="A3220" s="21" t="s">
        <v>5100</v>
      </c>
      <c r="B3220" t="s">
        <v>222</v>
      </c>
      <c r="C3220" t="s">
        <v>807</v>
      </c>
      <c r="D3220" t="s">
        <v>808</v>
      </c>
      <c r="E3220" s="7" t="s">
        <v>198</v>
      </c>
      <c r="F3220" s="7" t="s">
        <v>198</v>
      </c>
      <c r="G3220" s="7" t="s">
        <v>198</v>
      </c>
      <c r="H3220" s="7" t="s">
        <v>20</v>
      </c>
      <c r="I3220" s="7" t="s">
        <v>5102</v>
      </c>
      <c r="J3220" s="7" t="s">
        <v>21</v>
      </c>
      <c r="L3220" t="s">
        <v>3904</v>
      </c>
      <c r="M3220" s="7" t="s">
        <v>22</v>
      </c>
      <c r="N3220" s="7" t="s">
        <v>23</v>
      </c>
      <c r="O3220" s="7" t="s">
        <v>27</v>
      </c>
      <c r="P3220" s="7" t="s">
        <v>5101</v>
      </c>
      <c r="Q3220" s="26">
        <v>86</v>
      </c>
      <c r="R3220" s="26">
        <v>3</v>
      </c>
      <c r="S3220" s="40">
        <v>1</v>
      </c>
      <c r="T3220" s="7"/>
      <c r="U3220" s="7" t="s">
        <v>2951</v>
      </c>
      <c r="V3220" s="7" t="str">
        <f>+IF(U3220="","",IF(U3220="FINES",CONCATENATE("R",IF(OR(B3220="16",B3220="21",B3220="22",B3220="23"),"16212223",IF(OR(B3220="15",B3220="17",B3220="24",B3220="25"),"15172425",B3220))),IF(U3220="CEBAS","UNICO",IF(VALUE(B3220)&lt;=11,"AMBA","INTERIOR"))))</f>
        <v>R11</v>
      </c>
      <c r="W3220" s="38" t="str">
        <f>+IF(U3220="","-",CONCATENATE(U3220,"_",V3220))</f>
        <v>FINES_R11</v>
      </c>
      <c r="X3220" s="42">
        <v>0.98399999999999999</v>
      </c>
    </row>
    <row r="3221" spans="1:24">
      <c r="A3221" s="21" t="s">
        <v>5100</v>
      </c>
      <c r="B3221" t="s">
        <v>222</v>
      </c>
      <c r="C3221" t="s">
        <v>2047</v>
      </c>
      <c r="D3221" t="s">
        <v>2048</v>
      </c>
      <c r="E3221" s="7" t="s">
        <v>198</v>
      </c>
      <c r="F3221" s="7" t="s">
        <v>198</v>
      </c>
      <c r="G3221" s="7" t="s">
        <v>198</v>
      </c>
      <c r="H3221" s="7" t="s">
        <v>20</v>
      </c>
      <c r="I3221" s="7" t="s">
        <v>5102</v>
      </c>
      <c r="J3221" s="7" t="s">
        <v>21</v>
      </c>
      <c r="L3221" t="s">
        <v>4477</v>
      </c>
      <c r="M3221" s="7" t="s">
        <v>22</v>
      </c>
      <c r="N3221" s="7" t="s">
        <v>23</v>
      </c>
      <c r="O3221" s="7" t="s">
        <v>27</v>
      </c>
      <c r="P3221" s="7" t="s">
        <v>5101</v>
      </c>
      <c r="Q3221" s="26">
        <v>16</v>
      </c>
      <c r="R3221" s="26">
        <v>1</v>
      </c>
      <c r="S3221" s="40">
        <v>1</v>
      </c>
      <c r="T3221" s="7"/>
      <c r="U3221" s="7" t="s">
        <v>2951</v>
      </c>
      <c r="V3221" s="7" t="str">
        <f>+IF(U3221="","",IF(U3221="FINES",CONCATENATE("R",IF(OR(B3221="16",B3221="21",B3221="22",B3221="23"),"16212223",IF(OR(B3221="15",B3221="17",B3221="24",B3221="25"),"15172425",B3221))),IF(U3221="CEBAS","UNICO",IF(VALUE(B3221)&lt;=11,"AMBA","INTERIOR"))))</f>
        <v>R11</v>
      </c>
      <c r="W3221" s="38" t="str">
        <f>+IF(U3221="","-",CONCATENATE(U3221,"_",V3221))</f>
        <v>FINES_R11</v>
      </c>
      <c r="X3221" s="42">
        <v>0.98599999999999999</v>
      </c>
    </row>
    <row r="3222" spans="1:24">
      <c r="A3222" s="21" t="s">
        <v>5100</v>
      </c>
      <c r="B3222" t="s">
        <v>140</v>
      </c>
      <c r="C3222" t="s">
        <v>2322</v>
      </c>
      <c r="D3222" t="s">
        <v>2323</v>
      </c>
      <c r="E3222" s="7" t="s">
        <v>198</v>
      </c>
      <c r="F3222" s="7" t="s">
        <v>198</v>
      </c>
      <c r="G3222" s="7" t="s">
        <v>198</v>
      </c>
      <c r="H3222" s="7" t="s">
        <v>20</v>
      </c>
      <c r="I3222" s="7" t="s">
        <v>5102</v>
      </c>
      <c r="J3222" s="7" t="s">
        <v>21</v>
      </c>
      <c r="L3222" t="s">
        <v>2421</v>
      </c>
      <c r="M3222" s="7" t="s">
        <v>22</v>
      </c>
      <c r="N3222" s="7" t="s">
        <v>23</v>
      </c>
      <c r="O3222" s="7" t="s">
        <v>27</v>
      </c>
      <c r="P3222" s="7" t="s">
        <v>5101</v>
      </c>
      <c r="Q3222" s="26">
        <v>27</v>
      </c>
      <c r="R3222" s="26">
        <v>1</v>
      </c>
      <c r="S3222" s="40">
        <v>1</v>
      </c>
      <c r="T3222" s="7"/>
      <c r="U3222" s="7" t="s">
        <v>2951</v>
      </c>
      <c r="V3222" s="7" t="str">
        <f>+IF(U3222="","",IF(U3222="FINES",CONCATENATE("R",IF(OR(B3222="16",B3222="21",B3222="22",B3222="23"),"16212223",IF(OR(B3222="15",B3222="17",B3222="24",B3222="25"),"15172425",B3222))),IF(U3222="CEBAS","UNICO",IF(VALUE(B3222)&lt;=11,"AMBA","INTERIOR"))))</f>
        <v>R12</v>
      </c>
      <c r="W3222" s="38" t="str">
        <f>+IF(U3222="","-",CONCATENATE(U3222,"_",V3222))</f>
        <v>FINES_R12</v>
      </c>
      <c r="X3222" s="42">
        <v>1.0999999999999999E-2</v>
      </c>
    </row>
    <row r="3223" spans="1:24">
      <c r="A3223" s="21" t="s">
        <v>5100</v>
      </c>
      <c r="B3223" t="s">
        <v>140</v>
      </c>
      <c r="C3223" t="s">
        <v>2149</v>
      </c>
      <c r="D3223" t="s">
        <v>2150</v>
      </c>
      <c r="E3223" s="7" t="s">
        <v>198</v>
      </c>
      <c r="F3223" s="7" t="s">
        <v>198</v>
      </c>
      <c r="G3223" s="7" t="s">
        <v>198</v>
      </c>
      <c r="H3223" s="7" t="s">
        <v>20</v>
      </c>
      <c r="I3223" s="7" t="s">
        <v>5102</v>
      </c>
      <c r="J3223" s="7" t="s">
        <v>21</v>
      </c>
      <c r="L3223" t="s">
        <v>4520</v>
      </c>
      <c r="M3223" s="7" t="s">
        <v>22</v>
      </c>
      <c r="N3223" s="7" t="s">
        <v>23</v>
      </c>
      <c r="O3223" s="7" t="s">
        <v>27</v>
      </c>
      <c r="P3223" s="7" t="s">
        <v>5101</v>
      </c>
      <c r="Q3223" s="26">
        <v>14</v>
      </c>
      <c r="R3223" s="26">
        <v>1</v>
      </c>
      <c r="S3223" s="40">
        <v>1</v>
      </c>
      <c r="T3223" s="7"/>
      <c r="U3223" s="7" t="s">
        <v>2951</v>
      </c>
      <c r="V3223" s="7" t="str">
        <f>+IF(U3223="","",IF(U3223="FINES",CONCATENATE("R",IF(OR(B3223="16",B3223="21",B3223="22",B3223="23"),"16212223",IF(OR(B3223="15",B3223="17",B3223="24",B3223="25"),"15172425",B3223))),IF(U3223="CEBAS","UNICO",IF(VALUE(B3223)&lt;=11,"AMBA","INTERIOR"))))</f>
        <v>R12</v>
      </c>
      <c r="W3223" s="38" t="str">
        <f>+IF(U3223="","-",CONCATENATE(U3223,"_",V3223))</f>
        <v>FINES_R12</v>
      </c>
      <c r="X3223" s="42">
        <v>2.3E-2</v>
      </c>
    </row>
    <row r="3224" spans="1:24">
      <c r="A3224" s="21" t="s">
        <v>5100</v>
      </c>
      <c r="B3224" t="s">
        <v>140</v>
      </c>
      <c r="C3224" t="s">
        <v>2322</v>
      </c>
      <c r="D3224" t="s">
        <v>2323</v>
      </c>
      <c r="E3224" s="7" t="s">
        <v>198</v>
      </c>
      <c r="F3224" s="7" t="s">
        <v>198</v>
      </c>
      <c r="G3224" s="7" t="s">
        <v>198</v>
      </c>
      <c r="H3224" s="7" t="s">
        <v>20</v>
      </c>
      <c r="I3224" s="7" t="s">
        <v>5102</v>
      </c>
      <c r="J3224" s="7" t="s">
        <v>21</v>
      </c>
      <c r="L3224" t="s">
        <v>4549</v>
      </c>
      <c r="M3224" s="7" t="s">
        <v>22</v>
      </c>
      <c r="N3224" s="7" t="s">
        <v>23</v>
      </c>
      <c r="O3224" s="7" t="s">
        <v>27</v>
      </c>
      <c r="P3224" s="7" t="s">
        <v>5101</v>
      </c>
      <c r="Q3224" s="26">
        <v>73</v>
      </c>
      <c r="R3224" s="26">
        <v>3</v>
      </c>
      <c r="S3224" s="40">
        <v>1</v>
      </c>
      <c r="T3224" s="7"/>
      <c r="U3224" s="7" t="s">
        <v>2951</v>
      </c>
      <c r="V3224" s="7" t="str">
        <f>+IF(U3224="","",IF(U3224="FINES",CONCATENATE("R",IF(OR(B3224="16",B3224="21",B3224="22",B3224="23"),"16212223",IF(OR(B3224="15",B3224="17",B3224="24",B3224="25"),"15172425",B3224))),IF(U3224="CEBAS","UNICO",IF(VALUE(B3224)&lt;=11,"AMBA","INTERIOR"))))</f>
        <v>R12</v>
      </c>
      <c r="W3224" s="38" t="str">
        <f>+IF(U3224="","-",CONCATENATE(U3224,"_",V3224))</f>
        <v>FINES_R12</v>
      </c>
      <c r="X3224" s="42">
        <v>4.2000000000000003E-2</v>
      </c>
    </row>
    <row r="3225" spans="1:24">
      <c r="A3225" s="21" t="s">
        <v>5100</v>
      </c>
      <c r="B3225" t="s">
        <v>140</v>
      </c>
      <c r="C3225" t="s">
        <v>2322</v>
      </c>
      <c r="D3225" t="s">
        <v>2323</v>
      </c>
      <c r="E3225" s="7" t="s">
        <v>198</v>
      </c>
      <c r="F3225" s="7" t="s">
        <v>198</v>
      </c>
      <c r="G3225" s="7" t="s">
        <v>198</v>
      </c>
      <c r="H3225" s="7" t="s">
        <v>20</v>
      </c>
      <c r="I3225" s="7" t="s">
        <v>5102</v>
      </c>
      <c r="J3225" s="7" t="s">
        <v>21</v>
      </c>
      <c r="L3225" t="s">
        <v>4539</v>
      </c>
      <c r="M3225" s="7" t="s">
        <v>22</v>
      </c>
      <c r="N3225" s="7" t="s">
        <v>23</v>
      </c>
      <c r="O3225" s="7" t="s">
        <v>27</v>
      </c>
      <c r="P3225" s="7" t="s">
        <v>5101</v>
      </c>
      <c r="Q3225" s="26">
        <v>19</v>
      </c>
      <c r="R3225" s="26">
        <v>1</v>
      </c>
      <c r="S3225" s="40">
        <v>1</v>
      </c>
      <c r="T3225" s="7"/>
      <c r="U3225" s="7" t="s">
        <v>2951</v>
      </c>
      <c r="V3225" s="7" t="str">
        <f>+IF(U3225="","",IF(U3225="FINES",CONCATENATE("R",IF(OR(B3225="16",B3225="21",B3225="22",B3225="23"),"16212223",IF(OR(B3225="15",B3225="17",B3225="24",B3225="25"),"15172425",B3225))),IF(U3225="CEBAS","UNICO",IF(VALUE(B3225)&lt;=11,"AMBA","INTERIOR"))))</f>
        <v>R12</v>
      </c>
      <c r="W3225" s="38" t="str">
        <f>+IF(U3225="","-",CONCATENATE(U3225,"_",V3225))</f>
        <v>FINES_R12</v>
      </c>
      <c r="X3225" s="42">
        <v>9.2999999999999999E-2</v>
      </c>
    </row>
    <row r="3226" spans="1:24">
      <c r="A3226" s="21" t="s">
        <v>5100</v>
      </c>
      <c r="B3226" t="s">
        <v>140</v>
      </c>
      <c r="C3226" t="s">
        <v>136</v>
      </c>
      <c r="D3226" t="s">
        <v>559</v>
      </c>
      <c r="E3226" s="7" t="s">
        <v>198</v>
      </c>
      <c r="F3226" s="7" t="s">
        <v>198</v>
      </c>
      <c r="G3226" s="7" t="s">
        <v>198</v>
      </c>
      <c r="H3226" s="7" t="s">
        <v>20</v>
      </c>
      <c r="I3226" s="7" t="s">
        <v>5102</v>
      </c>
      <c r="J3226" s="7" t="s">
        <v>21</v>
      </c>
      <c r="L3226" t="s">
        <v>4506</v>
      </c>
      <c r="M3226" s="7" t="s">
        <v>22</v>
      </c>
      <c r="N3226" s="7" t="s">
        <v>23</v>
      </c>
      <c r="O3226" s="7" t="s">
        <v>27</v>
      </c>
      <c r="P3226" s="7" t="s">
        <v>5101</v>
      </c>
      <c r="Q3226" s="26">
        <v>16</v>
      </c>
      <c r="R3226" s="26">
        <v>1</v>
      </c>
      <c r="S3226" s="40">
        <v>1</v>
      </c>
      <c r="T3226" s="7"/>
      <c r="U3226" s="7" t="s">
        <v>2951</v>
      </c>
      <c r="V3226" s="7" t="str">
        <f>+IF(U3226="","",IF(U3226="FINES",CONCATENATE("R",IF(OR(B3226="16",B3226="21",B3226="22",B3226="23"),"16212223",IF(OR(B3226="15",B3226="17",B3226="24",B3226="25"),"15172425",B3226))),IF(U3226="CEBAS","UNICO",IF(VALUE(B3226)&lt;=11,"AMBA","INTERIOR"))))</f>
        <v>R12</v>
      </c>
      <c r="W3226" s="38" t="str">
        <f>+IF(U3226="","-",CONCATENATE(U3226,"_",V3226))</f>
        <v>FINES_R12</v>
      </c>
      <c r="X3226" s="42">
        <v>0.13200000000000001</v>
      </c>
    </row>
    <row r="3227" spans="1:24">
      <c r="A3227" s="21" t="s">
        <v>5100</v>
      </c>
      <c r="B3227" t="s">
        <v>140</v>
      </c>
      <c r="C3227" t="s">
        <v>2322</v>
      </c>
      <c r="D3227" t="s">
        <v>2323</v>
      </c>
      <c r="E3227" s="7" t="s">
        <v>198</v>
      </c>
      <c r="F3227" s="7" t="s">
        <v>198</v>
      </c>
      <c r="G3227" s="7" t="s">
        <v>198</v>
      </c>
      <c r="H3227" s="7" t="s">
        <v>20</v>
      </c>
      <c r="I3227" s="7" t="s">
        <v>5102</v>
      </c>
      <c r="J3227" s="7" t="s">
        <v>21</v>
      </c>
      <c r="L3227" t="s">
        <v>4550</v>
      </c>
      <c r="M3227" s="7" t="s">
        <v>22</v>
      </c>
      <c r="N3227" s="7" t="s">
        <v>23</v>
      </c>
      <c r="O3227" s="7" t="s">
        <v>27</v>
      </c>
      <c r="P3227" s="7" t="s">
        <v>5101</v>
      </c>
      <c r="Q3227" s="26">
        <v>17</v>
      </c>
      <c r="R3227" s="26">
        <v>1</v>
      </c>
      <c r="S3227" s="40">
        <v>1</v>
      </c>
      <c r="T3227" s="7"/>
      <c r="U3227" s="7" t="s">
        <v>2951</v>
      </c>
      <c r="V3227" s="7" t="str">
        <f>+IF(U3227="","",IF(U3227="FINES",CONCATENATE("R",IF(OR(B3227="16",B3227="21",B3227="22",B3227="23"),"16212223",IF(OR(B3227="15",B3227="17",B3227="24",B3227="25"),"15172425",B3227))),IF(U3227="CEBAS","UNICO",IF(VALUE(B3227)&lt;=11,"AMBA","INTERIOR"))))</f>
        <v>R12</v>
      </c>
      <c r="W3227" s="38" t="str">
        <f>+IF(U3227="","-",CONCATENATE(U3227,"_",V3227))</f>
        <v>FINES_R12</v>
      </c>
      <c r="X3227" s="42">
        <v>0.14599999999999999</v>
      </c>
    </row>
    <row r="3228" spans="1:24">
      <c r="A3228" s="21" t="s">
        <v>5100</v>
      </c>
      <c r="B3228" t="s">
        <v>140</v>
      </c>
      <c r="C3228" t="s">
        <v>136</v>
      </c>
      <c r="D3228" t="s">
        <v>559</v>
      </c>
      <c r="E3228" s="7" t="s">
        <v>198</v>
      </c>
      <c r="F3228" s="7" t="s">
        <v>198</v>
      </c>
      <c r="G3228" s="7" t="s">
        <v>198</v>
      </c>
      <c r="H3228" s="7" t="s">
        <v>20</v>
      </c>
      <c r="I3228" s="7" t="s">
        <v>5102</v>
      </c>
      <c r="J3228" s="7" t="s">
        <v>21</v>
      </c>
      <c r="L3228" t="s">
        <v>4511</v>
      </c>
      <c r="M3228" s="7" t="s">
        <v>22</v>
      </c>
      <c r="N3228" s="7" t="s">
        <v>23</v>
      </c>
      <c r="O3228" s="7" t="s">
        <v>27</v>
      </c>
      <c r="P3228" s="7" t="s">
        <v>5101</v>
      </c>
      <c r="Q3228" s="26">
        <v>27</v>
      </c>
      <c r="R3228" s="26">
        <v>1</v>
      </c>
      <c r="S3228" s="40">
        <v>1</v>
      </c>
      <c r="T3228" s="7"/>
      <c r="U3228" s="7" t="s">
        <v>2951</v>
      </c>
      <c r="V3228" s="7" t="str">
        <f>+IF(U3228="","",IF(U3228="FINES",CONCATENATE("R",IF(OR(B3228="16",B3228="21",B3228="22",B3228="23"),"16212223",IF(OR(B3228="15",B3228="17",B3228="24",B3228="25"),"15172425",B3228))),IF(U3228="CEBAS","UNICO",IF(VALUE(B3228)&lt;=11,"AMBA","INTERIOR"))))</f>
        <v>R12</v>
      </c>
      <c r="W3228" s="38" t="str">
        <f>+IF(U3228="","-",CONCATENATE(U3228,"_",V3228))</f>
        <v>FINES_R12</v>
      </c>
      <c r="X3228" s="42">
        <v>0.189</v>
      </c>
    </row>
    <row r="3229" spans="1:24">
      <c r="A3229" s="21" t="s">
        <v>5100</v>
      </c>
      <c r="B3229" t="s">
        <v>140</v>
      </c>
      <c r="C3229" t="s">
        <v>539</v>
      </c>
      <c r="D3229" t="s">
        <v>541</v>
      </c>
      <c r="E3229" s="7" t="s">
        <v>198</v>
      </c>
      <c r="F3229" s="7" t="s">
        <v>198</v>
      </c>
      <c r="G3229" s="7" t="s">
        <v>198</v>
      </c>
      <c r="H3229" s="7" t="s">
        <v>20</v>
      </c>
      <c r="I3229" s="7" t="s">
        <v>5102</v>
      </c>
      <c r="J3229" s="7" t="s">
        <v>21</v>
      </c>
      <c r="L3229" t="s">
        <v>4513</v>
      </c>
      <c r="M3229" s="7" t="s">
        <v>22</v>
      </c>
      <c r="N3229" s="7" t="s">
        <v>23</v>
      </c>
      <c r="O3229" s="7" t="s">
        <v>27</v>
      </c>
      <c r="P3229" s="7" t="s">
        <v>5101</v>
      </c>
      <c r="Q3229" s="26">
        <v>16</v>
      </c>
      <c r="R3229" s="26">
        <v>2</v>
      </c>
      <c r="S3229" s="40">
        <v>1</v>
      </c>
      <c r="T3229" s="7"/>
      <c r="U3229" s="7" t="s">
        <v>2951</v>
      </c>
      <c r="V3229" s="7" t="str">
        <f>+IF(U3229="","",IF(U3229="FINES",CONCATENATE("R",IF(OR(B3229="16",B3229="21",B3229="22",B3229="23"),"16212223",IF(OR(B3229="15",B3229="17",B3229="24",B3229="25"),"15172425",B3229))),IF(U3229="CEBAS","UNICO",IF(VALUE(B3229)&lt;=11,"AMBA","INTERIOR"))))</f>
        <v>R12</v>
      </c>
      <c r="W3229" s="38" t="str">
        <f>+IF(U3229="","-",CONCATENATE(U3229,"_",V3229))</f>
        <v>FINES_R12</v>
      </c>
      <c r="X3229" s="42">
        <v>0.23599999999999999</v>
      </c>
    </row>
    <row r="3230" spans="1:24">
      <c r="A3230" s="21" t="s">
        <v>5100</v>
      </c>
      <c r="B3230" t="s">
        <v>140</v>
      </c>
      <c r="C3230" t="s">
        <v>2322</v>
      </c>
      <c r="D3230" t="s">
        <v>2323</v>
      </c>
      <c r="E3230" s="7" t="s">
        <v>198</v>
      </c>
      <c r="F3230" s="7" t="s">
        <v>198</v>
      </c>
      <c r="G3230" s="7" t="s">
        <v>198</v>
      </c>
      <c r="H3230" s="7" t="s">
        <v>20</v>
      </c>
      <c r="I3230" s="7" t="s">
        <v>5102</v>
      </c>
      <c r="J3230" s="7" t="s">
        <v>21</v>
      </c>
      <c r="L3230" t="s">
        <v>4544</v>
      </c>
      <c r="M3230" s="7" t="s">
        <v>22</v>
      </c>
      <c r="N3230" s="7" t="s">
        <v>23</v>
      </c>
      <c r="O3230" s="7" t="s">
        <v>27</v>
      </c>
      <c r="P3230" s="7" t="s">
        <v>5101</v>
      </c>
      <c r="Q3230" s="26">
        <v>14</v>
      </c>
      <c r="R3230" s="26">
        <v>1</v>
      </c>
      <c r="S3230" s="40">
        <v>1</v>
      </c>
      <c r="T3230" s="7"/>
      <c r="U3230" s="7" t="s">
        <v>2951</v>
      </c>
      <c r="V3230" s="7" t="str">
        <f>+IF(U3230="","",IF(U3230="FINES",CONCATENATE("R",IF(OR(B3230="16",B3230="21",B3230="22",B3230="23"),"16212223",IF(OR(B3230="15",B3230="17",B3230="24",B3230="25"),"15172425",B3230))),IF(U3230="CEBAS","UNICO",IF(VALUE(B3230)&lt;=11,"AMBA","INTERIOR"))))</f>
        <v>R12</v>
      </c>
      <c r="W3230" s="38" t="str">
        <f>+IF(U3230="","-",CONCATENATE(U3230,"_",V3230))</f>
        <v>FINES_R12</v>
      </c>
      <c r="X3230" s="42">
        <v>0.24</v>
      </c>
    </row>
    <row r="3231" spans="1:24">
      <c r="A3231" s="21" t="s">
        <v>5100</v>
      </c>
      <c r="B3231" t="s">
        <v>140</v>
      </c>
      <c r="C3231" t="s">
        <v>2277</v>
      </c>
      <c r="D3231" t="s">
        <v>2278</v>
      </c>
      <c r="E3231" s="7" t="s">
        <v>198</v>
      </c>
      <c r="F3231" s="7" t="s">
        <v>198</v>
      </c>
      <c r="G3231" s="7" t="s">
        <v>198</v>
      </c>
      <c r="H3231" s="7" t="s">
        <v>20</v>
      </c>
      <c r="I3231" s="7" t="s">
        <v>5102</v>
      </c>
      <c r="J3231" s="7" t="s">
        <v>21</v>
      </c>
      <c r="L3231" t="s">
        <v>4535</v>
      </c>
      <c r="M3231" s="7" t="s">
        <v>22</v>
      </c>
      <c r="N3231" s="7" t="s">
        <v>23</v>
      </c>
      <c r="O3231" s="7" t="s">
        <v>27</v>
      </c>
      <c r="P3231" s="7" t="s">
        <v>5101</v>
      </c>
      <c r="Q3231" s="26">
        <v>13</v>
      </c>
      <c r="R3231" s="26">
        <v>1</v>
      </c>
      <c r="S3231" s="40">
        <v>1</v>
      </c>
      <c r="T3231" s="7"/>
      <c r="U3231" s="7" t="s">
        <v>2951</v>
      </c>
      <c r="V3231" s="7" t="str">
        <f>+IF(U3231="","",IF(U3231="FINES",CONCATENATE("R",IF(OR(B3231="16",B3231="21",B3231="22",B3231="23"),"16212223",IF(OR(B3231="15",B3231="17",B3231="24",B3231="25"),"15172425",B3231))),IF(U3231="CEBAS","UNICO",IF(VALUE(B3231)&lt;=11,"AMBA","INTERIOR"))))</f>
        <v>R12</v>
      </c>
      <c r="W3231" s="38" t="str">
        <f>+IF(U3231="","-",CONCATENATE(U3231,"_",V3231))</f>
        <v>FINES_R12</v>
      </c>
      <c r="X3231" s="42">
        <v>0.248</v>
      </c>
    </row>
    <row r="3232" spans="1:24">
      <c r="A3232" s="21" t="s">
        <v>5100</v>
      </c>
      <c r="B3232" t="s">
        <v>140</v>
      </c>
      <c r="C3232" t="s">
        <v>412</v>
      </c>
      <c r="D3232" t="s">
        <v>2714</v>
      </c>
      <c r="E3232" s="7" t="s">
        <v>198</v>
      </c>
      <c r="F3232" s="7" t="s">
        <v>198</v>
      </c>
      <c r="G3232" s="7" t="s">
        <v>198</v>
      </c>
      <c r="H3232" s="7" t="s">
        <v>20</v>
      </c>
      <c r="I3232" s="7" t="s">
        <v>5102</v>
      </c>
      <c r="J3232" s="7" t="s">
        <v>21</v>
      </c>
      <c r="L3232" t="s">
        <v>4518</v>
      </c>
      <c r="M3232" s="7" t="s">
        <v>22</v>
      </c>
      <c r="N3232" s="7" t="s">
        <v>23</v>
      </c>
      <c r="O3232" s="7" t="s">
        <v>27</v>
      </c>
      <c r="P3232" s="7" t="s">
        <v>5101</v>
      </c>
      <c r="Q3232" s="26">
        <v>26</v>
      </c>
      <c r="R3232" s="26">
        <v>2</v>
      </c>
      <c r="S3232" s="40">
        <v>1</v>
      </c>
      <c r="T3232" s="7"/>
      <c r="U3232" s="7" t="s">
        <v>2951</v>
      </c>
      <c r="V3232" s="7" t="str">
        <f>+IF(U3232="","",IF(U3232="FINES",CONCATENATE("R",IF(OR(B3232="16",B3232="21",B3232="22",B3232="23"),"16212223",IF(OR(B3232="15",B3232="17",B3232="24",B3232="25"),"15172425",B3232))),IF(U3232="CEBAS","UNICO",IF(VALUE(B3232)&lt;=11,"AMBA","INTERIOR"))))</f>
        <v>R12</v>
      </c>
      <c r="W3232" s="38" t="str">
        <f>+IF(U3232="","-",CONCATENATE(U3232,"_",V3232))</f>
        <v>FINES_R12</v>
      </c>
      <c r="X3232" s="42">
        <v>0.249</v>
      </c>
    </row>
    <row r="3233" spans="1:24">
      <c r="A3233" s="21" t="s">
        <v>5100</v>
      </c>
      <c r="B3233" t="s">
        <v>140</v>
      </c>
      <c r="C3233" t="s">
        <v>2149</v>
      </c>
      <c r="D3233" t="s">
        <v>2150</v>
      </c>
      <c r="E3233" s="7" t="s">
        <v>198</v>
      </c>
      <c r="F3233" s="7" t="s">
        <v>198</v>
      </c>
      <c r="G3233" s="7" t="s">
        <v>198</v>
      </c>
      <c r="H3233" s="7" t="s">
        <v>20</v>
      </c>
      <c r="I3233" s="7" t="s">
        <v>5102</v>
      </c>
      <c r="J3233" s="7" t="s">
        <v>21</v>
      </c>
      <c r="L3233" t="s">
        <v>4524</v>
      </c>
      <c r="M3233" s="7" t="s">
        <v>22</v>
      </c>
      <c r="N3233" s="7" t="s">
        <v>23</v>
      </c>
      <c r="O3233" s="7" t="s">
        <v>27</v>
      </c>
      <c r="P3233" s="7" t="s">
        <v>5101</v>
      </c>
      <c r="Q3233" s="26">
        <v>24</v>
      </c>
      <c r="R3233" s="26">
        <v>1</v>
      </c>
      <c r="S3233" s="40">
        <v>1</v>
      </c>
      <c r="T3233" s="7"/>
      <c r="U3233" s="7" t="s">
        <v>2951</v>
      </c>
      <c r="V3233" s="7" t="str">
        <f>+IF(U3233="","",IF(U3233="FINES",CONCATENATE("R",IF(OR(B3233="16",B3233="21",B3233="22",B3233="23"),"16212223",IF(OR(B3233="15",B3233="17",B3233="24",B3233="25"),"15172425",B3233))),IF(U3233="CEBAS","UNICO",IF(VALUE(B3233)&lt;=11,"AMBA","INTERIOR"))))</f>
        <v>R12</v>
      </c>
      <c r="W3233" s="38" t="str">
        <f>+IF(U3233="","-",CONCATENATE(U3233,"_",V3233))</f>
        <v>FINES_R12</v>
      </c>
      <c r="X3233" s="42">
        <v>0.27500000000000002</v>
      </c>
    </row>
    <row r="3234" spans="1:24">
      <c r="A3234" s="21" t="s">
        <v>5100</v>
      </c>
      <c r="B3234" t="s">
        <v>140</v>
      </c>
      <c r="C3234" t="s">
        <v>2277</v>
      </c>
      <c r="D3234" t="s">
        <v>2278</v>
      </c>
      <c r="E3234" s="7" t="s">
        <v>198</v>
      </c>
      <c r="F3234" s="7" t="s">
        <v>198</v>
      </c>
      <c r="G3234" s="7" t="s">
        <v>198</v>
      </c>
      <c r="H3234" s="7" t="s">
        <v>20</v>
      </c>
      <c r="I3234" s="7" t="s">
        <v>5102</v>
      </c>
      <c r="J3234" s="7" t="s">
        <v>21</v>
      </c>
      <c r="L3234" t="s">
        <v>4537</v>
      </c>
      <c r="M3234" s="7" t="s">
        <v>22</v>
      </c>
      <c r="N3234" s="7" t="s">
        <v>23</v>
      </c>
      <c r="O3234" s="7" t="s">
        <v>27</v>
      </c>
      <c r="P3234" s="7" t="s">
        <v>5101</v>
      </c>
      <c r="Q3234" s="26">
        <v>14</v>
      </c>
      <c r="R3234" s="26">
        <v>1</v>
      </c>
      <c r="S3234" s="40">
        <v>1</v>
      </c>
      <c r="T3234" s="7"/>
      <c r="U3234" s="7" t="s">
        <v>2951</v>
      </c>
      <c r="V3234" s="7" t="str">
        <f>+IF(U3234="","",IF(U3234="FINES",CONCATENATE("R",IF(OR(B3234="16",B3234="21",B3234="22",B3234="23"),"16212223",IF(OR(B3234="15",B3234="17",B3234="24",B3234="25"),"15172425",B3234))),IF(U3234="CEBAS","UNICO",IF(VALUE(B3234)&lt;=11,"AMBA","INTERIOR"))))</f>
        <v>R12</v>
      </c>
      <c r="W3234" s="38" t="str">
        <f>+IF(U3234="","-",CONCATENATE(U3234,"_",V3234))</f>
        <v>FINES_R12</v>
      </c>
      <c r="X3234" s="42">
        <v>0.27600000000000002</v>
      </c>
    </row>
    <row r="3235" spans="1:24">
      <c r="A3235" s="21" t="s">
        <v>5100</v>
      </c>
      <c r="B3235" t="s">
        <v>140</v>
      </c>
      <c r="C3235" t="s">
        <v>2277</v>
      </c>
      <c r="D3235" t="s">
        <v>2278</v>
      </c>
      <c r="E3235" s="7" t="s">
        <v>198</v>
      </c>
      <c r="F3235" s="7" t="s">
        <v>198</v>
      </c>
      <c r="G3235" s="7" t="s">
        <v>198</v>
      </c>
      <c r="H3235" s="7" t="s">
        <v>20</v>
      </c>
      <c r="I3235" s="7" t="s">
        <v>5102</v>
      </c>
      <c r="J3235" s="7" t="s">
        <v>21</v>
      </c>
      <c r="L3235" t="s">
        <v>4527</v>
      </c>
      <c r="M3235" s="7" t="s">
        <v>22</v>
      </c>
      <c r="N3235" s="7" t="s">
        <v>23</v>
      </c>
      <c r="O3235" s="7" t="s">
        <v>27</v>
      </c>
      <c r="P3235" s="7" t="s">
        <v>5101</v>
      </c>
      <c r="Q3235" s="26">
        <v>8</v>
      </c>
      <c r="R3235" s="26">
        <v>1</v>
      </c>
      <c r="S3235" s="40">
        <v>1</v>
      </c>
      <c r="T3235" s="7"/>
      <c r="U3235" s="7" t="s">
        <v>2951</v>
      </c>
      <c r="V3235" s="7" t="str">
        <f>+IF(U3235="","",IF(U3235="FINES",CONCATENATE("R",IF(OR(B3235="16",B3235="21",B3235="22",B3235="23"),"16212223",IF(OR(B3235="15",B3235="17",B3235="24",B3235="25"),"15172425",B3235))),IF(U3235="CEBAS","UNICO",IF(VALUE(B3235)&lt;=11,"AMBA","INTERIOR"))))</f>
        <v>R12</v>
      </c>
      <c r="W3235" s="38" t="str">
        <f>+IF(U3235="","-",CONCATENATE(U3235,"_",V3235))</f>
        <v>FINES_R12</v>
      </c>
      <c r="X3235" s="42">
        <v>0.29199999999999998</v>
      </c>
    </row>
    <row r="3236" spans="1:24">
      <c r="A3236" s="21" t="s">
        <v>5100</v>
      </c>
      <c r="B3236" t="s">
        <v>140</v>
      </c>
      <c r="C3236" t="s">
        <v>539</v>
      </c>
      <c r="D3236" t="s">
        <v>541</v>
      </c>
      <c r="E3236" s="7" t="s">
        <v>198</v>
      </c>
      <c r="F3236" s="7" t="s">
        <v>198</v>
      </c>
      <c r="G3236" s="7" t="s">
        <v>198</v>
      </c>
      <c r="H3236" s="7" t="s">
        <v>20</v>
      </c>
      <c r="I3236" s="7" t="s">
        <v>5102</v>
      </c>
      <c r="J3236" s="7" t="s">
        <v>21</v>
      </c>
      <c r="L3236" t="s">
        <v>4514</v>
      </c>
      <c r="M3236" s="7" t="s">
        <v>22</v>
      </c>
      <c r="N3236" s="7" t="s">
        <v>23</v>
      </c>
      <c r="O3236" s="7" t="s">
        <v>27</v>
      </c>
      <c r="P3236" s="7" t="s">
        <v>5101</v>
      </c>
      <c r="Q3236" s="26">
        <v>16</v>
      </c>
      <c r="R3236" s="26">
        <v>1</v>
      </c>
      <c r="S3236" s="40">
        <v>1</v>
      </c>
      <c r="T3236" s="7"/>
      <c r="U3236" s="7" t="s">
        <v>2951</v>
      </c>
      <c r="V3236" s="7" t="str">
        <f>+IF(U3236="","",IF(U3236="FINES",CONCATENATE("R",IF(OR(B3236="16",B3236="21",B3236="22",B3236="23"),"16212223",IF(OR(B3236="15",B3236="17",B3236="24",B3236="25"),"15172425",B3236))),IF(U3236="CEBAS","UNICO",IF(VALUE(B3236)&lt;=11,"AMBA","INTERIOR"))))</f>
        <v>R12</v>
      </c>
      <c r="W3236" s="38" t="str">
        <f>+IF(U3236="","-",CONCATENATE(U3236,"_",V3236))</f>
        <v>FINES_R12</v>
      </c>
      <c r="X3236" s="42">
        <v>0.32600000000000001</v>
      </c>
    </row>
    <row r="3237" spans="1:24">
      <c r="A3237" s="21" t="s">
        <v>5100</v>
      </c>
      <c r="B3237" t="s">
        <v>140</v>
      </c>
      <c r="C3237" t="s">
        <v>136</v>
      </c>
      <c r="D3237" t="s">
        <v>559</v>
      </c>
      <c r="E3237" s="7" t="s">
        <v>198</v>
      </c>
      <c r="F3237" s="7" t="s">
        <v>198</v>
      </c>
      <c r="G3237" s="7" t="s">
        <v>198</v>
      </c>
      <c r="H3237" s="7" t="s">
        <v>20</v>
      </c>
      <c r="I3237" s="7" t="s">
        <v>5102</v>
      </c>
      <c r="J3237" s="7" t="s">
        <v>21</v>
      </c>
      <c r="L3237" t="s">
        <v>4510</v>
      </c>
      <c r="M3237" s="7" t="s">
        <v>22</v>
      </c>
      <c r="N3237" s="7" t="s">
        <v>23</v>
      </c>
      <c r="O3237" s="7" t="s">
        <v>27</v>
      </c>
      <c r="P3237" s="7" t="s">
        <v>5101</v>
      </c>
      <c r="Q3237" s="26">
        <v>36</v>
      </c>
      <c r="R3237" s="26">
        <v>1</v>
      </c>
      <c r="S3237" s="40">
        <v>1</v>
      </c>
      <c r="T3237" s="7"/>
      <c r="U3237" s="7" t="s">
        <v>2951</v>
      </c>
      <c r="V3237" s="7" t="str">
        <f>+IF(U3237="","",IF(U3237="FINES",CONCATENATE("R",IF(OR(B3237="16",B3237="21",B3237="22",B3237="23"),"16212223",IF(OR(B3237="15",B3237="17",B3237="24",B3237="25"),"15172425",B3237))),IF(U3237="CEBAS","UNICO",IF(VALUE(B3237)&lt;=11,"AMBA","INTERIOR"))))</f>
        <v>R12</v>
      </c>
      <c r="W3237" s="38" t="str">
        <f>+IF(U3237="","-",CONCATENATE(U3237,"_",V3237))</f>
        <v>FINES_R12</v>
      </c>
      <c r="X3237" s="42">
        <v>0.35199999999999998</v>
      </c>
    </row>
    <row r="3238" spans="1:24">
      <c r="A3238" s="21" t="s">
        <v>5100</v>
      </c>
      <c r="B3238" t="s">
        <v>140</v>
      </c>
      <c r="C3238" t="s">
        <v>539</v>
      </c>
      <c r="D3238" t="s">
        <v>541</v>
      </c>
      <c r="E3238" s="7" t="s">
        <v>198</v>
      </c>
      <c r="F3238" s="7" t="s">
        <v>198</v>
      </c>
      <c r="G3238" s="7" t="s">
        <v>198</v>
      </c>
      <c r="H3238" s="7" t="s">
        <v>20</v>
      </c>
      <c r="I3238" s="7" t="s">
        <v>5102</v>
      </c>
      <c r="J3238" s="7" t="s">
        <v>21</v>
      </c>
      <c r="L3238" t="s">
        <v>4429</v>
      </c>
      <c r="M3238" s="7" t="s">
        <v>22</v>
      </c>
      <c r="N3238" s="7" t="s">
        <v>23</v>
      </c>
      <c r="O3238" s="7" t="s">
        <v>27</v>
      </c>
      <c r="P3238" s="7" t="s">
        <v>5101</v>
      </c>
      <c r="Q3238" s="26">
        <v>77</v>
      </c>
      <c r="R3238" s="26">
        <v>3</v>
      </c>
      <c r="S3238" s="40">
        <v>1</v>
      </c>
      <c r="T3238" s="7"/>
      <c r="U3238" s="7" t="s">
        <v>2951</v>
      </c>
      <c r="V3238" s="7" t="str">
        <f>+IF(U3238="","",IF(U3238="FINES",CONCATENATE("R",IF(OR(B3238="16",B3238="21",B3238="22",B3238="23"),"16212223",IF(OR(B3238="15",B3238="17",B3238="24",B3238="25"),"15172425",B3238))),IF(U3238="CEBAS","UNICO",IF(VALUE(B3238)&lt;=11,"AMBA","INTERIOR"))))</f>
        <v>R12</v>
      </c>
      <c r="W3238" s="38" t="str">
        <f>+IF(U3238="","-",CONCATENATE(U3238,"_",V3238))</f>
        <v>FINES_R12</v>
      </c>
      <c r="X3238" s="42">
        <v>0.36199999999999999</v>
      </c>
    </row>
    <row r="3239" spans="1:24">
      <c r="A3239" s="21" t="s">
        <v>5100</v>
      </c>
      <c r="B3239" t="s">
        <v>140</v>
      </c>
      <c r="C3239" t="s">
        <v>2277</v>
      </c>
      <c r="D3239" t="s">
        <v>2278</v>
      </c>
      <c r="E3239" s="7" t="s">
        <v>198</v>
      </c>
      <c r="F3239" s="7" t="s">
        <v>198</v>
      </c>
      <c r="G3239" s="7" t="s">
        <v>198</v>
      </c>
      <c r="H3239" s="7" t="s">
        <v>20</v>
      </c>
      <c r="I3239" s="7" t="s">
        <v>5102</v>
      </c>
      <c r="J3239" s="7" t="s">
        <v>21</v>
      </c>
      <c r="L3239" t="s">
        <v>4534</v>
      </c>
      <c r="M3239" s="7" t="s">
        <v>22</v>
      </c>
      <c r="N3239" s="7" t="s">
        <v>23</v>
      </c>
      <c r="O3239" s="7" t="s">
        <v>27</v>
      </c>
      <c r="P3239" s="7" t="s">
        <v>5101</v>
      </c>
      <c r="Q3239" s="26">
        <v>14</v>
      </c>
      <c r="R3239" s="26">
        <v>1</v>
      </c>
      <c r="S3239" s="40">
        <v>1</v>
      </c>
      <c r="T3239" s="7"/>
      <c r="U3239" s="7" t="s">
        <v>2951</v>
      </c>
      <c r="V3239" s="7" t="str">
        <f>+IF(U3239="","",IF(U3239="FINES",CONCATENATE("R",IF(OR(B3239="16",B3239="21",B3239="22",B3239="23"),"16212223",IF(OR(B3239="15",B3239="17",B3239="24",B3239="25"),"15172425",B3239))),IF(U3239="CEBAS","UNICO",IF(VALUE(B3239)&lt;=11,"AMBA","INTERIOR"))))</f>
        <v>R12</v>
      </c>
      <c r="W3239" s="38" t="str">
        <f>+IF(U3239="","-",CONCATENATE(U3239,"_",V3239))</f>
        <v>FINES_R12</v>
      </c>
      <c r="X3239" s="42">
        <v>0.36399999999999999</v>
      </c>
    </row>
    <row r="3240" spans="1:24">
      <c r="A3240" s="21" t="s">
        <v>5100</v>
      </c>
      <c r="B3240" t="s">
        <v>140</v>
      </c>
      <c r="C3240" t="s">
        <v>2277</v>
      </c>
      <c r="D3240" t="s">
        <v>2278</v>
      </c>
      <c r="E3240" s="7" t="s">
        <v>198</v>
      </c>
      <c r="F3240" s="7" t="s">
        <v>198</v>
      </c>
      <c r="G3240" s="7" t="s">
        <v>198</v>
      </c>
      <c r="H3240" s="7" t="s">
        <v>20</v>
      </c>
      <c r="I3240" s="7" t="s">
        <v>5102</v>
      </c>
      <c r="J3240" s="7" t="s">
        <v>21</v>
      </c>
      <c r="L3240" t="s">
        <v>4529</v>
      </c>
      <c r="M3240" s="7" t="s">
        <v>22</v>
      </c>
      <c r="N3240" s="7" t="s">
        <v>23</v>
      </c>
      <c r="O3240" s="7" t="s">
        <v>27</v>
      </c>
      <c r="P3240" s="7" t="s">
        <v>5101</v>
      </c>
      <c r="Q3240" s="26">
        <v>21</v>
      </c>
      <c r="R3240" s="26">
        <v>1</v>
      </c>
      <c r="S3240" s="40">
        <v>1</v>
      </c>
      <c r="T3240" s="7"/>
      <c r="U3240" s="7" t="s">
        <v>2951</v>
      </c>
      <c r="V3240" s="7" t="str">
        <f>+IF(U3240="","",IF(U3240="FINES",CONCATENATE("R",IF(OR(B3240="16",B3240="21",B3240="22",B3240="23"),"16212223",IF(OR(B3240="15",B3240="17",B3240="24",B3240="25"),"15172425",B3240))),IF(U3240="CEBAS","UNICO",IF(VALUE(B3240)&lt;=11,"AMBA","INTERIOR"))))</f>
        <v>R12</v>
      </c>
      <c r="W3240" s="38" t="str">
        <f>+IF(U3240="","-",CONCATENATE(U3240,"_",V3240))</f>
        <v>FINES_R12</v>
      </c>
      <c r="X3240" s="42">
        <v>0.377</v>
      </c>
    </row>
    <row r="3241" spans="1:24">
      <c r="A3241" s="21" t="s">
        <v>5100</v>
      </c>
      <c r="B3241" t="s">
        <v>140</v>
      </c>
      <c r="C3241" t="s">
        <v>2277</v>
      </c>
      <c r="D3241" t="s">
        <v>2278</v>
      </c>
      <c r="E3241" s="7" t="s">
        <v>198</v>
      </c>
      <c r="F3241" s="7" t="s">
        <v>198</v>
      </c>
      <c r="G3241" s="7" t="s">
        <v>198</v>
      </c>
      <c r="H3241" s="7" t="s">
        <v>20</v>
      </c>
      <c r="I3241" s="7" t="s">
        <v>5102</v>
      </c>
      <c r="J3241" s="7" t="s">
        <v>21</v>
      </c>
      <c r="L3241" t="s">
        <v>4533</v>
      </c>
      <c r="M3241" s="7" t="s">
        <v>22</v>
      </c>
      <c r="N3241" s="7" t="s">
        <v>23</v>
      </c>
      <c r="O3241" s="7" t="s">
        <v>27</v>
      </c>
      <c r="P3241" s="7" t="s">
        <v>5101</v>
      </c>
      <c r="Q3241" s="26">
        <v>29</v>
      </c>
      <c r="R3241" s="26">
        <v>1</v>
      </c>
      <c r="S3241" s="40">
        <v>1</v>
      </c>
      <c r="T3241" s="7"/>
      <c r="U3241" s="7" t="s">
        <v>2951</v>
      </c>
      <c r="V3241" s="7" t="str">
        <f>+IF(U3241="","",IF(U3241="FINES",CONCATENATE("R",IF(OR(B3241="16",B3241="21",B3241="22",B3241="23"),"16212223",IF(OR(B3241="15",B3241="17",B3241="24",B3241="25"),"15172425",B3241))),IF(U3241="CEBAS","UNICO",IF(VALUE(B3241)&lt;=11,"AMBA","INTERIOR"))))</f>
        <v>R12</v>
      </c>
      <c r="W3241" s="38" t="str">
        <f>+IF(U3241="","-",CONCATENATE(U3241,"_",V3241))</f>
        <v>FINES_R12</v>
      </c>
      <c r="X3241" s="42">
        <v>0.436</v>
      </c>
    </row>
    <row r="3242" spans="1:24">
      <c r="A3242" s="21" t="s">
        <v>5100</v>
      </c>
      <c r="B3242" t="s">
        <v>140</v>
      </c>
      <c r="C3242" t="s">
        <v>2277</v>
      </c>
      <c r="D3242" t="s">
        <v>2278</v>
      </c>
      <c r="E3242" s="7" t="s">
        <v>198</v>
      </c>
      <c r="F3242" s="7" t="s">
        <v>198</v>
      </c>
      <c r="G3242" s="7" t="s">
        <v>198</v>
      </c>
      <c r="H3242" s="7" t="s">
        <v>20</v>
      </c>
      <c r="I3242" s="7" t="s">
        <v>5102</v>
      </c>
      <c r="J3242" s="7" t="s">
        <v>21</v>
      </c>
      <c r="L3242" t="s">
        <v>4526</v>
      </c>
      <c r="M3242" s="7" t="s">
        <v>22</v>
      </c>
      <c r="N3242" s="7" t="s">
        <v>23</v>
      </c>
      <c r="O3242" s="7" t="s">
        <v>27</v>
      </c>
      <c r="P3242" s="7" t="s">
        <v>5101</v>
      </c>
      <c r="Q3242" s="26">
        <v>9</v>
      </c>
      <c r="R3242" s="26">
        <v>1</v>
      </c>
      <c r="S3242" s="40">
        <v>1</v>
      </c>
      <c r="T3242" s="7"/>
      <c r="U3242" s="7" t="s">
        <v>2951</v>
      </c>
      <c r="V3242" s="7" t="str">
        <f>+IF(U3242="","",IF(U3242="FINES",CONCATENATE("R",IF(OR(B3242="16",B3242="21",B3242="22",B3242="23"),"16212223",IF(OR(B3242="15",B3242="17",B3242="24",B3242="25"),"15172425",B3242))),IF(U3242="CEBAS","UNICO",IF(VALUE(B3242)&lt;=11,"AMBA","INTERIOR"))))</f>
        <v>R12</v>
      </c>
      <c r="W3242" s="38" t="str">
        <f>+IF(U3242="","-",CONCATENATE(U3242,"_",V3242))</f>
        <v>FINES_R12</v>
      </c>
      <c r="X3242" s="42">
        <v>0.46</v>
      </c>
    </row>
    <row r="3243" spans="1:24">
      <c r="A3243" s="21" t="s">
        <v>5100</v>
      </c>
      <c r="B3243" t="s">
        <v>140</v>
      </c>
      <c r="C3243" t="s">
        <v>136</v>
      </c>
      <c r="D3243" t="s">
        <v>559</v>
      </c>
      <c r="E3243" s="7" t="s">
        <v>198</v>
      </c>
      <c r="F3243" s="7" t="s">
        <v>198</v>
      </c>
      <c r="G3243" s="7" t="s">
        <v>198</v>
      </c>
      <c r="H3243" s="7" t="s">
        <v>20</v>
      </c>
      <c r="I3243" s="7" t="s">
        <v>5102</v>
      </c>
      <c r="J3243" s="7" t="s">
        <v>21</v>
      </c>
      <c r="L3243" t="s">
        <v>4507</v>
      </c>
      <c r="M3243" s="7" t="s">
        <v>22</v>
      </c>
      <c r="N3243" s="7" t="s">
        <v>23</v>
      </c>
      <c r="O3243" s="7" t="s">
        <v>27</v>
      </c>
      <c r="P3243" s="7" t="s">
        <v>5101</v>
      </c>
      <c r="Q3243" s="26">
        <v>183</v>
      </c>
      <c r="R3243" s="26">
        <v>5</v>
      </c>
      <c r="S3243" s="40">
        <v>1</v>
      </c>
      <c r="T3243" s="7"/>
      <c r="U3243" s="7" t="s">
        <v>2951</v>
      </c>
      <c r="V3243" s="7" t="str">
        <f>+IF(U3243="","",IF(U3243="FINES",CONCATENATE("R",IF(OR(B3243="16",B3243="21",B3243="22",B3243="23"),"16212223",IF(OR(B3243="15",B3243="17",B3243="24",B3243="25"),"15172425",B3243))),IF(U3243="CEBAS","UNICO",IF(VALUE(B3243)&lt;=11,"AMBA","INTERIOR"))))</f>
        <v>R12</v>
      </c>
      <c r="W3243" s="38" t="str">
        <f>+IF(U3243="","-",CONCATENATE(U3243,"_",V3243))</f>
        <v>FINES_R12</v>
      </c>
      <c r="X3243" s="42">
        <v>0.48399999999999999</v>
      </c>
    </row>
    <row r="3244" spans="1:24">
      <c r="A3244" s="21" t="s">
        <v>5100</v>
      </c>
      <c r="B3244" t="s">
        <v>140</v>
      </c>
      <c r="C3244" t="s">
        <v>2149</v>
      </c>
      <c r="D3244" t="s">
        <v>2150</v>
      </c>
      <c r="E3244" s="7" t="s">
        <v>198</v>
      </c>
      <c r="F3244" s="7" t="s">
        <v>198</v>
      </c>
      <c r="G3244" s="7" t="s">
        <v>198</v>
      </c>
      <c r="H3244" s="7" t="s">
        <v>20</v>
      </c>
      <c r="I3244" s="7" t="s">
        <v>5102</v>
      </c>
      <c r="J3244" s="7" t="s">
        <v>21</v>
      </c>
      <c r="L3244" t="s">
        <v>4523</v>
      </c>
      <c r="M3244" s="7" t="s">
        <v>22</v>
      </c>
      <c r="N3244" s="7" t="s">
        <v>23</v>
      </c>
      <c r="O3244" s="7" t="s">
        <v>27</v>
      </c>
      <c r="P3244" s="7" t="s">
        <v>5101</v>
      </c>
      <c r="Q3244" s="26">
        <v>33</v>
      </c>
      <c r="R3244" s="26">
        <v>2</v>
      </c>
      <c r="S3244" s="40">
        <v>1</v>
      </c>
      <c r="T3244" s="7"/>
      <c r="U3244" s="7" t="s">
        <v>2951</v>
      </c>
      <c r="V3244" s="7" t="str">
        <f>+IF(U3244="","",IF(U3244="FINES",CONCATENATE("R",IF(OR(B3244="16",B3244="21",B3244="22",B3244="23"),"16212223",IF(OR(B3244="15",B3244="17",B3244="24",B3244="25"),"15172425",B3244))),IF(U3244="CEBAS","UNICO",IF(VALUE(B3244)&lt;=11,"AMBA","INTERIOR"))))</f>
        <v>R12</v>
      </c>
      <c r="W3244" s="38" t="str">
        <f>+IF(U3244="","-",CONCATENATE(U3244,"_",V3244))</f>
        <v>FINES_R12</v>
      </c>
      <c r="X3244" s="42">
        <v>0.49399999999999999</v>
      </c>
    </row>
    <row r="3245" spans="1:24">
      <c r="A3245" s="21" t="s">
        <v>5100</v>
      </c>
      <c r="B3245" t="s">
        <v>140</v>
      </c>
      <c r="C3245" t="s">
        <v>2322</v>
      </c>
      <c r="D3245" t="s">
        <v>2323</v>
      </c>
      <c r="E3245" s="7" t="s">
        <v>198</v>
      </c>
      <c r="F3245" s="7" t="s">
        <v>198</v>
      </c>
      <c r="G3245" s="7" t="s">
        <v>198</v>
      </c>
      <c r="H3245" s="7" t="s">
        <v>20</v>
      </c>
      <c r="I3245" s="7" t="s">
        <v>5102</v>
      </c>
      <c r="J3245" s="7" t="s">
        <v>21</v>
      </c>
      <c r="L3245" t="s">
        <v>4546</v>
      </c>
      <c r="M3245" s="7" t="s">
        <v>22</v>
      </c>
      <c r="N3245" s="7" t="s">
        <v>23</v>
      </c>
      <c r="O3245" s="7" t="s">
        <v>27</v>
      </c>
      <c r="P3245" s="7" t="s">
        <v>5101</v>
      </c>
      <c r="Q3245" s="26">
        <v>10</v>
      </c>
      <c r="R3245" s="26">
        <v>1</v>
      </c>
      <c r="S3245" s="40">
        <v>1</v>
      </c>
      <c r="T3245" s="7"/>
      <c r="U3245" s="7" t="s">
        <v>2951</v>
      </c>
      <c r="V3245" s="7" t="str">
        <f>+IF(U3245="","",IF(U3245="FINES",CONCATENATE("R",IF(OR(B3245="16",B3245="21",B3245="22",B3245="23"),"16212223",IF(OR(B3245="15",B3245="17",B3245="24",B3245="25"),"15172425",B3245))),IF(U3245="CEBAS","UNICO",IF(VALUE(B3245)&lt;=11,"AMBA","INTERIOR"))))</f>
        <v>R12</v>
      </c>
      <c r="W3245" s="38" t="str">
        <f>+IF(U3245="","-",CONCATENATE(U3245,"_",V3245))</f>
        <v>FINES_R12</v>
      </c>
      <c r="X3245" s="42">
        <v>0.52</v>
      </c>
    </row>
    <row r="3246" spans="1:24">
      <c r="A3246" s="21" t="s">
        <v>5100</v>
      </c>
      <c r="B3246" t="s">
        <v>140</v>
      </c>
      <c r="C3246" t="s">
        <v>412</v>
      </c>
      <c r="D3246" t="s">
        <v>2714</v>
      </c>
      <c r="E3246" s="7" t="s">
        <v>198</v>
      </c>
      <c r="F3246" s="7" t="s">
        <v>198</v>
      </c>
      <c r="G3246" s="7" t="s">
        <v>198</v>
      </c>
      <c r="H3246" s="7" t="s">
        <v>20</v>
      </c>
      <c r="I3246" s="7" t="s">
        <v>5102</v>
      </c>
      <c r="J3246" s="7" t="s">
        <v>21</v>
      </c>
      <c r="L3246" t="s">
        <v>4516</v>
      </c>
      <c r="M3246" s="7" t="s">
        <v>22</v>
      </c>
      <c r="N3246" s="7" t="s">
        <v>23</v>
      </c>
      <c r="O3246" s="7" t="s">
        <v>27</v>
      </c>
      <c r="P3246" s="7" t="s">
        <v>5101</v>
      </c>
      <c r="Q3246" s="26">
        <v>15</v>
      </c>
      <c r="R3246" s="26">
        <v>1</v>
      </c>
      <c r="S3246" s="40">
        <v>1</v>
      </c>
      <c r="T3246" s="7"/>
      <c r="U3246" s="7" t="s">
        <v>2951</v>
      </c>
      <c r="V3246" s="7" t="str">
        <f>+IF(U3246="","",IF(U3246="FINES",CONCATENATE("R",IF(OR(B3246="16",B3246="21",B3246="22",B3246="23"),"16212223",IF(OR(B3246="15",B3246="17",B3246="24",B3246="25"),"15172425",B3246))),IF(U3246="CEBAS","UNICO",IF(VALUE(B3246)&lt;=11,"AMBA","INTERIOR"))))</f>
        <v>R12</v>
      </c>
      <c r="W3246" s="38" t="str">
        <f>+IF(U3246="","-",CONCATENATE(U3246,"_",V3246))</f>
        <v>FINES_R12</v>
      </c>
      <c r="X3246" s="42">
        <v>0.54400000000000004</v>
      </c>
    </row>
    <row r="3247" spans="1:24">
      <c r="A3247" s="21" t="s">
        <v>5100</v>
      </c>
      <c r="B3247" t="s">
        <v>140</v>
      </c>
      <c r="C3247" t="s">
        <v>2277</v>
      </c>
      <c r="D3247" t="s">
        <v>2278</v>
      </c>
      <c r="E3247" s="7" t="s">
        <v>198</v>
      </c>
      <c r="F3247" s="7" t="s">
        <v>198</v>
      </c>
      <c r="G3247" s="7" t="s">
        <v>198</v>
      </c>
      <c r="H3247" s="7" t="s">
        <v>20</v>
      </c>
      <c r="I3247" s="7" t="s">
        <v>5102</v>
      </c>
      <c r="J3247" s="7" t="s">
        <v>21</v>
      </c>
      <c r="L3247" t="s">
        <v>4538</v>
      </c>
      <c r="M3247" s="7" t="s">
        <v>22</v>
      </c>
      <c r="N3247" s="7" t="s">
        <v>23</v>
      </c>
      <c r="O3247" s="7" t="s">
        <v>27</v>
      </c>
      <c r="P3247" s="7" t="s">
        <v>5101</v>
      </c>
      <c r="Q3247" s="26">
        <v>16</v>
      </c>
      <c r="R3247" s="26">
        <v>1</v>
      </c>
      <c r="S3247" s="40">
        <v>1</v>
      </c>
      <c r="T3247" s="7"/>
      <c r="U3247" s="7" t="s">
        <v>2951</v>
      </c>
      <c r="V3247" s="7" t="str">
        <f>+IF(U3247="","",IF(U3247="FINES",CONCATENATE("R",IF(OR(B3247="16",B3247="21",B3247="22",B3247="23"),"16212223",IF(OR(B3247="15",B3247="17",B3247="24",B3247="25"),"15172425",B3247))),IF(U3247="CEBAS","UNICO",IF(VALUE(B3247)&lt;=11,"AMBA","INTERIOR"))))</f>
        <v>R12</v>
      </c>
      <c r="W3247" s="38" t="str">
        <f>+IF(U3247="","-",CONCATENATE(U3247,"_",V3247))</f>
        <v>FINES_R12</v>
      </c>
      <c r="X3247" s="42">
        <v>0.55400000000000005</v>
      </c>
    </row>
    <row r="3248" spans="1:24">
      <c r="A3248" s="21" t="s">
        <v>5100</v>
      </c>
      <c r="B3248" t="s">
        <v>140</v>
      </c>
      <c r="C3248" t="s">
        <v>136</v>
      </c>
      <c r="D3248" t="s">
        <v>559</v>
      </c>
      <c r="E3248" s="7" t="s">
        <v>198</v>
      </c>
      <c r="F3248" s="7" t="s">
        <v>198</v>
      </c>
      <c r="G3248" s="7" t="s">
        <v>198</v>
      </c>
      <c r="H3248" s="7" t="s">
        <v>20</v>
      </c>
      <c r="I3248" s="7" t="s">
        <v>5102</v>
      </c>
      <c r="J3248" s="7" t="s">
        <v>21</v>
      </c>
      <c r="L3248" t="s">
        <v>4508</v>
      </c>
      <c r="M3248" s="7" t="s">
        <v>22</v>
      </c>
      <c r="N3248" s="7" t="s">
        <v>23</v>
      </c>
      <c r="O3248" s="7" t="s">
        <v>27</v>
      </c>
      <c r="P3248" s="7" t="s">
        <v>5101</v>
      </c>
      <c r="Q3248" s="26">
        <v>20</v>
      </c>
      <c r="R3248" s="26">
        <v>1</v>
      </c>
      <c r="S3248" s="40">
        <v>1</v>
      </c>
      <c r="T3248" s="7"/>
      <c r="U3248" s="7" t="s">
        <v>2951</v>
      </c>
      <c r="V3248" s="7" t="str">
        <f>+IF(U3248="","",IF(U3248="FINES",CONCATENATE("R",IF(OR(B3248="16",B3248="21",B3248="22",B3248="23"),"16212223",IF(OR(B3248="15",B3248="17",B3248="24",B3248="25"),"15172425",B3248))),IF(U3248="CEBAS","UNICO",IF(VALUE(B3248)&lt;=11,"AMBA","INTERIOR"))))</f>
        <v>R12</v>
      </c>
      <c r="W3248" s="38" t="str">
        <f>+IF(U3248="","-",CONCATENATE(U3248,"_",V3248))</f>
        <v>FINES_R12</v>
      </c>
      <c r="X3248" s="42">
        <v>0.55500000000000005</v>
      </c>
    </row>
    <row r="3249" spans="1:24">
      <c r="A3249" s="21" t="s">
        <v>5100</v>
      </c>
      <c r="B3249" t="s">
        <v>140</v>
      </c>
      <c r="C3249" t="s">
        <v>2277</v>
      </c>
      <c r="D3249" t="s">
        <v>2278</v>
      </c>
      <c r="E3249" s="7" t="s">
        <v>198</v>
      </c>
      <c r="F3249" s="7" t="s">
        <v>198</v>
      </c>
      <c r="G3249" s="7" t="s">
        <v>198</v>
      </c>
      <c r="H3249" s="7" t="s">
        <v>20</v>
      </c>
      <c r="I3249" s="7" t="s">
        <v>5102</v>
      </c>
      <c r="J3249" s="7" t="s">
        <v>21</v>
      </c>
      <c r="L3249" t="s">
        <v>4530</v>
      </c>
      <c r="M3249" s="7" t="s">
        <v>22</v>
      </c>
      <c r="N3249" s="7" t="s">
        <v>23</v>
      </c>
      <c r="O3249" s="7" t="s">
        <v>27</v>
      </c>
      <c r="P3249" s="7" t="s">
        <v>5101</v>
      </c>
      <c r="Q3249" s="26">
        <v>15</v>
      </c>
      <c r="R3249" s="26">
        <v>1</v>
      </c>
      <c r="S3249" s="40">
        <v>1</v>
      </c>
      <c r="T3249" s="7"/>
      <c r="U3249" s="7" t="s">
        <v>2951</v>
      </c>
      <c r="V3249" s="7" t="str">
        <f>+IF(U3249="","",IF(U3249="FINES",CONCATENATE("R",IF(OR(B3249="16",B3249="21",B3249="22",B3249="23"),"16212223",IF(OR(B3249="15",B3249="17",B3249="24",B3249="25"),"15172425",B3249))),IF(U3249="CEBAS","UNICO",IF(VALUE(B3249)&lt;=11,"AMBA","INTERIOR"))))</f>
        <v>R12</v>
      </c>
      <c r="W3249" s="38" t="str">
        <f>+IF(U3249="","-",CONCATENATE(U3249,"_",V3249))</f>
        <v>FINES_R12</v>
      </c>
      <c r="X3249" s="42">
        <v>0.55600000000000005</v>
      </c>
    </row>
    <row r="3250" spans="1:24">
      <c r="A3250" s="21" t="s">
        <v>5100</v>
      </c>
      <c r="B3250" t="s">
        <v>140</v>
      </c>
      <c r="C3250" t="s">
        <v>2277</v>
      </c>
      <c r="D3250" t="s">
        <v>2278</v>
      </c>
      <c r="E3250" s="7" t="s">
        <v>198</v>
      </c>
      <c r="F3250" s="7" t="s">
        <v>198</v>
      </c>
      <c r="G3250" s="7" t="s">
        <v>198</v>
      </c>
      <c r="H3250" s="7" t="s">
        <v>20</v>
      </c>
      <c r="I3250" s="7" t="s">
        <v>5102</v>
      </c>
      <c r="J3250" s="7" t="s">
        <v>21</v>
      </c>
      <c r="L3250" t="s">
        <v>4532</v>
      </c>
      <c r="M3250" s="7" t="s">
        <v>22</v>
      </c>
      <c r="N3250" s="7" t="s">
        <v>23</v>
      </c>
      <c r="O3250" s="7" t="s">
        <v>27</v>
      </c>
      <c r="P3250" s="7" t="s">
        <v>5101</v>
      </c>
      <c r="Q3250" s="26">
        <v>18</v>
      </c>
      <c r="R3250" s="26">
        <v>1</v>
      </c>
      <c r="S3250" s="40">
        <v>1</v>
      </c>
      <c r="T3250" s="7"/>
      <c r="U3250" s="7" t="s">
        <v>2951</v>
      </c>
      <c r="V3250" s="7" t="str">
        <f>+IF(U3250="","",IF(U3250="FINES",CONCATENATE("R",IF(OR(B3250="16",B3250="21",B3250="22",B3250="23"),"16212223",IF(OR(B3250="15",B3250="17",B3250="24",B3250="25"),"15172425",B3250))),IF(U3250="CEBAS","UNICO",IF(VALUE(B3250)&lt;=11,"AMBA","INTERIOR"))))</f>
        <v>R12</v>
      </c>
      <c r="W3250" s="38" t="str">
        <f>+IF(U3250="","-",CONCATENATE(U3250,"_",V3250))</f>
        <v>FINES_R12</v>
      </c>
      <c r="X3250" s="42">
        <v>0.55800000000000005</v>
      </c>
    </row>
    <row r="3251" spans="1:24">
      <c r="A3251" s="21" t="s">
        <v>5100</v>
      </c>
      <c r="B3251" t="s">
        <v>140</v>
      </c>
      <c r="C3251" t="s">
        <v>2322</v>
      </c>
      <c r="D3251" t="s">
        <v>2323</v>
      </c>
      <c r="E3251" s="7" t="s">
        <v>198</v>
      </c>
      <c r="F3251" s="7" t="s">
        <v>198</v>
      </c>
      <c r="G3251" s="7" t="s">
        <v>198</v>
      </c>
      <c r="H3251" s="7" t="s">
        <v>20</v>
      </c>
      <c r="I3251" s="7" t="s">
        <v>5102</v>
      </c>
      <c r="J3251" s="7" t="s">
        <v>21</v>
      </c>
      <c r="L3251" t="s">
        <v>4541</v>
      </c>
      <c r="M3251" s="7" t="s">
        <v>22</v>
      </c>
      <c r="N3251" s="7" t="s">
        <v>23</v>
      </c>
      <c r="O3251" s="7" t="s">
        <v>27</v>
      </c>
      <c r="P3251" s="7" t="s">
        <v>5101</v>
      </c>
      <c r="Q3251" s="26">
        <v>9</v>
      </c>
      <c r="R3251" s="26">
        <v>1</v>
      </c>
      <c r="S3251" s="40">
        <v>1</v>
      </c>
      <c r="T3251" s="7"/>
      <c r="U3251" s="7" t="s">
        <v>2951</v>
      </c>
      <c r="V3251" s="7" t="str">
        <f>+IF(U3251="","",IF(U3251="FINES",CONCATENATE("R",IF(OR(B3251="16",B3251="21",B3251="22",B3251="23"),"16212223",IF(OR(B3251="15",B3251="17",B3251="24",B3251="25"),"15172425",B3251))),IF(U3251="CEBAS","UNICO",IF(VALUE(B3251)&lt;=11,"AMBA","INTERIOR"))))</f>
        <v>R12</v>
      </c>
      <c r="W3251" s="38" t="str">
        <f>+IF(U3251="","-",CONCATENATE(U3251,"_",V3251))</f>
        <v>FINES_R12</v>
      </c>
      <c r="X3251" s="42">
        <v>0.58299999999999996</v>
      </c>
    </row>
    <row r="3252" spans="1:24">
      <c r="A3252" s="21" t="s">
        <v>5100</v>
      </c>
      <c r="B3252" t="s">
        <v>140</v>
      </c>
      <c r="C3252" t="s">
        <v>539</v>
      </c>
      <c r="D3252" t="s">
        <v>541</v>
      </c>
      <c r="E3252" s="7" t="s">
        <v>198</v>
      </c>
      <c r="F3252" s="7" t="s">
        <v>198</v>
      </c>
      <c r="G3252" s="7" t="s">
        <v>198</v>
      </c>
      <c r="H3252" s="7" t="s">
        <v>20</v>
      </c>
      <c r="I3252" s="7" t="s">
        <v>5102</v>
      </c>
      <c r="J3252" s="7" t="s">
        <v>21</v>
      </c>
      <c r="L3252" t="s">
        <v>4515</v>
      </c>
      <c r="M3252" s="7" t="s">
        <v>22</v>
      </c>
      <c r="N3252" s="7" t="s">
        <v>23</v>
      </c>
      <c r="O3252" s="7" t="s">
        <v>27</v>
      </c>
      <c r="P3252" s="7" t="s">
        <v>5101</v>
      </c>
      <c r="Q3252" s="26">
        <v>19</v>
      </c>
      <c r="R3252" s="26">
        <v>1</v>
      </c>
      <c r="S3252" s="40">
        <v>1</v>
      </c>
      <c r="T3252" s="7"/>
      <c r="U3252" s="7" t="s">
        <v>2951</v>
      </c>
      <c r="V3252" s="7" t="str">
        <f>+IF(U3252="","",IF(U3252="FINES",CONCATENATE("R",IF(OR(B3252="16",B3252="21",B3252="22",B3252="23"),"16212223",IF(OR(B3252="15",B3252="17",B3252="24",B3252="25"),"15172425",B3252))),IF(U3252="CEBAS","UNICO",IF(VALUE(B3252)&lt;=11,"AMBA","INTERIOR"))))</f>
        <v>R12</v>
      </c>
      <c r="W3252" s="38" t="str">
        <f>+IF(U3252="","-",CONCATENATE(U3252,"_",V3252))</f>
        <v>FINES_R12</v>
      </c>
      <c r="X3252" s="42">
        <v>0.61199999999999999</v>
      </c>
    </row>
    <row r="3253" spans="1:24">
      <c r="A3253" s="21" t="s">
        <v>5100</v>
      </c>
      <c r="B3253" t="s">
        <v>140</v>
      </c>
      <c r="C3253" t="s">
        <v>2149</v>
      </c>
      <c r="D3253" t="s">
        <v>2150</v>
      </c>
      <c r="E3253" s="7" t="s">
        <v>198</v>
      </c>
      <c r="F3253" s="7" t="s">
        <v>198</v>
      </c>
      <c r="G3253" s="7" t="s">
        <v>198</v>
      </c>
      <c r="H3253" s="7" t="s">
        <v>20</v>
      </c>
      <c r="I3253" s="7" t="s">
        <v>5102</v>
      </c>
      <c r="J3253" s="7" t="s">
        <v>21</v>
      </c>
      <c r="L3253" t="s">
        <v>4522</v>
      </c>
      <c r="M3253" s="7" t="s">
        <v>22</v>
      </c>
      <c r="N3253" s="7" t="s">
        <v>23</v>
      </c>
      <c r="O3253" s="7" t="s">
        <v>27</v>
      </c>
      <c r="P3253" s="7" t="s">
        <v>5101</v>
      </c>
      <c r="Q3253" s="26">
        <v>11</v>
      </c>
      <c r="R3253" s="26">
        <v>1</v>
      </c>
      <c r="S3253" s="40">
        <v>1</v>
      </c>
      <c r="T3253" s="7"/>
      <c r="U3253" s="7" t="s">
        <v>2951</v>
      </c>
      <c r="V3253" s="7" t="str">
        <f>+IF(U3253="","",IF(U3253="FINES",CONCATENATE("R",IF(OR(B3253="16",B3253="21",B3253="22",B3253="23"),"16212223",IF(OR(B3253="15",B3253="17",B3253="24",B3253="25"),"15172425",B3253))),IF(U3253="CEBAS","UNICO",IF(VALUE(B3253)&lt;=11,"AMBA","INTERIOR"))))</f>
        <v>R12</v>
      </c>
      <c r="W3253" s="38" t="str">
        <f>+IF(U3253="","-",CONCATENATE(U3253,"_",V3253))</f>
        <v>FINES_R12</v>
      </c>
      <c r="X3253" s="42">
        <v>0.623</v>
      </c>
    </row>
    <row r="3254" spans="1:24">
      <c r="A3254" s="21" t="s">
        <v>5100</v>
      </c>
      <c r="B3254" t="s">
        <v>140</v>
      </c>
      <c r="C3254" t="s">
        <v>2322</v>
      </c>
      <c r="D3254" t="s">
        <v>2323</v>
      </c>
      <c r="E3254" s="7" t="s">
        <v>198</v>
      </c>
      <c r="F3254" s="7" t="s">
        <v>198</v>
      </c>
      <c r="G3254" s="7" t="s">
        <v>198</v>
      </c>
      <c r="H3254" s="7" t="s">
        <v>20</v>
      </c>
      <c r="I3254" s="7" t="s">
        <v>5102</v>
      </c>
      <c r="J3254" s="7" t="s">
        <v>21</v>
      </c>
      <c r="L3254" t="s">
        <v>4548</v>
      </c>
      <c r="M3254" s="7" t="s">
        <v>22</v>
      </c>
      <c r="N3254" s="7" t="s">
        <v>23</v>
      </c>
      <c r="O3254" s="7" t="s">
        <v>27</v>
      </c>
      <c r="P3254" s="7" t="s">
        <v>5101</v>
      </c>
      <c r="Q3254" s="26">
        <v>12</v>
      </c>
      <c r="R3254" s="26">
        <v>1</v>
      </c>
      <c r="S3254" s="40">
        <v>1</v>
      </c>
      <c r="T3254" s="7"/>
      <c r="U3254" s="7" t="s">
        <v>2951</v>
      </c>
      <c r="V3254" s="7" t="str">
        <f>+IF(U3254="","",IF(U3254="FINES",CONCATENATE("R",IF(OR(B3254="16",B3254="21",B3254="22",B3254="23"),"16212223",IF(OR(B3254="15",B3254="17",B3254="24",B3254="25"),"15172425",B3254))),IF(U3254="CEBAS","UNICO",IF(VALUE(B3254)&lt;=11,"AMBA","INTERIOR"))))</f>
        <v>R12</v>
      </c>
      <c r="W3254" s="38" t="str">
        <f>+IF(U3254="","-",CONCATENATE(U3254,"_",V3254))</f>
        <v>FINES_R12</v>
      </c>
      <c r="X3254" s="42">
        <v>0.63400000000000001</v>
      </c>
    </row>
    <row r="3255" spans="1:24">
      <c r="A3255" s="21" t="s">
        <v>5100</v>
      </c>
      <c r="B3255" t="s">
        <v>140</v>
      </c>
      <c r="C3255" t="s">
        <v>412</v>
      </c>
      <c r="D3255" t="s">
        <v>2714</v>
      </c>
      <c r="E3255" s="7" t="s">
        <v>198</v>
      </c>
      <c r="F3255" s="7" t="s">
        <v>198</v>
      </c>
      <c r="G3255" s="7" t="s">
        <v>198</v>
      </c>
      <c r="H3255" s="7" t="s">
        <v>20</v>
      </c>
      <c r="I3255" s="7" t="s">
        <v>5102</v>
      </c>
      <c r="J3255" s="7" t="s">
        <v>21</v>
      </c>
      <c r="L3255" t="s">
        <v>4517</v>
      </c>
      <c r="M3255" s="7" t="s">
        <v>22</v>
      </c>
      <c r="N3255" s="7" t="s">
        <v>23</v>
      </c>
      <c r="O3255" s="7" t="s">
        <v>27</v>
      </c>
      <c r="P3255" s="7" t="s">
        <v>5101</v>
      </c>
      <c r="Q3255" s="26">
        <v>30</v>
      </c>
      <c r="R3255" s="26">
        <v>2</v>
      </c>
      <c r="S3255" s="40">
        <v>1</v>
      </c>
      <c r="T3255" s="7"/>
      <c r="U3255" s="7" t="s">
        <v>2951</v>
      </c>
      <c r="V3255" s="7" t="str">
        <f>+IF(U3255="","",IF(U3255="FINES",CONCATENATE("R",IF(OR(B3255="16",B3255="21",B3255="22",B3255="23"),"16212223",IF(OR(B3255="15",B3255="17",B3255="24",B3255="25"),"15172425",B3255))),IF(U3255="CEBAS","UNICO",IF(VALUE(B3255)&lt;=11,"AMBA","INTERIOR"))))</f>
        <v>R12</v>
      </c>
      <c r="W3255" s="38" t="str">
        <f>+IF(U3255="","-",CONCATENATE(U3255,"_",V3255))</f>
        <v>FINES_R12</v>
      </c>
      <c r="X3255" s="42">
        <v>0.65100000000000002</v>
      </c>
    </row>
    <row r="3256" spans="1:24">
      <c r="A3256" s="21" t="s">
        <v>5100</v>
      </c>
      <c r="B3256" t="s">
        <v>140</v>
      </c>
      <c r="C3256" t="s">
        <v>2322</v>
      </c>
      <c r="D3256" t="s">
        <v>2323</v>
      </c>
      <c r="E3256" s="7" t="s">
        <v>198</v>
      </c>
      <c r="F3256" s="7" t="s">
        <v>198</v>
      </c>
      <c r="G3256" s="7" t="s">
        <v>198</v>
      </c>
      <c r="H3256" s="7" t="s">
        <v>20</v>
      </c>
      <c r="I3256" s="7" t="s">
        <v>5102</v>
      </c>
      <c r="J3256" s="7" t="s">
        <v>21</v>
      </c>
      <c r="L3256" t="s">
        <v>4542</v>
      </c>
      <c r="M3256" s="7" t="s">
        <v>22</v>
      </c>
      <c r="N3256" s="7" t="s">
        <v>23</v>
      </c>
      <c r="O3256" s="7" t="s">
        <v>27</v>
      </c>
      <c r="P3256" s="7" t="s">
        <v>5101</v>
      </c>
      <c r="Q3256" s="26">
        <v>11</v>
      </c>
      <c r="R3256" s="26">
        <v>1</v>
      </c>
      <c r="S3256" s="40">
        <v>1</v>
      </c>
      <c r="T3256" s="7"/>
      <c r="U3256" s="7" t="s">
        <v>2951</v>
      </c>
      <c r="V3256" s="7" t="str">
        <f>+IF(U3256="","",IF(U3256="FINES",CONCATENATE("R",IF(OR(B3256="16",B3256="21",B3256="22",B3256="23"),"16212223",IF(OR(B3256="15",B3256="17",B3256="24",B3256="25"),"15172425",B3256))),IF(U3256="CEBAS","UNICO",IF(VALUE(B3256)&lt;=11,"AMBA","INTERIOR"))))</f>
        <v>R12</v>
      </c>
      <c r="W3256" s="38" t="str">
        <f>+IF(U3256="","-",CONCATENATE(U3256,"_",V3256))</f>
        <v>FINES_R12</v>
      </c>
      <c r="X3256" s="42">
        <v>0.66900000000000004</v>
      </c>
    </row>
    <row r="3257" spans="1:24">
      <c r="A3257" s="21" t="s">
        <v>5100</v>
      </c>
      <c r="B3257" t="s">
        <v>140</v>
      </c>
      <c r="C3257" t="s">
        <v>2149</v>
      </c>
      <c r="D3257" t="s">
        <v>2150</v>
      </c>
      <c r="E3257" s="7" t="s">
        <v>198</v>
      </c>
      <c r="F3257" s="7" t="s">
        <v>198</v>
      </c>
      <c r="G3257" s="7" t="s">
        <v>198</v>
      </c>
      <c r="H3257" s="7" t="s">
        <v>20</v>
      </c>
      <c r="I3257" s="7" t="s">
        <v>5102</v>
      </c>
      <c r="J3257" s="7" t="s">
        <v>21</v>
      </c>
      <c r="L3257" t="s">
        <v>4525</v>
      </c>
      <c r="M3257" s="7" t="s">
        <v>22</v>
      </c>
      <c r="N3257" s="7" t="s">
        <v>23</v>
      </c>
      <c r="O3257" s="7" t="s">
        <v>27</v>
      </c>
      <c r="P3257" s="7" t="s">
        <v>5101</v>
      </c>
      <c r="Q3257" s="26">
        <v>15</v>
      </c>
      <c r="R3257" s="26">
        <v>1</v>
      </c>
      <c r="S3257" s="40">
        <v>1</v>
      </c>
      <c r="T3257" s="7"/>
      <c r="U3257" s="7" t="s">
        <v>2951</v>
      </c>
      <c r="V3257" s="7" t="str">
        <f>+IF(U3257="","",IF(U3257="FINES",CONCATENATE("R",IF(OR(B3257="16",B3257="21",B3257="22",B3257="23"),"16212223",IF(OR(B3257="15",B3257="17",B3257="24",B3257="25"),"15172425",B3257))),IF(U3257="CEBAS","UNICO",IF(VALUE(B3257)&lt;=11,"AMBA","INTERIOR"))))</f>
        <v>R12</v>
      </c>
      <c r="W3257" s="38" t="str">
        <f>+IF(U3257="","-",CONCATENATE(U3257,"_",V3257))</f>
        <v>FINES_R12</v>
      </c>
      <c r="X3257" s="42">
        <v>0.69099999999999995</v>
      </c>
    </row>
    <row r="3258" spans="1:24">
      <c r="A3258" s="21" t="s">
        <v>5100</v>
      </c>
      <c r="B3258" t="s">
        <v>140</v>
      </c>
      <c r="C3258" t="s">
        <v>2149</v>
      </c>
      <c r="D3258" t="s">
        <v>2150</v>
      </c>
      <c r="E3258" s="7" t="s">
        <v>198</v>
      </c>
      <c r="F3258" s="7" t="s">
        <v>198</v>
      </c>
      <c r="G3258" s="7" t="s">
        <v>198</v>
      </c>
      <c r="H3258" s="7" t="s">
        <v>20</v>
      </c>
      <c r="I3258" s="7" t="s">
        <v>5102</v>
      </c>
      <c r="J3258" s="7" t="s">
        <v>21</v>
      </c>
      <c r="L3258" t="s">
        <v>3926</v>
      </c>
      <c r="M3258" s="7" t="s">
        <v>22</v>
      </c>
      <c r="N3258" s="7" t="s">
        <v>23</v>
      </c>
      <c r="O3258" s="7" t="s">
        <v>27</v>
      </c>
      <c r="P3258" s="7" t="s">
        <v>5101</v>
      </c>
      <c r="Q3258" s="26">
        <v>26</v>
      </c>
      <c r="R3258" s="26">
        <v>1</v>
      </c>
      <c r="S3258" s="40">
        <v>1</v>
      </c>
      <c r="T3258" s="7"/>
      <c r="U3258" s="7" t="s">
        <v>2951</v>
      </c>
      <c r="V3258" s="7" t="str">
        <f>+IF(U3258="","",IF(U3258="FINES",CONCATENATE("R",IF(OR(B3258="16",B3258="21",B3258="22",B3258="23"),"16212223",IF(OR(B3258="15",B3258="17",B3258="24",B3258="25"),"15172425",B3258))),IF(U3258="CEBAS","UNICO",IF(VALUE(B3258)&lt;=11,"AMBA","INTERIOR"))))</f>
        <v>R12</v>
      </c>
      <c r="W3258" s="38" t="str">
        <f>+IF(U3258="","-",CONCATENATE(U3258,"_",V3258))</f>
        <v>FINES_R12</v>
      </c>
      <c r="X3258" s="42">
        <v>0.69399999999999995</v>
      </c>
    </row>
    <row r="3259" spans="1:24">
      <c r="A3259" s="21" t="s">
        <v>5100</v>
      </c>
      <c r="B3259" t="s">
        <v>140</v>
      </c>
      <c r="C3259" t="s">
        <v>2277</v>
      </c>
      <c r="D3259" t="s">
        <v>2278</v>
      </c>
      <c r="E3259" s="7" t="s">
        <v>198</v>
      </c>
      <c r="F3259" s="7" t="s">
        <v>198</v>
      </c>
      <c r="G3259" s="7" t="s">
        <v>198</v>
      </c>
      <c r="H3259" s="7" t="s">
        <v>20</v>
      </c>
      <c r="I3259" s="7" t="s">
        <v>5102</v>
      </c>
      <c r="J3259" s="7" t="s">
        <v>21</v>
      </c>
      <c r="L3259" t="s">
        <v>4536</v>
      </c>
      <c r="M3259" s="7" t="s">
        <v>22</v>
      </c>
      <c r="N3259" s="7" t="s">
        <v>23</v>
      </c>
      <c r="O3259" s="7" t="s">
        <v>27</v>
      </c>
      <c r="P3259" s="7" t="s">
        <v>5101</v>
      </c>
      <c r="Q3259" s="26">
        <v>18</v>
      </c>
      <c r="R3259" s="26">
        <v>1</v>
      </c>
      <c r="S3259" s="40">
        <v>1</v>
      </c>
      <c r="T3259" s="7"/>
      <c r="U3259" s="7" t="s">
        <v>2951</v>
      </c>
      <c r="V3259" s="7" t="str">
        <f>+IF(U3259="","",IF(U3259="FINES",CONCATENATE("R",IF(OR(B3259="16",B3259="21",B3259="22",B3259="23"),"16212223",IF(OR(B3259="15",B3259="17",B3259="24",B3259="25"),"15172425",B3259))),IF(U3259="CEBAS","UNICO",IF(VALUE(B3259)&lt;=11,"AMBA","INTERIOR"))))</f>
        <v>R12</v>
      </c>
      <c r="W3259" s="38" t="str">
        <f>+IF(U3259="","-",CONCATENATE(U3259,"_",V3259))</f>
        <v>FINES_R12</v>
      </c>
      <c r="X3259" s="42">
        <v>0.79700000000000004</v>
      </c>
    </row>
    <row r="3260" spans="1:24">
      <c r="A3260" s="21" t="s">
        <v>5100</v>
      </c>
      <c r="B3260" t="s">
        <v>140</v>
      </c>
      <c r="C3260" t="s">
        <v>2322</v>
      </c>
      <c r="D3260" t="s">
        <v>2323</v>
      </c>
      <c r="E3260" s="7" t="s">
        <v>198</v>
      </c>
      <c r="F3260" s="7" t="s">
        <v>198</v>
      </c>
      <c r="G3260" s="7" t="s">
        <v>198</v>
      </c>
      <c r="H3260" s="7" t="s">
        <v>20</v>
      </c>
      <c r="I3260" s="7" t="s">
        <v>5102</v>
      </c>
      <c r="J3260" s="7" t="s">
        <v>21</v>
      </c>
      <c r="L3260" t="s">
        <v>4547</v>
      </c>
      <c r="M3260" s="7" t="s">
        <v>22</v>
      </c>
      <c r="N3260" s="7" t="s">
        <v>23</v>
      </c>
      <c r="O3260" s="7" t="s">
        <v>27</v>
      </c>
      <c r="P3260" s="7" t="s">
        <v>5101</v>
      </c>
      <c r="Q3260" s="26">
        <v>10</v>
      </c>
      <c r="R3260" s="26">
        <v>1</v>
      </c>
      <c r="S3260" s="40">
        <v>1</v>
      </c>
      <c r="T3260" s="7"/>
      <c r="U3260" s="7" t="s">
        <v>2951</v>
      </c>
      <c r="V3260" s="7" t="str">
        <f>+IF(U3260="","",IF(U3260="FINES",CONCATENATE("R",IF(OR(B3260="16",B3260="21",B3260="22",B3260="23"),"16212223",IF(OR(B3260="15",B3260="17",B3260="24",B3260="25"),"15172425",B3260))),IF(U3260="CEBAS","UNICO",IF(VALUE(B3260)&lt;=11,"AMBA","INTERIOR"))))</f>
        <v>R12</v>
      </c>
      <c r="W3260" s="38" t="str">
        <f>+IF(U3260="","-",CONCATENATE(U3260,"_",V3260))</f>
        <v>FINES_R12</v>
      </c>
      <c r="X3260" s="42">
        <v>0.83</v>
      </c>
    </row>
    <row r="3261" spans="1:24">
      <c r="A3261" s="21" t="s">
        <v>5100</v>
      </c>
      <c r="B3261" t="s">
        <v>140</v>
      </c>
      <c r="C3261" t="s">
        <v>539</v>
      </c>
      <c r="D3261" t="s">
        <v>541</v>
      </c>
      <c r="E3261" s="7" t="s">
        <v>198</v>
      </c>
      <c r="F3261" s="7" t="s">
        <v>198</v>
      </c>
      <c r="G3261" s="7" t="s">
        <v>198</v>
      </c>
      <c r="H3261" s="7" t="s">
        <v>20</v>
      </c>
      <c r="I3261" s="7" t="s">
        <v>5102</v>
      </c>
      <c r="J3261" s="7" t="s">
        <v>21</v>
      </c>
      <c r="L3261" t="s">
        <v>4512</v>
      </c>
      <c r="M3261" s="7" t="s">
        <v>22</v>
      </c>
      <c r="N3261" s="7" t="s">
        <v>23</v>
      </c>
      <c r="O3261" s="7" t="s">
        <v>27</v>
      </c>
      <c r="P3261" s="7" t="s">
        <v>5101</v>
      </c>
      <c r="Q3261" s="26">
        <v>31</v>
      </c>
      <c r="R3261" s="26">
        <v>1</v>
      </c>
      <c r="S3261" s="40">
        <v>1</v>
      </c>
      <c r="T3261" s="7"/>
      <c r="U3261" s="7" t="s">
        <v>2951</v>
      </c>
      <c r="V3261" s="7" t="str">
        <f>+IF(U3261="","",IF(U3261="FINES",CONCATENATE("R",IF(OR(B3261="16",B3261="21",B3261="22",B3261="23"),"16212223",IF(OR(B3261="15",B3261="17",B3261="24",B3261="25"),"15172425",B3261))),IF(U3261="CEBAS","UNICO",IF(VALUE(B3261)&lt;=11,"AMBA","INTERIOR"))))</f>
        <v>R12</v>
      </c>
      <c r="W3261" s="38" t="str">
        <f>+IF(U3261="","-",CONCATENATE(U3261,"_",V3261))</f>
        <v>FINES_R12</v>
      </c>
      <c r="X3261" s="42">
        <v>0.86499999999999999</v>
      </c>
    </row>
    <row r="3262" spans="1:24">
      <c r="A3262" s="21" t="s">
        <v>5100</v>
      </c>
      <c r="B3262" t="s">
        <v>140</v>
      </c>
      <c r="C3262" t="s">
        <v>2322</v>
      </c>
      <c r="D3262" t="s">
        <v>2323</v>
      </c>
      <c r="E3262" s="7" t="s">
        <v>198</v>
      </c>
      <c r="F3262" s="7" t="s">
        <v>198</v>
      </c>
      <c r="G3262" s="7" t="s">
        <v>198</v>
      </c>
      <c r="H3262" s="7" t="s">
        <v>20</v>
      </c>
      <c r="I3262" s="7" t="s">
        <v>5102</v>
      </c>
      <c r="J3262" s="7" t="s">
        <v>21</v>
      </c>
      <c r="L3262" t="s">
        <v>4540</v>
      </c>
      <c r="M3262" s="7" t="s">
        <v>22</v>
      </c>
      <c r="N3262" s="7" t="s">
        <v>23</v>
      </c>
      <c r="O3262" s="7" t="s">
        <v>27</v>
      </c>
      <c r="P3262" s="7" t="s">
        <v>5101</v>
      </c>
      <c r="Q3262" s="26">
        <v>31</v>
      </c>
      <c r="R3262" s="26">
        <v>1</v>
      </c>
      <c r="S3262" s="40">
        <v>1</v>
      </c>
      <c r="T3262" s="7"/>
      <c r="U3262" s="7" t="s">
        <v>2951</v>
      </c>
      <c r="V3262" s="7" t="str">
        <f>+IF(U3262="","",IF(U3262="FINES",CONCATENATE("R",IF(OR(B3262="16",B3262="21",B3262="22",B3262="23"),"16212223",IF(OR(B3262="15",B3262="17",B3262="24",B3262="25"),"15172425",B3262))),IF(U3262="CEBAS","UNICO",IF(VALUE(B3262)&lt;=11,"AMBA","INTERIOR"))))</f>
        <v>R12</v>
      </c>
      <c r="W3262" s="38" t="str">
        <f>+IF(U3262="","-",CONCATENATE(U3262,"_",V3262))</f>
        <v>FINES_R12</v>
      </c>
      <c r="X3262" s="42">
        <v>0.89</v>
      </c>
    </row>
    <row r="3263" spans="1:24">
      <c r="A3263" s="21" t="s">
        <v>5100</v>
      </c>
      <c r="B3263" t="s">
        <v>140</v>
      </c>
      <c r="C3263" t="s">
        <v>2322</v>
      </c>
      <c r="D3263" t="s">
        <v>2323</v>
      </c>
      <c r="E3263" s="7" t="s">
        <v>198</v>
      </c>
      <c r="F3263" s="7" t="s">
        <v>198</v>
      </c>
      <c r="G3263" s="7" t="s">
        <v>198</v>
      </c>
      <c r="H3263" s="7" t="s">
        <v>20</v>
      </c>
      <c r="I3263" s="7" t="s">
        <v>5102</v>
      </c>
      <c r="J3263" s="7" t="s">
        <v>21</v>
      </c>
      <c r="L3263" t="s">
        <v>4543</v>
      </c>
      <c r="M3263" s="7" t="s">
        <v>22</v>
      </c>
      <c r="N3263" s="7" t="s">
        <v>23</v>
      </c>
      <c r="O3263" s="7" t="s">
        <v>27</v>
      </c>
      <c r="P3263" s="7" t="s">
        <v>5101</v>
      </c>
      <c r="Q3263" s="26">
        <v>15</v>
      </c>
      <c r="R3263" s="26">
        <v>1</v>
      </c>
      <c r="S3263" s="40">
        <v>1</v>
      </c>
      <c r="T3263" s="7"/>
      <c r="U3263" s="7" t="s">
        <v>2951</v>
      </c>
      <c r="V3263" s="7" t="str">
        <f>+IF(U3263="","",IF(U3263="FINES",CONCATENATE("R",IF(OR(B3263="16",B3263="21",B3263="22",B3263="23"),"16212223",IF(OR(B3263="15",B3263="17",B3263="24",B3263="25"),"15172425",B3263))),IF(U3263="CEBAS","UNICO",IF(VALUE(B3263)&lt;=11,"AMBA","INTERIOR"))))</f>
        <v>R12</v>
      </c>
      <c r="W3263" s="38" t="str">
        <f>+IF(U3263="","-",CONCATENATE(U3263,"_",V3263))</f>
        <v>FINES_R12</v>
      </c>
      <c r="X3263" s="42">
        <v>0.89800000000000002</v>
      </c>
    </row>
    <row r="3264" spans="1:24">
      <c r="A3264" s="21" t="s">
        <v>5100</v>
      </c>
      <c r="B3264" t="s">
        <v>140</v>
      </c>
      <c r="C3264" t="s">
        <v>136</v>
      </c>
      <c r="D3264" t="s">
        <v>559</v>
      </c>
      <c r="E3264" s="7" t="s">
        <v>198</v>
      </c>
      <c r="F3264" s="7" t="s">
        <v>198</v>
      </c>
      <c r="G3264" s="7" t="s">
        <v>198</v>
      </c>
      <c r="H3264" s="7" t="s">
        <v>20</v>
      </c>
      <c r="I3264" s="7" t="s">
        <v>5102</v>
      </c>
      <c r="J3264" s="7" t="s">
        <v>21</v>
      </c>
      <c r="L3264" t="s">
        <v>4509</v>
      </c>
      <c r="M3264" s="7" t="s">
        <v>22</v>
      </c>
      <c r="N3264" s="7" t="s">
        <v>23</v>
      </c>
      <c r="O3264" s="7" t="s">
        <v>27</v>
      </c>
      <c r="P3264" s="7" t="s">
        <v>5101</v>
      </c>
      <c r="Q3264" s="26">
        <v>47</v>
      </c>
      <c r="R3264" s="26">
        <v>1</v>
      </c>
      <c r="S3264" s="40">
        <v>1</v>
      </c>
      <c r="T3264" s="7"/>
      <c r="U3264" s="7" t="s">
        <v>2951</v>
      </c>
      <c r="V3264" s="7" t="str">
        <f>+IF(U3264="","",IF(U3264="FINES",CONCATENATE("R",IF(OR(B3264="16",B3264="21",B3264="22",B3264="23"),"16212223",IF(OR(B3264="15",B3264="17",B3264="24",B3264="25"),"15172425",B3264))),IF(U3264="CEBAS","UNICO",IF(VALUE(B3264)&lt;=11,"AMBA","INTERIOR"))))</f>
        <v>R12</v>
      </c>
      <c r="W3264" s="38" t="str">
        <f>+IF(U3264="","-",CONCATENATE(U3264,"_",V3264))</f>
        <v>FINES_R12</v>
      </c>
      <c r="X3264" s="42">
        <v>0.90800000000000003</v>
      </c>
    </row>
    <row r="3265" spans="1:24">
      <c r="A3265" s="21" t="s">
        <v>5100</v>
      </c>
      <c r="B3265" t="s">
        <v>140</v>
      </c>
      <c r="C3265" t="s">
        <v>2322</v>
      </c>
      <c r="D3265" t="s">
        <v>2323</v>
      </c>
      <c r="E3265" s="7" t="s">
        <v>198</v>
      </c>
      <c r="F3265" s="7" t="s">
        <v>198</v>
      </c>
      <c r="G3265" s="7" t="s">
        <v>198</v>
      </c>
      <c r="H3265" s="7" t="s">
        <v>20</v>
      </c>
      <c r="I3265" s="7" t="s">
        <v>5102</v>
      </c>
      <c r="J3265" s="7" t="s">
        <v>21</v>
      </c>
      <c r="L3265" t="s">
        <v>4545</v>
      </c>
      <c r="M3265" s="7" t="s">
        <v>22</v>
      </c>
      <c r="N3265" s="7" t="s">
        <v>23</v>
      </c>
      <c r="O3265" s="7" t="s">
        <v>27</v>
      </c>
      <c r="P3265" s="7" t="s">
        <v>5101</v>
      </c>
      <c r="Q3265" s="26">
        <v>13</v>
      </c>
      <c r="R3265" s="26">
        <v>1</v>
      </c>
      <c r="S3265" s="40">
        <v>1</v>
      </c>
      <c r="T3265" s="7"/>
      <c r="U3265" s="7" t="s">
        <v>2951</v>
      </c>
      <c r="V3265" s="7" t="str">
        <f>+IF(U3265="","",IF(U3265="FINES",CONCATENATE("R",IF(OR(B3265="16",B3265="21",B3265="22",B3265="23"),"16212223",IF(OR(B3265="15",B3265="17",B3265="24",B3265="25"),"15172425",B3265))),IF(U3265="CEBAS","UNICO",IF(VALUE(B3265)&lt;=11,"AMBA","INTERIOR"))))</f>
        <v>R12</v>
      </c>
      <c r="W3265" s="38" t="str">
        <f>+IF(U3265="","-",CONCATENATE(U3265,"_",V3265))</f>
        <v>FINES_R12</v>
      </c>
      <c r="X3265" s="42">
        <v>0.90800000000000003</v>
      </c>
    </row>
    <row r="3266" spans="1:24">
      <c r="A3266" s="21" t="s">
        <v>5100</v>
      </c>
      <c r="B3266" t="s">
        <v>140</v>
      </c>
      <c r="C3266" t="s">
        <v>2277</v>
      </c>
      <c r="D3266" t="s">
        <v>2278</v>
      </c>
      <c r="E3266" s="7" t="s">
        <v>198</v>
      </c>
      <c r="F3266" s="7" t="s">
        <v>198</v>
      </c>
      <c r="G3266" s="7" t="s">
        <v>198</v>
      </c>
      <c r="H3266" s="7" t="s">
        <v>20</v>
      </c>
      <c r="I3266" s="7" t="s">
        <v>5102</v>
      </c>
      <c r="J3266" s="7" t="s">
        <v>21</v>
      </c>
      <c r="L3266" t="s">
        <v>4528</v>
      </c>
      <c r="M3266" s="7" t="s">
        <v>22</v>
      </c>
      <c r="N3266" s="7" t="s">
        <v>23</v>
      </c>
      <c r="O3266" s="7" t="s">
        <v>27</v>
      </c>
      <c r="P3266" s="7" t="s">
        <v>5101</v>
      </c>
      <c r="Q3266" s="26">
        <v>9</v>
      </c>
      <c r="R3266" s="26">
        <v>1</v>
      </c>
      <c r="S3266" s="40">
        <v>1</v>
      </c>
      <c r="T3266" s="7"/>
      <c r="U3266" s="7" t="s">
        <v>2951</v>
      </c>
      <c r="V3266" s="7" t="str">
        <f>+IF(U3266="","",IF(U3266="FINES",CONCATENATE("R",IF(OR(B3266="16",B3266="21",B3266="22",B3266="23"),"16212223",IF(OR(B3266="15",B3266="17",B3266="24",B3266="25"),"15172425",B3266))),IF(U3266="CEBAS","UNICO",IF(VALUE(B3266)&lt;=11,"AMBA","INTERIOR"))))</f>
        <v>R12</v>
      </c>
      <c r="W3266" s="38" t="str">
        <f>+IF(U3266="","-",CONCATENATE(U3266,"_",V3266))</f>
        <v>FINES_R12</v>
      </c>
      <c r="X3266" s="42">
        <v>0.93799999999999994</v>
      </c>
    </row>
    <row r="3267" spans="1:24">
      <c r="A3267" s="21" t="s">
        <v>5100</v>
      </c>
      <c r="B3267" t="s">
        <v>140</v>
      </c>
      <c r="C3267" t="s">
        <v>2149</v>
      </c>
      <c r="D3267" t="s">
        <v>2150</v>
      </c>
      <c r="E3267" s="7" t="s">
        <v>198</v>
      </c>
      <c r="F3267" s="7" t="s">
        <v>198</v>
      </c>
      <c r="G3267" s="7" t="s">
        <v>198</v>
      </c>
      <c r="H3267" s="7" t="s">
        <v>20</v>
      </c>
      <c r="I3267" s="7" t="s">
        <v>5102</v>
      </c>
      <c r="J3267" s="7" t="s">
        <v>21</v>
      </c>
      <c r="L3267" t="s">
        <v>4521</v>
      </c>
      <c r="M3267" s="7" t="s">
        <v>22</v>
      </c>
      <c r="N3267" s="7" t="s">
        <v>23</v>
      </c>
      <c r="O3267" s="7" t="s">
        <v>27</v>
      </c>
      <c r="P3267" s="7" t="s">
        <v>5101</v>
      </c>
      <c r="Q3267" s="26">
        <v>66</v>
      </c>
      <c r="R3267" s="26">
        <v>3</v>
      </c>
      <c r="S3267" s="40">
        <v>1</v>
      </c>
      <c r="T3267" s="7"/>
      <c r="U3267" s="7" t="s">
        <v>2951</v>
      </c>
      <c r="V3267" s="7" t="str">
        <f>+IF(U3267="","",IF(U3267="FINES",CONCATENATE("R",IF(OR(B3267="16",B3267="21",B3267="22",B3267="23"),"16212223",IF(OR(B3267="15",B3267="17",B3267="24",B3267="25"),"15172425",B3267))),IF(U3267="CEBAS","UNICO",IF(VALUE(B3267)&lt;=11,"AMBA","INTERIOR"))))</f>
        <v>R12</v>
      </c>
      <c r="W3267" s="38" t="str">
        <f>+IF(U3267="","-",CONCATENATE(U3267,"_",V3267))</f>
        <v>FINES_R12</v>
      </c>
      <c r="X3267" s="42">
        <v>0.94699999999999995</v>
      </c>
    </row>
    <row r="3268" spans="1:24">
      <c r="A3268" s="21" t="s">
        <v>5100</v>
      </c>
      <c r="B3268" t="s">
        <v>140</v>
      </c>
      <c r="C3268" t="s">
        <v>2149</v>
      </c>
      <c r="D3268" t="s">
        <v>2150</v>
      </c>
      <c r="E3268" s="7" t="s">
        <v>198</v>
      </c>
      <c r="F3268" s="7" t="s">
        <v>198</v>
      </c>
      <c r="G3268" s="7" t="s">
        <v>198</v>
      </c>
      <c r="H3268" s="7" t="s">
        <v>20</v>
      </c>
      <c r="I3268" s="7" t="s">
        <v>5102</v>
      </c>
      <c r="J3268" s="7" t="s">
        <v>21</v>
      </c>
      <c r="L3268" t="s">
        <v>4519</v>
      </c>
      <c r="M3268" s="7" t="s">
        <v>22</v>
      </c>
      <c r="N3268" s="7" t="s">
        <v>23</v>
      </c>
      <c r="O3268" s="7" t="s">
        <v>27</v>
      </c>
      <c r="P3268" s="7" t="s">
        <v>5101</v>
      </c>
      <c r="Q3268" s="26">
        <v>16</v>
      </c>
      <c r="R3268" s="26">
        <v>1</v>
      </c>
      <c r="S3268" s="40">
        <v>1</v>
      </c>
      <c r="T3268" s="7"/>
      <c r="U3268" s="7" t="s">
        <v>2951</v>
      </c>
      <c r="V3268" s="7" t="str">
        <f>+IF(U3268="","",IF(U3268="FINES",CONCATENATE("R",IF(OR(B3268="16",B3268="21",B3268="22",B3268="23"),"16212223",IF(OR(B3268="15",B3268="17",B3268="24",B3268="25"),"15172425",B3268))),IF(U3268="CEBAS","UNICO",IF(VALUE(B3268)&lt;=11,"AMBA","INTERIOR"))))</f>
        <v>R12</v>
      </c>
      <c r="W3268" s="38" t="str">
        <f>+IF(U3268="","-",CONCATENATE(U3268,"_",V3268))</f>
        <v>FINES_R12</v>
      </c>
      <c r="X3268" s="42">
        <v>0.97699999999999998</v>
      </c>
    </row>
    <row r="3269" spans="1:24">
      <c r="A3269" s="21" t="s">
        <v>5100</v>
      </c>
      <c r="B3269" t="s">
        <v>140</v>
      </c>
      <c r="C3269" t="s">
        <v>2277</v>
      </c>
      <c r="D3269" t="s">
        <v>2278</v>
      </c>
      <c r="E3269" s="7" t="s">
        <v>198</v>
      </c>
      <c r="F3269" s="7" t="s">
        <v>198</v>
      </c>
      <c r="G3269" s="7" t="s">
        <v>198</v>
      </c>
      <c r="H3269" s="7" t="s">
        <v>20</v>
      </c>
      <c r="I3269" s="7" t="s">
        <v>5102</v>
      </c>
      <c r="J3269" s="7" t="s">
        <v>21</v>
      </c>
      <c r="L3269" t="s">
        <v>4531</v>
      </c>
      <c r="M3269" s="7" t="s">
        <v>22</v>
      </c>
      <c r="N3269" s="7" t="s">
        <v>23</v>
      </c>
      <c r="O3269" s="7" t="s">
        <v>27</v>
      </c>
      <c r="P3269" s="7" t="s">
        <v>5101</v>
      </c>
      <c r="Q3269" s="26">
        <v>165</v>
      </c>
      <c r="R3269" s="26">
        <v>7</v>
      </c>
      <c r="S3269" s="40">
        <v>1</v>
      </c>
      <c r="T3269" s="7"/>
      <c r="U3269" s="7" t="s">
        <v>2951</v>
      </c>
      <c r="V3269" s="7" t="str">
        <f>+IF(U3269="","",IF(U3269="FINES",CONCATENATE("R",IF(OR(B3269="16",B3269="21",B3269="22",B3269="23"),"16212223",IF(OR(B3269="15",B3269="17",B3269="24",B3269="25"),"15172425",B3269))),IF(U3269="CEBAS","UNICO",IF(VALUE(B3269)&lt;=11,"AMBA","INTERIOR"))))</f>
        <v>R12</v>
      </c>
      <c r="W3269" s="38" t="str">
        <f>+IF(U3269="","-",CONCATENATE(U3269,"_",V3269))</f>
        <v>FINES_R12</v>
      </c>
      <c r="X3269" s="42">
        <v>0.98099999999999998</v>
      </c>
    </row>
    <row r="3270" spans="1:24">
      <c r="A3270" s="21" t="s">
        <v>5100</v>
      </c>
      <c r="B3270" t="s">
        <v>217</v>
      </c>
      <c r="C3270" t="s">
        <v>2027</v>
      </c>
      <c r="D3270" t="s">
        <v>2028</v>
      </c>
      <c r="E3270" s="7" t="s">
        <v>198</v>
      </c>
      <c r="F3270" s="7" t="s">
        <v>198</v>
      </c>
      <c r="G3270" s="7" t="s">
        <v>198</v>
      </c>
      <c r="H3270" s="7" t="s">
        <v>20</v>
      </c>
      <c r="I3270" s="7" t="s">
        <v>5102</v>
      </c>
      <c r="J3270" s="7" t="s">
        <v>21</v>
      </c>
      <c r="L3270" t="s">
        <v>4557</v>
      </c>
      <c r="M3270" s="7" t="s">
        <v>22</v>
      </c>
      <c r="N3270" s="7" t="s">
        <v>23</v>
      </c>
      <c r="O3270" s="7" t="s">
        <v>27</v>
      </c>
      <c r="P3270" s="7" t="s">
        <v>5101</v>
      </c>
      <c r="Q3270" s="26">
        <v>21</v>
      </c>
      <c r="R3270" s="26">
        <v>1</v>
      </c>
      <c r="S3270" s="40">
        <v>1</v>
      </c>
      <c r="T3270" s="7"/>
      <c r="U3270" s="7" t="s">
        <v>2951</v>
      </c>
      <c r="V3270" s="7" t="str">
        <f>+IF(U3270="","",IF(U3270="FINES",CONCATENATE("R",IF(OR(B3270="16",B3270="21",B3270="22",B3270="23"),"16212223",IF(OR(B3270="15",B3270="17",B3270="24",B3270="25"),"15172425",B3270))),IF(U3270="CEBAS","UNICO",IF(VALUE(B3270)&lt;=11,"AMBA","INTERIOR"))))</f>
        <v>R13</v>
      </c>
      <c r="W3270" s="38" t="str">
        <f>+IF(U3270="","-",CONCATENATE(U3270,"_",V3270))</f>
        <v>FINES_R13</v>
      </c>
      <c r="X3270" s="42">
        <v>2.1999999999999999E-2</v>
      </c>
    </row>
    <row r="3271" spans="1:24">
      <c r="A3271" s="21" t="s">
        <v>5100</v>
      </c>
      <c r="B3271" t="s">
        <v>217</v>
      </c>
      <c r="C3271" t="s">
        <v>2027</v>
      </c>
      <c r="D3271" t="s">
        <v>2028</v>
      </c>
      <c r="E3271" s="7" t="s">
        <v>198</v>
      </c>
      <c r="F3271" s="7" t="s">
        <v>198</v>
      </c>
      <c r="G3271" s="7" t="s">
        <v>198</v>
      </c>
      <c r="H3271" s="7" t="s">
        <v>20</v>
      </c>
      <c r="I3271" s="7" t="s">
        <v>5102</v>
      </c>
      <c r="J3271" s="7" t="s">
        <v>21</v>
      </c>
      <c r="L3271" t="s">
        <v>4563</v>
      </c>
      <c r="M3271" s="7" t="s">
        <v>22</v>
      </c>
      <c r="N3271" s="7" t="s">
        <v>23</v>
      </c>
      <c r="O3271" s="7" t="s">
        <v>27</v>
      </c>
      <c r="P3271" s="7" t="s">
        <v>5101</v>
      </c>
      <c r="Q3271" s="26">
        <v>182</v>
      </c>
      <c r="R3271" s="26">
        <v>5</v>
      </c>
      <c r="S3271" s="40">
        <v>1</v>
      </c>
      <c r="T3271" s="7"/>
      <c r="U3271" s="7" t="s">
        <v>2951</v>
      </c>
      <c r="V3271" s="7" t="str">
        <f>+IF(U3271="","",IF(U3271="FINES",CONCATENATE("R",IF(OR(B3271="16",B3271="21",B3271="22",B3271="23"),"16212223",IF(OR(B3271="15",B3271="17",B3271="24",B3271="25"),"15172425",B3271))),IF(U3271="CEBAS","UNICO",IF(VALUE(B3271)&lt;=11,"AMBA","INTERIOR"))))</f>
        <v>R13</v>
      </c>
      <c r="W3271" s="38" t="str">
        <f>+IF(U3271="","-",CONCATENATE(U3271,"_",V3271))</f>
        <v>FINES_R13</v>
      </c>
      <c r="X3271" s="42">
        <v>0.08</v>
      </c>
    </row>
    <row r="3272" spans="1:24">
      <c r="A3272" s="21" t="s">
        <v>5100</v>
      </c>
      <c r="B3272" t="s">
        <v>217</v>
      </c>
      <c r="C3272" t="s">
        <v>1499</v>
      </c>
      <c r="D3272" t="s">
        <v>1500</v>
      </c>
      <c r="E3272" s="7" t="s">
        <v>198</v>
      </c>
      <c r="F3272" s="7" t="s">
        <v>198</v>
      </c>
      <c r="G3272" s="7" t="s">
        <v>198</v>
      </c>
      <c r="H3272" s="7" t="s">
        <v>20</v>
      </c>
      <c r="I3272" s="7" t="s">
        <v>5102</v>
      </c>
      <c r="J3272" s="7" t="s">
        <v>21</v>
      </c>
      <c r="L3272" t="s">
        <v>3844</v>
      </c>
      <c r="M3272" s="7" t="s">
        <v>22</v>
      </c>
      <c r="N3272" s="7" t="s">
        <v>23</v>
      </c>
      <c r="O3272" s="7" t="s">
        <v>27</v>
      </c>
      <c r="P3272" s="7" t="s">
        <v>5101</v>
      </c>
      <c r="Q3272" s="26">
        <v>126</v>
      </c>
      <c r="R3272" s="26">
        <v>4</v>
      </c>
      <c r="S3272" s="40">
        <v>1</v>
      </c>
      <c r="T3272" s="7"/>
      <c r="U3272" s="7" t="s">
        <v>2951</v>
      </c>
      <c r="V3272" s="7" t="str">
        <f>+IF(U3272="","",IF(U3272="FINES",CONCATENATE("R",IF(OR(B3272="16",B3272="21",B3272="22",B3272="23"),"16212223",IF(OR(B3272="15",B3272="17",B3272="24",B3272="25"),"15172425",B3272))),IF(U3272="CEBAS","UNICO",IF(VALUE(B3272)&lt;=11,"AMBA","INTERIOR"))))</f>
        <v>R13</v>
      </c>
      <c r="W3272" s="38" t="str">
        <f>+IF(U3272="","-",CONCATENATE(U3272,"_",V3272))</f>
        <v>FINES_R13</v>
      </c>
      <c r="X3272" s="42">
        <v>0.14499999999999999</v>
      </c>
    </row>
    <row r="3273" spans="1:24">
      <c r="A3273" s="21" t="s">
        <v>5100</v>
      </c>
      <c r="B3273" t="s">
        <v>217</v>
      </c>
      <c r="C3273" t="s">
        <v>2206</v>
      </c>
      <c r="D3273" t="s">
        <v>2207</v>
      </c>
      <c r="E3273" s="7" t="s">
        <v>198</v>
      </c>
      <c r="F3273" s="7" t="s">
        <v>198</v>
      </c>
      <c r="G3273" s="7" t="s">
        <v>198</v>
      </c>
      <c r="H3273" s="7" t="s">
        <v>20</v>
      </c>
      <c r="I3273" s="7" t="s">
        <v>5102</v>
      </c>
      <c r="J3273" s="7" t="s">
        <v>21</v>
      </c>
      <c r="L3273" t="s">
        <v>4579</v>
      </c>
      <c r="M3273" s="7" t="s">
        <v>22</v>
      </c>
      <c r="N3273" s="7" t="s">
        <v>23</v>
      </c>
      <c r="O3273" s="7" t="s">
        <v>27</v>
      </c>
      <c r="P3273" s="7" t="s">
        <v>5101</v>
      </c>
      <c r="Q3273" s="26">
        <v>14</v>
      </c>
      <c r="R3273" s="26">
        <v>1</v>
      </c>
      <c r="S3273" s="40">
        <v>1</v>
      </c>
      <c r="T3273" s="7"/>
      <c r="U3273" s="7" t="s">
        <v>2951</v>
      </c>
      <c r="V3273" s="7" t="str">
        <f>+IF(U3273="","",IF(U3273="FINES",CONCATENATE("R",IF(OR(B3273="16",B3273="21",B3273="22",B3273="23"),"16212223",IF(OR(B3273="15",B3273="17",B3273="24",B3273="25"),"15172425",B3273))),IF(U3273="CEBAS","UNICO",IF(VALUE(B3273)&lt;=11,"AMBA","INTERIOR"))))</f>
        <v>R13</v>
      </c>
      <c r="W3273" s="38" t="str">
        <f>+IF(U3273="","-",CONCATENATE(U3273,"_",V3273))</f>
        <v>FINES_R13</v>
      </c>
      <c r="X3273" s="42">
        <v>0.157</v>
      </c>
    </row>
    <row r="3274" spans="1:24">
      <c r="A3274" s="21" t="s">
        <v>5100</v>
      </c>
      <c r="B3274" t="s">
        <v>217</v>
      </c>
      <c r="C3274" t="s">
        <v>2027</v>
      </c>
      <c r="D3274" t="s">
        <v>2028</v>
      </c>
      <c r="E3274" s="7" t="s">
        <v>198</v>
      </c>
      <c r="F3274" s="7" t="s">
        <v>198</v>
      </c>
      <c r="G3274" s="7" t="s">
        <v>198</v>
      </c>
      <c r="H3274" s="7" t="s">
        <v>20</v>
      </c>
      <c r="I3274" s="7" t="s">
        <v>5102</v>
      </c>
      <c r="J3274" s="7" t="s">
        <v>21</v>
      </c>
      <c r="L3274" t="s">
        <v>3884</v>
      </c>
      <c r="M3274" s="7" t="s">
        <v>22</v>
      </c>
      <c r="N3274" s="7" t="s">
        <v>23</v>
      </c>
      <c r="O3274" s="7" t="s">
        <v>27</v>
      </c>
      <c r="P3274" s="7" t="s">
        <v>5101</v>
      </c>
      <c r="Q3274" s="26">
        <v>27</v>
      </c>
      <c r="R3274" s="26">
        <v>1</v>
      </c>
      <c r="S3274" s="40">
        <v>1</v>
      </c>
      <c r="T3274" s="7"/>
      <c r="U3274" s="7" t="s">
        <v>2951</v>
      </c>
      <c r="V3274" s="7" t="str">
        <f>+IF(U3274="","",IF(U3274="FINES",CONCATENATE("R",IF(OR(B3274="16",B3274="21",B3274="22",B3274="23"),"16212223",IF(OR(B3274="15",B3274="17",B3274="24",B3274="25"),"15172425",B3274))),IF(U3274="CEBAS","UNICO",IF(VALUE(B3274)&lt;=11,"AMBA","INTERIOR"))))</f>
        <v>R13</v>
      </c>
      <c r="W3274" s="38" t="str">
        <f>+IF(U3274="","-",CONCATENATE(U3274,"_",V3274))</f>
        <v>FINES_R13</v>
      </c>
      <c r="X3274" s="42">
        <v>0.19</v>
      </c>
    </row>
    <row r="3275" spans="1:24">
      <c r="A3275" s="21" t="s">
        <v>5100</v>
      </c>
      <c r="B3275" t="s">
        <v>217</v>
      </c>
      <c r="C3275" t="s">
        <v>2027</v>
      </c>
      <c r="D3275" t="s">
        <v>2028</v>
      </c>
      <c r="E3275" s="7" t="s">
        <v>198</v>
      </c>
      <c r="F3275" s="7" t="s">
        <v>198</v>
      </c>
      <c r="G3275" s="7" t="s">
        <v>198</v>
      </c>
      <c r="H3275" s="7" t="s">
        <v>20</v>
      </c>
      <c r="I3275" s="7" t="s">
        <v>5102</v>
      </c>
      <c r="J3275" s="7" t="s">
        <v>21</v>
      </c>
      <c r="L3275" t="s">
        <v>4568</v>
      </c>
      <c r="M3275" s="7" t="s">
        <v>22</v>
      </c>
      <c r="N3275" s="7" t="s">
        <v>23</v>
      </c>
      <c r="O3275" s="7" t="s">
        <v>27</v>
      </c>
      <c r="P3275" s="7" t="s">
        <v>5101</v>
      </c>
      <c r="Q3275" s="26">
        <v>16</v>
      </c>
      <c r="R3275" s="26">
        <v>1</v>
      </c>
      <c r="S3275" s="40">
        <v>1</v>
      </c>
      <c r="T3275" s="7"/>
      <c r="U3275" s="7" t="s">
        <v>2951</v>
      </c>
      <c r="V3275" s="7" t="str">
        <f>+IF(U3275="","",IF(U3275="FINES",CONCATENATE("R",IF(OR(B3275="16",B3275="21",B3275="22",B3275="23"),"16212223",IF(OR(B3275="15",B3275="17",B3275="24",B3275="25"),"15172425",B3275))),IF(U3275="CEBAS","UNICO",IF(VALUE(B3275)&lt;=11,"AMBA","INTERIOR"))))</f>
        <v>R13</v>
      </c>
      <c r="W3275" s="38" t="str">
        <f>+IF(U3275="","-",CONCATENATE(U3275,"_",V3275))</f>
        <v>FINES_R13</v>
      </c>
      <c r="X3275" s="42">
        <v>0.247</v>
      </c>
    </row>
    <row r="3276" spans="1:24">
      <c r="A3276" s="21" t="s">
        <v>5100</v>
      </c>
      <c r="B3276" t="s">
        <v>217</v>
      </c>
      <c r="C3276" t="s">
        <v>2027</v>
      </c>
      <c r="D3276" t="s">
        <v>2028</v>
      </c>
      <c r="E3276" s="7" t="s">
        <v>198</v>
      </c>
      <c r="F3276" s="7" t="s">
        <v>198</v>
      </c>
      <c r="G3276" s="7" t="s">
        <v>198</v>
      </c>
      <c r="H3276" s="7" t="s">
        <v>20</v>
      </c>
      <c r="I3276" s="7" t="s">
        <v>5102</v>
      </c>
      <c r="J3276" s="7" t="s">
        <v>21</v>
      </c>
      <c r="L3276" t="s">
        <v>4566</v>
      </c>
      <c r="M3276" s="7" t="s">
        <v>22</v>
      </c>
      <c r="N3276" s="7" t="s">
        <v>23</v>
      </c>
      <c r="O3276" s="7" t="s">
        <v>27</v>
      </c>
      <c r="P3276" s="7" t="s">
        <v>5101</v>
      </c>
      <c r="Q3276" s="26">
        <v>129</v>
      </c>
      <c r="R3276" s="26">
        <v>5</v>
      </c>
      <c r="S3276" s="40">
        <v>1</v>
      </c>
      <c r="T3276" s="7"/>
      <c r="U3276" s="7" t="s">
        <v>2951</v>
      </c>
      <c r="V3276" s="7" t="str">
        <f>+IF(U3276="","",IF(U3276="FINES",CONCATENATE("R",IF(OR(B3276="16",B3276="21",B3276="22",B3276="23"),"16212223",IF(OR(B3276="15",B3276="17",B3276="24",B3276="25"),"15172425",B3276))),IF(U3276="CEBAS","UNICO",IF(VALUE(B3276)&lt;=11,"AMBA","INTERIOR"))))</f>
        <v>R13</v>
      </c>
      <c r="W3276" s="38" t="str">
        <f>+IF(U3276="","-",CONCATENATE(U3276,"_",V3276))</f>
        <v>FINES_R13</v>
      </c>
      <c r="X3276" s="42">
        <v>0.248</v>
      </c>
    </row>
    <row r="3277" spans="1:24">
      <c r="A3277" s="21" t="s">
        <v>5100</v>
      </c>
      <c r="B3277" t="s">
        <v>217</v>
      </c>
      <c r="C3277" t="s">
        <v>674</v>
      </c>
      <c r="D3277" t="s">
        <v>675</v>
      </c>
      <c r="E3277" s="7" t="s">
        <v>198</v>
      </c>
      <c r="F3277" s="7" t="s">
        <v>198</v>
      </c>
      <c r="G3277" s="7" t="s">
        <v>198</v>
      </c>
      <c r="H3277" s="7" t="s">
        <v>20</v>
      </c>
      <c r="I3277" s="7" t="s">
        <v>5102</v>
      </c>
      <c r="J3277" s="7" t="s">
        <v>21</v>
      </c>
      <c r="L3277" t="s">
        <v>4554</v>
      </c>
      <c r="M3277" s="7" t="s">
        <v>22</v>
      </c>
      <c r="N3277" s="7" t="s">
        <v>23</v>
      </c>
      <c r="O3277" s="7" t="s">
        <v>27</v>
      </c>
      <c r="P3277" s="7" t="s">
        <v>5101</v>
      </c>
      <c r="Q3277" s="26">
        <v>11</v>
      </c>
      <c r="R3277" s="26">
        <v>1</v>
      </c>
      <c r="S3277" s="40">
        <v>1</v>
      </c>
      <c r="T3277" s="7"/>
      <c r="U3277" s="7" t="s">
        <v>2951</v>
      </c>
      <c r="V3277" s="7" t="str">
        <f>+IF(U3277="","",IF(U3277="FINES",CONCATENATE("R",IF(OR(B3277="16",B3277="21",B3277="22",B3277="23"),"16212223",IF(OR(B3277="15",B3277="17",B3277="24",B3277="25"),"15172425",B3277))),IF(U3277="CEBAS","UNICO",IF(VALUE(B3277)&lt;=11,"AMBA","INTERIOR"))))</f>
        <v>R13</v>
      </c>
      <c r="W3277" s="38" t="str">
        <f>+IF(U3277="","-",CONCATENATE(U3277,"_",V3277))</f>
        <v>FINES_R13</v>
      </c>
      <c r="X3277" s="42">
        <v>0.26300000000000001</v>
      </c>
    </row>
    <row r="3278" spans="1:24">
      <c r="A3278" s="21" t="s">
        <v>5100</v>
      </c>
      <c r="B3278" t="s">
        <v>217</v>
      </c>
      <c r="C3278" t="s">
        <v>693</v>
      </c>
      <c r="D3278" t="s">
        <v>694</v>
      </c>
      <c r="E3278" s="7" t="s">
        <v>198</v>
      </c>
      <c r="F3278" s="7" t="s">
        <v>198</v>
      </c>
      <c r="G3278" s="7" t="s">
        <v>198</v>
      </c>
      <c r="H3278" s="7" t="s">
        <v>20</v>
      </c>
      <c r="I3278" s="7" t="s">
        <v>5102</v>
      </c>
      <c r="J3278" s="7" t="s">
        <v>21</v>
      </c>
      <c r="L3278" t="s">
        <v>4555</v>
      </c>
      <c r="M3278" s="7" t="s">
        <v>22</v>
      </c>
      <c r="N3278" s="7" t="s">
        <v>23</v>
      </c>
      <c r="O3278" s="7" t="s">
        <v>27</v>
      </c>
      <c r="P3278" s="7" t="s">
        <v>5101</v>
      </c>
      <c r="Q3278" s="26">
        <v>11</v>
      </c>
      <c r="R3278" s="26">
        <v>1</v>
      </c>
      <c r="S3278" s="40">
        <v>1</v>
      </c>
      <c r="T3278" s="7"/>
      <c r="U3278" s="7" t="s">
        <v>2951</v>
      </c>
      <c r="V3278" s="7" t="str">
        <f>+IF(U3278="","",IF(U3278="FINES",CONCATENATE("R",IF(OR(B3278="16",B3278="21",B3278="22",B3278="23"),"16212223",IF(OR(B3278="15",B3278="17",B3278="24",B3278="25"),"15172425",B3278))),IF(U3278="CEBAS","UNICO",IF(VALUE(B3278)&lt;=11,"AMBA","INTERIOR"))))</f>
        <v>R13</v>
      </c>
      <c r="W3278" s="38" t="str">
        <f>+IF(U3278="","-",CONCATENATE(U3278,"_",V3278))</f>
        <v>FINES_R13</v>
      </c>
      <c r="X3278" s="42">
        <v>0.26700000000000002</v>
      </c>
    </row>
    <row r="3279" spans="1:24">
      <c r="A3279" s="21" t="s">
        <v>5100</v>
      </c>
      <c r="B3279" t="s">
        <v>217</v>
      </c>
      <c r="C3279" t="s">
        <v>2171</v>
      </c>
      <c r="D3279" t="s">
        <v>2172</v>
      </c>
      <c r="E3279" s="7" t="s">
        <v>198</v>
      </c>
      <c r="F3279" s="7" t="s">
        <v>198</v>
      </c>
      <c r="G3279" s="7" t="s">
        <v>198</v>
      </c>
      <c r="H3279" s="7" t="s">
        <v>20</v>
      </c>
      <c r="I3279" s="7" t="s">
        <v>5102</v>
      </c>
      <c r="J3279" s="7" t="s">
        <v>21</v>
      </c>
      <c r="L3279" t="s">
        <v>4574</v>
      </c>
      <c r="M3279" s="7" t="s">
        <v>22</v>
      </c>
      <c r="N3279" s="7" t="s">
        <v>23</v>
      </c>
      <c r="O3279" s="7" t="s">
        <v>27</v>
      </c>
      <c r="P3279" s="7" t="s">
        <v>5101</v>
      </c>
      <c r="Q3279" s="26">
        <v>82</v>
      </c>
      <c r="R3279" s="26">
        <v>4</v>
      </c>
      <c r="S3279" s="40">
        <v>1</v>
      </c>
      <c r="T3279" s="7"/>
      <c r="U3279" s="7" t="s">
        <v>2951</v>
      </c>
      <c r="V3279" s="7" t="str">
        <f>+IF(U3279="","",IF(U3279="FINES",CONCATENATE("R",IF(OR(B3279="16",B3279="21",B3279="22",B3279="23"),"16212223",IF(OR(B3279="15",B3279="17",B3279="24",B3279="25"),"15172425",B3279))),IF(U3279="CEBAS","UNICO",IF(VALUE(B3279)&lt;=11,"AMBA","INTERIOR"))))</f>
        <v>R13</v>
      </c>
      <c r="W3279" s="38" t="str">
        <f>+IF(U3279="","-",CONCATENATE(U3279,"_",V3279))</f>
        <v>FINES_R13</v>
      </c>
      <c r="X3279" s="42">
        <v>0.28100000000000003</v>
      </c>
    </row>
    <row r="3280" spans="1:24">
      <c r="A3280" s="21" t="s">
        <v>5100</v>
      </c>
      <c r="B3280" t="s">
        <v>217</v>
      </c>
      <c r="C3280" t="s">
        <v>2027</v>
      </c>
      <c r="D3280" t="s">
        <v>2028</v>
      </c>
      <c r="E3280" s="7" t="s">
        <v>198</v>
      </c>
      <c r="F3280" s="7" t="s">
        <v>198</v>
      </c>
      <c r="G3280" s="7" t="s">
        <v>198</v>
      </c>
      <c r="H3280" s="7" t="s">
        <v>20</v>
      </c>
      <c r="I3280" s="7" t="s">
        <v>5102</v>
      </c>
      <c r="J3280" s="7" t="s">
        <v>21</v>
      </c>
      <c r="L3280" t="s">
        <v>3219</v>
      </c>
      <c r="M3280" s="7" t="s">
        <v>22</v>
      </c>
      <c r="N3280" s="7" t="s">
        <v>23</v>
      </c>
      <c r="O3280" s="7" t="s">
        <v>27</v>
      </c>
      <c r="P3280" s="7" t="s">
        <v>5101</v>
      </c>
      <c r="Q3280" s="26">
        <v>17</v>
      </c>
      <c r="R3280" s="26">
        <v>1</v>
      </c>
      <c r="S3280" s="40">
        <v>1</v>
      </c>
      <c r="T3280" s="7"/>
      <c r="U3280" s="7" t="s">
        <v>2951</v>
      </c>
      <c r="V3280" s="7" t="str">
        <f>+IF(U3280="","",IF(U3280="FINES",CONCATENATE("R",IF(OR(B3280="16",B3280="21",B3280="22",B3280="23"),"16212223",IF(OR(B3280="15",B3280="17",B3280="24",B3280="25"),"15172425",B3280))),IF(U3280="CEBAS","UNICO",IF(VALUE(B3280)&lt;=11,"AMBA","INTERIOR"))))</f>
        <v>R13</v>
      </c>
      <c r="W3280" s="38" t="str">
        <f>+IF(U3280="","-",CONCATENATE(U3280,"_",V3280))</f>
        <v>FINES_R13</v>
      </c>
      <c r="X3280" s="42">
        <v>0.28699999999999998</v>
      </c>
    </row>
    <row r="3281" spans="1:24">
      <c r="A3281" s="21" t="s">
        <v>5100</v>
      </c>
      <c r="B3281" t="s">
        <v>217</v>
      </c>
      <c r="C3281" t="s">
        <v>2027</v>
      </c>
      <c r="D3281" t="s">
        <v>2028</v>
      </c>
      <c r="E3281" s="7" t="s">
        <v>198</v>
      </c>
      <c r="F3281" s="7" t="s">
        <v>198</v>
      </c>
      <c r="G3281" s="7" t="s">
        <v>198</v>
      </c>
      <c r="H3281" s="7" t="s">
        <v>20</v>
      </c>
      <c r="I3281" s="7" t="s">
        <v>5102</v>
      </c>
      <c r="J3281" s="7" t="s">
        <v>21</v>
      </c>
      <c r="L3281" t="s">
        <v>4565</v>
      </c>
      <c r="M3281" s="7" t="s">
        <v>22</v>
      </c>
      <c r="N3281" s="7" t="s">
        <v>23</v>
      </c>
      <c r="O3281" s="7" t="s">
        <v>27</v>
      </c>
      <c r="P3281" s="7" t="s">
        <v>5101</v>
      </c>
      <c r="Q3281" s="26">
        <v>34</v>
      </c>
      <c r="R3281" s="26">
        <v>1</v>
      </c>
      <c r="S3281" s="40">
        <v>1</v>
      </c>
      <c r="T3281" s="7"/>
      <c r="U3281" s="7" t="s">
        <v>2951</v>
      </c>
      <c r="V3281" s="7" t="str">
        <f>+IF(U3281="","",IF(U3281="FINES",CONCATENATE("R",IF(OR(B3281="16",B3281="21",B3281="22",B3281="23"),"16212223",IF(OR(B3281="15",B3281="17",B3281="24",B3281="25"),"15172425",B3281))),IF(U3281="CEBAS","UNICO",IF(VALUE(B3281)&lt;=11,"AMBA","INTERIOR"))))</f>
        <v>R13</v>
      </c>
      <c r="W3281" s="38" t="str">
        <f>+IF(U3281="","-",CONCATENATE(U3281,"_",V3281))</f>
        <v>FINES_R13</v>
      </c>
      <c r="X3281" s="42">
        <v>0.312</v>
      </c>
    </row>
    <row r="3282" spans="1:24">
      <c r="A3282" s="21" t="s">
        <v>5100</v>
      </c>
      <c r="B3282" t="s">
        <v>217</v>
      </c>
      <c r="C3282" t="s">
        <v>2027</v>
      </c>
      <c r="D3282" t="s">
        <v>2028</v>
      </c>
      <c r="E3282" s="7" t="s">
        <v>198</v>
      </c>
      <c r="F3282" s="7" t="s">
        <v>198</v>
      </c>
      <c r="G3282" s="7" t="s">
        <v>198</v>
      </c>
      <c r="H3282" s="7" t="s">
        <v>20</v>
      </c>
      <c r="I3282" s="7" t="s">
        <v>5102</v>
      </c>
      <c r="J3282" s="7" t="s">
        <v>21</v>
      </c>
      <c r="L3282" t="s">
        <v>4567</v>
      </c>
      <c r="M3282" s="7" t="s">
        <v>22</v>
      </c>
      <c r="N3282" s="7" t="s">
        <v>23</v>
      </c>
      <c r="O3282" s="7" t="s">
        <v>27</v>
      </c>
      <c r="P3282" s="7" t="s">
        <v>5101</v>
      </c>
      <c r="Q3282" s="26">
        <v>14</v>
      </c>
      <c r="R3282" s="26">
        <v>1</v>
      </c>
      <c r="S3282" s="40">
        <v>1</v>
      </c>
      <c r="T3282" s="7"/>
      <c r="U3282" s="7" t="s">
        <v>2951</v>
      </c>
      <c r="V3282" s="7" t="str">
        <f>+IF(U3282="","",IF(U3282="FINES",CONCATENATE("R",IF(OR(B3282="16",B3282="21",B3282="22",B3282="23"),"16212223",IF(OR(B3282="15",B3282="17",B3282="24",B3282="25"),"15172425",B3282))),IF(U3282="CEBAS","UNICO",IF(VALUE(B3282)&lt;=11,"AMBA","INTERIOR"))))</f>
        <v>R13</v>
      </c>
      <c r="W3282" s="38" t="str">
        <f>+IF(U3282="","-",CONCATENATE(U3282,"_",V3282))</f>
        <v>FINES_R13</v>
      </c>
      <c r="X3282" s="42">
        <v>0.31900000000000001</v>
      </c>
    </row>
    <row r="3283" spans="1:24">
      <c r="A3283" s="21" t="s">
        <v>5100</v>
      </c>
      <c r="B3283" t="s">
        <v>217</v>
      </c>
      <c r="C3283" t="s">
        <v>2027</v>
      </c>
      <c r="D3283" t="s">
        <v>2028</v>
      </c>
      <c r="E3283" s="7" t="s">
        <v>198</v>
      </c>
      <c r="F3283" s="7" t="s">
        <v>198</v>
      </c>
      <c r="G3283" s="7" t="s">
        <v>198</v>
      </c>
      <c r="H3283" s="7" t="s">
        <v>20</v>
      </c>
      <c r="I3283" s="7" t="s">
        <v>5102</v>
      </c>
      <c r="J3283" s="7" t="s">
        <v>21</v>
      </c>
      <c r="L3283" t="s">
        <v>4564</v>
      </c>
      <c r="M3283" s="7" t="s">
        <v>22</v>
      </c>
      <c r="N3283" s="7" t="s">
        <v>23</v>
      </c>
      <c r="O3283" s="7" t="s">
        <v>27</v>
      </c>
      <c r="P3283" s="7" t="s">
        <v>5101</v>
      </c>
      <c r="Q3283" s="26">
        <v>25</v>
      </c>
      <c r="R3283" s="26">
        <v>1</v>
      </c>
      <c r="S3283" s="40">
        <v>1</v>
      </c>
      <c r="T3283" s="7"/>
      <c r="U3283" s="7" t="s">
        <v>2951</v>
      </c>
      <c r="V3283" s="7" t="str">
        <f>+IF(U3283="","",IF(U3283="FINES",CONCATENATE("R",IF(OR(B3283="16",B3283="21",B3283="22",B3283="23"),"16212223",IF(OR(B3283="15",B3283="17",B3283="24",B3283="25"),"15172425",B3283))),IF(U3283="CEBAS","UNICO",IF(VALUE(B3283)&lt;=11,"AMBA","INTERIOR"))))</f>
        <v>R13</v>
      </c>
      <c r="W3283" s="38" t="str">
        <f>+IF(U3283="","-",CONCATENATE(U3283,"_",V3283))</f>
        <v>FINES_R13</v>
      </c>
      <c r="X3283" s="42">
        <v>0.32800000000000001</v>
      </c>
    </row>
    <row r="3284" spans="1:24">
      <c r="A3284" s="21" t="s">
        <v>5100</v>
      </c>
      <c r="B3284" t="s">
        <v>217</v>
      </c>
      <c r="C3284" t="s">
        <v>2027</v>
      </c>
      <c r="D3284" t="s">
        <v>2028</v>
      </c>
      <c r="E3284" s="7" t="s">
        <v>198</v>
      </c>
      <c r="F3284" s="7" t="s">
        <v>198</v>
      </c>
      <c r="G3284" s="7" t="s">
        <v>198</v>
      </c>
      <c r="H3284" s="7" t="s">
        <v>20</v>
      </c>
      <c r="I3284" s="7" t="s">
        <v>5102</v>
      </c>
      <c r="J3284" s="7" t="s">
        <v>21</v>
      </c>
      <c r="L3284" t="s">
        <v>3898</v>
      </c>
      <c r="M3284" s="7" t="s">
        <v>22</v>
      </c>
      <c r="N3284" s="7" t="s">
        <v>23</v>
      </c>
      <c r="O3284" s="7" t="s">
        <v>27</v>
      </c>
      <c r="P3284" s="7" t="s">
        <v>5101</v>
      </c>
      <c r="Q3284" s="26">
        <v>181</v>
      </c>
      <c r="R3284" s="26">
        <v>6</v>
      </c>
      <c r="S3284" s="40">
        <v>1</v>
      </c>
      <c r="T3284" s="7"/>
      <c r="U3284" s="7" t="s">
        <v>2951</v>
      </c>
      <c r="V3284" s="7" t="str">
        <f>+IF(U3284="","",IF(U3284="FINES",CONCATENATE("R",IF(OR(B3284="16",B3284="21",B3284="22",B3284="23"),"16212223",IF(OR(B3284="15",B3284="17",B3284="24",B3284="25"),"15172425",B3284))),IF(U3284="CEBAS","UNICO",IF(VALUE(B3284)&lt;=11,"AMBA","INTERIOR"))))</f>
        <v>R13</v>
      </c>
      <c r="W3284" s="38" t="str">
        <f>+IF(U3284="","-",CONCATENATE(U3284,"_",V3284))</f>
        <v>FINES_R13</v>
      </c>
      <c r="X3284" s="42">
        <v>0.45600000000000002</v>
      </c>
    </row>
    <row r="3285" spans="1:24">
      <c r="A3285" s="21" t="s">
        <v>5100</v>
      </c>
      <c r="B3285" t="s">
        <v>217</v>
      </c>
      <c r="C3285" t="s">
        <v>693</v>
      </c>
      <c r="D3285" t="s">
        <v>694</v>
      </c>
      <c r="E3285" s="7" t="s">
        <v>198</v>
      </c>
      <c r="F3285" s="7" t="s">
        <v>198</v>
      </c>
      <c r="G3285" s="7" t="s">
        <v>198</v>
      </c>
      <c r="H3285" s="7" t="s">
        <v>20</v>
      </c>
      <c r="I3285" s="7" t="s">
        <v>5102</v>
      </c>
      <c r="J3285" s="7" t="s">
        <v>21</v>
      </c>
      <c r="L3285" t="s">
        <v>4556</v>
      </c>
      <c r="M3285" s="7" t="s">
        <v>22</v>
      </c>
      <c r="N3285" s="7" t="s">
        <v>23</v>
      </c>
      <c r="O3285" s="7" t="s">
        <v>27</v>
      </c>
      <c r="P3285" s="7" t="s">
        <v>5101</v>
      </c>
      <c r="Q3285" s="26">
        <v>117</v>
      </c>
      <c r="R3285" s="26">
        <v>5</v>
      </c>
      <c r="S3285" s="40">
        <v>1</v>
      </c>
      <c r="T3285" s="7"/>
      <c r="U3285" s="7" t="s">
        <v>2951</v>
      </c>
      <c r="V3285" s="7" t="str">
        <f>+IF(U3285="","",IF(U3285="FINES",CONCATENATE("R",IF(OR(B3285="16",B3285="21",B3285="22",B3285="23"),"16212223",IF(OR(B3285="15",B3285="17",B3285="24",B3285="25"),"15172425",B3285))),IF(U3285="CEBAS","UNICO",IF(VALUE(B3285)&lt;=11,"AMBA","INTERIOR"))))</f>
        <v>R13</v>
      </c>
      <c r="W3285" s="38" t="str">
        <f>+IF(U3285="","-",CONCATENATE(U3285,"_",V3285))</f>
        <v>FINES_R13</v>
      </c>
      <c r="X3285" s="42">
        <v>0.46200000000000002</v>
      </c>
    </row>
    <row r="3286" spans="1:24">
      <c r="A3286" s="21" t="s">
        <v>5100</v>
      </c>
      <c r="B3286" t="s">
        <v>217</v>
      </c>
      <c r="C3286" t="s">
        <v>2027</v>
      </c>
      <c r="D3286" t="s">
        <v>2028</v>
      </c>
      <c r="E3286" s="7" t="s">
        <v>198</v>
      </c>
      <c r="F3286" s="7" t="s">
        <v>198</v>
      </c>
      <c r="G3286" s="7" t="s">
        <v>198</v>
      </c>
      <c r="H3286" s="7" t="s">
        <v>20</v>
      </c>
      <c r="I3286" s="7" t="s">
        <v>5102</v>
      </c>
      <c r="J3286" s="7" t="s">
        <v>21</v>
      </c>
      <c r="L3286" t="s">
        <v>4561</v>
      </c>
      <c r="M3286" s="7" t="s">
        <v>22</v>
      </c>
      <c r="N3286" s="7" t="s">
        <v>23</v>
      </c>
      <c r="O3286" s="7" t="s">
        <v>27</v>
      </c>
      <c r="P3286" s="7" t="s">
        <v>5101</v>
      </c>
      <c r="Q3286" s="26">
        <v>16</v>
      </c>
      <c r="R3286" s="26">
        <v>1</v>
      </c>
      <c r="S3286" s="40">
        <v>1</v>
      </c>
      <c r="T3286" s="7"/>
      <c r="U3286" s="7" t="s">
        <v>2951</v>
      </c>
      <c r="V3286" s="7" t="str">
        <f>+IF(U3286="","",IF(U3286="FINES",CONCATENATE("R",IF(OR(B3286="16",B3286="21",B3286="22",B3286="23"),"16212223",IF(OR(B3286="15",B3286="17",B3286="24",B3286="25"),"15172425",B3286))),IF(U3286="CEBAS","UNICO",IF(VALUE(B3286)&lt;=11,"AMBA","INTERIOR"))))</f>
        <v>R13</v>
      </c>
      <c r="W3286" s="38" t="str">
        <f>+IF(U3286="","-",CONCATENATE(U3286,"_",V3286))</f>
        <v>FINES_R13</v>
      </c>
      <c r="X3286" s="42">
        <v>0.53900000000000003</v>
      </c>
    </row>
    <row r="3287" spans="1:24">
      <c r="A3287" s="21" t="s">
        <v>5100</v>
      </c>
      <c r="B3287" t="s">
        <v>217</v>
      </c>
      <c r="C3287" t="s">
        <v>1499</v>
      </c>
      <c r="D3287" t="s">
        <v>1500</v>
      </c>
      <c r="E3287" s="7" t="s">
        <v>198</v>
      </c>
      <c r="F3287" s="7" t="s">
        <v>198</v>
      </c>
      <c r="G3287" s="7" t="s">
        <v>198</v>
      </c>
      <c r="H3287" s="7" t="s">
        <v>20</v>
      </c>
      <c r="I3287" s="7" t="s">
        <v>5102</v>
      </c>
      <c r="J3287" s="7" t="s">
        <v>21</v>
      </c>
      <c r="L3287" t="s">
        <v>4576</v>
      </c>
      <c r="M3287" s="7" t="s">
        <v>22</v>
      </c>
      <c r="N3287" s="7" t="s">
        <v>23</v>
      </c>
      <c r="O3287" s="7" t="s">
        <v>27</v>
      </c>
      <c r="P3287" s="7" t="s">
        <v>5101</v>
      </c>
      <c r="Q3287" s="26">
        <v>123</v>
      </c>
      <c r="R3287" s="26">
        <v>3</v>
      </c>
      <c r="S3287" s="40">
        <v>1</v>
      </c>
      <c r="T3287" s="7"/>
      <c r="U3287" s="7" t="s">
        <v>2951</v>
      </c>
      <c r="V3287" s="7" t="str">
        <f>+IF(U3287="","",IF(U3287="FINES",CONCATENATE("R",IF(OR(B3287="16",B3287="21",B3287="22",B3287="23"),"16212223",IF(OR(B3287="15",B3287="17",B3287="24",B3287="25"),"15172425",B3287))),IF(U3287="CEBAS","UNICO",IF(VALUE(B3287)&lt;=11,"AMBA","INTERIOR"))))</f>
        <v>R13</v>
      </c>
      <c r="W3287" s="38" t="str">
        <f>+IF(U3287="","-",CONCATENATE(U3287,"_",V3287))</f>
        <v>FINES_R13</v>
      </c>
      <c r="X3287" s="42">
        <v>0.54900000000000004</v>
      </c>
    </row>
    <row r="3288" spans="1:24">
      <c r="A3288" s="21" t="s">
        <v>5100</v>
      </c>
      <c r="B3288" t="s">
        <v>217</v>
      </c>
      <c r="C3288" t="s">
        <v>674</v>
      </c>
      <c r="D3288" t="s">
        <v>675</v>
      </c>
      <c r="E3288" s="7" t="s">
        <v>198</v>
      </c>
      <c r="F3288" s="7" t="s">
        <v>198</v>
      </c>
      <c r="G3288" s="7" t="s">
        <v>198</v>
      </c>
      <c r="H3288" s="7" t="s">
        <v>20</v>
      </c>
      <c r="I3288" s="7" t="s">
        <v>5102</v>
      </c>
      <c r="J3288" s="7" t="s">
        <v>21</v>
      </c>
      <c r="L3288" t="s">
        <v>4553</v>
      </c>
      <c r="M3288" s="7" t="s">
        <v>22</v>
      </c>
      <c r="N3288" s="7" t="s">
        <v>23</v>
      </c>
      <c r="O3288" s="7" t="s">
        <v>27</v>
      </c>
      <c r="P3288" s="7" t="s">
        <v>5101</v>
      </c>
      <c r="Q3288" s="26">
        <v>34</v>
      </c>
      <c r="R3288" s="26">
        <v>1</v>
      </c>
      <c r="S3288" s="40">
        <v>1</v>
      </c>
      <c r="T3288" s="7"/>
      <c r="U3288" s="7" t="s">
        <v>2951</v>
      </c>
      <c r="V3288" s="7" t="str">
        <f>+IF(U3288="","",IF(U3288="FINES",CONCATENATE("R",IF(OR(B3288="16",B3288="21",B3288="22",B3288="23"),"16212223",IF(OR(B3288="15",B3288="17",B3288="24",B3288="25"),"15172425",B3288))),IF(U3288="CEBAS","UNICO",IF(VALUE(B3288)&lt;=11,"AMBA","INTERIOR"))))</f>
        <v>R13</v>
      </c>
      <c r="W3288" s="38" t="str">
        <f>+IF(U3288="","-",CONCATENATE(U3288,"_",V3288))</f>
        <v>FINES_R13</v>
      </c>
      <c r="X3288" s="42">
        <v>0.58299999999999996</v>
      </c>
    </row>
    <row r="3289" spans="1:24">
      <c r="A3289" s="21" t="s">
        <v>5100</v>
      </c>
      <c r="B3289" t="s">
        <v>217</v>
      </c>
      <c r="C3289" t="s">
        <v>1499</v>
      </c>
      <c r="D3289" t="s">
        <v>1500</v>
      </c>
      <c r="E3289" s="7" t="s">
        <v>198</v>
      </c>
      <c r="F3289" s="7" t="s">
        <v>198</v>
      </c>
      <c r="G3289" s="7" t="s">
        <v>198</v>
      </c>
      <c r="H3289" s="7" t="s">
        <v>20</v>
      </c>
      <c r="I3289" s="7" t="s">
        <v>5102</v>
      </c>
      <c r="J3289" s="7" t="s">
        <v>21</v>
      </c>
      <c r="L3289" t="s">
        <v>4578</v>
      </c>
      <c r="M3289" s="7" t="s">
        <v>22</v>
      </c>
      <c r="N3289" s="7" t="s">
        <v>23</v>
      </c>
      <c r="O3289" s="7" t="s">
        <v>27</v>
      </c>
      <c r="P3289" s="7" t="s">
        <v>5101</v>
      </c>
      <c r="Q3289" s="26">
        <v>27</v>
      </c>
      <c r="R3289" s="26">
        <v>1</v>
      </c>
      <c r="S3289" s="40">
        <v>1</v>
      </c>
      <c r="T3289" s="7"/>
      <c r="U3289" s="7" t="s">
        <v>2951</v>
      </c>
      <c r="V3289" s="7" t="str">
        <f>+IF(U3289="","",IF(U3289="FINES",CONCATENATE("R",IF(OR(B3289="16",B3289="21",B3289="22",B3289="23"),"16212223",IF(OR(B3289="15",B3289="17",B3289="24",B3289="25"),"15172425",B3289))),IF(U3289="CEBAS","UNICO",IF(VALUE(B3289)&lt;=11,"AMBA","INTERIOR"))))</f>
        <v>R13</v>
      </c>
      <c r="W3289" s="38" t="str">
        <f>+IF(U3289="","-",CONCATENATE(U3289,"_",V3289))</f>
        <v>FINES_R13</v>
      </c>
      <c r="X3289" s="42">
        <v>0.6</v>
      </c>
    </row>
    <row r="3290" spans="1:24">
      <c r="A3290" s="21" t="s">
        <v>5100</v>
      </c>
      <c r="B3290" t="s">
        <v>217</v>
      </c>
      <c r="C3290" t="s">
        <v>2171</v>
      </c>
      <c r="D3290" t="s">
        <v>2172</v>
      </c>
      <c r="E3290" s="7" t="s">
        <v>198</v>
      </c>
      <c r="F3290" s="7" t="s">
        <v>198</v>
      </c>
      <c r="G3290" s="7" t="s">
        <v>198</v>
      </c>
      <c r="H3290" s="7" t="s">
        <v>20</v>
      </c>
      <c r="I3290" s="7" t="s">
        <v>5102</v>
      </c>
      <c r="J3290" s="7" t="s">
        <v>21</v>
      </c>
      <c r="L3290" t="s">
        <v>4573</v>
      </c>
      <c r="M3290" s="7" t="s">
        <v>22</v>
      </c>
      <c r="N3290" s="7" t="s">
        <v>23</v>
      </c>
      <c r="O3290" s="7" t="s">
        <v>27</v>
      </c>
      <c r="P3290" s="7" t="s">
        <v>5101</v>
      </c>
      <c r="Q3290" s="26">
        <v>12</v>
      </c>
      <c r="R3290" s="26">
        <v>1</v>
      </c>
      <c r="S3290" s="40">
        <v>1</v>
      </c>
      <c r="T3290" s="7"/>
      <c r="U3290" s="7" t="s">
        <v>2951</v>
      </c>
      <c r="V3290" s="7" t="str">
        <f>+IF(U3290="","",IF(U3290="FINES",CONCATENATE("R",IF(OR(B3290="16",B3290="21",B3290="22",B3290="23"),"16212223",IF(OR(B3290="15",B3290="17",B3290="24",B3290="25"),"15172425",B3290))),IF(U3290="CEBAS","UNICO",IF(VALUE(B3290)&lt;=11,"AMBA","INTERIOR"))))</f>
        <v>R13</v>
      </c>
      <c r="W3290" s="38" t="str">
        <f>+IF(U3290="","-",CONCATENATE(U3290,"_",V3290))</f>
        <v>FINES_R13</v>
      </c>
      <c r="X3290" s="42">
        <v>0.60899999999999999</v>
      </c>
    </row>
    <row r="3291" spans="1:24">
      <c r="A3291" s="21" t="s">
        <v>5100</v>
      </c>
      <c r="B3291" t="s">
        <v>217</v>
      </c>
      <c r="C3291" t="s">
        <v>2027</v>
      </c>
      <c r="D3291" t="s">
        <v>2028</v>
      </c>
      <c r="E3291" s="7" t="s">
        <v>198</v>
      </c>
      <c r="F3291" s="7" t="s">
        <v>198</v>
      </c>
      <c r="G3291" s="7" t="s">
        <v>198</v>
      </c>
      <c r="H3291" s="7" t="s">
        <v>20</v>
      </c>
      <c r="I3291" s="7" t="s">
        <v>5102</v>
      </c>
      <c r="J3291" s="7" t="s">
        <v>21</v>
      </c>
      <c r="L3291" t="s">
        <v>4570</v>
      </c>
      <c r="M3291" s="7" t="s">
        <v>22</v>
      </c>
      <c r="N3291" s="7" t="s">
        <v>23</v>
      </c>
      <c r="O3291" s="7" t="s">
        <v>27</v>
      </c>
      <c r="P3291" s="7" t="s">
        <v>5101</v>
      </c>
      <c r="Q3291" s="26">
        <v>14</v>
      </c>
      <c r="R3291" s="26">
        <v>1</v>
      </c>
      <c r="S3291" s="40">
        <v>1</v>
      </c>
      <c r="T3291" s="7"/>
      <c r="U3291" s="7" t="s">
        <v>2951</v>
      </c>
      <c r="V3291" s="7" t="str">
        <f>+IF(U3291="","",IF(U3291="FINES",CONCATENATE("R",IF(OR(B3291="16",B3291="21",B3291="22",B3291="23"),"16212223",IF(OR(B3291="15",B3291="17",B3291="24",B3291="25"),"15172425",B3291))),IF(U3291="CEBAS","UNICO",IF(VALUE(B3291)&lt;=11,"AMBA","INTERIOR"))))</f>
        <v>R13</v>
      </c>
      <c r="W3291" s="38" t="str">
        <f>+IF(U3291="","-",CONCATENATE(U3291,"_",V3291))</f>
        <v>FINES_R13</v>
      </c>
      <c r="X3291" s="42">
        <v>0.61299999999999999</v>
      </c>
    </row>
    <row r="3292" spans="1:24">
      <c r="A3292" s="21" t="s">
        <v>5100</v>
      </c>
      <c r="B3292" t="s">
        <v>217</v>
      </c>
      <c r="C3292" t="s">
        <v>1499</v>
      </c>
      <c r="D3292" t="s">
        <v>1500</v>
      </c>
      <c r="E3292" s="7" t="s">
        <v>198</v>
      </c>
      <c r="F3292" s="7" t="s">
        <v>198</v>
      </c>
      <c r="G3292" s="7" t="s">
        <v>198</v>
      </c>
      <c r="H3292" s="7" t="s">
        <v>20</v>
      </c>
      <c r="I3292" s="7" t="s">
        <v>5102</v>
      </c>
      <c r="J3292" s="7" t="s">
        <v>21</v>
      </c>
      <c r="L3292" t="s">
        <v>4575</v>
      </c>
      <c r="M3292" s="7" t="s">
        <v>22</v>
      </c>
      <c r="N3292" s="7" t="s">
        <v>23</v>
      </c>
      <c r="O3292" s="7" t="s">
        <v>27</v>
      </c>
      <c r="P3292" s="7" t="s">
        <v>5101</v>
      </c>
      <c r="Q3292" s="26">
        <v>12</v>
      </c>
      <c r="R3292" s="26">
        <v>1</v>
      </c>
      <c r="S3292" s="40">
        <v>1</v>
      </c>
      <c r="T3292" s="7"/>
      <c r="U3292" s="7" t="s">
        <v>2951</v>
      </c>
      <c r="V3292" s="7" t="str">
        <f>+IF(U3292="","",IF(U3292="FINES",CONCATENATE("R",IF(OR(B3292="16",B3292="21",B3292="22",B3292="23"),"16212223",IF(OR(B3292="15",B3292="17",B3292="24",B3292="25"),"15172425",B3292))),IF(U3292="CEBAS","UNICO",IF(VALUE(B3292)&lt;=11,"AMBA","INTERIOR"))))</f>
        <v>R13</v>
      </c>
      <c r="W3292" s="38" t="str">
        <f>+IF(U3292="","-",CONCATENATE(U3292,"_",V3292))</f>
        <v>FINES_R13</v>
      </c>
      <c r="X3292" s="42">
        <v>0.61499999999999999</v>
      </c>
    </row>
    <row r="3293" spans="1:24">
      <c r="A3293" s="21" t="s">
        <v>5100</v>
      </c>
      <c r="B3293" t="s">
        <v>217</v>
      </c>
      <c r="C3293" t="s">
        <v>2027</v>
      </c>
      <c r="D3293" t="s">
        <v>2028</v>
      </c>
      <c r="E3293" s="7" t="s">
        <v>198</v>
      </c>
      <c r="F3293" s="7" t="s">
        <v>198</v>
      </c>
      <c r="G3293" s="7" t="s">
        <v>198</v>
      </c>
      <c r="H3293" s="7" t="s">
        <v>20</v>
      </c>
      <c r="I3293" s="7" t="s">
        <v>5102</v>
      </c>
      <c r="J3293" s="7" t="s">
        <v>21</v>
      </c>
      <c r="L3293" t="s">
        <v>4559</v>
      </c>
      <c r="M3293" s="7" t="s">
        <v>22</v>
      </c>
      <c r="N3293" s="7" t="s">
        <v>23</v>
      </c>
      <c r="O3293" s="7" t="s">
        <v>27</v>
      </c>
      <c r="P3293" s="7" t="s">
        <v>5101</v>
      </c>
      <c r="Q3293" s="26">
        <v>15</v>
      </c>
      <c r="R3293" s="26">
        <v>1</v>
      </c>
      <c r="S3293" s="40">
        <v>1</v>
      </c>
      <c r="T3293" s="7"/>
      <c r="U3293" s="7" t="s">
        <v>2951</v>
      </c>
      <c r="V3293" s="7" t="str">
        <f>+IF(U3293="","",IF(U3293="FINES",CONCATENATE("R",IF(OR(B3293="16",B3293="21",B3293="22",B3293="23"),"16212223",IF(OR(B3293="15",B3293="17",B3293="24",B3293="25"),"15172425",B3293))),IF(U3293="CEBAS","UNICO",IF(VALUE(B3293)&lt;=11,"AMBA","INTERIOR"))))</f>
        <v>R13</v>
      </c>
      <c r="W3293" s="38" t="str">
        <f>+IF(U3293="","-",CONCATENATE(U3293,"_",V3293))</f>
        <v>FINES_R13</v>
      </c>
      <c r="X3293" s="42">
        <v>0.64500000000000002</v>
      </c>
    </row>
    <row r="3294" spans="1:24">
      <c r="A3294" s="21" t="s">
        <v>5100</v>
      </c>
      <c r="B3294" t="s">
        <v>217</v>
      </c>
      <c r="C3294" t="s">
        <v>2027</v>
      </c>
      <c r="D3294" t="s">
        <v>2028</v>
      </c>
      <c r="E3294" s="7" t="s">
        <v>198</v>
      </c>
      <c r="F3294" s="7" t="s">
        <v>198</v>
      </c>
      <c r="G3294" s="7" t="s">
        <v>198</v>
      </c>
      <c r="H3294" s="7" t="s">
        <v>20</v>
      </c>
      <c r="I3294" s="7" t="s">
        <v>5102</v>
      </c>
      <c r="J3294" s="7" t="s">
        <v>21</v>
      </c>
      <c r="L3294" t="s">
        <v>4571</v>
      </c>
      <c r="M3294" s="7" t="s">
        <v>22</v>
      </c>
      <c r="N3294" s="7" t="s">
        <v>23</v>
      </c>
      <c r="O3294" s="7" t="s">
        <v>27</v>
      </c>
      <c r="P3294" s="7" t="s">
        <v>5101</v>
      </c>
      <c r="Q3294" s="26">
        <v>7</v>
      </c>
      <c r="R3294" s="26">
        <v>1</v>
      </c>
      <c r="S3294" s="40">
        <v>1</v>
      </c>
      <c r="T3294" s="7"/>
      <c r="U3294" s="7" t="s">
        <v>2951</v>
      </c>
      <c r="V3294" s="7" t="str">
        <f>+IF(U3294="","",IF(U3294="FINES",CONCATENATE("R",IF(OR(B3294="16",B3294="21",B3294="22",B3294="23"),"16212223",IF(OR(B3294="15",B3294="17",B3294="24",B3294="25"),"15172425",B3294))),IF(U3294="CEBAS","UNICO",IF(VALUE(B3294)&lt;=11,"AMBA","INTERIOR"))))</f>
        <v>R13</v>
      </c>
      <c r="W3294" s="38" t="str">
        <f>+IF(U3294="","-",CONCATENATE(U3294,"_",V3294))</f>
        <v>FINES_R13</v>
      </c>
      <c r="X3294" s="42">
        <v>0.67200000000000004</v>
      </c>
    </row>
    <row r="3295" spans="1:24">
      <c r="A3295" s="21" t="s">
        <v>5100</v>
      </c>
      <c r="B3295" t="s">
        <v>217</v>
      </c>
      <c r="C3295" t="s">
        <v>2027</v>
      </c>
      <c r="D3295" t="s">
        <v>2028</v>
      </c>
      <c r="E3295" s="7" t="s">
        <v>198</v>
      </c>
      <c r="F3295" s="7" t="s">
        <v>198</v>
      </c>
      <c r="G3295" s="7" t="s">
        <v>198</v>
      </c>
      <c r="H3295" s="7" t="s">
        <v>20</v>
      </c>
      <c r="I3295" s="7" t="s">
        <v>5102</v>
      </c>
      <c r="J3295" s="7" t="s">
        <v>21</v>
      </c>
      <c r="L3295" t="s">
        <v>4562</v>
      </c>
      <c r="M3295" s="7" t="s">
        <v>22</v>
      </c>
      <c r="N3295" s="7" t="s">
        <v>23</v>
      </c>
      <c r="O3295" s="7" t="s">
        <v>27</v>
      </c>
      <c r="P3295" s="7" t="s">
        <v>5101</v>
      </c>
      <c r="Q3295" s="26">
        <v>15</v>
      </c>
      <c r="R3295" s="26">
        <v>1</v>
      </c>
      <c r="S3295" s="40">
        <v>1</v>
      </c>
      <c r="T3295" s="7"/>
      <c r="U3295" s="7" t="s">
        <v>2951</v>
      </c>
      <c r="V3295" s="7" t="str">
        <f>+IF(U3295="","",IF(U3295="FINES",CONCATENATE("R",IF(OR(B3295="16",B3295="21",B3295="22",B3295="23"),"16212223",IF(OR(B3295="15",B3295="17",B3295="24",B3295="25"),"15172425",B3295))),IF(U3295="CEBAS","UNICO",IF(VALUE(B3295)&lt;=11,"AMBA","INTERIOR"))))</f>
        <v>R13</v>
      </c>
      <c r="W3295" s="38" t="str">
        <f>+IF(U3295="","-",CONCATENATE(U3295,"_",V3295))</f>
        <v>FINES_R13</v>
      </c>
      <c r="X3295" s="42">
        <v>0.69499999999999995</v>
      </c>
    </row>
    <row r="3296" spans="1:24">
      <c r="A3296" s="21" t="s">
        <v>5100</v>
      </c>
      <c r="B3296" t="s">
        <v>217</v>
      </c>
      <c r="C3296" t="s">
        <v>2027</v>
      </c>
      <c r="D3296" t="s">
        <v>2028</v>
      </c>
      <c r="E3296" s="7" t="s">
        <v>198</v>
      </c>
      <c r="F3296" s="7" t="s">
        <v>198</v>
      </c>
      <c r="G3296" s="7" t="s">
        <v>198</v>
      </c>
      <c r="H3296" s="7" t="s">
        <v>20</v>
      </c>
      <c r="I3296" s="7" t="s">
        <v>5102</v>
      </c>
      <c r="J3296" s="7" t="s">
        <v>21</v>
      </c>
      <c r="L3296" t="s">
        <v>4569</v>
      </c>
      <c r="M3296" s="7" t="s">
        <v>22</v>
      </c>
      <c r="N3296" s="7" t="s">
        <v>23</v>
      </c>
      <c r="O3296" s="7" t="s">
        <v>27</v>
      </c>
      <c r="P3296" s="7" t="s">
        <v>5101</v>
      </c>
      <c r="Q3296" s="26">
        <v>19</v>
      </c>
      <c r="R3296" s="26">
        <v>1</v>
      </c>
      <c r="S3296" s="40">
        <v>1</v>
      </c>
      <c r="T3296" s="7"/>
      <c r="U3296" s="7" t="s">
        <v>2951</v>
      </c>
      <c r="V3296" s="7" t="str">
        <f>+IF(U3296="","",IF(U3296="FINES",CONCATENATE("R",IF(OR(B3296="16",B3296="21",B3296="22",B3296="23"),"16212223",IF(OR(B3296="15",B3296="17",B3296="24",B3296="25"),"15172425",B3296))),IF(U3296="CEBAS","UNICO",IF(VALUE(B3296)&lt;=11,"AMBA","INTERIOR"))))</f>
        <v>R13</v>
      </c>
      <c r="W3296" s="38" t="str">
        <f>+IF(U3296="","-",CONCATENATE(U3296,"_",V3296))</f>
        <v>FINES_R13</v>
      </c>
      <c r="X3296" s="42">
        <v>0.73499999999999999</v>
      </c>
    </row>
    <row r="3297" spans="1:24">
      <c r="A3297" s="21" t="s">
        <v>5100</v>
      </c>
      <c r="B3297" t="s">
        <v>217</v>
      </c>
      <c r="C3297" t="s">
        <v>2027</v>
      </c>
      <c r="D3297" t="s">
        <v>2028</v>
      </c>
      <c r="E3297" s="7" t="s">
        <v>198</v>
      </c>
      <c r="F3297" s="7" t="s">
        <v>198</v>
      </c>
      <c r="G3297" s="7" t="s">
        <v>198</v>
      </c>
      <c r="H3297" s="7" t="s">
        <v>20</v>
      </c>
      <c r="I3297" s="7" t="s">
        <v>5102</v>
      </c>
      <c r="J3297" s="7" t="s">
        <v>21</v>
      </c>
      <c r="L3297" t="s">
        <v>4572</v>
      </c>
      <c r="M3297" s="7" t="s">
        <v>22</v>
      </c>
      <c r="N3297" s="7" t="s">
        <v>23</v>
      </c>
      <c r="O3297" s="7" t="s">
        <v>27</v>
      </c>
      <c r="P3297" s="7" t="s">
        <v>5101</v>
      </c>
      <c r="Q3297" s="26">
        <v>18</v>
      </c>
      <c r="R3297" s="26">
        <v>1</v>
      </c>
      <c r="S3297" s="40">
        <v>1</v>
      </c>
      <c r="T3297" s="7"/>
      <c r="U3297" s="7" t="s">
        <v>2951</v>
      </c>
      <c r="V3297" s="7" t="str">
        <f>+IF(U3297="","",IF(U3297="FINES",CONCATENATE("R",IF(OR(B3297="16",B3297="21",B3297="22",B3297="23"),"16212223",IF(OR(B3297="15",B3297="17",B3297="24",B3297="25"),"15172425",B3297))),IF(U3297="CEBAS","UNICO",IF(VALUE(B3297)&lt;=11,"AMBA","INTERIOR"))))</f>
        <v>R13</v>
      </c>
      <c r="W3297" s="38" t="str">
        <f>+IF(U3297="","-",CONCATENATE(U3297,"_",V3297))</f>
        <v>FINES_R13</v>
      </c>
      <c r="X3297" s="42">
        <v>0.77800000000000002</v>
      </c>
    </row>
    <row r="3298" spans="1:24">
      <c r="A3298" s="21" t="s">
        <v>5100</v>
      </c>
      <c r="B3298" t="s">
        <v>217</v>
      </c>
      <c r="C3298" t="s">
        <v>2027</v>
      </c>
      <c r="D3298" t="s">
        <v>2028</v>
      </c>
      <c r="E3298" s="7" t="s">
        <v>198</v>
      </c>
      <c r="F3298" s="7" t="s">
        <v>198</v>
      </c>
      <c r="G3298" s="7" t="s">
        <v>198</v>
      </c>
      <c r="H3298" s="7" t="s">
        <v>20</v>
      </c>
      <c r="I3298" s="7" t="s">
        <v>5102</v>
      </c>
      <c r="J3298" s="7" t="s">
        <v>21</v>
      </c>
      <c r="L3298" t="s">
        <v>4558</v>
      </c>
      <c r="M3298" s="7" t="s">
        <v>22</v>
      </c>
      <c r="N3298" s="7" t="s">
        <v>23</v>
      </c>
      <c r="O3298" s="7" t="s">
        <v>27</v>
      </c>
      <c r="P3298" s="7" t="s">
        <v>5101</v>
      </c>
      <c r="Q3298" s="26">
        <v>27</v>
      </c>
      <c r="R3298" s="26">
        <v>1</v>
      </c>
      <c r="S3298" s="40">
        <v>1</v>
      </c>
      <c r="T3298" s="7"/>
      <c r="U3298" s="7" t="s">
        <v>2951</v>
      </c>
      <c r="V3298" s="7" t="str">
        <f>+IF(U3298="","",IF(U3298="FINES",CONCATENATE("R",IF(OR(B3298="16",B3298="21",B3298="22",B3298="23"),"16212223",IF(OR(B3298="15",B3298="17",B3298="24",B3298="25"),"15172425",B3298))),IF(U3298="CEBAS","UNICO",IF(VALUE(B3298)&lt;=11,"AMBA","INTERIOR"))))</f>
        <v>R13</v>
      </c>
      <c r="W3298" s="38" t="str">
        <f>+IF(U3298="","-",CONCATENATE(U3298,"_",V3298))</f>
        <v>FINES_R13</v>
      </c>
      <c r="X3298" s="42">
        <v>0.79800000000000004</v>
      </c>
    </row>
    <row r="3299" spans="1:24">
      <c r="A3299" s="21" t="s">
        <v>5100</v>
      </c>
      <c r="B3299" t="s">
        <v>217</v>
      </c>
      <c r="C3299" t="s">
        <v>1499</v>
      </c>
      <c r="D3299" t="s">
        <v>1500</v>
      </c>
      <c r="E3299" s="7" t="s">
        <v>198</v>
      </c>
      <c r="F3299" s="7" t="s">
        <v>198</v>
      </c>
      <c r="G3299" s="7" t="s">
        <v>198</v>
      </c>
      <c r="H3299" s="7" t="s">
        <v>20</v>
      </c>
      <c r="I3299" s="7" t="s">
        <v>5102</v>
      </c>
      <c r="J3299" s="7" t="s">
        <v>21</v>
      </c>
      <c r="L3299" t="s">
        <v>4577</v>
      </c>
      <c r="M3299" s="7" t="s">
        <v>22</v>
      </c>
      <c r="N3299" s="7" t="s">
        <v>23</v>
      </c>
      <c r="O3299" s="7" t="s">
        <v>27</v>
      </c>
      <c r="P3299" s="7" t="s">
        <v>5101</v>
      </c>
      <c r="Q3299" s="26">
        <v>39</v>
      </c>
      <c r="R3299" s="26">
        <v>1</v>
      </c>
      <c r="S3299" s="40">
        <v>1</v>
      </c>
      <c r="T3299" s="7"/>
      <c r="U3299" s="7" t="s">
        <v>2951</v>
      </c>
      <c r="V3299" s="7" t="str">
        <f>+IF(U3299="","",IF(U3299="FINES",CONCATENATE("R",IF(OR(B3299="16",B3299="21",B3299="22",B3299="23"),"16212223",IF(OR(B3299="15",B3299="17",B3299="24",B3299="25"),"15172425",B3299))),IF(U3299="CEBAS","UNICO",IF(VALUE(B3299)&lt;=11,"AMBA","INTERIOR"))))</f>
        <v>R13</v>
      </c>
      <c r="W3299" s="38" t="str">
        <f>+IF(U3299="","-",CONCATENATE(U3299,"_",V3299))</f>
        <v>FINES_R13</v>
      </c>
      <c r="X3299" s="42">
        <v>0.90800000000000003</v>
      </c>
    </row>
    <row r="3300" spans="1:24">
      <c r="A3300" s="21" t="s">
        <v>5100</v>
      </c>
      <c r="B3300" t="s">
        <v>217</v>
      </c>
      <c r="C3300" t="s">
        <v>2027</v>
      </c>
      <c r="D3300" t="s">
        <v>2028</v>
      </c>
      <c r="E3300" s="7" t="s">
        <v>198</v>
      </c>
      <c r="F3300" s="7" t="s">
        <v>198</v>
      </c>
      <c r="G3300" s="7" t="s">
        <v>198</v>
      </c>
      <c r="H3300" s="7" t="s">
        <v>20</v>
      </c>
      <c r="I3300" s="7" t="s">
        <v>5102</v>
      </c>
      <c r="J3300" s="7" t="s">
        <v>21</v>
      </c>
      <c r="L3300" t="s">
        <v>4560</v>
      </c>
      <c r="M3300" s="7" t="s">
        <v>22</v>
      </c>
      <c r="N3300" s="7" t="s">
        <v>23</v>
      </c>
      <c r="O3300" s="7" t="s">
        <v>27</v>
      </c>
      <c r="P3300" s="7" t="s">
        <v>5101</v>
      </c>
      <c r="Q3300" s="26">
        <v>20</v>
      </c>
      <c r="R3300" s="26">
        <v>1</v>
      </c>
      <c r="S3300" s="40">
        <v>1</v>
      </c>
      <c r="T3300" s="7"/>
      <c r="U3300" s="7" t="s">
        <v>2951</v>
      </c>
      <c r="V3300" s="7" t="str">
        <f>+IF(U3300="","",IF(U3300="FINES",CONCATENATE("R",IF(OR(B3300="16",B3300="21",B3300="22",B3300="23"),"16212223",IF(OR(B3300="15",B3300="17",B3300="24",B3300="25"),"15172425",B3300))),IF(U3300="CEBAS","UNICO",IF(VALUE(B3300)&lt;=11,"AMBA","INTERIOR"))))</f>
        <v>R13</v>
      </c>
      <c r="W3300" s="38" t="str">
        <f>+IF(U3300="","-",CONCATENATE(U3300,"_",V3300))</f>
        <v>FINES_R13</v>
      </c>
      <c r="X3300" s="42">
        <v>0.92900000000000005</v>
      </c>
    </row>
    <row r="3301" spans="1:24">
      <c r="A3301" s="21" t="s">
        <v>5100</v>
      </c>
      <c r="B3301" t="s">
        <v>217</v>
      </c>
      <c r="C3301" t="s">
        <v>674</v>
      </c>
      <c r="D3301" t="s">
        <v>675</v>
      </c>
      <c r="E3301" s="7" t="s">
        <v>198</v>
      </c>
      <c r="F3301" s="7" t="s">
        <v>198</v>
      </c>
      <c r="G3301" s="7" t="s">
        <v>198</v>
      </c>
      <c r="H3301" s="7" t="s">
        <v>20</v>
      </c>
      <c r="I3301" s="7" t="s">
        <v>5102</v>
      </c>
      <c r="J3301" s="7" t="s">
        <v>21</v>
      </c>
      <c r="L3301" t="s">
        <v>4552</v>
      </c>
      <c r="M3301" s="7" t="s">
        <v>22</v>
      </c>
      <c r="N3301" s="7" t="s">
        <v>23</v>
      </c>
      <c r="O3301" s="7" t="s">
        <v>27</v>
      </c>
      <c r="P3301" s="7" t="s">
        <v>5101</v>
      </c>
      <c r="Q3301" s="26">
        <v>59</v>
      </c>
      <c r="R3301" s="26">
        <v>3</v>
      </c>
      <c r="S3301" s="40">
        <v>1</v>
      </c>
      <c r="T3301" s="7"/>
      <c r="U3301" s="7" t="s">
        <v>2951</v>
      </c>
      <c r="V3301" s="7" t="str">
        <f>+IF(U3301="","",IF(U3301="FINES",CONCATENATE("R",IF(OR(B3301="16",B3301="21",B3301="22",B3301="23"),"16212223",IF(OR(B3301="15",B3301="17",B3301="24",B3301="25"),"15172425",B3301))),IF(U3301="CEBAS","UNICO",IF(VALUE(B3301)&lt;=11,"AMBA","INTERIOR"))))</f>
        <v>R13</v>
      </c>
      <c r="W3301" s="38" t="str">
        <f>+IF(U3301="","-",CONCATENATE(U3301,"_",V3301))</f>
        <v>FINES_R13</v>
      </c>
      <c r="X3301" s="42">
        <v>0.98799999999999999</v>
      </c>
    </row>
    <row r="3302" spans="1:24">
      <c r="A3302" s="21" t="s">
        <v>5100</v>
      </c>
      <c r="B3302" t="s">
        <v>135</v>
      </c>
      <c r="C3302" t="s">
        <v>727</v>
      </c>
      <c r="D3302" t="s">
        <v>728</v>
      </c>
      <c r="E3302" s="7" t="s">
        <v>198</v>
      </c>
      <c r="F3302" s="7" t="s">
        <v>198</v>
      </c>
      <c r="G3302" s="7" t="s">
        <v>198</v>
      </c>
      <c r="H3302" s="7" t="s">
        <v>20</v>
      </c>
      <c r="I3302" s="7" t="s">
        <v>5102</v>
      </c>
      <c r="J3302" s="7" t="s">
        <v>21</v>
      </c>
      <c r="L3302" t="s">
        <v>4581</v>
      </c>
      <c r="M3302" s="7" t="s">
        <v>22</v>
      </c>
      <c r="N3302" s="7" t="s">
        <v>23</v>
      </c>
      <c r="O3302" s="7" t="s">
        <v>27</v>
      </c>
      <c r="P3302" s="7" t="s">
        <v>5101</v>
      </c>
      <c r="Q3302" s="26">
        <v>31</v>
      </c>
      <c r="R3302" s="26">
        <v>2</v>
      </c>
      <c r="S3302" s="40">
        <v>1</v>
      </c>
      <c r="T3302" s="7"/>
      <c r="U3302" s="7" t="s">
        <v>2951</v>
      </c>
      <c r="V3302" s="7" t="str">
        <f>+IF(U3302="","",IF(U3302="FINES",CONCATENATE("R",IF(OR(B3302="16",B3302="21",B3302="22",B3302="23"),"16212223",IF(OR(B3302="15",B3302="17",B3302="24",B3302="25"),"15172425",B3302))),IF(U3302="CEBAS","UNICO",IF(VALUE(B3302)&lt;=11,"AMBA","INTERIOR"))))</f>
        <v>R14</v>
      </c>
      <c r="W3302" s="38" t="str">
        <f>+IF(U3302="","-",CONCATENATE(U3302,"_",V3302))</f>
        <v>FINES_R14</v>
      </c>
      <c r="X3302" s="42">
        <v>8.9999999999999993E-3</v>
      </c>
    </row>
    <row r="3303" spans="1:24">
      <c r="A3303" s="21" t="s">
        <v>5100</v>
      </c>
      <c r="B3303" t="s">
        <v>135</v>
      </c>
      <c r="C3303" t="s">
        <v>1217</v>
      </c>
      <c r="D3303" t="s">
        <v>1218</v>
      </c>
      <c r="E3303" s="7" t="s">
        <v>198</v>
      </c>
      <c r="F3303" s="7" t="s">
        <v>198</v>
      </c>
      <c r="G3303" s="7" t="s">
        <v>198</v>
      </c>
      <c r="H3303" s="7" t="s">
        <v>20</v>
      </c>
      <c r="I3303" s="7" t="s">
        <v>5102</v>
      </c>
      <c r="J3303" s="7" t="s">
        <v>21</v>
      </c>
      <c r="L3303" t="s">
        <v>4606</v>
      </c>
      <c r="M3303" s="7" t="s">
        <v>22</v>
      </c>
      <c r="N3303" s="7" t="s">
        <v>23</v>
      </c>
      <c r="O3303" s="7" t="s">
        <v>27</v>
      </c>
      <c r="P3303" s="7" t="s">
        <v>5101</v>
      </c>
      <c r="Q3303" s="26">
        <v>61</v>
      </c>
      <c r="R3303" s="26">
        <v>3</v>
      </c>
      <c r="S3303" s="40">
        <v>1</v>
      </c>
      <c r="T3303" s="7"/>
      <c r="U3303" s="7" t="s">
        <v>2951</v>
      </c>
      <c r="V3303" s="7" t="str">
        <f>+IF(U3303="","",IF(U3303="FINES",CONCATENATE("R",IF(OR(B3303="16",B3303="21",B3303="22",B3303="23"),"16212223",IF(OR(B3303="15",B3303="17",B3303="24",B3303="25"),"15172425",B3303))),IF(U3303="CEBAS","UNICO",IF(VALUE(B3303)&lt;=11,"AMBA","INTERIOR"))))</f>
        <v>R14</v>
      </c>
      <c r="W3303" s="38" t="str">
        <f>+IF(U3303="","-",CONCATENATE(U3303,"_",V3303))</f>
        <v>FINES_R14</v>
      </c>
      <c r="X3303" s="42">
        <v>1.2E-2</v>
      </c>
    </row>
    <row r="3304" spans="1:24">
      <c r="A3304" s="21" t="s">
        <v>5100</v>
      </c>
      <c r="B3304" t="s">
        <v>135</v>
      </c>
      <c r="C3304" t="s">
        <v>727</v>
      </c>
      <c r="D3304" t="s">
        <v>728</v>
      </c>
      <c r="E3304" s="7" t="s">
        <v>198</v>
      </c>
      <c r="F3304" s="7" t="s">
        <v>198</v>
      </c>
      <c r="G3304" s="7" t="s">
        <v>198</v>
      </c>
      <c r="H3304" s="7" t="s">
        <v>20</v>
      </c>
      <c r="I3304" s="7" t="s">
        <v>5102</v>
      </c>
      <c r="J3304" s="7" t="s">
        <v>21</v>
      </c>
      <c r="L3304" t="s">
        <v>4580</v>
      </c>
      <c r="M3304" s="7" t="s">
        <v>22</v>
      </c>
      <c r="N3304" s="7" t="s">
        <v>23</v>
      </c>
      <c r="O3304" s="7" t="s">
        <v>27</v>
      </c>
      <c r="P3304" s="7" t="s">
        <v>5101</v>
      </c>
      <c r="Q3304" s="26">
        <v>81</v>
      </c>
      <c r="R3304" s="26">
        <v>4</v>
      </c>
      <c r="S3304" s="40">
        <v>1</v>
      </c>
      <c r="T3304" s="7"/>
      <c r="U3304" s="7" t="s">
        <v>2951</v>
      </c>
      <c r="V3304" s="7" t="str">
        <f>+IF(U3304="","",IF(U3304="FINES",CONCATENATE("R",IF(OR(B3304="16",B3304="21",B3304="22",B3304="23"),"16212223",IF(OR(B3304="15",B3304="17",B3304="24",B3304="25"),"15172425",B3304))),IF(U3304="CEBAS","UNICO",IF(VALUE(B3304)&lt;=11,"AMBA","INTERIOR"))))</f>
        <v>R14</v>
      </c>
      <c r="W3304" s="38" t="str">
        <f>+IF(U3304="","-",CONCATENATE(U3304,"_",V3304))</f>
        <v>FINES_R14</v>
      </c>
      <c r="X3304" s="42">
        <v>3.9E-2</v>
      </c>
    </row>
    <row r="3305" spans="1:24">
      <c r="A3305" s="21" t="s">
        <v>5100</v>
      </c>
      <c r="B3305" t="s">
        <v>135</v>
      </c>
      <c r="C3305" t="s">
        <v>1179</v>
      </c>
      <c r="D3305" t="s">
        <v>1180</v>
      </c>
      <c r="E3305" s="7" t="s">
        <v>198</v>
      </c>
      <c r="F3305" s="7" t="s">
        <v>198</v>
      </c>
      <c r="G3305" s="7" t="s">
        <v>198</v>
      </c>
      <c r="H3305" s="7" t="s">
        <v>20</v>
      </c>
      <c r="I3305" s="7" t="s">
        <v>5102</v>
      </c>
      <c r="J3305" s="7" t="s">
        <v>21</v>
      </c>
      <c r="L3305" t="s">
        <v>4602</v>
      </c>
      <c r="M3305" s="7" t="s">
        <v>22</v>
      </c>
      <c r="N3305" s="7" t="s">
        <v>23</v>
      </c>
      <c r="O3305" s="7" t="s">
        <v>27</v>
      </c>
      <c r="P3305" s="7" t="s">
        <v>5101</v>
      </c>
      <c r="Q3305" s="26">
        <v>4</v>
      </c>
      <c r="R3305" s="26">
        <v>1</v>
      </c>
      <c r="S3305" s="40">
        <v>1</v>
      </c>
      <c r="T3305" s="7"/>
      <c r="U3305" s="7" t="s">
        <v>2951</v>
      </c>
      <c r="V3305" s="7" t="str">
        <f>+IF(U3305="","",IF(U3305="FINES",CONCATENATE("R",IF(OR(B3305="16",B3305="21",B3305="22",B3305="23"),"16212223",IF(OR(B3305="15",B3305="17",B3305="24",B3305="25"),"15172425",B3305))),IF(U3305="CEBAS","UNICO",IF(VALUE(B3305)&lt;=11,"AMBA","INTERIOR"))))</f>
        <v>R14</v>
      </c>
      <c r="W3305" s="38" t="str">
        <f>+IF(U3305="","-",CONCATENATE(U3305,"_",V3305))</f>
        <v>FINES_R14</v>
      </c>
      <c r="X3305" s="42">
        <v>0.04</v>
      </c>
    </row>
    <row r="3306" spans="1:24">
      <c r="A3306" s="21" t="s">
        <v>5100</v>
      </c>
      <c r="B3306" t="s">
        <v>135</v>
      </c>
      <c r="C3306" t="s">
        <v>1217</v>
      </c>
      <c r="D3306" t="s">
        <v>1218</v>
      </c>
      <c r="E3306" s="7" t="s">
        <v>198</v>
      </c>
      <c r="F3306" s="7" t="s">
        <v>198</v>
      </c>
      <c r="G3306" s="7" t="s">
        <v>198</v>
      </c>
      <c r="H3306" s="7" t="s">
        <v>20</v>
      </c>
      <c r="I3306" s="7" t="s">
        <v>5102</v>
      </c>
      <c r="J3306" s="7" t="s">
        <v>21</v>
      </c>
      <c r="L3306" t="s">
        <v>4612</v>
      </c>
      <c r="M3306" s="7" t="s">
        <v>22</v>
      </c>
      <c r="N3306" s="7" t="s">
        <v>23</v>
      </c>
      <c r="O3306" s="7" t="s">
        <v>27</v>
      </c>
      <c r="P3306" s="7" t="s">
        <v>5101</v>
      </c>
      <c r="Q3306" s="26">
        <v>20</v>
      </c>
      <c r="R3306" s="26">
        <v>1</v>
      </c>
      <c r="S3306" s="40">
        <v>1</v>
      </c>
      <c r="T3306" s="7"/>
      <c r="U3306" s="7" t="s">
        <v>2951</v>
      </c>
      <c r="V3306" s="7" t="str">
        <f>+IF(U3306="","",IF(U3306="FINES",CONCATENATE("R",IF(OR(B3306="16",B3306="21",B3306="22",B3306="23"),"16212223",IF(OR(B3306="15",B3306="17",B3306="24",B3306="25"),"15172425",B3306))),IF(U3306="CEBAS","UNICO",IF(VALUE(B3306)&lt;=11,"AMBA","INTERIOR"))))</f>
        <v>R14</v>
      </c>
      <c r="W3306" s="38" t="str">
        <f>+IF(U3306="","-",CONCATENATE(U3306,"_",V3306))</f>
        <v>FINES_R14</v>
      </c>
      <c r="X3306" s="42">
        <v>4.1000000000000002E-2</v>
      </c>
    </row>
    <row r="3307" spans="1:24">
      <c r="A3307" s="21" t="s">
        <v>5100</v>
      </c>
      <c r="B3307" t="s">
        <v>135</v>
      </c>
      <c r="C3307" t="s">
        <v>424</v>
      </c>
      <c r="D3307" t="s">
        <v>937</v>
      </c>
      <c r="E3307" s="7" t="s">
        <v>198</v>
      </c>
      <c r="F3307" s="7" t="s">
        <v>198</v>
      </c>
      <c r="G3307" s="7" t="s">
        <v>198</v>
      </c>
      <c r="H3307" s="7" t="s">
        <v>20</v>
      </c>
      <c r="I3307" s="7" t="s">
        <v>5102</v>
      </c>
      <c r="J3307" s="7" t="s">
        <v>21</v>
      </c>
      <c r="L3307" t="s">
        <v>4597</v>
      </c>
      <c r="M3307" s="7" t="s">
        <v>22</v>
      </c>
      <c r="N3307" s="7" t="s">
        <v>23</v>
      </c>
      <c r="O3307" s="7" t="s">
        <v>27</v>
      </c>
      <c r="P3307" s="7" t="s">
        <v>5101</v>
      </c>
      <c r="Q3307" s="26">
        <v>63</v>
      </c>
      <c r="R3307" s="26">
        <v>4</v>
      </c>
      <c r="S3307" s="40">
        <v>1</v>
      </c>
      <c r="T3307" s="7"/>
      <c r="U3307" s="7" t="s">
        <v>2951</v>
      </c>
      <c r="V3307" s="7" t="str">
        <f>+IF(U3307="","",IF(U3307="FINES",CONCATENATE("R",IF(OR(B3307="16",B3307="21",B3307="22",B3307="23"),"16212223",IF(OR(B3307="15",B3307="17",B3307="24",B3307="25"),"15172425",B3307))),IF(U3307="CEBAS","UNICO",IF(VALUE(B3307)&lt;=11,"AMBA","INTERIOR"))))</f>
        <v>R14</v>
      </c>
      <c r="W3307" s="38" t="str">
        <f>+IF(U3307="","-",CONCATENATE(U3307,"_",V3307))</f>
        <v>FINES_R14</v>
      </c>
      <c r="X3307" s="42">
        <v>6.3E-2</v>
      </c>
    </row>
    <row r="3308" spans="1:24">
      <c r="A3308" s="21" t="s">
        <v>5100</v>
      </c>
      <c r="B3308" t="s">
        <v>135</v>
      </c>
      <c r="C3308" t="s">
        <v>1217</v>
      </c>
      <c r="D3308" t="s">
        <v>1218</v>
      </c>
      <c r="E3308" s="7" t="s">
        <v>198</v>
      </c>
      <c r="F3308" s="7" t="s">
        <v>198</v>
      </c>
      <c r="G3308" s="7" t="s">
        <v>198</v>
      </c>
      <c r="H3308" s="7" t="s">
        <v>20</v>
      </c>
      <c r="I3308" s="7" t="s">
        <v>5102</v>
      </c>
      <c r="J3308" s="7" t="s">
        <v>21</v>
      </c>
      <c r="L3308" t="s">
        <v>4615</v>
      </c>
      <c r="M3308" s="7" t="s">
        <v>22</v>
      </c>
      <c r="N3308" s="7" t="s">
        <v>23</v>
      </c>
      <c r="O3308" s="7" t="s">
        <v>27</v>
      </c>
      <c r="P3308" s="7" t="s">
        <v>5101</v>
      </c>
      <c r="Q3308" s="26">
        <v>12</v>
      </c>
      <c r="R3308" s="26">
        <v>1</v>
      </c>
      <c r="S3308" s="40">
        <v>1</v>
      </c>
      <c r="T3308" s="7"/>
      <c r="U3308" s="7" t="s">
        <v>2951</v>
      </c>
      <c r="V3308" s="7" t="str">
        <f>+IF(U3308="","",IF(U3308="FINES",CONCATENATE("R",IF(OR(B3308="16",B3308="21",B3308="22",B3308="23"),"16212223",IF(OR(B3308="15",B3308="17",B3308="24",B3308="25"),"15172425",B3308))),IF(U3308="CEBAS","UNICO",IF(VALUE(B3308)&lt;=11,"AMBA","INTERIOR"))))</f>
        <v>R14</v>
      </c>
      <c r="W3308" s="38" t="str">
        <f>+IF(U3308="","-",CONCATENATE(U3308,"_",V3308))</f>
        <v>FINES_R14</v>
      </c>
      <c r="X3308" s="42">
        <v>0.16900000000000001</v>
      </c>
    </row>
    <row r="3309" spans="1:24">
      <c r="A3309" s="21" t="s">
        <v>5100</v>
      </c>
      <c r="B3309" t="s">
        <v>135</v>
      </c>
      <c r="C3309" t="s">
        <v>1217</v>
      </c>
      <c r="D3309" t="s">
        <v>1218</v>
      </c>
      <c r="E3309" s="7" t="s">
        <v>198</v>
      </c>
      <c r="F3309" s="7" t="s">
        <v>198</v>
      </c>
      <c r="G3309" s="7" t="s">
        <v>198</v>
      </c>
      <c r="H3309" s="7" t="s">
        <v>20</v>
      </c>
      <c r="I3309" s="7" t="s">
        <v>5102</v>
      </c>
      <c r="J3309" s="7" t="s">
        <v>21</v>
      </c>
      <c r="L3309" t="s">
        <v>4614</v>
      </c>
      <c r="M3309" s="7" t="s">
        <v>22</v>
      </c>
      <c r="N3309" s="7" t="s">
        <v>23</v>
      </c>
      <c r="O3309" s="7" t="s">
        <v>27</v>
      </c>
      <c r="P3309" s="7" t="s">
        <v>5101</v>
      </c>
      <c r="Q3309" s="26">
        <v>17</v>
      </c>
      <c r="R3309" s="26">
        <v>1</v>
      </c>
      <c r="S3309" s="40">
        <v>1</v>
      </c>
      <c r="T3309" s="7"/>
      <c r="U3309" s="7" t="s">
        <v>2951</v>
      </c>
      <c r="V3309" s="7" t="str">
        <f>+IF(U3309="","",IF(U3309="FINES",CONCATENATE("R",IF(OR(B3309="16",B3309="21",B3309="22",B3309="23"),"16212223",IF(OR(B3309="15",B3309="17",B3309="24",B3309="25"),"15172425",B3309))),IF(U3309="CEBAS","UNICO",IF(VALUE(B3309)&lt;=11,"AMBA","INTERIOR"))))</f>
        <v>R14</v>
      </c>
      <c r="W3309" s="38" t="str">
        <f>+IF(U3309="","-",CONCATENATE(U3309,"_",V3309))</f>
        <v>FINES_R14</v>
      </c>
      <c r="X3309" s="42">
        <v>0.17699999999999999</v>
      </c>
    </row>
    <row r="3310" spans="1:24">
      <c r="A3310" s="21" t="s">
        <v>5100</v>
      </c>
      <c r="B3310" t="s">
        <v>135</v>
      </c>
      <c r="C3310" t="s">
        <v>1179</v>
      </c>
      <c r="D3310" t="s">
        <v>1180</v>
      </c>
      <c r="E3310" s="7" t="s">
        <v>198</v>
      </c>
      <c r="F3310" s="7" t="s">
        <v>198</v>
      </c>
      <c r="G3310" s="7" t="s">
        <v>198</v>
      </c>
      <c r="H3310" s="7" t="s">
        <v>20</v>
      </c>
      <c r="I3310" s="7" t="s">
        <v>5102</v>
      </c>
      <c r="J3310" s="7" t="s">
        <v>21</v>
      </c>
      <c r="L3310" t="s">
        <v>4601</v>
      </c>
      <c r="M3310" s="7" t="s">
        <v>22</v>
      </c>
      <c r="N3310" s="7" t="s">
        <v>23</v>
      </c>
      <c r="O3310" s="7" t="s">
        <v>27</v>
      </c>
      <c r="P3310" s="7" t="s">
        <v>5101</v>
      </c>
      <c r="Q3310" s="26">
        <v>10</v>
      </c>
      <c r="R3310" s="26">
        <v>1</v>
      </c>
      <c r="S3310" s="40">
        <v>1</v>
      </c>
      <c r="T3310" s="7"/>
      <c r="U3310" s="7" t="s">
        <v>2951</v>
      </c>
      <c r="V3310" s="7" t="str">
        <f>+IF(U3310="","",IF(U3310="FINES",CONCATENATE("R",IF(OR(B3310="16",B3310="21",B3310="22",B3310="23"),"16212223",IF(OR(B3310="15",B3310="17",B3310="24",B3310="25"),"15172425",B3310))),IF(U3310="CEBAS","UNICO",IF(VALUE(B3310)&lt;=11,"AMBA","INTERIOR"))))</f>
        <v>R14</v>
      </c>
      <c r="W3310" s="38" t="str">
        <f>+IF(U3310="","-",CONCATENATE(U3310,"_",V3310))</f>
        <v>FINES_R14</v>
      </c>
      <c r="X3310" s="42">
        <v>0.185</v>
      </c>
    </row>
    <row r="3311" spans="1:24">
      <c r="A3311" s="21" t="s">
        <v>5100</v>
      </c>
      <c r="B3311" t="s">
        <v>135</v>
      </c>
      <c r="C3311" t="s">
        <v>727</v>
      </c>
      <c r="D3311" t="s">
        <v>728</v>
      </c>
      <c r="E3311" s="7" t="s">
        <v>198</v>
      </c>
      <c r="F3311" s="7" t="s">
        <v>198</v>
      </c>
      <c r="G3311" s="7" t="s">
        <v>198</v>
      </c>
      <c r="H3311" s="7" t="s">
        <v>20</v>
      </c>
      <c r="I3311" s="7" t="s">
        <v>5102</v>
      </c>
      <c r="J3311" s="7" t="s">
        <v>21</v>
      </c>
      <c r="L3311" t="s">
        <v>4583</v>
      </c>
      <c r="M3311" s="7" t="s">
        <v>22</v>
      </c>
      <c r="N3311" s="7" t="s">
        <v>23</v>
      </c>
      <c r="O3311" s="7" t="s">
        <v>27</v>
      </c>
      <c r="P3311" s="7" t="s">
        <v>5101</v>
      </c>
      <c r="Q3311" s="26">
        <v>59</v>
      </c>
      <c r="R3311" s="26">
        <v>3</v>
      </c>
      <c r="S3311" s="40">
        <v>1</v>
      </c>
      <c r="T3311" s="7"/>
      <c r="U3311" s="7" t="s">
        <v>2951</v>
      </c>
      <c r="V3311" s="7" t="str">
        <f>+IF(U3311="","",IF(U3311="FINES",CONCATENATE("R",IF(OR(B3311="16",B3311="21",B3311="22",B3311="23"),"16212223",IF(OR(B3311="15",B3311="17",B3311="24",B3311="25"),"15172425",B3311))),IF(U3311="CEBAS","UNICO",IF(VALUE(B3311)&lt;=11,"AMBA","INTERIOR"))))</f>
        <v>R14</v>
      </c>
      <c r="W3311" s="38" t="str">
        <f>+IF(U3311="","-",CONCATENATE(U3311,"_",V3311))</f>
        <v>FINES_R14</v>
      </c>
      <c r="X3311" s="42">
        <v>0.214</v>
      </c>
    </row>
    <row r="3312" spans="1:24">
      <c r="A3312" s="21" t="s">
        <v>5100</v>
      </c>
      <c r="B3312" t="s">
        <v>135</v>
      </c>
      <c r="C3312" t="s">
        <v>1330</v>
      </c>
      <c r="D3312" t="s">
        <v>1331</v>
      </c>
      <c r="E3312" s="7" t="s">
        <v>198</v>
      </c>
      <c r="F3312" s="7" t="s">
        <v>198</v>
      </c>
      <c r="G3312" s="7" t="s">
        <v>198</v>
      </c>
      <c r="H3312" s="7" t="s">
        <v>20</v>
      </c>
      <c r="I3312" s="7" t="s">
        <v>5102</v>
      </c>
      <c r="J3312" s="7" t="s">
        <v>21</v>
      </c>
      <c r="L3312" t="s">
        <v>4622</v>
      </c>
      <c r="M3312" s="7" t="s">
        <v>22</v>
      </c>
      <c r="N3312" s="7" t="s">
        <v>23</v>
      </c>
      <c r="O3312" s="7" t="s">
        <v>27</v>
      </c>
      <c r="P3312" s="7" t="s">
        <v>5101</v>
      </c>
      <c r="Q3312" s="26">
        <v>127</v>
      </c>
      <c r="R3312" s="26">
        <v>6</v>
      </c>
      <c r="S3312" s="40">
        <v>1</v>
      </c>
      <c r="T3312" s="7"/>
      <c r="U3312" s="7" t="s">
        <v>2951</v>
      </c>
      <c r="V3312" s="7" t="str">
        <f>+IF(U3312="","",IF(U3312="FINES",CONCATENATE("R",IF(OR(B3312="16",B3312="21",B3312="22",B3312="23"),"16212223",IF(OR(B3312="15",B3312="17",B3312="24",B3312="25"),"15172425",B3312))),IF(U3312="CEBAS","UNICO",IF(VALUE(B3312)&lt;=11,"AMBA","INTERIOR"))))</f>
        <v>R14</v>
      </c>
      <c r="W3312" s="38" t="str">
        <f>+IF(U3312="","-",CONCATENATE(U3312,"_",V3312))</f>
        <v>FINES_R14</v>
      </c>
      <c r="X3312" s="42">
        <v>0.22</v>
      </c>
    </row>
    <row r="3313" spans="1:24">
      <c r="A3313" s="21" t="s">
        <v>5100</v>
      </c>
      <c r="B3313" t="s">
        <v>135</v>
      </c>
      <c r="C3313" t="s">
        <v>902</v>
      </c>
      <c r="D3313" t="s">
        <v>2754</v>
      </c>
      <c r="E3313" s="7" t="s">
        <v>198</v>
      </c>
      <c r="F3313" s="7" t="s">
        <v>198</v>
      </c>
      <c r="G3313" s="7" t="s">
        <v>198</v>
      </c>
      <c r="H3313" s="7" t="s">
        <v>20</v>
      </c>
      <c r="I3313" s="7" t="s">
        <v>5102</v>
      </c>
      <c r="J3313" s="7" t="s">
        <v>21</v>
      </c>
      <c r="L3313" t="s">
        <v>4587</v>
      </c>
      <c r="M3313" s="7" t="s">
        <v>22</v>
      </c>
      <c r="N3313" s="7" t="s">
        <v>23</v>
      </c>
      <c r="O3313" s="7" t="s">
        <v>27</v>
      </c>
      <c r="P3313" s="7" t="s">
        <v>5101</v>
      </c>
      <c r="Q3313" s="26">
        <v>11</v>
      </c>
      <c r="R3313" s="26">
        <v>1</v>
      </c>
      <c r="S3313" s="40">
        <v>1</v>
      </c>
      <c r="T3313" s="7"/>
      <c r="U3313" s="7" t="s">
        <v>2951</v>
      </c>
      <c r="V3313" s="7" t="str">
        <f>+IF(U3313="","",IF(U3313="FINES",CONCATENATE("R",IF(OR(B3313="16",B3313="21",B3313="22",B3313="23"),"16212223",IF(OR(B3313="15",B3313="17",B3313="24",B3313="25"),"15172425",B3313))),IF(U3313="CEBAS","UNICO",IF(VALUE(B3313)&lt;=11,"AMBA","INTERIOR"))))</f>
        <v>R14</v>
      </c>
      <c r="W3313" s="38" t="str">
        <f>+IF(U3313="","-",CONCATENATE(U3313,"_",V3313))</f>
        <v>FINES_R14</v>
      </c>
      <c r="X3313" s="42">
        <v>0.23300000000000001</v>
      </c>
    </row>
    <row r="3314" spans="1:24">
      <c r="A3314" s="21" t="s">
        <v>5100</v>
      </c>
      <c r="B3314" t="s">
        <v>135</v>
      </c>
      <c r="C3314" t="s">
        <v>354</v>
      </c>
      <c r="D3314" t="s">
        <v>897</v>
      </c>
      <c r="E3314" s="7" t="s">
        <v>198</v>
      </c>
      <c r="F3314" s="7" t="s">
        <v>198</v>
      </c>
      <c r="G3314" s="7" t="s">
        <v>198</v>
      </c>
      <c r="H3314" s="7" t="s">
        <v>20</v>
      </c>
      <c r="I3314" s="7" t="s">
        <v>5102</v>
      </c>
      <c r="J3314" s="7" t="s">
        <v>21</v>
      </c>
      <c r="L3314" t="s">
        <v>4595</v>
      </c>
      <c r="M3314" s="7" t="s">
        <v>22</v>
      </c>
      <c r="N3314" s="7" t="s">
        <v>23</v>
      </c>
      <c r="O3314" s="7" t="s">
        <v>27</v>
      </c>
      <c r="P3314" s="7" t="s">
        <v>5101</v>
      </c>
      <c r="Q3314" s="26">
        <v>21</v>
      </c>
      <c r="R3314" s="26">
        <v>2</v>
      </c>
      <c r="S3314" s="40">
        <v>1</v>
      </c>
      <c r="T3314" s="7"/>
      <c r="U3314" s="7" t="s">
        <v>2951</v>
      </c>
      <c r="V3314" s="7" t="str">
        <f>+IF(U3314="","",IF(U3314="FINES",CONCATENATE("R",IF(OR(B3314="16",B3314="21",B3314="22",B3314="23"),"16212223",IF(OR(B3314="15",B3314="17",B3314="24",B3314="25"),"15172425",B3314))),IF(U3314="CEBAS","UNICO",IF(VALUE(B3314)&lt;=11,"AMBA","INTERIOR"))))</f>
        <v>R14</v>
      </c>
      <c r="W3314" s="38" t="str">
        <f>+IF(U3314="","-",CONCATENATE(U3314,"_",V3314))</f>
        <v>FINES_R14</v>
      </c>
      <c r="X3314" s="42">
        <v>0.29599999999999999</v>
      </c>
    </row>
    <row r="3315" spans="1:24">
      <c r="A3315" s="21" t="s">
        <v>5100</v>
      </c>
      <c r="B3315" t="s">
        <v>135</v>
      </c>
      <c r="C3315" t="s">
        <v>1325</v>
      </c>
      <c r="D3315" t="s">
        <v>1326</v>
      </c>
      <c r="E3315" s="7" t="s">
        <v>198</v>
      </c>
      <c r="F3315" s="7" t="s">
        <v>198</v>
      </c>
      <c r="G3315" s="7" t="s">
        <v>198</v>
      </c>
      <c r="H3315" s="7" t="s">
        <v>20</v>
      </c>
      <c r="I3315" s="7" t="s">
        <v>5102</v>
      </c>
      <c r="J3315" s="7" t="s">
        <v>21</v>
      </c>
      <c r="L3315" t="s">
        <v>3729</v>
      </c>
      <c r="M3315" s="7" t="s">
        <v>22</v>
      </c>
      <c r="N3315" s="7" t="s">
        <v>23</v>
      </c>
      <c r="O3315" s="7" t="s">
        <v>27</v>
      </c>
      <c r="P3315" s="7" t="s">
        <v>5101</v>
      </c>
      <c r="Q3315" s="26">
        <v>19</v>
      </c>
      <c r="R3315" s="26">
        <v>1</v>
      </c>
      <c r="S3315" s="40">
        <v>1</v>
      </c>
      <c r="T3315" s="7"/>
      <c r="U3315" s="7" t="s">
        <v>2951</v>
      </c>
      <c r="V3315" s="7" t="str">
        <f>+IF(U3315="","",IF(U3315="FINES",CONCATENATE("R",IF(OR(B3315="16",B3315="21",B3315="22",B3315="23"),"16212223",IF(OR(B3315="15",B3315="17",B3315="24",B3315="25"),"15172425",B3315))),IF(U3315="CEBAS","UNICO",IF(VALUE(B3315)&lt;=11,"AMBA","INTERIOR"))))</f>
        <v>R14</v>
      </c>
      <c r="W3315" s="38" t="str">
        <f>+IF(U3315="","-",CONCATENATE(U3315,"_",V3315))</f>
        <v>FINES_R14</v>
      </c>
      <c r="X3315" s="42">
        <v>0.33400000000000002</v>
      </c>
    </row>
    <row r="3316" spans="1:24">
      <c r="A3316" s="21" t="s">
        <v>5100</v>
      </c>
      <c r="B3316" t="s">
        <v>135</v>
      </c>
      <c r="C3316" t="s">
        <v>1179</v>
      </c>
      <c r="D3316" t="s">
        <v>1180</v>
      </c>
      <c r="E3316" s="7" t="s">
        <v>198</v>
      </c>
      <c r="F3316" s="7" t="s">
        <v>198</v>
      </c>
      <c r="G3316" s="7" t="s">
        <v>198</v>
      </c>
      <c r="H3316" s="7" t="s">
        <v>20</v>
      </c>
      <c r="I3316" s="7" t="s">
        <v>5102</v>
      </c>
      <c r="J3316" s="7" t="s">
        <v>21</v>
      </c>
      <c r="L3316" t="s">
        <v>4603</v>
      </c>
      <c r="M3316" s="7" t="s">
        <v>22</v>
      </c>
      <c r="N3316" s="7" t="s">
        <v>23</v>
      </c>
      <c r="O3316" s="7" t="s">
        <v>27</v>
      </c>
      <c r="P3316" s="7" t="s">
        <v>5101</v>
      </c>
      <c r="Q3316" s="26">
        <v>20</v>
      </c>
      <c r="R3316" s="26">
        <v>1</v>
      </c>
      <c r="S3316" s="40">
        <v>1</v>
      </c>
      <c r="T3316" s="7"/>
      <c r="U3316" s="7" t="s">
        <v>2951</v>
      </c>
      <c r="V3316" s="7" t="str">
        <f>+IF(U3316="","",IF(U3316="FINES",CONCATENATE("R",IF(OR(B3316="16",B3316="21",B3316="22",B3316="23"),"16212223",IF(OR(B3316="15",B3316="17",B3316="24",B3316="25"),"15172425",B3316))),IF(U3316="CEBAS","UNICO",IF(VALUE(B3316)&lt;=11,"AMBA","INTERIOR"))))</f>
        <v>R14</v>
      </c>
      <c r="W3316" s="38" t="str">
        <f>+IF(U3316="","-",CONCATENATE(U3316,"_",V3316))</f>
        <v>FINES_R14</v>
      </c>
      <c r="X3316" s="42">
        <v>0.379</v>
      </c>
    </row>
    <row r="3317" spans="1:24">
      <c r="A3317" s="21" t="s">
        <v>5100</v>
      </c>
      <c r="B3317" t="s">
        <v>135</v>
      </c>
      <c r="C3317" t="s">
        <v>727</v>
      </c>
      <c r="D3317" t="s">
        <v>728</v>
      </c>
      <c r="E3317" s="7" t="s">
        <v>198</v>
      </c>
      <c r="F3317" s="7" t="s">
        <v>198</v>
      </c>
      <c r="G3317" s="7" t="s">
        <v>198</v>
      </c>
      <c r="H3317" s="7" t="s">
        <v>20</v>
      </c>
      <c r="I3317" s="7" t="s">
        <v>5102</v>
      </c>
      <c r="J3317" s="7" t="s">
        <v>21</v>
      </c>
      <c r="L3317" t="s">
        <v>4584</v>
      </c>
      <c r="M3317" s="7" t="s">
        <v>22</v>
      </c>
      <c r="N3317" s="7" t="s">
        <v>23</v>
      </c>
      <c r="O3317" s="7" t="s">
        <v>27</v>
      </c>
      <c r="P3317" s="7" t="s">
        <v>5101</v>
      </c>
      <c r="Q3317" s="26">
        <v>38</v>
      </c>
      <c r="R3317" s="26">
        <v>3</v>
      </c>
      <c r="S3317" s="40">
        <v>1</v>
      </c>
      <c r="T3317" s="7"/>
      <c r="U3317" s="7" t="s">
        <v>2951</v>
      </c>
      <c r="V3317" s="7" t="str">
        <f>+IF(U3317="","",IF(U3317="FINES",CONCATENATE("R",IF(OR(B3317="16",B3317="21",B3317="22",B3317="23"),"16212223",IF(OR(B3317="15",B3317="17",B3317="24",B3317="25"),"15172425",B3317))),IF(U3317="CEBAS","UNICO",IF(VALUE(B3317)&lt;=11,"AMBA","INTERIOR"))))</f>
        <v>R14</v>
      </c>
      <c r="W3317" s="38" t="str">
        <f>+IF(U3317="","-",CONCATENATE(U3317,"_",V3317))</f>
        <v>FINES_R14</v>
      </c>
      <c r="X3317" s="42">
        <v>0.38400000000000001</v>
      </c>
    </row>
    <row r="3318" spans="1:24">
      <c r="A3318" s="21" t="s">
        <v>5100</v>
      </c>
      <c r="B3318" t="s">
        <v>135</v>
      </c>
      <c r="C3318" t="s">
        <v>1217</v>
      </c>
      <c r="D3318" t="s">
        <v>1218</v>
      </c>
      <c r="E3318" s="7" t="s">
        <v>198</v>
      </c>
      <c r="F3318" s="7" t="s">
        <v>198</v>
      </c>
      <c r="G3318" s="7" t="s">
        <v>198</v>
      </c>
      <c r="H3318" s="7" t="s">
        <v>20</v>
      </c>
      <c r="I3318" s="7" t="s">
        <v>5102</v>
      </c>
      <c r="J3318" s="7" t="s">
        <v>21</v>
      </c>
      <c r="L3318" t="s">
        <v>4611</v>
      </c>
      <c r="M3318" s="7" t="s">
        <v>22</v>
      </c>
      <c r="N3318" s="7" t="s">
        <v>23</v>
      </c>
      <c r="O3318" s="7" t="s">
        <v>27</v>
      </c>
      <c r="P3318" s="7" t="s">
        <v>5101</v>
      </c>
      <c r="Q3318" s="26">
        <v>7</v>
      </c>
      <c r="R3318" s="26">
        <v>1</v>
      </c>
      <c r="S3318" s="40">
        <v>1</v>
      </c>
      <c r="T3318" s="7"/>
      <c r="U3318" s="7" t="s">
        <v>2951</v>
      </c>
      <c r="V3318" s="7" t="str">
        <f>+IF(U3318="","",IF(U3318="FINES",CONCATENATE("R",IF(OR(B3318="16",B3318="21",B3318="22",B3318="23"),"16212223",IF(OR(B3318="15",B3318="17",B3318="24",B3318="25"),"15172425",B3318))),IF(U3318="CEBAS","UNICO",IF(VALUE(B3318)&lt;=11,"AMBA","INTERIOR"))))</f>
        <v>R14</v>
      </c>
      <c r="W3318" s="38" t="str">
        <f>+IF(U3318="","-",CONCATENATE(U3318,"_",V3318))</f>
        <v>FINES_R14</v>
      </c>
      <c r="X3318" s="42">
        <v>0.44500000000000001</v>
      </c>
    </row>
    <row r="3319" spans="1:24">
      <c r="A3319" s="21" t="s">
        <v>5100</v>
      </c>
      <c r="B3319" t="s">
        <v>135</v>
      </c>
      <c r="C3319" t="s">
        <v>1217</v>
      </c>
      <c r="D3319" t="s">
        <v>1218</v>
      </c>
      <c r="E3319" s="7" t="s">
        <v>198</v>
      </c>
      <c r="F3319" s="7" t="s">
        <v>198</v>
      </c>
      <c r="G3319" s="7" t="s">
        <v>198</v>
      </c>
      <c r="H3319" s="7" t="s">
        <v>20</v>
      </c>
      <c r="I3319" s="7" t="s">
        <v>5102</v>
      </c>
      <c r="J3319" s="7" t="s">
        <v>21</v>
      </c>
      <c r="L3319" t="s">
        <v>4610</v>
      </c>
      <c r="M3319" s="7" t="s">
        <v>22</v>
      </c>
      <c r="N3319" s="7" t="s">
        <v>23</v>
      </c>
      <c r="O3319" s="7" t="s">
        <v>27</v>
      </c>
      <c r="P3319" s="7" t="s">
        <v>5101</v>
      </c>
      <c r="Q3319" s="26">
        <v>19</v>
      </c>
      <c r="R3319" s="26">
        <v>1</v>
      </c>
      <c r="S3319" s="40">
        <v>1</v>
      </c>
      <c r="T3319" s="7"/>
      <c r="U3319" s="7" t="s">
        <v>2951</v>
      </c>
      <c r="V3319" s="7" t="str">
        <f>+IF(U3319="","",IF(U3319="FINES",CONCATENATE("R",IF(OR(B3319="16",B3319="21",B3319="22",B3319="23"),"16212223",IF(OR(B3319="15",B3319="17",B3319="24",B3319="25"),"15172425",B3319))),IF(U3319="CEBAS","UNICO",IF(VALUE(B3319)&lt;=11,"AMBA","INTERIOR"))))</f>
        <v>R14</v>
      </c>
      <c r="W3319" s="38" t="str">
        <f>+IF(U3319="","-",CONCATENATE(U3319,"_",V3319))</f>
        <v>FINES_R14</v>
      </c>
      <c r="X3319" s="42">
        <v>0.47199999999999998</v>
      </c>
    </row>
    <row r="3320" spans="1:24">
      <c r="A3320" s="21" t="s">
        <v>5100</v>
      </c>
      <c r="B3320" t="s">
        <v>135</v>
      </c>
      <c r="C3320" t="s">
        <v>1325</v>
      </c>
      <c r="D3320" t="s">
        <v>1326</v>
      </c>
      <c r="E3320" s="7" t="s">
        <v>198</v>
      </c>
      <c r="F3320" s="7" t="s">
        <v>198</v>
      </c>
      <c r="G3320" s="7" t="s">
        <v>198</v>
      </c>
      <c r="H3320" s="7" t="s">
        <v>20</v>
      </c>
      <c r="I3320" s="7" t="s">
        <v>5102</v>
      </c>
      <c r="J3320" s="7" t="s">
        <v>21</v>
      </c>
      <c r="L3320" t="s">
        <v>4620</v>
      </c>
      <c r="M3320" s="7" t="s">
        <v>22</v>
      </c>
      <c r="N3320" s="7" t="s">
        <v>23</v>
      </c>
      <c r="O3320" s="7" t="s">
        <v>27</v>
      </c>
      <c r="P3320" s="7" t="s">
        <v>5101</v>
      </c>
      <c r="Q3320" s="26">
        <v>30</v>
      </c>
      <c r="R3320" s="26">
        <v>1</v>
      </c>
      <c r="S3320" s="40">
        <v>1</v>
      </c>
      <c r="T3320" s="7"/>
      <c r="U3320" s="7" t="s">
        <v>2951</v>
      </c>
      <c r="V3320" s="7" t="str">
        <f>+IF(U3320="","",IF(U3320="FINES",CONCATENATE("R",IF(OR(B3320="16",B3320="21",B3320="22",B3320="23"),"16212223",IF(OR(B3320="15",B3320="17",B3320="24",B3320="25"),"15172425",B3320))),IF(U3320="CEBAS","UNICO",IF(VALUE(B3320)&lt;=11,"AMBA","INTERIOR"))))</f>
        <v>R14</v>
      </c>
      <c r="W3320" s="38" t="str">
        <f>+IF(U3320="","-",CONCATENATE(U3320,"_",V3320))</f>
        <v>FINES_R14</v>
      </c>
      <c r="X3320" s="42">
        <v>0.501</v>
      </c>
    </row>
    <row r="3321" spans="1:24">
      <c r="A3321" s="21" t="s">
        <v>5100</v>
      </c>
      <c r="B3321" t="s">
        <v>135</v>
      </c>
      <c r="C3321" t="s">
        <v>1325</v>
      </c>
      <c r="D3321" t="s">
        <v>1326</v>
      </c>
      <c r="E3321" s="7" t="s">
        <v>198</v>
      </c>
      <c r="F3321" s="7" t="s">
        <v>198</v>
      </c>
      <c r="G3321" s="7" t="s">
        <v>198</v>
      </c>
      <c r="H3321" s="7" t="s">
        <v>20</v>
      </c>
      <c r="I3321" s="7" t="s">
        <v>5102</v>
      </c>
      <c r="J3321" s="7" t="s">
        <v>21</v>
      </c>
      <c r="L3321" t="s">
        <v>4618</v>
      </c>
      <c r="M3321" s="7" t="s">
        <v>22</v>
      </c>
      <c r="N3321" s="7" t="s">
        <v>23</v>
      </c>
      <c r="O3321" s="7" t="s">
        <v>27</v>
      </c>
      <c r="P3321" s="7" t="s">
        <v>5101</v>
      </c>
      <c r="Q3321" s="26">
        <v>26</v>
      </c>
      <c r="R3321" s="26">
        <v>1</v>
      </c>
      <c r="S3321" s="40">
        <v>1</v>
      </c>
      <c r="T3321" s="7"/>
      <c r="U3321" s="7" t="s">
        <v>2951</v>
      </c>
      <c r="V3321" s="7" t="str">
        <f>+IF(U3321="","",IF(U3321="FINES",CONCATENATE("R",IF(OR(B3321="16",B3321="21",B3321="22",B3321="23"),"16212223",IF(OR(B3321="15",B3321="17",B3321="24",B3321="25"),"15172425",B3321))),IF(U3321="CEBAS","UNICO",IF(VALUE(B3321)&lt;=11,"AMBA","INTERIOR"))))</f>
        <v>R14</v>
      </c>
      <c r="W3321" s="38" t="str">
        <f>+IF(U3321="","-",CONCATENATE(U3321,"_",V3321))</f>
        <v>FINES_R14</v>
      </c>
      <c r="X3321" s="42">
        <v>0.51200000000000001</v>
      </c>
    </row>
    <row r="3322" spans="1:24">
      <c r="A3322" s="21" t="s">
        <v>5100</v>
      </c>
      <c r="B3322" t="s">
        <v>135</v>
      </c>
      <c r="C3322" t="s">
        <v>354</v>
      </c>
      <c r="D3322" t="s">
        <v>897</v>
      </c>
      <c r="E3322" s="7" t="s">
        <v>198</v>
      </c>
      <c r="F3322" s="7" t="s">
        <v>198</v>
      </c>
      <c r="G3322" s="7" t="s">
        <v>198</v>
      </c>
      <c r="H3322" s="7" t="s">
        <v>20</v>
      </c>
      <c r="I3322" s="7" t="s">
        <v>5102</v>
      </c>
      <c r="J3322" s="7" t="s">
        <v>21</v>
      </c>
      <c r="L3322" t="s">
        <v>4592</v>
      </c>
      <c r="M3322" s="7" t="s">
        <v>22</v>
      </c>
      <c r="N3322" s="7" t="s">
        <v>23</v>
      </c>
      <c r="O3322" s="7" t="s">
        <v>27</v>
      </c>
      <c r="P3322" s="7" t="s">
        <v>5101</v>
      </c>
      <c r="Q3322" s="26">
        <v>5</v>
      </c>
      <c r="R3322" s="26">
        <v>1</v>
      </c>
      <c r="S3322" s="40">
        <v>1</v>
      </c>
      <c r="T3322" s="7"/>
      <c r="U3322" s="7" t="s">
        <v>2951</v>
      </c>
      <c r="V3322" s="7" t="str">
        <f>+IF(U3322="","",IF(U3322="FINES",CONCATENATE("R",IF(OR(B3322="16",B3322="21",B3322="22",B3322="23"),"16212223",IF(OR(B3322="15",B3322="17",B3322="24",B3322="25"),"15172425",B3322))),IF(U3322="CEBAS","UNICO",IF(VALUE(B3322)&lt;=11,"AMBA","INTERIOR"))))</f>
        <v>R14</v>
      </c>
      <c r="W3322" s="38" t="str">
        <f>+IF(U3322="","-",CONCATENATE(U3322,"_",V3322))</f>
        <v>FINES_R14</v>
      </c>
      <c r="X3322" s="42">
        <v>0.53700000000000003</v>
      </c>
    </row>
    <row r="3323" spans="1:24">
      <c r="A3323" s="21" t="s">
        <v>5100</v>
      </c>
      <c r="B3323" t="s">
        <v>135</v>
      </c>
      <c r="C3323" t="s">
        <v>1217</v>
      </c>
      <c r="D3323" t="s">
        <v>1218</v>
      </c>
      <c r="E3323" s="7" t="s">
        <v>198</v>
      </c>
      <c r="F3323" s="7" t="s">
        <v>198</v>
      </c>
      <c r="G3323" s="7" t="s">
        <v>198</v>
      </c>
      <c r="H3323" s="7" t="s">
        <v>20</v>
      </c>
      <c r="I3323" s="7" t="s">
        <v>5102</v>
      </c>
      <c r="J3323" s="7" t="s">
        <v>21</v>
      </c>
      <c r="L3323" t="s">
        <v>4608</v>
      </c>
      <c r="M3323" s="7" t="s">
        <v>22</v>
      </c>
      <c r="N3323" s="7" t="s">
        <v>23</v>
      </c>
      <c r="O3323" s="7" t="s">
        <v>27</v>
      </c>
      <c r="P3323" s="7" t="s">
        <v>5101</v>
      </c>
      <c r="Q3323" s="26">
        <v>20</v>
      </c>
      <c r="R3323" s="26">
        <v>1</v>
      </c>
      <c r="S3323" s="40">
        <v>1</v>
      </c>
      <c r="T3323" s="7"/>
      <c r="U3323" s="7" t="s">
        <v>2951</v>
      </c>
      <c r="V3323" s="7" t="str">
        <f>+IF(U3323="","",IF(U3323="FINES",CONCATENATE("R",IF(OR(B3323="16",B3323="21",B3323="22",B3323="23"),"16212223",IF(OR(B3323="15",B3323="17",B3323="24",B3323="25"),"15172425",B3323))),IF(U3323="CEBAS","UNICO",IF(VALUE(B3323)&lt;=11,"AMBA","INTERIOR"))))</f>
        <v>R14</v>
      </c>
      <c r="W3323" s="38" t="str">
        <f>+IF(U3323="","-",CONCATENATE(U3323,"_",V3323))</f>
        <v>FINES_R14</v>
      </c>
      <c r="X3323" s="42">
        <v>0.55400000000000005</v>
      </c>
    </row>
    <row r="3324" spans="1:24">
      <c r="A3324" s="21" t="s">
        <v>5100</v>
      </c>
      <c r="B3324" t="s">
        <v>135</v>
      </c>
      <c r="C3324" t="s">
        <v>1325</v>
      </c>
      <c r="D3324" t="s">
        <v>1326</v>
      </c>
      <c r="E3324" s="7" t="s">
        <v>198</v>
      </c>
      <c r="F3324" s="7" t="s">
        <v>198</v>
      </c>
      <c r="G3324" s="7" t="s">
        <v>198</v>
      </c>
      <c r="H3324" s="7" t="s">
        <v>20</v>
      </c>
      <c r="I3324" s="7" t="s">
        <v>5102</v>
      </c>
      <c r="J3324" s="7" t="s">
        <v>21</v>
      </c>
      <c r="L3324" t="s">
        <v>4621</v>
      </c>
      <c r="M3324" s="7" t="s">
        <v>22</v>
      </c>
      <c r="N3324" s="7" t="s">
        <v>23</v>
      </c>
      <c r="O3324" s="7" t="s">
        <v>27</v>
      </c>
      <c r="P3324" s="7" t="s">
        <v>5101</v>
      </c>
      <c r="Q3324" s="26">
        <v>30</v>
      </c>
      <c r="R3324" s="26">
        <v>1</v>
      </c>
      <c r="S3324" s="40">
        <v>1</v>
      </c>
      <c r="T3324" s="7"/>
      <c r="U3324" s="7" t="s">
        <v>2951</v>
      </c>
      <c r="V3324" s="7" t="str">
        <f>+IF(U3324="","",IF(U3324="FINES",CONCATENATE("R",IF(OR(B3324="16",B3324="21",B3324="22",B3324="23"),"16212223",IF(OR(B3324="15",B3324="17",B3324="24",B3324="25"),"15172425",B3324))),IF(U3324="CEBAS","UNICO",IF(VALUE(B3324)&lt;=11,"AMBA","INTERIOR"))))</f>
        <v>R14</v>
      </c>
      <c r="W3324" s="38" t="str">
        <f>+IF(U3324="","-",CONCATENATE(U3324,"_",V3324))</f>
        <v>FINES_R14</v>
      </c>
      <c r="X3324" s="42">
        <v>0.56399999999999995</v>
      </c>
    </row>
    <row r="3325" spans="1:24">
      <c r="A3325" s="21" t="s">
        <v>5100</v>
      </c>
      <c r="B3325" t="s">
        <v>135</v>
      </c>
      <c r="C3325" t="s">
        <v>354</v>
      </c>
      <c r="D3325" t="s">
        <v>897</v>
      </c>
      <c r="E3325" s="7" t="s">
        <v>198</v>
      </c>
      <c r="F3325" s="7" t="s">
        <v>198</v>
      </c>
      <c r="G3325" s="7" t="s">
        <v>198</v>
      </c>
      <c r="H3325" s="7" t="s">
        <v>20</v>
      </c>
      <c r="I3325" s="7" t="s">
        <v>5102</v>
      </c>
      <c r="J3325" s="7" t="s">
        <v>21</v>
      </c>
      <c r="L3325" t="s">
        <v>4590</v>
      </c>
      <c r="M3325" s="7" t="s">
        <v>22</v>
      </c>
      <c r="N3325" s="7" t="s">
        <v>23</v>
      </c>
      <c r="O3325" s="7" t="s">
        <v>27</v>
      </c>
      <c r="P3325" s="7" t="s">
        <v>5101</v>
      </c>
      <c r="Q3325" s="26">
        <v>12</v>
      </c>
      <c r="R3325" s="26">
        <v>1</v>
      </c>
      <c r="S3325" s="40">
        <v>1</v>
      </c>
      <c r="T3325" s="7"/>
      <c r="U3325" s="7" t="s">
        <v>2951</v>
      </c>
      <c r="V3325" s="7" t="str">
        <f>+IF(U3325="","",IF(U3325="FINES",CONCATENATE("R",IF(OR(B3325="16",B3325="21",B3325="22",B3325="23"),"16212223",IF(OR(B3325="15",B3325="17",B3325="24",B3325="25"),"15172425",B3325))),IF(U3325="CEBAS","UNICO",IF(VALUE(B3325)&lt;=11,"AMBA","INTERIOR"))))</f>
        <v>R14</v>
      </c>
      <c r="W3325" s="38" t="str">
        <f>+IF(U3325="","-",CONCATENATE(U3325,"_",V3325))</f>
        <v>FINES_R14</v>
      </c>
      <c r="X3325" s="42">
        <v>0.57599999999999996</v>
      </c>
    </row>
    <row r="3326" spans="1:24">
      <c r="A3326" s="21" t="s">
        <v>5100</v>
      </c>
      <c r="B3326" t="s">
        <v>135</v>
      </c>
      <c r="C3326" t="s">
        <v>1325</v>
      </c>
      <c r="D3326" t="s">
        <v>1326</v>
      </c>
      <c r="E3326" s="7" t="s">
        <v>198</v>
      </c>
      <c r="F3326" s="7" t="s">
        <v>198</v>
      </c>
      <c r="G3326" s="7" t="s">
        <v>198</v>
      </c>
      <c r="H3326" s="7" t="s">
        <v>20</v>
      </c>
      <c r="I3326" s="7" t="s">
        <v>5102</v>
      </c>
      <c r="J3326" s="7" t="s">
        <v>21</v>
      </c>
      <c r="L3326" t="s">
        <v>4619</v>
      </c>
      <c r="M3326" s="7" t="s">
        <v>22</v>
      </c>
      <c r="N3326" s="7" t="s">
        <v>23</v>
      </c>
      <c r="O3326" s="7" t="s">
        <v>27</v>
      </c>
      <c r="P3326" s="7" t="s">
        <v>5101</v>
      </c>
      <c r="Q3326" s="26">
        <v>30</v>
      </c>
      <c r="R3326" s="26">
        <v>1</v>
      </c>
      <c r="S3326" s="40">
        <v>1</v>
      </c>
      <c r="T3326" s="7"/>
      <c r="U3326" s="7" t="s">
        <v>2951</v>
      </c>
      <c r="V3326" s="7" t="str">
        <f>+IF(U3326="","",IF(U3326="FINES",CONCATENATE("R",IF(OR(B3326="16",B3326="21",B3326="22",B3326="23"),"16212223",IF(OR(B3326="15",B3326="17",B3326="24",B3326="25"),"15172425",B3326))),IF(U3326="CEBAS","UNICO",IF(VALUE(B3326)&lt;=11,"AMBA","INTERIOR"))))</f>
        <v>R14</v>
      </c>
      <c r="W3326" s="38" t="str">
        <f>+IF(U3326="","-",CONCATENATE(U3326,"_",V3326))</f>
        <v>FINES_R14</v>
      </c>
      <c r="X3326" s="42">
        <v>0.58499999999999996</v>
      </c>
    </row>
    <row r="3327" spans="1:24">
      <c r="A3327" s="21" t="s">
        <v>5100</v>
      </c>
      <c r="B3327" t="s">
        <v>135</v>
      </c>
      <c r="C3327" t="s">
        <v>902</v>
      </c>
      <c r="D3327" t="s">
        <v>2754</v>
      </c>
      <c r="E3327" s="7" t="s">
        <v>198</v>
      </c>
      <c r="F3327" s="7" t="s">
        <v>198</v>
      </c>
      <c r="G3327" s="7" t="s">
        <v>198</v>
      </c>
      <c r="H3327" s="7" t="s">
        <v>20</v>
      </c>
      <c r="I3327" s="7" t="s">
        <v>5102</v>
      </c>
      <c r="J3327" s="7" t="s">
        <v>21</v>
      </c>
      <c r="L3327" t="s">
        <v>4588</v>
      </c>
      <c r="M3327" s="7" t="s">
        <v>22</v>
      </c>
      <c r="N3327" s="7" t="s">
        <v>23</v>
      </c>
      <c r="O3327" s="7" t="s">
        <v>27</v>
      </c>
      <c r="P3327" s="7" t="s">
        <v>5101</v>
      </c>
      <c r="Q3327" s="26">
        <v>15</v>
      </c>
      <c r="R3327" s="26">
        <v>1</v>
      </c>
      <c r="S3327" s="40">
        <v>1</v>
      </c>
      <c r="T3327" s="7"/>
      <c r="U3327" s="7" t="s">
        <v>2951</v>
      </c>
      <c r="V3327" s="7" t="str">
        <f>+IF(U3327="","",IF(U3327="FINES",CONCATENATE("R",IF(OR(B3327="16",B3327="21",B3327="22",B3327="23"),"16212223",IF(OR(B3327="15",B3327="17",B3327="24",B3327="25"),"15172425",B3327))),IF(U3327="CEBAS","UNICO",IF(VALUE(B3327)&lt;=11,"AMBA","INTERIOR"))))</f>
        <v>R14</v>
      </c>
      <c r="W3327" s="38" t="str">
        <f>+IF(U3327="","-",CONCATENATE(U3327,"_",V3327))</f>
        <v>FINES_R14</v>
      </c>
      <c r="X3327" s="42">
        <v>0.66100000000000003</v>
      </c>
    </row>
    <row r="3328" spans="1:24">
      <c r="A3328" s="21" t="s">
        <v>5100</v>
      </c>
      <c r="B3328" t="s">
        <v>135</v>
      </c>
      <c r="C3328" t="s">
        <v>1179</v>
      </c>
      <c r="D3328" t="s">
        <v>1180</v>
      </c>
      <c r="E3328" s="7" t="s">
        <v>198</v>
      </c>
      <c r="F3328" s="7" t="s">
        <v>198</v>
      </c>
      <c r="G3328" s="7" t="s">
        <v>198</v>
      </c>
      <c r="H3328" s="7" t="s">
        <v>20</v>
      </c>
      <c r="I3328" s="7" t="s">
        <v>5102</v>
      </c>
      <c r="J3328" s="7" t="s">
        <v>21</v>
      </c>
      <c r="L3328" t="s">
        <v>4598</v>
      </c>
      <c r="M3328" s="7" t="s">
        <v>22</v>
      </c>
      <c r="N3328" s="7" t="s">
        <v>23</v>
      </c>
      <c r="O3328" s="7" t="s">
        <v>27</v>
      </c>
      <c r="P3328" s="7" t="s">
        <v>5101</v>
      </c>
      <c r="Q3328" s="26">
        <v>59</v>
      </c>
      <c r="R3328" s="26">
        <v>3</v>
      </c>
      <c r="S3328" s="40">
        <v>1</v>
      </c>
      <c r="T3328" s="7"/>
      <c r="U3328" s="7" t="s">
        <v>2951</v>
      </c>
      <c r="V3328" s="7" t="str">
        <f>+IF(U3328="","",IF(U3328="FINES",CONCATENATE("R",IF(OR(B3328="16",B3328="21",B3328="22",B3328="23"),"16212223",IF(OR(B3328="15",B3328="17",B3328="24",B3328="25"),"15172425",B3328))),IF(U3328="CEBAS","UNICO",IF(VALUE(B3328)&lt;=11,"AMBA","INTERIOR"))))</f>
        <v>R14</v>
      </c>
      <c r="W3328" s="38" t="str">
        <f>+IF(U3328="","-",CONCATENATE(U3328,"_",V3328))</f>
        <v>FINES_R14</v>
      </c>
      <c r="X3328" s="42">
        <v>0.67800000000000005</v>
      </c>
    </row>
    <row r="3329" spans="1:24">
      <c r="A3329" s="21" t="s">
        <v>5100</v>
      </c>
      <c r="B3329" t="s">
        <v>135</v>
      </c>
      <c r="C3329" t="s">
        <v>424</v>
      </c>
      <c r="D3329" t="s">
        <v>937</v>
      </c>
      <c r="E3329" s="7" t="s">
        <v>198</v>
      </c>
      <c r="F3329" s="7" t="s">
        <v>198</v>
      </c>
      <c r="G3329" s="7" t="s">
        <v>198</v>
      </c>
      <c r="H3329" s="7" t="s">
        <v>20</v>
      </c>
      <c r="I3329" s="7" t="s">
        <v>5102</v>
      </c>
      <c r="J3329" s="7" t="s">
        <v>21</v>
      </c>
      <c r="L3329" t="s">
        <v>4596</v>
      </c>
      <c r="M3329" s="7" t="s">
        <v>22</v>
      </c>
      <c r="N3329" s="7" t="s">
        <v>23</v>
      </c>
      <c r="O3329" s="7" t="s">
        <v>27</v>
      </c>
      <c r="P3329" s="7" t="s">
        <v>5101</v>
      </c>
      <c r="Q3329" s="26">
        <v>44</v>
      </c>
      <c r="R3329" s="26">
        <v>3</v>
      </c>
      <c r="S3329" s="40">
        <v>1</v>
      </c>
      <c r="T3329" s="7"/>
      <c r="U3329" s="7" t="s">
        <v>2951</v>
      </c>
      <c r="V3329" s="7" t="str">
        <f>+IF(U3329="","",IF(U3329="FINES",CONCATENATE("R",IF(OR(B3329="16",B3329="21",B3329="22",B3329="23"),"16212223",IF(OR(B3329="15",B3329="17",B3329="24",B3329="25"),"15172425",B3329))),IF(U3329="CEBAS","UNICO",IF(VALUE(B3329)&lt;=11,"AMBA","INTERIOR"))))</f>
        <v>R14</v>
      </c>
      <c r="W3329" s="38" t="str">
        <f>+IF(U3329="","-",CONCATENATE(U3329,"_",V3329))</f>
        <v>FINES_R14</v>
      </c>
      <c r="X3329" s="42">
        <v>0.68100000000000005</v>
      </c>
    </row>
    <row r="3330" spans="1:24">
      <c r="A3330" s="21" t="s">
        <v>5100</v>
      </c>
      <c r="B3330" t="s">
        <v>135</v>
      </c>
      <c r="C3330" t="s">
        <v>1179</v>
      </c>
      <c r="D3330" t="s">
        <v>1180</v>
      </c>
      <c r="E3330" s="7" t="s">
        <v>198</v>
      </c>
      <c r="F3330" s="7" t="s">
        <v>198</v>
      </c>
      <c r="G3330" s="7" t="s">
        <v>198</v>
      </c>
      <c r="H3330" s="7" t="s">
        <v>20</v>
      </c>
      <c r="I3330" s="7" t="s">
        <v>5102</v>
      </c>
      <c r="J3330" s="7" t="s">
        <v>21</v>
      </c>
      <c r="L3330" t="s">
        <v>4599</v>
      </c>
      <c r="M3330" s="7" t="s">
        <v>22</v>
      </c>
      <c r="N3330" s="7" t="s">
        <v>23</v>
      </c>
      <c r="O3330" s="7" t="s">
        <v>27</v>
      </c>
      <c r="P3330" s="7" t="s">
        <v>5101</v>
      </c>
      <c r="Q3330" s="26">
        <v>47</v>
      </c>
      <c r="R3330" s="26">
        <v>3</v>
      </c>
      <c r="S3330" s="40">
        <v>1</v>
      </c>
      <c r="T3330" s="7"/>
      <c r="U3330" s="7" t="s">
        <v>2951</v>
      </c>
      <c r="V3330" s="7" t="str">
        <f>+IF(U3330="","",IF(U3330="FINES",CONCATENATE("R",IF(OR(B3330="16",B3330="21",B3330="22",B3330="23"),"16212223",IF(OR(B3330="15",B3330="17",B3330="24",B3330="25"),"15172425",B3330))),IF(U3330="CEBAS","UNICO",IF(VALUE(B3330)&lt;=11,"AMBA","INTERIOR"))))</f>
        <v>R14</v>
      </c>
      <c r="W3330" s="38" t="str">
        <f>+IF(U3330="","-",CONCATENATE(U3330,"_",V3330))</f>
        <v>FINES_R14</v>
      </c>
      <c r="X3330" s="42">
        <v>0.68500000000000005</v>
      </c>
    </row>
    <row r="3331" spans="1:24">
      <c r="A3331" s="21" t="s">
        <v>5100</v>
      </c>
      <c r="B3331" t="s">
        <v>135</v>
      </c>
      <c r="C3331" t="s">
        <v>1217</v>
      </c>
      <c r="D3331" t="s">
        <v>1218</v>
      </c>
      <c r="E3331" s="7" t="s">
        <v>198</v>
      </c>
      <c r="F3331" s="7" t="s">
        <v>198</v>
      </c>
      <c r="G3331" s="7" t="s">
        <v>198</v>
      </c>
      <c r="H3331" s="7" t="s">
        <v>20</v>
      </c>
      <c r="I3331" s="7" t="s">
        <v>5102</v>
      </c>
      <c r="J3331" s="7" t="s">
        <v>21</v>
      </c>
      <c r="L3331" t="s">
        <v>4613</v>
      </c>
      <c r="M3331" s="7" t="s">
        <v>22</v>
      </c>
      <c r="N3331" s="7" t="s">
        <v>23</v>
      </c>
      <c r="O3331" s="7" t="s">
        <v>27</v>
      </c>
      <c r="P3331" s="7" t="s">
        <v>5101</v>
      </c>
      <c r="Q3331" s="26">
        <v>24</v>
      </c>
      <c r="R3331" s="26">
        <v>1</v>
      </c>
      <c r="S3331" s="40">
        <v>1</v>
      </c>
      <c r="T3331" s="7"/>
      <c r="U3331" s="7" t="s">
        <v>2951</v>
      </c>
      <c r="V3331" s="7" t="str">
        <f>+IF(U3331="","",IF(U3331="FINES",CONCATENATE("R",IF(OR(B3331="16",B3331="21",B3331="22",B3331="23"),"16212223",IF(OR(B3331="15",B3331="17",B3331="24",B3331="25"),"15172425",B3331))),IF(U3331="CEBAS","UNICO",IF(VALUE(B3331)&lt;=11,"AMBA","INTERIOR"))))</f>
        <v>R14</v>
      </c>
      <c r="W3331" s="38" t="str">
        <f>+IF(U3331="","-",CONCATENATE(U3331,"_",V3331))</f>
        <v>FINES_R14</v>
      </c>
      <c r="X3331" s="42">
        <v>0.71099999999999997</v>
      </c>
    </row>
    <row r="3332" spans="1:24">
      <c r="A3332" s="21" t="s">
        <v>5100</v>
      </c>
      <c r="B3332" t="s">
        <v>135</v>
      </c>
      <c r="C3332" t="s">
        <v>1179</v>
      </c>
      <c r="D3332" t="s">
        <v>1180</v>
      </c>
      <c r="E3332" s="7" t="s">
        <v>198</v>
      </c>
      <c r="F3332" s="7" t="s">
        <v>198</v>
      </c>
      <c r="G3332" s="7" t="s">
        <v>198</v>
      </c>
      <c r="H3332" s="7" t="s">
        <v>20</v>
      </c>
      <c r="I3332" s="7" t="s">
        <v>5102</v>
      </c>
      <c r="J3332" s="7" t="s">
        <v>21</v>
      </c>
      <c r="L3332" t="s">
        <v>4600</v>
      </c>
      <c r="M3332" s="7" t="s">
        <v>22</v>
      </c>
      <c r="N3332" s="7" t="s">
        <v>23</v>
      </c>
      <c r="O3332" s="7" t="s">
        <v>27</v>
      </c>
      <c r="P3332" s="7" t="s">
        <v>5101</v>
      </c>
      <c r="Q3332" s="26">
        <v>15</v>
      </c>
      <c r="R3332" s="26">
        <v>1</v>
      </c>
      <c r="S3332" s="40">
        <v>1</v>
      </c>
      <c r="T3332" s="7"/>
      <c r="U3332" s="7" t="s">
        <v>2951</v>
      </c>
      <c r="V3332" s="7" t="str">
        <f>+IF(U3332="","",IF(U3332="FINES",CONCATENATE("R",IF(OR(B3332="16",B3332="21",B3332="22",B3332="23"),"16212223",IF(OR(B3332="15",B3332="17",B3332="24",B3332="25"),"15172425",B3332))),IF(U3332="CEBAS","UNICO",IF(VALUE(B3332)&lt;=11,"AMBA","INTERIOR"))))</f>
        <v>R14</v>
      </c>
      <c r="W3332" s="38" t="str">
        <f>+IF(U3332="","-",CONCATENATE(U3332,"_",V3332))</f>
        <v>FINES_R14</v>
      </c>
      <c r="X3332" s="42">
        <v>0.73299999999999998</v>
      </c>
    </row>
    <row r="3333" spans="1:24">
      <c r="A3333" s="21" t="s">
        <v>5100</v>
      </c>
      <c r="B3333" t="s">
        <v>135</v>
      </c>
      <c r="C3333" t="s">
        <v>354</v>
      </c>
      <c r="D3333" t="s">
        <v>897</v>
      </c>
      <c r="E3333" s="7" t="s">
        <v>198</v>
      </c>
      <c r="F3333" s="7" t="s">
        <v>198</v>
      </c>
      <c r="G3333" s="7" t="s">
        <v>198</v>
      </c>
      <c r="H3333" s="7" t="s">
        <v>20</v>
      </c>
      <c r="I3333" s="7" t="s">
        <v>5102</v>
      </c>
      <c r="J3333" s="7" t="s">
        <v>21</v>
      </c>
      <c r="L3333" t="s">
        <v>4591</v>
      </c>
      <c r="M3333" s="7" t="s">
        <v>22</v>
      </c>
      <c r="N3333" s="7" t="s">
        <v>23</v>
      </c>
      <c r="O3333" s="7" t="s">
        <v>27</v>
      </c>
      <c r="P3333" s="7" t="s">
        <v>5101</v>
      </c>
      <c r="Q3333" s="26">
        <v>18</v>
      </c>
      <c r="R3333" s="26">
        <v>1</v>
      </c>
      <c r="S3333" s="40">
        <v>1</v>
      </c>
      <c r="T3333" s="7"/>
      <c r="U3333" s="7" t="s">
        <v>2951</v>
      </c>
      <c r="V3333" s="7" t="str">
        <f>+IF(U3333="","",IF(U3333="FINES",CONCATENATE("R",IF(OR(B3333="16",B3333="21",B3333="22",B3333="23"),"16212223",IF(OR(B3333="15",B3333="17",B3333="24",B3333="25"),"15172425",B3333))),IF(U3333="CEBAS","UNICO",IF(VALUE(B3333)&lt;=11,"AMBA","INTERIOR"))))</f>
        <v>R14</v>
      </c>
      <c r="W3333" s="38" t="str">
        <f>+IF(U3333="","-",CONCATENATE(U3333,"_",V3333))</f>
        <v>FINES_R14</v>
      </c>
      <c r="X3333" s="42">
        <v>0.75</v>
      </c>
    </row>
    <row r="3334" spans="1:24">
      <c r="A3334" s="21" t="s">
        <v>5100</v>
      </c>
      <c r="B3334" t="s">
        <v>135</v>
      </c>
      <c r="C3334" t="s">
        <v>902</v>
      </c>
      <c r="D3334" t="s">
        <v>2754</v>
      </c>
      <c r="E3334" s="7" t="s">
        <v>198</v>
      </c>
      <c r="F3334" s="7" t="s">
        <v>198</v>
      </c>
      <c r="G3334" s="7" t="s">
        <v>198</v>
      </c>
      <c r="H3334" s="7" t="s">
        <v>20</v>
      </c>
      <c r="I3334" s="7" t="s">
        <v>5102</v>
      </c>
      <c r="J3334" s="7" t="s">
        <v>21</v>
      </c>
      <c r="L3334" t="s">
        <v>4586</v>
      </c>
      <c r="M3334" s="7" t="s">
        <v>22</v>
      </c>
      <c r="N3334" s="7" t="s">
        <v>23</v>
      </c>
      <c r="O3334" s="7" t="s">
        <v>27</v>
      </c>
      <c r="P3334" s="7" t="s">
        <v>5101</v>
      </c>
      <c r="Q3334" s="26">
        <v>16</v>
      </c>
      <c r="R3334" s="26">
        <v>1</v>
      </c>
      <c r="S3334" s="40">
        <v>1</v>
      </c>
      <c r="T3334" s="7"/>
      <c r="U3334" s="7" t="s">
        <v>2951</v>
      </c>
      <c r="V3334" s="7" t="str">
        <f>+IF(U3334="","",IF(U3334="FINES",CONCATENATE("R",IF(OR(B3334="16",B3334="21",B3334="22",B3334="23"),"16212223",IF(OR(B3334="15",B3334="17",B3334="24",B3334="25"),"15172425",B3334))),IF(U3334="CEBAS","UNICO",IF(VALUE(B3334)&lt;=11,"AMBA","INTERIOR"))))</f>
        <v>R14</v>
      </c>
      <c r="W3334" s="38" t="str">
        <f>+IF(U3334="","-",CONCATENATE(U3334,"_",V3334))</f>
        <v>FINES_R14</v>
      </c>
      <c r="X3334" s="42">
        <v>0.76700000000000002</v>
      </c>
    </row>
    <row r="3335" spans="1:24">
      <c r="A3335" s="21" t="s">
        <v>5100</v>
      </c>
      <c r="B3335" t="s">
        <v>135</v>
      </c>
      <c r="C3335" t="s">
        <v>1217</v>
      </c>
      <c r="D3335" t="s">
        <v>1218</v>
      </c>
      <c r="E3335" s="7" t="s">
        <v>198</v>
      </c>
      <c r="F3335" s="7" t="s">
        <v>198</v>
      </c>
      <c r="G3335" s="7" t="s">
        <v>198</v>
      </c>
      <c r="H3335" s="7" t="s">
        <v>20</v>
      </c>
      <c r="I3335" s="7" t="s">
        <v>5102</v>
      </c>
      <c r="J3335" s="7" t="s">
        <v>21</v>
      </c>
      <c r="L3335" t="s">
        <v>4609</v>
      </c>
      <c r="M3335" s="7" t="s">
        <v>22</v>
      </c>
      <c r="N3335" s="7" t="s">
        <v>23</v>
      </c>
      <c r="O3335" s="7" t="s">
        <v>27</v>
      </c>
      <c r="P3335" s="7" t="s">
        <v>5101</v>
      </c>
      <c r="Q3335" s="26">
        <v>16</v>
      </c>
      <c r="R3335" s="26">
        <v>1</v>
      </c>
      <c r="S3335" s="40">
        <v>1</v>
      </c>
      <c r="T3335" s="7"/>
      <c r="U3335" s="7" t="s">
        <v>2951</v>
      </c>
      <c r="V3335" s="7" t="str">
        <f>+IF(U3335="","",IF(U3335="FINES",CONCATENATE("R",IF(OR(B3335="16",B3335="21",B3335="22",B3335="23"),"16212223",IF(OR(B3335="15",B3335="17",B3335="24",B3335="25"),"15172425",B3335))),IF(U3335="CEBAS","UNICO",IF(VALUE(B3335)&lt;=11,"AMBA","INTERIOR"))))</f>
        <v>R14</v>
      </c>
      <c r="W3335" s="38" t="str">
        <f>+IF(U3335="","-",CONCATENATE(U3335,"_",V3335))</f>
        <v>FINES_R14</v>
      </c>
      <c r="X3335" s="42">
        <v>0.77300000000000002</v>
      </c>
    </row>
    <row r="3336" spans="1:24">
      <c r="A3336" s="21" t="s">
        <v>5100</v>
      </c>
      <c r="B3336" t="s">
        <v>135</v>
      </c>
      <c r="C3336" t="s">
        <v>354</v>
      </c>
      <c r="D3336" t="s">
        <v>897</v>
      </c>
      <c r="E3336" s="7" t="s">
        <v>198</v>
      </c>
      <c r="F3336" s="7" t="s">
        <v>198</v>
      </c>
      <c r="G3336" s="7" t="s">
        <v>198</v>
      </c>
      <c r="H3336" s="7" t="s">
        <v>20</v>
      </c>
      <c r="I3336" s="7" t="s">
        <v>5102</v>
      </c>
      <c r="J3336" s="7" t="s">
        <v>21</v>
      </c>
      <c r="L3336" t="s">
        <v>4594</v>
      </c>
      <c r="M3336" s="7" t="s">
        <v>22</v>
      </c>
      <c r="N3336" s="7" t="s">
        <v>23</v>
      </c>
      <c r="O3336" s="7" t="s">
        <v>27</v>
      </c>
      <c r="P3336" s="7" t="s">
        <v>5101</v>
      </c>
      <c r="Q3336" s="26">
        <v>20</v>
      </c>
      <c r="R3336" s="26">
        <v>1</v>
      </c>
      <c r="S3336" s="40">
        <v>1</v>
      </c>
      <c r="T3336" s="7"/>
      <c r="U3336" s="7" t="s">
        <v>2951</v>
      </c>
      <c r="V3336" s="7" t="str">
        <f>+IF(U3336="","",IF(U3336="FINES",CONCATENATE("R",IF(OR(B3336="16",B3336="21",B3336="22",B3336="23"),"16212223",IF(OR(B3336="15",B3336="17",B3336="24",B3336="25"),"15172425",B3336))),IF(U3336="CEBAS","UNICO",IF(VALUE(B3336)&lt;=11,"AMBA","INTERIOR"))))</f>
        <v>R14</v>
      </c>
      <c r="W3336" s="38" t="str">
        <f>+IF(U3336="","-",CONCATENATE(U3336,"_",V3336))</f>
        <v>FINES_R14</v>
      </c>
      <c r="X3336" s="42">
        <v>0.83299999999999996</v>
      </c>
    </row>
    <row r="3337" spans="1:24">
      <c r="A3337" s="21" t="s">
        <v>5100</v>
      </c>
      <c r="B3337" t="s">
        <v>135</v>
      </c>
      <c r="C3337" t="s">
        <v>1330</v>
      </c>
      <c r="D3337" t="s">
        <v>1331</v>
      </c>
      <c r="E3337" s="7" t="s">
        <v>198</v>
      </c>
      <c r="F3337" s="7" t="s">
        <v>198</v>
      </c>
      <c r="G3337" s="7" t="s">
        <v>198</v>
      </c>
      <c r="H3337" s="7" t="s">
        <v>20</v>
      </c>
      <c r="I3337" s="7" t="s">
        <v>5102</v>
      </c>
      <c r="J3337" s="7" t="s">
        <v>21</v>
      </c>
      <c r="L3337" t="s">
        <v>4623</v>
      </c>
      <c r="M3337" s="7" t="s">
        <v>22</v>
      </c>
      <c r="N3337" s="7" t="s">
        <v>23</v>
      </c>
      <c r="O3337" s="7" t="s">
        <v>27</v>
      </c>
      <c r="P3337" s="7" t="s">
        <v>5101</v>
      </c>
      <c r="Q3337" s="26">
        <v>9</v>
      </c>
      <c r="R3337" s="26">
        <v>1</v>
      </c>
      <c r="S3337" s="40">
        <v>1</v>
      </c>
      <c r="T3337" s="7"/>
      <c r="U3337" s="7" t="s">
        <v>2951</v>
      </c>
      <c r="V3337" s="7" t="str">
        <f>+IF(U3337="","",IF(U3337="FINES",CONCATENATE("R",IF(OR(B3337="16",B3337="21",B3337="22",B3337="23"),"16212223",IF(OR(B3337="15",B3337="17",B3337="24",B3337="25"),"15172425",B3337))),IF(U3337="CEBAS","UNICO",IF(VALUE(B3337)&lt;=11,"AMBA","INTERIOR"))))</f>
        <v>R14</v>
      </c>
      <c r="W3337" s="38" t="str">
        <f>+IF(U3337="","-",CONCATENATE(U3337,"_",V3337))</f>
        <v>FINES_R14</v>
      </c>
      <c r="X3337" s="42">
        <v>0.84399999999999997</v>
      </c>
    </row>
    <row r="3338" spans="1:24">
      <c r="A3338" s="21" t="s">
        <v>5100</v>
      </c>
      <c r="B3338" t="s">
        <v>135</v>
      </c>
      <c r="C3338" t="s">
        <v>1217</v>
      </c>
      <c r="D3338" t="s">
        <v>1218</v>
      </c>
      <c r="E3338" s="7" t="s">
        <v>198</v>
      </c>
      <c r="F3338" s="7" t="s">
        <v>198</v>
      </c>
      <c r="G3338" s="7" t="s">
        <v>198</v>
      </c>
      <c r="H3338" s="7" t="s">
        <v>20</v>
      </c>
      <c r="I3338" s="7" t="s">
        <v>5102</v>
      </c>
      <c r="J3338" s="7" t="s">
        <v>21</v>
      </c>
      <c r="L3338" t="s">
        <v>4607</v>
      </c>
      <c r="M3338" s="7" t="s">
        <v>22</v>
      </c>
      <c r="N3338" s="7" t="s">
        <v>23</v>
      </c>
      <c r="O3338" s="7" t="s">
        <v>27</v>
      </c>
      <c r="P3338" s="7" t="s">
        <v>5101</v>
      </c>
      <c r="Q3338" s="26">
        <v>38</v>
      </c>
      <c r="R3338" s="26">
        <v>2</v>
      </c>
      <c r="S3338" s="40">
        <v>1</v>
      </c>
      <c r="T3338" s="7"/>
      <c r="U3338" s="7" t="s">
        <v>2951</v>
      </c>
      <c r="V3338" s="7" t="str">
        <f>+IF(U3338="","",IF(U3338="FINES",CONCATENATE("R",IF(OR(B3338="16",B3338="21",B3338="22",B3338="23"),"16212223",IF(OR(B3338="15",B3338="17",B3338="24",B3338="25"),"15172425",B3338))),IF(U3338="CEBAS","UNICO",IF(VALUE(B3338)&lt;=11,"AMBA","INTERIOR"))))</f>
        <v>R14</v>
      </c>
      <c r="W3338" s="38" t="str">
        <f>+IF(U3338="","-",CONCATENATE(U3338,"_",V3338))</f>
        <v>FINES_R14</v>
      </c>
      <c r="X3338" s="42">
        <v>0.84499999999999997</v>
      </c>
    </row>
    <row r="3339" spans="1:24">
      <c r="A3339" s="21" t="s">
        <v>5100</v>
      </c>
      <c r="B3339" t="s">
        <v>135</v>
      </c>
      <c r="C3339" t="s">
        <v>1217</v>
      </c>
      <c r="D3339" t="s">
        <v>1218</v>
      </c>
      <c r="E3339" s="7" t="s">
        <v>198</v>
      </c>
      <c r="F3339" s="7" t="s">
        <v>198</v>
      </c>
      <c r="G3339" s="7" t="s">
        <v>198</v>
      </c>
      <c r="H3339" s="7" t="s">
        <v>20</v>
      </c>
      <c r="I3339" s="7" t="s">
        <v>5102</v>
      </c>
      <c r="J3339" s="7" t="s">
        <v>21</v>
      </c>
      <c r="L3339" t="s">
        <v>4605</v>
      </c>
      <c r="M3339" s="7" t="s">
        <v>22</v>
      </c>
      <c r="N3339" s="7" t="s">
        <v>23</v>
      </c>
      <c r="O3339" s="7" t="s">
        <v>27</v>
      </c>
      <c r="P3339" s="7" t="s">
        <v>5101</v>
      </c>
      <c r="Q3339" s="26">
        <v>17</v>
      </c>
      <c r="R3339" s="26">
        <v>1</v>
      </c>
      <c r="S3339" s="40">
        <v>1</v>
      </c>
      <c r="T3339" s="7"/>
      <c r="U3339" s="7" t="s">
        <v>2951</v>
      </c>
      <c r="V3339" s="7" t="str">
        <f>+IF(U3339="","",IF(U3339="FINES",CONCATENATE("R",IF(OR(B3339="16",B3339="21",B3339="22",B3339="23"),"16212223",IF(OR(B3339="15",B3339="17",B3339="24",B3339="25"),"15172425",B3339))),IF(U3339="CEBAS","UNICO",IF(VALUE(B3339)&lt;=11,"AMBA","INTERIOR"))))</f>
        <v>R14</v>
      </c>
      <c r="W3339" s="38" t="str">
        <f>+IF(U3339="","-",CONCATENATE(U3339,"_",V3339))</f>
        <v>FINES_R14</v>
      </c>
      <c r="X3339" s="42">
        <v>0.88</v>
      </c>
    </row>
    <row r="3340" spans="1:24">
      <c r="A3340" s="21" t="s">
        <v>5100</v>
      </c>
      <c r="B3340" t="s">
        <v>135</v>
      </c>
      <c r="C3340" t="s">
        <v>727</v>
      </c>
      <c r="D3340" t="s">
        <v>728</v>
      </c>
      <c r="E3340" s="7" t="s">
        <v>198</v>
      </c>
      <c r="F3340" s="7" t="s">
        <v>198</v>
      </c>
      <c r="G3340" s="7" t="s">
        <v>198</v>
      </c>
      <c r="H3340" s="7" t="s">
        <v>20</v>
      </c>
      <c r="I3340" s="7" t="s">
        <v>5102</v>
      </c>
      <c r="J3340" s="7" t="s">
        <v>21</v>
      </c>
      <c r="L3340" t="s">
        <v>4582</v>
      </c>
      <c r="M3340" s="7" t="s">
        <v>22</v>
      </c>
      <c r="N3340" s="7" t="s">
        <v>23</v>
      </c>
      <c r="O3340" s="7" t="s">
        <v>27</v>
      </c>
      <c r="P3340" s="7" t="s">
        <v>5101</v>
      </c>
      <c r="Q3340" s="26">
        <v>19</v>
      </c>
      <c r="R3340" s="26">
        <v>1</v>
      </c>
      <c r="S3340" s="40">
        <v>1</v>
      </c>
      <c r="T3340" s="7"/>
      <c r="U3340" s="7" t="s">
        <v>2951</v>
      </c>
      <c r="V3340" s="7" t="str">
        <f>+IF(U3340="","",IF(U3340="FINES",CONCATENATE("R",IF(OR(B3340="16",B3340="21",B3340="22",B3340="23"),"16212223",IF(OR(B3340="15",B3340="17",B3340="24",B3340="25"),"15172425",B3340))),IF(U3340="CEBAS","UNICO",IF(VALUE(B3340)&lt;=11,"AMBA","INTERIOR"))))</f>
        <v>R14</v>
      </c>
      <c r="W3340" s="38" t="str">
        <f>+IF(U3340="","-",CONCATENATE(U3340,"_",V3340))</f>
        <v>FINES_R14</v>
      </c>
      <c r="X3340" s="42">
        <v>0.88800000000000001</v>
      </c>
    </row>
    <row r="3341" spans="1:24">
      <c r="A3341" s="21" t="s">
        <v>5100</v>
      </c>
      <c r="B3341" t="s">
        <v>135</v>
      </c>
      <c r="C3341" t="s">
        <v>1217</v>
      </c>
      <c r="D3341" t="s">
        <v>1218</v>
      </c>
      <c r="E3341" s="7" t="s">
        <v>198</v>
      </c>
      <c r="F3341" s="7" t="s">
        <v>198</v>
      </c>
      <c r="G3341" s="7" t="s">
        <v>198</v>
      </c>
      <c r="H3341" s="7" t="s">
        <v>20</v>
      </c>
      <c r="I3341" s="7" t="s">
        <v>5102</v>
      </c>
      <c r="J3341" s="7" t="s">
        <v>21</v>
      </c>
      <c r="L3341" t="s">
        <v>4604</v>
      </c>
      <c r="M3341" s="7" t="s">
        <v>22</v>
      </c>
      <c r="N3341" s="7" t="s">
        <v>23</v>
      </c>
      <c r="O3341" s="7" t="s">
        <v>27</v>
      </c>
      <c r="P3341" s="7" t="s">
        <v>5101</v>
      </c>
      <c r="Q3341" s="26">
        <v>16</v>
      </c>
      <c r="R3341" s="26">
        <v>1</v>
      </c>
      <c r="S3341" s="40">
        <v>1</v>
      </c>
      <c r="T3341" s="7"/>
      <c r="U3341" s="7" t="s">
        <v>2951</v>
      </c>
      <c r="V3341" s="7" t="str">
        <f>+IF(U3341="","",IF(U3341="FINES",CONCATENATE("R",IF(OR(B3341="16",B3341="21",B3341="22",B3341="23"),"16212223",IF(OR(B3341="15",B3341="17",B3341="24",B3341="25"),"15172425",B3341))),IF(U3341="CEBAS","UNICO",IF(VALUE(B3341)&lt;=11,"AMBA","INTERIOR"))))</f>
        <v>R14</v>
      </c>
      <c r="W3341" s="38" t="str">
        <f>+IF(U3341="","-",CONCATENATE(U3341,"_",V3341))</f>
        <v>FINES_R14</v>
      </c>
      <c r="X3341" s="42">
        <v>0.89300000000000002</v>
      </c>
    </row>
    <row r="3342" spans="1:24">
      <c r="A3342" s="21" t="s">
        <v>5100</v>
      </c>
      <c r="B3342" t="s">
        <v>135</v>
      </c>
      <c r="C3342" t="s">
        <v>902</v>
      </c>
      <c r="D3342" t="s">
        <v>2754</v>
      </c>
      <c r="E3342" s="7" t="s">
        <v>198</v>
      </c>
      <c r="F3342" s="7" t="s">
        <v>198</v>
      </c>
      <c r="G3342" s="7" t="s">
        <v>198</v>
      </c>
      <c r="H3342" s="7" t="s">
        <v>20</v>
      </c>
      <c r="I3342" s="7" t="s">
        <v>5102</v>
      </c>
      <c r="J3342" s="7" t="s">
        <v>21</v>
      </c>
      <c r="L3342" t="s">
        <v>4589</v>
      </c>
      <c r="M3342" s="7" t="s">
        <v>22</v>
      </c>
      <c r="N3342" s="7" t="s">
        <v>23</v>
      </c>
      <c r="O3342" s="7" t="s">
        <v>27</v>
      </c>
      <c r="P3342" s="7" t="s">
        <v>5101</v>
      </c>
      <c r="Q3342" s="26">
        <v>27</v>
      </c>
      <c r="R3342" s="26">
        <v>2</v>
      </c>
      <c r="S3342" s="40">
        <v>1</v>
      </c>
      <c r="T3342" s="7"/>
      <c r="U3342" s="7" t="s">
        <v>2951</v>
      </c>
      <c r="V3342" s="7" t="str">
        <f>+IF(U3342="","",IF(U3342="FINES",CONCATENATE("R",IF(OR(B3342="16",B3342="21",B3342="22",B3342="23"),"16212223",IF(OR(B3342="15",B3342="17",B3342="24",B3342="25"),"15172425",B3342))),IF(U3342="CEBAS","UNICO",IF(VALUE(B3342)&lt;=11,"AMBA","INTERIOR"))))</f>
        <v>R14</v>
      </c>
      <c r="W3342" s="38" t="str">
        <f>+IF(U3342="","-",CONCATENATE(U3342,"_",V3342))</f>
        <v>FINES_R14</v>
      </c>
      <c r="X3342" s="42">
        <v>0.9</v>
      </c>
    </row>
    <row r="3343" spans="1:24">
      <c r="A3343" s="21" t="s">
        <v>5100</v>
      </c>
      <c r="B3343" t="s">
        <v>135</v>
      </c>
      <c r="C3343" t="s">
        <v>1325</v>
      </c>
      <c r="D3343" t="s">
        <v>1326</v>
      </c>
      <c r="E3343" s="7" t="s">
        <v>198</v>
      </c>
      <c r="F3343" s="7" t="s">
        <v>198</v>
      </c>
      <c r="G3343" s="7" t="s">
        <v>198</v>
      </c>
      <c r="H3343" s="7" t="s">
        <v>20</v>
      </c>
      <c r="I3343" s="7" t="s">
        <v>5102</v>
      </c>
      <c r="J3343" s="7" t="s">
        <v>21</v>
      </c>
      <c r="L3343" t="s">
        <v>4617</v>
      </c>
      <c r="M3343" s="7" t="s">
        <v>22</v>
      </c>
      <c r="N3343" s="7" t="s">
        <v>23</v>
      </c>
      <c r="O3343" s="7" t="s">
        <v>27</v>
      </c>
      <c r="P3343" s="7" t="s">
        <v>5101</v>
      </c>
      <c r="Q3343" s="26">
        <v>9</v>
      </c>
      <c r="R3343" s="26">
        <v>1</v>
      </c>
      <c r="S3343" s="40">
        <v>1</v>
      </c>
      <c r="T3343" s="7"/>
      <c r="U3343" s="7" t="s">
        <v>2951</v>
      </c>
      <c r="V3343" s="7" t="str">
        <f>+IF(U3343="","",IF(U3343="FINES",CONCATENATE("R",IF(OR(B3343="16",B3343="21",B3343="22",B3343="23"),"16212223",IF(OR(B3343="15",B3343="17",B3343="24",B3343="25"),"15172425",B3343))),IF(U3343="CEBAS","UNICO",IF(VALUE(B3343)&lt;=11,"AMBA","INTERIOR"))))</f>
        <v>R14</v>
      </c>
      <c r="W3343" s="38" t="str">
        <f>+IF(U3343="","-",CONCATENATE(U3343,"_",V3343))</f>
        <v>FINES_R14</v>
      </c>
      <c r="X3343" s="42">
        <v>0.92200000000000004</v>
      </c>
    </row>
    <row r="3344" spans="1:24">
      <c r="A3344" s="21" t="s">
        <v>5100</v>
      </c>
      <c r="B3344" t="s">
        <v>135</v>
      </c>
      <c r="C3344" t="s">
        <v>354</v>
      </c>
      <c r="D3344" t="s">
        <v>897</v>
      </c>
      <c r="E3344" s="7" t="s">
        <v>198</v>
      </c>
      <c r="F3344" s="7" t="s">
        <v>198</v>
      </c>
      <c r="G3344" s="7" t="s">
        <v>198</v>
      </c>
      <c r="H3344" s="7" t="s">
        <v>20</v>
      </c>
      <c r="I3344" s="7" t="s">
        <v>5102</v>
      </c>
      <c r="J3344" s="7" t="s">
        <v>21</v>
      </c>
      <c r="L3344" t="s">
        <v>4593</v>
      </c>
      <c r="M3344" s="7" t="s">
        <v>22</v>
      </c>
      <c r="N3344" s="7" t="s">
        <v>23</v>
      </c>
      <c r="O3344" s="7" t="s">
        <v>27</v>
      </c>
      <c r="P3344" s="7" t="s">
        <v>5101</v>
      </c>
      <c r="Q3344" s="26">
        <v>18</v>
      </c>
      <c r="R3344" s="26">
        <v>1</v>
      </c>
      <c r="S3344" s="40">
        <v>1</v>
      </c>
      <c r="T3344" s="7"/>
      <c r="U3344" s="7" t="s">
        <v>2951</v>
      </c>
      <c r="V3344" s="7" t="str">
        <f>+IF(U3344="","",IF(U3344="FINES",CONCATENATE("R",IF(OR(B3344="16",B3344="21",B3344="22",B3344="23"),"16212223",IF(OR(B3344="15",B3344="17",B3344="24",B3344="25"),"15172425",B3344))),IF(U3344="CEBAS","UNICO",IF(VALUE(B3344)&lt;=11,"AMBA","INTERIOR"))))</f>
        <v>R14</v>
      </c>
      <c r="W3344" s="38" t="str">
        <f>+IF(U3344="","-",CONCATENATE(U3344,"_",V3344))</f>
        <v>FINES_R14</v>
      </c>
      <c r="X3344" s="42">
        <v>0.93500000000000005</v>
      </c>
    </row>
    <row r="3345" spans="1:24">
      <c r="A3345" s="21" t="s">
        <v>5100</v>
      </c>
      <c r="B3345" t="s">
        <v>135</v>
      </c>
      <c r="C3345" t="s">
        <v>727</v>
      </c>
      <c r="D3345" t="s">
        <v>728</v>
      </c>
      <c r="E3345" s="7" t="s">
        <v>198</v>
      </c>
      <c r="F3345" s="7" t="s">
        <v>198</v>
      </c>
      <c r="G3345" s="7" t="s">
        <v>198</v>
      </c>
      <c r="H3345" s="7" t="s">
        <v>20</v>
      </c>
      <c r="I3345" s="7" t="s">
        <v>5102</v>
      </c>
      <c r="J3345" s="7" t="s">
        <v>21</v>
      </c>
      <c r="L3345" t="s">
        <v>4585</v>
      </c>
      <c r="M3345" s="7" t="s">
        <v>22</v>
      </c>
      <c r="N3345" s="7" t="s">
        <v>23</v>
      </c>
      <c r="O3345" s="7" t="s">
        <v>27</v>
      </c>
      <c r="P3345" s="7" t="s">
        <v>5101</v>
      </c>
      <c r="Q3345" s="26">
        <v>19</v>
      </c>
      <c r="R3345" s="26">
        <v>1</v>
      </c>
      <c r="S3345" s="40">
        <v>1</v>
      </c>
      <c r="T3345" s="7"/>
      <c r="U3345" s="7" t="s">
        <v>2951</v>
      </c>
      <c r="V3345" s="7" t="str">
        <f>+IF(U3345="","",IF(U3345="FINES",CONCATENATE("R",IF(OR(B3345="16",B3345="21",B3345="22",B3345="23"),"16212223",IF(OR(B3345="15",B3345="17",B3345="24",B3345="25"),"15172425",B3345))),IF(U3345="CEBAS","UNICO",IF(VALUE(B3345)&lt;=11,"AMBA","INTERIOR"))))</f>
        <v>R14</v>
      </c>
      <c r="W3345" s="38" t="str">
        <f>+IF(U3345="","-",CONCATENATE(U3345,"_",V3345))</f>
        <v>FINES_R14</v>
      </c>
      <c r="X3345" s="42">
        <v>0.99199999999999999</v>
      </c>
    </row>
    <row r="3346" spans="1:24">
      <c r="A3346" s="21" t="s">
        <v>5100</v>
      </c>
      <c r="B3346" t="s">
        <v>205</v>
      </c>
      <c r="C3346" t="s">
        <v>589</v>
      </c>
      <c r="D3346" t="s">
        <v>591</v>
      </c>
      <c r="E3346" s="7" t="s">
        <v>198</v>
      </c>
      <c r="F3346" s="7" t="s">
        <v>198</v>
      </c>
      <c r="G3346" s="7" t="s">
        <v>198</v>
      </c>
      <c r="H3346" s="7" t="s">
        <v>20</v>
      </c>
      <c r="I3346" s="7" t="s">
        <v>5102</v>
      </c>
      <c r="J3346" s="7" t="s">
        <v>21</v>
      </c>
      <c r="L3346" t="s">
        <v>4635</v>
      </c>
      <c r="M3346" s="7" t="s">
        <v>22</v>
      </c>
      <c r="N3346" s="7" t="s">
        <v>23</v>
      </c>
      <c r="O3346" s="7" t="s">
        <v>27</v>
      </c>
      <c r="P3346" s="7" t="s">
        <v>5101</v>
      </c>
      <c r="Q3346" s="26">
        <v>64</v>
      </c>
      <c r="R3346" s="26">
        <v>3</v>
      </c>
      <c r="S3346" s="40">
        <v>1</v>
      </c>
      <c r="T3346" s="7"/>
      <c r="U3346" s="7" t="s">
        <v>2951</v>
      </c>
      <c r="V3346" s="7" t="str">
        <f>+IF(U3346="","",IF(U3346="FINES",CONCATENATE("R",IF(OR(B3346="16",B3346="21",B3346="22",B3346="23"),"16212223",IF(OR(B3346="15",B3346="17",B3346="24",B3346="25"),"15172425",B3346))),IF(U3346="CEBAS","UNICO",IF(VALUE(B3346)&lt;=11,"AMBA","INTERIOR"))))</f>
        <v>R15172425</v>
      </c>
      <c r="W3346" s="38" t="str">
        <f>+IF(U3346="","-",CONCATENATE(U3346,"_",V3346))</f>
        <v>FINES_R15172425</v>
      </c>
      <c r="X3346" s="42">
        <v>0.02</v>
      </c>
    </row>
    <row r="3347" spans="1:24">
      <c r="A3347" s="21" t="s">
        <v>5100</v>
      </c>
      <c r="B3347" t="s">
        <v>221</v>
      </c>
      <c r="C3347" t="s">
        <v>737</v>
      </c>
      <c r="D3347" t="s">
        <v>2422</v>
      </c>
      <c r="E3347" s="7" t="s">
        <v>198</v>
      </c>
      <c r="F3347" s="7" t="s">
        <v>198</v>
      </c>
      <c r="G3347" s="7" t="s">
        <v>198</v>
      </c>
      <c r="H3347" s="7" t="s">
        <v>20</v>
      </c>
      <c r="I3347" s="7" t="s">
        <v>5102</v>
      </c>
      <c r="J3347" s="7" t="s">
        <v>21</v>
      </c>
      <c r="L3347" t="s">
        <v>5097</v>
      </c>
      <c r="M3347" s="7" t="s">
        <v>22</v>
      </c>
      <c r="N3347" s="7" t="s">
        <v>23</v>
      </c>
      <c r="O3347" s="7" t="s">
        <v>27</v>
      </c>
      <c r="P3347" s="7" t="s">
        <v>5101</v>
      </c>
      <c r="Q3347" s="26">
        <v>19</v>
      </c>
      <c r="R3347" s="26">
        <v>1</v>
      </c>
      <c r="S3347" s="40">
        <v>1</v>
      </c>
      <c r="T3347" s="7"/>
      <c r="U3347" s="7" t="s">
        <v>2951</v>
      </c>
      <c r="V3347" s="7" t="str">
        <f>+IF(U3347="","",IF(U3347="FINES",CONCATENATE("R",IF(OR(B3347="16",B3347="21",B3347="22",B3347="23"),"16212223",IF(OR(B3347="15",B3347="17",B3347="24",B3347="25"),"15172425",B3347))),IF(U3347="CEBAS","UNICO",IF(VALUE(B3347)&lt;=11,"AMBA","INTERIOR"))))</f>
        <v>R15172425</v>
      </c>
      <c r="W3347" s="38" t="str">
        <f>+IF(U3347="","-",CONCATENATE(U3347,"_",V3347))</f>
        <v>FINES_R15172425</v>
      </c>
      <c r="X3347" s="42">
        <v>0.02</v>
      </c>
    </row>
    <row r="3348" spans="1:24">
      <c r="A3348" s="21" t="s">
        <v>5100</v>
      </c>
      <c r="B3348" t="s">
        <v>221</v>
      </c>
      <c r="C3348" t="s">
        <v>558</v>
      </c>
      <c r="D3348" t="s">
        <v>1960</v>
      </c>
      <c r="E3348" s="7" t="s">
        <v>198</v>
      </c>
      <c r="F3348" s="7" t="s">
        <v>198</v>
      </c>
      <c r="G3348" s="7" t="s">
        <v>198</v>
      </c>
      <c r="H3348" s="7" t="s">
        <v>20</v>
      </c>
      <c r="I3348" s="7" t="s">
        <v>5102</v>
      </c>
      <c r="J3348" s="7" t="s">
        <v>21</v>
      </c>
      <c r="L3348" t="s">
        <v>5084</v>
      </c>
      <c r="M3348" s="7" t="s">
        <v>22</v>
      </c>
      <c r="N3348" s="7" t="s">
        <v>23</v>
      </c>
      <c r="O3348" s="7" t="s">
        <v>27</v>
      </c>
      <c r="P3348" s="7" t="s">
        <v>5101</v>
      </c>
      <c r="Q3348" s="26">
        <v>35</v>
      </c>
      <c r="R3348" s="26">
        <v>1</v>
      </c>
      <c r="S3348" s="40">
        <v>1</v>
      </c>
      <c r="T3348" s="7"/>
      <c r="U3348" s="7" t="s">
        <v>2951</v>
      </c>
      <c r="V3348" s="7" t="str">
        <f>+IF(U3348="","",IF(U3348="FINES",CONCATENATE("R",IF(OR(B3348="16",B3348="21",B3348="22",B3348="23"),"16212223",IF(OR(B3348="15",B3348="17",B3348="24",B3348="25"),"15172425",B3348))),IF(U3348="CEBAS","UNICO",IF(VALUE(B3348)&lt;=11,"AMBA","INTERIOR"))))</f>
        <v>R15172425</v>
      </c>
      <c r="W3348" s="38" t="str">
        <f>+IF(U3348="","-",CONCATENATE(U3348,"_",V3348))</f>
        <v>FINES_R15172425</v>
      </c>
      <c r="X3348" s="42">
        <v>2.1999999999999999E-2</v>
      </c>
    </row>
    <row r="3349" spans="1:24">
      <c r="A3349" s="21" t="s">
        <v>5100</v>
      </c>
      <c r="B3349" t="s">
        <v>206</v>
      </c>
      <c r="C3349" t="s">
        <v>1850</v>
      </c>
      <c r="D3349" t="s">
        <v>1851</v>
      </c>
      <c r="E3349" s="7" t="s">
        <v>198</v>
      </c>
      <c r="F3349" s="7" t="s">
        <v>198</v>
      </c>
      <c r="G3349" s="7" t="s">
        <v>198</v>
      </c>
      <c r="H3349" s="7" t="s">
        <v>20</v>
      </c>
      <c r="I3349" s="7" t="s">
        <v>5102</v>
      </c>
      <c r="J3349" s="7" t="s">
        <v>21</v>
      </c>
      <c r="L3349" t="s">
        <v>4691</v>
      </c>
      <c r="M3349" s="7" t="s">
        <v>22</v>
      </c>
      <c r="N3349" s="7" t="s">
        <v>23</v>
      </c>
      <c r="O3349" s="7" t="s">
        <v>27</v>
      </c>
      <c r="P3349" s="7" t="s">
        <v>5101</v>
      </c>
      <c r="Q3349" s="26">
        <v>22</v>
      </c>
      <c r="R3349" s="26">
        <v>1</v>
      </c>
      <c r="S3349" s="40">
        <v>1</v>
      </c>
      <c r="T3349" s="7"/>
      <c r="U3349" s="7" t="s">
        <v>2951</v>
      </c>
      <c r="V3349" s="7" t="str">
        <f>+IF(U3349="","",IF(U3349="FINES",CONCATENATE("R",IF(OR(B3349="16",B3349="21",B3349="22",B3349="23"),"16212223",IF(OR(B3349="15",B3349="17",B3349="24",B3349="25"),"15172425",B3349))),IF(U3349="CEBAS","UNICO",IF(VALUE(B3349)&lt;=11,"AMBA","INTERIOR"))))</f>
        <v>R15172425</v>
      </c>
      <c r="W3349" s="38" t="str">
        <f>+IF(U3349="","-",CONCATENATE(U3349,"_",V3349))</f>
        <v>FINES_R15172425</v>
      </c>
      <c r="X3349" s="42">
        <v>3.6999999999999998E-2</v>
      </c>
    </row>
    <row r="3350" spans="1:24">
      <c r="A3350" s="21" t="s">
        <v>5100</v>
      </c>
      <c r="B3350" t="s">
        <v>206</v>
      </c>
      <c r="C3350" t="s">
        <v>739</v>
      </c>
      <c r="D3350" t="s">
        <v>740</v>
      </c>
      <c r="E3350" s="7" t="s">
        <v>198</v>
      </c>
      <c r="F3350" s="7" t="s">
        <v>198</v>
      </c>
      <c r="G3350" s="7" t="s">
        <v>198</v>
      </c>
      <c r="H3350" s="7" t="s">
        <v>20</v>
      </c>
      <c r="I3350" s="7" t="s">
        <v>5102</v>
      </c>
      <c r="J3350" s="7" t="s">
        <v>21</v>
      </c>
      <c r="L3350" t="s">
        <v>4680</v>
      </c>
      <c r="M3350" s="7" t="s">
        <v>22</v>
      </c>
      <c r="N3350" s="7" t="s">
        <v>23</v>
      </c>
      <c r="O3350" s="7" t="s">
        <v>27</v>
      </c>
      <c r="P3350" s="7" t="s">
        <v>5101</v>
      </c>
      <c r="Q3350" s="26">
        <v>11</v>
      </c>
      <c r="R3350" s="26">
        <v>1</v>
      </c>
      <c r="S3350" s="40">
        <v>1</v>
      </c>
      <c r="T3350" s="7"/>
      <c r="U3350" s="7" t="s">
        <v>2951</v>
      </c>
      <c r="V3350" s="7" t="str">
        <f>+IF(U3350="","",IF(U3350="FINES",CONCATENATE("R",IF(OR(B3350="16",B3350="21",B3350="22",B3350="23"),"16212223",IF(OR(B3350="15",B3350="17",B3350="24",B3350="25"),"15172425",B3350))),IF(U3350="CEBAS","UNICO",IF(VALUE(B3350)&lt;=11,"AMBA","INTERIOR"))))</f>
        <v>R15172425</v>
      </c>
      <c r="W3350" s="38" t="str">
        <f>+IF(U3350="","-",CONCATENATE(U3350,"_",V3350))</f>
        <v>FINES_R15172425</v>
      </c>
      <c r="X3350" s="42">
        <v>3.7999999999999999E-2</v>
      </c>
    </row>
    <row r="3351" spans="1:24">
      <c r="A3351" s="21" t="s">
        <v>5100</v>
      </c>
      <c r="B3351" t="s">
        <v>516</v>
      </c>
      <c r="C3351" t="s">
        <v>451</v>
      </c>
      <c r="D3351" t="s">
        <v>1315</v>
      </c>
      <c r="E3351" s="7" t="s">
        <v>198</v>
      </c>
      <c r="F3351" s="7" t="s">
        <v>198</v>
      </c>
      <c r="G3351" s="7" t="s">
        <v>198</v>
      </c>
      <c r="H3351" s="7" t="s">
        <v>20</v>
      </c>
      <c r="I3351" s="7" t="s">
        <v>5102</v>
      </c>
      <c r="J3351" s="7" t="s">
        <v>21</v>
      </c>
      <c r="L3351" t="s">
        <v>5051</v>
      </c>
      <c r="M3351" s="7" t="s">
        <v>22</v>
      </c>
      <c r="N3351" s="7" t="s">
        <v>23</v>
      </c>
      <c r="O3351" s="7" t="s">
        <v>27</v>
      </c>
      <c r="P3351" s="7" t="s">
        <v>5101</v>
      </c>
      <c r="Q3351" s="26">
        <v>41</v>
      </c>
      <c r="R3351" s="26">
        <v>2</v>
      </c>
      <c r="S3351" s="40">
        <v>1</v>
      </c>
      <c r="T3351" s="7"/>
      <c r="U3351" s="7" t="s">
        <v>2951</v>
      </c>
      <c r="V3351" s="7" t="str">
        <f>+IF(U3351="","",IF(U3351="FINES",CONCATENATE("R",IF(OR(B3351="16",B3351="21",B3351="22",B3351="23"),"16212223",IF(OR(B3351="15",B3351="17",B3351="24",B3351="25"),"15172425",B3351))),IF(U3351="CEBAS","UNICO",IF(VALUE(B3351)&lt;=11,"AMBA","INTERIOR"))))</f>
        <v>R15172425</v>
      </c>
      <c r="W3351" s="38" t="str">
        <f>+IF(U3351="","-",CONCATENATE(U3351,"_",V3351))</f>
        <v>FINES_R15172425</v>
      </c>
      <c r="X3351" s="42">
        <v>3.9E-2</v>
      </c>
    </row>
    <row r="3352" spans="1:24">
      <c r="A3352" s="21" t="s">
        <v>5100</v>
      </c>
      <c r="B3352" t="s">
        <v>205</v>
      </c>
      <c r="C3352" t="s">
        <v>228</v>
      </c>
      <c r="D3352" t="s">
        <v>2658</v>
      </c>
      <c r="E3352" s="7" t="s">
        <v>198</v>
      </c>
      <c r="F3352" s="7" t="s">
        <v>198</v>
      </c>
      <c r="G3352" s="7" t="s">
        <v>198</v>
      </c>
      <c r="H3352" s="7" t="s">
        <v>20</v>
      </c>
      <c r="I3352" s="7" t="s">
        <v>5102</v>
      </c>
      <c r="J3352" s="7" t="s">
        <v>21</v>
      </c>
      <c r="L3352" t="s">
        <v>4556</v>
      </c>
      <c r="M3352" s="7" t="s">
        <v>22</v>
      </c>
      <c r="N3352" s="7" t="s">
        <v>23</v>
      </c>
      <c r="O3352" s="7" t="s">
        <v>27</v>
      </c>
      <c r="P3352" s="7" t="s">
        <v>5101</v>
      </c>
      <c r="Q3352" s="26">
        <v>10</v>
      </c>
      <c r="R3352" s="26">
        <v>1</v>
      </c>
      <c r="S3352" s="40">
        <v>1</v>
      </c>
      <c r="T3352" s="7"/>
      <c r="U3352" s="7" t="s">
        <v>2951</v>
      </c>
      <c r="V3352" s="7" t="str">
        <f>+IF(U3352="","",IF(U3352="FINES",CONCATENATE("R",IF(OR(B3352="16",B3352="21",B3352="22",B3352="23"),"16212223",IF(OR(B3352="15",B3352="17",B3352="24",B3352="25"),"15172425",B3352))),IF(U3352="CEBAS","UNICO",IF(VALUE(B3352)&lt;=11,"AMBA","INTERIOR"))))</f>
        <v>R15172425</v>
      </c>
      <c r="W3352" s="38" t="str">
        <f>+IF(U3352="","-",CONCATENATE(U3352,"_",V3352))</f>
        <v>FINES_R15172425</v>
      </c>
      <c r="X3352" s="42">
        <v>4.2000000000000003E-2</v>
      </c>
    </row>
    <row r="3353" spans="1:24">
      <c r="A3353" s="21" t="s">
        <v>5100</v>
      </c>
      <c r="B3353" t="s">
        <v>221</v>
      </c>
      <c r="C3353" t="s">
        <v>230</v>
      </c>
      <c r="D3353" t="s">
        <v>432</v>
      </c>
      <c r="E3353" s="7" t="s">
        <v>198</v>
      </c>
      <c r="F3353" s="7" t="s">
        <v>198</v>
      </c>
      <c r="G3353" s="7" t="s">
        <v>198</v>
      </c>
      <c r="H3353" s="7" t="s">
        <v>20</v>
      </c>
      <c r="I3353" s="7" t="s">
        <v>5102</v>
      </c>
      <c r="J3353" s="7" t="s">
        <v>21</v>
      </c>
      <c r="L3353" t="s">
        <v>5063</v>
      </c>
      <c r="M3353" s="7" t="s">
        <v>22</v>
      </c>
      <c r="N3353" s="7" t="s">
        <v>23</v>
      </c>
      <c r="O3353" s="7" t="s">
        <v>27</v>
      </c>
      <c r="P3353" s="7" t="s">
        <v>5101</v>
      </c>
      <c r="Q3353" s="26">
        <v>22</v>
      </c>
      <c r="R3353" s="26">
        <v>1</v>
      </c>
      <c r="S3353" s="40">
        <v>1</v>
      </c>
      <c r="T3353" s="7"/>
      <c r="U3353" s="7" t="s">
        <v>2951</v>
      </c>
      <c r="V3353" s="7" t="str">
        <f>+IF(U3353="","",IF(U3353="FINES",CONCATENATE("R",IF(OR(B3353="16",B3353="21",B3353="22",B3353="23"),"16212223",IF(OR(B3353="15",B3353="17",B3353="24",B3353="25"),"15172425",B3353))),IF(U3353="CEBAS","UNICO",IF(VALUE(B3353)&lt;=11,"AMBA","INTERIOR"))))</f>
        <v>R15172425</v>
      </c>
      <c r="W3353" s="38" t="str">
        <f>+IF(U3353="","-",CONCATENATE(U3353,"_",V3353))</f>
        <v>FINES_R15172425</v>
      </c>
      <c r="X3353" s="42">
        <v>4.3999999999999997E-2</v>
      </c>
    </row>
    <row r="3354" spans="1:24">
      <c r="A3354" s="21" t="s">
        <v>5100</v>
      </c>
      <c r="B3354" t="s">
        <v>221</v>
      </c>
      <c r="C3354" t="s">
        <v>230</v>
      </c>
      <c r="D3354" t="s">
        <v>432</v>
      </c>
      <c r="E3354" s="7" t="s">
        <v>198</v>
      </c>
      <c r="F3354" s="7" t="s">
        <v>198</v>
      </c>
      <c r="G3354" s="7" t="s">
        <v>198</v>
      </c>
      <c r="H3354" s="7" t="s">
        <v>20</v>
      </c>
      <c r="I3354" s="7" t="s">
        <v>5102</v>
      </c>
      <c r="J3354" s="7" t="s">
        <v>21</v>
      </c>
      <c r="L3354" t="s">
        <v>5069</v>
      </c>
      <c r="M3354" s="7" t="s">
        <v>22</v>
      </c>
      <c r="N3354" s="7" t="s">
        <v>23</v>
      </c>
      <c r="O3354" s="7" t="s">
        <v>27</v>
      </c>
      <c r="P3354" s="7" t="s">
        <v>5101</v>
      </c>
      <c r="Q3354" s="26">
        <v>12</v>
      </c>
      <c r="R3354" s="26">
        <v>1</v>
      </c>
      <c r="S3354" s="40">
        <v>1</v>
      </c>
      <c r="T3354" s="7"/>
      <c r="U3354" s="7" t="s">
        <v>2951</v>
      </c>
      <c r="V3354" s="7" t="str">
        <f>+IF(U3354="","",IF(U3354="FINES",CONCATENATE("R",IF(OR(B3354="16",B3354="21",B3354="22",B3354="23"),"16212223",IF(OR(B3354="15",B3354="17",B3354="24",B3354="25"),"15172425",B3354))),IF(U3354="CEBAS","UNICO",IF(VALUE(B3354)&lt;=11,"AMBA","INTERIOR"))))</f>
        <v>R15172425</v>
      </c>
      <c r="W3354" s="38" t="str">
        <f>+IF(U3354="","-",CONCATENATE(U3354,"_",V3354))</f>
        <v>FINES_R15172425</v>
      </c>
      <c r="X3354" s="42">
        <v>6.4000000000000001E-2</v>
      </c>
    </row>
    <row r="3355" spans="1:24">
      <c r="A3355" s="21" t="s">
        <v>5100</v>
      </c>
      <c r="B3355" t="s">
        <v>516</v>
      </c>
      <c r="C3355" t="s">
        <v>1348</v>
      </c>
      <c r="D3355" t="s">
        <v>1349</v>
      </c>
      <c r="E3355" s="7" t="s">
        <v>198</v>
      </c>
      <c r="F3355" s="7" t="s">
        <v>198</v>
      </c>
      <c r="G3355" s="7" t="s">
        <v>198</v>
      </c>
      <c r="H3355" s="7" t="s">
        <v>20</v>
      </c>
      <c r="I3355" s="7" t="s">
        <v>5102</v>
      </c>
      <c r="J3355" s="7" t="s">
        <v>21</v>
      </c>
      <c r="L3355" t="s">
        <v>5054</v>
      </c>
      <c r="M3355" s="7" t="s">
        <v>22</v>
      </c>
      <c r="N3355" s="7" t="s">
        <v>23</v>
      </c>
      <c r="O3355" s="7" t="s">
        <v>27</v>
      </c>
      <c r="P3355" s="7" t="s">
        <v>5101</v>
      </c>
      <c r="Q3355" s="26">
        <v>47</v>
      </c>
      <c r="R3355" s="26">
        <v>3</v>
      </c>
      <c r="S3355" s="40">
        <v>1</v>
      </c>
      <c r="T3355" s="7"/>
      <c r="U3355" s="7" t="s">
        <v>2951</v>
      </c>
      <c r="V3355" s="7" t="str">
        <f>+IF(U3355="","",IF(U3355="FINES",CONCATENATE("R",IF(OR(B3355="16",B3355="21",B3355="22",B3355="23"),"16212223",IF(OR(B3355="15",B3355="17",B3355="24",B3355="25"),"15172425",B3355))),IF(U3355="CEBAS","UNICO",IF(VALUE(B3355)&lt;=11,"AMBA","INTERIOR"))))</f>
        <v>R15172425</v>
      </c>
      <c r="W3355" s="38" t="str">
        <f>+IF(U3355="","-",CONCATENATE(U3355,"_",V3355))</f>
        <v>FINES_R15172425</v>
      </c>
      <c r="X3355" s="42">
        <v>7.2999999999999995E-2</v>
      </c>
    </row>
    <row r="3356" spans="1:24">
      <c r="A3356" s="21" t="s">
        <v>5100</v>
      </c>
      <c r="B3356" t="s">
        <v>205</v>
      </c>
      <c r="C3356" t="s">
        <v>1946</v>
      </c>
      <c r="D3356" t="s">
        <v>1947</v>
      </c>
      <c r="E3356" s="7" t="s">
        <v>198</v>
      </c>
      <c r="F3356" s="7" t="s">
        <v>198</v>
      </c>
      <c r="G3356" s="7" t="s">
        <v>198</v>
      </c>
      <c r="H3356" s="7" t="s">
        <v>20</v>
      </c>
      <c r="I3356" s="7" t="s">
        <v>5102</v>
      </c>
      <c r="J3356" s="7" t="s">
        <v>21</v>
      </c>
      <c r="L3356" t="s">
        <v>4626</v>
      </c>
      <c r="M3356" s="7" t="s">
        <v>22</v>
      </c>
      <c r="N3356" s="7" t="s">
        <v>23</v>
      </c>
      <c r="O3356" s="7" t="s">
        <v>27</v>
      </c>
      <c r="P3356" s="7" t="s">
        <v>5101</v>
      </c>
      <c r="Q3356" s="26">
        <v>10</v>
      </c>
      <c r="R3356" s="26">
        <v>1</v>
      </c>
      <c r="S3356" s="40">
        <v>1</v>
      </c>
      <c r="T3356" s="7"/>
      <c r="U3356" s="7" t="s">
        <v>2951</v>
      </c>
      <c r="V3356" s="7" t="str">
        <f>+IF(U3356="","",IF(U3356="FINES",CONCATENATE("R",IF(OR(B3356="16",B3356="21",B3356="22",B3356="23"),"16212223",IF(OR(B3356="15",B3356="17",B3356="24",B3356="25"),"15172425",B3356))),IF(U3356="CEBAS","UNICO",IF(VALUE(B3356)&lt;=11,"AMBA","INTERIOR"))))</f>
        <v>R15172425</v>
      </c>
      <c r="W3356" s="38" t="str">
        <f>+IF(U3356="","-",CONCATENATE(U3356,"_",V3356))</f>
        <v>FINES_R15172425</v>
      </c>
      <c r="X3356" s="42">
        <v>7.4999999999999997E-2</v>
      </c>
    </row>
    <row r="3357" spans="1:24">
      <c r="A3357" s="21" t="s">
        <v>5100</v>
      </c>
      <c r="B3357" t="s">
        <v>221</v>
      </c>
      <c r="C3357" t="s">
        <v>230</v>
      </c>
      <c r="D3357" t="s">
        <v>432</v>
      </c>
      <c r="E3357" s="7" t="s">
        <v>198</v>
      </c>
      <c r="F3357" s="7" t="s">
        <v>198</v>
      </c>
      <c r="G3357" s="7" t="s">
        <v>198</v>
      </c>
      <c r="H3357" s="7" t="s">
        <v>20</v>
      </c>
      <c r="I3357" s="7" t="s">
        <v>5102</v>
      </c>
      <c r="J3357" s="7" t="s">
        <v>21</v>
      </c>
      <c r="L3357" t="s">
        <v>5066</v>
      </c>
      <c r="M3357" s="7" t="s">
        <v>22</v>
      </c>
      <c r="N3357" s="7" t="s">
        <v>23</v>
      </c>
      <c r="O3357" s="7" t="s">
        <v>27</v>
      </c>
      <c r="P3357" s="7" t="s">
        <v>5101</v>
      </c>
      <c r="Q3357" s="26">
        <v>16</v>
      </c>
      <c r="R3357" s="26">
        <v>1</v>
      </c>
      <c r="S3357" s="40">
        <v>1</v>
      </c>
      <c r="T3357" s="7"/>
      <c r="U3357" s="7" t="s">
        <v>2951</v>
      </c>
      <c r="V3357" s="7" t="str">
        <f>+IF(U3357="","",IF(U3357="FINES",CONCATENATE("R",IF(OR(B3357="16",B3357="21",B3357="22",B3357="23"),"16212223",IF(OR(B3357="15",B3357="17",B3357="24",B3357="25"),"15172425",B3357))),IF(U3357="CEBAS","UNICO",IF(VALUE(B3357)&lt;=11,"AMBA","INTERIOR"))))</f>
        <v>R15172425</v>
      </c>
      <c r="W3357" s="38" t="str">
        <f>+IF(U3357="","-",CONCATENATE(U3357,"_",V3357))</f>
        <v>FINES_R15172425</v>
      </c>
      <c r="X3357" s="42">
        <v>7.4999999999999997E-2</v>
      </c>
    </row>
    <row r="3358" spans="1:24">
      <c r="A3358" s="21" t="s">
        <v>5100</v>
      </c>
      <c r="B3358" t="s">
        <v>221</v>
      </c>
      <c r="C3358" t="s">
        <v>230</v>
      </c>
      <c r="D3358" t="s">
        <v>432</v>
      </c>
      <c r="E3358" s="7" t="s">
        <v>198</v>
      </c>
      <c r="F3358" s="7" t="s">
        <v>198</v>
      </c>
      <c r="G3358" s="7" t="s">
        <v>198</v>
      </c>
      <c r="H3358" s="7" t="s">
        <v>20</v>
      </c>
      <c r="I3358" s="7" t="s">
        <v>5102</v>
      </c>
      <c r="J3358" s="7" t="s">
        <v>21</v>
      </c>
      <c r="L3358" t="s">
        <v>5070</v>
      </c>
      <c r="M3358" s="7" t="s">
        <v>22</v>
      </c>
      <c r="N3358" s="7" t="s">
        <v>23</v>
      </c>
      <c r="O3358" s="7" t="s">
        <v>27</v>
      </c>
      <c r="P3358" s="7" t="s">
        <v>5101</v>
      </c>
      <c r="Q3358" s="26">
        <v>20</v>
      </c>
      <c r="R3358" s="26">
        <v>1</v>
      </c>
      <c r="S3358" s="40">
        <v>1</v>
      </c>
      <c r="T3358" s="7"/>
      <c r="U3358" s="7" t="s">
        <v>2951</v>
      </c>
      <c r="V3358" s="7" t="str">
        <f>+IF(U3358="","",IF(U3358="FINES",CONCATENATE("R",IF(OR(B3358="16",B3358="21",B3358="22",B3358="23"),"16212223",IF(OR(B3358="15",B3358="17",B3358="24",B3358="25"),"15172425",B3358))),IF(U3358="CEBAS","UNICO",IF(VALUE(B3358)&lt;=11,"AMBA","INTERIOR"))))</f>
        <v>R15172425</v>
      </c>
      <c r="W3358" s="38" t="str">
        <f>+IF(U3358="","-",CONCATENATE(U3358,"_",V3358))</f>
        <v>FINES_R15172425</v>
      </c>
      <c r="X3358" s="42">
        <v>8.6999999999999994E-2</v>
      </c>
    </row>
    <row r="3359" spans="1:24">
      <c r="A3359" s="21" t="s">
        <v>5100</v>
      </c>
      <c r="B3359" t="s">
        <v>206</v>
      </c>
      <c r="C3359" t="s">
        <v>930</v>
      </c>
      <c r="D3359" t="s">
        <v>931</v>
      </c>
      <c r="E3359" s="7" t="s">
        <v>198</v>
      </c>
      <c r="F3359" s="7" t="s">
        <v>198</v>
      </c>
      <c r="G3359" s="7" t="s">
        <v>198</v>
      </c>
      <c r="H3359" s="7" t="s">
        <v>20</v>
      </c>
      <c r="I3359" s="7" t="s">
        <v>5102</v>
      </c>
      <c r="J3359" s="7" t="s">
        <v>21</v>
      </c>
      <c r="L3359" t="s">
        <v>4685</v>
      </c>
      <c r="M3359" s="7" t="s">
        <v>22</v>
      </c>
      <c r="N3359" s="7" t="s">
        <v>23</v>
      </c>
      <c r="O3359" s="7" t="s">
        <v>27</v>
      </c>
      <c r="P3359" s="7" t="s">
        <v>5101</v>
      </c>
      <c r="Q3359" s="26">
        <v>0</v>
      </c>
      <c r="R3359" s="26">
        <v>1</v>
      </c>
      <c r="S3359" s="40">
        <v>1</v>
      </c>
      <c r="T3359" s="7"/>
      <c r="U3359" s="7" t="s">
        <v>2951</v>
      </c>
      <c r="V3359" s="7" t="str">
        <f>+IF(U3359="","",IF(U3359="FINES",CONCATENATE("R",IF(OR(B3359="16",B3359="21",B3359="22",B3359="23"),"16212223",IF(OR(B3359="15",B3359="17",B3359="24",B3359="25"),"15172425",B3359))),IF(U3359="CEBAS","UNICO",IF(VALUE(B3359)&lt;=11,"AMBA","INTERIOR"))))</f>
        <v>R15172425</v>
      </c>
      <c r="W3359" s="38" t="str">
        <f>+IF(U3359="","-",CONCATENATE(U3359,"_",V3359))</f>
        <v>FINES_R15172425</v>
      </c>
      <c r="X3359" s="42">
        <v>8.7999999999999995E-2</v>
      </c>
    </row>
    <row r="3360" spans="1:24">
      <c r="A3360" s="21" t="s">
        <v>5100</v>
      </c>
      <c r="B3360" t="s">
        <v>221</v>
      </c>
      <c r="C3360" t="s">
        <v>230</v>
      </c>
      <c r="D3360" t="s">
        <v>432</v>
      </c>
      <c r="E3360" s="7" t="s">
        <v>198</v>
      </c>
      <c r="F3360" s="7" t="s">
        <v>198</v>
      </c>
      <c r="G3360" s="7" t="s">
        <v>198</v>
      </c>
      <c r="H3360" s="7" t="s">
        <v>20</v>
      </c>
      <c r="I3360" s="7" t="s">
        <v>5102</v>
      </c>
      <c r="J3360" s="7" t="s">
        <v>21</v>
      </c>
      <c r="L3360" t="s">
        <v>5072</v>
      </c>
      <c r="M3360" s="7" t="s">
        <v>22</v>
      </c>
      <c r="N3360" s="7" t="s">
        <v>23</v>
      </c>
      <c r="O3360" s="7" t="s">
        <v>27</v>
      </c>
      <c r="P3360" s="7" t="s">
        <v>5101</v>
      </c>
      <c r="Q3360" s="26">
        <v>16</v>
      </c>
      <c r="R3360" s="26">
        <v>1</v>
      </c>
      <c r="S3360" s="40">
        <v>1</v>
      </c>
      <c r="T3360" s="7"/>
      <c r="U3360" s="7" t="s">
        <v>2951</v>
      </c>
      <c r="V3360" s="7" t="str">
        <f>+IF(U3360="","",IF(U3360="FINES",CONCATENATE("R",IF(OR(B3360="16",B3360="21",B3360="22",B3360="23"),"16212223",IF(OR(B3360="15",B3360="17",B3360="24",B3360="25"),"15172425",B3360))),IF(U3360="CEBAS","UNICO",IF(VALUE(B3360)&lt;=11,"AMBA","INTERIOR"))))</f>
        <v>R15172425</v>
      </c>
      <c r="W3360" s="38" t="str">
        <f>+IF(U3360="","-",CONCATENATE(U3360,"_",V3360))</f>
        <v>FINES_R15172425</v>
      </c>
      <c r="X3360" s="42">
        <v>0.114</v>
      </c>
    </row>
    <row r="3361" spans="1:24">
      <c r="A3361" s="21" t="s">
        <v>5100</v>
      </c>
      <c r="B3361" t="s">
        <v>206</v>
      </c>
      <c r="C3361" t="s">
        <v>2043</v>
      </c>
      <c r="D3361" t="s">
        <v>2044</v>
      </c>
      <c r="E3361" s="7" t="s">
        <v>198</v>
      </c>
      <c r="F3361" s="7" t="s">
        <v>198</v>
      </c>
      <c r="G3361" s="7" t="s">
        <v>198</v>
      </c>
      <c r="H3361" s="7" t="s">
        <v>20</v>
      </c>
      <c r="I3361" s="7" t="s">
        <v>5102</v>
      </c>
      <c r="J3361" s="7" t="s">
        <v>21</v>
      </c>
      <c r="L3361" t="s">
        <v>4698</v>
      </c>
      <c r="M3361" s="7" t="s">
        <v>22</v>
      </c>
      <c r="N3361" s="7" t="s">
        <v>23</v>
      </c>
      <c r="O3361" s="7" t="s">
        <v>27</v>
      </c>
      <c r="P3361" s="7" t="s">
        <v>5101</v>
      </c>
      <c r="Q3361" s="26">
        <v>15</v>
      </c>
      <c r="R3361" s="26">
        <v>1</v>
      </c>
      <c r="S3361" s="40">
        <v>1</v>
      </c>
      <c r="T3361" s="7"/>
      <c r="U3361" s="7" t="s">
        <v>2951</v>
      </c>
      <c r="V3361" s="7" t="str">
        <f>+IF(U3361="","",IF(U3361="FINES",CONCATENATE("R",IF(OR(B3361="16",B3361="21",B3361="22",B3361="23"),"16212223",IF(OR(B3361="15",B3361="17",B3361="24",B3361="25"),"15172425",B3361))),IF(U3361="CEBAS","UNICO",IF(VALUE(B3361)&lt;=11,"AMBA","INTERIOR"))))</f>
        <v>R15172425</v>
      </c>
      <c r="W3361" s="38" t="str">
        <f>+IF(U3361="","-",CONCATENATE(U3361,"_",V3361))</f>
        <v>FINES_R15172425</v>
      </c>
      <c r="X3361" s="42">
        <v>0.11799999999999999</v>
      </c>
    </row>
    <row r="3362" spans="1:24">
      <c r="A3362" s="21" t="s">
        <v>5100</v>
      </c>
      <c r="B3362" t="s">
        <v>221</v>
      </c>
      <c r="C3362" t="s">
        <v>571</v>
      </c>
      <c r="D3362" t="s">
        <v>573</v>
      </c>
      <c r="E3362" s="7" t="s">
        <v>198</v>
      </c>
      <c r="F3362" s="7" t="s">
        <v>198</v>
      </c>
      <c r="G3362" s="7" t="s">
        <v>198</v>
      </c>
      <c r="H3362" s="7" t="s">
        <v>20</v>
      </c>
      <c r="I3362" s="7" t="s">
        <v>5102</v>
      </c>
      <c r="J3362" s="7" t="s">
        <v>21</v>
      </c>
      <c r="L3362" t="s">
        <v>5077</v>
      </c>
      <c r="M3362" s="7" t="s">
        <v>22</v>
      </c>
      <c r="N3362" s="7" t="s">
        <v>23</v>
      </c>
      <c r="O3362" s="7" t="s">
        <v>27</v>
      </c>
      <c r="P3362" s="7" t="s">
        <v>5101</v>
      </c>
      <c r="Q3362" s="26">
        <v>19</v>
      </c>
      <c r="R3362" s="26">
        <v>1</v>
      </c>
      <c r="S3362" s="40">
        <v>1</v>
      </c>
      <c r="T3362" s="7"/>
      <c r="U3362" s="7" t="s">
        <v>2951</v>
      </c>
      <c r="V3362" s="7" t="str">
        <f>+IF(U3362="","",IF(U3362="FINES",CONCATENATE("R",IF(OR(B3362="16",B3362="21",B3362="22",B3362="23"),"16212223",IF(OR(B3362="15",B3362="17",B3362="24",B3362="25"),"15172425",B3362))),IF(U3362="CEBAS","UNICO",IF(VALUE(B3362)&lt;=11,"AMBA","INTERIOR"))))</f>
        <v>R15172425</v>
      </c>
      <c r="W3362" s="38" t="str">
        <f>+IF(U3362="","-",CONCATENATE(U3362,"_",V3362))</f>
        <v>FINES_R15172425</v>
      </c>
      <c r="X3362" s="42">
        <v>0.124</v>
      </c>
    </row>
    <row r="3363" spans="1:24">
      <c r="A3363" s="21" t="s">
        <v>5100</v>
      </c>
      <c r="B3363" t="s">
        <v>206</v>
      </c>
      <c r="C3363" t="s">
        <v>930</v>
      </c>
      <c r="D3363" t="s">
        <v>931</v>
      </c>
      <c r="E3363" s="7" t="s">
        <v>198</v>
      </c>
      <c r="F3363" s="7" t="s">
        <v>198</v>
      </c>
      <c r="G3363" s="7" t="s">
        <v>198</v>
      </c>
      <c r="H3363" s="7" t="s">
        <v>20</v>
      </c>
      <c r="I3363" s="7" t="s">
        <v>5102</v>
      </c>
      <c r="J3363" s="7" t="s">
        <v>21</v>
      </c>
      <c r="L3363" t="s">
        <v>4687</v>
      </c>
      <c r="M3363" s="7" t="s">
        <v>22</v>
      </c>
      <c r="N3363" s="7" t="s">
        <v>23</v>
      </c>
      <c r="O3363" s="7" t="s">
        <v>27</v>
      </c>
      <c r="P3363" s="7" t="s">
        <v>5101</v>
      </c>
      <c r="Q3363" s="26">
        <v>1</v>
      </c>
      <c r="R3363" s="26">
        <v>1</v>
      </c>
      <c r="S3363" s="40">
        <v>1</v>
      </c>
      <c r="T3363" s="7"/>
      <c r="U3363" s="7" t="s">
        <v>2951</v>
      </c>
      <c r="V3363" s="7" t="str">
        <f>+IF(U3363="","",IF(U3363="FINES",CONCATENATE("R",IF(OR(B3363="16",B3363="21",B3363="22",B3363="23"),"16212223",IF(OR(B3363="15",B3363="17",B3363="24",B3363="25"),"15172425",B3363))),IF(U3363="CEBAS","UNICO",IF(VALUE(B3363)&lt;=11,"AMBA","INTERIOR"))))</f>
        <v>R15172425</v>
      </c>
      <c r="W3363" s="38" t="str">
        <f>+IF(U3363="","-",CONCATENATE(U3363,"_",V3363))</f>
        <v>FINES_R15172425</v>
      </c>
      <c r="X3363" s="42">
        <v>0.13300000000000001</v>
      </c>
    </row>
    <row r="3364" spans="1:24">
      <c r="A3364" s="21" t="s">
        <v>5100</v>
      </c>
      <c r="B3364" t="s">
        <v>205</v>
      </c>
      <c r="C3364" t="s">
        <v>654</v>
      </c>
      <c r="D3364" t="s">
        <v>655</v>
      </c>
      <c r="E3364" s="7" t="s">
        <v>198</v>
      </c>
      <c r="F3364" s="7" t="s">
        <v>198</v>
      </c>
      <c r="G3364" s="7" t="s">
        <v>198</v>
      </c>
      <c r="H3364" s="7" t="s">
        <v>20</v>
      </c>
      <c r="I3364" s="7" t="s">
        <v>5102</v>
      </c>
      <c r="J3364" s="7" t="s">
        <v>21</v>
      </c>
      <c r="L3364" t="s">
        <v>4640</v>
      </c>
      <c r="M3364" s="7" t="s">
        <v>22</v>
      </c>
      <c r="N3364" s="7" t="s">
        <v>23</v>
      </c>
      <c r="O3364" s="7" t="s">
        <v>27</v>
      </c>
      <c r="P3364" s="7" t="s">
        <v>5101</v>
      </c>
      <c r="Q3364" s="26">
        <v>26</v>
      </c>
      <c r="R3364" s="26">
        <v>1</v>
      </c>
      <c r="S3364" s="40">
        <v>1</v>
      </c>
      <c r="T3364" s="7"/>
      <c r="U3364" s="7" t="s">
        <v>2951</v>
      </c>
      <c r="V3364" s="7" t="str">
        <f>+IF(U3364="","",IF(U3364="FINES",CONCATENATE("R",IF(OR(B3364="16",B3364="21",B3364="22",B3364="23"),"16212223",IF(OR(B3364="15",B3364="17",B3364="24",B3364="25"),"15172425",B3364))),IF(U3364="CEBAS","UNICO",IF(VALUE(B3364)&lt;=11,"AMBA","INTERIOR"))))</f>
        <v>R15172425</v>
      </c>
      <c r="W3364" s="38" t="str">
        <f>+IF(U3364="","-",CONCATENATE(U3364,"_",V3364))</f>
        <v>FINES_R15172425</v>
      </c>
      <c r="X3364" s="42">
        <v>0.13700000000000001</v>
      </c>
    </row>
    <row r="3365" spans="1:24">
      <c r="A3365" s="21" t="s">
        <v>5100</v>
      </c>
      <c r="B3365" t="s">
        <v>516</v>
      </c>
      <c r="C3365" t="s">
        <v>2179</v>
      </c>
      <c r="D3365" t="s">
        <v>2180</v>
      </c>
      <c r="E3365" s="7" t="s">
        <v>198</v>
      </c>
      <c r="F3365" s="7" t="s">
        <v>198</v>
      </c>
      <c r="G3365" s="7" t="s">
        <v>198</v>
      </c>
      <c r="H3365" s="7" t="s">
        <v>20</v>
      </c>
      <c r="I3365" s="7" t="s">
        <v>5102</v>
      </c>
      <c r="J3365" s="7" t="s">
        <v>21</v>
      </c>
      <c r="L3365" t="s">
        <v>5058</v>
      </c>
      <c r="M3365" s="7" t="s">
        <v>22</v>
      </c>
      <c r="N3365" s="7" t="s">
        <v>23</v>
      </c>
      <c r="O3365" s="7" t="s">
        <v>27</v>
      </c>
      <c r="P3365" s="7" t="s">
        <v>5101</v>
      </c>
      <c r="Q3365" s="26">
        <v>5</v>
      </c>
      <c r="R3365" s="26">
        <v>1</v>
      </c>
      <c r="S3365" s="40">
        <v>1</v>
      </c>
      <c r="T3365" s="7"/>
      <c r="U3365" s="7" t="s">
        <v>2951</v>
      </c>
      <c r="V3365" s="7" t="str">
        <f>+IF(U3365="","",IF(U3365="FINES",CONCATENATE("R",IF(OR(B3365="16",B3365="21",B3365="22",B3365="23"),"16212223",IF(OR(B3365="15",B3365="17",B3365="24",B3365="25"),"15172425",B3365))),IF(U3365="CEBAS","UNICO",IF(VALUE(B3365)&lt;=11,"AMBA","INTERIOR"))))</f>
        <v>R15172425</v>
      </c>
      <c r="W3365" s="38" t="str">
        <f>+IF(U3365="","-",CONCATENATE(U3365,"_",V3365))</f>
        <v>FINES_R15172425</v>
      </c>
      <c r="X3365" s="42">
        <v>0.13900000000000001</v>
      </c>
    </row>
    <row r="3366" spans="1:24">
      <c r="A3366" s="21" t="s">
        <v>5100</v>
      </c>
      <c r="B3366" t="s">
        <v>221</v>
      </c>
      <c r="C3366" t="s">
        <v>230</v>
      </c>
      <c r="D3366" t="s">
        <v>432</v>
      </c>
      <c r="E3366" s="7" t="s">
        <v>198</v>
      </c>
      <c r="F3366" s="7" t="s">
        <v>198</v>
      </c>
      <c r="G3366" s="7" t="s">
        <v>198</v>
      </c>
      <c r="H3366" s="7" t="s">
        <v>20</v>
      </c>
      <c r="I3366" s="7" t="s">
        <v>5102</v>
      </c>
      <c r="J3366" s="7" t="s">
        <v>21</v>
      </c>
      <c r="L3366" t="s">
        <v>5071</v>
      </c>
      <c r="M3366" s="7" t="s">
        <v>22</v>
      </c>
      <c r="N3366" s="7" t="s">
        <v>23</v>
      </c>
      <c r="O3366" s="7" t="s">
        <v>27</v>
      </c>
      <c r="P3366" s="7" t="s">
        <v>5101</v>
      </c>
      <c r="Q3366" s="26">
        <v>18</v>
      </c>
      <c r="R3366" s="26">
        <v>1</v>
      </c>
      <c r="S3366" s="40">
        <v>1</v>
      </c>
      <c r="T3366" s="7"/>
      <c r="U3366" s="7" t="s">
        <v>2951</v>
      </c>
      <c r="V3366" s="7" t="str">
        <f>+IF(U3366="","",IF(U3366="FINES",CONCATENATE("R",IF(OR(B3366="16",B3366="21",B3366="22",B3366="23"),"16212223",IF(OR(B3366="15",B3366="17",B3366="24",B3366="25"),"15172425",B3366))),IF(U3366="CEBAS","UNICO",IF(VALUE(B3366)&lt;=11,"AMBA","INTERIOR"))))</f>
        <v>R15172425</v>
      </c>
      <c r="W3366" s="38" t="str">
        <f>+IF(U3366="","-",CONCATENATE(U3366,"_",V3366))</f>
        <v>FINES_R15172425</v>
      </c>
      <c r="X3366" s="42">
        <v>0.14199999999999999</v>
      </c>
    </row>
    <row r="3367" spans="1:24">
      <c r="A3367" s="21" t="s">
        <v>5100</v>
      </c>
      <c r="B3367" t="s">
        <v>206</v>
      </c>
      <c r="C3367" t="s">
        <v>1850</v>
      </c>
      <c r="D3367" t="s">
        <v>1851</v>
      </c>
      <c r="E3367" s="7" t="s">
        <v>198</v>
      </c>
      <c r="F3367" s="7" t="s">
        <v>198</v>
      </c>
      <c r="G3367" s="7" t="s">
        <v>198</v>
      </c>
      <c r="H3367" s="7" t="s">
        <v>20</v>
      </c>
      <c r="I3367" s="7" t="s">
        <v>5102</v>
      </c>
      <c r="J3367" s="7" t="s">
        <v>21</v>
      </c>
      <c r="L3367" t="s">
        <v>4695</v>
      </c>
      <c r="M3367" s="7" t="s">
        <v>22</v>
      </c>
      <c r="N3367" s="7" t="s">
        <v>23</v>
      </c>
      <c r="O3367" s="7" t="s">
        <v>27</v>
      </c>
      <c r="P3367" s="7" t="s">
        <v>5101</v>
      </c>
      <c r="Q3367" s="26">
        <v>11</v>
      </c>
      <c r="R3367" s="26">
        <v>1</v>
      </c>
      <c r="S3367" s="40">
        <v>1</v>
      </c>
      <c r="T3367" s="7"/>
      <c r="U3367" s="7" t="s">
        <v>2951</v>
      </c>
      <c r="V3367" s="7" t="str">
        <f>+IF(U3367="","",IF(U3367="FINES",CONCATENATE("R",IF(OR(B3367="16",B3367="21",B3367="22",B3367="23"),"16212223",IF(OR(B3367="15",B3367="17",B3367="24",B3367="25"),"15172425",B3367))),IF(U3367="CEBAS","UNICO",IF(VALUE(B3367)&lt;=11,"AMBA","INTERIOR"))))</f>
        <v>R15172425</v>
      </c>
      <c r="W3367" s="38" t="str">
        <f>+IF(U3367="","-",CONCATENATE(U3367,"_",V3367))</f>
        <v>FINES_R15172425</v>
      </c>
      <c r="X3367" s="42">
        <v>0.16</v>
      </c>
    </row>
    <row r="3368" spans="1:24">
      <c r="A3368" s="21" t="s">
        <v>5100</v>
      </c>
      <c r="B3368" t="s">
        <v>206</v>
      </c>
      <c r="C3368" t="s">
        <v>749</v>
      </c>
      <c r="D3368" t="s">
        <v>2905</v>
      </c>
      <c r="E3368" s="7" t="s">
        <v>198</v>
      </c>
      <c r="F3368" s="7" t="s">
        <v>198</v>
      </c>
      <c r="G3368" s="7" t="s">
        <v>198</v>
      </c>
      <c r="H3368" s="7" t="s">
        <v>20</v>
      </c>
      <c r="I3368" s="7" t="s">
        <v>5102</v>
      </c>
      <c r="J3368" s="7" t="s">
        <v>21</v>
      </c>
      <c r="L3368" t="s">
        <v>4689</v>
      </c>
      <c r="M3368" s="7" t="s">
        <v>22</v>
      </c>
      <c r="N3368" s="7" t="s">
        <v>23</v>
      </c>
      <c r="O3368" s="7" t="s">
        <v>27</v>
      </c>
      <c r="P3368" s="7" t="s">
        <v>5101</v>
      </c>
      <c r="Q3368" s="26">
        <v>11</v>
      </c>
      <c r="R3368" s="26">
        <v>1</v>
      </c>
      <c r="S3368" s="40">
        <v>1</v>
      </c>
      <c r="T3368" s="7"/>
      <c r="U3368" s="7" t="s">
        <v>2951</v>
      </c>
      <c r="V3368" s="7" t="str">
        <f>+IF(U3368="","",IF(U3368="FINES",CONCATENATE("R",IF(OR(B3368="16",B3368="21",B3368="22",B3368="23"),"16212223",IF(OR(B3368="15",B3368="17",B3368="24",B3368="25"),"15172425",B3368))),IF(U3368="CEBAS","UNICO",IF(VALUE(B3368)&lt;=11,"AMBA","INTERIOR"))))</f>
        <v>R15172425</v>
      </c>
      <c r="W3368" s="38" t="str">
        <f>+IF(U3368="","-",CONCATENATE(U3368,"_",V3368))</f>
        <v>FINES_R15172425</v>
      </c>
      <c r="X3368" s="42">
        <v>0.16500000000000001</v>
      </c>
    </row>
    <row r="3369" spans="1:24">
      <c r="A3369" s="21" t="s">
        <v>5100</v>
      </c>
      <c r="B3369" t="s">
        <v>516</v>
      </c>
      <c r="C3369" t="s">
        <v>890</v>
      </c>
      <c r="D3369" t="s">
        <v>891</v>
      </c>
      <c r="E3369" s="7" t="s">
        <v>198</v>
      </c>
      <c r="F3369" s="7" t="s">
        <v>198</v>
      </c>
      <c r="G3369" s="7" t="s">
        <v>198</v>
      </c>
      <c r="H3369" s="7" t="s">
        <v>20</v>
      </c>
      <c r="I3369" s="7" t="s">
        <v>5102</v>
      </c>
      <c r="J3369" s="7" t="s">
        <v>21</v>
      </c>
      <c r="L3369" t="s">
        <v>5049</v>
      </c>
      <c r="M3369" s="7" t="s">
        <v>22</v>
      </c>
      <c r="N3369" s="7" t="s">
        <v>23</v>
      </c>
      <c r="O3369" s="7" t="s">
        <v>27</v>
      </c>
      <c r="P3369" s="7" t="s">
        <v>5101</v>
      </c>
      <c r="Q3369" s="26">
        <v>6</v>
      </c>
      <c r="R3369" s="26">
        <v>1</v>
      </c>
      <c r="S3369" s="40">
        <v>1</v>
      </c>
      <c r="T3369" s="7"/>
      <c r="U3369" s="7" t="s">
        <v>2951</v>
      </c>
      <c r="V3369" s="7" t="str">
        <f>+IF(U3369="","",IF(U3369="FINES",CONCATENATE("R",IF(OR(B3369="16",B3369="21",B3369="22",B3369="23"),"16212223",IF(OR(B3369="15",B3369="17",B3369="24",B3369="25"),"15172425",B3369))),IF(U3369="CEBAS","UNICO",IF(VALUE(B3369)&lt;=11,"AMBA","INTERIOR"))))</f>
        <v>R15172425</v>
      </c>
      <c r="W3369" s="38" t="str">
        <f>+IF(U3369="","-",CONCATENATE(U3369,"_",V3369))</f>
        <v>FINES_R15172425</v>
      </c>
      <c r="X3369" s="42">
        <v>0.193</v>
      </c>
    </row>
    <row r="3370" spans="1:24">
      <c r="A3370" s="21" t="s">
        <v>5100</v>
      </c>
      <c r="B3370" t="s">
        <v>516</v>
      </c>
      <c r="C3370" t="s">
        <v>2179</v>
      </c>
      <c r="D3370" t="s">
        <v>2180</v>
      </c>
      <c r="E3370" s="7" t="s">
        <v>198</v>
      </c>
      <c r="F3370" s="7" t="s">
        <v>198</v>
      </c>
      <c r="G3370" s="7" t="s">
        <v>198</v>
      </c>
      <c r="H3370" s="7" t="s">
        <v>20</v>
      </c>
      <c r="I3370" s="7" t="s">
        <v>5102</v>
      </c>
      <c r="J3370" s="7" t="s">
        <v>21</v>
      </c>
      <c r="L3370" t="s">
        <v>5057</v>
      </c>
      <c r="M3370" s="7" t="s">
        <v>22</v>
      </c>
      <c r="N3370" s="7" t="s">
        <v>23</v>
      </c>
      <c r="O3370" s="7" t="s">
        <v>27</v>
      </c>
      <c r="P3370" s="7" t="s">
        <v>5101</v>
      </c>
      <c r="Q3370" s="26">
        <v>7</v>
      </c>
      <c r="R3370" s="26">
        <v>1</v>
      </c>
      <c r="S3370" s="40">
        <v>1</v>
      </c>
      <c r="T3370" s="7"/>
      <c r="U3370" s="7" t="s">
        <v>2951</v>
      </c>
      <c r="V3370" s="7" t="str">
        <f>+IF(U3370="","",IF(U3370="FINES",CONCATENATE("R",IF(OR(B3370="16",B3370="21",B3370="22",B3370="23"),"16212223",IF(OR(B3370="15",B3370="17",B3370="24",B3370="25"),"15172425",B3370))),IF(U3370="CEBAS","UNICO",IF(VALUE(B3370)&lt;=11,"AMBA","INTERIOR"))))</f>
        <v>R15172425</v>
      </c>
      <c r="W3370" s="38" t="str">
        <f>+IF(U3370="","-",CONCATENATE(U3370,"_",V3370))</f>
        <v>FINES_R15172425</v>
      </c>
      <c r="X3370" s="42">
        <v>0.19400000000000001</v>
      </c>
    </row>
    <row r="3371" spans="1:24">
      <c r="A3371" s="21" t="s">
        <v>5100</v>
      </c>
      <c r="B3371" t="s">
        <v>516</v>
      </c>
      <c r="C3371" t="s">
        <v>1348</v>
      </c>
      <c r="D3371" t="s">
        <v>1349</v>
      </c>
      <c r="E3371" s="7" t="s">
        <v>198</v>
      </c>
      <c r="F3371" s="7" t="s">
        <v>198</v>
      </c>
      <c r="G3371" s="7" t="s">
        <v>198</v>
      </c>
      <c r="H3371" s="7" t="s">
        <v>20</v>
      </c>
      <c r="I3371" s="7" t="s">
        <v>5102</v>
      </c>
      <c r="J3371" s="7" t="s">
        <v>21</v>
      </c>
      <c r="L3371" t="s">
        <v>5053</v>
      </c>
      <c r="M3371" s="7" t="s">
        <v>22</v>
      </c>
      <c r="N3371" s="7" t="s">
        <v>23</v>
      </c>
      <c r="O3371" s="7" t="s">
        <v>27</v>
      </c>
      <c r="P3371" s="7" t="s">
        <v>5101</v>
      </c>
      <c r="Q3371" s="26">
        <v>54</v>
      </c>
      <c r="R3371" s="26">
        <v>3</v>
      </c>
      <c r="S3371" s="40">
        <v>1</v>
      </c>
      <c r="T3371" s="7"/>
      <c r="U3371" s="7" t="s">
        <v>2951</v>
      </c>
      <c r="V3371" s="7" t="str">
        <f>+IF(U3371="","",IF(U3371="FINES",CONCATENATE("R",IF(OR(B3371="16",B3371="21",B3371="22",B3371="23"),"16212223",IF(OR(B3371="15",B3371="17",B3371="24",B3371="25"),"15172425",B3371))),IF(U3371="CEBAS","UNICO",IF(VALUE(B3371)&lt;=11,"AMBA","INTERIOR"))))</f>
        <v>R15172425</v>
      </c>
      <c r="W3371" s="38" t="str">
        <f>+IF(U3371="","-",CONCATENATE(U3371,"_",V3371))</f>
        <v>FINES_R15172425</v>
      </c>
      <c r="X3371" s="42">
        <v>0.19600000000000001</v>
      </c>
    </row>
    <row r="3372" spans="1:24">
      <c r="A3372" s="21" t="s">
        <v>5100</v>
      </c>
      <c r="B3372" t="s">
        <v>516</v>
      </c>
      <c r="C3372" t="s">
        <v>1348</v>
      </c>
      <c r="D3372" t="s">
        <v>1349</v>
      </c>
      <c r="E3372" s="7" t="s">
        <v>198</v>
      </c>
      <c r="F3372" s="7" t="s">
        <v>198</v>
      </c>
      <c r="G3372" s="7" t="s">
        <v>198</v>
      </c>
      <c r="H3372" s="7" t="s">
        <v>20</v>
      </c>
      <c r="I3372" s="7" t="s">
        <v>5102</v>
      </c>
      <c r="J3372" s="7" t="s">
        <v>21</v>
      </c>
      <c r="L3372" t="s">
        <v>5052</v>
      </c>
      <c r="M3372" s="7" t="s">
        <v>22</v>
      </c>
      <c r="N3372" s="7" t="s">
        <v>23</v>
      </c>
      <c r="O3372" s="7" t="s">
        <v>27</v>
      </c>
      <c r="P3372" s="7" t="s">
        <v>5101</v>
      </c>
      <c r="Q3372" s="26">
        <v>18</v>
      </c>
      <c r="R3372" s="26">
        <v>1</v>
      </c>
      <c r="S3372" s="40">
        <v>1</v>
      </c>
      <c r="T3372" s="7"/>
      <c r="U3372" s="7" t="s">
        <v>2951</v>
      </c>
      <c r="V3372" s="7" t="str">
        <f>+IF(U3372="","",IF(U3372="FINES",CONCATENATE("R",IF(OR(B3372="16",B3372="21",B3372="22",B3372="23"),"16212223",IF(OR(B3372="15",B3372="17",B3372="24",B3372="25"),"15172425",B3372))),IF(U3372="CEBAS","UNICO",IF(VALUE(B3372)&lt;=11,"AMBA","INTERIOR"))))</f>
        <v>R15172425</v>
      </c>
      <c r="W3372" s="38" t="str">
        <f>+IF(U3372="","-",CONCATENATE(U3372,"_",V3372))</f>
        <v>FINES_R15172425</v>
      </c>
      <c r="X3372" s="42">
        <v>0.19700000000000001</v>
      </c>
    </row>
    <row r="3373" spans="1:24">
      <c r="A3373" s="21" t="s">
        <v>5100</v>
      </c>
      <c r="B3373" t="s">
        <v>516</v>
      </c>
      <c r="C3373" t="s">
        <v>890</v>
      </c>
      <c r="D3373" t="s">
        <v>891</v>
      </c>
      <c r="E3373" s="7" t="s">
        <v>198</v>
      </c>
      <c r="F3373" s="7" t="s">
        <v>198</v>
      </c>
      <c r="G3373" s="7" t="s">
        <v>198</v>
      </c>
      <c r="H3373" s="7" t="s">
        <v>20</v>
      </c>
      <c r="I3373" s="7" t="s">
        <v>5102</v>
      </c>
      <c r="J3373" s="7" t="s">
        <v>21</v>
      </c>
      <c r="L3373" t="s">
        <v>5047</v>
      </c>
      <c r="M3373" s="7" t="s">
        <v>22</v>
      </c>
      <c r="N3373" s="7" t="s">
        <v>23</v>
      </c>
      <c r="O3373" s="7" t="s">
        <v>27</v>
      </c>
      <c r="P3373" s="7" t="s">
        <v>5101</v>
      </c>
      <c r="Q3373" s="26">
        <v>0</v>
      </c>
      <c r="R3373" s="26">
        <v>1</v>
      </c>
      <c r="S3373" s="40">
        <v>1</v>
      </c>
      <c r="T3373" s="7"/>
      <c r="U3373" s="7" t="s">
        <v>2951</v>
      </c>
      <c r="V3373" s="7" t="str">
        <f>+IF(U3373="","",IF(U3373="FINES",CONCATENATE("R",IF(OR(B3373="16",B3373="21",B3373="22",B3373="23"),"16212223",IF(OR(B3373="15",B3373="17",B3373="24",B3373="25"),"15172425",B3373))),IF(U3373="CEBAS","UNICO",IF(VALUE(B3373)&lt;=11,"AMBA","INTERIOR"))))</f>
        <v>R15172425</v>
      </c>
      <c r="W3373" s="38" t="str">
        <f>+IF(U3373="","-",CONCATENATE(U3373,"_",V3373))</f>
        <v>FINES_R15172425</v>
      </c>
      <c r="X3373" s="42">
        <v>0.20200000000000001</v>
      </c>
    </row>
    <row r="3374" spans="1:24">
      <c r="A3374" s="21" t="s">
        <v>5100</v>
      </c>
      <c r="B3374" t="s">
        <v>516</v>
      </c>
      <c r="C3374" t="s">
        <v>889</v>
      </c>
      <c r="D3374" t="s">
        <v>2458</v>
      </c>
      <c r="E3374" s="7" t="s">
        <v>198</v>
      </c>
      <c r="F3374" s="7" t="s">
        <v>198</v>
      </c>
      <c r="G3374" s="7" t="s">
        <v>198</v>
      </c>
      <c r="H3374" s="7" t="s">
        <v>20</v>
      </c>
      <c r="I3374" s="7" t="s">
        <v>5102</v>
      </c>
      <c r="J3374" s="7" t="s">
        <v>21</v>
      </c>
      <c r="L3374" t="s">
        <v>5043</v>
      </c>
      <c r="M3374" s="7" t="s">
        <v>22</v>
      </c>
      <c r="N3374" s="7" t="s">
        <v>23</v>
      </c>
      <c r="O3374" s="7" t="s">
        <v>27</v>
      </c>
      <c r="P3374" s="7" t="s">
        <v>5101</v>
      </c>
      <c r="Q3374" s="26">
        <v>22</v>
      </c>
      <c r="R3374" s="26">
        <v>1</v>
      </c>
      <c r="S3374" s="40">
        <v>1</v>
      </c>
      <c r="T3374" s="7"/>
      <c r="U3374" s="7" t="s">
        <v>2951</v>
      </c>
      <c r="V3374" s="7" t="str">
        <f>+IF(U3374="","",IF(U3374="FINES",CONCATENATE("R",IF(OR(B3374="16",B3374="21",B3374="22",B3374="23"),"16212223",IF(OR(B3374="15",B3374="17",B3374="24",B3374="25"),"15172425",B3374))),IF(U3374="CEBAS","UNICO",IF(VALUE(B3374)&lt;=11,"AMBA","INTERIOR"))))</f>
        <v>R15172425</v>
      </c>
      <c r="W3374" s="38" t="str">
        <f>+IF(U3374="","-",CONCATENATE(U3374,"_",V3374))</f>
        <v>FINES_R15172425</v>
      </c>
      <c r="X3374" s="42">
        <v>0.217</v>
      </c>
    </row>
    <row r="3375" spans="1:24">
      <c r="A3375" s="21" t="s">
        <v>5100</v>
      </c>
      <c r="B3375" t="s">
        <v>206</v>
      </c>
      <c r="C3375" t="s">
        <v>739</v>
      </c>
      <c r="D3375" t="s">
        <v>740</v>
      </c>
      <c r="E3375" s="7" t="s">
        <v>198</v>
      </c>
      <c r="F3375" s="7" t="s">
        <v>198</v>
      </c>
      <c r="G3375" s="7" t="s">
        <v>198</v>
      </c>
      <c r="H3375" s="7" t="s">
        <v>20</v>
      </c>
      <c r="I3375" s="7" t="s">
        <v>5102</v>
      </c>
      <c r="J3375" s="7" t="s">
        <v>21</v>
      </c>
      <c r="L3375" t="s">
        <v>4681</v>
      </c>
      <c r="M3375" s="7" t="s">
        <v>22</v>
      </c>
      <c r="N3375" s="7" t="s">
        <v>23</v>
      </c>
      <c r="O3375" s="7" t="s">
        <v>27</v>
      </c>
      <c r="P3375" s="7" t="s">
        <v>5101</v>
      </c>
      <c r="Q3375" s="26">
        <v>0</v>
      </c>
      <c r="R3375" s="26">
        <v>1</v>
      </c>
      <c r="S3375" s="40">
        <v>1</v>
      </c>
      <c r="T3375" s="7"/>
      <c r="U3375" s="7" t="s">
        <v>2951</v>
      </c>
      <c r="V3375" s="7" t="str">
        <f>+IF(U3375="","",IF(U3375="FINES",CONCATENATE("R",IF(OR(B3375="16",B3375="21",B3375="22",B3375="23"),"16212223",IF(OR(B3375="15",B3375="17",B3375="24",B3375="25"),"15172425",B3375))),IF(U3375="CEBAS","UNICO",IF(VALUE(B3375)&lt;=11,"AMBA","INTERIOR"))))</f>
        <v>R15172425</v>
      </c>
      <c r="W3375" s="38" t="str">
        <f>+IF(U3375="","-",CONCATENATE(U3375,"_",V3375))</f>
        <v>FINES_R15172425</v>
      </c>
      <c r="X3375" s="42">
        <v>0.218</v>
      </c>
    </row>
    <row r="3376" spans="1:24">
      <c r="A3376" s="21" t="s">
        <v>5100</v>
      </c>
      <c r="B3376" t="s">
        <v>221</v>
      </c>
      <c r="C3376" t="s">
        <v>558</v>
      </c>
      <c r="D3376" t="s">
        <v>1960</v>
      </c>
      <c r="E3376" s="7" t="s">
        <v>198</v>
      </c>
      <c r="F3376" s="7" t="s">
        <v>198</v>
      </c>
      <c r="G3376" s="7" t="s">
        <v>198</v>
      </c>
      <c r="H3376" s="7" t="s">
        <v>20</v>
      </c>
      <c r="I3376" s="7" t="s">
        <v>5102</v>
      </c>
      <c r="J3376" s="7" t="s">
        <v>21</v>
      </c>
      <c r="L3376" t="s">
        <v>5095</v>
      </c>
      <c r="M3376" s="7" t="s">
        <v>22</v>
      </c>
      <c r="N3376" s="7" t="s">
        <v>23</v>
      </c>
      <c r="O3376" s="7" t="s">
        <v>27</v>
      </c>
      <c r="P3376" s="7" t="s">
        <v>5101</v>
      </c>
      <c r="Q3376" s="26">
        <v>8</v>
      </c>
      <c r="R3376" s="26">
        <v>1</v>
      </c>
      <c r="S3376" s="40">
        <v>1</v>
      </c>
      <c r="T3376" s="7"/>
      <c r="U3376" s="7" t="s">
        <v>2951</v>
      </c>
      <c r="V3376" s="7" t="str">
        <f>+IF(U3376="","",IF(U3376="FINES",CONCATENATE("R",IF(OR(B3376="16",B3376="21",B3376="22",B3376="23"),"16212223",IF(OR(B3376="15",B3376="17",B3376="24",B3376="25"),"15172425",B3376))),IF(U3376="CEBAS","UNICO",IF(VALUE(B3376)&lt;=11,"AMBA","INTERIOR"))))</f>
        <v>R15172425</v>
      </c>
      <c r="W3376" s="38" t="str">
        <f>+IF(U3376="","-",CONCATENATE(U3376,"_",V3376))</f>
        <v>FINES_R15172425</v>
      </c>
      <c r="X3376" s="42">
        <v>0.22600000000000001</v>
      </c>
    </row>
    <row r="3377" spans="1:24">
      <c r="A3377" s="21" t="s">
        <v>5100</v>
      </c>
      <c r="B3377" t="s">
        <v>206</v>
      </c>
      <c r="C3377" t="s">
        <v>1850</v>
      </c>
      <c r="D3377" t="s">
        <v>1851</v>
      </c>
      <c r="E3377" s="7" t="s">
        <v>198</v>
      </c>
      <c r="F3377" s="7" t="s">
        <v>198</v>
      </c>
      <c r="G3377" s="7" t="s">
        <v>198</v>
      </c>
      <c r="H3377" s="7" t="s">
        <v>20</v>
      </c>
      <c r="I3377" s="7" t="s">
        <v>5102</v>
      </c>
      <c r="J3377" s="7" t="s">
        <v>21</v>
      </c>
      <c r="L3377" t="s">
        <v>4692</v>
      </c>
      <c r="M3377" s="7" t="s">
        <v>22</v>
      </c>
      <c r="N3377" s="7" t="s">
        <v>23</v>
      </c>
      <c r="O3377" s="7" t="s">
        <v>27</v>
      </c>
      <c r="P3377" s="7" t="s">
        <v>5101</v>
      </c>
      <c r="Q3377" s="26">
        <v>26</v>
      </c>
      <c r="R3377" s="26">
        <v>2</v>
      </c>
      <c r="S3377" s="40">
        <v>1</v>
      </c>
      <c r="T3377" s="7"/>
      <c r="U3377" s="7" t="s">
        <v>2951</v>
      </c>
      <c r="V3377" s="7" t="str">
        <f>+IF(U3377="","",IF(U3377="FINES",CONCATENATE("R",IF(OR(B3377="16",B3377="21",B3377="22",B3377="23"),"16212223",IF(OR(B3377="15",B3377="17",B3377="24",B3377="25"),"15172425",B3377))),IF(U3377="CEBAS","UNICO",IF(VALUE(B3377)&lt;=11,"AMBA","INTERIOR"))))</f>
        <v>R15172425</v>
      </c>
      <c r="W3377" s="38" t="str">
        <f>+IF(U3377="","-",CONCATENATE(U3377,"_",V3377))</f>
        <v>FINES_R15172425</v>
      </c>
      <c r="X3377" s="42">
        <v>0.23400000000000001</v>
      </c>
    </row>
    <row r="3378" spans="1:24">
      <c r="A3378" s="21" t="s">
        <v>5100</v>
      </c>
      <c r="B3378" t="s">
        <v>221</v>
      </c>
      <c r="C3378" t="s">
        <v>230</v>
      </c>
      <c r="D3378" t="s">
        <v>432</v>
      </c>
      <c r="E3378" s="7" t="s">
        <v>198</v>
      </c>
      <c r="F3378" s="7" t="s">
        <v>198</v>
      </c>
      <c r="G3378" s="7" t="s">
        <v>198</v>
      </c>
      <c r="H3378" s="7" t="s">
        <v>20</v>
      </c>
      <c r="I3378" s="7" t="s">
        <v>5102</v>
      </c>
      <c r="J3378" s="7" t="s">
        <v>21</v>
      </c>
      <c r="L3378" t="s">
        <v>5067</v>
      </c>
      <c r="M3378" s="7" t="s">
        <v>22</v>
      </c>
      <c r="N3378" s="7" t="s">
        <v>23</v>
      </c>
      <c r="O3378" s="7" t="s">
        <v>27</v>
      </c>
      <c r="P3378" s="7" t="s">
        <v>5101</v>
      </c>
      <c r="Q3378" s="26">
        <v>58</v>
      </c>
      <c r="R3378" s="26">
        <v>2</v>
      </c>
      <c r="S3378" s="40">
        <v>1</v>
      </c>
      <c r="T3378" s="7"/>
      <c r="U3378" s="7" t="s">
        <v>2951</v>
      </c>
      <c r="V3378" s="7" t="str">
        <f>+IF(U3378="","",IF(U3378="FINES",CONCATENATE("R",IF(OR(B3378="16",B3378="21",B3378="22",B3378="23"),"16212223",IF(OR(B3378="15",B3378="17",B3378="24",B3378="25"),"15172425",B3378))),IF(U3378="CEBAS","UNICO",IF(VALUE(B3378)&lt;=11,"AMBA","INTERIOR"))))</f>
        <v>R15172425</v>
      </c>
      <c r="W3378" s="38" t="str">
        <f>+IF(U3378="","-",CONCATENATE(U3378,"_",V3378))</f>
        <v>FINES_R15172425</v>
      </c>
      <c r="X3378" s="42">
        <v>0.252</v>
      </c>
    </row>
    <row r="3379" spans="1:24">
      <c r="A3379" s="21" t="s">
        <v>5100</v>
      </c>
      <c r="B3379" t="s">
        <v>205</v>
      </c>
      <c r="C3379" t="s">
        <v>654</v>
      </c>
      <c r="D3379" t="s">
        <v>655</v>
      </c>
      <c r="E3379" s="7" t="s">
        <v>198</v>
      </c>
      <c r="F3379" s="7" t="s">
        <v>198</v>
      </c>
      <c r="G3379" s="7" t="s">
        <v>198</v>
      </c>
      <c r="H3379" s="7" t="s">
        <v>20</v>
      </c>
      <c r="I3379" s="7" t="s">
        <v>5102</v>
      </c>
      <c r="J3379" s="7" t="s">
        <v>21</v>
      </c>
      <c r="L3379" t="s">
        <v>4641</v>
      </c>
      <c r="M3379" s="7" t="s">
        <v>22</v>
      </c>
      <c r="N3379" s="7" t="s">
        <v>23</v>
      </c>
      <c r="O3379" s="7" t="s">
        <v>27</v>
      </c>
      <c r="P3379" s="7" t="s">
        <v>5101</v>
      </c>
      <c r="Q3379" s="26">
        <v>6</v>
      </c>
      <c r="R3379" s="26">
        <v>1</v>
      </c>
      <c r="S3379" s="40">
        <v>1</v>
      </c>
      <c r="T3379" s="7"/>
      <c r="U3379" s="7" t="s">
        <v>2951</v>
      </c>
      <c r="V3379" s="7" t="str">
        <f>+IF(U3379="","",IF(U3379="FINES",CONCATENATE("R",IF(OR(B3379="16",B3379="21",B3379="22",B3379="23"),"16212223",IF(OR(B3379="15",B3379="17",B3379="24",B3379="25"),"15172425",B3379))),IF(U3379="CEBAS","UNICO",IF(VALUE(B3379)&lt;=11,"AMBA","INTERIOR"))))</f>
        <v>R15172425</v>
      </c>
      <c r="W3379" s="38" t="str">
        <f>+IF(U3379="","-",CONCATENATE(U3379,"_",V3379))</f>
        <v>FINES_R15172425</v>
      </c>
      <c r="X3379" s="42">
        <v>0.27300000000000002</v>
      </c>
    </row>
    <row r="3380" spans="1:24">
      <c r="A3380" s="21" t="s">
        <v>5100</v>
      </c>
      <c r="B3380" t="s">
        <v>516</v>
      </c>
      <c r="C3380" t="s">
        <v>889</v>
      </c>
      <c r="D3380" t="s">
        <v>2458</v>
      </c>
      <c r="E3380" s="7" t="s">
        <v>198</v>
      </c>
      <c r="F3380" s="7" t="s">
        <v>198</v>
      </c>
      <c r="G3380" s="7" t="s">
        <v>198</v>
      </c>
      <c r="H3380" s="7" t="s">
        <v>20</v>
      </c>
      <c r="I3380" s="7" t="s">
        <v>5102</v>
      </c>
      <c r="J3380" s="7" t="s">
        <v>21</v>
      </c>
      <c r="L3380" t="s">
        <v>5046</v>
      </c>
      <c r="M3380" s="7" t="s">
        <v>22</v>
      </c>
      <c r="N3380" s="7" t="s">
        <v>23</v>
      </c>
      <c r="O3380" s="7" t="s">
        <v>27</v>
      </c>
      <c r="P3380" s="7" t="s">
        <v>5101</v>
      </c>
      <c r="Q3380" s="26">
        <v>14</v>
      </c>
      <c r="R3380" s="26">
        <v>1</v>
      </c>
      <c r="S3380" s="40">
        <v>1</v>
      </c>
      <c r="T3380" s="7"/>
      <c r="U3380" s="7" t="s">
        <v>2951</v>
      </c>
      <c r="V3380" s="7" t="str">
        <f>+IF(U3380="","",IF(U3380="FINES",CONCATENATE("R",IF(OR(B3380="16",B3380="21",B3380="22",B3380="23"),"16212223",IF(OR(B3380="15",B3380="17",B3380="24",B3380="25"),"15172425",B3380))),IF(U3380="CEBAS","UNICO",IF(VALUE(B3380)&lt;=11,"AMBA","INTERIOR"))))</f>
        <v>R15172425</v>
      </c>
      <c r="W3380" s="38" t="str">
        <f>+IF(U3380="","-",CONCATENATE(U3380,"_",V3380))</f>
        <v>FINES_R15172425</v>
      </c>
      <c r="X3380" s="42">
        <v>0.29199999999999998</v>
      </c>
    </row>
    <row r="3381" spans="1:24">
      <c r="A3381" s="21" t="s">
        <v>5100</v>
      </c>
      <c r="B3381" t="s">
        <v>205</v>
      </c>
      <c r="C3381" t="s">
        <v>2002</v>
      </c>
      <c r="D3381" t="s">
        <v>2003</v>
      </c>
      <c r="E3381" s="7" t="s">
        <v>198</v>
      </c>
      <c r="F3381" s="7" t="s">
        <v>198</v>
      </c>
      <c r="G3381" s="7" t="s">
        <v>198</v>
      </c>
      <c r="H3381" s="7" t="s">
        <v>20</v>
      </c>
      <c r="I3381" s="7" t="s">
        <v>5102</v>
      </c>
      <c r="J3381" s="7" t="s">
        <v>21</v>
      </c>
      <c r="L3381" t="s">
        <v>4652</v>
      </c>
      <c r="M3381" s="7" t="s">
        <v>22</v>
      </c>
      <c r="N3381" s="7" t="s">
        <v>23</v>
      </c>
      <c r="O3381" s="7" t="s">
        <v>27</v>
      </c>
      <c r="P3381" s="7" t="s">
        <v>5101</v>
      </c>
      <c r="Q3381" s="26">
        <v>6</v>
      </c>
      <c r="R3381" s="26">
        <v>1</v>
      </c>
      <c r="S3381" s="40">
        <v>1</v>
      </c>
      <c r="T3381" s="7"/>
      <c r="U3381" s="7" t="s">
        <v>2951</v>
      </c>
      <c r="V3381" s="7" t="str">
        <f>+IF(U3381="","",IF(U3381="FINES",CONCATENATE("R",IF(OR(B3381="16",B3381="21",B3381="22",B3381="23"),"16212223",IF(OR(B3381="15",B3381="17",B3381="24",B3381="25"),"15172425",B3381))),IF(U3381="CEBAS","UNICO",IF(VALUE(B3381)&lt;=11,"AMBA","INTERIOR"))))</f>
        <v>R15172425</v>
      </c>
      <c r="W3381" s="38" t="str">
        <f>+IF(U3381="","-",CONCATENATE(U3381,"_",V3381))</f>
        <v>FINES_R15172425</v>
      </c>
      <c r="X3381" s="42">
        <v>0.30599999999999999</v>
      </c>
    </row>
    <row r="3382" spans="1:24">
      <c r="A3382" s="21" t="s">
        <v>5100</v>
      </c>
      <c r="B3382" t="s">
        <v>206</v>
      </c>
      <c r="C3382" t="s">
        <v>739</v>
      </c>
      <c r="D3382" t="s">
        <v>740</v>
      </c>
      <c r="E3382" s="7" t="s">
        <v>198</v>
      </c>
      <c r="F3382" s="7" t="s">
        <v>198</v>
      </c>
      <c r="G3382" s="7" t="s">
        <v>198</v>
      </c>
      <c r="H3382" s="7" t="s">
        <v>20</v>
      </c>
      <c r="I3382" s="7" t="s">
        <v>5102</v>
      </c>
      <c r="J3382" s="7" t="s">
        <v>21</v>
      </c>
      <c r="L3382" t="s">
        <v>4675</v>
      </c>
      <c r="M3382" s="7" t="s">
        <v>22</v>
      </c>
      <c r="N3382" s="7" t="s">
        <v>23</v>
      </c>
      <c r="O3382" s="7" t="s">
        <v>27</v>
      </c>
      <c r="P3382" s="7" t="s">
        <v>5101</v>
      </c>
      <c r="Q3382" s="26">
        <v>0</v>
      </c>
      <c r="R3382" s="26">
        <v>1</v>
      </c>
      <c r="S3382" s="40">
        <v>1</v>
      </c>
      <c r="T3382" s="7"/>
      <c r="U3382" s="7" t="s">
        <v>2951</v>
      </c>
      <c r="V3382" s="7" t="str">
        <f>+IF(U3382="","",IF(U3382="FINES",CONCATENATE("R",IF(OR(B3382="16",B3382="21",B3382="22",B3382="23"),"16212223",IF(OR(B3382="15",B3382="17",B3382="24",B3382="25"),"15172425",B3382))),IF(U3382="CEBAS","UNICO",IF(VALUE(B3382)&lt;=11,"AMBA","INTERIOR"))))</f>
        <v>R15172425</v>
      </c>
      <c r="W3382" s="38" t="str">
        <f>+IF(U3382="","-",CONCATENATE(U3382,"_",V3382))</f>
        <v>FINES_R15172425</v>
      </c>
      <c r="X3382" s="42">
        <v>0.30599999999999999</v>
      </c>
    </row>
    <row r="3383" spans="1:24">
      <c r="A3383" s="21" t="s">
        <v>5100</v>
      </c>
      <c r="B3383" t="s">
        <v>205</v>
      </c>
      <c r="C3383" t="s">
        <v>228</v>
      </c>
      <c r="D3383" t="s">
        <v>2658</v>
      </c>
      <c r="E3383" s="7" t="s">
        <v>198</v>
      </c>
      <c r="F3383" s="7" t="s">
        <v>198</v>
      </c>
      <c r="G3383" s="7" t="s">
        <v>198</v>
      </c>
      <c r="H3383" s="7" t="s">
        <v>20</v>
      </c>
      <c r="I3383" s="7" t="s">
        <v>5102</v>
      </c>
      <c r="J3383" s="7" t="s">
        <v>21</v>
      </c>
      <c r="L3383" t="s">
        <v>4648</v>
      </c>
      <c r="M3383" s="7" t="s">
        <v>22</v>
      </c>
      <c r="N3383" s="7" t="s">
        <v>23</v>
      </c>
      <c r="O3383" s="7" t="s">
        <v>27</v>
      </c>
      <c r="P3383" s="7" t="s">
        <v>5101</v>
      </c>
      <c r="Q3383" s="26">
        <v>5</v>
      </c>
      <c r="R3383" s="26">
        <v>1</v>
      </c>
      <c r="S3383" s="40">
        <v>1</v>
      </c>
      <c r="T3383" s="7"/>
      <c r="U3383" s="7" t="s">
        <v>2951</v>
      </c>
      <c r="V3383" s="7" t="str">
        <f>+IF(U3383="","",IF(U3383="FINES",CONCATENATE("R",IF(OR(B3383="16",B3383="21",B3383="22",B3383="23"),"16212223",IF(OR(B3383="15",B3383="17",B3383="24",B3383="25"),"15172425",B3383))),IF(U3383="CEBAS","UNICO",IF(VALUE(B3383)&lt;=11,"AMBA","INTERIOR"))))</f>
        <v>R15172425</v>
      </c>
      <c r="W3383" s="38" t="str">
        <f>+IF(U3383="","-",CONCATENATE(U3383,"_",V3383))</f>
        <v>FINES_R15172425</v>
      </c>
      <c r="X3383" s="42">
        <v>0.318</v>
      </c>
    </row>
    <row r="3384" spans="1:24">
      <c r="A3384" s="21" t="s">
        <v>5100</v>
      </c>
      <c r="B3384" t="s">
        <v>221</v>
      </c>
      <c r="C3384" t="s">
        <v>558</v>
      </c>
      <c r="D3384" t="s">
        <v>1960</v>
      </c>
      <c r="E3384" s="7" t="s">
        <v>198</v>
      </c>
      <c r="F3384" s="7" t="s">
        <v>198</v>
      </c>
      <c r="G3384" s="7" t="s">
        <v>198</v>
      </c>
      <c r="H3384" s="7" t="s">
        <v>20</v>
      </c>
      <c r="I3384" s="7" t="s">
        <v>5102</v>
      </c>
      <c r="J3384" s="7" t="s">
        <v>21</v>
      </c>
      <c r="L3384" t="s">
        <v>5089</v>
      </c>
      <c r="M3384" s="7" t="s">
        <v>22</v>
      </c>
      <c r="N3384" s="7" t="s">
        <v>23</v>
      </c>
      <c r="O3384" s="7" t="s">
        <v>27</v>
      </c>
      <c r="P3384" s="7" t="s">
        <v>5101</v>
      </c>
      <c r="Q3384" s="26">
        <v>31</v>
      </c>
      <c r="R3384" s="26">
        <v>1</v>
      </c>
      <c r="S3384" s="40">
        <v>1</v>
      </c>
      <c r="T3384" s="7"/>
      <c r="U3384" s="7" t="s">
        <v>2951</v>
      </c>
      <c r="V3384" s="7" t="str">
        <f>+IF(U3384="","",IF(U3384="FINES",CONCATENATE("R",IF(OR(B3384="16",B3384="21",B3384="22",B3384="23"),"16212223",IF(OR(B3384="15",B3384="17",B3384="24",B3384="25"),"15172425",B3384))),IF(U3384="CEBAS","UNICO",IF(VALUE(B3384)&lt;=11,"AMBA","INTERIOR"))))</f>
        <v>R15172425</v>
      </c>
      <c r="W3384" s="38" t="str">
        <f>+IF(U3384="","-",CONCATENATE(U3384,"_",V3384))</f>
        <v>FINES_R15172425</v>
      </c>
      <c r="X3384" s="42">
        <v>0.32300000000000001</v>
      </c>
    </row>
    <row r="3385" spans="1:24">
      <c r="A3385" s="21" t="s">
        <v>5100</v>
      </c>
      <c r="B3385" t="s">
        <v>205</v>
      </c>
      <c r="C3385" t="s">
        <v>1946</v>
      </c>
      <c r="D3385" t="s">
        <v>1947</v>
      </c>
      <c r="E3385" s="7" t="s">
        <v>198</v>
      </c>
      <c r="F3385" s="7" t="s">
        <v>198</v>
      </c>
      <c r="G3385" s="7" t="s">
        <v>198</v>
      </c>
      <c r="H3385" s="7" t="s">
        <v>20</v>
      </c>
      <c r="I3385" s="7" t="s">
        <v>5102</v>
      </c>
      <c r="J3385" s="7" t="s">
        <v>21</v>
      </c>
      <c r="L3385" t="s">
        <v>4625</v>
      </c>
      <c r="M3385" s="7" t="s">
        <v>22</v>
      </c>
      <c r="N3385" s="7" t="s">
        <v>23</v>
      </c>
      <c r="O3385" s="7" t="s">
        <v>27</v>
      </c>
      <c r="P3385" s="7" t="s">
        <v>5101</v>
      </c>
      <c r="Q3385" s="26">
        <v>7</v>
      </c>
      <c r="R3385" s="26">
        <v>1</v>
      </c>
      <c r="S3385" s="40">
        <v>1</v>
      </c>
      <c r="T3385" s="7"/>
      <c r="U3385" s="7" t="s">
        <v>2951</v>
      </c>
      <c r="V3385" s="7" t="str">
        <f>+IF(U3385="","",IF(U3385="FINES",CONCATENATE("R",IF(OR(B3385="16",B3385="21",B3385="22",B3385="23"),"16212223",IF(OR(B3385="15",B3385="17",B3385="24",B3385="25"),"15172425",B3385))),IF(U3385="CEBAS","UNICO",IF(VALUE(B3385)&lt;=11,"AMBA","INTERIOR"))))</f>
        <v>R15172425</v>
      </c>
      <c r="W3385" s="38" t="str">
        <f>+IF(U3385="","-",CONCATENATE(U3385,"_",V3385))</f>
        <v>FINES_R15172425</v>
      </c>
      <c r="X3385" s="42">
        <v>0.32400000000000001</v>
      </c>
    </row>
    <row r="3386" spans="1:24">
      <c r="A3386" s="21" t="s">
        <v>5100</v>
      </c>
      <c r="B3386" t="s">
        <v>205</v>
      </c>
      <c r="C3386" t="s">
        <v>1946</v>
      </c>
      <c r="D3386" t="s">
        <v>1947</v>
      </c>
      <c r="E3386" s="7" t="s">
        <v>198</v>
      </c>
      <c r="F3386" s="7" t="s">
        <v>198</v>
      </c>
      <c r="G3386" s="7" t="s">
        <v>198</v>
      </c>
      <c r="H3386" s="7" t="s">
        <v>20</v>
      </c>
      <c r="I3386" s="7" t="s">
        <v>5102</v>
      </c>
      <c r="J3386" s="7" t="s">
        <v>21</v>
      </c>
      <c r="L3386" t="s">
        <v>4628</v>
      </c>
      <c r="M3386" s="7" t="s">
        <v>22</v>
      </c>
      <c r="N3386" s="7" t="s">
        <v>23</v>
      </c>
      <c r="O3386" s="7" t="s">
        <v>27</v>
      </c>
      <c r="P3386" s="7" t="s">
        <v>5101</v>
      </c>
      <c r="Q3386" s="26">
        <v>21</v>
      </c>
      <c r="R3386" s="26">
        <v>1</v>
      </c>
      <c r="S3386" s="40">
        <v>1</v>
      </c>
      <c r="T3386" s="7"/>
      <c r="U3386" s="7" t="s">
        <v>2951</v>
      </c>
      <c r="V3386" s="7" t="str">
        <f>+IF(U3386="","",IF(U3386="FINES",CONCATENATE("R",IF(OR(B3386="16",B3386="21",B3386="22",B3386="23"),"16212223",IF(OR(B3386="15",B3386="17",B3386="24",B3386="25"),"15172425",B3386))),IF(U3386="CEBAS","UNICO",IF(VALUE(B3386)&lt;=11,"AMBA","INTERIOR"))))</f>
        <v>R15172425</v>
      </c>
      <c r="W3386" s="38" t="str">
        <f>+IF(U3386="","-",CONCATENATE(U3386,"_",V3386))</f>
        <v>FINES_R15172425</v>
      </c>
      <c r="X3386" s="42">
        <v>0.33400000000000002</v>
      </c>
    </row>
    <row r="3387" spans="1:24">
      <c r="A3387" s="21" t="s">
        <v>5100</v>
      </c>
      <c r="B3387" t="s">
        <v>206</v>
      </c>
      <c r="C3387" t="s">
        <v>1850</v>
      </c>
      <c r="D3387" t="s">
        <v>1851</v>
      </c>
      <c r="E3387" s="7" t="s">
        <v>198</v>
      </c>
      <c r="F3387" s="7" t="s">
        <v>198</v>
      </c>
      <c r="G3387" s="7" t="s">
        <v>198</v>
      </c>
      <c r="H3387" s="7" t="s">
        <v>20</v>
      </c>
      <c r="I3387" s="7" t="s">
        <v>5102</v>
      </c>
      <c r="J3387" s="7" t="s">
        <v>21</v>
      </c>
      <c r="L3387" t="s">
        <v>4696</v>
      </c>
      <c r="M3387" s="7" t="s">
        <v>22</v>
      </c>
      <c r="N3387" s="7" t="s">
        <v>23</v>
      </c>
      <c r="O3387" s="7" t="s">
        <v>27</v>
      </c>
      <c r="P3387" s="7" t="s">
        <v>5101</v>
      </c>
      <c r="Q3387" s="26">
        <v>8</v>
      </c>
      <c r="R3387" s="26">
        <v>1</v>
      </c>
      <c r="S3387" s="40">
        <v>1</v>
      </c>
      <c r="T3387" s="7"/>
      <c r="U3387" s="7" t="s">
        <v>2951</v>
      </c>
      <c r="V3387" s="7" t="str">
        <f>+IF(U3387="","",IF(U3387="FINES",CONCATENATE("R",IF(OR(B3387="16",B3387="21",B3387="22",B3387="23"),"16212223",IF(OR(B3387="15",B3387="17",B3387="24",B3387="25"),"15172425",B3387))),IF(U3387="CEBAS","UNICO",IF(VALUE(B3387)&lt;=11,"AMBA","INTERIOR"))))</f>
        <v>R15172425</v>
      </c>
      <c r="W3387" s="38" t="str">
        <f>+IF(U3387="","-",CONCATENATE(U3387,"_",V3387))</f>
        <v>FINES_R15172425</v>
      </c>
      <c r="X3387" s="42">
        <v>0.33600000000000002</v>
      </c>
    </row>
    <row r="3388" spans="1:24">
      <c r="A3388" s="21" t="s">
        <v>5100</v>
      </c>
      <c r="B3388" t="s">
        <v>221</v>
      </c>
      <c r="C3388" t="s">
        <v>737</v>
      </c>
      <c r="D3388" t="s">
        <v>2422</v>
      </c>
      <c r="E3388" s="7" t="s">
        <v>198</v>
      </c>
      <c r="F3388" s="7" t="s">
        <v>198</v>
      </c>
      <c r="G3388" s="7" t="s">
        <v>198</v>
      </c>
      <c r="H3388" s="7" t="s">
        <v>20</v>
      </c>
      <c r="I3388" s="7" t="s">
        <v>5102</v>
      </c>
      <c r="J3388" s="7" t="s">
        <v>21</v>
      </c>
      <c r="L3388" t="s">
        <v>3926</v>
      </c>
      <c r="M3388" s="7" t="s">
        <v>22</v>
      </c>
      <c r="N3388" s="7" t="s">
        <v>23</v>
      </c>
      <c r="O3388" s="7" t="s">
        <v>27</v>
      </c>
      <c r="P3388" s="7" t="s">
        <v>5101</v>
      </c>
      <c r="Q3388" s="26">
        <v>25</v>
      </c>
      <c r="R3388" s="26">
        <v>2</v>
      </c>
      <c r="S3388" s="40">
        <v>1</v>
      </c>
      <c r="T3388" s="7"/>
      <c r="U3388" s="7" t="s">
        <v>2951</v>
      </c>
      <c r="V3388" s="7" t="str">
        <f>+IF(U3388="","",IF(U3388="FINES",CONCATENATE("R",IF(OR(B3388="16",B3388="21",B3388="22",B3388="23"),"16212223",IF(OR(B3388="15",B3388="17",B3388="24",B3388="25"),"15172425",B3388))),IF(U3388="CEBAS","UNICO",IF(VALUE(B3388)&lt;=11,"AMBA","INTERIOR"))))</f>
        <v>R15172425</v>
      </c>
      <c r="W3388" s="38" t="str">
        <f>+IF(U3388="","-",CONCATENATE(U3388,"_",V3388))</f>
        <v>FINES_R15172425</v>
      </c>
      <c r="X3388" s="42">
        <v>0.34</v>
      </c>
    </row>
    <row r="3389" spans="1:24">
      <c r="A3389" s="21" t="s">
        <v>5100</v>
      </c>
      <c r="B3389" t="s">
        <v>205</v>
      </c>
      <c r="C3389" t="s">
        <v>243</v>
      </c>
      <c r="D3389" t="s">
        <v>245</v>
      </c>
      <c r="E3389" s="7" t="s">
        <v>198</v>
      </c>
      <c r="F3389" s="7" t="s">
        <v>198</v>
      </c>
      <c r="G3389" s="7" t="s">
        <v>198</v>
      </c>
      <c r="H3389" s="7" t="s">
        <v>20</v>
      </c>
      <c r="I3389" s="7" t="s">
        <v>5102</v>
      </c>
      <c r="J3389" s="7" t="s">
        <v>21</v>
      </c>
      <c r="L3389" t="s">
        <v>4632</v>
      </c>
      <c r="M3389" s="7" t="s">
        <v>22</v>
      </c>
      <c r="N3389" s="7" t="s">
        <v>23</v>
      </c>
      <c r="O3389" s="7" t="s">
        <v>27</v>
      </c>
      <c r="P3389" s="7" t="s">
        <v>5101</v>
      </c>
      <c r="Q3389" s="26">
        <v>15</v>
      </c>
      <c r="R3389" s="26">
        <v>1</v>
      </c>
      <c r="S3389" s="40">
        <v>1</v>
      </c>
      <c r="T3389" s="7"/>
      <c r="U3389" s="7" t="s">
        <v>2951</v>
      </c>
      <c r="V3389" s="7" t="str">
        <f>+IF(U3389="","",IF(U3389="FINES",CONCATENATE("R",IF(OR(B3389="16",B3389="21",B3389="22",B3389="23"),"16212223",IF(OR(B3389="15",B3389="17",B3389="24",B3389="25"),"15172425",B3389))),IF(U3389="CEBAS","UNICO",IF(VALUE(B3389)&lt;=11,"AMBA","INTERIOR"))))</f>
        <v>R15172425</v>
      </c>
      <c r="W3389" s="38" t="str">
        <f>+IF(U3389="","-",CONCATENATE(U3389,"_",V3389))</f>
        <v>FINES_R15172425</v>
      </c>
      <c r="X3389" s="42">
        <v>0.34300000000000003</v>
      </c>
    </row>
    <row r="3390" spans="1:24">
      <c r="A3390" s="21" t="s">
        <v>5100</v>
      </c>
      <c r="B3390" t="s">
        <v>206</v>
      </c>
      <c r="C3390" t="s">
        <v>739</v>
      </c>
      <c r="D3390" t="s">
        <v>740</v>
      </c>
      <c r="E3390" s="7" t="s">
        <v>198</v>
      </c>
      <c r="F3390" s="7" t="s">
        <v>198</v>
      </c>
      <c r="G3390" s="7" t="s">
        <v>198</v>
      </c>
      <c r="H3390" s="7" t="s">
        <v>20</v>
      </c>
      <c r="I3390" s="7" t="s">
        <v>5102</v>
      </c>
      <c r="J3390" s="7" t="s">
        <v>21</v>
      </c>
      <c r="L3390" t="s">
        <v>4679</v>
      </c>
      <c r="M3390" s="7" t="s">
        <v>22</v>
      </c>
      <c r="N3390" s="7" t="s">
        <v>23</v>
      </c>
      <c r="O3390" s="7" t="s">
        <v>27</v>
      </c>
      <c r="P3390" s="7" t="s">
        <v>5101</v>
      </c>
      <c r="Q3390" s="26">
        <v>0</v>
      </c>
      <c r="R3390" s="26">
        <v>1</v>
      </c>
      <c r="S3390" s="40">
        <v>1</v>
      </c>
      <c r="T3390" s="7"/>
      <c r="U3390" s="7" t="s">
        <v>2951</v>
      </c>
      <c r="V3390" s="7" t="str">
        <f>+IF(U3390="","",IF(U3390="FINES",CONCATENATE("R",IF(OR(B3390="16",B3390="21",B3390="22",B3390="23"),"16212223",IF(OR(B3390="15",B3390="17",B3390="24",B3390="25"),"15172425",B3390))),IF(U3390="CEBAS","UNICO",IF(VALUE(B3390)&lt;=11,"AMBA","INTERIOR"))))</f>
        <v>R15172425</v>
      </c>
      <c r="W3390" s="38" t="str">
        <f>+IF(U3390="","-",CONCATENATE(U3390,"_",V3390))</f>
        <v>FINES_R15172425</v>
      </c>
      <c r="X3390" s="42">
        <v>0.34799999999999998</v>
      </c>
    </row>
    <row r="3391" spans="1:24">
      <c r="A3391" s="21" t="s">
        <v>5100</v>
      </c>
      <c r="B3391" t="s">
        <v>516</v>
      </c>
      <c r="C3391" t="s">
        <v>889</v>
      </c>
      <c r="D3391" t="s">
        <v>2458</v>
      </c>
      <c r="E3391" s="7" t="s">
        <v>198</v>
      </c>
      <c r="F3391" s="7" t="s">
        <v>198</v>
      </c>
      <c r="G3391" s="7" t="s">
        <v>198</v>
      </c>
      <c r="H3391" s="7" t="s">
        <v>20</v>
      </c>
      <c r="I3391" s="7" t="s">
        <v>5102</v>
      </c>
      <c r="J3391" s="7" t="s">
        <v>21</v>
      </c>
      <c r="L3391" t="s">
        <v>5041</v>
      </c>
      <c r="M3391" s="7" t="s">
        <v>22</v>
      </c>
      <c r="N3391" s="7" t="s">
        <v>23</v>
      </c>
      <c r="O3391" s="7" t="s">
        <v>27</v>
      </c>
      <c r="P3391" s="7" t="s">
        <v>5101</v>
      </c>
      <c r="Q3391" s="26">
        <v>14</v>
      </c>
      <c r="R3391" s="26">
        <v>1</v>
      </c>
      <c r="S3391" s="40">
        <v>1</v>
      </c>
      <c r="T3391" s="7"/>
      <c r="U3391" s="7" t="s">
        <v>2951</v>
      </c>
      <c r="V3391" s="7" t="str">
        <f>+IF(U3391="","",IF(U3391="FINES",CONCATENATE("R",IF(OR(B3391="16",B3391="21",B3391="22",B3391="23"),"16212223",IF(OR(B3391="15",B3391="17",B3391="24",B3391="25"),"15172425",B3391))),IF(U3391="CEBAS","UNICO",IF(VALUE(B3391)&lt;=11,"AMBA","INTERIOR"))))</f>
        <v>R15172425</v>
      </c>
      <c r="W3391" s="38" t="str">
        <f>+IF(U3391="","-",CONCATENATE(U3391,"_",V3391))</f>
        <v>FINES_R15172425</v>
      </c>
      <c r="X3391" s="42">
        <v>0.35899999999999999</v>
      </c>
    </row>
    <row r="3392" spans="1:24">
      <c r="A3392" s="21" t="s">
        <v>5100</v>
      </c>
      <c r="B3392" t="s">
        <v>206</v>
      </c>
      <c r="C3392" t="s">
        <v>739</v>
      </c>
      <c r="D3392" t="s">
        <v>740</v>
      </c>
      <c r="E3392" s="7" t="s">
        <v>198</v>
      </c>
      <c r="F3392" s="7" t="s">
        <v>198</v>
      </c>
      <c r="G3392" s="7" t="s">
        <v>198</v>
      </c>
      <c r="H3392" s="7" t="s">
        <v>20</v>
      </c>
      <c r="I3392" s="7" t="s">
        <v>5102</v>
      </c>
      <c r="J3392" s="7" t="s">
        <v>21</v>
      </c>
      <c r="L3392" t="s">
        <v>4677</v>
      </c>
      <c r="M3392" s="7" t="s">
        <v>22</v>
      </c>
      <c r="N3392" s="7" t="s">
        <v>23</v>
      </c>
      <c r="O3392" s="7" t="s">
        <v>27</v>
      </c>
      <c r="P3392" s="7" t="s">
        <v>5101</v>
      </c>
      <c r="Q3392" s="26">
        <v>0</v>
      </c>
      <c r="R3392" s="26">
        <v>1</v>
      </c>
      <c r="S3392" s="40">
        <v>1</v>
      </c>
      <c r="T3392" s="7"/>
      <c r="U3392" s="7" t="s">
        <v>2951</v>
      </c>
      <c r="V3392" s="7" t="str">
        <f>+IF(U3392="","",IF(U3392="FINES",CONCATENATE("R",IF(OR(B3392="16",B3392="21",B3392="22",B3392="23"),"16212223",IF(OR(B3392="15",B3392="17",B3392="24",B3392="25"),"15172425",B3392))),IF(U3392="CEBAS","UNICO",IF(VALUE(B3392)&lt;=11,"AMBA","INTERIOR"))))</f>
        <v>R15172425</v>
      </c>
      <c r="W3392" s="38" t="str">
        <f>+IF(U3392="","-",CONCATENATE(U3392,"_",V3392))</f>
        <v>FINES_R15172425</v>
      </c>
      <c r="X3392" s="42">
        <v>0.36899999999999999</v>
      </c>
    </row>
    <row r="3393" spans="1:24">
      <c r="A3393" s="21" t="s">
        <v>5100</v>
      </c>
      <c r="B3393" t="s">
        <v>221</v>
      </c>
      <c r="C3393" t="s">
        <v>558</v>
      </c>
      <c r="D3393" t="s">
        <v>1960</v>
      </c>
      <c r="E3393" s="7" t="s">
        <v>198</v>
      </c>
      <c r="F3393" s="7" t="s">
        <v>198</v>
      </c>
      <c r="G3393" s="7" t="s">
        <v>198</v>
      </c>
      <c r="H3393" s="7" t="s">
        <v>20</v>
      </c>
      <c r="I3393" s="7" t="s">
        <v>5102</v>
      </c>
      <c r="J3393" s="7" t="s">
        <v>21</v>
      </c>
      <c r="L3393" t="s">
        <v>5083</v>
      </c>
      <c r="M3393" s="7" t="s">
        <v>22</v>
      </c>
      <c r="N3393" s="7" t="s">
        <v>23</v>
      </c>
      <c r="O3393" s="7" t="s">
        <v>27</v>
      </c>
      <c r="P3393" s="7" t="s">
        <v>5101</v>
      </c>
      <c r="Q3393" s="26">
        <v>9</v>
      </c>
      <c r="R3393" s="26">
        <v>1</v>
      </c>
      <c r="S3393" s="40">
        <v>1</v>
      </c>
      <c r="T3393" s="7"/>
      <c r="U3393" s="7" t="s">
        <v>2951</v>
      </c>
      <c r="V3393" s="7" t="str">
        <f>+IF(U3393="","",IF(U3393="FINES",CONCATENATE("R",IF(OR(B3393="16",B3393="21",B3393="22",B3393="23"),"16212223",IF(OR(B3393="15",B3393="17",B3393="24",B3393="25"),"15172425",B3393))),IF(U3393="CEBAS","UNICO",IF(VALUE(B3393)&lt;=11,"AMBA","INTERIOR"))))</f>
        <v>R15172425</v>
      </c>
      <c r="W3393" s="38" t="str">
        <f>+IF(U3393="","-",CONCATENATE(U3393,"_",V3393))</f>
        <v>FINES_R15172425</v>
      </c>
      <c r="X3393" s="42">
        <v>0.378</v>
      </c>
    </row>
    <row r="3394" spans="1:24">
      <c r="A3394" s="21" t="s">
        <v>5100</v>
      </c>
      <c r="B3394" t="s">
        <v>516</v>
      </c>
      <c r="C3394" t="s">
        <v>889</v>
      </c>
      <c r="D3394" t="s">
        <v>2458</v>
      </c>
      <c r="E3394" s="7" t="s">
        <v>198</v>
      </c>
      <c r="F3394" s="7" t="s">
        <v>198</v>
      </c>
      <c r="G3394" s="7" t="s">
        <v>198</v>
      </c>
      <c r="H3394" s="7" t="s">
        <v>20</v>
      </c>
      <c r="I3394" s="7" t="s">
        <v>5102</v>
      </c>
      <c r="J3394" s="7" t="s">
        <v>21</v>
      </c>
      <c r="L3394" t="s">
        <v>5042</v>
      </c>
      <c r="M3394" s="7" t="s">
        <v>22</v>
      </c>
      <c r="N3394" s="7" t="s">
        <v>23</v>
      </c>
      <c r="O3394" s="7" t="s">
        <v>27</v>
      </c>
      <c r="P3394" s="7" t="s">
        <v>5101</v>
      </c>
      <c r="Q3394" s="26">
        <v>101</v>
      </c>
      <c r="R3394" s="26">
        <v>4</v>
      </c>
      <c r="S3394" s="40">
        <v>1</v>
      </c>
      <c r="T3394" s="7"/>
      <c r="U3394" s="7" t="s">
        <v>2951</v>
      </c>
      <c r="V3394" s="7" t="str">
        <f>+IF(U3394="","",IF(U3394="FINES",CONCATENATE("R",IF(OR(B3394="16",B3394="21",B3394="22",B3394="23"),"16212223",IF(OR(B3394="15",B3394="17",B3394="24",B3394="25"),"15172425",B3394))),IF(U3394="CEBAS","UNICO",IF(VALUE(B3394)&lt;=11,"AMBA","INTERIOR"))))</f>
        <v>R15172425</v>
      </c>
      <c r="W3394" s="38" t="str">
        <f>+IF(U3394="","-",CONCATENATE(U3394,"_",V3394))</f>
        <v>FINES_R15172425</v>
      </c>
      <c r="X3394" s="42">
        <v>0.39100000000000001</v>
      </c>
    </row>
    <row r="3395" spans="1:24">
      <c r="A3395" s="21" t="s">
        <v>5100</v>
      </c>
      <c r="B3395" t="s">
        <v>205</v>
      </c>
      <c r="C3395" t="s">
        <v>654</v>
      </c>
      <c r="D3395" t="s">
        <v>655</v>
      </c>
      <c r="E3395" s="7" t="s">
        <v>198</v>
      </c>
      <c r="F3395" s="7" t="s">
        <v>198</v>
      </c>
      <c r="G3395" s="7" t="s">
        <v>198</v>
      </c>
      <c r="H3395" s="7" t="s">
        <v>20</v>
      </c>
      <c r="I3395" s="7" t="s">
        <v>5102</v>
      </c>
      <c r="J3395" s="7" t="s">
        <v>21</v>
      </c>
      <c r="L3395" t="s">
        <v>4643</v>
      </c>
      <c r="M3395" s="7" t="s">
        <v>22</v>
      </c>
      <c r="N3395" s="7" t="s">
        <v>23</v>
      </c>
      <c r="O3395" s="7" t="s">
        <v>27</v>
      </c>
      <c r="P3395" s="7" t="s">
        <v>5101</v>
      </c>
      <c r="Q3395" s="26">
        <v>2</v>
      </c>
      <c r="R3395" s="26">
        <v>1</v>
      </c>
      <c r="S3395" s="40">
        <v>1</v>
      </c>
      <c r="T3395" s="7"/>
      <c r="U3395" s="7" t="s">
        <v>2951</v>
      </c>
      <c r="V3395" s="7" t="str">
        <f>+IF(U3395="","",IF(U3395="FINES",CONCATENATE("R",IF(OR(B3395="16",B3395="21",B3395="22",B3395="23"),"16212223",IF(OR(B3395="15",B3395="17",B3395="24",B3395="25"),"15172425",B3395))),IF(U3395="CEBAS","UNICO",IF(VALUE(B3395)&lt;=11,"AMBA","INTERIOR"))))</f>
        <v>R15172425</v>
      </c>
      <c r="W3395" s="38" t="str">
        <f>+IF(U3395="","-",CONCATENATE(U3395,"_",V3395))</f>
        <v>FINES_R15172425</v>
      </c>
      <c r="X3395" s="42">
        <v>0.4</v>
      </c>
    </row>
    <row r="3396" spans="1:24">
      <c r="A3396" s="21" t="s">
        <v>5100</v>
      </c>
      <c r="B3396" t="s">
        <v>206</v>
      </c>
      <c r="C3396" t="s">
        <v>903</v>
      </c>
      <c r="D3396" t="s">
        <v>904</v>
      </c>
      <c r="E3396" s="7" t="s">
        <v>198</v>
      </c>
      <c r="F3396" s="7" t="s">
        <v>198</v>
      </c>
      <c r="G3396" s="7" t="s">
        <v>198</v>
      </c>
      <c r="H3396" s="7" t="s">
        <v>20</v>
      </c>
      <c r="I3396" s="7" t="s">
        <v>5102</v>
      </c>
      <c r="J3396" s="7" t="s">
        <v>21</v>
      </c>
      <c r="L3396" t="s">
        <v>4684</v>
      </c>
      <c r="M3396" s="7" t="s">
        <v>22</v>
      </c>
      <c r="N3396" s="7" t="s">
        <v>23</v>
      </c>
      <c r="O3396" s="7" t="s">
        <v>27</v>
      </c>
      <c r="P3396" s="7" t="s">
        <v>5101</v>
      </c>
      <c r="Q3396" s="26">
        <v>33</v>
      </c>
      <c r="R3396" s="26">
        <v>2</v>
      </c>
      <c r="S3396" s="40">
        <v>1</v>
      </c>
      <c r="T3396" s="7"/>
      <c r="U3396" s="7" t="s">
        <v>2951</v>
      </c>
      <c r="V3396" s="7" t="str">
        <f>+IF(U3396="","",IF(U3396="FINES",CONCATENATE("R",IF(OR(B3396="16",B3396="21",B3396="22",B3396="23"),"16212223",IF(OR(B3396="15",B3396="17",B3396="24",B3396="25"),"15172425",B3396))),IF(U3396="CEBAS","UNICO",IF(VALUE(B3396)&lt;=11,"AMBA","INTERIOR"))))</f>
        <v>R15172425</v>
      </c>
      <c r="W3396" s="38" t="str">
        <f>+IF(U3396="","-",CONCATENATE(U3396,"_",V3396))</f>
        <v>FINES_R15172425</v>
      </c>
      <c r="X3396" s="42">
        <v>0.40500000000000003</v>
      </c>
    </row>
    <row r="3397" spans="1:24">
      <c r="A3397" s="21" t="s">
        <v>5100</v>
      </c>
      <c r="B3397" t="s">
        <v>221</v>
      </c>
      <c r="C3397" t="s">
        <v>230</v>
      </c>
      <c r="D3397" t="s">
        <v>432</v>
      </c>
      <c r="E3397" s="7" t="s">
        <v>198</v>
      </c>
      <c r="F3397" s="7" t="s">
        <v>198</v>
      </c>
      <c r="G3397" s="7" t="s">
        <v>198</v>
      </c>
      <c r="H3397" s="7" t="s">
        <v>20</v>
      </c>
      <c r="I3397" s="7" t="s">
        <v>5102</v>
      </c>
      <c r="J3397" s="7" t="s">
        <v>21</v>
      </c>
      <c r="L3397" t="s">
        <v>5065</v>
      </c>
      <c r="M3397" s="7" t="s">
        <v>22</v>
      </c>
      <c r="N3397" s="7" t="s">
        <v>23</v>
      </c>
      <c r="O3397" s="7" t="s">
        <v>27</v>
      </c>
      <c r="P3397" s="7" t="s">
        <v>5101</v>
      </c>
      <c r="Q3397" s="26">
        <v>44</v>
      </c>
      <c r="R3397" s="26">
        <v>2</v>
      </c>
      <c r="S3397" s="40">
        <v>1</v>
      </c>
      <c r="T3397" s="7"/>
      <c r="U3397" s="7" t="s">
        <v>2951</v>
      </c>
      <c r="V3397" s="7" t="str">
        <f>+IF(U3397="","",IF(U3397="FINES",CONCATENATE("R",IF(OR(B3397="16",B3397="21",B3397="22",B3397="23"),"16212223",IF(OR(B3397="15",B3397="17",B3397="24",B3397="25"),"15172425",B3397))),IF(U3397="CEBAS","UNICO",IF(VALUE(B3397)&lt;=11,"AMBA","INTERIOR"))))</f>
        <v>R15172425</v>
      </c>
      <c r="W3397" s="38" t="str">
        <f>+IF(U3397="","-",CONCATENATE(U3397,"_",V3397))</f>
        <v>FINES_R15172425</v>
      </c>
      <c r="X3397" s="42">
        <v>0.40500000000000003</v>
      </c>
    </row>
    <row r="3398" spans="1:24">
      <c r="A3398" s="21" t="s">
        <v>5100</v>
      </c>
      <c r="B3398" t="s">
        <v>221</v>
      </c>
      <c r="C3398" t="s">
        <v>230</v>
      </c>
      <c r="D3398" t="s">
        <v>432</v>
      </c>
      <c r="E3398" s="7" t="s">
        <v>198</v>
      </c>
      <c r="F3398" s="7" t="s">
        <v>198</v>
      </c>
      <c r="G3398" s="7" t="s">
        <v>198</v>
      </c>
      <c r="H3398" s="7" t="s">
        <v>20</v>
      </c>
      <c r="I3398" s="7" t="s">
        <v>5102</v>
      </c>
      <c r="J3398" s="7" t="s">
        <v>21</v>
      </c>
      <c r="L3398" t="s">
        <v>5062</v>
      </c>
      <c r="M3398" s="7" t="s">
        <v>22</v>
      </c>
      <c r="N3398" s="7" t="s">
        <v>23</v>
      </c>
      <c r="O3398" s="7" t="s">
        <v>27</v>
      </c>
      <c r="P3398" s="7" t="s">
        <v>5101</v>
      </c>
      <c r="Q3398" s="26">
        <v>20</v>
      </c>
      <c r="R3398" s="26">
        <v>1</v>
      </c>
      <c r="S3398" s="40">
        <v>1</v>
      </c>
      <c r="T3398" s="7"/>
      <c r="U3398" s="7" t="s">
        <v>2951</v>
      </c>
      <c r="V3398" s="7" t="str">
        <f>+IF(U3398="","",IF(U3398="FINES",CONCATENATE("R",IF(OR(B3398="16",B3398="21",B3398="22",B3398="23"),"16212223",IF(OR(B3398="15",B3398="17",B3398="24",B3398="25"),"15172425",B3398))),IF(U3398="CEBAS","UNICO",IF(VALUE(B3398)&lt;=11,"AMBA","INTERIOR"))))</f>
        <v>R15172425</v>
      </c>
      <c r="W3398" s="38" t="str">
        <f>+IF(U3398="","-",CONCATENATE(U3398,"_",V3398))</f>
        <v>FINES_R15172425</v>
      </c>
      <c r="X3398" s="42">
        <v>0.443</v>
      </c>
    </row>
    <row r="3399" spans="1:24">
      <c r="A3399" s="21" t="s">
        <v>5100</v>
      </c>
      <c r="B3399" t="s">
        <v>221</v>
      </c>
      <c r="C3399" t="s">
        <v>571</v>
      </c>
      <c r="D3399" t="s">
        <v>573</v>
      </c>
      <c r="E3399" s="7" t="s">
        <v>198</v>
      </c>
      <c r="F3399" s="7" t="s">
        <v>198</v>
      </c>
      <c r="G3399" s="7" t="s">
        <v>198</v>
      </c>
      <c r="H3399" s="7" t="s">
        <v>20</v>
      </c>
      <c r="I3399" s="7" t="s">
        <v>5102</v>
      </c>
      <c r="J3399" s="7" t="s">
        <v>21</v>
      </c>
      <c r="L3399" t="s">
        <v>5079</v>
      </c>
      <c r="M3399" s="7" t="s">
        <v>22</v>
      </c>
      <c r="N3399" s="7" t="s">
        <v>23</v>
      </c>
      <c r="O3399" s="7" t="s">
        <v>27</v>
      </c>
      <c r="P3399" s="7" t="s">
        <v>5101</v>
      </c>
      <c r="Q3399" s="26">
        <v>1</v>
      </c>
      <c r="R3399" s="26">
        <v>1</v>
      </c>
      <c r="S3399" s="40">
        <v>1</v>
      </c>
      <c r="T3399" s="7"/>
      <c r="U3399" s="7" t="s">
        <v>2951</v>
      </c>
      <c r="V3399" s="7" t="str">
        <f>+IF(U3399="","",IF(U3399="FINES",CONCATENATE("R",IF(OR(B3399="16",B3399="21",B3399="22",B3399="23"),"16212223",IF(OR(B3399="15",B3399="17",B3399="24",B3399="25"),"15172425",B3399))),IF(U3399="CEBAS","UNICO",IF(VALUE(B3399)&lt;=11,"AMBA","INTERIOR"))))</f>
        <v>R15172425</v>
      </c>
      <c r="W3399" s="38" t="str">
        <f>+IF(U3399="","-",CONCATENATE(U3399,"_",V3399))</f>
        <v>FINES_R15172425</v>
      </c>
      <c r="X3399" s="42">
        <v>0.44500000000000001</v>
      </c>
    </row>
    <row r="3400" spans="1:24">
      <c r="A3400" s="21" t="s">
        <v>5100</v>
      </c>
      <c r="B3400" t="s">
        <v>516</v>
      </c>
      <c r="C3400" t="s">
        <v>890</v>
      </c>
      <c r="D3400" t="s">
        <v>891</v>
      </c>
      <c r="E3400" s="7" t="s">
        <v>198</v>
      </c>
      <c r="F3400" s="7" t="s">
        <v>198</v>
      </c>
      <c r="G3400" s="7" t="s">
        <v>198</v>
      </c>
      <c r="H3400" s="7" t="s">
        <v>20</v>
      </c>
      <c r="I3400" s="7" t="s">
        <v>5102</v>
      </c>
      <c r="J3400" s="7" t="s">
        <v>21</v>
      </c>
      <c r="L3400" t="s">
        <v>5048</v>
      </c>
      <c r="M3400" s="7" t="s">
        <v>22</v>
      </c>
      <c r="N3400" s="7" t="s">
        <v>23</v>
      </c>
      <c r="O3400" s="7" t="s">
        <v>27</v>
      </c>
      <c r="P3400" s="7" t="s">
        <v>5101</v>
      </c>
      <c r="Q3400" s="26">
        <v>4</v>
      </c>
      <c r="R3400" s="26">
        <v>1</v>
      </c>
      <c r="S3400" s="40">
        <v>1</v>
      </c>
      <c r="T3400" s="7"/>
      <c r="U3400" s="7" t="s">
        <v>2951</v>
      </c>
      <c r="V3400" s="7" t="str">
        <f>+IF(U3400="","",IF(U3400="FINES",CONCATENATE("R",IF(OR(B3400="16",B3400="21",B3400="22",B3400="23"),"16212223",IF(OR(B3400="15",B3400="17",B3400="24",B3400="25"),"15172425",B3400))),IF(U3400="CEBAS","UNICO",IF(VALUE(B3400)&lt;=11,"AMBA","INTERIOR"))))</f>
        <v>R15172425</v>
      </c>
      <c r="W3400" s="38" t="str">
        <f>+IF(U3400="","-",CONCATENATE(U3400,"_",V3400))</f>
        <v>FINES_R15172425</v>
      </c>
      <c r="X3400" s="42">
        <v>0.44800000000000001</v>
      </c>
    </row>
    <row r="3401" spans="1:24">
      <c r="A3401" s="21" t="s">
        <v>5100</v>
      </c>
      <c r="B3401" t="s">
        <v>205</v>
      </c>
      <c r="C3401" t="s">
        <v>228</v>
      </c>
      <c r="D3401" t="s">
        <v>2658</v>
      </c>
      <c r="E3401" s="7" t="s">
        <v>198</v>
      </c>
      <c r="F3401" s="7" t="s">
        <v>198</v>
      </c>
      <c r="G3401" s="7" t="s">
        <v>198</v>
      </c>
      <c r="H3401" s="7" t="s">
        <v>20</v>
      </c>
      <c r="I3401" s="7" t="s">
        <v>5102</v>
      </c>
      <c r="J3401" s="7" t="s">
        <v>21</v>
      </c>
      <c r="L3401" t="s">
        <v>4649</v>
      </c>
      <c r="M3401" s="7" t="s">
        <v>22</v>
      </c>
      <c r="N3401" s="7" t="s">
        <v>23</v>
      </c>
      <c r="O3401" s="7" t="s">
        <v>27</v>
      </c>
      <c r="P3401" s="7" t="s">
        <v>5101</v>
      </c>
      <c r="Q3401" s="26">
        <v>21</v>
      </c>
      <c r="R3401" s="26">
        <v>1</v>
      </c>
      <c r="S3401" s="40">
        <v>1</v>
      </c>
      <c r="T3401" s="7"/>
      <c r="U3401" s="7" t="s">
        <v>2951</v>
      </c>
      <c r="V3401" s="7" t="str">
        <f>+IF(U3401="","",IF(U3401="FINES",CONCATENATE("R",IF(OR(B3401="16",B3401="21",B3401="22",B3401="23"),"16212223",IF(OR(B3401="15",B3401="17",B3401="24",B3401="25"),"15172425",B3401))),IF(U3401="CEBAS","UNICO",IF(VALUE(B3401)&lt;=11,"AMBA","INTERIOR"))))</f>
        <v>R15172425</v>
      </c>
      <c r="W3401" s="38" t="str">
        <f>+IF(U3401="","-",CONCATENATE(U3401,"_",V3401))</f>
        <v>FINES_R15172425</v>
      </c>
      <c r="X3401" s="42">
        <v>0.44900000000000001</v>
      </c>
    </row>
    <row r="3402" spans="1:24">
      <c r="A3402" s="21" t="s">
        <v>5100</v>
      </c>
      <c r="B3402" t="s">
        <v>206</v>
      </c>
      <c r="C3402" t="s">
        <v>739</v>
      </c>
      <c r="D3402" t="s">
        <v>740</v>
      </c>
      <c r="E3402" s="7" t="s">
        <v>198</v>
      </c>
      <c r="F3402" s="7" t="s">
        <v>198</v>
      </c>
      <c r="G3402" s="7" t="s">
        <v>198</v>
      </c>
      <c r="H3402" s="7" t="s">
        <v>20</v>
      </c>
      <c r="I3402" s="7" t="s">
        <v>5102</v>
      </c>
      <c r="J3402" s="7" t="s">
        <v>21</v>
      </c>
      <c r="L3402" t="s">
        <v>4676</v>
      </c>
      <c r="M3402" s="7" t="s">
        <v>22</v>
      </c>
      <c r="N3402" s="7" t="s">
        <v>23</v>
      </c>
      <c r="O3402" s="7" t="s">
        <v>27</v>
      </c>
      <c r="P3402" s="7" t="s">
        <v>5101</v>
      </c>
      <c r="Q3402" s="26">
        <v>31</v>
      </c>
      <c r="R3402" s="26">
        <v>1</v>
      </c>
      <c r="S3402" s="40">
        <v>1</v>
      </c>
      <c r="T3402" s="7"/>
      <c r="U3402" s="7" t="s">
        <v>2951</v>
      </c>
      <c r="V3402" s="7" t="str">
        <f>+IF(U3402="","",IF(U3402="FINES",CONCATENATE("R",IF(OR(B3402="16",B3402="21",B3402="22",B3402="23"),"16212223",IF(OR(B3402="15",B3402="17",B3402="24",B3402="25"),"15172425",B3402))),IF(U3402="CEBAS","UNICO",IF(VALUE(B3402)&lt;=11,"AMBA","INTERIOR"))))</f>
        <v>R15172425</v>
      </c>
      <c r="W3402" s="38" t="str">
        <f>+IF(U3402="","-",CONCATENATE(U3402,"_",V3402))</f>
        <v>FINES_R15172425</v>
      </c>
      <c r="X3402" s="42">
        <v>0.45100000000000001</v>
      </c>
    </row>
    <row r="3403" spans="1:24">
      <c r="A3403" s="21" t="s">
        <v>5100</v>
      </c>
      <c r="B3403" t="s">
        <v>205</v>
      </c>
      <c r="C3403" t="s">
        <v>589</v>
      </c>
      <c r="D3403" t="s">
        <v>591</v>
      </c>
      <c r="E3403" s="7" t="s">
        <v>198</v>
      </c>
      <c r="F3403" s="7" t="s">
        <v>198</v>
      </c>
      <c r="G3403" s="7" t="s">
        <v>198</v>
      </c>
      <c r="H3403" s="7" t="s">
        <v>20</v>
      </c>
      <c r="I3403" s="7" t="s">
        <v>5102</v>
      </c>
      <c r="J3403" s="7" t="s">
        <v>21</v>
      </c>
      <c r="L3403" t="s">
        <v>4636</v>
      </c>
      <c r="M3403" s="7" t="s">
        <v>22</v>
      </c>
      <c r="N3403" s="7" t="s">
        <v>23</v>
      </c>
      <c r="O3403" s="7" t="s">
        <v>27</v>
      </c>
      <c r="P3403" s="7" t="s">
        <v>5101</v>
      </c>
      <c r="Q3403" s="26">
        <v>9</v>
      </c>
      <c r="R3403" s="26">
        <v>1</v>
      </c>
      <c r="S3403" s="40">
        <v>1</v>
      </c>
      <c r="T3403" s="7"/>
      <c r="U3403" s="7" t="s">
        <v>2951</v>
      </c>
      <c r="V3403" s="7" t="str">
        <f>+IF(U3403="","",IF(U3403="FINES",CONCATENATE("R",IF(OR(B3403="16",B3403="21",B3403="22",B3403="23"),"16212223",IF(OR(B3403="15",B3403="17",B3403="24",B3403="25"),"15172425",B3403))),IF(U3403="CEBAS","UNICO",IF(VALUE(B3403)&lt;=11,"AMBA","INTERIOR"))))</f>
        <v>R15172425</v>
      </c>
      <c r="W3403" s="38" t="str">
        <f>+IF(U3403="","-",CONCATENATE(U3403,"_",V3403))</f>
        <v>FINES_R15172425</v>
      </c>
      <c r="X3403" s="42">
        <v>0.45400000000000001</v>
      </c>
    </row>
    <row r="3404" spans="1:24">
      <c r="A3404" s="21" t="s">
        <v>5100</v>
      </c>
      <c r="B3404" t="s">
        <v>206</v>
      </c>
      <c r="C3404" t="s">
        <v>2043</v>
      </c>
      <c r="D3404" t="s">
        <v>2044</v>
      </c>
      <c r="E3404" s="7" t="s">
        <v>198</v>
      </c>
      <c r="F3404" s="7" t="s">
        <v>198</v>
      </c>
      <c r="G3404" s="7" t="s">
        <v>198</v>
      </c>
      <c r="H3404" s="7" t="s">
        <v>20</v>
      </c>
      <c r="I3404" s="7" t="s">
        <v>5102</v>
      </c>
      <c r="J3404" s="7" t="s">
        <v>21</v>
      </c>
      <c r="L3404" t="s">
        <v>4697</v>
      </c>
      <c r="M3404" s="7" t="s">
        <v>22</v>
      </c>
      <c r="N3404" s="7" t="s">
        <v>23</v>
      </c>
      <c r="O3404" s="7" t="s">
        <v>27</v>
      </c>
      <c r="P3404" s="7" t="s">
        <v>5101</v>
      </c>
      <c r="Q3404" s="26">
        <v>10</v>
      </c>
      <c r="R3404" s="26">
        <v>1</v>
      </c>
      <c r="S3404" s="40">
        <v>1</v>
      </c>
      <c r="T3404" s="7"/>
      <c r="U3404" s="7" t="s">
        <v>2951</v>
      </c>
      <c r="V3404" s="7" t="str">
        <f>+IF(U3404="","",IF(U3404="FINES",CONCATENATE("R",IF(OR(B3404="16",B3404="21",B3404="22",B3404="23"),"16212223",IF(OR(B3404="15",B3404="17",B3404="24",B3404="25"),"15172425",B3404))),IF(U3404="CEBAS","UNICO",IF(VALUE(B3404)&lt;=11,"AMBA","INTERIOR"))))</f>
        <v>R15172425</v>
      </c>
      <c r="W3404" s="38" t="str">
        <f>+IF(U3404="","-",CONCATENATE(U3404,"_",V3404))</f>
        <v>FINES_R15172425</v>
      </c>
      <c r="X3404" s="42">
        <v>0.47</v>
      </c>
    </row>
    <row r="3405" spans="1:24">
      <c r="A3405" s="21" t="s">
        <v>5100</v>
      </c>
      <c r="B3405" t="s">
        <v>221</v>
      </c>
      <c r="C3405" t="s">
        <v>558</v>
      </c>
      <c r="D3405" t="s">
        <v>1960</v>
      </c>
      <c r="E3405" s="7" t="s">
        <v>198</v>
      </c>
      <c r="F3405" s="7" t="s">
        <v>198</v>
      </c>
      <c r="G3405" s="7" t="s">
        <v>198</v>
      </c>
      <c r="H3405" s="7" t="s">
        <v>20</v>
      </c>
      <c r="I3405" s="7" t="s">
        <v>5102</v>
      </c>
      <c r="J3405" s="7" t="s">
        <v>21</v>
      </c>
      <c r="L3405" t="s">
        <v>5092</v>
      </c>
      <c r="M3405" s="7" t="s">
        <v>22</v>
      </c>
      <c r="N3405" s="7" t="s">
        <v>23</v>
      </c>
      <c r="O3405" s="7" t="s">
        <v>27</v>
      </c>
      <c r="P3405" s="7" t="s">
        <v>5101</v>
      </c>
      <c r="Q3405" s="26">
        <v>34</v>
      </c>
      <c r="R3405" s="26">
        <v>2</v>
      </c>
      <c r="S3405" s="40">
        <v>1</v>
      </c>
      <c r="T3405" s="7"/>
      <c r="U3405" s="7" t="s">
        <v>2951</v>
      </c>
      <c r="V3405" s="7" t="str">
        <f>+IF(U3405="","",IF(U3405="FINES",CONCATENATE("R",IF(OR(B3405="16",B3405="21",B3405="22",B3405="23"),"16212223",IF(OR(B3405="15",B3405="17",B3405="24",B3405="25"),"15172425",B3405))),IF(U3405="CEBAS","UNICO",IF(VALUE(B3405)&lt;=11,"AMBA","INTERIOR"))))</f>
        <v>R15172425</v>
      </c>
      <c r="W3405" s="38" t="str">
        <f>+IF(U3405="","-",CONCATENATE(U3405,"_",V3405))</f>
        <v>FINES_R15172425</v>
      </c>
      <c r="X3405" s="42">
        <v>0.47</v>
      </c>
    </row>
    <row r="3406" spans="1:24">
      <c r="A3406" s="21" t="s">
        <v>5100</v>
      </c>
      <c r="B3406" t="s">
        <v>221</v>
      </c>
      <c r="C3406" t="s">
        <v>230</v>
      </c>
      <c r="D3406" t="s">
        <v>432</v>
      </c>
      <c r="E3406" s="7" t="s">
        <v>198</v>
      </c>
      <c r="F3406" s="7" t="s">
        <v>198</v>
      </c>
      <c r="G3406" s="7" t="s">
        <v>198</v>
      </c>
      <c r="H3406" s="7" t="s">
        <v>20</v>
      </c>
      <c r="I3406" s="7" t="s">
        <v>5102</v>
      </c>
      <c r="J3406" s="7" t="s">
        <v>21</v>
      </c>
      <c r="L3406" t="s">
        <v>5068</v>
      </c>
      <c r="M3406" s="7" t="s">
        <v>22</v>
      </c>
      <c r="N3406" s="7" t="s">
        <v>23</v>
      </c>
      <c r="O3406" s="7" t="s">
        <v>27</v>
      </c>
      <c r="P3406" s="7" t="s">
        <v>5101</v>
      </c>
      <c r="Q3406" s="26">
        <v>62</v>
      </c>
      <c r="R3406" s="26">
        <v>3</v>
      </c>
      <c r="S3406" s="40">
        <v>1</v>
      </c>
      <c r="T3406" s="7"/>
      <c r="U3406" s="7" t="s">
        <v>2951</v>
      </c>
      <c r="V3406" s="7" t="str">
        <f>+IF(U3406="","",IF(U3406="FINES",CONCATENATE("R",IF(OR(B3406="16",B3406="21",B3406="22",B3406="23"),"16212223",IF(OR(B3406="15",B3406="17",B3406="24",B3406="25"),"15172425",B3406))),IF(U3406="CEBAS","UNICO",IF(VALUE(B3406)&lt;=11,"AMBA","INTERIOR"))))</f>
        <v>R15172425</v>
      </c>
      <c r="W3406" s="38" t="str">
        <f>+IF(U3406="","-",CONCATENATE(U3406,"_",V3406))</f>
        <v>FINES_R15172425</v>
      </c>
      <c r="X3406" s="42">
        <v>0.47899999999999998</v>
      </c>
    </row>
    <row r="3407" spans="1:24">
      <c r="A3407" s="21" t="s">
        <v>5100</v>
      </c>
      <c r="B3407" t="s">
        <v>205</v>
      </c>
      <c r="C3407" t="s">
        <v>1946</v>
      </c>
      <c r="D3407" t="s">
        <v>1947</v>
      </c>
      <c r="E3407" s="7" t="s">
        <v>198</v>
      </c>
      <c r="F3407" s="7" t="s">
        <v>198</v>
      </c>
      <c r="G3407" s="7" t="s">
        <v>198</v>
      </c>
      <c r="H3407" s="7" t="s">
        <v>20</v>
      </c>
      <c r="I3407" s="7" t="s">
        <v>5102</v>
      </c>
      <c r="J3407" s="7" t="s">
        <v>21</v>
      </c>
      <c r="L3407" t="s">
        <v>4627</v>
      </c>
      <c r="M3407" s="7" t="s">
        <v>22</v>
      </c>
      <c r="N3407" s="7" t="s">
        <v>23</v>
      </c>
      <c r="O3407" s="7" t="s">
        <v>27</v>
      </c>
      <c r="P3407" s="7" t="s">
        <v>5101</v>
      </c>
      <c r="Q3407" s="26">
        <v>7</v>
      </c>
      <c r="R3407" s="26">
        <v>1</v>
      </c>
      <c r="S3407" s="40">
        <v>1</v>
      </c>
      <c r="T3407" s="7"/>
      <c r="U3407" s="7" t="s">
        <v>2951</v>
      </c>
      <c r="V3407" s="7" t="str">
        <f>+IF(U3407="","",IF(U3407="FINES",CONCATENATE("R",IF(OR(B3407="16",B3407="21",B3407="22",B3407="23"),"16212223",IF(OR(B3407="15",B3407="17",B3407="24",B3407="25"),"15172425",B3407))),IF(U3407="CEBAS","UNICO",IF(VALUE(B3407)&lt;=11,"AMBA","INTERIOR"))))</f>
        <v>R15172425</v>
      </c>
      <c r="W3407" s="38" t="str">
        <f>+IF(U3407="","-",CONCATENATE(U3407,"_",V3407))</f>
        <v>FINES_R15172425</v>
      </c>
      <c r="X3407" s="42">
        <v>0.48099999999999998</v>
      </c>
    </row>
    <row r="3408" spans="1:24">
      <c r="A3408" s="21" t="s">
        <v>5100</v>
      </c>
      <c r="B3408" t="s">
        <v>205</v>
      </c>
      <c r="C3408" t="s">
        <v>589</v>
      </c>
      <c r="D3408" t="s">
        <v>591</v>
      </c>
      <c r="E3408" s="7" t="s">
        <v>198</v>
      </c>
      <c r="F3408" s="7" t="s">
        <v>198</v>
      </c>
      <c r="G3408" s="7" t="s">
        <v>198</v>
      </c>
      <c r="H3408" s="7" t="s">
        <v>20</v>
      </c>
      <c r="I3408" s="7" t="s">
        <v>5102</v>
      </c>
      <c r="J3408" s="7" t="s">
        <v>21</v>
      </c>
      <c r="L3408" t="s">
        <v>4639</v>
      </c>
      <c r="M3408" s="7" t="s">
        <v>22</v>
      </c>
      <c r="N3408" s="7" t="s">
        <v>23</v>
      </c>
      <c r="O3408" s="7" t="s">
        <v>27</v>
      </c>
      <c r="P3408" s="7" t="s">
        <v>5101</v>
      </c>
      <c r="Q3408" s="26">
        <v>8</v>
      </c>
      <c r="R3408" s="26">
        <v>1</v>
      </c>
      <c r="S3408" s="40">
        <v>1</v>
      </c>
      <c r="T3408" s="7"/>
      <c r="U3408" s="7" t="s">
        <v>2951</v>
      </c>
      <c r="V3408" s="7" t="str">
        <f>+IF(U3408="","",IF(U3408="FINES",CONCATENATE("R",IF(OR(B3408="16",B3408="21",B3408="22",B3408="23"),"16212223",IF(OR(B3408="15",B3408="17",B3408="24",B3408="25"),"15172425",B3408))),IF(U3408="CEBAS","UNICO",IF(VALUE(B3408)&lt;=11,"AMBA","INTERIOR"))))</f>
        <v>R15172425</v>
      </c>
      <c r="W3408" s="38" t="str">
        <f>+IF(U3408="","-",CONCATENATE(U3408,"_",V3408))</f>
        <v>FINES_R15172425</v>
      </c>
      <c r="X3408" s="42">
        <v>0.48799999999999999</v>
      </c>
    </row>
    <row r="3409" spans="1:24">
      <c r="A3409" s="21" t="s">
        <v>5100</v>
      </c>
      <c r="B3409" t="s">
        <v>516</v>
      </c>
      <c r="C3409" t="s">
        <v>451</v>
      </c>
      <c r="D3409" t="s">
        <v>1315</v>
      </c>
      <c r="E3409" s="7" t="s">
        <v>198</v>
      </c>
      <c r="F3409" s="7" t="s">
        <v>198</v>
      </c>
      <c r="G3409" s="7" t="s">
        <v>198</v>
      </c>
      <c r="H3409" s="7" t="s">
        <v>20</v>
      </c>
      <c r="I3409" s="7" t="s">
        <v>5102</v>
      </c>
      <c r="J3409" s="7" t="s">
        <v>21</v>
      </c>
      <c r="L3409" t="s">
        <v>5050</v>
      </c>
      <c r="M3409" s="7" t="s">
        <v>22</v>
      </c>
      <c r="N3409" s="7" t="s">
        <v>23</v>
      </c>
      <c r="O3409" s="7" t="s">
        <v>27</v>
      </c>
      <c r="P3409" s="7" t="s">
        <v>5101</v>
      </c>
      <c r="Q3409" s="26">
        <v>134</v>
      </c>
      <c r="R3409" s="26">
        <v>4</v>
      </c>
      <c r="S3409" s="40">
        <v>1</v>
      </c>
      <c r="T3409" s="7"/>
      <c r="U3409" s="7" t="s">
        <v>2951</v>
      </c>
      <c r="V3409" s="7" t="str">
        <f>+IF(U3409="","",IF(U3409="FINES",CONCATENATE("R",IF(OR(B3409="16",B3409="21",B3409="22",B3409="23"),"16212223",IF(OR(B3409="15",B3409="17",B3409="24",B3409="25"),"15172425",B3409))),IF(U3409="CEBAS","UNICO",IF(VALUE(B3409)&lt;=11,"AMBA","INTERIOR"))))</f>
        <v>R15172425</v>
      </c>
      <c r="W3409" s="38" t="str">
        <f>+IF(U3409="","-",CONCATENATE(U3409,"_",V3409))</f>
        <v>FINES_R15172425</v>
      </c>
      <c r="X3409" s="42">
        <v>0.496</v>
      </c>
    </row>
    <row r="3410" spans="1:24">
      <c r="A3410" s="21" t="s">
        <v>5100</v>
      </c>
      <c r="B3410" t="s">
        <v>206</v>
      </c>
      <c r="C3410" t="s">
        <v>749</v>
      </c>
      <c r="D3410" t="s">
        <v>2905</v>
      </c>
      <c r="E3410" s="7" t="s">
        <v>198</v>
      </c>
      <c r="F3410" s="7" t="s">
        <v>198</v>
      </c>
      <c r="G3410" s="7" t="s">
        <v>198</v>
      </c>
      <c r="H3410" s="7" t="s">
        <v>20</v>
      </c>
      <c r="I3410" s="7" t="s">
        <v>5102</v>
      </c>
      <c r="J3410" s="7" t="s">
        <v>21</v>
      </c>
      <c r="L3410" t="s">
        <v>4688</v>
      </c>
      <c r="M3410" s="7" t="s">
        <v>22</v>
      </c>
      <c r="N3410" s="7" t="s">
        <v>23</v>
      </c>
      <c r="O3410" s="7" t="s">
        <v>27</v>
      </c>
      <c r="P3410" s="7" t="s">
        <v>5101</v>
      </c>
      <c r="Q3410" s="26">
        <v>6</v>
      </c>
      <c r="R3410" s="26">
        <v>1</v>
      </c>
      <c r="S3410" s="40">
        <v>1</v>
      </c>
      <c r="T3410" s="7"/>
      <c r="U3410" s="7" t="s">
        <v>2951</v>
      </c>
      <c r="V3410" s="7" t="str">
        <f>+IF(U3410="","",IF(U3410="FINES",CONCATENATE("R",IF(OR(B3410="16",B3410="21",B3410="22",B3410="23"),"16212223",IF(OR(B3410="15",B3410="17",B3410="24",B3410="25"),"15172425",B3410))),IF(U3410="CEBAS","UNICO",IF(VALUE(B3410)&lt;=11,"AMBA","INTERIOR"))))</f>
        <v>R15172425</v>
      </c>
      <c r="W3410" s="38" t="str">
        <f>+IF(U3410="","-",CONCATENATE(U3410,"_",V3410))</f>
        <v>FINES_R15172425</v>
      </c>
      <c r="X3410" s="42">
        <v>0.5</v>
      </c>
    </row>
    <row r="3411" spans="1:24">
      <c r="A3411" s="21" t="s">
        <v>5100</v>
      </c>
      <c r="B3411" t="s">
        <v>221</v>
      </c>
      <c r="C3411" t="s">
        <v>558</v>
      </c>
      <c r="D3411" t="s">
        <v>1960</v>
      </c>
      <c r="E3411" s="7" t="s">
        <v>198</v>
      </c>
      <c r="F3411" s="7" t="s">
        <v>198</v>
      </c>
      <c r="G3411" s="7" t="s">
        <v>198</v>
      </c>
      <c r="H3411" s="7" t="s">
        <v>20</v>
      </c>
      <c r="I3411" s="7" t="s">
        <v>5102</v>
      </c>
      <c r="J3411" s="7" t="s">
        <v>21</v>
      </c>
      <c r="L3411" t="s">
        <v>5093</v>
      </c>
      <c r="M3411" s="7" t="s">
        <v>22</v>
      </c>
      <c r="N3411" s="7" t="s">
        <v>23</v>
      </c>
      <c r="O3411" s="7" t="s">
        <v>27</v>
      </c>
      <c r="P3411" s="7" t="s">
        <v>5101</v>
      </c>
      <c r="Q3411" s="26">
        <v>21</v>
      </c>
      <c r="R3411" s="26">
        <v>1</v>
      </c>
      <c r="S3411" s="40">
        <v>1</v>
      </c>
      <c r="T3411" s="7"/>
      <c r="U3411" s="7" t="s">
        <v>2951</v>
      </c>
      <c r="V3411" s="7" t="str">
        <f>+IF(U3411="","",IF(U3411="FINES",CONCATENATE("R",IF(OR(B3411="16",B3411="21",B3411="22",B3411="23"),"16212223",IF(OR(B3411="15",B3411="17",B3411="24",B3411="25"),"15172425",B3411))),IF(U3411="CEBAS","UNICO",IF(VALUE(B3411)&lt;=11,"AMBA","INTERIOR"))))</f>
        <v>R15172425</v>
      </c>
      <c r="W3411" s="38" t="str">
        <f>+IF(U3411="","-",CONCATENATE(U3411,"_",V3411))</f>
        <v>FINES_R15172425</v>
      </c>
      <c r="X3411" s="42">
        <v>0.51100000000000001</v>
      </c>
    </row>
    <row r="3412" spans="1:24">
      <c r="A3412" s="21" t="s">
        <v>5100</v>
      </c>
      <c r="B3412" t="s">
        <v>221</v>
      </c>
      <c r="C3412" t="s">
        <v>230</v>
      </c>
      <c r="D3412" t="s">
        <v>432</v>
      </c>
      <c r="E3412" s="7" t="s">
        <v>198</v>
      </c>
      <c r="F3412" s="7" t="s">
        <v>198</v>
      </c>
      <c r="G3412" s="7" t="s">
        <v>198</v>
      </c>
      <c r="H3412" s="7" t="s">
        <v>20</v>
      </c>
      <c r="I3412" s="7" t="s">
        <v>5102</v>
      </c>
      <c r="J3412" s="7" t="s">
        <v>21</v>
      </c>
      <c r="L3412" t="s">
        <v>5074</v>
      </c>
      <c r="M3412" s="7" t="s">
        <v>22</v>
      </c>
      <c r="N3412" s="7" t="s">
        <v>23</v>
      </c>
      <c r="O3412" s="7" t="s">
        <v>27</v>
      </c>
      <c r="P3412" s="7" t="s">
        <v>5101</v>
      </c>
      <c r="Q3412" s="26">
        <v>19</v>
      </c>
      <c r="R3412" s="26">
        <v>1</v>
      </c>
      <c r="S3412" s="40">
        <v>1</v>
      </c>
      <c r="T3412" s="7"/>
      <c r="U3412" s="7" t="s">
        <v>2951</v>
      </c>
      <c r="V3412" s="7" t="str">
        <f>+IF(U3412="","",IF(U3412="FINES",CONCATENATE("R",IF(OR(B3412="16",B3412="21",B3412="22",B3412="23"),"16212223",IF(OR(B3412="15",B3412="17",B3412="24",B3412="25"),"15172425",B3412))),IF(U3412="CEBAS","UNICO",IF(VALUE(B3412)&lt;=11,"AMBA","INTERIOR"))))</f>
        <v>R15172425</v>
      </c>
      <c r="W3412" s="38" t="str">
        <f>+IF(U3412="","-",CONCATENATE(U3412,"_",V3412))</f>
        <v>FINES_R15172425</v>
      </c>
      <c r="X3412" s="42">
        <v>0.51600000000000001</v>
      </c>
    </row>
    <row r="3413" spans="1:24">
      <c r="A3413" s="21" t="s">
        <v>5100</v>
      </c>
      <c r="B3413" t="s">
        <v>221</v>
      </c>
      <c r="C3413" t="s">
        <v>571</v>
      </c>
      <c r="D3413" t="s">
        <v>573</v>
      </c>
      <c r="E3413" s="7" t="s">
        <v>198</v>
      </c>
      <c r="F3413" s="7" t="s">
        <v>198</v>
      </c>
      <c r="G3413" s="7" t="s">
        <v>198</v>
      </c>
      <c r="H3413" s="7" t="s">
        <v>20</v>
      </c>
      <c r="I3413" s="7" t="s">
        <v>5102</v>
      </c>
      <c r="J3413" s="7" t="s">
        <v>21</v>
      </c>
      <c r="L3413" t="s">
        <v>5081</v>
      </c>
      <c r="M3413" s="7" t="s">
        <v>22</v>
      </c>
      <c r="N3413" s="7" t="s">
        <v>23</v>
      </c>
      <c r="O3413" s="7" t="s">
        <v>27</v>
      </c>
      <c r="P3413" s="7" t="s">
        <v>5101</v>
      </c>
      <c r="Q3413" s="26">
        <v>8</v>
      </c>
      <c r="R3413" s="26">
        <v>1</v>
      </c>
      <c r="S3413" s="40">
        <v>1</v>
      </c>
      <c r="T3413" s="7"/>
      <c r="U3413" s="7" t="s">
        <v>2951</v>
      </c>
      <c r="V3413" s="7" t="str">
        <f>+IF(U3413="","",IF(U3413="FINES",CONCATENATE("R",IF(OR(B3413="16",B3413="21",B3413="22",B3413="23"),"16212223",IF(OR(B3413="15",B3413="17",B3413="24",B3413="25"),"15172425",B3413))),IF(U3413="CEBAS","UNICO",IF(VALUE(B3413)&lt;=11,"AMBA","INTERIOR"))))</f>
        <v>R15172425</v>
      </c>
      <c r="W3413" s="38" t="str">
        <f>+IF(U3413="","-",CONCATENATE(U3413,"_",V3413))</f>
        <v>FINES_R15172425</v>
      </c>
      <c r="X3413" s="42">
        <v>0.52200000000000002</v>
      </c>
    </row>
    <row r="3414" spans="1:24">
      <c r="A3414" s="21" t="s">
        <v>5100</v>
      </c>
      <c r="B3414" t="s">
        <v>221</v>
      </c>
      <c r="C3414" t="s">
        <v>558</v>
      </c>
      <c r="D3414" t="s">
        <v>1960</v>
      </c>
      <c r="E3414" s="7" t="s">
        <v>198</v>
      </c>
      <c r="F3414" s="7" t="s">
        <v>198</v>
      </c>
      <c r="G3414" s="7" t="s">
        <v>198</v>
      </c>
      <c r="H3414" s="7" t="s">
        <v>20</v>
      </c>
      <c r="I3414" s="7" t="s">
        <v>5102</v>
      </c>
      <c r="J3414" s="7" t="s">
        <v>21</v>
      </c>
      <c r="L3414" t="s">
        <v>3856</v>
      </c>
      <c r="M3414" s="7" t="s">
        <v>22</v>
      </c>
      <c r="N3414" s="7" t="s">
        <v>23</v>
      </c>
      <c r="O3414" s="7" t="s">
        <v>27</v>
      </c>
      <c r="P3414" s="7" t="s">
        <v>5101</v>
      </c>
      <c r="Q3414" s="26">
        <v>28</v>
      </c>
      <c r="R3414" s="26">
        <v>1</v>
      </c>
      <c r="S3414" s="40">
        <v>1</v>
      </c>
      <c r="T3414" s="7"/>
      <c r="U3414" s="7" t="s">
        <v>2951</v>
      </c>
      <c r="V3414" s="7" t="str">
        <f>+IF(U3414="","",IF(U3414="FINES",CONCATENATE("R",IF(OR(B3414="16",B3414="21",B3414="22",B3414="23"),"16212223",IF(OR(B3414="15",B3414="17",B3414="24",B3414="25"),"15172425",B3414))),IF(U3414="CEBAS","UNICO",IF(VALUE(B3414)&lt;=11,"AMBA","INTERIOR"))))</f>
        <v>R15172425</v>
      </c>
      <c r="W3414" s="38" t="str">
        <f>+IF(U3414="","-",CONCATENATE(U3414,"_",V3414))</f>
        <v>FINES_R15172425</v>
      </c>
      <c r="X3414" s="42">
        <v>0.52400000000000002</v>
      </c>
    </row>
    <row r="3415" spans="1:24">
      <c r="A3415" s="21" t="s">
        <v>5100</v>
      </c>
      <c r="B3415" t="s">
        <v>221</v>
      </c>
      <c r="C3415" t="s">
        <v>571</v>
      </c>
      <c r="D3415" t="s">
        <v>573</v>
      </c>
      <c r="E3415" s="7" t="s">
        <v>198</v>
      </c>
      <c r="F3415" s="7" t="s">
        <v>198</v>
      </c>
      <c r="G3415" s="7" t="s">
        <v>198</v>
      </c>
      <c r="H3415" s="7" t="s">
        <v>20</v>
      </c>
      <c r="I3415" s="7" t="s">
        <v>5102</v>
      </c>
      <c r="J3415" s="7" t="s">
        <v>21</v>
      </c>
      <c r="L3415" t="s">
        <v>5080</v>
      </c>
      <c r="M3415" s="7" t="s">
        <v>22</v>
      </c>
      <c r="N3415" s="7" t="s">
        <v>23</v>
      </c>
      <c r="O3415" s="7" t="s">
        <v>27</v>
      </c>
      <c r="P3415" s="7" t="s">
        <v>5101</v>
      </c>
      <c r="Q3415" s="26">
        <v>2</v>
      </c>
      <c r="R3415" s="26">
        <v>1</v>
      </c>
      <c r="S3415" s="40">
        <v>1</v>
      </c>
      <c r="T3415" s="7"/>
      <c r="U3415" s="7" t="s">
        <v>2951</v>
      </c>
      <c r="V3415" s="7" t="str">
        <f>+IF(U3415="","",IF(U3415="FINES",CONCATENATE("R",IF(OR(B3415="16",B3415="21",B3415="22",B3415="23"),"16212223",IF(OR(B3415="15",B3415="17",B3415="24",B3415="25"),"15172425",B3415))),IF(U3415="CEBAS","UNICO",IF(VALUE(B3415)&lt;=11,"AMBA","INTERIOR"))))</f>
        <v>R15172425</v>
      </c>
      <c r="W3415" s="38" t="str">
        <f>+IF(U3415="","-",CONCATENATE(U3415,"_",V3415))</f>
        <v>FINES_R15172425</v>
      </c>
      <c r="X3415" s="42">
        <v>0.52800000000000002</v>
      </c>
    </row>
    <row r="3416" spans="1:24">
      <c r="A3416" s="21" t="s">
        <v>5100</v>
      </c>
      <c r="B3416" t="s">
        <v>221</v>
      </c>
      <c r="C3416" t="s">
        <v>230</v>
      </c>
      <c r="D3416" t="s">
        <v>432</v>
      </c>
      <c r="E3416" s="7" t="s">
        <v>198</v>
      </c>
      <c r="F3416" s="7" t="s">
        <v>198</v>
      </c>
      <c r="G3416" s="7" t="s">
        <v>198</v>
      </c>
      <c r="H3416" s="7" t="s">
        <v>20</v>
      </c>
      <c r="I3416" s="7" t="s">
        <v>5102</v>
      </c>
      <c r="J3416" s="7" t="s">
        <v>21</v>
      </c>
      <c r="L3416" t="s">
        <v>5073</v>
      </c>
      <c r="M3416" s="7" t="s">
        <v>22</v>
      </c>
      <c r="N3416" s="7" t="s">
        <v>23</v>
      </c>
      <c r="O3416" s="7" t="s">
        <v>27</v>
      </c>
      <c r="P3416" s="7" t="s">
        <v>5101</v>
      </c>
      <c r="Q3416" s="26">
        <v>21</v>
      </c>
      <c r="R3416" s="26">
        <v>1</v>
      </c>
      <c r="S3416" s="40">
        <v>1</v>
      </c>
      <c r="T3416" s="7"/>
      <c r="U3416" s="7" t="s">
        <v>2951</v>
      </c>
      <c r="V3416" s="7" t="str">
        <f>+IF(U3416="","",IF(U3416="FINES",CONCATENATE("R",IF(OR(B3416="16",B3416="21",B3416="22",B3416="23"),"16212223",IF(OR(B3416="15",B3416="17",B3416="24",B3416="25"),"15172425",B3416))),IF(U3416="CEBAS","UNICO",IF(VALUE(B3416)&lt;=11,"AMBA","INTERIOR"))))</f>
        <v>R15172425</v>
      </c>
      <c r="W3416" s="38" t="str">
        <f>+IF(U3416="","-",CONCATENATE(U3416,"_",V3416))</f>
        <v>FINES_R15172425</v>
      </c>
      <c r="X3416" s="42">
        <v>0.53800000000000003</v>
      </c>
    </row>
    <row r="3417" spans="1:24">
      <c r="A3417" s="21" t="s">
        <v>5100</v>
      </c>
      <c r="B3417" t="s">
        <v>206</v>
      </c>
      <c r="C3417" t="s">
        <v>2160</v>
      </c>
      <c r="D3417" t="s">
        <v>2161</v>
      </c>
      <c r="E3417" s="7" t="s">
        <v>198</v>
      </c>
      <c r="F3417" s="7" t="s">
        <v>198</v>
      </c>
      <c r="G3417" s="7" t="s">
        <v>198</v>
      </c>
      <c r="H3417" s="7" t="s">
        <v>20</v>
      </c>
      <c r="I3417" s="7" t="s">
        <v>5102</v>
      </c>
      <c r="J3417" s="7" t="s">
        <v>21</v>
      </c>
      <c r="L3417" t="s">
        <v>4700</v>
      </c>
      <c r="M3417" s="7" t="s">
        <v>22</v>
      </c>
      <c r="N3417" s="7" t="s">
        <v>23</v>
      </c>
      <c r="O3417" s="7" t="s">
        <v>27</v>
      </c>
      <c r="P3417" s="7" t="s">
        <v>5101</v>
      </c>
      <c r="Q3417" s="26">
        <v>36</v>
      </c>
      <c r="R3417" s="26">
        <v>2</v>
      </c>
      <c r="S3417" s="40">
        <v>1</v>
      </c>
      <c r="T3417" s="7"/>
      <c r="U3417" s="7" t="s">
        <v>2951</v>
      </c>
      <c r="V3417" s="7" t="str">
        <f>+IF(U3417="","",IF(U3417="FINES",CONCATENATE("R",IF(OR(B3417="16",B3417="21",B3417="22",B3417="23"),"16212223",IF(OR(B3417="15",B3417="17",B3417="24",B3417="25"),"15172425",B3417))),IF(U3417="CEBAS","UNICO",IF(VALUE(B3417)&lt;=11,"AMBA","INTERIOR"))))</f>
        <v>R15172425</v>
      </c>
      <c r="W3417" s="38" t="str">
        <f>+IF(U3417="","-",CONCATENATE(U3417,"_",V3417))</f>
        <v>FINES_R15172425</v>
      </c>
      <c r="X3417" s="42">
        <v>0.55600000000000005</v>
      </c>
    </row>
    <row r="3418" spans="1:24">
      <c r="A3418" s="21" t="s">
        <v>5100</v>
      </c>
      <c r="B3418" t="s">
        <v>206</v>
      </c>
      <c r="C3418" t="s">
        <v>749</v>
      </c>
      <c r="D3418" t="s">
        <v>2905</v>
      </c>
      <c r="E3418" s="7" t="s">
        <v>198</v>
      </c>
      <c r="F3418" s="7" t="s">
        <v>198</v>
      </c>
      <c r="G3418" s="7" t="s">
        <v>198</v>
      </c>
      <c r="H3418" s="7" t="s">
        <v>20</v>
      </c>
      <c r="I3418" s="7" t="s">
        <v>5102</v>
      </c>
      <c r="J3418" s="7" t="s">
        <v>21</v>
      </c>
      <c r="L3418" t="s">
        <v>4690</v>
      </c>
      <c r="M3418" s="7" t="s">
        <v>22</v>
      </c>
      <c r="N3418" s="7" t="s">
        <v>23</v>
      </c>
      <c r="O3418" s="7" t="s">
        <v>27</v>
      </c>
      <c r="P3418" s="7" t="s">
        <v>5101</v>
      </c>
      <c r="Q3418" s="26">
        <v>1</v>
      </c>
      <c r="R3418" s="26">
        <v>1</v>
      </c>
      <c r="S3418" s="40">
        <v>1</v>
      </c>
      <c r="T3418" s="7"/>
      <c r="U3418" s="7" t="s">
        <v>2951</v>
      </c>
      <c r="V3418" s="7" t="str">
        <f>+IF(U3418="","",IF(U3418="FINES",CONCATENATE("R",IF(OR(B3418="16",B3418="21",B3418="22",B3418="23"),"16212223",IF(OR(B3418="15",B3418="17",B3418="24",B3418="25"),"15172425",B3418))),IF(U3418="CEBAS","UNICO",IF(VALUE(B3418)&lt;=11,"AMBA","INTERIOR"))))</f>
        <v>R15172425</v>
      </c>
      <c r="W3418" s="38" t="str">
        <f>+IF(U3418="","-",CONCATENATE(U3418,"_",V3418))</f>
        <v>FINES_R15172425</v>
      </c>
      <c r="X3418" s="42">
        <v>0.56899999999999995</v>
      </c>
    </row>
    <row r="3419" spans="1:24">
      <c r="A3419" s="21" t="s">
        <v>5100</v>
      </c>
      <c r="B3419" t="s">
        <v>206</v>
      </c>
      <c r="C3419" t="s">
        <v>2160</v>
      </c>
      <c r="D3419" t="s">
        <v>2161</v>
      </c>
      <c r="E3419" s="7" t="s">
        <v>198</v>
      </c>
      <c r="F3419" s="7" t="s">
        <v>198</v>
      </c>
      <c r="G3419" s="7" t="s">
        <v>198</v>
      </c>
      <c r="H3419" s="7" t="s">
        <v>20</v>
      </c>
      <c r="I3419" s="7" t="s">
        <v>5102</v>
      </c>
      <c r="J3419" s="7" t="s">
        <v>21</v>
      </c>
      <c r="L3419" t="s">
        <v>4699</v>
      </c>
      <c r="M3419" s="7" t="s">
        <v>22</v>
      </c>
      <c r="N3419" s="7" t="s">
        <v>23</v>
      </c>
      <c r="O3419" s="7" t="s">
        <v>27</v>
      </c>
      <c r="P3419" s="7" t="s">
        <v>5101</v>
      </c>
      <c r="Q3419" s="26">
        <v>13</v>
      </c>
      <c r="R3419" s="26">
        <v>1</v>
      </c>
      <c r="S3419" s="40">
        <v>1</v>
      </c>
      <c r="T3419" s="7"/>
      <c r="U3419" s="7" t="s">
        <v>2951</v>
      </c>
      <c r="V3419" s="7" t="str">
        <f>+IF(U3419="","",IF(U3419="FINES",CONCATENATE("R",IF(OR(B3419="16",B3419="21",B3419="22",B3419="23"),"16212223",IF(OR(B3419="15",B3419="17",B3419="24",B3419="25"),"15172425",B3419))),IF(U3419="CEBAS","UNICO",IF(VALUE(B3419)&lt;=11,"AMBA","INTERIOR"))))</f>
        <v>R15172425</v>
      </c>
      <c r="W3419" s="38" t="str">
        <f>+IF(U3419="","-",CONCATENATE(U3419,"_",V3419))</f>
        <v>FINES_R15172425</v>
      </c>
      <c r="X3419" s="42">
        <v>0.57099999999999995</v>
      </c>
    </row>
    <row r="3420" spans="1:24">
      <c r="A3420" s="21" t="s">
        <v>5100</v>
      </c>
      <c r="B3420" t="s">
        <v>516</v>
      </c>
      <c r="C3420" t="s">
        <v>2195</v>
      </c>
      <c r="D3420" t="s">
        <v>2196</v>
      </c>
      <c r="E3420" s="7" t="s">
        <v>198</v>
      </c>
      <c r="F3420" s="7" t="s">
        <v>198</v>
      </c>
      <c r="G3420" s="7" t="s">
        <v>198</v>
      </c>
      <c r="H3420" s="7" t="s">
        <v>20</v>
      </c>
      <c r="I3420" s="7" t="s">
        <v>5102</v>
      </c>
      <c r="J3420" s="7" t="s">
        <v>21</v>
      </c>
      <c r="L3420" t="s">
        <v>5059</v>
      </c>
      <c r="M3420" s="7" t="s">
        <v>22</v>
      </c>
      <c r="N3420" s="7" t="s">
        <v>23</v>
      </c>
      <c r="O3420" s="7" t="s">
        <v>27</v>
      </c>
      <c r="P3420" s="7" t="s">
        <v>5101</v>
      </c>
      <c r="Q3420" s="26">
        <v>9</v>
      </c>
      <c r="R3420" s="26">
        <v>1</v>
      </c>
      <c r="S3420" s="40">
        <v>1</v>
      </c>
      <c r="T3420" s="7"/>
      <c r="U3420" s="7" t="s">
        <v>2951</v>
      </c>
      <c r="V3420" s="7" t="str">
        <f>+IF(U3420="","",IF(U3420="FINES",CONCATENATE("R",IF(OR(B3420="16",B3420="21",B3420="22",B3420="23"),"16212223",IF(OR(B3420="15",B3420="17",B3420="24",B3420="25"),"15172425",B3420))),IF(U3420="CEBAS","UNICO",IF(VALUE(B3420)&lt;=11,"AMBA","INTERIOR"))))</f>
        <v>R15172425</v>
      </c>
      <c r="W3420" s="38" t="str">
        <f>+IF(U3420="","-",CONCATENATE(U3420,"_",V3420))</f>
        <v>FINES_R15172425</v>
      </c>
      <c r="X3420" s="42">
        <v>0.58499999999999996</v>
      </c>
    </row>
    <row r="3421" spans="1:24">
      <c r="A3421" s="21" t="s">
        <v>5100</v>
      </c>
      <c r="B3421" t="s">
        <v>205</v>
      </c>
      <c r="C3421" t="s">
        <v>243</v>
      </c>
      <c r="D3421" t="s">
        <v>245</v>
      </c>
      <c r="E3421" s="7" t="s">
        <v>198</v>
      </c>
      <c r="F3421" s="7" t="s">
        <v>198</v>
      </c>
      <c r="G3421" s="7" t="s">
        <v>198</v>
      </c>
      <c r="H3421" s="7" t="s">
        <v>20</v>
      </c>
      <c r="I3421" s="7" t="s">
        <v>5102</v>
      </c>
      <c r="J3421" s="7" t="s">
        <v>21</v>
      </c>
      <c r="L3421" t="s">
        <v>4630</v>
      </c>
      <c r="M3421" s="7" t="s">
        <v>22</v>
      </c>
      <c r="N3421" s="7" t="s">
        <v>23</v>
      </c>
      <c r="O3421" s="7" t="s">
        <v>27</v>
      </c>
      <c r="P3421" s="7" t="s">
        <v>5101</v>
      </c>
      <c r="Q3421" s="26">
        <v>23</v>
      </c>
      <c r="R3421" s="26">
        <v>1</v>
      </c>
      <c r="S3421" s="40">
        <v>1</v>
      </c>
      <c r="T3421" s="7"/>
      <c r="U3421" s="7" t="s">
        <v>2951</v>
      </c>
      <c r="V3421" s="7" t="str">
        <f>+IF(U3421="","",IF(U3421="FINES",CONCATENATE("R",IF(OR(B3421="16",B3421="21",B3421="22",B3421="23"),"16212223",IF(OR(B3421="15",B3421="17",B3421="24",B3421="25"),"15172425",B3421))),IF(U3421="CEBAS","UNICO",IF(VALUE(B3421)&lt;=11,"AMBA","INTERIOR"))))</f>
        <v>R15172425</v>
      </c>
      <c r="W3421" s="38" t="str">
        <f>+IF(U3421="","-",CONCATENATE(U3421,"_",V3421))</f>
        <v>FINES_R15172425</v>
      </c>
      <c r="X3421" s="42">
        <v>0.59199999999999997</v>
      </c>
    </row>
    <row r="3422" spans="1:24">
      <c r="A3422" s="21" t="s">
        <v>5100</v>
      </c>
      <c r="B3422" t="s">
        <v>205</v>
      </c>
      <c r="C3422" t="s">
        <v>589</v>
      </c>
      <c r="D3422" t="s">
        <v>591</v>
      </c>
      <c r="E3422" s="7" t="s">
        <v>198</v>
      </c>
      <c r="F3422" s="7" t="s">
        <v>198</v>
      </c>
      <c r="G3422" s="7" t="s">
        <v>198</v>
      </c>
      <c r="H3422" s="7" t="s">
        <v>20</v>
      </c>
      <c r="I3422" s="7" t="s">
        <v>5102</v>
      </c>
      <c r="J3422" s="7" t="s">
        <v>21</v>
      </c>
      <c r="L3422" t="s">
        <v>2451</v>
      </c>
      <c r="M3422" s="7" t="s">
        <v>22</v>
      </c>
      <c r="N3422" s="7" t="s">
        <v>23</v>
      </c>
      <c r="O3422" s="7" t="s">
        <v>27</v>
      </c>
      <c r="P3422" s="7" t="s">
        <v>5101</v>
      </c>
      <c r="Q3422" s="26">
        <v>9</v>
      </c>
      <c r="R3422" s="26">
        <v>1</v>
      </c>
      <c r="S3422" s="40">
        <v>1</v>
      </c>
      <c r="T3422" s="7"/>
      <c r="U3422" s="7" t="s">
        <v>2951</v>
      </c>
      <c r="V3422" s="7" t="str">
        <f>+IF(U3422="","",IF(U3422="FINES",CONCATENATE("R",IF(OR(B3422="16",B3422="21",B3422="22",B3422="23"),"16212223",IF(OR(B3422="15",B3422="17",B3422="24",B3422="25"),"15172425",B3422))),IF(U3422="CEBAS","UNICO",IF(VALUE(B3422)&lt;=11,"AMBA","INTERIOR"))))</f>
        <v>R15172425</v>
      </c>
      <c r="W3422" s="38" t="str">
        <f>+IF(U3422="","-",CONCATENATE(U3422,"_",V3422))</f>
        <v>FINES_R15172425</v>
      </c>
      <c r="X3422" s="42">
        <v>0.6</v>
      </c>
    </row>
    <row r="3423" spans="1:24">
      <c r="A3423" s="21" t="s">
        <v>5100</v>
      </c>
      <c r="B3423" t="s">
        <v>221</v>
      </c>
      <c r="C3423" t="s">
        <v>558</v>
      </c>
      <c r="D3423" t="s">
        <v>1960</v>
      </c>
      <c r="E3423" s="7" t="s">
        <v>198</v>
      </c>
      <c r="F3423" s="7" t="s">
        <v>198</v>
      </c>
      <c r="G3423" s="7" t="s">
        <v>198</v>
      </c>
      <c r="H3423" s="7" t="s">
        <v>20</v>
      </c>
      <c r="I3423" s="7" t="s">
        <v>5102</v>
      </c>
      <c r="J3423" s="7" t="s">
        <v>21</v>
      </c>
      <c r="L3423" t="s">
        <v>5091</v>
      </c>
      <c r="M3423" s="7" t="s">
        <v>22</v>
      </c>
      <c r="N3423" s="7" t="s">
        <v>23</v>
      </c>
      <c r="O3423" s="7" t="s">
        <v>27</v>
      </c>
      <c r="P3423" s="7" t="s">
        <v>5101</v>
      </c>
      <c r="Q3423" s="26">
        <v>19</v>
      </c>
      <c r="R3423" s="26">
        <v>1</v>
      </c>
      <c r="S3423" s="40">
        <v>1</v>
      </c>
      <c r="T3423" s="7"/>
      <c r="U3423" s="7" t="s">
        <v>2951</v>
      </c>
      <c r="V3423" s="7" t="str">
        <f>+IF(U3423="","",IF(U3423="FINES",CONCATENATE("R",IF(OR(B3423="16",B3423="21",B3423="22",B3423="23"),"16212223",IF(OR(B3423="15",B3423="17",B3423="24",B3423="25"),"15172425",B3423))),IF(U3423="CEBAS","UNICO",IF(VALUE(B3423)&lt;=11,"AMBA","INTERIOR"))))</f>
        <v>R15172425</v>
      </c>
      <c r="W3423" s="38" t="str">
        <f>+IF(U3423="","-",CONCATENATE(U3423,"_",V3423))</f>
        <v>FINES_R15172425</v>
      </c>
      <c r="X3423" s="42">
        <v>0.63400000000000001</v>
      </c>
    </row>
    <row r="3424" spans="1:24">
      <c r="A3424" s="21" t="s">
        <v>5100</v>
      </c>
      <c r="B3424" t="s">
        <v>221</v>
      </c>
      <c r="C3424" t="s">
        <v>558</v>
      </c>
      <c r="D3424" t="s">
        <v>1960</v>
      </c>
      <c r="E3424" s="7" t="s">
        <v>198</v>
      </c>
      <c r="F3424" s="7" t="s">
        <v>198</v>
      </c>
      <c r="G3424" s="7" t="s">
        <v>198</v>
      </c>
      <c r="H3424" s="7" t="s">
        <v>20</v>
      </c>
      <c r="I3424" s="7" t="s">
        <v>5102</v>
      </c>
      <c r="J3424" s="7" t="s">
        <v>21</v>
      </c>
      <c r="L3424" t="s">
        <v>5088</v>
      </c>
      <c r="M3424" s="7" t="s">
        <v>22</v>
      </c>
      <c r="N3424" s="7" t="s">
        <v>23</v>
      </c>
      <c r="O3424" s="7" t="s">
        <v>27</v>
      </c>
      <c r="P3424" s="7" t="s">
        <v>5101</v>
      </c>
      <c r="Q3424" s="26">
        <v>20</v>
      </c>
      <c r="R3424" s="26">
        <v>1</v>
      </c>
      <c r="S3424" s="40">
        <v>1</v>
      </c>
      <c r="T3424" s="7"/>
      <c r="U3424" s="7" t="s">
        <v>2951</v>
      </c>
      <c r="V3424" s="7" t="str">
        <f>+IF(U3424="","",IF(U3424="FINES",CONCATENATE("R",IF(OR(B3424="16",B3424="21",B3424="22",B3424="23"),"16212223",IF(OR(B3424="15",B3424="17",B3424="24",B3424="25"),"15172425",B3424))),IF(U3424="CEBAS","UNICO",IF(VALUE(B3424)&lt;=11,"AMBA","INTERIOR"))))</f>
        <v>R15172425</v>
      </c>
      <c r="W3424" s="38" t="str">
        <f>+IF(U3424="","-",CONCATENATE(U3424,"_",V3424))</f>
        <v>FINES_R15172425</v>
      </c>
      <c r="X3424" s="42">
        <v>0.63500000000000001</v>
      </c>
    </row>
    <row r="3425" spans="1:24">
      <c r="A3425" s="21" t="s">
        <v>5100</v>
      </c>
      <c r="B3425" t="s">
        <v>516</v>
      </c>
      <c r="C3425" t="s">
        <v>889</v>
      </c>
      <c r="D3425" t="s">
        <v>2458</v>
      </c>
      <c r="E3425" s="7" t="s">
        <v>198</v>
      </c>
      <c r="F3425" s="7" t="s">
        <v>198</v>
      </c>
      <c r="G3425" s="7" t="s">
        <v>198</v>
      </c>
      <c r="H3425" s="7" t="s">
        <v>20</v>
      </c>
      <c r="I3425" s="7" t="s">
        <v>5102</v>
      </c>
      <c r="J3425" s="7" t="s">
        <v>21</v>
      </c>
      <c r="L3425" t="s">
        <v>5045</v>
      </c>
      <c r="M3425" s="7" t="s">
        <v>22</v>
      </c>
      <c r="N3425" s="7" t="s">
        <v>23</v>
      </c>
      <c r="O3425" s="7" t="s">
        <v>27</v>
      </c>
      <c r="P3425" s="7" t="s">
        <v>5101</v>
      </c>
      <c r="Q3425" s="26">
        <v>6</v>
      </c>
      <c r="R3425" s="26">
        <v>1</v>
      </c>
      <c r="S3425" s="40">
        <v>1</v>
      </c>
      <c r="T3425" s="7"/>
      <c r="U3425" s="7" t="s">
        <v>2951</v>
      </c>
      <c r="V3425" s="7" t="str">
        <f>+IF(U3425="","",IF(U3425="FINES",CONCATENATE("R",IF(OR(B3425="16",B3425="21",B3425="22",B3425="23"),"16212223",IF(OR(B3425="15",B3425="17",B3425="24",B3425="25"),"15172425",B3425))),IF(U3425="CEBAS","UNICO",IF(VALUE(B3425)&lt;=11,"AMBA","INTERIOR"))))</f>
        <v>R15172425</v>
      </c>
      <c r="W3425" s="38" t="str">
        <f>+IF(U3425="","-",CONCATENATE(U3425,"_",V3425))</f>
        <v>FINES_R15172425</v>
      </c>
      <c r="X3425" s="42">
        <v>0.66300000000000003</v>
      </c>
    </row>
    <row r="3426" spans="1:24">
      <c r="A3426" s="21" t="s">
        <v>5100</v>
      </c>
      <c r="B3426" t="s">
        <v>221</v>
      </c>
      <c r="C3426" t="s">
        <v>558</v>
      </c>
      <c r="D3426" t="s">
        <v>1960</v>
      </c>
      <c r="E3426" s="7" t="s">
        <v>198</v>
      </c>
      <c r="F3426" s="7" t="s">
        <v>198</v>
      </c>
      <c r="G3426" s="7" t="s">
        <v>198</v>
      </c>
      <c r="H3426" s="7" t="s">
        <v>20</v>
      </c>
      <c r="I3426" s="7" t="s">
        <v>5102</v>
      </c>
      <c r="J3426" s="7" t="s">
        <v>21</v>
      </c>
      <c r="L3426" t="s">
        <v>5094</v>
      </c>
      <c r="M3426" s="7" t="s">
        <v>22</v>
      </c>
      <c r="N3426" s="7" t="s">
        <v>23</v>
      </c>
      <c r="O3426" s="7" t="s">
        <v>27</v>
      </c>
      <c r="P3426" s="7" t="s">
        <v>5101</v>
      </c>
      <c r="Q3426" s="26">
        <v>16</v>
      </c>
      <c r="R3426" s="26">
        <v>1</v>
      </c>
      <c r="S3426" s="40">
        <v>1</v>
      </c>
      <c r="T3426" s="7"/>
      <c r="U3426" s="7" t="s">
        <v>2951</v>
      </c>
      <c r="V3426" s="7" t="str">
        <f>+IF(U3426="","",IF(U3426="FINES",CONCATENATE("R",IF(OR(B3426="16",B3426="21",B3426="22",B3426="23"),"16212223",IF(OR(B3426="15",B3426="17",B3426="24",B3426="25"),"15172425",B3426))),IF(U3426="CEBAS","UNICO",IF(VALUE(B3426)&lt;=11,"AMBA","INTERIOR"))))</f>
        <v>R15172425</v>
      </c>
      <c r="W3426" s="38" t="str">
        <f>+IF(U3426="","-",CONCATENATE(U3426,"_",V3426))</f>
        <v>FINES_R15172425</v>
      </c>
      <c r="X3426" s="42">
        <v>0.66600000000000004</v>
      </c>
    </row>
    <row r="3427" spans="1:24">
      <c r="A3427" s="21" t="s">
        <v>5100</v>
      </c>
      <c r="B3427" t="s">
        <v>516</v>
      </c>
      <c r="C3427" t="s">
        <v>889</v>
      </c>
      <c r="D3427" t="s">
        <v>2458</v>
      </c>
      <c r="E3427" s="7" t="s">
        <v>198</v>
      </c>
      <c r="F3427" s="7" t="s">
        <v>198</v>
      </c>
      <c r="G3427" s="7" t="s">
        <v>198</v>
      </c>
      <c r="H3427" s="7" t="s">
        <v>20</v>
      </c>
      <c r="I3427" s="7" t="s">
        <v>5102</v>
      </c>
      <c r="J3427" s="7" t="s">
        <v>21</v>
      </c>
      <c r="L3427" t="s">
        <v>5044</v>
      </c>
      <c r="M3427" s="7" t="s">
        <v>22</v>
      </c>
      <c r="N3427" s="7" t="s">
        <v>23</v>
      </c>
      <c r="O3427" s="7" t="s">
        <v>27</v>
      </c>
      <c r="P3427" s="7" t="s">
        <v>5101</v>
      </c>
      <c r="Q3427" s="26">
        <v>12</v>
      </c>
      <c r="R3427" s="26">
        <v>1</v>
      </c>
      <c r="S3427" s="40">
        <v>1</v>
      </c>
      <c r="T3427" s="7"/>
      <c r="U3427" s="7" t="s">
        <v>2951</v>
      </c>
      <c r="V3427" s="7" t="str">
        <f>+IF(U3427="","",IF(U3427="FINES",CONCATENATE("R",IF(OR(B3427="16",B3427="21",B3427="22",B3427="23"),"16212223",IF(OR(B3427="15",B3427="17",B3427="24",B3427="25"),"15172425",B3427))),IF(U3427="CEBAS","UNICO",IF(VALUE(B3427)&lt;=11,"AMBA","INTERIOR"))))</f>
        <v>R15172425</v>
      </c>
      <c r="W3427" s="38" t="str">
        <f>+IF(U3427="","-",CONCATENATE(U3427,"_",V3427))</f>
        <v>FINES_R15172425</v>
      </c>
      <c r="X3427" s="42">
        <v>0.66800000000000004</v>
      </c>
    </row>
    <row r="3428" spans="1:24">
      <c r="A3428" s="21" t="s">
        <v>5100</v>
      </c>
      <c r="B3428" t="s">
        <v>205</v>
      </c>
      <c r="C3428" t="s">
        <v>654</v>
      </c>
      <c r="D3428" t="s">
        <v>655</v>
      </c>
      <c r="E3428" s="7" t="s">
        <v>198</v>
      </c>
      <c r="F3428" s="7" t="s">
        <v>198</v>
      </c>
      <c r="G3428" s="7" t="s">
        <v>198</v>
      </c>
      <c r="H3428" s="7" t="s">
        <v>20</v>
      </c>
      <c r="I3428" s="7" t="s">
        <v>5102</v>
      </c>
      <c r="J3428" s="7" t="s">
        <v>21</v>
      </c>
      <c r="L3428" t="s">
        <v>4644</v>
      </c>
      <c r="M3428" s="7" t="s">
        <v>22</v>
      </c>
      <c r="N3428" s="7" t="s">
        <v>23</v>
      </c>
      <c r="O3428" s="7" t="s">
        <v>27</v>
      </c>
      <c r="P3428" s="7" t="s">
        <v>5101</v>
      </c>
      <c r="Q3428" s="26">
        <v>3</v>
      </c>
      <c r="R3428" s="26">
        <v>1</v>
      </c>
      <c r="S3428" s="40">
        <v>1</v>
      </c>
      <c r="T3428" s="7"/>
      <c r="U3428" s="7" t="s">
        <v>2951</v>
      </c>
      <c r="V3428" s="7" t="str">
        <f>+IF(U3428="","",IF(U3428="FINES",CONCATENATE("R",IF(OR(B3428="16",B3428="21",B3428="22",B3428="23"),"16212223",IF(OR(B3428="15",B3428="17",B3428="24",B3428="25"),"15172425",B3428))),IF(U3428="CEBAS","UNICO",IF(VALUE(B3428)&lt;=11,"AMBA","INTERIOR"))))</f>
        <v>R15172425</v>
      </c>
      <c r="W3428" s="38" t="str">
        <f>+IF(U3428="","-",CONCATENATE(U3428,"_",V3428))</f>
        <v>FINES_R15172425</v>
      </c>
      <c r="X3428" s="42">
        <v>0.67900000000000005</v>
      </c>
    </row>
    <row r="3429" spans="1:24">
      <c r="A3429" s="21" t="s">
        <v>5100</v>
      </c>
      <c r="B3429" t="s">
        <v>205</v>
      </c>
      <c r="C3429" t="s">
        <v>2002</v>
      </c>
      <c r="D3429" t="s">
        <v>2003</v>
      </c>
      <c r="E3429" s="7" t="s">
        <v>198</v>
      </c>
      <c r="F3429" s="7" t="s">
        <v>198</v>
      </c>
      <c r="G3429" s="7" t="s">
        <v>198</v>
      </c>
      <c r="H3429" s="7" t="s">
        <v>20</v>
      </c>
      <c r="I3429" s="7" t="s">
        <v>5102</v>
      </c>
      <c r="J3429" s="7" t="s">
        <v>21</v>
      </c>
      <c r="L3429" t="s">
        <v>4651</v>
      </c>
      <c r="M3429" s="7" t="s">
        <v>22</v>
      </c>
      <c r="N3429" s="7" t="s">
        <v>23</v>
      </c>
      <c r="O3429" s="7" t="s">
        <v>27</v>
      </c>
      <c r="P3429" s="7" t="s">
        <v>5101</v>
      </c>
      <c r="Q3429" s="26">
        <v>14</v>
      </c>
      <c r="R3429" s="26">
        <v>1</v>
      </c>
      <c r="S3429" s="40">
        <v>1</v>
      </c>
      <c r="T3429" s="7"/>
      <c r="U3429" s="7" t="s">
        <v>2951</v>
      </c>
      <c r="V3429" s="7" t="str">
        <f>+IF(U3429="","",IF(U3429="FINES",CONCATENATE("R",IF(OR(B3429="16",B3429="21",B3429="22",B3429="23"),"16212223",IF(OR(B3429="15",B3429="17",B3429="24",B3429="25"),"15172425",B3429))),IF(U3429="CEBAS","UNICO",IF(VALUE(B3429)&lt;=11,"AMBA","INTERIOR"))))</f>
        <v>R15172425</v>
      </c>
      <c r="W3429" s="38" t="str">
        <f>+IF(U3429="","-",CONCATENATE(U3429,"_",V3429))</f>
        <v>FINES_R15172425</v>
      </c>
      <c r="X3429" s="42">
        <v>0.67900000000000005</v>
      </c>
    </row>
    <row r="3430" spans="1:24">
      <c r="A3430" s="21" t="s">
        <v>5100</v>
      </c>
      <c r="B3430" t="s">
        <v>205</v>
      </c>
      <c r="C3430" t="s">
        <v>2002</v>
      </c>
      <c r="D3430" t="s">
        <v>2003</v>
      </c>
      <c r="E3430" s="7" t="s">
        <v>198</v>
      </c>
      <c r="F3430" s="7" t="s">
        <v>198</v>
      </c>
      <c r="G3430" s="7" t="s">
        <v>198</v>
      </c>
      <c r="H3430" s="7" t="s">
        <v>20</v>
      </c>
      <c r="I3430" s="7" t="s">
        <v>5102</v>
      </c>
      <c r="J3430" s="7" t="s">
        <v>21</v>
      </c>
      <c r="L3430" t="s">
        <v>4653</v>
      </c>
      <c r="M3430" s="7" t="s">
        <v>22</v>
      </c>
      <c r="N3430" s="7" t="s">
        <v>23</v>
      </c>
      <c r="O3430" s="7" t="s">
        <v>27</v>
      </c>
      <c r="P3430" s="7" t="s">
        <v>5101</v>
      </c>
      <c r="Q3430" s="26">
        <v>36</v>
      </c>
      <c r="R3430" s="26">
        <v>3</v>
      </c>
      <c r="S3430" s="40">
        <v>1</v>
      </c>
      <c r="T3430" s="7"/>
      <c r="U3430" s="7" t="s">
        <v>2951</v>
      </c>
      <c r="V3430" s="7" t="str">
        <f>+IF(U3430="","",IF(U3430="FINES",CONCATENATE("R",IF(OR(B3430="16",B3430="21",B3430="22",B3430="23"),"16212223",IF(OR(B3430="15",B3430="17",B3430="24",B3430="25"),"15172425",B3430))),IF(U3430="CEBAS","UNICO",IF(VALUE(B3430)&lt;=11,"AMBA","INTERIOR"))))</f>
        <v>R15172425</v>
      </c>
      <c r="W3430" s="38" t="str">
        <f>+IF(U3430="","-",CONCATENATE(U3430,"_",V3430))</f>
        <v>FINES_R15172425</v>
      </c>
      <c r="X3430" s="42">
        <v>0.69399999999999995</v>
      </c>
    </row>
    <row r="3431" spans="1:24">
      <c r="A3431" s="21" t="s">
        <v>5100</v>
      </c>
      <c r="B3431" t="s">
        <v>221</v>
      </c>
      <c r="C3431" t="s">
        <v>558</v>
      </c>
      <c r="D3431" t="s">
        <v>1960</v>
      </c>
      <c r="E3431" s="7" t="s">
        <v>198</v>
      </c>
      <c r="F3431" s="7" t="s">
        <v>198</v>
      </c>
      <c r="G3431" s="7" t="s">
        <v>198</v>
      </c>
      <c r="H3431" s="7" t="s">
        <v>20</v>
      </c>
      <c r="I3431" s="7" t="s">
        <v>5102</v>
      </c>
      <c r="J3431" s="7" t="s">
        <v>21</v>
      </c>
      <c r="L3431" t="s">
        <v>5087</v>
      </c>
      <c r="M3431" s="7" t="s">
        <v>22</v>
      </c>
      <c r="N3431" s="7" t="s">
        <v>23</v>
      </c>
      <c r="O3431" s="7" t="s">
        <v>27</v>
      </c>
      <c r="P3431" s="7" t="s">
        <v>5101</v>
      </c>
      <c r="Q3431" s="26">
        <v>51</v>
      </c>
      <c r="R3431" s="26">
        <v>2</v>
      </c>
      <c r="S3431" s="40">
        <v>1</v>
      </c>
      <c r="T3431" s="7"/>
      <c r="U3431" s="7" t="s">
        <v>2951</v>
      </c>
      <c r="V3431" s="7" t="str">
        <f>+IF(U3431="","",IF(U3431="FINES",CONCATENATE("R",IF(OR(B3431="16",B3431="21",B3431="22",B3431="23"),"16212223",IF(OR(B3431="15",B3431="17",B3431="24",B3431="25"),"15172425",B3431))),IF(U3431="CEBAS","UNICO",IF(VALUE(B3431)&lt;=11,"AMBA","INTERIOR"))))</f>
        <v>R15172425</v>
      </c>
      <c r="W3431" s="38" t="str">
        <f>+IF(U3431="","-",CONCATENATE(U3431,"_",V3431))</f>
        <v>FINES_R15172425</v>
      </c>
      <c r="X3431" s="42">
        <v>0.71399999999999997</v>
      </c>
    </row>
    <row r="3432" spans="1:24">
      <c r="A3432" s="21" t="s">
        <v>5100</v>
      </c>
      <c r="B3432" t="s">
        <v>205</v>
      </c>
      <c r="C3432" t="s">
        <v>589</v>
      </c>
      <c r="D3432" t="s">
        <v>591</v>
      </c>
      <c r="E3432" s="7" t="s">
        <v>198</v>
      </c>
      <c r="F3432" s="7" t="s">
        <v>198</v>
      </c>
      <c r="G3432" s="7" t="s">
        <v>198</v>
      </c>
      <c r="H3432" s="7" t="s">
        <v>20</v>
      </c>
      <c r="I3432" s="7" t="s">
        <v>5102</v>
      </c>
      <c r="J3432" s="7" t="s">
        <v>21</v>
      </c>
      <c r="L3432" t="s">
        <v>4637</v>
      </c>
      <c r="M3432" s="7" t="s">
        <v>22</v>
      </c>
      <c r="N3432" s="7" t="s">
        <v>23</v>
      </c>
      <c r="O3432" s="7" t="s">
        <v>27</v>
      </c>
      <c r="P3432" s="7" t="s">
        <v>5101</v>
      </c>
      <c r="Q3432" s="26">
        <v>5</v>
      </c>
      <c r="R3432" s="26">
        <v>1</v>
      </c>
      <c r="S3432" s="40">
        <v>1</v>
      </c>
      <c r="T3432" s="7"/>
      <c r="U3432" s="7" t="s">
        <v>2951</v>
      </c>
      <c r="V3432" s="7" t="str">
        <f>+IF(U3432="","",IF(U3432="FINES",CONCATENATE("R",IF(OR(B3432="16",B3432="21",B3432="22",B3432="23"),"16212223",IF(OR(B3432="15",B3432="17",B3432="24",B3432="25"),"15172425",B3432))),IF(U3432="CEBAS","UNICO",IF(VALUE(B3432)&lt;=11,"AMBA","INTERIOR"))))</f>
        <v>R15172425</v>
      </c>
      <c r="W3432" s="38" t="str">
        <f>+IF(U3432="","-",CONCATENATE(U3432,"_",V3432))</f>
        <v>FINES_R15172425</v>
      </c>
      <c r="X3432" s="42">
        <v>0.72899999999999998</v>
      </c>
    </row>
    <row r="3433" spans="1:24">
      <c r="A3433" s="21" t="s">
        <v>5100</v>
      </c>
      <c r="B3433" t="s">
        <v>205</v>
      </c>
      <c r="C3433" t="s">
        <v>243</v>
      </c>
      <c r="D3433" t="s">
        <v>245</v>
      </c>
      <c r="E3433" s="7" t="s">
        <v>198</v>
      </c>
      <c r="F3433" s="7" t="s">
        <v>198</v>
      </c>
      <c r="G3433" s="7" t="s">
        <v>198</v>
      </c>
      <c r="H3433" s="7" t="s">
        <v>20</v>
      </c>
      <c r="I3433" s="7" t="s">
        <v>5102</v>
      </c>
      <c r="J3433" s="7" t="s">
        <v>21</v>
      </c>
      <c r="L3433" t="s">
        <v>4631</v>
      </c>
      <c r="M3433" s="7" t="s">
        <v>22</v>
      </c>
      <c r="N3433" s="7" t="s">
        <v>23</v>
      </c>
      <c r="O3433" s="7" t="s">
        <v>27</v>
      </c>
      <c r="P3433" s="7" t="s">
        <v>5101</v>
      </c>
      <c r="Q3433" s="26">
        <v>13</v>
      </c>
      <c r="R3433" s="26">
        <v>1</v>
      </c>
      <c r="S3433" s="40">
        <v>1</v>
      </c>
      <c r="T3433" s="7"/>
      <c r="U3433" s="7" t="s">
        <v>2951</v>
      </c>
      <c r="V3433" s="7" t="str">
        <f>+IF(U3433="","",IF(U3433="FINES",CONCATENATE("R",IF(OR(B3433="16",B3433="21",B3433="22",B3433="23"),"16212223",IF(OR(B3433="15",B3433="17",B3433="24",B3433="25"),"15172425",B3433))),IF(U3433="CEBAS","UNICO",IF(VALUE(B3433)&lt;=11,"AMBA","INTERIOR"))))</f>
        <v>R15172425</v>
      </c>
      <c r="W3433" s="38" t="str">
        <f>+IF(U3433="","-",CONCATENATE(U3433,"_",V3433))</f>
        <v>FINES_R15172425</v>
      </c>
      <c r="X3433" s="42">
        <v>0.73099999999999998</v>
      </c>
    </row>
    <row r="3434" spans="1:24">
      <c r="A3434" s="21" t="s">
        <v>5100</v>
      </c>
      <c r="B3434" t="s">
        <v>205</v>
      </c>
      <c r="C3434" t="s">
        <v>255</v>
      </c>
      <c r="D3434" t="s">
        <v>750</v>
      </c>
      <c r="E3434" s="7" t="s">
        <v>198</v>
      </c>
      <c r="F3434" s="7" t="s">
        <v>198</v>
      </c>
      <c r="G3434" s="7" t="s">
        <v>198</v>
      </c>
      <c r="H3434" s="7" t="s">
        <v>20</v>
      </c>
      <c r="I3434" s="7" t="s">
        <v>5102</v>
      </c>
      <c r="J3434" s="7" t="s">
        <v>21</v>
      </c>
      <c r="L3434" t="s">
        <v>4645</v>
      </c>
      <c r="M3434" s="7" t="s">
        <v>22</v>
      </c>
      <c r="N3434" s="7" t="s">
        <v>23</v>
      </c>
      <c r="O3434" s="7" t="s">
        <v>27</v>
      </c>
      <c r="P3434" s="7" t="s">
        <v>5101</v>
      </c>
      <c r="Q3434" s="26">
        <v>245</v>
      </c>
      <c r="R3434" s="26">
        <v>8</v>
      </c>
      <c r="S3434" s="40">
        <v>1</v>
      </c>
      <c r="T3434" s="7"/>
      <c r="U3434" s="7" t="s">
        <v>2951</v>
      </c>
      <c r="V3434" s="7" t="str">
        <f>+IF(U3434="","",IF(U3434="FINES",CONCATENATE("R",IF(OR(B3434="16",B3434="21",B3434="22",B3434="23"),"16212223",IF(OR(B3434="15",B3434="17",B3434="24",B3434="25"),"15172425",B3434))),IF(U3434="CEBAS","UNICO",IF(VALUE(B3434)&lt;=11,"AMBA","INTERIOR"))))</f>
        <v>R15172425</v>
      </c>
      <c r="W3434" s="38" t="str">
        <f>+IF(U3434="","-",CONCATENATE(U3434,"_",V3434))</f>
        <v>FINES_R15172425</v>
      </c>
      <c r="X3434" s="42">
        <v>0.73599999999999999</v>
      </c>
    </row>
    <row r="3435" spans="1:24">
      <c r="A3435" s="21" t="s">
        <v>5100</v>
      </c>
      <c r="B3435" t="s">
        <v>221</v>
      </c>
      <c r="C3435" t="s">
        <v>737</v>
      </c>
      <c r="D3435" t="s">
        <v>2422</v>
      </c>
      <c r="E3435" s="7" t="s">
        <v>198</v>
      </c>
      <c r="F3435" s="7" t="s">
        <v>198</v>
      </c>
      <c r="G3435" s="7" t="s">
        <v>198</v>
      </c>
      <c r="H3435" s="7" t="s">
        <v>20</v>
      </c>
      <c r="I3435" s="7" t="s">
        <v>5102</v>
      </c>
      <c r="J3435" s="7" t="s">
        <v>21</v>
      </c>
      <c r="L3435" t="s">
        <v>5098</v>
      </c>
      <c r="M3435" s="7" t="s">
        <v>22</v>
      </c>
      <c r="N3435" s="7" t="s">
        <v>23</v>
      </c>
      <c r="O3435" s="7" t="s">
        <v>27</v>
      </c>
      <c r="P3435" s="7" t="s">
        <v>5101</v>
      </c>
      <c r="Q3435" s="26">
        <v>10</v>
      </c>
      <c r="R3435" s="26">
        <v>1</v>
      </c>
      <c r="S3435" s="40">
        <v>1</v>
      </c>
      <c r="T3435" s="7"/>
      <c r="U3435" s="7" t="s">
        <v>2951</v>
      </c>
      <c r="V3435" s="7" t="str">
        <f>+IF(U3435="","",IF(U3435="FINES",CONCATENATE("R",IF(OR(B3435="16",B3435="21",B3435="22",B3435="23"),"16212223",IF(OR(B3435="15",B3435="17",B3435="24",B3435="25"),"15172425",B3435))),IF(U3435="CEBAS","UNICO",IF(VALUE(B3435)&lt;=11,"AMBA","INTERIOR"))))</f>
        <v>R15172425</v>
      </c>
      <c r="W3435" s="38" t="str">
        <f>+IF(U3435="","-",CONCATENATE(U3435,"_",V3435))</f>
        <v>FINES_R15172425</v>
      </c>
      <c r="X3435" s="42">
        <v>0.73699999999999999</v>
      </c>
    </row>
    <row r="3436" spans="1:24">
      <c r="A3436" s="21" t="s">
        <v>5100</v>
      </c>
      <c r="B3436" t="s">
        <v>206</v>
      </c>
      <c r="C3436" t="s">
        <v>1850</v>
      </c>
      <c r="D3436" t="s">
        <v>1851</v>
      </c>
      <c r="E3436" s="7" t="s">
        <v>198</v>
      </c>
      <c r="F3436" s="7" t="s">
        <v>198</v>
      </c>
      <c r="G3436" s="7" t="s">
        <v>198</v>
      </c>
      <c r="H3436" s="7" t="s">
        <v>20</v>
      </c>
      <c r="I3436" s="7" t="s">
        <v>5102</v>
      </c>
      <c r="J3436" s="7" t="s">
        <v>21</v>
      </c>
      <c r="L3436" t="s">
        <v>4693</v>
      </c>
      <c r="M3436" s="7" t="s">
        <v>22</v>
      </c>
      <c r="N3436" s="7" t="s">
        <v>23</v>
      </c>
      <c r="O3436" s="7" t="s">
        <v>27</v>
      </c>
      <c r="P3436" s="7" t="s">
        <v>5101</v>
      </c>
      <c r="Q3436" s="26">
        <v>55</v>
      </c>
      <c r="R3436" s="26">
        <v>3</v>
      </c>
      <c r="S3436" s="40">
        <v>1</v>
      </c>
      <c r="T3436" s="7"/>
      <c r="U3436" s="7" t="s">
        <v>2951</v>
      </c>
      <c r="V3436" s="7" t="str">
        <f>+IF(U3436="","",IF(U3436="FINES",CONCATENATE("R",IF(OR(B3436="16",B3436="21",B3436="22",B3436="23"),"16212223",IF(OR(B3436="15",B3436="17",B3436="24",B3436="25"),"15172425",B3436))),IF(U3436="CEBAS","UNICO",IF(VALUE(B3436)&lt;=11,"AMBA","INTERIOR"))))</f>
        <v>R15172425</v>
      </c>
      <c r="W3436" s="38" t="str">
        <f>+IF(U3436="","-",CONCATENATE(U3436,"_",V3436))</f>
        <v>FINES_R15172425</v>
      </c>
      <c r="X3436" s="42">
        <v>0.73699999999999999</v>
      </c>
    </row>
    <row r="3437" spans="1:24">
      <c r="A3437" s="21" t="s">
        <v>5100</v>
      </c>
      <c r="B3437" t="s">
        <v>516</v>
      </c>
      <c r="C3437" t="s">
        <v>1348</v>
      </c>
      <c r="D3437" t="s">
        <v>1349</v>
      </c>
      <c r="E3437" s="7" t="s">
        <v>198</v>
      </c>
      <c r="F3437" s="7" t="s">
        <v>198</v>
      </c>
      <c r="G3437" s="7" t="s">
        <v>198</v>
      </c>
      <c r="H3437" s="7" t="s">
        <v>20</v>
      </c>
      <c r="I3437" s="7" t="s">
        <v>5102</v>
      </c>
      <c r="J3437" s="7" t="s">
        <v>21</v>
      </c>
      <c r="L3437" t="s">
        <v>5055</v>
      </c>
      <c r="M3437" s="7" t="s">
        <v>22</v>
      </c>
      <c r="N3437" s="7" t="s">
        <v>23</v>
      </c>
      <c r="O3437" s="7" t="s">
        <v>27</v>
      </c>
      <c r="P3437" s="7" t="s">
        <v>5101</v>
      </c>
      <c r="Q3437" s="26">
        <v>21</v>
      </c>
      <c r="R3437" s="26">
        <v>2</v>
      </c>
      <c r="S3437" s="40">
        <v>1</v>
      </c>
      <c r="T3437" s="7"/>
      <c r="U3437" s="7" t="s">
        <v>2951</v>
      </c>
      <c r="V3437" s="7" t="str">
        <f>+IF(U3437="","",IF(U3437="FINES",CONCATENATE("R",IF(OR(B3437="16",B3437="21",B3437="22",B3437="23"),"16212223",IF(OR(B3437="15",B3437="17",B3437="24",B3437="25"),"15172425",B3437))),IF(U3437="CEBAS","UNICO",IF(VALUE(B3437)&lt;=11,"AMBA","INTERIOR"))))</f>
        <v>R15172425</v>
      </c>
      <c r="W3437" s="38" t="str">
        <f>+IF(U3437="","-",CONCATENATE(U3437,"_",V3437))</f>
        <v>FINES_R15172425</v>
      </c>
      <c r="X3437" s="42">
        <v>0.73799999999999999</v>
      </c>
    </row>
    <row r="3438" spans="1:24">
      <c r="A3438" s="21" t="s">
        <v>5100</v>
      </c>
      <c r="B3438" t="s">
        <v>221</v>
      </c>
      <c r="C3438" t="s">
        <v>230</v>
      </c>
      <c r="D3438" t="s">
        <v>432</v>
      </c>
      <c r="E3438" s="7" t="s">
        <v>198</v>
      </c>
      <c r="F3438" s="7" t="s">
        <v>198</v>
      </c>
      <c r="G3438" s="7" t="s">
        <v>198</v>
      </c>
      <c r="H3438" s="7" t="s">
        <v>20</v>
      </c>
      <c r="I3438" s="7" t="s">
        <v>5102</v>
      </c>
      <c r="J3438" s="7" t="s">
        <v>21</v>
      </c>
      <c r="L3438" t="s">
        <v>3130</v>
      </c>
      <c r="M3438" s="7" t="s">
        <v>22</v>
      </c>
      <c r="N3438" s="7" t="s">
        <v>23</v>
      </c>
      <c r="O3438" s="7" t="s">
        <v>27</v>
      </c>
      <c r="P3438" s="7" t="s">
        <v>5101</v>
      </c>
      <c r="Q3438" s="26">
        <v>19</v>
      </c>
      <c r="R3438" s="26">
        <v>1</v>
      </c>
      <c r="S3438" s="40">
        <v>1</v>
      </c>
      <c r="T3438" s="7"/>
      <c r="U3438" s="7" t="s">
        <v>2951</v>
      </c>
      <c r="V3438" s="7" t="str">
        <f>+IF(U3438="","",IF(U3438="FINES",CONCATENATE("R",IF(OR(B3438="16",B3438="21",B3438="22",B3438="23"),"16212223",IF(OR(B3438="15",B3438="17",B3438="24",B3438="25"),"15172425",B3438))),IF(U3438="CEBAS","UNICO",IF(VALUE(B3438)&lt;=11,"AMBA","INTERIOR"))))</f>
        <v>R15172425</v>
      </c>
      <c r="W3438" s="38" t="str">
        <f>+IF(U3438="","-",CONCATENATE(U3438,"_",V3438))</f>
        <v>FINES_R15172425</v>
      </c>
      <c r="X3438" s="42">
        <v>0.73899999999999999</v>
      </c>
    </row>
    <row r="3439" spans="1:24">
      <c r="A3439" s="21" t="s">
        <v>5100</v>
      </c>
      <c r="B3439" t="s">
        <v>206</v>
      </c>
      <c r="C3439" t="s">
        <v>930</v>
      </c>
      <c r="D3439" t="s">
        <v>931</v>
      </c>
      <c r="E3439" s="7" t="s">
        <v>198</v>
      </c>
      <c r="F3439" s="7" t="s">
        <v>198</v>
      </c>
      <c r="G3439" s="7" t="s">
        <v>198</v>
      </c>
      <c r="H3439" s="7" t="s">
        <v>20</v>
      </c>
      <c r="I3439" s="7" t="s">
        <v>5102</v>
      </c>
      <c r="J3439" s="7" t="s">
        <v>21</v>
      </c>
      <c r="L3439" t="s">
        <v>4686</v>
      </c>
      <c r="M3439" s="7" t="s">
        <v>22</v>
      </c>
      <c r="N3439" s="7" t="s">
        <v>23</v>
      </c>
      <c r="O3439" s="7" t="s">
        <v>27</v>
      </c>
      <c r="P3439" s="7" t="s">
        <v>5101</v>
      </c>
      <c r="Q3439" s="26">
        <v>0</v>
      </c>
      <c r="R3439" s="26">
        <v>1</v>
      </c>
      <c r="S3439" s="40">
        <v>1</v>
      </c>
      <c r="T3439" s="7"/>
      <c r="U3439" s="7" t="s">
        <v>2951</v>
      </c>
      <c r="V3439" s="7" t="str">
        <f>+IF(U3439="","",IF(U3439="FINES",CONCATENATE("R",IF(OR(B3439="16",B3439="21",B3439="22",B3439="23"),"16212223",IF(OR(B3439="15",B3439="17",B3439="24",B3439="25"),"15172425",B3439))),IF(U3439="CEBAS","UNICO",IF(VALUE(B3439)&lt;=11,"AMBA","INTERIOR"))))</f>
        <v>R15172425</v>
      </c>
      <c r="W3439" s="38" t="str">
        <f>+IF(U3439="","-",CONCATENATE(U3439,"_",V3439))</f>
        <v>FINES_R15172425</v>
      </c>
      <c r="X3439" s="42">
        <v>0.74299999999999999</v>
      </c>
    </row>
    <row r="3440" spans="1:24">
      <c r="A3440" s="21" t="s">
        <v>5100</v>
      </c>
      <c r="B3440" t="s">
        <v>221</v>
      </c>
      <c r="C3440" t="s">
        <v>571</v>
      </c>
      <c r="D3440" t="s">
        <v>573</v>
      </c>
      <c r="E3440" s="7" t="s">
        <v>198</v>
      </c>
      <c r="F3440" s="7" t="s">
        <v>198</v>
      </c>
      <c r="G3440" s="7" t="s">
        <v>198</v>
      </c>
      <c r="H3440" s="7" t="s">
        <v>20</v>
      </c>
      <c r="I3440" s="7" t="s">
        <v>5102</v>
      </c>
      <c r="J3440" s="7" t="s">
        <v>21</v>
      </c>
      <c r="L3440" t="s">
        <v>5078</v>
      </c>
      <c r="M3440" s="7" t="s">
        <v>22</v>
      </c>
      <c r="N3440" s="7" t="s">
        <v>23</v>
      </c>
      <c r="O3440" s="7" t="s">
        <v>27</v>
      </c>
      <c r="P3440" s="7" t="s">
        <v>5101</v>
      </c>
      <c r="Q3440" s="26">
        <v>2</v>
      </c>
      <c r="R3440" s="26">
        <v>1</v>
      </c>
      <c r="S3440" s="40">
        <v>1</v>
      </c>
      <c r="T3440" s="7"/>
      <c r="U3440" s="7" t="s">
        <v>2951</v>
      </c>
      <c r="V3440" s="7" t="str">
        <f>+IF(U3440="","",IF(U3440="FINES",CONCATENATE("R",IF(OR(B3440="16",B3440="21",B3440="22",B3440="23"),"16212223",IF(OR(B3440="15",B3440="17",B3440="24",B3440="25"),"15172425",B3440))),IF(U3440="CEBAS","UNICO",IF(VALUE(B3440)&lt;=11,"AMBA","INTERIOR"))))</f>
        <v>R15172425</v>
      </c>
      <c r="W3440" s="38" t="str">
        <f>+IF(U3440="","-",CONCATENATE(U3440,"_",V3440))</f>
        <v>FINES_R15172425</v>
      </c>
      <c r="X3440" s="42">
        <v>0.754</v>
      </c>
    </row>
    <row r="3441" spans="1:24">
      <c r="A3441" s="21" t="s">
        <v>5100</v>
      </c>
      <c r="B3441" t="s">
        <v>206</v>
      </c>
      <c r="C3441" t="s">
        <v>1850</v>
      </c>
      <c r="D3441" t="s">
        <v>1851</v>
      </c>
      <c r="E3441" s="7" t="s">
        <v>198</v>
      </c>
      <c r="F3441" s="7" t="s">
        <v>198</v>
      </c>
      <c r="G3441" s="7" t="s">
        <v>198</v>
      </c>
      <c r="H3441" s="7" t="s">
        <v>20</v>
      </c>
      <c r="I3441" s="7" t="s">
        <v>5102</v>
      </c>
      <c r="J3441" s="7" t="s">
        <v>21</v>
      </c>
      <c r="L3441" t="s">
        <v>4694</v>
      </c>
      <c r="M3441" s="7" t="s">
        <v>22</v>
      </c>
      <c r="N3441" s="7" t="s">
        <v>23</v>
      </c>
      <c r="O3441" s="7" t="s">
        <v>27</v>
      </c>
      <c r="P3441" s="7" t="s">
        <v>5101</v>
      </c>
      <c r="Q3441" s="26">
        <v>11</v>
      </c>
      <c r="R3441" s="26">
        <v>1</v>
      </c>
      <c r="S3441" s="40">
        <v>1</v>
      </c>
      <c r="T3441" s="7"/>
      <c r="U3441" s="7" t="s">
        <v>2951</v>
      </c>
      <c r="V3441" s="7" t="str">
        <f>+IF(U3441="","",IF(U3441="FINES",CONCATENATE("R",IF(OR(B3441="16",B3441="21",B3441="22",B3441="23"),"16212223",IF(OR(B3441="15",B3441="17",B3441="24",B3441="25"),"15172425",B3441))),IF(U3441="CEBAS","UNICO",IF(VALUE(B3441)&lt;=11,"AMBA","INTERIOR"))))</f>
        <v>R15172425</v>
      </c>
      <c r="W3441" s="38" t="str">
        <f>+IF(U3441="","-",CONCATENATE(U3441,"_",V3441))</f>
        <v>FINES_R15172425</v>
      </c>
      <c r="X3441" s="42">
        <v>0.76600000000000001</v>
      </c>
    </row>
    <row r="3442" spans="1:24">
      <c r="A3442" s="21" t="s">
        <v>5100</v>
      </c>
      <c r="B3442" t="s">
        <v>205</v>
      </c>
      <c r="C3442" t="s">
        <v>1946</v>
      </c>
      <c r="D3442" t="s">
        <v>1947</v>
      </c>
      <c r="E3442" s="7" t="s">
        <v>198</v>
      </c>
      <c r="F3442" s="7" t="s">
        <v>198</v>
      </c>
      <c r="G3442" s="7" t="s">
        <v>198</v>
      </c>
      <c r="H3442" s="7" t="s">
        <v>20</v>
      </c>
      <c r="I3442" s="7" t="s">
        <v>5102</v>
      </c>
      <c r="J3442" s="7" t="s">
        <v>21</v>
      </c>
      <c r="L3442" t="s">
        <v>4629</v>
      </c>
      <c r="M3442" s="7" t="s">
        <v>22</v>
      </c>
      <c r="N3442" s="7" t="s">
        <v>23</v>
      </c>
      <c r="O3442" s="7" t="s">
        <v>27</v>
      </c>
      <c r="P3442" s="7" t="s">
        <v>5101</v>
      </c>
      <c r="Q3442" s="26">
        <v>15</v>
      </c>
      <c r="R3442" s="26">
        <v>1</v>
      </c>
      <c r="S3442" s="40">
        <v>1</v>
      </c>
      <c r="T3442" s="7"/>
      <c r="U3442" s="7" t="s">
        <v>2951</v>
      </c>
      <c r="V3442" s="7" t="str">
        <f>+IF(U3442="","",IF(U3442="FINES",CONCATENATE("R",IF(OR(B3442="16",B3442="21",B3442="22",B3442="23"),"16212223",IF(OR(B3442="15",B3442="17",B3442="24",B3442="25"),"15172425",B3442))),IF(U3442="CEBAS","UNICO",IF(VALUE(B3442)&lt;=11,"AMBA","INTERIOR"))))</f>
        <v>R15172425</v>
      </c>
      <c r="W3442" s="38" t="str">
        <f>+IF(U3442="","-",CONCATENATE(U3442,"_",V3442))</f>
        <v>FINES_R15172425</v>
      </c>
      <c r="X3442" s="42">
        <v>0.76900000000000002</v>
      </c>
    </row>
    <row r="3443" spans="1:24">
      <c r="A3443" s="21" t="s">
        <v>5100</v>
      </c>
      <c r="B3443" t="s">
        <v>205</v>
      </c>
      <c r="C3443" t="s">
        <v>589</v>
      </c>
      <c r="D3443" t="s">
        <v>591</v>
      </c>
      <c r="E3443" s="7" t="s">
        <v>198</v>
      </c>
      <c r="F3443" s="7" t="s">
        <v>198</v>
      </c>
      <c r="G3443" s="7" t="s">
        <v>198</v>
      </c>
      <c r="H3443" s="7" t="s">
        <v>20</v>
      </c>
      <c r="I3443" s="7" t="s">
        <v>5102</v>
      </c>
      <c r="J3443" s="7" t="s">
        <v>21</v>
      </c>
      <c r="L3443" t="s">
        <v>4634</v>
      </c>
      <c r="M3443" s="7" t="s">
        <v>22</v>
      </c>
      <c r="N3443" s="7" t="s">
        <v>23</v>
      </c>
      <c r="O3443" s="7" t="s">
        <v>27</v>
      </c>
      <c r="P3443" s="7" t="s">
        <v>5101</v>
      </c>
      <c r="Q3443" s="26">
        <v>9</v>
      </c>
      <c r="R3443" s="26">
        <v>1</v>
      </c>
      <c r="S3443" s="40">
        <v>1</v>
      </c>
      <c r="T3443" s="7"/>
      <c r="U3443" s="7" t="s">
        <v>2951</v>
      </c>
      <c r="V3443" s="7" t="str">
        <f>+IF(U3443="","",IF(U3443="FINES",CONCATENATE("R",IF(OR(B3443="16",B3443="21",B3443="22",B3443="23"),"16212223",IF(OR(B3443="15",B3443="17",B3443="24",B3443="25"),"15172425",B3443))),IF(U3443="CEBAS","UNICO",IF(VALUE(B3443)&lt;=11,"AMBA","INTERIOR"))))</f>
        <v>R15172425</v>
      </c>
      <c r="W3443" s="38" t="str">
        <f>+IF(U3443="","-",CONCATENATE(U3443,"_",V3443))</f>
        <v>FINES_R15172425</v>
      </c>
      <c r="X3443" s="42">
        <v>0.77</v>
      </c>
    </row>
    <row r="3444" spans="1:24">
      <c r="A3444" s="21" t="s">
        <v>5100</v>
      </c>
      <c r="B3444" t="s">
        <v>221</v>
      </c>
      <c r="C3444" t="s">
        <v>558</v>
      </c>
      <c r="D3444" t="s">
        <v>1960</v>
      </c>
      <c r="E3444" s="7" t="s">
        <v>198</v>
      </c>
      <c r="F3444" s="7" t="s">
        <v>198</v>
      </c>
      <c r="G3444" s="7" t="s">
        <v>198</v>
      </c>
      <c r="H3444" s="7" t="s">
        <v>20</v>
      </c>
      <c r="I3444" s="7" t="s">
        <v>5102</v>
      </c>
      <c r="J3444" s="7" t="s">
        <v>21</v>
      </c>
      <c r="L3444" t="s">
        <v>5086</v>
      </c>
      <c r="M3444" s="7" t="s">
        <v>22</v>
      </c>
      <c r="N3444" s="7" t="s">
        <v>23</v>
      </c>
      <c r="O3444" s="7" t="s">
        <v>27</v>
      </c>
      <c r="P3444" s="7" t="s">
        <v>5101</v>
      </c>
      <c r="Q3444" s="26">
        <v>26</v>
      </c>
      <c r="R3444" s="26">
        <v>1</v>
      </c>
      <c r="S3444" s="40">
        <v>1</v>
      </c>
      <c r="T3444" s="7"/>
      <c r="U3444" s="7" t="s">
        <v>2951</v>
      </c>
      <c r="V3444" s="7" t="str">
        <f>+IF(U3444="","",IF(U3444="FINES",CONCATENATE("R",IF(OR(B3444="16",B3444="21",B3444="22",B3444="23"),"16212223",IF(OR(B3444="15",B3444="17",B3444="24",B3444="25"),"15172425",B3444))),IF(U3444="CEBAS","UNICO",IF(VALUE(B3444)&lt;=11,"AMBA","INTERIOR"))))</f>
        <v>R15172425</v>
      </c>
      <c r="W3444" s="38" t="str">
        <f>+IF(U3444="","-",CONCATENATE(U3444,"_",V3444))</f>
        <v>FINES_R15172425</v>
      </c>
      <c r="X3444" s="42">
        <v>0.78200000000000003</v>
      </c>
    </row>
    <row r="3445" spans="1:24">
      <c r="A3445" s="21" t="s">
        <v>5100</v>
      </c>
      <c r="B3445" t="s">
        <v>205</v>
      </c>
      <c r="C3445" t="s">
        <v>589</v>
      </c>
      <c r="D3445" t="s">
        <v>591</v>
      </c>
      <c r="E3445" s="7" t="s">
        <v>198</v>
      </c>
      <c r="F3445" s="7" t="s">
        <v>198</v>
      </c>
      <c r="G3445" s="7" t="s">
        <v>198</v>
      </c>
      <c r="H3445" s="7" t="s">
        <v>20</v>
      </c>
      <c r="I3445" s="7" t="s">
        <v>5102</v>
      </c>
      <c r="J3445" s="7" t="s">
        <v>21</v>
      </c>
      <c r="L3445" t="s">
        <v>4633</v>
      </c>
      <c r="M3445" s="7" t="s">
        <v>22</v>
      </c>
      <c r="N3445" s="7" t="s">
        <v>23</v>
      </c>
      <c r="O3445" s="7" t="s">
        <v>27</v>
      </c>
      <c r="P3445" s="7" t="s">
        <v>5101</v>
      </c>
      <c r="Q3445" s="26">
        <v>9</v>
      </c>
      <c r="R3445" s="26">
        <v>1</v>
      </c>
      <c r="S3445" s="40">
        <v>1</v>
      </c>
      <c r="T3445" s="7"/>
      <c r="U3445" s="7" t="s">
        <v>2951</v>
      </c>
      <c r="V3445" s="7" t="str">
        <f>+IF(U3445="","",IF(U3445="FINES",CONCATENATE("R",IF(OR(B3445="16",B3445="21",B3445="22",B3445="23"),"16212223",IF(OR(B3445="15",B3445="17",B3445="24",B3445="25"),"15172425",B3445))),IF(U3445="CEBAS","UNICO",IF(VALUE(B3445)&lt;=11,"AMBA","INTERIOR"))))</f>
        <v>R15172425</v>
      </c>
      <c r="W3445" s="38" t="str">
        <f>+IF(U3445="","-",CONCATENATE(U3445,"_",V3445))</f>
        <v>FINES_R15172425</v>
      </c>
      <c r="X3445" s="42">
        <v>0.78400000000000003</v>
      </c>
    </row>
    <row r="3446" spans="1:24">
      <c r="A3446" s="21" t="s">
        <v>5100</v>
      </c>
      <c r="B3446" t="s">
        <v>206</v>
      </c>
      <c r="C3446" t="s">
        <v>739</v>
      </c>
      <c r="D3446" t="s">
        <v>740</v>
      </c>
      <c r="E3446" s="7" t="s">
        <v>198</v>
      </c>
      <c r="F3446" s="7" t="s">
        <v>198</v>
      </c>
      <c r="G3446" s="7" t="s">
        <v>198</v>
      </c>
      <c r="H3446" s="7" t="s">
        <v>20</v>
      </c>
      <c r="I3446" s="7" t="s">
        <v>5102</v>
      </c>
      <c r="J3446" s="7" t="s">
        <v>21</v>
      </c>
      <c r="L3446" t="s">
        <v>4678</v>
      </c>
      <c r="M3446" s="7" t="s">
        <v>22</v>
      </c>
      <c r="N3446" s="7" t="s">
        <v>23</v>
      </c>
      <c r="O3446" s="7" t="s">
        <v>27</v>
      </c>
      <c r="P3446" s="7" t="s">
        <v>5101</v>
      </c>
      <c r="Q3446" s="26">
        <v>10</v>
      </c>
      <c r="R3446" s="26">
        <v>1</v>
      </c>
      <c r="S3446" s="40">
        <v>1</v>
      </c>
      <c r="T3446" s="7"/>
      <c r="U3446" s="7" t="s">
        <v>2951</v>
      </c>
      <c r="V3446" s="7" t="str">
        <f>+IF(U3446="","",IF(U3446="FINES",CONCATENATE("R",IF(OR(B3446="16",B3446="21",B3446="22",B3446="23"),"16212223",IF(OR(B3446="15",B3446="17",B3446="24",B3446="25"),"15172425",B3446))),IF(U3446="CEBAS","UNICO",IF(VALUE(B3446)&lt;=11,"AMBA","INTERIOR"))))</f>
        <v>R15172425</v>
      </c>
      <c r="W3446" s="38" t="str">
        <f>+IF(U3446="","-",CONCATENATE(U3446,"_",V3446))</f>
        <v>FINES_R15172425</v>
      </c>
      <c r="X3446" s="42">
        <v>0.78800000000000003</v>
      </c>
    </row>
    <row r="3447" spans="1:24">
      <c r="A3447" s="21" t="s">
        <v>5100</v>
      </c>
      <c r="B3447" t="s">
        <v>516</v>
      </c>
      <c r="C3447" t="s">
        <v>2195</v>
      </c>
      <c r="D3447" t="s">
        <v>2196</v>
      </c>
      <c r="E3447" s="7" t="s">
        <v>198</v>
      </c>
      <c r="F3447" s="7" t="s">
        <v>198</v>
      </c>
      <c r="G3447" s="7" t="s">
        <v>198</v>
      </c>
      <c r="H3447" s="7" t="s">
        <v>20</v>
      </c>
      <c r="I3447" s="7" t="s">
        <v>5102</v>
      </c>
      <c r="J3447" s="7" t="s">
        <v>21</v>
      </c>
      <c r="L3447" t="s">
        <v>5061</v>
      </c>
      <c r="M3447" s="7" t="s">
        <v>22</v>
      </c>
      <c r="N3447" s="7" t="s">
        <v>23</v>
      </c>
      <c r="O3447" s="7" t="s">
        <v>27</v>
      </c>
      <c r="P3447" s="7" t="s">
        <v>5101</v>
      </c>
      <c r="Q3447" s="26">
        <v>58</v>
      </c>
      <c r="R3447" s="26">
        <v>3</v>
      </c>
      <c r="S3447" s="40">
        <v>1</v>
      </c>
      <c r="T3447" s="7"/>
      <c r="U3447" s="7" t="s">
        <v>2951</v>
      </c>
      <c r="V3447" s="7" t="str">
        <f>+IF(U3447="","",IF(U3447="FINES",CONCATENATE("R",IF(OR(B3447="16",B3447="21",B3447="22",B3447="23"),"16212223",IF(OR(B3447="15",B3447="17",B3447="24",B3447="25"),"15172425",B3447))),IF(U3447="CEBAS","UNICO",IF(VALUE(B3447)&lt;=11,"AMBA","INTERIOR"))))</f>
        <v>R15172425</v>
      </c>
      <c r="W3447" s="38" t="str">
        <f>+IF(U3447="","-",CONCATENATE(U3447,"_",V3447))</f>
        <v>FINES_R15172425</v>
      </c>
      <c r="X3447" s="42">
        <v>0.79900000000000004</v>
      </c>
    </row>
    <row r="3448" spans="1:24">
      <c r="A3448" s="21" t="s">
        <v>5100</v>
      </c>
      <c r="B3448" t="s">
        <v>206</v>
      </c>
      <c r="C3448" t="s">
        <v>903</v>
      </c>
      <c r="D3448" t="s">
        <v>904</v>
      </c>
      <c r="E3448" s="7" t="s">
        <v>198</v>
      </c>
      <c r="F3448" s="7" t="s">
        <v>198</v>
      </c>
      <c r="G3448" s="7" t="s">
        <v>198</v>
      </c>
      <c r="H3448" s="7" t="s">
        <v>20</v>
      </c>
      <c r="I3448" s="7" t="s">
        <v>5102</v>
      </c>
      <c r="J3448" s="7" t="s">
        <v>21</v>
      </c>
      <c r="L3448" t="s">
        <v>4682</v>
      </c>
      <c r="M3448" s="7" t="s">
        <v>22</v>
      </c>
      <c r="N3448" s="7" t="s">
        <v>23</v>
      </c>
      <c r="O3448" s="7" t="s">
        <v>27</v>
      </c>
      <c r="P3448" s="7" t="s">
        <v>5101</v>
      </c>
      <c r="Q3448" s="26">
        <v>13</v>
      </c>
      <c r="R3448" s="26">
        <v>1</v>
      </c>
      <c r="S3448" s="40">
        <v>1</v>
      </c>
      <c r="T3448" s="7"/>
      <c r="U3448" s="7" t="s">
        <v>2951</v>
      </c>
      <c r="V3448" s="7" t="str">
        <f>+IF(U3448="","",IF(U3448="FINES",CONCATENATE("R",IF(OR(B3448="16",B3448="21",B3448="22",B3448="23"),"16212223",IF(OR(B3448="15",B3448="17",B3448="24",B3448="25"),"15172425",B3448))),IF(U3448="CEBAS","UNICO",IF(VALUE(B3448)&lt;=11,"AMBA","INTERIOR"))))</f>
        <v>R15172425</v>
      </c>
      <c r="W3448" s="38" t="str">
        <f>+IF(U3448="","-",CONCATENATE(U3448,"_",V3448))</f>
        <v>FINES_R15172425</v>
      </c>
      <c r="X3448" s="42">
        <v>0.80500000000000005</v>
      </c>
    </row>
    <row r="3449" spans="1:24">
      <c r="A3449" s="21" t="s">
        <v>5100</v>
      </c>
      <c r="B3449" t="s">
        <v>205</v>
      </c>
      <c r="C3449" t="s">
        <v>654</v>
      </c>
      <c r="D3449" t="s">
        <v>655</v>
      </c>
      <c r="E3449" s="7" t="s">
        <v>198</v>
      </c>
      <c r="F3449" s="7" t="s">
        <v>198</v>
      </c>
      <c r="G3449" s="7" t="s">
        <v>198</v>
      </c>
      <c r="H3449" s="7" t="s">
        <v>20</v>
      </c>
      <c r="I3449" s="7" t="s">
        <v>5102</v>
      </c>
      <c r="J3449" s="7" t="s">
        <v>21</v>
      </c>
      <c r="L3449" t="s">
        <v>4642</v>
      </c>
      <c r="M3449" s="7" t="s">
        <v>22</v>
      </c>
      <c r="N3449" s="7" t="s">
        <v>23</v>
      </c>
      <c r="O3449" s="7" t="s">
        <v>27</v>
      </c>
      <c r="P3449" s="7" t="s">
        <v>5101</v>
      </c>
      <c r="Q3449" s="26">
        <v>4</v>
      </c>
      <c r="R3449" s="26">
        <v>1</v>
      </c>
      <c r="S3449" s="40">
        <v>1</v>
      </c>
      <c r="T3449" s="7"/>
      <c r="U3449" s="7" t="s">
        <v>2951</v>
      </c>
      <c r="V3449" s="7" t="str">
        <f>+IF(U3449="","",IF(U3449="FINES",CONCATENATE("R",IF(OR(B3449="16",B3449="21",B3449="22",B3449="23"),"16212223",IF(OR(B3449="15",B3449="17",B3449="24",B3449="25"),"15172425",B3449))),IF(U3449="CEBAS","UNICO",IF(VALUE(B3449)&lt;=11,"AMBA","INTERIOR"))))</f>
        <v>R15172425</v>
      </c>
      <c r="W3449" s="38" t="str">
        <f>+IF(U3449="","-",CONCATENATE(U3449,"_",V3449))</f>
        <v>FINES_R15172425</v>
      </c>
      <c r="X3449" s="42">
        <v>0.81399999999999995</v>
      </c>
    </row>
    <row r="3450" spans="1:24">
      <c r="A3450" s="21" t="s">
        <v>5100</v>
      </c>
      <c r="B3450" t="s">
        <v>516</v>
      </c>
      <c r="C3450" t="s">
        <v>2195</v>
      </c>
      <c r="D3450" t="s">
        <v>2196</v>
      </c>
      <c r="E3450" s="7" t="s">
        <v>198</v>
      </c>
      <c r="F3450" s="7" t="s">
        <v>198</v>
      </c>
      <c r="G3450" s="7" t="s">
        <v>198</v>
      </c>
      <c r="H3450" s="7" t="s">
        <v>20</v>
      </c>
      <c r="I3450" s="7" t="s">
        <v>5102</v>
      </c>
      <c r="J3450" s="7" t="s">
        <v>21</v>
      </c>
      <c r="L3450" t="s">
        <v>5060</v>
      </c>
      <c r="M3450" s="7" t="s">
        <v>22</v>
      </c>
      <c r="N3450" s="7" t="s">
        <v>23</v>
      </c>
      <c r="O3450" s="7" t="s">
        <v>27</v>
      </c>
      <c r="P3450" s="7" t="s">
        <v>5101</v>
      </c>
      <c r="Q3450" s="26">
        <v>64</v>
      </c>
      <c r="R3450" s="26">
        <v>3</v>
      </c>
      <c r="S3450" s="40">
        <v>1</v>
      </c>
      <c r="T3450" s="7"/>
      <c r="U3450" s="7" t="s">
        <v>2951</v>
      </c>
      <c r="V3450" s="7" t="str">
        <f>+IF(U3450="","",IF(U3450="FINES",CONCATENATE("R",IF(OR(B3450="16",B3450="21",B3450="22",B3450="23"),"16212223",IF(OR(B3450="15",B3450="17",B3450="24",B3450="25"),"15172425",B3450))),IF(U3450="CEBAS","UNICO",IF(VALUE(B3450)&lt;=11,"AMBA","INTERIOR"))))</f>
        <v>R15172425</v>
      </c>
      <c r="W3450" s="38" t="str">
        <f>+IF(U3450="","-",CONCATENATE(U3450,"_",V3450))</f>
        <v>FINES_R15172425</v>
      </c>
      <c r="X3450" s="42">
        <v>0.82699999999999996</v>
      </c>
    </row>
    <row r="3451" spans="1:24">
      <c r="A3451" s="21" t="s">
        <v>5100</v>
      </c>
      <c r="B3451" t="s">
        <v>206</v>
      </c>
      <c r="C3451" t="s">
        <v>903</v>
      </c>
      <c r="D3451" t="s">
        <v>904</v>
      </c>
      <c r="E3451" s="7" t="s">
        <v>198</v>
      </c>
      <c r="F3451" s="7" t="s">
        <v>198</v>
      </c>
      <c r="G3451" s="7" t="s">
        <v>198</v>
      </c>
      <c r="H3451" s="7" t="s">
        <v>20</v>
      </c>
      <c r="I3451" s="7" t="s">
        <v>5102</v>
      </c>
      <c r="J3451" s="7" t="s">
        <v>21</v>
      </c>
      <c r="L3451" t="s">
        <v>4683</v>
      </c>
      <c r="M3451" s="7" t="s">
        <v>22</v>
      </c>
      <c r="N3451" s="7" t="s">
        <v>23</v>
      </c>
      <c r="O3451" s="7" t="s">
        <v>27</v>
      </c>
      <c r="P3451" s="7" t="s">
        <v>5101</v>
      </c>
      <c r="Q3451" s="26">
        <v>17</v>
      </c>
      <c r="R3451" s="26">
        <v>1</v>
      </c>
      <c r="S3451" s="40">
        <v>1</v>
      </c>
      <c r="T3451" s="7"/>
      <c r="U3451" s="7" t="s">
        <v>2951</v>
      </c>
      <c r="V3451" s="7" t="str">
        <f>+IF(U3451="","",IF(U3451="FINES",CONCATENATE("R",IF(OR(B3451="16",B3451="21",B3451="22",B3451="23"),"16212223",IF(OR(B3451="15",B3451="17",B3451="24",B3451="25"),"15172425",B3451))),IF(U3451="CEBAS","UNICO",IF(VALUE(B3451)&lt;=11,"AMBA","INTERIOR"))))</f>
        <v>R15172425</v>
      </c>
      <c r="W3451" s="38" t="str">
        <f>+IF(U3451="","-",CONCATENATE(U3451,"_",V3451))</f>
        <v>FINES_R15172425</v>
      </c>
      <c r="X3451" s="42">
        <v>0.83</v>
      </c>
    </row>
    <row r="3452" spans="1:24">
      <c r="A3452" s="21" t="s">
        <v>5100</v>
      </c>
      <c r="B3452" t="s">
        <v>205</v>
      </c>
      <c r="C3452" t="s">
        <v>2002</v>
      </c>
      <c r="D3452" t="s">
        <v>2003</v>
      </c>
      <c r="E3452" s="7" t="s">
        <v>198</v>
      </c>
      <c r="F3452" s="7" t="s">
        <v>198</v>
      </c>
      <c r="G3452" s="7" t="s">
        <v>198</v>
      </c>
      <c r="H3452" s="7" t="s">
        <v>20</v>
      </c>
      <c r="I3452" s="7" t="s">
        <v>5102</v>
      </c>
      <c r="J3452" s="7" t="s">
        <v>21</v>
      </c>
      <c r="L3452" t="s">
        <v>4540</v>
      </c>
      <c r="M3452" s="7" t="s">
        <v>22</v>
      </c>
      <c r="N3452" s="7" t="s">
        <v>23</v>
      </c>
      <c r="O3452" s="7" t="s">
        <v>27</v>
      </c>
      <c r="P3452" s="7" t="s">
        <v>5101</v>
      </c>
      <c r="Q3452" s="26">
        <v>18</v>
      </c>
      <c r="R3452" s="26">
        <v>1</v>
      </c>
      <c r="S3452" s="40">
        <v>1</v>
      </c>
      <c r="T3452" s="7"/>
      <c r="U3452" s="7" t="s">
        <v>2951</v>
      </c>
      <c r="V3452" s="7" t="str">
        <f>+IF(U3452="","",IF(U3452="FINES",CONCATENATE("R",IF(OR(B3452="16",B3452="21",B3452="22",B3452="23"),"16212223",IF(OR(B3452="15",B3452="17",B3452="24",B3452="25"),"15172425",B3452))),IF(U3452="CEBAS","UNICO",IF(VALUE(B3452)&lt;=11,"AMBA","INTERIOR"))))</f>
        <v>R15172425</v>
      </c>
      <c r="W3452" s="38" t="str">
        <f>+IF(U3452="","-",CONCATENATE(U3452,"_",V3452))</f>
        <v>FINES_R15172425</v>
      </c>
      <c r="X3452" s="42">
        <v>0.85099999999999998</v>
      </c>
    </row>
    <row r="3453" spans="1:24">
      <c r="A3453" s="21" t="s">
        <v>5100</v>
      </c>
      <c r="B3453" t="s">
        <v>221</v>
      </c>
      <c r="C3453" t="s">
        <v>230</v>
      </c>
      <c r="D3453" t="s">
        <v>432</v>
      </c>
      <c r="E3453" s="7" t="s">
        <v>198</v>
      </c>
      <c r="F3453" s="7" t="s">
        <v>198</v>
      </c>
      <c r="G3453" s="7" t="s">
        <v>198</v>
      </c>
      <c r="H3453" s="7" t="s">
        <v>20</v>
      </c>
      <c r="I3453" s="7" t="s">
        <v>5102</v>
      </c>
      <c r="J3453" s="7" t="s">
        <v>21</v>
      </c>
      <c r="L3453" t="s">
        <v>5064</v>
      </c>
      <c r="M3453" s="7" t="s">
        <v>22</v>
      </c>
      <c r="N3453" s="7" t="s">
        <v>23</v>
      </c>
      <c r="O3453" s="7" t="s">
        <v>27</v>
      </c>
      <c r="P3453" s="7" t="s">
        <v>5101</v>
      </c>
      <c r="Q3453" s="26">
        <v>12</v>
      </c>
      <c r="R3453" s="26">
        <v>1</v>
      </c>
      <c r="S3453" s="40">
        <v>1</v>
      </c>
      <c r="T3453" s="7"/>
      <c r="U3453" s="7" t="s">
        <v>2951</v>
      </c>
      <c r="V3453" s="7" t="str">
        <f>+IF(U3453="","",IF(U3453="FINES",CONCATENATE("R",IF(OR(B3453="16",B3453="21",B3453="22",B3453="23"),"16212223",IF(OR(B3453="15",B3453="17",B3453="24",B3453="25"),"15172425",B3453))),IF(U3453="CEBAS","UNICO",IF(VALUE(B3453)&lt;=11,"AMBA","INTERIOR"))))</f>
        <v>R15172425</v>
      </c>
      <c r="W3453" s="38" t="str">
        <f>+IF(U3453="","-",CONCATENATE(U3453,"_",V3453))</f>
        <v>FINES_R15172425</v>
      </c>
      <c r="X3453" s="42">
        <v>0.85699999999999998</v>
      </c>
    </row>
    <row r="3454" spans="1:24">
      <c r="A3454" s="21" t="s">
        <v>5100</v>
      </c>
      <c r="B3454" t="s">
        <v>221</v>
      </c>
      <c r="C3454" t="s">
        <v>558</v>
      </c>
      <c r="D3454" t="s">
        <v>1960</v>
      </c>
      <c r="E3454" s="7" t="s">
        <v>198</v>
      </c>
      <c r="F3454" s="7" t="s">
        <v>198</v>
      </c>
      <c r="G3454" s="7" t="s">
        <v>198</v>
      </c>
      <c r="H3454" s="7" t="s">
        <v>20</v>
      </c>
      <c r="I3454" s="7" t="s">
        <v>5102</v>
      </c>
      <c r="J3454" s="7" t="s">
        <v>21</v>
      </c>
      <c r="L3454" t="s">
        <v>5090</v>
      </c>
      <c r="M3454" s="7" t="s">
        <v>22</v>
      </c>
      <c r="N3454" s="7" t="s">
        <v>23</v>
      </c>
      <c r="O3454" s="7" t="s">
        <v>27</v>
      </c>
      <c r="P3454" s="7" t="s">
        <v>5101</v>
      </c>
      <c r="Q3454" s="26">
        <v>16</v>
      </c>
      <c r="R3454" s="26">
        <v>1</v>
      </c>
      <c r="S3454" s="40">
        <v>1</v>
      </c>
      <c r="T3454" s="7"/>
      <c r="U3454" s="7" t="s">
        <v>2951</v>
      </c>
      <c r="V3454" s="7" t="str">
        <f>+IF(U3454="","",IF(U3454="FINES",CONCATENATE("R",IF(OR(B3454="16",B3454="21",B3454="22",B3454="23"),"16212223",IF(OR(B3454="15",B3454="17",B3454="24",B3454="25"),"15172425",B3454))),IF(U3454="CEBAS","UNICO",IF(VALUE(B3454)&lt;=11,"AMBA","INTERIOR"))))</f>
        <v>R15172425</v>
      </c>
      <c r="W3454" s="38" t="str">
        <f>+IF(U3454="","-",CONCATENATE(U3454,"_",V3454))</f>
        <v>FINES_R15172425</v>
      </c>
      <c r="X3454" s="42">
        <v>0.89300000000000002</v>
      </c>
    </row>
    <row r="3455" spans="1:24">
      <c r="A3455" s="21" t="s">
        <v>5100</v>
      </c>
      <c r="B3455" t="s">
        <v>205</v>
      </c>
      <c r="C3455" t="s">
        <v>589</v>
      </c>
      <c r="D3455" t="s">
        <v>591</v>
      </c>
      <c r="E3455" s="7" t="s">
        <v>198</v>
      </c>
      <c r="F3455" s="7" t="s">
        <v>198</v>
      </c>
      <c r="G3455" s="7" t="s">
        <v>198</v>
      </c>
      <c r="H3455" s="7" t="s">
        <v>20</v>
      </c>
      <c r="I3455" s="7" t="s">
        <v>5102</v>
      </c>
      <c r="J3455" s="7" t="s">
        <v>21</v>
      </c>
      <c r="L3455" t="s">
        <v>4638</v>
      </c>
      <c r="M3455" s="7" t="s">
        <v>22</v>
      </c>
      <c r="N3455" s="7" t="s">
        <v>23</v>
      </c>
      <c r="O3455" s="7" t="s">
        <v>27</v>
      </c>
      <c r="P3455" s="7" t="s">
        <v>5101</v>
      </c>
      <c r="Q3455" s="26">
        <v>10</v>
      </c>
      <c r="R3455" s="26">
        <v>1</v>
      </c>
      <c r="S3455" s="40">
        <v>1</v>
      </c>
      <c r="T3455" s="7"/>
      <c r="U3455" s="7" t="s">
        <v>2951</v>
      </c>
      <c r="V3455" s="7" t="str">
        <f>+IF(U3455="","",IF(U3455="FINES",CONCATENATE("R",IF(OR(B3455="16",B3455="21",B3455="22",B3455="23"),"16212223",IF(OR(B3455="15",B3455="17",B3455="24",B3455="25"),"15172425",B3455))),IF(U3455="CEBAS","UNICO",IF(VALUE(B3455)&lt;=11,"AMBA","INTERIOR"))))</f>
        <v>R15172425</v>
      </c>
      <c r="W3455" s="38" t="str">
        <f>+IF(U3455="","-",CONCATENATE(U3455,"_",V3455))</f>
        <v>FINES_R15172425</v>
      </c>
      <c r="X3455" s="42">
        <v>0.92700000000000005</v>
      </c>
    </row>
    <row r="3456" spans="1:24">
      <c r="A3456" s="21" t="s">
        <v>5100</v>
      </c>
      <c r="B3456" t="s">
        <v>205</v>
      </c>
      <c r="C3456" t="s">
        <v>255</v>
      </c>
      <c r="D3456" t="s">
        <v>750</v>
      </c>
      <c r="E3456" s="7" t="s">
        <v>198</v>
      </c>
      <c r="F3456" s="7" t="s">
        <v>198</v>
      </c>
      <c r="G3456" s="7" t="s">
        <v>198</v>
      </c>
      <c r="H3456" s="7" t="s">
        <v>20</v>
      </c>
      <c r="I3456" s="7" t="s">
        <v>5102</v>
      </c>
      <c r="J3456" s="7" t="s">
        <v>21</v>
      </c>
      <c r="L3456" t="s">
        <v>4646</v>
      </c>
      <c r="M3456" s="7" t="s">
        <v>22</v>
      </c>
      <c r="N3456" s="7" t="s">
        <v>23</v>
      </c>
      <c r="O3456" s="7" t="s">
        <v>27</v>
      </c>
      <c r="P3456" s="7" t="s">
        <v>5101</v>
      </c>
      <c r="Q3456" s="26">
        <v>0</v>
      </c>
      <c r="R3456" s="26">
        <v>1</v>
      </c>
      <c r="S3456" s="40">
        <v>1</v>
      </c>
      <c r="T3456" s="7"/>
      <c r="U3456" s="7" t="s">
        <v>2951</v>
      </c>
      <c r="V3456" s="7" t="str">
        <f>+IF(U3456="","",IF(U3456="FINES",CONCATENATE("R",IF(OR(B3456="16",B3456="21",B3456="22",B3456="23"),"16212223",IF(OR(B3456="15",B3456="17",B3456="24",B3456="25"),"15172425",B3456))),IF(U3456="CEBAS","UNICO",IF(VALUE(B3456)&lt;=11,"AMBA","INTERIOR"))))</f>
        <v>R15172425</v>
      </c>
      <c r="W3456" s="38" t="str">
        <f>+IF(U3456="","-",CONCATENATE(U3456,"_",V3456))</f>
        <v>FINES_R15172425</v>
      </c>
      <c r="X3456" s="42">
        <v>0.93899999999999995</v>
      </c>
    </row>
    <row r="3457" spans="1:24">
      <c r="A3457" s="21" t="s">
        <v>5100</v>
      </c>
      <c r="B3457" t="s">
        <v>221</v>
      </c>
      <c r="C3457" t="s">
        <v>230</v>
      </c>
      <c r="D3457" t="s">
        <v>432</v>
      </c>
      <c r="E3457" s="7" t="s">
        <v>198</v>
      </c>
      <c r="F3457" s="7" t="s">
        <v>198</v>
      </c>
      <c r="G3457" s="7" t="s">
        <v>198</v>
      </c>
      <c r="H3457" s="7" t="s">
        <v>20</v>
      </c>
      <c r="I3457" s="7" t="s">
        <v>5102</v>
      </c>
      <c r="J3457" s="7" t="s">
        <v>21</v>
      </c>
      <c r="L3457" t="s">
        <v>5075</v>
      </c>
      <c r="M3457" s="7" t="s">
        <v>22</v>
      </c>
      <c r="N3457" s="7" t="s">
        <v>23</v>
      </c>
      <c r="O3457" s="7" t="s">
        <v>27</v>
      </c>
      <c r="P3457" s="7" t="s">
        <v>5101</v>
      </c>
      <c r="Q3457" s="26">
        <v>24</v>
      </c>
      <c r="R3457" s="26">
        <v>1</v>
      </c>
      <c r="S3457" s="40">
        <v>1</v>
      </c>
      <c r="T3457" s="7"/>
      <c r="U3457" s="7" t="s">
        <v>2951</v>
      </c>
      <c r="V3457" s="7" t="str">
        <f>+IF(U3457="","",IF(U3457="FINES",CONCATENATE("R",IF(OR(B3457="16",B3457="21",B3457="22",B3457="23"),"16212223",IF(OR(B3457="15",B3457="17",B3457="24",B3457="25"),"15172425",B3457))),IF(U3457="CEBAS","UNICO",IF(VALUE(B3457)&lt;=11,"AMBA","INTERIOR"))))</f>
        <v>R15172425</v>
      </c>
      <c r="W3457" s="38" t="str">
        <f>+IF(U3457="","-",CONCATENATE(U3457,"_",V3457))</f>
        <v>FINES_R15172425</v>
      </c>
      <c r="X3457" s="42">
        <v>0.96299999999999997</v>
      </c>
    </row>
    <row r="3458" spans="1:24">
      <c r="A3458" s="21" t="s">
        <v>5100</v>
      </c>
      <c r="B3458" t="s">
        <v>221</v>
      </c>
      <c r="C3458" t="s">
        <v>558</v>
      </c>
      <c r="D3458" t="s">
        <v>1960</v>
      </c>
      <c r="E3458" s="7" t="s">
        <v>198</v>
      </c>
      <c r="F3458" s="7" t="s">
        <v>198</v>
      </c>
      <c r="G3458" s="7" t="s">
        <v>198</v>
      </c>
      <c r="H3458" s="7" t="s">
        <v>20</v>
      </c>
      <c r="I3458" s="7" t="s">
        <v>5102</v>
      </c>
      <c r="J3458" s="7" t="s">
        <v>21</v>
      </c>
      <c r="L3458" t="s">
        <v>5085</v>
      </c>
      <c r="M3458" s="7" t="s">
        <v>22</v>
      </c>
      <c r="N3458" s="7" t="s">
        <v>23</v>
      </c>
      <c r="O3458" s="7" t="s">
        <v>27</v>
      </c>
      <c r="P3458" s="7" t="s">
        <v>5101</v>
      </c>
      <c r="Q3458" s="26">
        <v>49</v>
      </c>
      <c r="R3458" s="26">
        <v>1</v>
      </c>
      <c r="S3458" s="40">
        <v>1</v>
      </c>
      <c r="T3458" s="7"/>
      <c r="U3458" s="7" t="s">
        <v>2951</v>
      </c>
      <c r="V3458" s="7" t="str">
        <f>+IF(U3458="","",IF(U3458="FINES",CONCATENATE("R",IF(OR(B3458="16",B3458="21",B3458="22",B3458="23"),"16212223",IF(OR(B3458="15",B3458="17",B3458="24",B3458="25"),"15172425",B3458))),IF(U3458="CEBAS","UNICO",IF(VALUE(B3458)&lt;=11,"AMBA","INTERIOR"))))</f>
        <v>R15172425</v>
      </c>
      <c r="W3458" s="38" t="str">
        <f>+IF(U3458="","-",CONCATENATE(U3458,"_",V3458))</f>
        <v>FINES_R15172425</v>
      </c>
      <c r="X3458" s="42">
        <v>0.98199999999999998</v>
      </c>
    </row>
    <row r="3459" spans="1:24">
      <c r="A3459" s="21" t="s">
        <v>5100</v>
      </c>
      <c r="B3459" t="s">
        <v>205</v>
      </c>
      <c r="C3459" t="s">
        <v>2002</v>
      </c>
      <c r="D3459" t="s">
        <v>2003</v>
      </c>
      <c r="E3459" s="7" t="s">
        <v>198</v>
      </c>
      <c r="F3459" s="7" t="s">
        <v>198</v>
      </c>
      <c r="G3459" s="7" t="s">
        <v>198</v>
      </c>
      <c r="H3459" s="7" t="s">
        <v>20</v>
      </c>
      <c r="I3459" s="7" t="s">
        <v>5102</v>
      </c>
      <c r="J3459" s="7" t="s">
        <v>21</v>
      </c>
      <c r="L3459" t="s">
        <v>4654</v>
      </c>
      <c r="M3459" s="7" t="s">
        <v>22</v>
      </c>
      <c r="N3459" s="7" t="s">
        <v>23</v>
      </c>
      <c r="O3459" s="7" t="s">
        <v>27</v>
      </c>
      <c r="P3459" s="7" t="s">
        <v>5101</v>
      </c>
      <c r="Q3459" s="26">
        <v>5</v>
      </c>
      <c r="R3459" s="26">
        <v>1</v>
      </c>
      <c r="S3459" s="40">
        <v>1</v>
      </c>
      <c r="T3459" s="7"/>
      <c r="U3459" s="7" t="s">
        <v>2951</v>
      </c>
      <c r="V3459" s="7" t="str">
        <f>+IF(U3459="","",IF(U3459="FINES",CONCATENATE("R",IF(OR(B3459="16",B3459="21",B3459="22",B3459="23"),"16212223",IF(OR(B3459="15",B3459="17",B3459="24",B3459="25"),"15172425",B3459))),IF(U3459="CEBAS","UNICO",IF(VALUE(B3459)&lt;=11,"AMBA","INTERIOR"))))</f>
        <v>R15172425</v>
      </c>
      <c r="W3459" s="38" t="str">
        <f>+IF(U3459="","-",CONCATENATE(U3459,"_",V3459))</f>
        <v>FINES_R15172425</v>
      </c>
      <c r="X3459" s="42">
        <v>0.99</v>
      </c>
    </row>
    <row r="3460" spans="1:24">
      <c r="A3460" s="21" t="s">
        <v>5100</v>
      </c>
      <c r="B3460" t="s">
        <v>203</v>
      </c>
      <c r="C3460" t="s">
        <v>450</v>
      </c>
      <c r="D3460" t="s">
        <v>452</v>
      </c>
      <c r="E3460" s="7" t="s">
        <v>198</v>
      </c>
      <c r="F3460" s="7" t="s">
        <v>198</v>
      </c>
      <c r="G3460" s="7" t="s">
        <v>198</v>
      </c>
      <c r="H3460" s="7" t="s">
        <v>20</v>
      </c>
      <c r="I3460" s="7" t="s">
        <v>5102</v>
      </c>
      <c r="J3460" s="7" t="s">
        <v>21</v>
      </c>
      <c r="L3460" t="s">
        <v>4991</v>
      </c>
      <c r="M3460" s="7" t="s">
        <v>22</v>
      </c>
      <c r="N3460" s="7" t="s">
        <v>23</v>
      </c>
      <c r="O3460" s="7" t="s">
        <v>27</v>
      </c>
      <c r="P3460" s="7" t="s">
        <v>5101</v>
      </c>
      <c r="Q3460" s="26">
        <v>32</v>
      </c>
      <c r="R3460" s="26">
        <v>1</v>
      </c>
      <c r="S3460" s="40">
        <v>1</v>
      </c>
      <c r="T3460" s="7"/>
      <c r="U3460" s="7" t="s">
        <v>2951</v>
      </c>
      <c r="V3460" s="7" t="str">
        <f>+IF(U3460="","",IF(U3460="FINES",CONCATENATE("R",IF(OR(B3460="16",B3460="21",B3460="22",B3460="23"),"16212223",IF(OR(B3460="15",B3460="17",B3460="24",B3460="25"),"15172425",B3460))),IF(U3460="CEBAS","UNICO",IF(VALUE(B3460)&lt;=11,"AMBA","INTERIOR"))))</f>
        <v>R16212223</v>
      </c>
      <c r="W3460" s="38" t="str">
        <f>+IF(U3460="","-",CONCATENATE(U3460,"_",V3460))</f>
        <v>FINES_R16212223</v>
      </c>
      <c r="X3460" s="42">
        <v>1.2999999999999999E-2</v>
      </c>
    </row>
    <row r="3461" spans="1:24">
      <c r="A3461" s="21" t="s">
        <v>5100</v>
      </c>
      <c r="B3461" t="s">
        <v>203</v>
      </c>
      <c r="C3461" t="s">
        <v>450</v>
      </c>
      <c r="D3461" t="s">
        <v>452</v>
      </c>
      <c r="E3461" s="7" t="s">
        <v>198</v>
      </c>
      <c r="F3461" s="7" t="s">
        <v>198</v>
      </c>
      <c r="G3461" s="7" t="s">
        <v>198</v>
      </c>
      <c r="H3461" s="7" t="s">
        <v>20</v>
      </c>
      <c r="I3461" s="7" t="s">
        <v>5102</v>
      </c>
      <c r="J3461" s="7" t="s">
        <v>21</v>
      </c>
      <c r="L3461" t="s">
        <v>4994</v>
      </c>
      <c r="M3461" s="7" t="s">
        <v>22</v>
      </c>
      <c r="N3461" s="7" t="s">
        <v>23</v>
      </c>
      <c r="O3461" s="7" t="s">
        <v>27</v>
      </c>
      <c r="P3461" s="7" t="s">
        <v>5101</v>
      </c>
      <c r="Q3461" s="26">
        <v>16</v>
      </c>
      <c r="R3461" s="26">
        <v>1</v>
      </c>
      <c r="S3461" s="40">
        <v>1</v>
      </c>
      <c r="T3461" s="7"/>
      <c r="U3461" s="7" t="s">
        <v>2951</v>
      </c>
      <c r="V3461" s="7" t="str">
        <f>+IF(U3461="","",IF(U3461="FINES",CONCATENATE("R",IF(OR(B3461="16",B3461="21",B3461="22",B3461="23"),"16212223",IF(OR(B3461="15",B3461="17",B3461="24",B3461="25"),"15172425",B3461))),IF(U3461="CEBAS","UNICO",IF(VALUE(B3461)&lt;=11,"AMBA","INTERIOR"))))</f>
        <v>R16212223</v>
      </c>
      <c r="W3461" s="38" t="str">
        <f>+IF(U3461="","-",CONCATENATE(U3461,"_",V3461))</f>
        <v>FINES_R16212223</v>
      </c>
      <c r="X3461" s="42">
        <v>2.7E-2</v>
      </c>
    </row>
    <row r="3462" spans="1:24">
      <c r="A3462" s="21" t="s">
        <v>5100</v>
      </c>
      <c r="B3462" t="s">
        <v>203</v>
      </c>
      <c r="C3462" t="s">
        <v>450</v>
      </c>
      <c r="D3462" t="s">
        <v>452</v>
      </c>
      <c r="E3462" s="7" t="s">
        <v>198</v>
      </c>
      <c r="F3462" s="7" t="s">
        <v>198</v>
      </c>
      <c r="G3462" s="7" t="s">
        <v>198</v>
      </c>
      <c r="H3462" s="7" t="s">
        <v>20</v>
      </c>
      <c r="I3462" s="7" t="s">
        <v>5102</v>
      </c>
      <c r="J3462" s="7" t="s">
        <v>21</v>
      </c>
      <c r="L3462" t="s">
        <v>4986</v>
      </c>
      <c r="M3462" s="7" t="s">
        <v>22</v>
      </c>
      <c r="N3462" s="7" t="s">
        <v>23</v>
      </c>
      <c r="O3462" s="7" t="s">
        <v>27</v>
      </c>
      <c r="P3462" s="7" t="s">
        <v>5101</v>
      </c>
      <c r="Q3462" s="26">
        <v>33</v>
      </c>
      <c r="R3462" s="26">
        <v>1</v>
      </c>
      <c r="S3462" s="40">
        <v>1</v>
      </c>
      <c r="T3462" s="7"/>
      <c r="U3462" s="7" t="s">
        <v>2951</v>
      </c>
      <c r="V3462" s="7" t="str">
        <f>+IF(U3462="","",IF(U3462="FINES",CONCATENATE("R",IF(OR(B3462="16",B3462="21",B3462="22",B3462="23"),"16212223",IF(OR(B3462="15",B3462="17",B3462="24",B3462="25"),"15172425",B3462))),IF(U3462="CEBAS","UNICO",IF(VALUE(B3462)&lt;=11,"AMBA","INTERIOR"))))</f>
        <v>R16212223</v>
      </c>
      <c r="W3462" s="38" t="str">
        <f>+IF(U3462="","-",CONCATENATE(U3462,"_",V3462))</f>
        <v>FINES_R16212223</v>
      </c>
      <c r="X3462" s="42">
        <v>3.7999999999999999E-2</v>
      </c>
    </row>
    <row r="3463" spans="1:24">
      <c r="A3463" s="21" t="s">
        <v>5100</v>
      </c>
      <c r="B3463" t="s">
        <v>203</v>
      </c>
      <c r="C3463" t="s">
        <v>331</v>
      </c>
      <c r="D3463" t="s">
        <v>2491</v>
      </c>
      <c r="E3463" s="7" t="s">
        <v>198</v>
      </c>
      <c r="F3463" s="7" t="s">
        <v>198</v>
      </c>
      <c r="G3463" s="7" t="s">
        <v>198</v>
      </c>
      <c r="H3463" s="7" t="s">
        <v>20</v>
      </c>
      <c r="I3463" s="7" t="s">
        <v>5102</v>
      </c>
      <c r="J3463" s="7" t="s">
        <v>21</v>
      </c>
      <c r="L3463" t="s">
        <v>5013</v>
      </c>
      <c r="M3463" s="7" t="s">
        <v>22</v>
      </c>
      <c r="N3463" s="7" t="s">
        <v>23</v>
      </c>
      <c r="O3463" s="7" t="s">
        <v>27</v>
      </c>
      <c r="P3463" s="7" t="s">
        <v>5101</v>
      </c>
      <c r="Q3463" s="26">
        <v>48</v>
      </c>
      <c r="R3463" s="26">
        <v>2</v>
      </c>
      <c r="S3463" s="40">
        <v>1</v>
      </c>
      <c r="T3463" s="7"/>
      <c r="U3463" s="7" t="s">
        <v>2951</v>
      </c>
      <c r="V3463" s="7" t="str">
        <f>+IF(U3463="","",IF(U3463="FINES",CONCATENATE("R",IF(OR(B3463="16",B3463="21",B3463="22",B3463="23"),"16212223",IF(OR(B3463="15",B3463="17",B3463="24",B3463="25"),"15172425",B3463))),IF(U3463="CEBAS","UNICO",IF(VALUE(B3463)&lt;=11,"AMBA","INTERIOR"))))</f>
        <v>R16212223</v>
      </c>
      <c r="W3463" s="38" t="str">
        <f>+IF(U3463="","-",CONCATENATE(U3463,"_",V3463))</f>
        <v>FINES_R16212223</v>
      </c>
      <c r="X3463" s="42">
        <v>3.9E-2</v>
      </c>
    </row>
    <row r="3464" spans="1:24">
      <c r="A3464" s="21" t="s">
        <v>5100</v>
      </c>
      <c r="B3464" t="s">
        <v>223</v>
      </c>
      <c r="C3464" t="s">
        <v>1195</v>
      </c>
      <c r="D3464" t="s">
        <v>1196</v>
      </c>
      <c r="E3464" s="7" t="s">
        <v>198</v>
      </c>
      <c r="F3464" s="7" t="s">
        <v>198</v>
      </c>
      <c r="G3464" s="7" t="s">
        <v>198</v>
      </c>
      <c r="H3464" s="7" t="s">
        <v>20</v>
      </c>
      <c r="I3464" s="7" t="s">
        <v>5102</v>
      </c>
      <c r="J3464" s="7" t="s">
        <v>21</v>
      </c>
      <c r="L3464" t="s">
        <v>5028</v>
      </c>
      <c r="M3464" s="7" t="s">
        <v>22</v>
      </c>
      <c r="N3464" s="7" t="s">
        <v>23</v>
      </c>
      <c r="O3464" s="7" t="s">
        <v>27</v>
      </c>
      <c r="P3464" s="7" t="s">
        <v>5101</v>
      </c>
      <c r="Q3464" s="26">
        <v>16</v>
      </c>
      <c r="R3464" s="26">
        <v>1</v>
      </c>
      <c r="S3464" s="40">
        <v>1</v>
      </c>
      <c r="T3464" s="7"/>
      <c r="U3464" s="7" t="s">
        <v>2951</v>
      </c>
      <c r="V3464" s="7" t="str">
        <f>+IF(U3464="","",IF(U3464="FINES",CONCATENATE("R",IF(OR(B3464="16",B3464="21",B3464="22",B3464="23"),"16212223",IF(OR(B3464="15",B3464="17",B3464="24",B3464="25"),"15172425",B3464))),IF(U3464="CEBAS","UNICO",IF(VALUE(B3464)&lt;=11,"AMBA","INTERIOR"))))</f>
        <v>R16212223</v>
      </c>
      <c r="W3464" s="38" t="str">
        <f>+IF(U3464="","-",CONCATENATE(U3464,"_",V3464))</f>
        <v>FINES_R16212223</v>
      </c>
      <c r="X3464" s="42">
        <v>5.2999999999999999E-2</v>
      </c>
    </row>
    <row r="3465" spans="1:24">
      <c r="A3465" s="21" t="s">
        <v>5100</v>
      </c>
      <c r="B3465" t="s">
        <v>203</v>
      </c>
      <c r="C3465" t="s">
        <v>1986</v>
      </c>
      <c r="D3465" t="s">
        <v>1987</v>
      </c>
      <c r="E3465" s="7" t="s">
        <v>198</v>
      </c>
      <c r="F3465" s="7" t="s">
        <v>198</v>
      </c>
      <c r="G3465" s="7" t="s">
        <v>198</v>
      </c>
      <c r="H3465" s="7" t="s">
        <v>20</v>
      </c>
      <c r="I3465" s="7" t="s">
        <v>5102</v>
      </c>
      <c r="J3465" s="7" t="s">
        <v>21</v>
      </c>
      <c r="L3465" t="s">
        <v>5005</v>
      </c>
      <c r="M3465" s="7" t="s">
        <v>22</v>
      </c>
      <c r="N3465" s="7" t="s">
        <v>23</v>
      </c>
      <c r="O3465" s="7" t="s">
        <v>27</v>
      </c>
      <c r="P3465" s="7" t="s">
        <v>5101</v>
      </c>
      <c r="Q3465" s="26">
        <v>10</v>
      </c>
      <c r="R3465" s="26">
        <v>1</v>
      </c>
      <c r="S3465" s="40">
        <v>1</v>
      </c>
      <c r="T3465" s="7"/>
      <c r="U3465" s="7" t="s">
        <v>2951</v>
      </c>
      <c r="V3465" s="7" t="str">
        <f>+IF(U3465="","",IF(U3465="FINES",CONCATENATE("R",IF(OR(B3465="16",B3465="21",B3465="22",B3465="23"),"16212223",IF(OR(B3465="15",B3465="17",B3465="24",B3465="25"),"15172425",B3465))),IF(U3465="CEBAS","UNICO",IF(VALUE(B3465)&lt;=11,"AMBA","INTERIOR"))))</f>
        <v>R16212223</v>
      </c>
      <c r="W3465" s="38" t="str">
        <f>+IF(U3465="","-",CONCATENATE(U3465,"_",V3465))</f>
        <v>FINES_R16212223</v>
      </c>
      <c r="X3465" s="42">
        <v>5.2999999999999999E-2</v>
      </c>
    </row>
    <row r="3466" spans="1:24">
      <c r="A3466" s="21" t="s">
        <v>5100</v>
      </c>
      <c r="B3466" t="s">
        <v>220</v>
      </c>
      <c r="C3466" t="s">
        <v>431</v>
      </c>
      <c r="D3466" t="s">
        <v>1184</v>
      </c>
      <c r="E3466" s="7" t="s">
        <v>198</v>
      </c>
      <c r="F3466" s="7" t="s">
        <v>198</v>
      </c>
      <c r="G3466" s="7" t="s">
        <v>198</v>
      </c>
      <c r="H3466" s="7" t="s">
        <v>20</v>
      </c>
      <c r="I3466" s="7" t="s">
        <v>5102</v>
      </c>
      <c r="J3466" s="7" t="s">
        <v>21</v>
      </c>
      <c r="L3466" t="s">
        <v>4660</v>
      </c>
      <c r="M3466" s="7" t="s">
        <v>22</v>
      </c>
      <c r="N3466" s="7" t="s">
        <v>23</v>
      </c>
      <c r="O3466" s="7" t="s">
        <v>27</v>
      </c>
      <c r="P3466" s="7" t="s">
        <v>5101</v>
      </c>
      <c r="Q3466" s="26">
        <v>68</v>
      </c>
      <c r="R3466" s="26">
        <v>3</v>
      </c>
      <c r="S3466" s="40">
        <v>1</v>
      </c>
      <c r="T3466" s="7"/>
      <c r="U3466" s="7" t="s">
        <v>2951</v>
      </c>
      <c r="V3466" s="7" t="str">
        <f>+IF(U3466="","",IF(U3466="FINES",CONCATENATE("R",IF(OR(B3466="16",B3466="21",B3466="22",B3466="23"),"16212223",IF(OR(B3466="15",B3466="17",B3466="24",B3466="25"),"15172425",B3466))),IF(U3466="CEBAS","UNICO",IF(VALUE(B3466)&lt;=11,"AMBA","INTERIOR"))))</f>
        <v>R16212223</v>
      </c>
      <c r="W3466" s="38" t="str">
        <f>+IF(U3466="","-",CONCATENATE(U3466,"_",V3466))</f>
        <v>FINES_R16212223</v>
      </c>
      <c r="X3466" s="42">
        <v>6.6000000000000003E-2</v>
      </c>
    </row>
    <row r="3467" spans="1:24">
      <c r="A3467" s="21" t="s">
        <v>5100</v>
      </c>
      <c r="B3467" t="s">
        <v>220</v>
      </c>
      <c r="C3467" t="s">
        <v>726</v>
      </c>
      <c r="D3467" t="s">
        <v>2434</v>
      </c>
      <c r="E3467" s="7" t="s">
        <v>198</v>
      </c>
      <c r="F3467" s="7" t="s">
        <v>198</v>
      </c>
      <c r="G3467" s="7" t="s">
        <v>198</v>
      </c>
      <c r="H3467" s="7" t="s">
        <v>20</v>
      </c>
      <c r="I3467" s="7" t="s">
        <v>5102</v>
      </c>
      <c r="J3467" s="7" t="s">
        <v>21</v>
      </c>
      <c r="L3467" t="s">
        <v>4669</v>
      </c>
      <c r="M3467" s="7" t="s">
        <v>22</v>
      </c>
      <c r="N3467" s="7" t="s">
        <v>23</v>
      </c>
      <c r="O3467" s="7" t="s">
        <v>27</v>
      </c>
      <c r="P3467" s="7" t="s">
        <v>5101</v>
      </c>
      <c r="Q3467" s="26">
        <v>19</v>
      </c>
      <c r="R3467" s="26">
        <v>1</v>
      </c>
      <c r="S3467" s="40">
        <v>1</v>
      </c>
      <c r="T3467" s="7"/>
      <c r="U3467" s="7" t="s">
        <v>2951</v>
      </c>
      <c r="V3467" s="7" t="str">
        <f>+IF(U3467="","",IF(U3467="FINES",CONCATENATE("R",IF(OR(B3467="16",B3467="21",B3467="22",B3467="23"),"16212223",IF(OR(B3467="15",B3467="17",B3467="24",B3467="25"),"15172425",B3467))),IF(U3467="CEBAS","UNICO",IF(VALUE(B3467)&lt;=11,"AMBA","INTERIOR"))))</f>
        <v>R16212223</v>
      </c>
      <c r="W3467" s="38" t="str">
        <f>+IF(U3467="","-",CONCATENATE(U3467,"_",V3467))</f>
        <v>FINES_R16212223</v>
      </c>
      <c r="X3467" s="42">
        <v>7.3999999999999996E-2</v>
      </c>
    </row>
    <row r="3468" spans="1:24">
      <c r="A3468" s="21" t="s">
        <v>5100</v>
      </c>
      <c r="B3468" t="s">
        <v>598</v>
      </c>
      <c r="C3468" t="s">
        <v>748</v>
      </c>
      <c r="D3468" t="s">
        <v>2452</v>
      </c>
      <c r="E3468" s="7" t="s">
        <v>198</v>
      </c>
      <c r="F3468" s="7" t="s">
        <v>198</v>
      </c>
      <c r="G3468" s="7" t="s">
        <v>198</v>
      </c>
      <c r="H3468" s="7" t="s">
        <v>20</v>
      </c>
      <c r="I3468" s="7" t="s">
        <v>5102</v>
      </c>
      <c r="J3468" s="7" t="s">
        <v>21</v>
      </c>
      <c r="L3468" t="s">
        <v>4978</v>
      </c>
      <c r="M3468" s="7" t="s">
        <v>22</v>
      </c>
      <c r="N3468" s="7" t="s">
        <v>23</v>
      </c>
      <c r="O3468" s="7" t="s">
        <v>27</v>
      </c>
      <c r="P3468" s="7" t="s">
        <v>5101</v>
      </c>
      <c r="Q3468" s="26">
        <v>0</v>
      </c>
      <c r="R3468" s="26">
        <v>1</v>
      </c>
      <c r="S3468" s="40">
        <v>1</v>
      </c>
      <c r="T3468" s="7"/>
      <c r="U3468" s="7" t="s">
        <v>2951</v>
      </c>
      <c r="V3468" s="7" t="str">
        <f>+IF(U3468="","",IF(U3468="FINES",CONCATENATE("R",IF(OR(B3468="16",B3468="21",B3468="22",B3468="23"),"16212223",IF(OR(B3468="15",B3468="17",B3468="24",B3468="25"),"15172425",B3468))),IF(U3468="CEBAS","UNICO",IF(VALUE(B3468)&lt;=11,"AMBA","INTERIOR"))))</f>
        <v>R16212223</v>
      </c>
      <c r="W3468" s="38" t="str">
        <f>+IF(U3468="","-",CONCATENATE(U3468,"_",V3468))</f>
        <v>FINES_R16212223</v>
      </c>
      <c r="X3468" s="42">
        <v>7.8E-2</v>
      </c>
    </row>
    <row r="3469" spans="1:24">
      <c r="A3469" s="21" t="s">
        <v>5100</v>
      </c>
      <c r="B3469" t="s">
        <v>203</v>
      </c>
      <c r="C3469" t="s">
        <v>590</v>
      </c>
      <c r="D3469" t="s">
        <v>2553</v>
      </c>
      <c r="E3469" s="7" t="s">
        <v>198</v>
      </c>
      <c r="F3469" s="7" t="s">
        <v>198</v>
      </c>
      <c r="G3469" s="7" t="s">
        <v>198</v>
      </c>
      <c r="H3469" s="7" t="s">
        <v>20</v>
      </c>
      <c r="I3469" s="7" t="s">
        <v>5102</v>
      </c>
      <c r="J3469" s="7" t="s">
        <v>21</v>
      </c>
      <c r="L3469" t="s">
        <v>5010</v>
      </c>
      <c r="M3469" s="7" t="s">
        <v>22</v>
      </c>
      <c r="N3469" s="7" t="s">
        <v>23</v>
      </c>
      <c r="O3469" s="7" t="s">
        <v>27</v>
      </c>
      <c r="P3469" s="7" t="s">
        <v>5101</v>
      </c>
      <c r="Q3469" s="26">
        <v>27</v>
      </c>
      <c r="R3469" s="26">
        <v>2</v>
      </c>
      <c r="S3469" s="40">
        <v>1</v>
      </c>
      <c r="T3469" s="7"/>
      <c r="U3469" s="7" t="s">
        <v>2951</v>
      </c>
      <c r="V3469" s="7" t="str">
        <f>+IF(U3469="","",IF(U3469="FINES",CONCATENATE("R",IF(OR(B3469="16",B3469="21",B3469="22",B3469="23"),"16212223",IF(OR(B3469="15",B3469="17",B3469="24",B3469="25"),"15172425",B3469))),IF(U3469="CEBAS","UNICO",IF(VALUE(B3469)&lt;=11,"AMBA","INTERIOR"))))</f>
        <v>R16212223</v>
      </c>
      <c r="W3469" s="38" t="str">
        <f>+IF(U3469="","-",CONCATENATE(U3469,"_",V3469))</f>
        <v>FINES_R16212223</v>
      </c>
      <c r="X3469" s="42">
        <v>9.1999999999999998E-2</v>
      </c>
    </row>
    <row r="3470" spans="1:24">
      <c r="A3470" s="21" t="s">
        <v>5100</v>
      </c>
      <c r="B3470" t="s">
        <v>223</v>
      </c>
      <c r="C3470" t="s">
        <v>714</v>
      </c>
      <c r="D3470" t="s">
        <v>715</v>
      </c>
      <c r="E3470" s="7" t="s">
        <v>198</v>
      </c>
      <c r="F3470" s="7" t="s">
        <v>198</v>
      </c>
      <c r="G3470" s="7" t="s">
        <v>198</v>
      </c>
      <c r="H3470" s="7" t="s">
        <v>20</v>
      </c>
      <c r="I3470" s="7" t="s">
        <v>5102</v>
      </c>
      <c r="J3470" s="7" t="s">
        <v>21</v>
      </c>
      <c r="L3470" t="s">
        <v>5019</v>
      </c>
      <c r="M3470" s="7" t="s">
        <v>22</v>
      </c>
      <c r="N3470" s="7" t="s">
        <v>23</v>
      </c>
      <c r="O3470" s="7" t="s">
        <v>27</v>
      </c>
      <c r="P3470" s="7" t="s">
        <v>5101</v>
      </c>
      <c r="Q3470" s="26">
        <v>18</v>
      </c>
      <c r="R3470" s="26">
        <v>1</v>
      </c>
      <c r="S3470" s="40">
        <v>1</v>
      </c>
      <c r="T3470" s="7"/>
      <c r="U3470" s="7" t="s">
        <v>2951</v>
      </c>
      <c r="V3470" s="7" t="str">
        <f>+IF(U3470="","",IF(U3470="FINES",CONCATENATE("R",IF(OR(B3470="16",B3470="21",B3470="22",B3470="23"),"16212223",IF(OR(B3470="15",B3470="17",B3470="24",B3470="25"),"15172425",B3470))),IF(U3470="CEBAS","UNICO",IF(VALUE(B3470)&lt;=11,"AMBA","INTERIOR"))))</f>
        <v>R16212223</v>
      </c>
      <c r="W3470" s="38" t="str">
        <f>+IF(U3470="","-",CONCATENATE(U3470,"_",V3470))</f>
        <v>FINES_R16212223</v>
      </c>
      <c r="X3470" s="42">
        <v>9.5000000000000001E-2</v>
      </c>
    </row>
    <row r="3471" spans="1:24">
      <c r="A3471" s="21" t="s">
        <v>5100</v>
      </c>
      <c r="B3471" t="s">
        <v>223</v>
      </c>
      <c r="C3471" t="s">
        <v>229</v>
      </c>
      <c r="D3471" t="s">
        <v>231</v>
      </c>
      <c r="E3471" s="7" t="s">
        <v>198</v>
      </c>
      <c r="F3471" s="7" t="s">
        <v>198</v>
      </c>
      <c r="G3471" s="7" t="s">
        <v>198</v>
      </c>
      <c r="H3471" s="7" t="s">
        <v>20</v>
      </c>
      <c r="I3471" s="7" t="s">
        <v>5102</v>
      </c>
      <c r="J3471" s="7" t="s">
        <v>21</v>
      </c>
      <c r="L3471" t="s">
        <v>5016</v>
      </c>
      <c r="M3471" s="7" t="s">
        <v>22</v>
      </c>
      <c r="N3471" s="7" t="s">
        <v>23</v>
      </c>
      <c r="O3471" s="7" t="s">
        <v>27</v>
      </c>
      <c r="P3471" s="7" t="s">
        <v>5101</v>
      </c>
      <c r="Q3471" s="26">
        <v>0</v>
      </c>
      <c r="R3471" s="26">
        <v>1</v>
      </c>
      <c r="S3471" s="40">
        <v>1</v>
      </c>
      <c r="T3471" s="7"/>
      <c r="U3471" s="7" t="s">
        <v>2951</v>
      </c>
      <c r="V3471" s="7" t="str">
        <f>+IF(U3471="","",IF(U3471="FINES",CONCATENATE("R",IF(OR(B3471="16",B3471="21",B3471="22",B3471="23"),"16212223",IF(OR(B3471="15",B3471="17",B3471="24",B3471="25"),"15172425",B3471))),IF(U3471="CEBAS","UNICO",IF(VALUE(B3471)&lt;=11,"AMBA","INTERIOR"))))</f>
        <v>R16212223</v>
      </c>
      <c r="W3471" s="38" t="str">
        <f>+IF(U3471="","-",CONCATENATE(U3471,"_",V3471))</f>
        <v>FINES_R16212223</v>
      </c>
      <c r="X3471" s="42">
        <v>0.10299999999999999</v>
      </c>
    </row>
    <row r="3472" spans="1:24">
      <c r="A3472" s="21" t="s">
        <v>5100</v>
      </c>
      <c r="B3472" t="s">
        <v>203</v>
      </c>
      <c r="C3472" t="s">
        <v>331</v>
      </c>
      <c r="D3472" t="s">
        <v>2491</v>
      </c>
      <c r="E3472" s="7" t="s">
        <v>198</v>
      </c>
      <c r="F3472" s="7" t="s">
        <v>198</v>
      </c>
      <c r="G3472" s="7" t="s">
        <v>198</v>
      </c>
      <c r="H3472" s="7" t="s">
        <v>20</v>
      </c>
      <c r="I3472" s="7" t="s">
        <v>5102</v>
      </c>
      <c r="J3472" s="7" t="s">
        <v>21</v>
      </c>
      <c r="L3472" t="s">
        <v>5012</v>
      </c>
      <c r="M3472" s="7" t="s">
        <v>22</v>
      </c>
      <c r="N3472" s="7" t="s">
        <v>23</v>
      </c>
      <c r="O3472" s="7" t="s">
        <v>27</v>
      </c>
      <c r="P3472" s="7" t="s">
        <v>5101</v>
      </c>
      <c r="Q3472" s="26">
        <v>20</v>
      </c>
      <c r="R3472" s="26">
        <v>2</v>
      </c>
      <c r="S3472" s="40">
        <v>1</v>
      </c>
      <c r="T3472" s="7"/>
      <c r="U3472" s="7" t="s">
        <v>2951</v>
      </c>
      <c r="V3472" s="7" t="str">
        <f>+IF(U3472="","",IF(U3472="FINES",CONCATENATE("R",IF(OR(B3472="16",B3472="21",B3472="22",B3472="23"),"16212223",IF(OR(B3472="15",B3472="17",B3472="24",B3472="25"),"15172425",B3472))),IF(U3472="CEBAS","UNICO",IF(VALUE(B3472)&lt;=11,"AMBA","INTERIOR"))))</f>
        <v>R16212223</v>
      </c>
      <c r="W3472" s="38" t="str">
        <f>+IF(U3472="","-",CONCATENATE(U3472,"_",V3472))</f>
        <v>FINES_R16212223</v>
      </c>
      <c r="X3472" s="42">
        <v>0.10299999999999999</v>
      </c>
    </row>
    <row r="3473" spans="1:24">
      <c r="A3473" s="21" t="s">
        <v>5100</v>
      </c>
      <c r="B3473" t="s">
        <v>203</v>
      </c>
      <c r="C3473" t="s">
        <v>1986</v>
      </c>
      <c r="D3473" t="s">
        <v>1987</v>
      </c>
      <c r="E3473" s="7" t="s">
        <v>198</v>
      </c>
      <c r="F3473" s="7" t="s">
        <v>198</v>
      </c>
      <c r="G3473" s="7" t="s">
        <v>198</v>
      </c>
      <c r="H3473" s="7" t="s">
        <v>20</v>
      </c>
      <c r="I3473" s="7" t="s">
        <v>5102</v>
      </c>
      <c r="J3473" s="7" t="s">
        <v>21</v>
      </c>
      <c r="L3473" t="s">
        <v>5004</v>
      </c>
      <c r="M3473" s="7" t="s">
        <v>22</v>
      </c>
      <c r="N3473" s="7" t="s">
        <v>23</v>
      </c>
      <c r="O3473" s="7" t="s">
        <v>27</v>
      </c>
      <c r="P3473" s="7" t="s">
        <v>5101</v>
      </c>
      <c r="Q3473" s="26">
        <v>14</v>
      </c>
      <c r="R3473" s="26">
        <v>1</v>
      </c>
      <c r="S3473" s="40">
        <v>1</v>
      </c>
      <c r="T3473" s="7"/>
      <c r="U3473" s="7" t="s">
        <v>2951</v>
      </c>
      <c r="V3473" s="7" t="str">
        <f>+IF(U3473="","",IF(U3473="FINES",CONCATENATE("R",IF(OR(B3473="16",B3473="21",B3473="22",B3473="23"),"16212223",IF(OR(B3473="15",B3473="17",B3473="24",B3473="25"),"15172425",B3473))),IF(U3473="CEBAS","UNICO",IF(VALUE(B3473)&lt;=11,"AMBA","INTERIOR"))))</f>
        <v>R16212223</v>
      </c>
      <c r="W3473" s="38" t="str">
        <f>+IF(U3473="","-",CONCATENATE(U3473,"_",V3473))</f>
        <v>FINES_R16212223</v>
      </c>
      <c r="X3473" s="42">
        <v>0.106</v>
      </c>
    </row>
    <row r="3474" spans="1:24">
      <c r="A3474" s="21" t="s">
        <v>5100</v>
      </c>
      <c r="B3474" t="s">
        <v>223</v>
      </c>
      <c r="C3474" t="s">
        <v>2184</v>
      </c>
      <c r="D3474" t="s">
        <v>2185</v>
      </c>
      <c r="E3474" s="7" t="s">
        <v>198</v>
      </c>
      <c r="F3474" s="7" t="s">
        <v>198</v>
      </c>
      <c r="G3474" s="7" t="s">
        <v>198</v>
      </c>
      <c r="H3474" s="7" t="s">
        <v>20</v>
      </c>
      <c r="I3474" s="7" t="s">
        <v>5102</v>
      </c>
      <c r="J3474" s="7" t="s">
        <v>21</v>
      </c>
      <c r="L3474" t="s">
        <v>5035</v>
      </c>
      <c r="M3474" s="7" t="s">
        <v>22</v>
      </c>
      <c r="N3474" s="7" t="s">
        <v>23</v>
      </c>
      <c r="O3474" s="7" t="s">
        <v>27</v>
      </c>
      <c r="P3474" s="7" t="s">
        <v>5101</v>
      </c>
      <c r="Q3474" s="26">
        <v>12</v>
      </c>
      <c r="R3474" s="26">
        <v>1</v>
      </c>
      <c r="S3474" s="40">
        <v>1</v>
      </c>
      <c r="T3474" s="7"/>
      <c r="U3474" s="7" t="s">
        <v>2951</v>
      </c>
      <c r="V3474" s="7" t="str">
        <f>+IF(U3474="","",IF(U3474="FINES",CONCATENATE("R",IF(OR(B3474="16",B3474="21",B3474="22",B3474="23"),"16212223",IF(OR(B3474="15",B3474="17",B3474="24",B3474="25"),"15172425",B3474))),IF(U3474="CEBAS","UNICO",IF(VALUE(B3474)&lt;=11,"AMBA","INTERIOR"))))</f>
        <v>R16212223</v>
      </c>
      <c r="W3474" s="38" t="str">
        <f>+IF(U3474="","-",CONCATENATE(U3474,"_",V3474))</f>
        <v>FINES_R16212223</v>
      </c>
      <c r="X3474" s="42">
        <v>0.111</v>
      </c>
    </row>
    <row r="3475" spans="1:24">
      <c r="A3475" s="21" t="s">
        <v>5100</v>
      </c>
      <c r="B3475" t="s">
        <v>220</v>
      </c>
      <c r="C3475" t="s">
        <v>431</v>
      </c>
      <c r="D3475" t="s">
        <v>1184</v>
      </c>
      <c r="E3475" s="7" t="s">
        <v>198</v>
      </c>
      <c r="F3475" s="7" t="s">
        <v>198</v>
      </c>
      <c r="G3475" s="7" t="s">
        <v>198</v>
      </c>
      <c r="H3475" s="7" t="s">
        <v>20</v>
      </c>
      <c r="I3475" s="7" t="s">
        <v>5102</v>
      </c>
      <c r="J3475" s="7" t="s">
        <v>21</v>
      </c>
      <c r="L3475" t="s">
        <v>4659</v>
      </c>
      <c r="M3475" s="7" t="s">
        <v>22</v>
      </c>
      <c r="N3475" s="7" t="s">
        <v>23</v>
      </c>
      <c r="O3475" s="7" t="s">
        <v>27</v>
      </c>
      <c r="P3475" s="7" t="s">
        <v>5101</v>
      </c>
      <c r="Q3475" s="26">
        <v>15</v>
      </c>
      <c r="R3475" s="26">
        <v>1</v>
      </c>
      <c r="S3475" s="40">
        <v>1</v>
      </c>
      <c r="T3475" s="7"/>
      <c r="U3475" s="7" t="s">
        <v>2951</v>
      </c>
      <c r="V3475" s="7" t="str">
        <f>+IF(U3475="","",IF(U3475="FINES",CONCATENATE("R",IF(OR(B3475="16",B3475="21",B3475="22",B3475="23"),"16212223",IF(OR(B3475="15",B3475="17",B3475="24",B3475="25"),"15172425",B3475))),IF(U3475="CEBAS","UNICO",IF(VALUE(B3475)&lt;=11,"AMBA","INTERIOR"))))</f>
        <v>R16212223</v>
      </c>
      <c r="W3475" s="38" t="str">
        <f>+IF(U3475="","-",CONCATENATE(U3475,"_",V3475))</f>
        <v>FINES_R16212223</v>
      </c>
      <c r="X3475" s="42">
        <v>0.115</v>
      </c>
    </row>
    <row r="3476" spans="1:24">
      <c r="A3476" s="21" t="s">
        <v>5100</v>
      </c>
      <c r="B3476" t="s">
        <v>223</v>
      </c>
      <c r="C3476" t="s">
        <v>683</v>
      </c>
      <c r="D3476" t="s">
        <v>684</v>
      </c>
      <c r="E3476" s="7" t="s">
        <v>198</v>
      </c>
      <c r="F3476" s="7" t="s">
        <v>198</v>
      </c>
      <c r="G3476" s="7" t="s">
        <v>198</v>
      </c>
      <c r="H3476" s="7" t="s">
        <v>20</v>
      </c>
      <c r="I3476" s="7" t="s">
        <v>5102</v>
      </c>
      <c r="J3476" s="7" t="s">
        <v>21</v>
      </c>
      <c r="L3476" t="s">
        <v>5022</v>
      </c>
      <c r="M3476" s="7" t="s">
        <v>22</v>
      </c>
      <c r="N3476" s="7" t="s">
        <v>23</v>
      </c>
      <c r="O3476" s="7" t="s">
        <v>27</v>
      </c>
      <c r="P3476" s="7" t="s">
        <v>5101</v>
      </c>
      <c r="Q3476" s="26">
        <v>6</v>
      </c>
      <c r="R3476" s="26">
        <v>1</v>
      </c>
      <c r="S3476" s="40">
        <v>1</v>
      </c>
      <c r="T3476" s="7"/>
      <c r="U3476" s="7" t="s">
        <v>2951</v>
      </c>
      <c r="V3476" s="7" t="str">
        <f>+IF(U3476="","",IF(U3476="FINES",CONCATENATE("R",IF(OR(B3476="16",B3476="21",B3476="22",B3476="23"),"16212223",IF(OR(B3476="15",B3476="17",B3476="24",B3476="25"),"15172425",B3476))),IF(U3476="CEBAS","UNICO",IF(VALUE(B3476)&lt;=11,"AMBA","INTERIOR"))))</f>
        <v>R16212223</v>
      </c>
      <c r="W3476" s="38" t="str">
        <f>+IF(U3476="","-",CONCATENATE(U3476,"_",V3476))</f>
        <v>FINES_R16212223</v>
      </c>
      <c r="X3476" s="42">
        <v>0.13200000000000001</v>
      </c>
    </row>
    <row r="3477" spans="1:24">
      <c r="A3477" s="21" t="s">
        <v>5100</v>
      </c>
      <c r="B3477" t="s">
        <v>223</v>
      </c>
      <c r="C3477" t="s">
        <v>229</v>
      </c>
      <c r="D3477" t="s">
        <v>231</v>
      </c>
      <c r="E3477" s="7" t="s">
        <v>198</v>
      </c>
      <c r="F3477" s="7" t="s">
        <v>198</v>
      </c>
      <c r="G3477" s="7" t="s">
        <v>198</v>
      </c>
      <c r="H3477" s="7" t="s">
        <v>20</v>
      </c>
      <c r="I3477" s="7" t="s">
        <v>5102</v>
      </c>
      <c r="J3477" s="7" t="s">
        <v>21</v>
      </c>
      <c r="L3477" t="s">
        <v>5015</v>
      </c>
      <c r="M3477" s="7" t="s">
        <v>22</v>
      </c>
      <c r="N3477" s="7" t="s">
        <v>23</v>
      </c>
      <c r="O3477" s="7" t="s">
        <v>27</v>
      </c>
      <c r="P3477" s="7" t="s">
        <v>5101</v>
      </c>
      <c r="Q3477" s="26">
        <v>0</v>
      </c>
      <c r="R3477" s="26">
        <v>1</v>
      </c>
      <c r="S3477" s="40">
        <v>1</v>
      </c>
      <c r="T3477" s="7"/>
      <c r="U3477" s="7" t="s">
        <v>2951</v>
      </c>
      <c r="V3477" s="7" t="str">
        <f>+IF(U3477="","",IF(U3477="FINES",CONCATENATE("R",IF(OR(B3477="16",B3477="21",B3477="22",B3477="23"),"16212223",IF(OR(B3477="15",B3477="17",B3477="24",B3477="25"),"15172425",B3477))),IF(U3477="CEBAS","UNICO",IF(VALUE(B3477)&lt;=11,"AMBA","INTERIOR"))))</f>
        <v>R16212223</v>
      </c>
      <c r="W3477" s="38" t="str">
        <f>+IF(U3477="","-",CONCATENATE(U3477,"_",V3477))</f>
        <v>FINES_R16212223</v>
      </c>
      <c r="X3477" s="42">
        <v>0.14199999999999999</v>
      </c>
    </row>
    <row r="3478" spans="1:24">
      <c r="A3478" s="21" t="s">
        <v>5100</v>
      </c>
      <c r="B3478" t="s">
        <v>220</v>
      </c>
      <c r="C3478" t="s">
        <v>2165</v>
      </c>
      <c r="D3478" t="s">
        <v>2166</v>
      </c>
      <c r="E3478" s="7" t="s">
        <v>198</v>
      </c>
      <c r="F3478" s="7" t="s">
        <v>198</v>
      </c>
      <c r="G3478" s="7" t="s">
        <v>198</v>
      </c>
      <c r="H3478" s="7" t="s">
        <v>20</v>
      </c>
      <c r="I3478" s="7" t="s">
        <v>5102</v>
      </c>
      <c r="J3478" s="7" t="s">
        <v>21</v>
      </c>
      <c r="L3478" t="s">
        <v>4665</v>
      </c>
      <c r="M3478" s="7" t="s">
        <v>22</v>
      </c>
      <c r="N3478" s="7" t="s">
        <v>23</v>
      </c>
      <c r="O3478" s="7" t="s">
        <v>27</v>
      </c>
      <c r="P3478" s="7" t="s">
        <v>5101</v>
      </c>
      <c r="Q3478" s="26">
        <v>11</v>
      </c>
      <c r="R3478" s="26">
        <v>1</v>
      </c>
      <c r="S3478" s="40">
        <v>1</v>
      </c>
      <c r="T3478" s="7"/>
      <c r="U3478" s="7" t="s">
        <v>2951</v>
      </c>
      <c r="V3478" s="7" t="str">
        <f>+IF(U3478="","",IF(U3478="FINES",CONCATENATE("R",IF(OR(B3478="16",B3478="21",B3478="22",B3478="23"),"16212223",IF(OR(B3478="15",B3478="17",B3478="24",B3478="25"),"15172425",B3478))),IF(U3478="CEBAS","UNICO",IF(VALUE(B3478)&lt;=11,"AMBA","INTERIOR"))))</f>
        <v>R16212223</v>
      </c>
      <c r="W3478" s="38" t="str">
        <f>+IF(U3478="","-",CONCATENATE(U3478,"_",V3478))</f>
        <v>FINES_R16212223</v>
      </c>
      <c r="X3478" s="42">
        <v>0.14699999999999999</v>
      </c>
    </row>
    <row r="3479" spans="1:24">
      <c r="A3479" s="21" t="s">
        <v>5100</v>
      </c>
      <c r="B3479" t="s">
        <v>598</v>
      </c>
      <c r="C3479" t="s">
        <v>709</v>
      </c>
      <c r="D3479" t="s">
        <v>710</v>
      </c>
      <c r="E3479" s="7" t="s">
        <v>198</v>
      </c>
      <c r="F3479" s="7" t="s">
        <v>198</v>
      </c>
      <c r="G3479" s="7" t="s">
        <v>198</v>
      </c>
      <c r="H3479" s="7" t="s">
        <v>20</v>
      </c>
      <c r="I3479" s="7" t="s">
        <v>5102</v>
      </c>
      <c r="J3479" s="7" t="s">
        <v>21</v>
      </c>
      <c r="L3479" t="s">
        <v>4967</v>
      </c>
      <c r="M3479" s="7" t="s">
        <v>22</v>
      </c>
      <c r="N3479" s="7" t="s">
        <v>23</v>
      </c>
      <c r="O3479" s="7" t="s">
        <v>27</v>
      </c>
      <c r="P3479" s="7" t="s">
        <v>5101</v>
      </c>
      <c r="Q3479" s="26">
        <v>12</v>
      </c>
      <c r="R3479" s="26">
        <v>1</v>
      </c>
      <c r="S3479" s="40">
        <v>1</v>
      </c>
      <c r="T3479" s="7"/>
      <c r="U3479" s="7" t="s">
        <v>2951</v>
      </c>
      <c r="V3479" s="7" t="str">
        <f>+IF(U3479="","",IF(U3479="FINES",CONCATENATE("R",IF(OR(B3479="16",B3479="21",B3479="22",B3479="23"),"16212223",IF(OR(B3479="15",B3479="17",B3479="24",B3479="25"),"15172425",B3479))),IF(U3479="CEBAS","UNICO",IF(VALUE(B3479)&lt;=11,"AMBA","INTERIOR"))))</f>
        <v>R16212223</v>
      </c>
      <c r="W3479" s="38" t="str">
        <f>+IF(U3479="","-",CONCATENATE(U3479,"_",V3479))</f>
        <v>FINES_R16212223</v>
      </c>
      <c r="X3479" s="42">
        <v>0.158</v>
      </c>
    </row>
    <row r="3480" spans="1:24">
      <c r="A3480" s="21" t="s">
        <v>5100</v>
      </c>
      <c r="B3480" t="s">
        <v>598</v>
      </c>
      <c r="C3480" t="s">
        <v>700</v>
      </c>
      <c r="D3480" t="s">
        <v>701</v>
      </c>
      <c r="E3480" s="7" t="s">
        <v>198</v>
      </c>
      <c r="F3480" s="7" t="s">
        <v>198</v>
      </c>
      <c r="G3480" s="7" t="s">
        <v>198</v>
      </c>
      <c r="H3480" s="7" t="s">
        <v>20</v>
      </c>
      <c r="I3480" s="7" t="s">
        <v>5102</v>
      </c>
      <c r="J3480" s="7" t="s">
        <v>21</v>
      </c>
      <c r="L3480" t="s">
        <v>4965</v>
      </c>
      <c r="M3480" s="7" t="s">
        <v>22</v>
      </c>
      <c r="N3480" s="7" t="s">
        <v>23</v>
      </c>
      <c r="O3480" s="7" t="s">
        <v>27</v>
      </c>
      <c r="P3480" s="7" t="s">
        <v>5101</v>
      </c>
      <c r="Q3480" s="26">
        <v>5</v>
      </c>
      <c r="R3480" s="26">
        <v>3</v>
      </c>
      <c r="S3480" s="40">
        <v>1</v>
      </c>
      <c r="T3480" s="7"/>
      <c r="U3480" s="7" t="s">
        <v>2951</v>
      </c>
      <c r="V3480" s="7" t="str">
        <f>+IF(U3480="","",IF(U3480="FINES",CONCATENATE("R",IF(OR(B3480="16",B3480="21",B3480="22",B3480="23"),"16212223",IF(OR(B3480="15",B3480="17",B3480="24",B3480="25"),"15172425",B3480))),IF(U3480="CEBAS","UNICO",IF(VALUE(B3480)&lt;=11,"AMBA","INTERIOR"))))</f>
        <v>R16212223</v>
      </c>
      <c r="W3480" s="38" t="str">
        <f>+IF(U3480="","-",CONCATENATE(U3480,"_",V3480))</f>
        <v>FINES_R16212223</v>
      </c>
      <c r="X3480" s="42">
        <v>0.17100000000000001</v>
      </c>
    </row>
    <row r="3481" spans="1:24">
      <c r="A3481" s="21" t="s">
        <v>5100</v>
      </c>
      <c r="B3481" t="s">
        <v>223</v>
      </c>
      <c r="C3481" t="s">
        <v>683</v>
      </c>
      <c r="D3481" t="s">
        <v>684</v>
      </c>
      <c r="E3481" s="7" t="s">
        <v>198</v>
      </c>
      <c r="F3481" s="7" t="s">
        <v>198</v>
      </c>
      <c r="G3481" s="7" t="s">
        <v>198</v>
      </c>
      <c r="H3481" s="7" t="s">
        <v>20</v>
      </c>
      <c r="I3481" s="7" t="s">
        <v>5102</v>
      </c>
      <c r="J3481" s="7" t="s">
        <v>21</v>
      </c>
      <c r="L3481" t="s">
        <v>5020</v>
      </c>
      <c r="M3481" s="7" t="s">
        <v>22</v>
      </c>
      <c r="N3481" s="7" t="s">
        <v>23</v>
      </c>
      <c r="O3481" s="7" t="s">
        <v>27</v>
      </c>
      <c r="P3481" s="7" t="s">
        <v>5101</v>
      </c>
      <c r="Q3481" s="26">
        <v>28</v>
      </c>
      <c r="R3481" s="26">
        <v>1</v>
      </c>
      <c r="S3481" s="40">
        <v>1</v>
      </c>
      <c r="T3481" s="7"/>
      <c r="U3481" s="7" t="s">
        <v>2951</v>
      </c>
      <c r="V3481" s="7" t="str">
        <f>+IF(U3481="","",IF(U3481="FINES",CONCATENATE("R",IF(OR(B3481="16",B3481="21",B3481="22",B3481="23"),"16212223",IF(OR(B3481="15",B3481="17",B3481="24",B3481="25"),"15172425",B3481))),IF(U3481="CEBAS","UNICO",IF(VALUE(B3481)&lt;=11,"AMBA","INTERIOR"))))</f>
        <v>R16212223</v>
      </c>
      <c r="W3481" s="38" t="str">
        <f>+IF(U3481="","-",CONCATENATE(U3481,"_",V3481))</f>
        <v>FINES_R16212223</v>
      </c>
      <c r="X3481" s="42">
        <v>0.20300000000000001</v>
      </c>
    </row>
    <row r="3482" spans="1:24">
      <c r="A3482" s="21" t="s">
        <v>5100</v>
      </c>
      <c r="B3482" t="s">
        <v>203</v>
      </c>
      <c r="C3482" t="s">
        <v>450</v>
      </c>
      <c r="D3482" t="s">
        <v>452</v>
      </c>
      <c r="E3482" s="7" t="s">
        <v>198</v>
      </c>
      <c r="F3482" s="7" t="s">
        <v>198</v>
      </c>
      <c r="G3482" s="7" t="s">
        <v>198</v>
      </c>
      <c r="H3482" s="7" t="s">
        <v>20</v>
      </c>
      <c r="I3482" s="7" t="s">
        <v>5102</v>
      </c>
      <c r="J3482" s="7" t="s">
        <v>21</v>
      </c>
      <c r="L3482" t="s">
        <v>4987</v>
      </c>
      <c r="M3482" s="7" t="s">
        <v>22</v>
      </c>
      <c r="N3482" s="7" t="s">
        <v>23</v>
      </c>
      <c r="O3482" s="7" t="s">
        <v>27</v>
      </c>
      <c r="P3482" s="7" t="s">
        <v>5101</v>
      </c>
      <c r="Q3482" s="26">
        <v>15</v>
      </c>
      <c r="R3482" s="26">
        <v>1</v>
      </c>
      <c r="S3482" s="40">
        <v>1</v>
      </c>
      <c r="T3482" s="7"/>
      <c r="U3482" s="7" t="s">
        <v>2951</v>
      </c>
      <c r="V3482" s="7" t="str">
        <f>+IF(U3482="","",IF(U3482="FINES",CONCATENATE("R",IF(OR(B3482="16",B3482="21",B3482="22",B3482="23"),"16212223",IF(OR(B3482="15",B3482="17",B3482="24",B3482="25"),"15172425",B3482))),IF(U3482="CEBAS","UNICO",IF(VALUE(B3482)&lt;=11,"AMBA","INTERIOR"))))</f>
        <v>R16212223</v>
      </c>
      <c r="W3482" s="38" t="str">
        <f>+IF(U3482="","-",CONCATENATE(U3482,"_",V3482))</f>
        <v>FINES_R16212223</v>
      </c>
      <c r="X3482" s="42">
        <v>0.21199999999999999</v>
      </c>
    </row>
    <row r="3483" spans="1:24">
      <c r="A3483" s="21" t="s">
        <v>5100</v>
      </c>
      <c r="B3483" t="s">
        <v>220</v>
      </c>
      <c r="C3483" t="s">
        <v>726</v>
      </c>
      <c r="D3483" t="s">
        <v>2434</v>
      </c>
      <c r="E3483" s="7" t="s">
        <v>198</v>
      </c>
      <c r="F3483" s="7" t="s">
        <v>198</v>
      </c>
      <c r="G3483" s="7" t="s">
        <v>198</v>
      </c>
      <c r="H3483" s="7" t="s">
        <v>20</v>
      </c>
      <c r="I3483" s="7" t="s">
        <v>5102</v>
      </c>
      <c r="J3483" s="7" t="s">
        <v>21</v>
      </c>
      <c r="L3483" t="s">
        <v>4671</v>
      </c>
      <c r="M3483" s="7" t="s">
        <v>22</v>
      </c>
      <c r="N3483" s="7" t="s">
        <v>23</v>
      </c>
      <c r="O3483" s="7" t="s">
        <v>27</v>
      </c>
      <c r="P3483" s="7" t="s">
        <v>5101</v>
      </c>
      <c r="Q3483" s="26">
        <v>74</v>
      </c>
      <c r="R3483" s="26">
        <v>3</v>
      </c>
      <c r="S3483" s="40">
        <v>1</v>
      </c>
      <c r="T3483" s="7"/>
      <c r="U3483" s="7" t="s">
        <v>2951</v>
      </c>
      <c r="V3483" s="7" t="str">
        <f>+IF(U3483="","",IF(U3483="FINES",CONCATENATE("R",IF(OR(B3483="16",B3483="21",B3483="22",B3483="23"),"16212223",IF(OR(B3483="15",B3483="17",B3483="24",B3483="25"),"15172425",B3483))),IF(U3483="CEBAS","UNICO",IF(VALUE(B3483)&lt;=11,"AMBA","INTERIOR"))))</f>
        <v>R16212223</v>
      </c>
      <c r="W3483" s="38" t="str">
        <f>+IF(U3483="","-",CONCATENATE(U3483,"_",V3483))</f>
        <v>FINES_R16212223</v>
      </c>
      <c r="X3483" s="42">
        <v>0.22600000000000001</v>
      </c>
    </row>
    <row r="3484" spans="1:24">
      <c r="A3484" s="21" t="s">
        <v>5100</v>
      </c>
      <c r="B3484" t="s">
        <v>203</v>
      </c>
      <c r="C3484" t="s">
        <v>1986</v>
      </c>
      <c r="D3484" t="s">
        <v>1987</v>
      </c>
      <c r="E3484" s="7" t="s">
        <v>198</v>
      </c>
      <c r="F3484" s="7" t="s">
        <v>198</v>
      </c>
      <c r="G3484" s="7" t="s">
        <v>198</v>
      </c>
      <c r="H3484" s="7" t="s">
        <v>20</v>
      </c>
      <c r="I3484" s="7" t="s">
        <v>5102</v>
      </c>
      <c r="J3484" s="7" t="s">
        <v>21</v>
      </c>
      <c r="L3484" t="s">
        <v>5007</v>
      </c>
      <c r="M3484" s="7" t="s">
        <v>22</v>
      </c>
      <c r="N3484" s="7" t="s">
        <v>23</v>
      </c>
      <c r="O3484" s="7" t="s">
        <v>27</v>
      </c>
      <c r="P3484" s="7" t="s">
        <v>5101</v>
      </c>
      <c r="Q3484" s="26">
        <v>29</v>
      </c>
      <c r="R3484" s="26">
        <v>1</v>
      </c>
      <c r="S3484" s="40">
        <v>1</v>
      </c>
      <c r="T3484" s="7"/>
      <c r="U3484" s="7" t="s">
        <v>2951</v>
      </c>
      <c r="V3484" s="7" t="str">
        <f>+IF(U3484="","",IF(U3484="FINES",CONCATENATE("R",IF(OR(B3484="16",B3484="21",B3484="22",B3484="23"),"16212223",IF(OR(B3484="15",B3484="17",B3484="24",B3484="25"),"15172425",B3484))),IF(U3484="CEBAS","UNICO",IF(VALUE(B3484)&lt;=11,"AMBA","INTERIOR"))))</f>
        <v>R16212223</v>
      </c>
      <c r="W3484" s="38" t="str">
        <f>+IF(U3484="","-",CONCATENATE(U3484,"_",V3484))</f>
        <v>FINES_R16212223</v>
      </c>
      <c r="X3484" s="42">
        <v>0.23699999999999999</v>
      </c>
    </row>
    <row r="3485" spans="1:24">
      <c r="A3485" s="21" t="s">
        <v>5100</v>
      </c>
      <c r="B3485" t="s">
        <v>203</v>
      </c>
      <c r="C3485" t="s">
        <v>450</v>
      </c>
      <c r="D3485" t="s">
        <v>452</v>
      </c>
      <c r="E3485" s="7" t="s">
        <v>198</v>
      </c>
      <c r="F3485" s="7" t="s">
        <v>198</v>
      </c>
      <c r="G3485" s="7" t="s">
        <v>198</v>
      </c>
      <c r="H3485" s="7" t="s">
        <v>20</v>
      </c>
      <c r="I3485" s="7" t="s">
        <v>5102</v>
      </c>
      <c r="J3485" s="7" t="s">
        <v>21</v>
      </c>
      <c r="L3485" t="s">
        <v>4998</v>
      </c>
      <c r="M3485" s="7" t="s">
        <v>22</v>
      </c>
      <c r="N3485" s="7" t="s">
        <v>23</v>
      </c>
      <c r="O3485" s="7" t="s">
        <v>27</v>
      </c>
      <c r="P3485" s="7" t="s">
        <v>5101</v>
      </c>
      <c r="Q3485" s="26">
        <v>15</v>
      </c>
      <c r="R3485" s="26">
        <v>1</v>
      </c>
      <c r="S3485" s="40">
        <v>1</v>
      </c>
      <c r="T3485" s="7"/>
      <c r="U3485" s="7" t="s">
        <v>2951</v>
      </c>
      <c r="V3485" s="7" t="str">
        <f>+IF(U3485="","",IF(U3485="FINES",CONCATENATE("R",IF(OR(B3485="16",B3485="21",B3485="22",B3485="23"),"16212223",IF(OR(B3485="15",B3485="17",B3485="24",B3485="25"),"15172425",B3485))),IF(U3485="CEBAS","UNICO",IF(VALUE(B3485)&lt;=11,"AMBA","INTERIOR"))))</f>
        <v>R16212223</v>
      </c>
      <c r="W3485" s="38" t="str">
        <f>+IF(U3485="","-",CONCATENATE(U3485,"_",V3485))</f>
        <v>FINES_R16212223</v>
      </c>
      <c r="X3485" s="42">
        <v>0.23799999999999999</v>
      </c>
    </row>
    <row r="3486" spans="1:24">
      <c r="A3486" s="21" t="s">
        <v>5100</v>
      </c>
      <c r="B3486" t="s">
        <v>220</v>
      </c>
      <c r="C3486" t="s">
        <v>431</v>
      </c>
      <c r="D3486" t="s">
        <v>1184</v>
      </c>
      <c r="E3486" s="7" t="s">
        <v>198</v>
      </c>
      <c r="F3486" s="7" t="s">
        <v>198</v>
      </c>
      <c r="G3486" s="7" t="s">
        <v>198</v>
      </c>
      <c r="H3486" s="7" t="s">
        <v>20</v>
      </c>
      <c r="I3486" s="7" t="s">
        <v>5102</v>
      </c>
      <c r="J3486" s="7" t="s">
        <v>21</v>
      </c>
      <c r="L3486" t="s">
        <v>4657</v>
      </c>
      <c r="M3486" s="7" t="s">
        <v>22</v>
      </c>
      <c r="N3486" s="7" t="s">
        <v>23</v>
      </c>
      <c r="O3486" s="7" t="s">
        <v>27</v>
      </c>
      <c r="P3486" s="7" t="s">
        <v>5101</v>
      </c>
      <c r="Q3486" s="26">
        <v>13</v>
      </c>
      <c r="R3486" s="26">
        <v>1</v>
      </c>
      <c r="S3486" s="40">
        <v>1</v>
      </c>
      <c r="T3486" s="7"/>
      <c r="U3486" s="7" t="s">
        <v>2951</v>
      </c>
      <c r="V3486" s="7" t="str">
        <f>+IF(U3486="","",IF(U3486="FINES",CONCATENATE("R",IF(OR(B3486="16",B3486="21",B3486="22",B3486="23"),"16212223",IF(OR(B3486="15",B3486="17",B3486="24",B3486="25"),"15172425",B3486))),IF(U3486="CEBAS","UNICO",IF(VALUE(B3486)&lt;=11,"AMBA","INTERIOR"))))</f>
        <v>R16212223</v>
      </c>
      <c r="W3486" s="38" t="str">
        <f>+IF(U3486="","-",CONCATENATE(U3486,"_",V3486))</f>
        <v>FINES_R16212223</v>
      </c>
      <c r="X3486" s="42">
        <v>0.251</v>
      </c>
    </row>
    <row r="3487" spans="1:24">
      <c r="A3487" s="21" t="s">
        <v>5100</v>
      </c>
      <c r="B3487" t="s">
        <v>223</v>
      </c>
      <c r="C3487" t="s">
        <v>572</v>
      </c>
      <c r="D3487" t="s">
        <v>2430</v>
      </c>
      <c r="E3487" s="7" t="s">
        <v>198</v>
      </c>
      <c r="F3487" s="7" t="s">
        <v>198</v>
      </c>
      <c r="G3487" s="7" t="s">
        <v>198</v>
      </c>
      <c r="H3487" s="7" t="s">
        <v>20</v>
      </c>
      <c r="I3487" s="7" t="s">
        <v>5102</v>
      </c>
      <c r="J3487" s="7" t="s">
        <v>21</v>
      </c>
      <c r="L3487" t="s">
        <v>5036</v>
      </c>
      <c r="M3487" s="7" t="s">
        <v>22</v>
      </c>
      <c r="N3487" s="7" t="s">
        <v>23</v>
      </c>
      <c r="O3487" s="7" t="s">
        <v>27</v>
      </c>
      <c r="P3487" s="7" t="s">
        <v>5101</v>
      </c>
      <c r="Q3487" s="26">
        <v>26</v>
      </c>
      <c r="R3487" s="26">
        <v>1</v>
      </c>
      <c r="S3487" s="40">
        <v>1</v>
      </c>
      <c r="T3487" s="7"/>
      <c r="U3487" s="7" t="s">
        <v>2951</v>
      </c>
      <c r="V3487" s="7" t="str">
        <f>+IF(U3487="","",IF(U3487="FINES",CONCATENATE("R",IF(OR(B3487="16",B3487="21",B3487="22",B3487="23"),"16212223",IF(OR(B3487="15",B3487="17",B3487="24",B3487="25"),"15172425",B3487))),IF(U3487="CEBAS","UNICO",IF(VALUE(B3487)&lt;=11,"AMBA","INTERIOR"))))</f>
        <v>R16212223</v>
      </c>
      <c r="W3487" s="38" t="str">
        <f>+IF(U3487="","-",CONCATENATE(U3487,"_",V3487))</f>
        <v>FINES_R16212223</v>
      </c>
      <c r="X3487" s="42">
        <v>0.26800000000000002</v>
      </c>
    </row>
    <row r="3488" spans="1:24">
      <c r="A3488" s="21" t="s">
        <v>5100</v>
      </c>
      <c r="B3488" t="s">
        <v>203</v>
      </c>
      <c r="C3488" t="s">
        <v>450</v>
      </c>
      <c r="D3488" t="s">
        <v>452</v>
      </c>
      <c r="E3488" s="7" t="s">
        <v>198</v>
      </c>
      <c r="F3488" s="7" t="s">
        <v>198</v>
      </c>
      <c r="G3488" s="7" t="s">
        <v>198</v>
      </c>
      <c r="H3488" s="7" t="s">
        <v>20</v>
      </c>
      <c r="I3488" s="7" t="s">
        <v>5102</v>
      </c>
      <c r="J3488" s="7" t="s">
        <v>21</v>
      </c>
      <c r="L3488" t="s">
        <v>4993</v>
      </c>
      <c r="M3488" s="7" t="s">
        <v>22</v>
      </c>
      <c r="N3488" s="7" t="s">
        <v>23</v>
      </c>
      <c r="O3488" s="7" t="s">
        <v>27</v>
      </c>
      <c r="P3488" s="7" t="s">
        <v>5101</v>
      </c>
      <c r="Q3488" s="26">
        <v>28</v>
      </c>
      <c r="R3488" s="26">
        <v>1</v>
      </c>
      <c r="S3488" s="40">
        <v>1</v>
      </c>
      <c r="T3488" s="7"/>
      <c r="U3488" s="7" t="s">
        <v>2951</v>
      </c>
      <c r="V3488" s="7" t="str">
        <f>+IF(U3488="","",IF(U3488="FINES",CONCATENATE("R",IF(OR(B3488="16",B3488="21",B3488="22",B3488="23"),"16212223",IF(OR(B3488="15",B3488="17",B3488="24",B3488="25"),"15172425",B3488))),IF(U3488="CEBAS","UNICO",IF(VALUE(B3488)&lt;=11,"AMBA","INTERIOR"))))</f>
        <v>R16212223</v>
      </c>
      <c r="W3488" s="38" t="str">
        <f>+IF(U3488="","-",CONCATENATE(U3488,"_",V3488))</f>
        <v>FINES_R16212223</v>
      </c>
      <c r="X3488" s="42">
        <v>0.26900000000000002</v>
      </c>
    </row>
    <row r="3489" spans="1:24">
      <c r="A3489" s="21" t="s">
        <v>5100</v>
      </c>
      <c r="B3489" t="s">
        <v>203</v>
      </c>
      <c r="C3489" t="s">
        <v>450</v>
      </c>
      <c r="D3489" t="s">
        <v>452</v>
      </c>
      <c r="E3489" s="7" t="s">
        <v>198</v>
      </c>
      <c r="F3489" s="7" t="s">
        <v>198</v>
      </c>
      <c r="G3489" s="7" t="s">
        <v>198</v>
      </c>
      <c r="H3489" s="7" t="s">
        <v>20</v>
      </c>
      <c r="I3489" s="7" t="s">
        <v>5102</v>
      </c>
      <c r="J3489" s="7" t="s">
        <v>21</v>
      </c>
      <c r="L3489" t="s">
        <v>4990</v>
      </c>
      <c r="M3489" s="7" t="s">
        <v>22</v>
      </c>
      <c r="N3489" s="7" t="s">
        <v>23</v>
      </c>
      <c r="O3489" s="7" t="s">
        <v>27</v>
      </c>
      <c r="P3489" s="7" t="s">
        <v>5101</v>
      </c>
      <c r="Q3489" s="26">
        <v>14</v>
      </c>
      <c r="R3489" s="26">
        <v>1</v>
      </c>
      <c r="S3489" s="40">
        <v>1</v>
      </c>
      <c r="T3489" s="7"/>
      <c r="U3489" s="7" t="s">
        <v>2951</v>
      </c>
      <c r="V3489" s="7" t="str">
        <f>+IF(U3489="","",IF(U3489="FINES",CONCATENATE("R",IF(OR(B3489="16",B3489="21",B3489="22",B3489="23"),"16212223",IF(OR(B3489="15",B3489="17",B3489="24",B3489="25"),"15172425",B3489))),IF(U3489="CEBAS","UNICO",IF(VALUE(B3489)&lt;=11,"AMBA","INTERIOR"))))</f>
        <v>R16212223</v>
      </c>
      <c r="W3489" s="38" t="str">
        <f>+IF(U3489="","-",CONCATENATE(U3489,"_",V3489))</f>
        <v>FINES_R16212223</v>
      </c>
      <c r="X3489" s="42">
        <v>0.27500000000000002</v>
      </c>
    </row>
    <row r="3490" spans="1:24">
      <c r="A3490" s="21" t="s">
        <v>5100</v>
      </c>
      <c r="B3490" t="s">
        <v>598</v>
      </c>
      <c r="C3490" t="s">
        <v>709</v>
      </c>
      <c r="D3490" t="s">
        <v>710</v>
      </c>
      <c r="E3490" s="7" t="s">
        <v>198</v>
      </c>
      <c r="F3490" s="7" t="s">
        <v>198</v>
      </c>
      <c r="G3490" s="7" t="s">
        <v>198</v>
      </c>
      <c r="H3490" s="7" t="s">
        <v>20</v>
      </c>
      <c r="I3490" s="7" t="s">
        <v>5102</v>
      </c>
      <c r="J3490" s="7" t="s">
        <v>21</v>
      </c>
      <c r="L3490" t="s">
        <v>4968</v>
      </c>
      <c r="M3490" s="7" t="s">
        <v>22</v>
      </c>
      <c r="N3490" s="7" t="s">
        <v>23</v>
      </c>
      <c r="O3490" s="7" t="s">
        <v>27</v>
      </c>
      <c r="P3490" s="7" t="s">
        <v>5101</v>
      </c>
      <c r="Q3490" s="26">
        <v>13</v>
      </c>
      <c r="R3490" s="26">
        <v>1</v>
      </c>
      <c r="S3490" s="40">
        <v>1</v>
      </c>
      <c r="T3490" s="7"/>
      <c r="U3490" s="7" t="s">
        <v>2951</v>
      </c>
      <c r="V3490" s="7" t="str">
        <f>+IF(U3490="","",IF(U3490="FINES",CONCATENATE("R",IF(OR(B3490="16",B3490="21",B3490="22",B3490="23"),"16212223",IF(OR(B3490="15",B3490="17",B3490="24",B3490="25"),"15172425",B3490))),IF(U3490="CEBAS","UNICO",IF(VALUE(B3490)&lt;=11,"AMBA","INTERIOR"))))</f>
        <v>R16212223</v>
      </c>
      <c r="W3490" s="38" t="str">
        <f>+IF(U3490="","-",CONCATENATE(U3490,"_",V3490))</f>
        <v>FINES_R16212223</v>
      </c>
      <c r="X3490" s="42">
        <v>0.28199999999999997</v>
      </c>
    </row>
    <row r="3491" spans="1:24">
      <c r="A3491" s="21" t="s">
        <v>5100</v>
      </c>
      <c r="B3491" t="s">
        <v>203</v>
      </c>
      <c r="C3491" t="s">
        <v>450</v>
      </c>
      <c r="D3491" t="s">
        <v>452</v>
      </c>
      <c r="E3491" s="7" t="s">
        <v>198</v>
      </c>
      <c r="F3491" s="7" t="s">
        <v>198</v>
      </c>
      <c r="G3491" s="7" t="s">
        <v>198</v>
      </c>
      <c r="H3491" s="7" t="s">
        <v>20</v>
      </c>
      <c r="I3491" s="7" t="s">
        <v>5102</v>
      </c>
      <c r="J3491" s="7" t="s">
        <v>21</v>
      </c>
      <c r="L3491" t="s">
        <v>5000</v>
      </c>
      <c r="M3491" s="7" t="s">
        <v>22</v>
      </c>
      <c r="N3491" s="7" t="s">
        <v>23</v>
      </c>
      <c r="O3491" s="7" t="s">
        <v>27</v>
      </c>
      <c r="P3491" s="7" t="s">
        <v>5101</v>
      </c>
      <c r="Q3491" s="26">
        <v>21</v>
      </c>
      <c r="R3491" s="26">
        <v>1</v>
      </c>
      <c r="S3491" s="40">
        <v>1</v>
      </c>
      <c r="T3491" s="7"/>
      <c r="U3491" s="7" t="s">
        <v>2951</v>
      </c>
      <c r="V3491" s="7" t="str">
        <f>+IF(U3491="","",IF(U3491="FINES",CONCATENATE("R",IF(OR(B3491="16",B3491="21",B3491="22",B3491="23"),"16212223",IF(OR(B3491="15",B3491="17",B3491="24",B3491="25"),"15172425",B3491))),IF(U3491="CEBAS","UNICO",IF(VALUE(B3491)&lt;=11,"AMBA","INTERIOR"))))</f>
        <v>R16212223</v>
      </c>
      <c r="W3491" s="38" t="str">
        <f>+IF(U3491="","-",CONCATENATE(U3491,"_",V3491))</f>
        <v>FINES_R16212223</v>
      </c>
      <c r="X3491" s="42">
        <v>0.29599999999999999</v>
      </c>
    </row>
    <row r="3492" spans="1:24">
      <c r="A3492" s="21" t="s">
        <v>5100</v>
      </c>
      <c r="B3492" t="s">
        <v>203</v>
      </c>
      <c r="C3492" t="s">
        <v>450</v>
      </c>
      <c r="D3492" t="s">
        <v>452</v>
      </c>
      <c r="E3492" s="7" t="s">
        <v>198</v>
      </c>
      <c r="F3492" s="7" t="s">
        <v>198</v>
      </c>
      <c r="G3492" s="7" t="s">
        <v>198</v>
      </c>
      <c r="H3492" s="7" t="s">
        <v>20</v>
      </c>
      <c r="I3492" s="7" t="s">
        <v>5102</v>
      </c>
      <c r="J3492" s="7" t="s">
        <v>21</v>
      </c>
      <c r="L3492" t="s">
        <v>4983</v>
      </c>
      <c r="M3492" s="7" t="s">
        <v>22</v>
      </c>
      <c r="N3492" s="7" t="s">
        <v>23</v>
      </c>
      <c r="O3492" s="7" t="s">
        <v>27</v>
      </c>
      <c r="P3492" s="7" t="s">
        <v>5101</v>
      </c>
      <c r="Q3492" s="26">
        <v>23</v>
      </c>
      <c r="R3492" s="26">
        <v>1</v>
      </c>
      <c r="S3492" s="40">
        <v>1</v>
      </c>
      <c r="T3492" s="7"/>
      <c r="U3492" s="7" t="s">
        <v>2951</v>
      </c>
      <c r="V3492" s="7" t="str">
        <f>+IF(U3492="","",IF(U3492="FINES",CONCATENATE("R",IF(OR(B3492="16",B3492="21",B3492="22",B3492="23"),"16212223",IF(OR(B3492="15",B3492="17",B3492="24",B3492="25"),"15172425",B3492))),IF(U3492="CEBAS","UNICO",IF(VALUE(B3492)&lt;=11,"AMBA","INTERIOR"))))</f>
        <v>R16212223</v>
      </c>
      <c r="W3492" s="38" t="str">
        <f>+IF(U3492="","-",CONCATENATE(U3492,"_",V3492))</f>
        <v>FINES_R16212223</v>
      </c>
      <c r="X3492" s="42">
        <v>0.29899999999999999</v>
      </c>
    </row>
    <row r="3493" spans="1:24">
      <c r="A3493" s="21" t="s">
        <v>5100</v>
      </c>
      <c r="B3493" t="s">
        <v>598</v>
      </c>
      <c r="C3493" t="s">
        <v>1204</v>
      </c>
      <c r="D3493" t="s">
        <v>1206</v>
      </c>
      <c r="E3493" s="7" t="s">
        <v>198</v>
      </c>
      <c r="F3493" s="7" t="s">
        <v>198</v>
      </c>
      <c r="G3493" s="7" t="s">
        <v>198</v>
      </c>
      <c r="H3493" s="7" t="s">
        <v>20</v>
      </c>
      <c r="I3493" s="7" t="s">
        <v>5102</v>
      </c>
      <c r="J3493" s="7" t="s">
        <v>21</v>
      </c>
      <c r="L3493" t="s">
        <v>4961</v>
      </c>
      <c r="M3493" s="7" t="s">
        <v>22</v>
      </c>
      <c r="N3493" s="7" t="s">
        <v>23</v>
      </c>
      <c r="O3493" s="7" t="s">
        <v>27</v>
      </c>
      <c r="P3493" s="7" t="s">
        <v>5101</v>
      </c>
      <c r="Q3493" s="26">
        <v>21</v>
      </c>
      <c r="R3493" s="26">
        <v>1</v>
      </c>
      <c r="S3493" s="40">
        <v>1</v>
      </c>
      <c r="T3493" s="7"/>
      <c r="U3493" s="7" t="s">
        <v>2951</v>
      </c>
      <c r="V3493" s="7" t="str">
        <f>+IF(U3493="","",IF(U3493="FINES",CONCATENATE("R",IF(OR(B3493="16",B3493="21",B3493="22",B3493="23"),"16212223",IF(OR(B3493="15",B3493="17",B3493="24",B3493="25"),"15172425",B3493))),IF(U3493="CEBAS","UNICO",IF(VALUE(B3493)&lt;=11,"AMBA","INTERIOR"))))</f>
        <v>R16212223</v>
      </c>
      <c r="W3493" s="38" t="str">
        <f>+IF(U3493="","-",CONCATENATE(U3493,"_",V3493))</f>
        <v>FINES_R16212223</v>
      </c>
      <c r="X3493" s="42">
        <v>0.308</v>
      </c>
    </row>
    <row r="3494" spans="1:24">
      <c r="A3494" s="21" t="s">
        <v>5100</v>
      </c>
      <c r="B3494" t="s">
        <v>203</v>
      </c>
      <c r="C3494" t="s">
        <v>1986</v>
      </c>
      <c r="D3494" t="s">
        <v>1987</v>
      </c>
      <c r="E3494" s="7" t="s">
        <v>198</v>
      </c>
      <c r="F3494" s="7" t="s">
        <v>198</v>
      </c>
      <c r="G3494" s="7" t="s">
        <v>198</v>
      </c>
      <c r="H3494" s="7" t="s">
        <v>20</v>
      </c>
      <c r="I3494" s="7" t="s">
        <v>5102</v>
      </c>
      <c r="J3494" s="7" t="s">
        <v>21</v>
      </c>
      <c r="L3494" t="s">
        <v>5006</v>
      </c>
      <c r="M3494" s="7" t="s">
        <v>22</v>
      </c>
      <c r="N3494" s="7" t="s">
        <v>23</v>
      </c>
      <c r="O3494" s="7" t="s">
        <v>27</v>
      </c>
      <c r="P3494" s="7" t="s">
        <v>5101</v>
      </c>
      <c r="Q3494" s="26">
        <v>26</v>
      </c>
      <c r="R3494" s="26">
        <v>1</v>
      </c>
      <c r="S3494" s="40">
        <v>1</v>
      </c>
      <c r="T3494" s="7"/>
      <c r="U3494" s="7" t="s">
        <v>2951</v>
      </c>
      <c r="V3494" s="7" t="str">
        <f>+IF(U3494="","",IF(U3494="FINES",CONCATENATE("R",IF(OR(B3494="16",B3494="21",B3494="22",B3494="23"),"16212223",IF(OR(B3494="15",B3494="17",B3494="24",B3494="25"),"15172425",B3494))),IF(U3494="CEBAS","UNICO",IF(VALUE(B3494)&lt;=11,"AMBA","INTERIOR"))))</f>
        <v>R16212223</v>
      </c>
      <c r="W3494" s="38" t="str">
        <f>+IF(U3494="","-",CONCATENATE(U3494,"_",V3494))</f>
        <v>FINES_R16212223</v>
      </c>
      <c r="X3494" s="42">
        <v>0.313</v>
      </c>
    </row>
    <row r="3495" spans="1:24">
      <c r="A3495" s="21" t="s">
        <v>5100</v>
      </c>
      <c r="B3495" t="s">
        <v>203</v>
      </c>
      <c r="C3495" t="s">
        <v>450</v>
      </c>
      <c r="D3495" t="s">
        <v>452</v>
      </c>
      <c r="E3495" s="7" t="s">
        <v>198</v>
      </c>
      <c r="F3495" s="7" t="s">
        <v>198</v>
      </c>
      <c r="G3495" s="7" t="s">
        <v>198</v>
      </c>
      <c r="H3495" s="7" t="s">
        <v>20</v>
      </c>
      <c r="I3495" s="7" t="s">
        <v>5102</v>
      </c>
      <c r="J3495" s="7" t="s">
        <v>21</v>
      </c>
      <c r="L3495" t="s">
        <v>4995</v>
      </c>
      <c r="M3495" s="7" t="s">
        <v>22</v>
      </c>
      <c r="N3495" s="7" t="s">
        <v>23</v>
      </c>
      <c r="O3495" s="7" t="s">
        <v>27</v>
      </c>
      <c r="P3495" s="7" t="s">
        <v>5101</v>
      </c>
      <c r="Q3495" s="26">
        <v>28</v>
      </c>
      <c r="R3495" s="26">
        <v>1</v>
      </c>
      <c r="S3495" s="40">
        <v>1</v>
      </c>
      <c r="T3495" s="7"/>
      <c r="U3495" s="7" t="s">
        <v>2951</v>
      </c>
      <c r="V3495" s="7" t="str">
        <f>+IF(U3495="","",IF(U3495="FINES",CONCATENATE("R",IF(OR(B3495="16",B3495="21",B3495="22",B3495="23"),"16212223",IF(OR(B3495="15",B3495="17",B3495="24",B3495="25"),"15172425",B3495))),IF(U3495="CEBAS","UNICO",IF(VALUE(B3495)&lt;=11,"AMBA","INTERIOR"))))</f>
        <v>R16212223</v>
      </c>
      <c r="W3495" s="38" t="str">
        <f>+IF(U3495="","-",CONCATENATE(U3495,"_",V3495))</f>
        <v>FINES_R16212223</v>
      </c>
      <c r="X3495" s="42">
        <v>0.314</v>
      </c>
    </row>
    <row r="3496" spans="1:24">
      <c r="A3496" s="21" t="s">
        <v>5100</v>
      </c>
      <c r="B3496" t="s">
        <v>220</v>
      </c>
      <c r="C3496" t="s">
        <v>2165</v>
      </c>
      <c r="D3496" t="s">
        <v>2166</v>
      </c>
      <c r="E3496" s="7" t="s">
        <v>198</v>
      </c>
      <c r="F3496" s="7" t="s">
        <v>198</v>
      </c>
      <c r="G3496" s="7" t="s">
        <v>198</v>
      </c>
      <c r="H3496" s="7" t="s">
        <v>20</v>
      </c>
      <c r="I3496" s="7" t="s">
        <v>5102</v>
      </c>
      <c r="J3496" s="7" t="s">
        <v>21</v>
      </c>
      <c r="L3496" t="s">
        <v>4664</v>
      </c>
      <c r="M3496" s="7" t="s">
        <v>22</v>
      </c>
      <c r="N3496" s="7" t="s">
        <v>23</v>
      </c>
      <c r="O3496" s="7" t="s">
        <v>27</v>
      </c>
      <c r="P3496" s="7" t="s">
        <v>5101</v>
      </c>
      <c r="Q3496" s="26">
        <v>19</v>
      </c>
      <c r="R3496" s="26">
        <v>1</v>
      </c>
      <c r="S3496" s="40">
        <v>1</v>
      </c>
      <c r="T3496" s="7"/>
      <c r="U3496" s="7" t="s">
        <v>2951</v>
      </c>
      <c r="V3496" s="7" t="str">
        <f>+IF(U3496="","",IF(U3496="FINES",CONCATENATE("R",IF(OR(B3496="16",B3496="21",B3496="22",B3496="23"),"16212223",IF(OR(B3496="15",B3496="17",B3496="24",B3496="25"),"15172425",B3496))),IF(U3496="CEBAS","UNICO",IF(VALUE(B3496)&lt;=11,"AMBA","INTERIOR"))))</f>
        <v>R16212223</v>
      </c>
      <c r="W3496" s="38" t="str">
        <f>+IF(U3496="","-",CONCATENATE(U3496,"_",V3496))</f>
        <v>FINES_R16212223</v>
      </c>
      <c r="X3496" s="42">
        <v>0.318</v>
      </c>
    </row>
    <row r="3497" spans="1:24">
      <c r="A3497" s="21" t="s">
        <v>5100</v>
      </c>
      <c r="B3497" t="s">
        <v>203</v>
      </c>
      <c r="C3497" t="s">
        <v>450</v>
      </c>
      <c r="D3497" t="s">
        <v>452</v>
      </c>
      <c r="E3497" s="7" t="s">
        <v>198</v>
      </c>
      <c r="F3497" s="7" t="s">
        <v>198</v>
      </c>
      <c r="G3497" s="7" t="s">
        <v>198</v>
      </c>
      <c r="H3497" s="7" t="s">
        <v>20</v>
      </c>
      <c r="I3497" s="7" t="s">
        <v>5102</v>
      </c>
      <c r="J3497" s="7" t="s">
        <v>21</v>
      </c>
      <c r="L3497" t="s">
        <v>4985</v>
      </c>
      <c r="M3497" s="7" t="s">
        <v>22</v>
      </c>
      <c r="N3497" s="7" t="s">
        <v>23</v>
      </c>
      <c r="O3497" s="7" t="s">
        <v>27</v>
      </c>
      <c r="P3497" s="7" t="s">
        <v>5101</v>
      </c>
      <c r="Q3497" s="26">
        <v>23</v>
      </c>
      <c r="R3497" s="26">
        <v>1</v>
      </c>
      <c r="S3497" s="40">
        <v>1</v>
      </c>
      <c r="T3497" s="7"/>
      <c r="U3497" s="7" t="s">
        <v>2951</v>
      </c>
      <c r="V3497" s="7" t="str">
        <f>+IF(U3497="","",IF(U3497="FINES",CONCATENATE("R",IF(OR(B3497="16",B3497="21",B3497="22",B3497="23"),"16212223",IF(OR(B3497="15",B3497="17",B3497="24",B3497="25"),"15172425",B3497))),IF(U3497="CEBAS","UNICO",IF(VALUE(B3497)&lt;=11,"AMBA","INTERIOR"))))</f>
        <v>R16212223</v>
      </c>
      <c r="W3497" s="38" t="str">
        <f>+IF(U3497="","-",CONCATENATE(U3497,"_",V3497))</f>
        <v>FINES_R16212223</v>
      </c>
      <c r="X3497" s="42">
        <v>0.33400000000000002</v>
      </c>
    </row>
    <row r="3498" spans="1:24">
      <c r="A3498" s="21" t="s">
        <v>5100</v>
      </c>
      <c r="B3498" t="s">
        <v>223</v>
      </c>
      <c r="C3498" t="s">
        <v>229</v>
      </c>
      <c r="D3498" t="s">
        <v>231</v>
      </c>
      <c r="E3498" s="7" t="s">
        <v>198</v>
      </c>
      <c r="F3498" s="7" t="s">
        <v>198</v>
      </c>
      <c r="G3498" s="7" t="s">
        <v>198</v>
      </c>
      <c r="H3498" s="7" t="s">
        <v>20</v>
      </c>
      <c r="I3498" s="7" t="s">
        <v>5102</v>
      </c>
      <c r="J3498" s="7" t="s">
        <v>21</v>
      </c>
      <c r="L3498" t="s">
        <v>5014</v>
      </c>
      <c r="M3498" s="7" t="s">
        <v>22</v>
      </c>
      <c r="N3498" s="7" t="s">
        <v>23</v>
      </c>
      <c r="O3498" s="7" t="s">
        <v>27</v>
      </c>
      <c r="P3498" s="7" t="s">
        <v>5101</v>
      </c>
      <c r="Q3498" s="26">
        <v>9</v>
      </c>
      <c r="R3498" s="26">
        <v>1</v>
      </c>
      <c r="S3498" s="40">
        <v>1</v>
      </c>
      <c r="T3498" s="7"/>
      <c r="U3498" s="7" t="s">
        <v>2951</v>
      </c>
      <c r="V3498" s="7" t="str">
        <f>+IF(U3498="","",IF(U3498="FINES",CONCATENATE("R",IF(OR(B3498="16",B3498="21",B3498="22",B3498="23"),"16212223",IF(OR(B3498="15",B3498="17",B3498="24",B3498="25"),"15172425",B3498))),IF(U3498="CEBAS","UNICO",IF(VALUE(B3498)&lt;=11,"AMBA","INTERIOR"))))</f>
        <v>R16212223</v>
      </c>
      <c r="W3498" s="38" t="str">
        <f>+IF(U3498="","-",CONCATENATE(U3498,"_",V3498))</f>
        <v>FINES_R16212223</v>
      </c>
      <c r="X3498" s="42">
        <v>0.34</v>
      </c>
    </row>
    <row r="3499" spans="1:24">
      <c r="A3499" s="21" t="s">
        <v>5100</v>
      </c>
      <c r="B3499" t="s">
        <v>598</v>
      </c>
      <c r="C3499" t="s">
        <v>1204</v>
      </c>
      <c r="D3499" t="s">
        <v>1206</v>
      </c>
      <c r="E3499" s="7" t="s">
        <v>198</v>
      </c>
      <c r="F3499" s="7" t="s">
        <v>198</v>
      </c>
      <c r="G3499" s="7" t="s">
        <v>198</v>
      </c>
      <c r="H3499" s="7" t="s">
        <v>20</v>
      </c>
      <c r="I3499" s="7" t="s">
        <v>5102</v>
      </c>
      <c r="J3499" s="7" t="s">
        <v>21</v>
      </c>
      <c r="L3499" t="s">
        <v>4962</v>
      </c>
      <c r="M3499" s="7" t="s">
        <v>22</v>
      </c>
      <c r="N3499" s="7" t="s">
        <v>23</v>
      </c>
      <c r="O3499" s="7" t="s">
        <v>27</v>
      </c>
      <c r="P3499" s="7" t="s">
        <v>5101</v>
      </c>
      <c r="Q3499" s="26">
        <v>16</v>
      </c>
      <c r="R3499" s="26">
        <v>1</v>
      </c>
      <c r="S3499" s="40">
        <v>1</v>
      </c>
      <c r="T3499" s="7"/>
      <c r="U3499" s="7" t="s">
        <v>2951</v>
      </c>
      <c r="V3499" s="7" t="str">
        <f>+IF(U3499="","",IF(U3499="FINES",CONCATENATE("R",IF(OR(B3499="16",B3499="21",B3499="22",B3499="23"),"16212223",IF(OR(B3499="15",B3499="17",B3499="24",B3499="25"),"15172425",B3499))),IF(U3499="CEBAS","UNICO",IF(VALUE(B3499)&lt;=11,"AMBA","INTERIOR"))))</f>
        <v>R16212223</v>
      </c>
      <c r="W3499" s="38" t="str">
        <f>+IF(U3499="","-",CONCATENATE(U3499,"_",V3499))</f>
        <v>FINES_R16212223</v>
      </c>
      <c r="X3499" s="42">
        <v>0.372</v>
      </c>
    </row>
    <row r="3500" spans="1:24">
      <c r="A3500" s="21" t="s">
        <v>5100</v>
      </c>
      <c r="B3500" t="s">
        <v>223</v>
      </c>
      <c r="C3500" t="s">
        <v>572</v>
      </c>
      <c r="D3500" t="s">
        <v>2430</v>
      </c>
      <c r="E3500" s="7" t="s">
        <v>198</v>
      </c>
      <c r="F3500" s="7" t="s">
        <v>198</v>
      </c>
      <c r="G3500" s="7" t="s">
        <v>198</v>
      </c>
      <c r="H3500" s="7" t="s">
        <v>20</v>
      </c>
      <c r="I3500" s="7" t="s">
        <v>5102</v>
      </c>
      <c r="J3500" s="7" t="s">
        <v>21</v>
      </c>
      <c r="L3500" t="s">
        <v>5037</v>
      </c>
      <c r="M3500" s="7" t="s">
        <v>22</v>
      </c>
      <c r="N3500" s="7" t="s">
        <v>23</v>
      </c>
      <c r="O3500" s="7" t="s">
        <v>27</v>
      </c>
      <c r="P3500" s="7" t="s">
        <v>5101</v>
      </c>
      <c r="Q3500" s="26">
        <v>11</v>
      </c>
      <c r="R3500" s="26">
        <v>1</v>
      </c>
      <c r="S3500" s="40">
        <v>1</v>
      </c>
      <c r="T3500" s="7"/>
      <c r="U3500" s="7" t="s">
        <v>2951</v>
      </c>
      <c r="V3500" s="7" t="str">
        <f>+IF(U3500="","",IF(U3500="FINES",CONCATENATE("R",IF(OR(B3500="16",B3500="21",B3500="22",B3500="23"),"16212223",IF(OR(B3500="15",B3500="17",B3500="24",B3500="25"),"15172425",B3500))),IF(U3500="CEBAS","UNICO",IF(VALUE(B3500)&lt;=11,"AMBA","INTERIOR"))))</f>
        <v>R16212223</v>
      </c>
      <c r="W3500" s="38" t="str">
        <f>+IF(U3500="","-",CONCATENATE(U3500,"_",V3500))</f>
        <v>FINES_R16212223</v>
      </c>
      <c r="X3500" s="42">
        <v>0.39900000000000002</v>
      </c>
    </row>
    <row r="3501" spans="1:24">
      <c r="A3501" s="21" t="s">
        <v>5100</v>
      </c>
      <c r="B3501" t="s">
        <v>598</v>
      </c>
      <c r="C3501" t="s">
        <v>1204</v>
      </c>
      <c r="D3501" t="s">
        <v>1206</v>
      </c>
      <c r="E3501" s="7" t="s">
        <v>198</v>
      </c>
      <c r="F3501" s="7" t="s">
        <v>198</v>
      </c>
      <c r="G3501" s="7" t="s">
        <v>198</v>
      </c>
      <c r="H3501" s="7" t="s">
        <v>20</v>
      </c>
      <c r="I3501" s="7" t="s">
        <v>5102</v>
      </c>
      <c r="J3501" s="7" t="s">
        <v>21</v>
      </c>
      <c r="L3501" t="s">
        <v>4958</v>
      </c>
      <c r="M3501" s="7" t="s">
        <v>22</v>
      </c>
      <c r="N3501" s="7" t="s">
        <v>23</v>
      </c>
      <c r="O3501" s="7" t="s">
        <v>27</v>
      </c>
      <c r="P3501" s="7" t="s">
        <v>5101</v>
      </c>
      <c r="Q3501" s="26">
        <v>29</v>
      </c>
      <c r="R3501" s="26">
        <v>1</v>
      </c>
      <c r="S3501" s="40">
        <v>1</v>
      </c>
      <c r="T3501" s="7"/>
      <c r="U3501" s="7" t="s">
        <v>2951</v>
      </c>
      <c r="V3501" s="7" t="str">
        <f>+IF(U3501="","",IF(U3501="FINES",CONCATENATE("R",IF(OR(B3501="16",B3501="21",B3501="22",B3501="23"),"16212223",IF(OR(B3501="15",B3501="17",B3501="24",B3501="25"),"15172425",B3501))),IF(U3501="CEBAS","UNICO",IF(VALUE(B3501)&lt;=11,"AMBA","INTERIOR"))))</f>
        <v>R16212223</v>
      </c>
      <c r="W3501" s="38" t="str">
        <f>+IF(U3501="","-",CONCATENATE(U3501,"_",V3501))</f>
        <v>FINES_R16212223</v>
      </c>
      <c r="X3501" s="42">
        <v>0.40300000000000002</v>
      </c>
    </row>
    <row r="3502" spans="1:24">
      <c r="A3502" s="21" t="s">
        <v>5100</v>
      </c>
      <c r="B3502" t="s">
        <v>223</v>
      </c>
      <c r="C3502" t="s">
        <v>913</v>
      </c>
      <c r="D3502" t="s">
        <v>914</v>
      </c>
      <c r="E3502" s="7" t="s">
        <v>198</v>
      </c>
      <c r="F3502" s="7" t="s">
        <v>198</v>
      </c>
      <c r="G3502" s="7" t="s">
        <v>198</v>
      </c>
      <c r="H3502" s="7" t="s">
        <v>20</v>
      </c>
      <c r="I3502" s="7" t="s">
        <v>5102</v>
      </c>
      <c r="J3502" s="7" t="s">
        <v>21</v>
      </c>
      <c r="L3502" t="s">
        <v>5025</v>
      </c>
      <c r="M3502" s="7" t="s">
        <v>22</v>
      </c>
      <c r="N3502" s="7" t="s">
        <v>23</v>
      </c>
      <c r="O3502" s="7" t="s">
        <v>27</v>
      </c>
      <c r="P3502" s="7" t="s">
        <v>5101</v>
      </c>
      <c r="Q3502" s="26">
        <v>11</v>
      </c>
      <c r="R3502" s="26">
        <v>1</v>
      </c>
      <c r="S3502" s="40">
        <v>1</v>
      </c>
      <c r="T3502" s="7"/>
      <c r="U3502" s="7" t="s">
        <v>2951</v>
      </c>
      <c r="V3502" s="7" t="str">
        <f>+IF(U3502="","",IF(U3502="FINES",CONCATENATE("R",IF(OR(B3502="16",B3502="21",B3502="22",B3502="23"),"16212223",IF(OR(B3502="15",B3502="17",B3502="24",B3502="25"),"15172425",B3502))),IF(U3502="CEBAS","UNICO",IF(VALUE(B3502)&lt;=11,"AMBA","INTERIOR"))))</f>
        <v>R16212223</v>
      </c>
      <c r="W3502" s="38" t="str">
        <f>+IF(U3502="","-",CONCATENATE(U3502,"_",V3502))</f>
        <v>FINES_R16212223</v>
      </c>
      <c r="X3502" s="42">
        <v>0.40500000000000003</v>
      </c>
    </row>
    <row r="3503" spans="1:24">
      <c r="A3503" s="21" t="s">
        <v>5100</v>
      </c>
      <c r="B3503" t="s">
        <v>223</v>
      </c>
      <c r="C3503" t="s">
        <v>2184</v>
      </c>
      <c r="D3503" t="s">
        <v>2185</v>
      </c>
      <c r="E3503" s="7" t="s">
        <v>198</v>
      </c>
      <c r="F3503" s="7" t="s">
        <v>198</v>
      </c>
      <c r="G3503" s="7" t="s">
        <v>198</v>
      </c>
      <c r="H3503" s="7" t="s">
        <v>20</v>
      </c>
      <c r="I3503" s="7" t="s">
        <v>5102</v>
      </c>
      <c r="J3503" s="7" t="s">
        <v>21</v>
      </c>
      <c r="L3503" t="s">
        <v>5033</v>
      </c>
      <c r="M3503" s="7" t="s">
        <v>22</v>
      </c>
      <c r="N3503" s="7" t="s">
        <v>23</v>
      </c>
      <c r="O3503" s="7" t="s">
        <v>27</v>
      </c>
      <c r="P3503" s="7" t="s">
        <v>5101</v>
      </c>
      <c r="Q3503" s="26">
        <v>10</v>
      </c>
      <c r="R3503" s="26">
        <v>1</v>
      </c>
      <c r="S3503" s="40">
        <v>1</v>
      </c>
      <c r="T3503" s="7"/>
      <c r="U3503" s="7" t="s">
        <v>2951</v>
      </c>
      <c r="V3503" s="7" t="str">
        <f>+IF(U3503="","",IF(U3503="FINES",CONCATENATE("R",IF(OR(B3503="16",B3503="21",B3503="22",B3503="23"),"16212223",IF(OR(B3503="15",B3503="17",B3503="24",B3503="25"),"15172425",B3503))),IF(U3503="CEBAS","UNICO",IF(VALUE(B3503)&lt;=11,"AMBA","INTERIOR"))))</f>
        <v>R16212223</v>
      </c>
      <c r="W3503" s="38" t="str">
        <f>+IF(U3503="","-",CONCATENATE(U3503,"_",V3503))</f>
        <v>FINES_R16212223</v>
      </c>
      <c r="X3503" s="42">
        <v>0.42299999999999999</v>
      </c>
    </row>
    <row r="3504" spans="1:24">
      <c r="A3504" s="21" t="s">
        <v>5100</v>
      </c>
      <c r="B3504" t="s">
        <v>598</v>
      </c>
      <c r="C3504" t="s">
        <v>700</v>
      </c>
      <c r="D3504" t="s">
        <v>701</v>
      </c>
      <c r="E3504" s="7" t="s">
        <v>198</v>
      </c>
      <c r="F3504" s="7" t="s">
        <v>198</v>
      </c>
      <c r="G3504" s="7" t="s">
        <v>198</v>
      </c>
      <c r="H3504" s="7" t="s">
        <v>20</v>
      </c>
      <c r="I3504" s="7" t="s">
        <v>5102</v>
      </c>
      <c r="J3504" s="7" t="s">
        <v>21</v>
      </c>
      <c r="L3504" t="s">
        <v>4641</v>
      </c>
      <c r="M3504" s="7" t="s">
        <v>22</v>
      </c>
      <c r="N3504" s="7" t="s">
        <v>23</v>
      </c>
      <c r="O3504" s="7" t="s">
        <v>27</v>
      </c>
      <c r="P3504" s="7" t="s">
        <v>5101</v>
      </c>
      <c r="Q3504" s="26">
        <v>59</v>
      </c>
      <c r="R3504" s="26">
        <v>3</v>
      </c>
      <c r="S3504" s="40">
        <v>1</v>
      </c>
      <c r="T3504" s="7"/>
      <c r="U3504" s="7" t="s">
        <v>2951</v>
      </c>
      <c r="V3504" s="7" t="str">
        <f>+IF(U3504="","",IF(U3504="FINES",CONCATENATE("R",IF(OR(B3504="16",B3504="21",B3504="22",B3504="23"),"16212223",IF(OR(B3504="15",B3504="17",B3504="24",B3504="25"),"15172425",B3504))),IF(U3504="CEBAS","UNICO",IF(VALUE(B3504)&lt;=11,"AMBA","INTERIOR"))))</f>
        <v>R16212223</v>
      </c>
      <c r="W3504" s="38" t="str">
        <f>+IF(U3504="","-",CONCATENATE(U3504,"_",V3504))</f>
        <v>FINES_R16212223</v>
      </c>
      <c r="X3504" s="42">
        <v>0.437</v>
      </c>
    </row>
    <row r="3505" spans="1:24">
      <c r="A3505" s="21" t="s">
        <v>5100</v>
      </c>
      <c r="B3505" t="s">
        <v>598</v>
      </c>
      <c r="C3505" t="s">
        <v>1204</v>
      </c>
      <c r="D3505" t="s">
        <v>1206</v>
      </c>
      <c r="E3505" s="7" t="s">
        <v>198</v>
      </c>
      <c r="F3505" s="7" t="s">
        <v>198</v>
      </c>
      <c r="G3505" s="7" t="s">
        <v>198</v>
      </c>
      <c r="H3505" s="7" t="s">
        <v>20</v>
      </c>
      <c r="I3505" s="7" t="s">
        <v>5102</v>
      </c>
      <c r="J3505" s="7" t="s">
        <v>21</v>
      </c>
      <c r="L3505" t="s">
        <v>4960</v>
      </c>
      <c r="M3505" s="7" t="s">
        <v>22</v>
      </c>
      <c r="N3505" s="7" t="s">
        <v>23</v>
      </c>
      <c r="O3505" s="7" t="s">
        <v>27</v>
      </c>
      <c r="P3505" s="7" t="s">
        <v>5101</v>
      </c>
      <c r="Q3505" s="26">
        <v>16</v>
      </c>
      <c r="R3505" s="26">
        <v>1</v>
      </c>
      <c r="S3505" s="40">
        <v>1</v>
      </c>
      <c r="T3505" s="7"/>
      <c r="U3505" s="7" t="s">
        <v>2951</v>
      </c>
      <c r="V3505" s="7" t="str">
        <f>+IF(U3505="","",IF(U3505="FINES",CONCATENATE("R",IF(OR(B3505="16",B3505="21",B3505="22",B3505="23"),"16212223",IF(OR(B3505="15",B3505="17",B3505="24",B3505="25"),"15172425",B3505))),IF(U3505="CEBAS","UNICO",IF(VALUE(B3505)&lt;=11,"AMBA","INTERIOR"))))</f>
        <v>R16212223</v>
      </c>
      <c r="W3505" s="38" t="str">
        <f>+IF(U3505="","-",CONCATENATE(U3505,"_",V3505))</f>
        <v>FINES_R16212223</v>
      </c>
      <c r="X3505" s="42">
        <v>0.441</v>
      </c>
    </row>
    <row r="3506" spans="1:24">
      <c r="A3506" s="21" t="s">
        <v>5100</v>
      </c>
      <c r="B3506" t="s">
        <v>220</v>
      </c>
      <c r="C3506" t="s">
        <v>431</v>
      </c>
      <c r="D3506" t="s">
        <v>1184</v>
      </c>
      <c r="E3506" s="7" t="s">
        <v>198</v>
      </c>
      <c r="F3506" s="7" t="s">
        <v>198</v>
      </c>
      <c r="G3506" s="7" t="s">
        <v>198</v>
      </c>
      <c r="H3506" s="7" t="s">
        <v>20</v>
      </c>
      <c r="I3506" s="7" t="s">
        <v>5102</v>
      </c>
      <c r="J3506" s="7" t="s">
        <v>21</v>
      </c>
      <c r="L3506" t="s">
        <v>4658</v>
      </c>
      <c r="M3506" s="7" t="s">
        <v>22</v>
      </c>
      <c r="N3506" s="7" t="s">
        <v>23</v>
      </c>
      <c r="O3506" s="7" t="s">
        <v>27</v>
      </c>
      <c r="P3506" s="7" t="s">
        <v>5101</v>
      </c>
      <c r="Q3506" s="26">
        <v>16</v>
      </c>
      <c r="R3506" s="26">
        <v>1</v>
      </c>
      <c r="S3506" s="40">
        <v>1</v>
      </c>
      <c r="T3506" s="7"/>
      <c r="U3506" s="7" t="s">
        <v>2951</v>
      </c>
      <c r="V3506" s="7" t="str">
        <f>+IF(U3506="","",IF(U3506="FINES",CONCATENATE("R",IF(OR(B3506="16",B3506="21",B3506="22",B3506="23"),"16212223",IF(OR(B3506="15",B3506="17",B3506="24",B3506="25"),"15172425",B3506))),IF(U3506="CEBAS","UNICO",IF(VALUE(B3506)&lt;=11,"AMBA","INTERIOR"))))</f>
        <v>R16212223</v>
      </c>
      <c r="W3506" s="38" t="str">
        <f>+IF(U3506="","-",CONCATENATE(U3506,"_",V3506))</f>
        <v>FINES_R16212223</v>
      </c>
      <c r="X3506" s="42">
        <v>0.44700000000000001</v>
      </c>
    </row>
    <row r="3507" spans="1:24">
      <c r="A3507" s="21" t="s">
        <v>5100</v>
      </c>
      <c r="B3507" t="s">
        <v>598</v>
      </c>
      <c r="C3507" t="s">
        <v>1249</v>
      </c>
      <c r="D3507" t="s">
        <v>1250</v>
      </c>
      <c r="E3507" s="7" t="s">
        <v>198</v>
      </c>
      <c r="F3507" s="7" t="s">
        <v>198</v>
      </c>
      <c r="G3507" s="7" t="s">
        <v>198</v>
      </c>
      <c r="H3507" s="7" t="s">
        <v>20</v>
      </c>
      <c r="I3507" s="7" t="s">
        <v>5102</v>
      </c>
      <c r="J3507" s="7" t="s">
        <v>21</v>
      </c>
      <c r="L3507" t="s">
        <v>4973</v>
      </c>
      <c r="M3507" s="7" t="s">
        <v>22</v>
      </c>
      <c r="N3507" s="7" t="s">
        <v>23</v>
      </c>
      <c r="O3507" s="7" t="s">
        <v>27</v>
      </c>
      <c r="P3507" s="7" t="s">
        <v>5101</v>
      </c>
      <c r="Q3507" s="26">
        <v>5</v>
      </c>
      <c r="R3507" s="26">
        <v>1</v>
      </c>
      <c r="S3507" s="40">
        <v>1</v>
      </c>
      <c r="T3507" s="7"/>
      <c r="U3507" s="7" t="s">
        <v>2951</v>
      </c>
      <c r="V3507" s="7" t="str">
        <f>+IF(U3507="","",IF(U3507="FINES",CONCATENATE("R",IF(OR(B3507="16",B3507="21",B3507="22",B3507="23"),"16212223",IF(OR(B3507="15",B3507="17",B3507="24",B3507="25"),"15172425",B3507))),IF(U3507="CEBAS","UNICO",IF(VALUE(B3507)&lt;=11,"AMBA","INTERIOR"))))</f>
        <v>R16212223</v>
      </c>
      <c r="W3507" s="38" t="str">
        <f>+IF(U3507="","-",CONCATENATE(U3507,"_",V3507))</f>
        <v>FINES_R16212223</v>
      </c>
      <c r="X3507" s="42">
        <v>0.45100000000000001</v>
      </c>
    </row>
    <row r="3508" spans="1:24">
      <c r="A3508" s="21" t="s">
        <v>5100</v>
      </c>
      <c r="B3508" t="s">
        <v>223</v>
      </c>
      <c r="C3508" t="s">
        <v>572</v>
      </c>
      <c r="D3508" t="s">
        <v>2430</v>
      </c>
      <c r="E3508" s="7" t="s">
        <v>198</v>
      </c>
      <c r="F3508" s="7" t="s">
        <v>198</v>
      </c>
      <c r="G3508" s="7" t="s">
        <v>198</v>
      </c>
      <c r="H3508" s="7" t="s">
        <v>20</v>
      </c>
      <c r="I3508" s="7" t="s">
        <v>5102</v>
      </c>
      <c r="J3508" s="7" t="s">
        <v>21</v>
      </c>
      <c r="L3508" t="s">
        <v>5039</v>
      </c>
      <c r="M3508" s="7" t="s">
        <v>22</v>
      </c>
      <c r="N3508" s="7" t="s">
        <v>23</v>
      </c>
      <c r="O3508" s="7" t="s">
        <v>27</v>
      </c>
      <c r="P3508" s="7" t="s">
        <v>5101</v>
      </c>
      <c r="Q3508" s="26">
        <v>46</v>
      </c>
      <c r="R3508" s="26">
        <v>2</v>
      </c>
      <c r="S3508" s="40">
        <v>1</v>
      </c>
      <c r="T3508" s="7"/>
      <c r="U3508" s="7" t="s">
        <v>2951</v>
      </c>
      <c r="V3508" s="7" t="str">
        <f>+IF(U3508="","",IF(U3508="FINES",CONCATENATE("R",IF(OR(B3508="16",B3508="21",B3508="22",B3508="23"),"16212223",IF(OR(B3508="15",B3508="17",B3508="24",B3508="25"),"15172425",B3508))),IF(U3508="CEBAS","UNICO",IF(VALUE(B3508)&lt;=11,"AMBA","INTERIOR"))))</f>
        <v>R16212223</v>
      </c>
      <c r="W3508" s="38" t="str">
        <f>+IF(U3508="","-",CONCATENATE(U3508,"_",V3508))</f>
        <v>FINES_R16212223</v>
      </c>
      <c r="X3508" s="42">
        <v>0.45500000000000002</v>
      </c>
    </row>
    <row r="3509" spans="1:24">
      <c r="A3509" s="21" t="s">
        <v>5100</v>
      </c>
      <c r="B3509" t="s">
        <v>598</v>
      </c>
      <c r="C3509" t="s">
        <v>748</v>
      </c>
      <c r="D3509" t="s">
        <v>2452</v>
      </c>
      <c r="E3509" s="7" t="s">
        <v>198</v>
      </c>
      <c r="F3509" s="7" t="s">
        <v>198</v>
      </c>
      <c r="G3509" s="7" t="s">
        <v>198</v>
      </c>
      <c r="H3509" s="7" t="s">
        <v>20</v>
      </c>
      <c r="I3509" s="7" t="s">
        <v>5102</v>
      </c>
      <c r="J3509" s="7" t="s">
        <v>21</v>
      </c>
      <c r="L3509" t="s">
        <v>4980</v>
      </c>
      <c r="M3509" s="7" t="s">
        <v>22</v>
      </c>
      <c r="N3509" s="7" t="s">
        <v>23</v>
      </c>
      <c r="O3509" s="7" t="s">
        <v>27</v>
      </c>
      <c r="P3509" s="7" t="s">
        <v>5101</v>
      </c>
      <c r="Q3509" s="26">
        <v>0</v>
      </c>
      <c r="R3509" s="26">
        <v>1</v>
      </c>
      <c r="S3509" s="40">
        <v>1</v>
      </c>
      <c r="T3509" s="7"/>
      <c r="U3509" s="7" t="s">
        <v>2951</v>
      </c>
      <c r="V3509" s="7" t="str">
        <f>+IF(U3509="","",IF(U3509="FINES",CONCATENATE("R",IF(OR(B3509="16",B3509="21",B3509="22",B3509="23"),"16212223",IF(OR(B3509="15",B3509="17",B3509="24",B3509="25"),"15172425",B3509))),IF(U3509="CEBAS","UNICO",IF(VALUE(B3509)&lt;=11,"AMBA","INTERIOR"))))</f>
        <v>R16212223</v>
      </c>
      <c r="W3509" s="38" t="str">
        <f>+IF(U3509="","-",CONCATENATE(U3509,"_",V3509))</f>
        <v>FINES_R16212223</v>
      </c>
      <c r="X3509" s="42">
        <v>0.46</v>
      </c>
    </row>
    <row r="3510" spans="1:24">
      <c r="A3510" s="21" t="s">
        <v>5100</v>
      </c>
      <c r="B3510" t="s">
        <v>223</v>
      </c>
      <c r="C3510" t="s">
        <v>572</v>
      </c>
      <c r="D3510" t="s">
        <v>2430</v>
      </c>
      <c r="E3510" s="7" t="s">
        <v>198</v>
      </c>
      <c r="F3510" s="7" t="s">
        <v>198</v>
      </c>
      <c r="G3510" s="7" t="s">
        <v>198</v>
      </c>
      <c r="H3510" s="7" t="s">
        <v>20</v>
      </c>
      <c r="I3510" s="7" t="s">
        <v>5102</v>
      </c>
      <c r="J3510" s="7" t="s">
        <v>21</v>
      </c>
      <c r="L3510" t="s">
        <v>5038</v>
      </c>
      <c r="M3510" s="7" t="s">
        <v>22</v>
      </c>
      <c r="N3510" s="7" t="s">
        <v>23</v>
      </c>
      <c r="O3510" s="7" t="s">
        <v>27</v>
      </c>
      <c r="P3510" s="7" t="s">
        <v>5101</v>
      </c>
      <c r="Q3510" s="26">
        <v>9</v>
      </c>
      <c r="R3510" s="26">
        <v>1</v>
      </c>
      <c r="S3510" s="40">
        <v>1</v>
      </c>
      <c r="T3510" s="7"/>
      <c r="U3510" s="7" t="s">
        <v>2951</v>
      </c>
      <c r="V3510" s="7" t="str">
        <f>+IF(U3510="","",IF(U3510="FINES",CONCATENATE("R",IF(OR(B3510="16",B3510="21",B3510="22",B3510="23"),"16212223",IF(OR(B3510="15",B3510="17",B3510="24",B3510="25"),"15172425",B3510))),IF(U3510="CEBAS","UNICO",IF(VALUE(B3510)&lt;=11,"AMBA","INTERIOR"))))</f>
        <v>R16212223</v>
      </c>
      <c r="W3510" s="38" t="str">
        <f>+IF(U3510="","-",CONCATENATE(U3510,"_",V3510))</f>
        <v>FINES_R16212223</v>
      </c>
      <c r="X3510" s="42">
        <v>0.47499999999999998</v>
      </c>
    </row>
    <row r="3511" spans="1:24">
      <c r="A3511" s="21" t="s">
        <v>5100</v>
      </c>
      <c r="B3511" t="s">
        <v>203</v>
      </c>
      <c r="C3511" t="s">
        <v>450</v>
      </c>
      <c r="D3511" t="s">
        <v>452</v>
      </c>
      <c r="E3511" s="7" t="s">
        <v>198</v>
      </c>
      <c r="F3511" s="7" t="s">
        <v>198</v>
      </c>
      <c r="G3511" s="7" t="s">
        <v>198</v>
      </c>
      <c r="H3511" s="7" t="s">
        <v>20</v>
      </c>
      <c r="I3511" s="7" t="s">
        <v>5102</v>
      </c>
      <c r="J3511" s="7" t="s">
        <v>21</v>
      </c>
      <c r="L3511" t="s">
        <v>4997</v>
      </c>
      <c r="M3511" s="7" t="s">
        <v>22</v>
      </c>
      <c r="N3511" s="7" t="s">
        <v>23</v>
      </c>
      <c r="O3511" s="7" t="s">
        <v>27</v>
      </c>
      <c r="P3511" s="7" t="s">
        <v>5101</v>
      </c>
      <c r="Q3511" s="26">
        <v>22</v>
      </c>
      <c r="R3511" s="26">
        <v>1</v>
      </c>
      <c r="S3511" s="40">
        <v>1</v>
      </c>
      <c r="T3511" s="7"/>
      <c r="U3511" s="7" t="s">
        <v>2951</v>
      </c>
      <c r="V3511" s="7" t="str">
        <f>+IF(U3511="","",IF(U3511="FINES",CONCATENATE("R",IF(OR(B3511="16",B3511="21",B3511="22",B3511="23"),"16212223",IF(OR(B3511="15",B3511="17",B3511="24",B3511="25"),"15172425",B3511))),IF(U3511="CEBAS","UNICO",IF(VALUE(B3511)&lt;=11,"AMBA","INTERIOR"))))</f>
        <v>R16212223</v>
      </c>
      <c r="W3511" s="38" t="str">
        <f>+IF(U3511="","-",CONCATENATE(U3511,"_",V3511))</f>
        <v>FINES_R16212223</v>
      </c>
      <c r="X3511" s="42">
        <v>0.48799999999999999</v>
      </c>
    </row>
    <row r="3512" spans="1:24">
      <c r="A3512" s="21" t="s">
        <v>5100</v>
      </c>
      <c r="B3512" t="s">
        <v>203</v>
      </c>
      <c r="C3512" t="s">
        <v>450</v>
      </c>
      <c r="D3512" t="s">
        <v>452</v>
      </c>
      <c r="E3512" s="7" t="s">
        <v>198</v>
      </c>
      <c r="F3512" s="7" t="s">
        <v>198</v>
      </c>
      <c r="G3512" s="7" t="s">
        <v>198</v>
      </c>
      <c r="H3512" s="7" t="s">
        <v>20</v>
      </c>
      <c r="I3512" s="7" t="s">
        <v>5102</v>
      </c>
      <c r="J3512" s="7" t="s">
        <v>21</v>
      </c>
      <c r="L3512" t="s">
        <v>4999</v>
      </c>
      <c r="M3512" s="7" t="s">
        <v>22</v>
      </c>
      <c r="N3512" s="7" t="s">
        <v>23</v>
      </c>
      <c r="O3512" s="7" t="s">
        <v>27</v>
      </c>
      <c r="P3512" s="7" t="s">
        <v>5101</v>
      </c>
      <c r="Q3512" s="26">
        <v>22</v>
      </c>
      <c r="R3512" s="26">
        <v>1</v>
      </c>
      <c r="S3512" s="40">
        <v>1</v>
      </c>
      <c r="T3512" s="7"/>
      <c r="U3512" s="7" t="s">
        <v>2951</v>
      </c>
      <c r="V3512" s="7" t="str">
        <f>+IF(U3512="","",IF(U3512="FINES",CONCATENATE("R",IF(OR(B3512="16",B3512="21",B3512="22",B3512="23"),"16212223",IF(OR(B3512="15",B3512="17",B3512="24",B3512="25"),"15172425",B3512))),IF(U3512="CEBAS","UNICO",IF(VALUE(B3512)&lt;=11,"AMBA","INTERIOR"))))</f>
        <v>R16212223</v>
      </c>
      <c r="W3512" s="38" t="str">
        <f>+IF(U3512="","-",CONCATENATE(U3512,"_",V3512))</f>
        <v>FINES_R16212223</v>
      </c>
      <c r="X3512" s="42">
        <v>0.48799999999999999</v>
      </c>
    </row>
    <row r="3513" spans="1:24">
      <c r="A3513" s="21" t="s">
        <v>5100</v>
      </c>
      <c r="B3513" t="s">
        <v>203</v>
      </c>
      <c r="C3513" t="s">
        <v>450</v>
      </c>
      <c r="D3513" t="s">
        <v>452</v>
      </c>
      <c r="E3513" s="7" t="s">
        <v>198</v>
      </c>
      <c r="F3513" s="7" t="s">
        <v>198</v>
      </c>
      <c r="G3513" s="7" t="s">
        <v>198</v>
      </c>
      <c r="H3513" s="7" t="s">
        <v>20</v>
      </c>
      <c r="I3513" s="7" t="s">
        <v>5102</v>
      </c>
      <c r="J3513" s="7" t="s">
        <v>21</v>
      </c>
      <c r="L3513" t="s">
        <v>4992</v>
      </c>
      <c r="M3513" s="7" t="s">
        <v>22</v>
      </c>
      <c r="N3513" s="7" t="s">
        <v>23</v>
      </c>
      <c r="O3513" s="7" t="s">
        <v>27</v>
      </c>
      <c r="P3513" s="7" t="s">
        <v>5101</v>
      </c>
      <c r="Q3513" s="26">
        <v>18</v>
      </c>
      <c r="R3513" s="26">
        <v>1</v>
      </c>
      <c r="S3513" s="40">
        <v>1</v>
      </c>
      <c r="T3513" s="7"/>
      <c r="U3513" s="7" t="s">
        <v>2951</v>
      </c>
      <c r="V3513" s="7" t="str">
        <f>+IF(U3513="","",IF(U3513="FINES",CONCATENATE("R",IF(OR(B3513="16",B3513="21",B3513="22",B3513="23"),"16212223",IF(OR(B3513="15",B3513="17",B3513="24",B3513="25"),"15172425",B3513))),IF(U3513="CEBAS","UNICO",IF(VALUE(B3513)&lt;=11,"AMBA","INTERIOR"))))</f>
        <v>R16212223</v>
      </c>
      <c r="W3513" s="38" t="str">
        <f>+IF(U3513="","-",CONCATENATE(U3513,"_",V3513))</f>
        <v>FINES_R16212223</v>
      </c>
      <c r="X3513" s="42">
        <v>0.52300000000000002</v>
      </c>
    </row>
    <row r="3514" spans="1:24">
      <c r="A3514" s="21" t="s">
        <v>5100</v>
      </c>
      <c r="B3514" t="s">
        <v>598</v>
      </c>
      <c r="C3514" t="s">
        <v>748</v>
      </c>
      <c r="D3514" t="s">
        <v>2452</v>
      </c>
      <c r="E3514" s="7" t="s">
        <v>198</v>
      </c>
      <c r="F3514" s="7" t="s">
        <v>198</v>
      </c>
      <c r="G3514" s="7" t="s">
        <v>198</v>
      </c>
      <c r="H3514" s="7" t="s">
        <v>20</v>
      </c>
      <c r="I3514" s="7" t="s">
        <v>5102</v>
      </c>
      <c r="J3514" s="7" t="s">
        <v>21</v>
      </c>
      <c r="L3514" t="s">
        <v>3926</v>
      </c>
      <c r="M3514" s="7" t="s">
        <v>22</v>
      </c>
      <c r="N3514" s="7" t="s">
        <v>23</v>
      </c>
      <c r="O3514" s="7" t="s">
        <v>27</v>
      </c>
      <c r="P3514" s="7" t="s">
        <v>5101</v>
      </c>
      <c r="Q3514" s="26">
        <v>13</v>
      </c>
      <c r="R3514" s="26">
        <v>1</v>
      </c>
      <c r="S3514" s="40">
        <v>1</v>
      </c>
      <c r="T3514" s="7"/>
      <c r="U3514" s="7" t="s">
        <v>2951</v>
      </c>
      <c r="V3514" s="7" t="str">
        <f>+IF(U3514="","",IF(U3514="FINES",CONCATENATE("R",IF(OR(B3514="16",B3514="21",B3514="22",B3514="23"),"16212223",IF(OR(B3514="15",B3514="17",B3514="24",B3514="25"),"15172425",B3514))),IF(U3514="CEBAS","UNICO",IF(VALUE(B3514)&lt;=11,"AMBA","INTERIOR"))))</f>
        <v>R16212223</v>
      </c>
      <c r="W3514" s="38" t="str">
        <f>+IF(U3514="","-",CONCATENATE(U3514,"_",V3514))</f>
        <v>FINES_R16212223</v>
      </c>
      <c r="X3514" s="42">
        <v>0.52500000000000002</v>
      </c>
    </row>
    <row r="3515" spans="1:24">
      <c r="A3515" s="21" t="s">
        <v>5100</v>
      </c>
      <c r="B3515" t="s">
        <v>203</v>
      </c>
      <c r="C3515" t="s">
        <v>450</v>
      </c>
      <c r="D3515" t="s">
        <v>452</v>
      </c>
      <c r="E3515" s="7" t="s">
        <v>198</v>
      </c>
      <c r="F3515" s="7" t="s">
        <v>198</v>
      </c>
      <c r="G3515" s="7" t="s">
        <v>198</v>
      </c>
      <c r="H3515" s="7" t="s">
        <v>20</v>
      </c>
      <c r="I3515" s="7" t="s">
        <v>5102</v>
      </c>
      <c r="J3515" s="7" t="s">
        <v>21</v>
      </c>
      <c r="L3515" t="s">
        <v>4988</v>
      </c>
      <c r="M3515" s="7" t="s">
        <v>22</v>
      </c>
      <c r="N3515" s="7" t="s">
        <v>23</v>
      </c>
      <c r="O3515" s="7" t="s">
        <v>27</v>
      </c>
      <c r="P3515" s="7" t="s">
        <v>5101</v>
      </c>
      <c r="Q3515" s="26">
        <v>15</v>
      </c>
      <c r="R3515" s="26">
        <v>1</v>
      </c>
      <c r="S3515" s="40">
        <v>1</v>
      </c>
      <c r="T3515" s="7"/>
      <c r="U3515" s="7" t="s">
        <v>2951</v>
      </c>
      <c r="V3515" s="7" t="str">
        <f>+IF(U3515="","",IF(U3515="FINES",CONCATENATE("R",IF(OR(B3515="16",B3515="21",B3515="22",B3515="23"),"16212223",IF(OR(B3515="15",B3515="17",B3515="24",B3515="25"),"15172425",B3515))),IF(U3515="CEBAS","UNICO",IF(VALUE(B3515)&lt;=11,"AMBA","INTERIOR"))))</f>
        <v>R16212223</v>
      </c>
      <c r="W3515" s="38" t="str">
        <f>+IF(U3515="","-",CONCATENATE(U3515,"_",V3515))</f>
        <v>FINES_R16212223</v>
      </c>
      <c r="X3515" s="42">
        <v>0.52600000000000002</v>
      </c>
    </row>
    <row r="3516" spans="1:24">
      <c r="A3516" s="21" t="s">
        <v>5100</v>
      </c>
      <c r="B3516" t="s">
        <v>203</v>
      </c>
      <c r="C3516" t="s">
        <v>1986</v>
      </c>
      <c r="D3516" t="s">
        <v>1987</v>
      </c>
      <c r="E3516" s="7" t="s">
        <v>198</v>
      </c>
      <c r="F3516" s="7" t="s">
        <v>198</v>
      </c>
      <c r="G3516" s="7" t="s">
        <v>198</v>
      </c>
      <c r="H3516" s="7" t="s">
        <v>20</v>
      </c>
      <c r="I3516" s="7" t="s">
        <v>5102</v>
      </c>
      <c r="J3516" s="7" t="s">
        <v>21</v>
      </c>
      <c r="L3516" t="s">
        <v>5003</v>
      </c>
      <c r="M3516" s="7" t="s">
        <v>22</v>
      </c>
      <c r="N3516" s="7" t="s">
        <v>23</v>
      </c>
      <c r="O3516" s="7" t="s">
        <v>27</v>
      </c>
      <c r="P3516" s="7" t="s">
        <v>5101</v>
      </c>
      <c r="Q3516" s="26">
        <v>18</v>
      </c>
      <c r="R3516" s="26">
        <v>1</v>
      </c>
      <c r="S3516" s="40">
        <v>1</v>
      </c>
      <c r="T3516" s="7"/>
      <c r="U3516" s="7" t="s">
        <v>2951</v>
      </c>
      <c r="V3516" s="7" t="str">
        <f>+IF(U3516="","",IF(U3516="FINES",CONCATENATE("R",IF(OR(B3516="16",B3516="21",B3516="22",B3516="23"),"16212223",IF(OR(B3516="15",B3516="17",B3516="24",B3516="25"),"15172425",B3516))),IF(U3516="CEBAS","UNICO",IF(VALUE(B3516)&lt;=11,"AMBA","INTERIOR"))))</f>
        <v>R16212223</v>
      </c>
      <c r="W3516" s="38" t="str">
        <f>+IF(U3516="","-",CONCATENATE(U3516,"_",V3516))</f>
        <v>FINES_R16212223</v>
      </c>
      <c r="X3516" s="42">
        <v>0.56200000000000006</v>
      </c>
    </row>
    <row r="3517" spans="1:24">
      <c r="A3517" s="21" t="s">
        <v>5100</v>
      </c>
      <c r="B3517" t="s">
        <v>598</v>
      </c>
      <c r="C3517" t="s">
        <v>748</v>
      </c>
      <c r="D3517" t="s">
        <v>2452</v>
      </c>
      <c r="E3517" s="7" t="s">
        <v>198</v>
      </c>
      <c r="F3517" s="7" t="s">
        <v>198</v>
      </c>
      <c r="G3517" s="7" t="s">
        <v>198</v>
      </c>
      <c r="H3517" s="7" t="s">
        <v>20</v>
      </c>
      <c r="I3517" s="7" t="s">
        <v>5102</v>
      </c>
      <c r="J3517" s="7" t="s">
        <v>21</v>
      </c>
      <c r="L3517" t="s">
        <v>4981</v>
      </c>
      <c r="M3517" s="7" t="s">
        <v>22</v>
      </c>
      <c r="N3517" s="7" t="s">
        <v>23</v>
      </c>
      <c r="O3517" s="7" t="s">
        <v>27</v>
      </c>
      <c r="P3517" s="7" t="s">
        <v>5101</v>
      </c>
      <c r="Q3517" s="26">
        <v>0</v>
      </c>
      <c r="R3517" s="26">
        <v>1</v>
      </c>
      <c r="S3517" s="40">
        <v>1</v>
      </c>
      <c r="T3517" s="7"/>
      <c r="U3517" s="7" t="s">
        <v>2951</v>
      </c>
      <c r="V3517" s="7" t="str">
        <f>+IF(U3517="","",IF(U3517="FINES",CONCATENATE("R",IF(OR(B3517="16",B3517="21",B3517="22",B3517="23"),"16212223",IF(OR(B3517="15",B3517="17",B3517="24",B3517="25"),"15172425",B3517))),IF(U3517="CEBAS","UNICO",IF(VALUE(B3517)&lt;=11,"AMBA","INTERIOR"))))</f>
        <v>R16212223</v>
      </c>
      <c r="W3517" s="38" t="str">
        <f>+IF(U3517="","-",CONCATENATE(U3517,"_",V3517))</f>
        <v>FINES_R16212223</v>
      </c>
      <c r="X3517" s="42">
        <v>0.58299999999999996</v>
      </c>
    </row>
    <row r="3518" spans="1:24">
      <c r="A3518" s="21" t="s">
        <v>5100</v>
      </c>
      <c r="B3518" t="s">
        <v>203</v>
      </c>
      <c r="C3518" t="s">
        <v>1986</v>
      </c>
      <c r="D3518" t="s">
        <v>1987</v>
      </c>
      <c r="E3518" s="7" t="s">
        <v>198</v>
      </c>
      <c r="F3518" s="7" t="s">
        <v>198</v>
      </c>
      <c r="G3518" s="7" t="s">
        <v>198</v>
      </c>
      <c r="H3518" s="7" t="s">
        <v>20</v>
      </c>
      <c r="I3518" s="7" t="s">
        <v>5102</v>
      </c>
      <c r="J3518" s="7" t="s">
        <v>21</v>
      </c>
      <c r="L3518" t="s">
        <v>5002</v>
      </c>
      <c r="M3518" s="7" t="s">
        <v>22</v>
      </c>
      <c r="N3518" s="7" t="s">
        <v>23</v>
      </c>
      <c r="O3518" s="7" t="s">
        <v>27</v>
      </c>
      <c r="P3518" s="7" t="s">
        <v>5101</v>
      </c>
      <c r="Q3518" s="26">
        <v>17</v>
      </c>
      <c r="R3518" s="26">
        <v>1</v>
      </c>
      <c r="S3518" s="40">
        <v>1</v>
      </c>
      <c r="T3518" s="7"/>
      <c r="U3518" s="7" t="s">
        <v>2951</v>
      </c>
      <c r="V3518" s="7" t="str">
        <f>+IF(U3518="","",IF(U3518="FINES",CONCATENATE("R",IF(OR(B3518="16",B3518="21",B3518="22",B3518="23"),"16212223",IF(OR(B3518="15",B3518="17",B3518="24",B3518="25"),"15172425",B3518))),IF(U3518="CEBAS","UNICO",IF(VALUE(B3518)&lt;=11,"AMBA","INTERIOR"))))</f>
        <v>R16212223</v>
      </c>
      <c r="W3518" s="38" t="str">
        <f>+IF(U3518="","-",CONCATENATE(U3518,"_",V3518))</f>
        <v>FINES_R16212223</v>
      </c>
      <c r="X3518" s="42">
        <v>0.58499999999999996</v>
      </c>
    </row>
    <row r="3519" spans="1:24">
      <c r="A3519" s="21" t="s">
        <v>5100</v>
      </c>
      <c r="B3519" t="s">
        <v>598</v>
      </c>
      <c r="C3519" t="s">
        <v>1204</v>
      </c>
      <c r="D3519" t="s">
        <v>1206</v>
      </c>
      <c r="E3519" s="7" t="s">
        <v>198</v>
      </c>
      <c r="F3519" s="7" t="s">
        <v>198</v>
      </c>
      <c r="G3519" s="7" t="s">
        <v>198</v>
      </c>
      <c r="H3519" s="7" t="s">
        <v>20</v>
      </c>
      <c r="I3519" s="7" t="s">
        <v>5102</v>
      </c>
      <c r="J3519" s="7" t="s">
        <v>21</v>
      </c>
      <c r="L3519" t="s">
        <v>4964</v>
      </c>
      <c r="M3519" s="7" t="s">
        <v>22</v>
      </c>
      <c r="N3519" s="7" t="s">
        <v>23</v>
      </c>
      <c r="O3519" s="7" t="s">
        <v>27</v>
      </c>
      <c r="P3519" s="7" t="s">
        <v>5101</v>
      </c>
      <c r="Q3519" s="26">
        <v>18</v>
      </c>
      <c r="R3519" s="26">
        <v>1</v>
      </c>
      <c r="S3519" s="40">
        <v>1</v>
      </c>
      <c r="T3519" s="7"/>
      <c r="U3519" s="7" t="s">
        <v>2951</v>
      </c>
      <c r="V3519" s="7" t="str">
        <f>+IF(U3519="","",IF(U3519="FINES",CONCATENATE("R",IF(OR(B3519="16",B3519="21",B3519="22",B3519="23"),"16212223",IF(OR(B3519="15",B3519="17",B3519="24",B3519="25"),"15172425",B3519))),IF(U3519="CEBAS","UNICO",IF(VALUE(B3519)&lt;=11,"AMBA","INTERIOR"))))</f>
        <v>R16212223</v>
      </c>
      <c r="W3519" s="38" t="str">
        <f>+IF(U3519="","-",CONCATENATE(U3519,"_",V3519))</f>
        <v>FINES_R16212223</v>
      </c>
      <c r="X3519" s="42">
        <v>0.58899999999999997</v>
      </c>
    </row>
    <row r="3520" spans="1:24">
      <c r="A3520" s="21" t="s">
        <v>5100</v>
      </c>
      <c r="B3520" t="s">
        <v>220</v>
      </c>
      <c r="C3520" t="s">
        <v>726</v>
      </c>
      <c r="D3520" t="s">
        <v>2434</v>
      </c>
      <c r="E3520" s="7" t="s">
        <v>198</v>
      </c>
      <c r="F3520" s="7" t="s">
        <v>198</v>
      </c>
      <c r="G3520" s="7" t="s">
        <v>198</v>
      </c>
      <c r="H3520" s="7" t="s">
        <v>20</v>
      </c>
      <c r="I3520" s="7" t="s">
        <v>5102</v>
      </c>
      <c r="J3520" s="7" t="s">
        <v>21</v>
      </c>
      <c r="L3520" t="s">
        <v>4668</v>
      </c>
      <c r="M3520" s="7" t="s">
        <v>22</v>
      </c>
      <c r="N3520" s="7" t="s">
        <v>23</v>
      </c>
      <c r="O3520" s="7" t="s">
        <v>27</v>
      </c>
      <c r="P3520" s="7" t="s">
        <v>5101</v>
      </c>
      <c r="Q3520" s="26">
        <v>18</v>
      </c>
      <c r="R3520" s="26">
        <v>1</v>
      </c>
      <c r="S3520" s="40">
        <v>1</v>
      </c>
      <c r="T3520" s="7"/>
      <c r="U3520" s="7" t="s">
        <v>2951</v>
      </c>
      <c r="V3520" s="7" t="str">
        <f>+IF(U3520="","",IF(U3520="FINES",CONCATENATE("R",IF(OR(B3520="16",B3520="21",B3520="22",B3520="23"),"16212223",IF(OR(B3520="15",B3520="17",B3520="24",B3520="25"),"15172425",B3520))),IF(U3520="CEBAS","UNICO",IF(VALUE(B3520)&lt;=11,"AMBA","INTERIOR"))))</f>
        <v>R16212223</v>
      </c>
      <c r="W3520" s="38" t="str">
        <f>+IF(U3520="","-",CONCATENATE(U3520,"_",V3520))</f>
        <v>FINES_R16212223</v>
      </c>
      <c r="X3520" s="42">
        <v>0.59399999999999997</v>
      </c>
    </row>
    <row r="3521" spans="1:24">
      <c r="A3521" s="21" t="s">
        <v>5100</v>
      </c>
      <c r="B3521" t="s">
        <v>203</v>
      </c>
      <c r="C3521" t="s">
        <v>1986</v>
      </c>
      <c r="D3521" t="s">
        <v>1987</v>
      </c>
      <c r="E3521" s="7" t="s">
        <v>198</v>
      </c>
      <c r="F3521" s="7" t="s">
        <v>198</v>
      </c>
      <c r="G3521" s="7" t="s">
        <v>198</v>
      </c>
      <c r="H3521" s="7" t="s">
        <v>20</v>
      </c>
      <c r="I3521" s="7" t="s">
        <v>5102</v>
      </c>
      <c r="J3521" s="7" t="s">
        <v>21</v>
      </c>
      <c r="L3521" t="s">
        <v>4339</v>
      </c>
      <c r="M3521" s="7" t="s">
        <v>22</v>
      </c>
      <c r="N3521" s="7" t="s">
        <v>23</v>
      </c>
      <c r="O3521" s="7" t="s">
        <v>27</v>
      </c>
      <c r="P3521" s="7" t="s">
        <v>5101</v>
      </c>
      <c r="Q3521" s="26">
        <v>21</v>
      </c>
      <c r="R3521" s="26">
        <v>1</v>
      </c>
      <c r="S3521" s="40">
        <v>1</v>
      </c>
      <c r="T3521" s="7"/>
      <c r="U3521" s="7" t="s">
        <v>2951</v>
      </c>
      <c r="V3521" s="7" t="str">
        <f>+IF(U3521="","",IF(U3521="FINES",CONCATENATE("R",IF(OR(B3521="16",B3521="21",B3521="22",B3521="23"),"16212223",IF(OR(B3521="15",B3521="17",B3521="24",B3521="25"),"15172425",B3521))),IF(U3521="CEBAS","UNICO",IF(VALUE(B3521)&lt;=11,"AMBA","INTERIOR"))))</f>
        <v>R16212223</v>
      </c>
      <c r="W3521" s="38" t="str">
        <f>+IF(U3521="","-",CONCATENATE(U3521,"_",V3521))</f>
        <v>FINES_R16212223</v>
      </c>
      <c r="X3521" s="42">
        <v>0.60299999999999998</v>
      </c>
    </row>
    <row r="3522" spans="1:24">
      <c r="A3522" s="21" t="s">
        <v>5100</v>
      </c>
      <c r="B3522" t="s">
        <v>598</v>
      </c>
      <c r="C3522" t="s">
        <v>1190</v>
      </c>
      <c r="D3522" t="s">
        <v>1191</v>
      </c>
      <c r="E3522" s="7" t="s">
        <v>198</v>
      </c>
      <c r="F3522" s="7" t="s">
        <v>198</v>
      </c>
      <c r="G3522" s="7" t="s">
        <v>198</v>
      </c>
      <c r="H3522" s="7" t="s">
        <v>20</v>
      </c>
      <c r="I3522" s="7" t="s">
        <v>5102</v>
      </c>
      <c r="J3522" s="7" t="s">
        <v>21</v>
      </c>
      <c r="L3522" t="s">
        <v>4955</v>
      </c>
      <c r="M3522" s="7" t="s">
        <v>22</v>
      </c>
      <c r="N3522" s="7" t="s">
        <v>23</v>
      </c>
      <c r="O3522" s="7" t="s">
        <v>27</v>
      </c>
      <c r="P3522" s="7" t="s">
        <v>5101</v>
      </c>
      <c r="Q3522" s="26">
        <v>0</v>
      </c>
      <c r="R3522" s="26">
        <v>1</v>
      </c>
      <c r="S3522" s="40">
        <v>1</v>
      </c>
      <c r="T3522" s="7"/>
      <c r="U3522" s="7" t="s">
        <v>2951</v>
      </c>
      <c r="V3522" s="7" t="str">
        <f>+IF(U3522="","",IF(U3522="FINES",CONCATENATE("R",IF(OR(B3522="16",B3522="21",B3522="22",B3522="23"),"16212223",IF(OR(B3522="15",B3522="17",B3522="24",B3522="25"),"15172425",B3522))),IF(U3522="CEBAS","UNICO",IF(VALUE(B3522)&lt;=11,"AMBA","INTERIOR"))))</f>
        <v>R16212223</v>
      </c>
      <c r="W3522" s="38" t="str">
        <f>+IF(U3522="","-",CONCATENATE(U3522,"_",V3522))</f>
        <v>FINES_R16212223</v>
      </c>
      <c r="X3522" s="42">
        <v>0.61699999999999999</v>
      </c>
    </row>
    <row r="3523" spans="1:24">
      <c r="A3523" s="21" t="s">
        <v>5100</v>
      </c>
      <c r="B3523" t="s">
        <v>598</v>
      </c>
      <c r="C3523" t="s">
        <v>748</v>
      </c>
      <c r="D3523" t="s">
        <v>2452</v>
      </c>
      <c r="E3523" s="7" t="s">
        <v>198</v>
      </c>
      <c r="F3523" s="7" t="s">
        <v>198</v>
      </c>
      <c r="G3523" s="7" t="s">
        <v>198</v>
      </c>
      <c r="H3523" s="7" t="s">
        <v>20</v>
      </c>
      <c r="I3523" s="7" t="s">
        <v>5102</v>
      </c>
      <c r="J3523" s="7" t="s">
        <v>21</v>
      </c>
      <c r="L3523" t="s">
        <v>4975</v>
      </c>
      <c r="M3523" s="7" t="s">
        <v>22</v>
      </c>
      <c r="N3523" s="7" t="s">
        <v>23</v>
      </c>
      <c r="O3523" s="7" t="s">
        <v>27</v>
      </c>
      <c r="P3523" s="7" t="s">
        <v>5101</v>
      </c>
      <c r="Q3523" s="26">
        <v>0</v>
      </c>
      <c r="R3523" s="26">
        <v>1</v>
      </c>
      <c r="S3523" s="40">
        <v>1</v>
      </c>
      <c r="T3523" s="7"/>
      <c r="U3523" s="7" t="s">
        <v>2951</v>
      </c>
      <c r="V3523" s="7" t="str">
        <f>+IF(U3523="","",IF(U3523="FINES",CONCATENATE("R",IF(OR(B3523="16",B3523="21",B3523="22",B3523="23"),"16212223",IF(OR(B3523="15",B3523="17",B3523="24",B3523="25"),"15172425",B3523))),IF(U3523="CEBAS","UNICO",IF(VALUE(B3523)&lt;=11,"AMBA","INTERIOR"))))</f>
        <v>R16212223</v>
      </c>
      <c r="W3523" s="38" t="str">
        <f>+IF(U3523="","-",CONCATENATE(U3523,"_",V3523))</f>
        <v>FINES_R16212223</v>
      </c>
      <c r="X3523" s="42">
        <v>0.64400000000000002</v>
      </c>
    </row>
    <row r="3524" spans="1:24">
      <c r="A3524" s="21" t="s">
        <v>5100</v>
      </c>
      <c r="B3524" t="s">
        <v>598</v>
      </c>
      <c r="C3524" t="s">
        <v>1204</v>
      </c>
      <c r="D3524" t="s">
        <v>1206</v>
      </c>
      <c r="E3524" s="7" t="s">
        <v>198</v>
      </c>
      <c r="F3524" s="7" t="s">
        <v>198</v>
      </c>
      <c r="G3524" s="7" t="s">
        <v>198</v>
      </c>
      <c r="H3524" s="7" t="s">
        <v>20</v>
      </c>
      <c r="I3524" s="7" t="s">
        <v>5102</v>
      </c>
      <c r="J3524" s="7" t="s">
        <v>21</v>
      </c>
      <c r="L3524" t="s">
        <v>1208</v>
      </c>
      <c r="M3524" s="7" t="s">
        <v>22</v>
      </c>
      <c r="N3524" s="7" t="s">
        <v>23</v>
      </c>
      <c r="O3524" s="7" t="s">
        <v>27</v>
      </c>
      <c r="P3524" s="7" t="s">
        <v>5101</v>
      </c>
      <c r="Q3524" s="26">
        <v>15</v>
      </c>
      <c r="R3524" s="26">
        <v>1</v>
      </c>
      <c r="S3524" s="40">
        <v>1</v>
      </c>
      <c r="T3524" s="7"/>
      <c r="U3524" s="7" t="s">
        <v>2951</v>
      </c>
      <c r="V3524" s="7" t="str">
        <f>+IF(U3524="","",IF(U3524="FINES",CONCATENATE("R",IF(OR(B3524="16",B3524="21",B3524="22",B3524="23"),"16212223",IF(OR(B3524="15",B3524="17",B3524="24",B3524="25"),"15172425",B3524))),IF(U3524="CEBAS","UNICO",IF(VALUE(B3524)&lt;=11,"AMBA","INTERIOR"))))</f>
        <v>R16212223</v>
      </c>
      <c r="W3524" s="38" t="str">
        <f>+IF(U3524="","-",CONCATENATE(U3524,"_",V3524))</f>
        <v>FINES_R16212223</v>
      </c>
      <c r="X3524" s="42">
        <v>0.65900000000000003</v>
      </c>
    </row>
    <row r="3525" spans="1:24">
      <c r="A3525" s="21" t="s">
        <v>5100</v>
      </c>
      <c r="B3525" t="s">
        <v>220</v>
      </c>
      <c r="C3525" t="s">
        <v>726</v>
      </c>
      <c r="D3525" t="s">
        <v>2434</v>
      </c>
      <c r="E3525" s="7" t="s">
        <v>198</v>
      </c>
      <c r="F3525" s="7" t="s">
        <v>198</v>
      </c>
      <c r="G3525" s="7" t="s">
        <v>198</v>
      </c>
      <c r="H3525" s="7" t="s">
        <v>20</v>
      </c>
      <c r="I3525" s="7" t="s">
        <v>5102</v>
      </c>
      <c r="J3525" s="7" t="s">
        <v>21</v>
      </c>
      <c r="L3525" t="s">
        <v>4672</v>
      </c>
      <c r="M3525" s="7" t="s">
        <v>22</v>
      </c>
      <c r="N3525" s="7" t="s">
        <v>23</v>
      </c>
      <c r="O3525" s="7" t="s">
        <v>27</v>
      </c>
      <c r="P3525" s="7" t="s">
        <v>5101</v>
      </c>
      <c r="Q3525" s="26">
        <v>16</v>
      </c>
      <c r="R3525" s="26">
        <v>1</v>
      </c>
      <c r="S3525" s="40">
        <v>1</v>
      </c>
      <c r="T3525" s="7"/>
      <c r="U3525" s="7" t="s">
        <v>2951</v>
      </c>
      <c r="V3525" s="7" t="str">
        <f>+IF(U3525="","",IF(U3525="FINES",CONCATENATE("R",IF(OR(B3525="16",B3525="21",B3525="22",B3525="23"),"16212223",IF(OR(B3525="15",B3525="17",B3525="24",B3525="25"),"15172425",B3525))),IF(U3525="CEBAS","UNICO",IF(VALUE(B3525)&lt;=11,"AMBA","INTERIOR"))))</f>
        <v>R16212223</v>
      </c>
      <c r="W3525" s="38" t="str">
        <f>+IF(U3525="","-",CONCATENATE(U3525,"_",V3525))</f>
        <v>FINES_R16212223</v>
      </c>
      <c r="X3525" s="42">
        <v>0.68</v>
      </c>
    </row>
    <row r="3526" spans="1:24">
      <c r="A3526" s="21" t="s">
        <v>5100</v>
      </c>
      <c r="B3526" t="s">
        <v>220</v>
      </c>
      <c r="C3526" t="s">
        <v>431</v>
      </c>
      <c r="D3526" t="s">
        <v>1184</v>
      </c>
      <c r="E3526" s="7" t="s">
        <v>198</v>
      </c>
      <c r="F3526" s="7" t="s">
        <v>198</v>
      </c>
      <c r="G3526" s="7" t="s">
        <v>198</v>
      </c>
      <c r="H3526" s="7" t="s">
        <v>20</v>
      </c>
      <c r="I3526" s="7" t="s">
        <v>5102</v>
      </c>
      <c r="J3526" s="7" t="s">
        <v>21</v>
      </c>
      <c r="L3526" t="s">
        <v>4663</v>
      </c>
      <c r="M3526" s="7" t="s">
        <v>22</v>
      </c>
      <c r="N3526" s="7" t="s">
        <v>23</v>
      </c>
      <c r="O3526" s="7" t="s">
        <v>27</v>
      </c>
      <c r="P3526" s="7" t="s">
        <v>5101</v>
      </c>
      <c r="Q3526" s="26">
        <v>14</v>
      </c>
      <c r="R3526" s="26">
        <v>1</v>
      </c>
      <c r="S3526" s="40">
        <v>1</v>
      </c>
      <c r="T3526" s="7"/>
      <c r="U3526" s="7" t="s">
        <v>2951</v>
      </c>
      <c r="V3526" s="7" t="str">
        <f>+IF(U3526="","",IF(U3526="FINES",CONCATENATE("R",IF(OR(B3526="16",B3526="21",B3526="22",B3526="23"),"16212223",IF(OR(B3526="15",B3526="17",B3526="24",B3526="25"),"15172425",B3526))),IF(U3526="CEBAS","UNICO",IF(VALUE(B3526)&lt;=11,"AMBA","INTERIOR"))))</f>
        <v>R16212223</v>
      </c>
      <c r="W3526" s="38" t="str">
        <f>+IF(U3526="","-",CONCATENATE(U3526,"_",V3526))</f>
        <v>FINES_R16212223</v>
      </c>
      <c r="X3526" s="42">
        <v>0.68200000000000005</v>
      </c>
    </row>
    <row r="3527" spans="1:24">
      <c r="A3527" s="21" t="s">
        <v>5100</v>
      </c>
      <c r="B3527" t="s">
        <v>598</v>
      </c>
      <c r="C3527" t="s">
        <v>1249</v>
      </c>
      <c r="D3527" t="s">
        <v>1250</v>
      </c>
      <c r="E3527" s="7" t="s">
        <v>198</v>
      </c>
      <c r="F3527" s="7" t="s">
        <v>198</v>
      </c>
      <c r="G3527" s="7" t="s">
        <v>198</v>
      </c>
      <c r="H3527" s="7" t="s">
        <v>20</v>
      </c>
      <c r="I3527" s="7" t="s">
        <v>5102</v>
      </c>
      <c r="J3527" s="7" t="s">
        <v>21</v>
      </c>
      <c r="L3527" t="s">
        <v>4972</v>
      </c>
      <c r="M3527" s="7" t="s">
        <v>22</v>
      </c>
      <c r="N3527" s="7" t="s">
        <v>23</v>
      </c>
      <c r="O3527" s="7" t="s">
        <v>27</v>
      </c>
      <c r="P3527" s="7" t="s">
        <v>5101</v>
      </c>
      <c r="Q3527" s="26">
        <v>49</v>
      </c>
      <c r="R3527" s="26">
        <v>3</v>
      </c>
      <c r="S3527" s="40">
        <v>1</v>
      </c>
      <c r="T3527" s="7"/>
      <c r="U3527" s="7" t="s">
        <v>2951</v>
      </c>
      <c r="V3527" s="7" t="str">
        <f>+IF(U3527="","",IF(U3527="FINES",CONCATENATE("R",IF(OR(B3527="16",B3527="21",B3527="22",B3527="23"),"16212223",IF(OR(B3527="15",B3527="17",B3527="24",B3527="25"),"15172425",B3527))),IF(U3527="CEBAS","UNICO",IF(VALUE(B3527)&lt;=11,"AMBA","INTERIOR"))))</f>
        <v>R16212223</v>
      </c>
      <c r="W3527" s="38" t="str">
        <f>+IF(U3527="","-",CONCATENATE(U3527,"_",V3527))</f>
        <v>FINES_R16212223</v>
      </c>
      <c r="X3527" s="42">
        <v>0.68200000000000005</v>
      </c>
    </row>
    <row r="3528" spans="1:24">
      <c r="A3528" s="21" t="s">
        <v>5100</v>
      </c>
      <c r="B3528" t="s">
        <v>598</v>
      </c>
      <c r="C3528" t="s">
        <v>709</v>
      </c>
      <c r="D3528" t="s">
        <v>710</v>
      </c>
      <c r="E3528" s="7" t="s">
        <v>198</v>
      </c>
      <c r="F3528" s="7" t="s">
        <v>198</v>
      </c>
      <c r="G3528" s="7" t="s">
        <v>198</v>
      </c>
      <c r="H3528" s="7" t="s">
        <v>20</v>
      </c>
      <c r="I3528" s="7" t="s">
        <v>5102</v>
      </c>
      <c r="J3528" s="7" t="s">
        <v>21</v>
      </c>
      <c r="L3528" t="s">
        <v>4970</v>
      </c>
      <c r="M3528" s="7" t="s">
        <v>22</v>
      </c>
      <c r="N3528" s="7" t="s">
        <v>23</v>
      </c>
      <c r="O3528" s="7" t="s">
        <v>27</v>
      </c>
      <c r="P3528" s="7" t="s">
        <v>5101</v>
      </c>
      <c r="Q3528" s="26">
        <v>8</v>
      </c>
      <c r="R3528" s="26">
        <v>1</v>
      </c>
      <c r="S3528" s="40">
        <v>1</v>
      </c>
      <c r="T3528" s="7"/>
      <c r="U3528" s="7" t="s">
        <v>2951</v>
      </c>
      <c r="V3528" s="7" t="str">
        <f>+IF(U3528="","",IF(U3528="FINES",CONCATENATE("R",IF(OR(B3528="16",B3528="21",B3528="22",B3528="23"),"16212223",IF(OR(B3528="15",B3528="17",B3528="24",B3528="25"),"15172425",B3528))),IF(U3528="CEBAS","UNICO",IF(VALUE(B3528)&lt;=11,"AMBA","INTERIOR"))))</f>
        <v>R16212223</v>
      </c>
      <c r="W3528" s="38" t="str">
        <f>+IF(U3528="","-",CONCATENATE(U3528,"_",V3528))</f>
        <v>FINES_R16212223</v>
      </c>
      <c r="X3528" s="42">
        <v>0.72299999999999998</v>
      </c>
    </row>
    <row r="3529" spans="1:24">
      <c r="A3529" s="21" t="s">
        <v>5100</v>
      </c>
      <c r="B3529" t="s">
        <v>220</v>
      </c>
      <c r="C3529" t="s">
        <v>726</v>
      </c>
      <c r="D3529" t="s">
        <v>2434</v>
      </c>
      <c r="E3529" s="7" t="s">
        <v>198</v>
      </c>
      <c r="F3529" s="7" t="s">
        <v>198</v>
      </c>
      <c r="G3529" s="7" t="s">
        <v>198</v>
      </c>
      <c r="H3529" s="7" t="s">
        <v>20</v>
      </c>
      <c r="I3529" s="7" t="s">
        <v>5102</v>
      </c>
      <c r="J3529" s="7" t="s">
        <v>21</v>
      </c>
      <c r="L3529" t="s">
        <v>4670</v>
      </c>
      <c r="M3529" s="7" t="s">
        <v>22</v>
      </c>
      <c r="N3529" s="7" t="s">
        <v>23</v>
      </c>
      <c r="O3529" s="7" t="s">
        <v>27</v>
      </c>
      <c r="P3529" s="7" t="s">
        <v>5101</v>
      </c>
      <c r="Q3529" s="26">
        <v>10</v>
      </c>
      <c r="R3529" s="26">
        <v>1</v>
      </c>
      <c r="S3529" s="40">
        <v>1</v>
      </c>
      <c r="T3529" s="7"/>
      <c r="U3529" s="7" t="s">
        <v>2951</v>
      </c>
      <c r="V3529" s="7" t="str">
        <f>+IF(U3529="","",IF(U3529="FINES",CONCATENATE("R",IF(OR(B3529="16",B3529="21",B3529="22",B3529="23"),"16212223",IF(OR(B3529="15",B3529="17",B3529="24",B3529="25"),"15172425",B3529))),IF(U3529="CEBAS","UNICO",IF(VALUE(B3529)&lt;=11,"AMBA","INTERIOR"))))</f>
        <v>R16212223</v>
      </c>
      <c r="W3529" s="38" t="str">
        <f>+IF(U3529="","-",CONCATENATE(U3529,"_",V3529))</f>
        <v>FINES_R16212223</v>
      </c>
      <c r="X3529" s="42">
        <v>0.73199999999999998</v>
      </c>
    </row>
    <row r="3530" spans="1:24">
      <c r="A3530" s="21" t="s">
        <v>5100</v>
      </c>
      <c r="B3530" t="s">
        <v>220</v>
      </c>
      <c r="C3530" t="s">
        <v>664</v>
      </c>
      <c r="D3530" t="s">
        <v>2749</v>
      </c>
      <c r="E3530" s="7" t="s">
        <v>198</v>
      </c>
      <c r="F3530" s="7" t="s">
        <v>198</v>
      </c>
      <c r="G3530" s="7" t="s">
        <v>198</v>
      </c>
      <c r="H3530" s="7" t="s">
        <v>20</v>
      </c>
      <c r="I3530" s="7" t="s">
        <v>5102</v>
      </c>
      <c r="J3530" s="7" t="s">
        <v>21</v>
      </c>
      <c r="L3530" t="s">
        <v>4674</v>
      </c>
      <c r="M3530" s="7" t="s">
        <v>22</v>
      </c>
      <c r="N3530" s="7" t="s">
        <v>23</v>
      </c>
      <c r="O3530" s="7" t="s">
        <v>27</v>
      </c>
      <c r="P3530" s="7" t="s">
        <v>5101</v>
      </c>
      <c r="Q3530" s="26">
        <v>17</v>
      </c>
      <c r="R3530" s="26">
        <v>1</v>
      </c>
      <c r="S3530" s="40">
        <v>1</v>
      </c>
      <c r="T3530" s="7"/>
      <c r="U3530" s="7" t="s">
        <v>2951</v>
      </c>
      <c r="V3530" s="7" t="str">
        <f>+IF(U3530="","",IF(U3530="FINES",CONCATENATE("R",IF(OR(B3530="16",B3530="21",B3530="22",B3530="23"),"16212223",IF(OR(B3530="15",B3530="17",B3530="24",B3530="25"),"15172425",B3530))),IF(U3530="CEBAS","UNICO",IF(VALUE(B3530)&lt;=11,"AMBA","INTERIOR"))))</f>
        <v>R16212223</v>
      </c>
      <c r="W3530" s="38" t="str">
        <f>+IF(U3530="","-",CONCATENATE(U3530,"_",V3530))</f>
        <v>FINES_R16212223</v>
      </c>
      <c r="X3530" s="42">
        <v>0.73399999999999999</v>
      </c>
    </row>
    <row r="3531" spans="1:24">
      <c r="A3531" s="21" t="s">
        <v>5100</v>
      </c>
      <c r="B3531" t="s">
        <v>223</v>
      </c>
      <c r="C3531" t="s">
        <v>2184</v>
      </c>
      <c r="D3531" t="s">
        <v>2185</v>
      </c>
      <c r="E3531" s="7" t="s">
        <v>198</v>
      </c>
      <c r="F3531" s="7" t="s">
        <v>198</v>
      </c>
      <c r="G3531" s="7" t="s">
        <v>198</v>
      </c>
      <c r="H3531" s="7" t="s">
        <v>20</v>
      </c>
      <c r="I3531" s="7" t="s">
        <v>5102</v>
      </c>
      <c r="J3531" s="7" t="s">
        <v>21</v>
      </c>
      <c r="L3531" t="s">
        <v>5034</v>
      </c>
      <c r="M3531" s="7" t="s">
        <v>22</v>
      </c>
      <c r="N3531" s="7" t="s">
        <v>23</v>
      </c>
      <c r="O3531" s="7" t="s">
        <v>27</v>
      </c>
      <c r="P3531" s="7" t="s">
        <v>5101</v>
      </c>
      <c r="Q3531" s="26">
        <v>20</v>
      </c>
      <c r="R3531" s="26">
        <v>1</v>
      </c>
      <c r="S3531" s="40">
        <v>1</v>
      </c>
      <c r="T3531" s="7"/>
      <c r="U3531" s="7" t="s">
        <v>2951</v>
      </c>
      <c r="V3531" s="7" t="str">
        <f>+IF(U3531="","",IF(U3531="FINES",CONCATENATE("R",IF(OR(B3531="16",B3531="21",B3531="22",B3531="23"),"16212223",IF(OR(B3531="15",B3531="17",B3531="24",B3531="25"),"15172425",B3531))),IF(U3531="CEBAS","UNICO",IF(VALUE(B3531)&lt;=11,"AMBA","INTERIOR"))))</f>
        <v>R16212223</v>
      </c>
      <c r="W3531" s="38" t="str">
        <f>+IF(U3531="","-",CONCATENATE(U3531,"_",V3531))</f>
        <v>FINES_R16212223</v>
      </c>
      <c r="X3531" s="42">
        <v>0.73799999999999999</v>
      </c>
    </row>
    <row r="3532" spans="1:24">
      <c r="A3532" s="21" t="s">
        <v>5100</v>
      </c>
      <c r="B3532" t="s">
        <v>598</v>
      </c>
      <c r="C3532" t="s">
        <v>748</v>
      </c>
      <c r="D3532" t="s">
        <v>2452</v>
      </c>
      <c r="E3532" s="7" t="s">
        <v>198</v>
      </c>
      <c r="F3532" s="7" t="s">
        <v>198</v>
      </c>
      <c r="G3532" s="7" t="s">
        <v>198</v>
      </c>
      <c r="H3532" s="7" t="s">
        <v>20</v>
      </c>
      <c r="I3532" s="7" t="s">
        <v>5102</v>
      </c>
      <c r="J3532" s="7" t="s">
        <v>21</v>
      </c>
      <c r="L3532" t="s">
        <v>4977</v>
      </c>
      <c r="M3532" s="7" t="s">
        <v>22</v>
      </c>
      <c r="N3532" s="7" t="s">
        <v>23</v>
      </c>
      <c r="O3532" s="7" t="s">
        <v>27</v>
      </c>
      <c r="P3532" s="7" t="s">
        <v>5101</v>
      </c>
      <c r="Q3532" s="26">
        <v>0</v>
      </c>
      <c r="R3532" s="26">
        <v>1</v>
      </c>
      <c r="S3532" s="40">
        <v>1</v>
      </c>
      <c r="T3532" s="7"/>
      <c r="U3532" s="7" t="s">
        <v>2951</v>
      </c>
      <c r="V3532" s="7" t="str">
        <f>+IF(U3532="","",IF(U3532="FINES",CONCATENATE("R",IF(OR(B3532="16",B3532="21",B3532="22",B3532="23"),"16212223",IF(OR(B3532="15",B3532="17",B3532="24",B3532="25"),"15172425",B3532))),IF(U3532="CEBAS","UNICO",IF(VALUE(B3532)&lt;=11,"AMBA","INTERIOR"))))</f>
        <v>R16212223</v>
      </c>
      <c r="W3532" s="38" t="str">
        <f>+IF(U3532="","-",CONCATENATE(U3532,"_",V3532))</f>
        <v>FINES_R16212223</v>
      </c>
      <c r="X3532" s="42">
        <v>0.74299999999999999</v>
      </c>
    </row>
    <row r="3533" spans="1:24">
      <c r="A3533" s="21" t="s">
        <v>5100</v>
      </c>
      <c r="B3533" t="s">
        <v>203</v>
      </c>
      <c r="C3533" t="s">
        <v>331</v>
      </c>
      <c r="D3533" t="s">
        <v>2491</v>
      </c>
      <c r="E3533" s="7" t="s">
        <v>198</v>
      </c>
      <c r="F3533" s="7" t="s">
        <v>198</v>
      </c>
      <c r="G3533" s="7" t="s">
        <v>198</v>
      </c>
      <c r="H3533" s="7" t="s">
        <v>20</v>
      </c>
      <c r="I3533" s="7" t="s">
        <v>5102</v>
      </c>
      <c r="J3533" s="7" t="s">
        <v>21</v>
      </c>
      <c r="L3533" t="s">
        <v>5011</v>
      </c>
      <c r="M3533" s="7" t="s">
        <v>22</v>
      </c>
      <c r="N3533" s="7" t="s">
        <v>23</v>
      </c>
      <c r="O3533" s="7" t="s">
        <v>27</v>
      </c>
      <c r="P3533" s="7" t="s">
        <v>5101</v>
      </c>
      <c r="Q3533" s="26">
        <v>5</v>
      </c>
      <c r="R3533" s="26">
        <v>2</v>
      </c>
      <c r="S3533" s="40">
        <v>1</v>
      </c>
      <c r="T3533" s="7"/>
      <c r="U3533" s="7" t="s">
        <v>2951</v>
      </c>
      <c r="V3533" s="7" t="str">
        <f>+IF(U3533="","",IF(U3533="FINES",CONCATENATE("R",IF(OR(B3533="16",B3533="21",B3533="22",B3533="23"),"16212223",IF(OR(B3533="15",B3533="17",B3533="24",B3533="25"),"15172425",B3533))),IF(U3533="CEBAS","UNICO",IF(VALUE(B3533)&lt;=11,"AMBA","INTERIOR"))))</f>
        <v>R16212223</v>
      </c>
      <c r="W3533" s="38" t="str">
        <f>+IF(U3533="","-",CONCATENATE(U3533,"_",V3533))</f>
        <v>FINES_R16212223</v>
      </c>
      <c r="X3533" s="42">
        <v>0.745</v>
      </c>
    </row>
    <row r="3534" spans="1:24">
      <c r="A3534" s="21" t="s">
        <v>5100</v>
      </c>
      <c r="B3534" t="s">
        <v>223</v>
      </c>
      <c r="C3534" t="s">
        <v>2184</v>
      </c>
      <c r="D3534" t="s">
        <v>2185</v>
      </c>
      <c r="E3534" s="7" t="s">
        <v>198</v>
      </c>
      <c r="F3534" s="7" t="s">
        <v>198</v>
      </c>
      <c r="G3534" s="7" t="s">
        <v>198</v>
      </c>
      <c r="H3534" s="7" t="s">
        <v>20</v>
      </c>
      <c r="I3534" s="7" t="s">
        <v>5102</v>
      </c>
      <c r="J3534" s="7" t="s">
        <v>21</v>
      </c>
      <c r="L3534" t="s">
        <v>5032</v>
      </c>
      <c r="M3534" s="7" t="s">
        <v>22</v>
      </c>
      <c r="N3534" s="7" t="s">
        <v>23</v>
      </c>
      <c r="O3534" s="7" t="s">
        <v>27</v>
      </c>
      <c r="P3534" s="7" t="s">
        <v>5101</v>
      </c>
      <c r="Q3534" s="26">
        <v>10</v>
      </c>
      <c r="R3534" s="26">
        <v>1</v>
      </c>
      <c r="S3534" s="40">
        <v>1</v>
      </c>
      <c r="T3534" s="7"/>
      <c r="U3534" s="7" t="s">
        <v>2951</v>
      </c>
      <c r="V3534" s="7" t="str">
        <f>+IF(U3534="","",IF(U3534="FINES",CONCATENATE("R",IF(OR(B3534="16",B3534="21",B3534="22",B3534="23"),"16212223",IF(OR(B3534="15",B3534="17",B3534="24",B3534="25"),"15172425",B3534))),IF(U3534="CEBAS","UNICO",IF(VALUE(B3534)&lt;=11,"AMBA","INTERIOR"))))</f>
        <v>R16212223</v>
      </c>
      <c r="W3534" s="38" t="str">
        <f>+IF(U3534="","-",CONCATENATE(U3534,"_",V3534))</f>
        <v>FINES_R16212223</v>
      </c>
      <c r="X3534" s="42">
        <v>0.746</v>
      </c>
    </row>
    <row r="3535" spans="1:24">
      <c r="A3535" s="21" t="s">
        <v>5100</v>
      </c>
      <c r="B3535" t="s">
        <v>203</v>
      </c>
      <c r="C3535" t="s">
        <v>450</v>
      </c>
      <c r="D3535" t="s">
        <v>452</v>
      </c>
      <c r="E3535" s="7" t="s">
        <v>198</v>
      </c>
      <c r="F3535" s="7" t="s">
        <v>198</v>
      </c>
      <c r="G3535" s="7" t="s">
        <v>198</v>
      </c>
      <c r="H3535" s="7" t="s">
        <v>20</v>
      </c>
      <c r="I3535" s="7" t="s">
        <v>5102</v>
      </c>
      <c r="J3535" s="7" t="s">
        <v>21</v>
      </c>
      <c r="L3535" t="s">
        <v>4989</v>
      </c>
      <c r="M3535" s="7" t="s">
        <v>22</v>
      </c>
      <c r="N3535" s="7" t="s">
        <v>23</v>
      </c>
      <c r="O3535" s="7" t="s">
        <v>27</v>
      </c>
      <c r="P3535" s="7" t="s">
        <v>5101</v>
      </c>
      <c r="Q3535" s="26">
        <v>128</v>
      </c>
      <c r="R3535" s="26">
        <v>5</v>
      </c>
      <c r="S3535" s="40">
        <v>1</v>
      </c>
      <c r="T3535" s="7"/>
      <c r="U3535" s="7" t="s">
        <v>2951</v>
      </c>
      <c r="V3535" s="7" t="str">
        <f>+IF(U3535="","",IF(U3535="FINES",CONCATENATE("R",IF(OR(B3535="16",B3535="21",B3535="22",B3535="23"),"16212223",IF(OR(B3535="15",B3535="17",B3535="24",B3535="25"),"15172425",B3535))),IF(U3535="CEBAS","UNICO",IF(VALUE(B3535)&lt;=11,"AMBA","INTERIOR"))))</f>
        <v>R16212223</v>
      </c>
      <c r="W3535" s="38" t="str">
        <f>+IF(U3535="","-",CONCATENATE(U3535,"_",V3535))</f>
        <v>FINES_R16212223</v>
      </c>
      <c r="X3535" s="42">
        <v>0.755</v>
      </c>
    </row>
    <row r="3536" spans="1:24">
      <c r="A3536" s="21" t="s">
        <v>5100</v>
      </c>
      <c r="B3536" t="s">
        <v>223</v>
      </c>
      <c r="C3536" t="s">
        <v>913</v>
      </c>
      <c r="D3536" t="s">
        <v>914</v>
      </c>
      <c r="E3536" s="7" t="s">
        <v>198</v>
      </c>
      <c r="F3536" s="7" t="s">
        <v>198</v>
      </c>
      <c r="G3536" s="7" t="s">
        <v>198</v>
      </c>
      <c r="H3536" s="7" t="s">
        <v>20</v>
      </c>
      <c r="I3536" s="7" t="s">
        <v>5102</v>
      </c>
      <c r="J3536" s="7" t="s">
        <v>21</v>
      </c>
      <c r="L3536" t="s">
        <v>5026</v>
      </c>
      <c r="M3536" s="7" t="s">
        <v>22</v>
      </c>
      <c r="N3536" s="7" t="s">
        <v>23</v>
      </c>
      <c r="O3536" s="7" t="s">
        <v>27</v>
      </c>
      <c r="P3536" s="7" t="s">
        <v>5101</v>
      </c>
      <c r="Q3536" s="26">
        <v>14</v>
      </c>
      <c r="R3536" s="26">
        <v>1</v>
      </c>
      <c r="S3536" s="40">
        <v>1</v>
      </c>
      <c r="T3536" s="7"/>
      <c r="U3536" s="7" t="s">
        <v>2951</v>
      </c>
      <c r="V3536" s="7" t="str">
        <f>+IF(U3536="","",IF(U3536="FINES",CONCATENATE("R",IF(OR(B3536="16",B3536="21",B3536="22",B3536="23"),"16212223",IF(OR(B3536="15",B3536="17",B3536="24",B3536="25"),"15172425",B3536))),IF(U3536="CEBAS","UNICO",IF(VALUE(B3536)&lt;=11,"AMBA","INTERIOR"))))</f>
        <v>R16212223</v>
      </c>
      <c r="W3536" s="38" t="str">
        <f>+IF(U3536="","-",CONCATENATE(U3536,"_",V3536))</f>
        <v>FINES_R16212223</v>
      </c>
      <c r="X3536" s="42">
        <v>0.76300000000000001</v>
      </c>
    </row>
    <row r="3537" spans="1:24">
      <c r="A3537" s="21" t="s">
        <v>5100</v>
      </c>
      <c r="B3537" t="s">
        <v>223</v>
      </c>
      <c r="C3537" t="s">
        <v>2184</v>
      </c>
      <c r="D3537" t="s">
        <v>2185</v>
      </c>
      <c r="E3537" s="7" t="s">
        <v>198</v>
      </c>
      <c r="F3537" s="7" t="s">
        <v>198</v>
      </c>
      <c r="G3537" s="7" t="s">
        <v>198</v>
      </c>
      <c r="H3537" s="7" t="s">
        <v>20</v>
      </c>
      <c r="I3537" s="7" t="s">
        <v>5102</v>
      </c>
      <c r="J3537" s="7" t="s">
        <v>21</v>
      </c>
      <c r="L3537" t="s">
        <v>5031</v>
      </c>
      <c r="M3537" s="7" t="s">
        <v>22</v>
      </c>
      <c r="N3537" s="7" t="s">
        <v>23</v>
      </c>
      <c r="O3537" s="7" t="s">
        <v>27</v>
      </c>
      <c r="P3537" s="7" t="s">
        <v>5101</v>
      </c>
      <c r="Q3537" s="26">
        <v>10</v>
      </c>
      <c r="R3537" s="26">
        <v>1</v>
      </c>
      <c r="S3537" s="40">
        <v>1</v>
      </c>
      <c r="T3537" s="7"/>
      <c r="U3537" s="7" t="s">
        <v>2951</v>
      </c>
      <c r="V3537" s="7" t="str">
        <f>+IF(U3537="","",IF(U3537="FINES",CONCATENATE("R",IF(OR(B3537="16",B3537="21",B3537="22",B3537="23"),"16212223",IF(OR(B3537="15",B3537="17",B3537="24",B3537="25"),"15172425",B3537))),IF(U3537="CEBAS","UNICO",IF(VALUE(B3537)&lt;=11,"AMBA","INTERIOR"))))</f>
        <v>R16212223</v>
      </c>
      <c r="W3537" s="38" t="str">
        <f>+IF(U3537="","-",CONCATENATE(U3537,"_",V3537))</f>
        <v>FINES_R16212223</v>
      </c>
      <c r="X3537" s="42">
        <v>0.76500000000000001</v>
      </c>
    </row>
    <row r="3538" spans="1:24">
      <c r="A3538" s="21" t="s">
        <v>5100</v>
      </c>
      <c r="B3538" t="s">
        <v>203</v>
      </c>
      <c r="C3538" t="s">
        <v>1986</v>
      </c>
      <c r="D3538" t="s">
        <v>1987</v>
      </c>
      <c r="E3538" s="7" t="s">
        <v>198</v>
      </c>
      <c r="F3538" s="7" t="s">
        <v>198</v>
      </c>
      <c r="G3538" s="7" t="s">
        <v>198</v>
      </c>
      <c r="H3538" s="7" t="s">
        <v>20</v>
      </c>
      <c r="I3538" s="7" t="s">
        <v>5102</v>
      </c>
      <c r="J3538" s="7" t="s">
        <v>21</v>
      </c>
      <c r="L3538" t="s">
        <v>4144</v>
      </c>
      <c r="M3538" s="7" t="s">
        <v>22</v>
      </c>
      <c r="N3538" s="7" t="s">
        <v>23</v>
      </c>
      <c r="O3538" s="7" t="s">
        <v>27</v>
      </c>
      <c r="P3538" s="7" t="s">
        <v>5101</v>
      </c>
      <c r="Q3538" s="26">
        <v>52</v>
      </c>
      <c r="R3538" s="26">
        <v>3</v>
      </c>
      <c r="S3538" s="40">
        <v>1</v>
      </c>
      <c r="T3538" s="7"/>
      <c r="U3538" s="7" t="s">
        <v>2951</v>
      </c>
      <c r="V3538" s="7" t="str">
        <f>+IF(U3538="","",IF(U3538="FINES",CONCATENATE("R",IF(OR(B3538="16",B3538="21",B3538="22",B3538="23"),"16212223",IF(OR(B3538="15",B3538="17",B3538="24",B3538="25"),"15172425",B3538))),IF(U3538="CEBAS","UNICO",IF(VALUE(B3538)&lt;=11,"AMBA","INTERIOR"))))</f>
        <v>R16212223</v>
      </c>
      <c r="W3538" s="38" t="str">
        <f>+IF(U3538="","-",CONCATENATE(U3538,"_",V3538))</f>
        <v>FINES_R16212223</v>
      </c>
      <c r="X3538" s="42">
        <v>0.76900000000000002</v>
      </c>
    </row>
    <row r="3539" spans="1:24">
      <c r="A3539" s="21" t="s">
        <v>5100</v>
      </c>
      <c r="B3539" t="s">
        <v>598</v>
      </c>
      <c r="C3539" t="s">
        <v>1190</v>
      </c>
      <c r="D3539" t="s">
        <v>1191</v>
      </c>
      <c r="E3539" s="7" t="s">
        <v>198</v>
      </c>
      <c r="F3539" s="7" t="s">
        <v>198</v>
      </c>
      <c r="G3539" s="7" t="s">
        <v>198</v>
      </c>
      <c r="H3539" s="7" t="s">
        <v>20</v>
      </c>
      <c r="I3539" s="7" t="s">
        <v>5102</v>
      </c>
      <c r="J3539" s="7" t="s">
        <v>21</v>
      </c>
      <c r="L3539" t="s">
        <v>4954</v>
      </c>
      <c r="M3539" s="7" t="s">
        <v>22</v>
      </c>
      <c r="N3539" s="7" t="s">
        <v>23</v>
      </c>
      <c r="O3539" s="7" t="s">
        <v>27</v>
      </c>
      <c r="P3539" s="7" t="s">
        <v>5101</v>
      </c>
      <c r="Q3539" s="26">
        <v>13</v>
      </c>
      <c r="R3539" s="26">
        <v>1</v>
      </c>
      <c r="S3539" s="40">
        <v>1</v>
      </c>
      <c r="T3539" s="7"/>
      <c r="U3539" s="7" t="s">
        <v>2951</v>
      </c>
      <c r="V3539" s="7" t="str">
        <f>+IF(U3539="","",IF(U3539="FINES",CONCATENATE("R",IF(OR(B3539="16",B3539="21",B3539="22",B3539="23"),"16212223",IF(OR(B3539="15",B3539="17",B3539="24",B3539="25"),"15172425",B3539))),IF(U3539="CEBAS","UNICO",IF(VALUE(B3539)&lt;=11,"AMBA","INTERIOR"))))</f>
        <v>R16212223</v>
      </c>
      <c r="W3539" s="38" t="str">
        <f>+IF(U3539="","-",CONCATENATE(U3539,"_",V3539))</f>
        <v>FINES_R16212223</v>
      </c>
      <c r="X3539" s="42">
        <v>0.77100000000000002</v>
      </c>
    </row>
    <row r="3540" spans="1:24">
      <c r="A3540" s="21" t="s">
        <v>5100</v>
      </c>
      <c r="B3540" t="s">
        <v>598</v>
      </c>
      <c r="C3540" t="s">
        <v>709</v>
      </c>
      <c r="D3540" t="s">
        <v>710</v>
      </c>
      <c r="E3540" s="7" t="s">
        <v>198</v>
      </c>
      <c r="F3540" s="7" t="s">
        <v>198</v>
      </c>
      <c r="G3540" s="7" t="s">
        <v>198</v>
      </c>
      <c r="H3540" s="7" t="s">
        <v>20</v>
      </c>
      <c r="I3540" s="7" t="s">
        <v>5102</v>
      </c>
      <c r="J3540" s="7" t="s">
        <v>21</v>
      </c>
      <c r="L3540" t="s">
        <v>4971</v>
      </c>
      <c r="M3540" s="7" t="s">
        <v>22</v>
      </c>
      <c r="N3540" s="7" t="s">
        <v>23</v>
      </c>
      <c r="O3540" s="7" t="s">
        <v>27</v>
      </c>
      <c r="P3540" s="7" t="s">
        <v>5101</v>
      </c>
      <c r="Q3540" s="26">
        <v>11</v>
      </c>
      <c r="R3540" s="26">
        <v>1</v>
      </c>
      <c r="S3540" s="40">
        <v>1</v>
      </c>
      <c r="T3540" s="7"/>
      <c r="U3540" s="7" t="s">
        <v>2951</v>
      </c>
      <c r="V3540" s="7" t="str">
        <f>+IF(U3540="","",IF(U3540="FINES",CONCATENATE("R",IF(OR(B3540="16",B3540="21",B3540="22",B3540="23"),"16212223",IF(OR(B3540="15",B3540="17",B3540="24",B3540="25"),"15172425",B3540))),IF(U3540="CEBAS","UNICO",IF(VALUE(B3540)&lt;=11,"AMBA","INTERIOR"))))</f>
        <v>R16212223</v>
      </c>
      <c r="W3540" s="38" t="str">
        <f>+IF(U3540="","-",CONCATENATE(U3540,"_",V3540))</f>
        <v>FINES_R16212223</v>
      </c>
      <c r="X3540" s="42">
        <v>0.77900000000000003</v>
      </c>
    </row>
    <row r="3541" spans="1:24">
      <c r="A3541" s="21" t="s">
        <v>5100</v>
      </c>
      <c r="B3541" t="s">
        <v>220</v>
      </c>
      <c r="C3541" t="s">
        <v>431</v>
      </c>
      <c r="D3541" t="s">
        <v>1184</v>
      </c>
      <c r="E3541" s="7" t="s">
        <v>198</v>
      </c>
      <c r="F3541" s="7" t="s">
        <v>198</v>
      </c>
      <c r="G3541" s="7" t="s">
        <v>198</v>
      </c>
      <c r="H3541" s="7" t="s">
        <v>20</v>
      </c>
      <c r="I3541" s="7" t="s">
        <v>5102</v>
      </c>
      <c r="J3541" s="7" t="s">
        <v>21</v>
      </c>
      <c r="L3541" t="s">
        <v>4661</v>
      </c>
      <c r="M3541" s="7" t="s">
        <v>22</v>
      </c>
      <c r="N3541" s="7" t="s">
        <v>23</v>
      </c>
      <c r="O3541" s="7" t="s">
        <v>27</v>
      </c>
      <c r="P3541" s="7" t="s">
        <v>5101</v>
      </c>
      <c r="Q3541" s="26">
        <v>20</v>
      </c>
      <c r="R3541" s="26">
        <v>1</v>
      </c>
      <c r="S3541" s="40">
        <v>1</v>
      </c>
      <c r="T3541" s="7"/>
      <c r="U3541" s="7" t="s">
        <v>2951</v>
      </c>
      <c r="V3541" s="7" t="str">
        <f>+IF(U3541="","",IF(U3541="FINES",CONCATENATE("R",IF(OR(B3541="16",B3541="21",B3541="22",B3541="23"),"16212223",IF(OR(B3541="15",B3541="17",B3541="24",B3541="25"),"15172425",B3541))),IF(U3541="CEBAS","UNICO",IF(VALUE(B3541)&lt;=11,"AMBA","INTERIOR"))))</f>
        <v>R16212223</v>
      </c>
      <c r="W3541" s="38" t="str">
        <f>+IF(U3541="","-",CONCATENATE(U3541,"_",V3541))</f>
        <v>FINES_R16212223</v>
      </c>
      <c r="X3541" s="42">
        <v>0.78200000000000003</v>
      </c>
    </row>
    <row r="3542" spans="1:24">
      <c r="A3542" s="21" t="s">
        <v>5100</v>
      </c>
      <c r="B3542" t="s">
        <v>220</v>
      </c>
      <c r="C3542" t="s">
        <v>431</v>
      </c>
      <c r="D3542" t="s">
        <v>1184</v>
      </c>
      <c r="E3542" s="7" t="s">
        <v>198</v>
      </c>
      <c r="F3542" s="7" t="s">
        <v>198</v>
      </c>
      <c r="G3542" s="7" t="s">
        <v>198</v>
      </c>
      <c r="H3542" s="7" t="s">
        <v>20</v>
      </c>
      <c r="I3542" s="7" t="s">
        <v>5102</v>
      </c>
      <c r="J3542" s="7" t="s">
        <v>21</v>
      </c>
      <c r="L3542" t="s">
        <v>4662</v>
      </c>
      <c r="M3542" s="7" t="s">
        <v>22</v>
      </c>
      <c r="N3542" s="7" t="s">
        <v>23</v>
      </c>
      <c r="O3542" s="7" t="s">
        <v>27</v>
      </c>
      <c r="P3542" s="7" t="s">
        <v>5101</v>
      </c>
      <c r="Q3542" s="26">
        <v>18</v>
      </c>
      <c r="R3542" s="26">
        <v>1</v>
      </c>
      <c r="S3542" s="40">
        <v>1</v>
      </c>
      <c r="T3542" s="7"/>
      <c r="U3542" s="7" t="s">
        <v>2951</v>
      </c>
      <c r="V3542" s="7" t="str">
        <f>+IF(U3542="","",IF(U3542="FINES",CONCATENATE("R",IF(OR(B3542="16",B3542="21",B3542="22",B3542="23"),"16212223",IF(OR(B3542="15",B3542="17",B3542="24",B3542="25"),"15172425",B3542))),IF(U3542="CEBAS","UNICO",IF(VALUE(B3542)&lt;=11,"AMBA","INTERIOR"))))</f>
        <v>R16212223</v>
      </c>
      <c r="W3542" s="38" t="str">
        <f>+IF(U3542="","-",CONCATENATE(U3542,"_",V3542))</f>
        <v>FINES_R16212223</v>
      </c>
      <c r="X3542" s="42">
        <v>0.78200000000000003</v>
      </c>
    </row>
    <row r="3543" spans="1:24">
      <c r="A3543" s="21" t="s">
        <v>5100</v>
      </c>
      <c r="B3543" t="s">
        <v>598</v>
      </c>
      <c r="C3543" t="s">
        <v>709</v>
      </c>
      <c r="D3543" t="s">
        <v>710</v>
      </c>
      <c r="E3543" s="7" t="s">
        <v>198</v>
      </c>
      <c r="F3543" s="7" t="s">
        <v>198</v>
      </c>
      <c r="G3543" s="7" t="s">
        <v>198</v>
      </c>
      <c r="H3543" s="7" t="s">
        <v>20</v>
      </c>
      <c r="I3543" s="7" t="s">
        <v>5102</v>
      </c>
      <c r="J3543" s="7" t="s">
        <v>21</v>
      </c>
      <c r="L3543" t="s">
        <v>4966</v>
      </c>
      <c r="M3543" s="7" t="s">
        <v>22</v>
      </c>
      <c r="N3543" s="7" t="s">
        <v>23</v>
      </c>
      <c r="O3543" s="7" t="s">
        <v>27</v>
      </c>
      <c r="P3543" s="7" t="s">
        <v>5101</v>
      </c>
      <c r="Q3543" s="26">
        <v>12</v>
      </c>
      <c r="R3543" s="26">
        <v>1</v>
      </c>
      <c r="S3543" s="40">
        <v>1</v>
      </c>
      <c r="T3543" s="7"/>
      <c r="U3543" s="7" t="s">
        <v>2951</v>
      </c>
      <c r="V3543" s="7" t="str">
        <f>+IF(U3543="","",IF(U3543="FINES",CONCATENATE("R",IF(OR(B3543="16",B3543="21",B3543="22",B3543="23"),"16212223",IF(OR(B3543="15",B3543="17",B3543="24",B3543="25"),"15172425",B3543))),IF(U3543="CEBAS","UNICO",IF(VALUE(B3543)&lt;=11,"AMBA","INTERIOR"))))</f>
        <v>R16212223</v>
      </c>
      <c r="W3543" s="38" t="str">
        <f>+IF(U3543="","-",CONCATENATE(U3543,"_",V3543))</f>
        <v>FINES_R16212223</v>
      </c>
      <c r="X3543" s="42">
        <v>0.78500000000000003</v>
      </c>
    </row>
    <row r="3544" spans="1:24">
      <c r="A3544" s="21" t="s">
        <v>5100</v>
      </c>
      <c r="B3544" t="s">
        <v>220</v>
      </c>
      <c r="C3544" t="s">
        <v>218</v>
      </c>
      <c r="D3544" t="s">
        <v>2711</v>
      </c>
      <c r="E3544" s="7" t="s">
        <v>198</v>
      </c>
      <c r="F3544" s="7" t="s">
        <v>198</v>
      </c>
      <c r="G3544" s="7" t="s">
        <v>198</v>
      </c>
      <c r="H3544" s="7" t="s">
        <v>20</v>
      </c>
      <c r="I3544" s="7" t="s">
        <v>5102</v>
      </c>
      <c r="J3544" s="7" t="s">
        <v>21</v>
      </c>
      <c r="L3544" t="s">
        <v>4667</v>
      </c>
      <c r="M3544" s="7" t="s">
        <v>22</v>
      </c>
      <c r="N3544" s="7" t="s">
        <v>23</v>
      </c>
      <c r="O3544" s="7" t="s">
        <v>27</v>
      </c>
      <c r="P3544" s="7" t="s">
        <v>5101</v>
      </c>
      <c r="Q3544" s="26">
        <v>17</v>
      </c>
      <c r="R3544" s="26">
        <v>1</v>
      </c>
      <c r="S3544" s="40">
        <v>1</v>
      </c>
      <c r="T3544" s="7"/>
      <c r="U3544" s="7" t="s">
        <v>2951</v>
      </c>
      <c r="V3544" s="7" t="str">
        <f>+IF(U3544="","",IF(U3544="FINES",CONCATENATE("R",IF(OR(B3544="16",B3544="21",B3544="22",B3544="23"),"16212223",IF(OR(B3544="15",B3544="17",B3544="24",B3544="25"),"15172425",B3544))),IF(U3544="CEBAS","UNICO",IF(VALUE(B3544)&lt;=11,"AMBA","INTERIOR"))))</f>
        <v>R16212223</v>
      </c>
      <c r="W3544" s="38" t="str">
        <f>+IF(U3544="","-",CONCATENATE(U3544,"_",V3544))</f>
        <v>FINES_R16212223</v>
      </c>
      <c r="X3544" s="42">
        <v>0.78600000000000003</v>
      </c>
    </row>
    <row r="3545" spans="1:24">
      <c r="A3545" s="21" t="s">
        <v>5100</v>
      </c>
      <c r="B3545" t="s">
        <v>223</v>
      </c>
      <c r="C3545" t="s">
        <v>1195</v>
      </c>
      <c r="D3545" t="s">
        <v>1196</v>
      </c>
      <c r="E3545" s="7" t="s">
        <v>198</v>
      </c>
      <c r="F3545" s="7" t="s">
        <v>198</v>
      </c>
      <c r="G3545" s="7" t="s">
        <v>198</v>
      </c>
      <c r="H3545" s="7" t="s">
        <v>20</v>
      </c>
      <c r="I3545" s="7" t="s">
        <v>5102</v>
      </c>
      <c r="J3545" s="7" t="s">
        <v>21</v>
      </c>
      <c r="L3545" t="s">
        <v>5029</v>
      </c>
      <c r="M3545" s="7" t="s">
        <v>22</v>
      </c>
      <c r="N3545" s="7" t="s">
        <v>23</v>
      </c>
      <c r="O3545" s="7" t="s">
        <v>27</v>
      </c>
      <c r="P3545" s="7" t="s">
        <v>5101</v>
      </c>
      <c r="Q3545" s="26">
        <v>14</v>
      </c>
      <c r="R3545" s="26">
        <v>1</v>
      </c>
      <c r="S3545" s="40">
        <v>1</v>
      </c>
      <c r="T3545" s="7"/>
      <c r="U3545" s="7" t="s">
        <v>2951</v>
      </c>
      <c r="V3545" s="7" t="str">
        <f>+IF(U3545="","",IF(U3545="FINES",CONCATENATE("R",IF(OR(B3545="16",B3545="21",B3545="22",B3545="23"),"16212223",IF(OR(B3545="15",B3545="17",B3545="24",B3545="25"),"15172425",B3545))),IF(U3545="CEBAS","UNICO",IF(VALUE(B3545)&lt;=11,"AMBA","INTERIOR"))))</f>
        <v>R16212223</v>
      </c>
      <c r="W3545" s="38" t="str">
        <f>+IF(U3545="","-",CONCATENATE(U3545,"_",V3545))</f>
        <v>FINES_R16212223</v>
      </c>
      <c r="X3545" s="42">
        <v>0.79800000000000004</v>
      </c>
    </row>
    <row r="3546" spans="1:24">
      <c r="A3546" s="21" t="s">
        <v>5100</v>
      </c>
      <c r="B3546" t="s">
        <v>223</v>
      </c>
      <c r="C3546" t="s">
        <v>683</v>
      </c>
      <c r="D3546" t="s">
        <v>684</v>
      </c>
      <c r="E3546" s="7" t="s">
        <v>198</v>
      </c>
      <c r="F3546" s="7" t="s">
        <v>198</v>
      </c>
      <c r="G3546" s="7" t="s">
        <v>198</v>
      </c>
      <c r="H3546" s="7" t="s">
        <v>20</v>
      </c>
      <c r="I3546" s="7" t="s">
        <v>5102</v>
      </c>
      <c r="J3546" s="7" t="s">
        <v>21</v>
      </c>
      <c r="L3546" t="s">
        <v>5023</v>
      </c>
      <c r="M3546" s="7" t="s">
        <v>22</v>
      </c>
      <c r="N3546" s="7" t="s">
        <v>23</v>
      </c>
      <c r="O3546" s="7" t="s">
        <v>27</v>
      </c>
      <c r="P3546" s="7" t="s">
        <v>5101</v>
      </c>
      <c r="Q3546" s="26">
        <v>10</v>
      </c>
      <c r="R3546" s="26">
        <v>1</v>
      </c>
      <c r="S3546" s="40">
        <v>1</v>
      </c>
      <c r="T3546" s="7"/>
      <c r="U3546" s="7" t="s">
        <v>2951</v>
      </c>
      <c r="V3546" s="7" t="str">
        <f>+IF(U3546="","",IF(U3546="FINES",CONCATENATE("R",IF(OR(B3546="16",B3546="21",B3546="22",B3546="23"),"16212223",IF(OR(B3546="15",B3546="17",B3546="24",B3546="25"),"15172425",B3546))),IF(U3546="CEBAS","UNICO",IF(VALUE(B3546)&lt;=11,"AMBA","INTERIOR"))))</f>
        <v>R16212223</v>
      </c>
      <c r="W3546" s="38" t="str">
        <f>+IF(U3546="","-",CONCATENATE(U3546,"_",V3546))</f>
        <v>FINES_R16212223</v>
      </c>
      <c r="X3546" s="42">
        <v>0.81299999999999994</v>
      </c>
    </row>
    <row r="3547" spans="1:24">
      <c r="A3547" s="21" t="s">
        <v>5100</v>
      </c>
      <c r="B3547" t="s">
        <v>203</v>
      </c>
      <c r="C3547" t="s">
        <v>450</v>
      </c>
      <c r="D3547" t="s">
        <v>452</v>
      </c>
      <c r="E3547" s="7" t="s">
        <v>198</v>
      </c>
      <c r="F3547" s="7" t="s">
        <v>198</v>
      </c>
      <c r="G3547" s="7" t="s">
        <v>198</v>
      </c>
      <c r="H3547" s="7" t="s">
        <v>20</v>
      </c>
      <c r="I3547" s="7" t="s">
        <v>5102</v>
      </c>
      <c r="J3547" s="7" t="s">
        <v>21</v>
      </c>
      <c r="L3547" t="s">
        <v>4984</v>
      </c>
      <c r="M3547" s="7" t="s">
        <v>22</v>
      </c>
      <c r="N3547" s="7" t="s">
        <v>23</v>
      </c>
      <c r="O3547" s="7" t="s">
        <v>27</v>
      </c>
      <c r="P3547" s="7" t="s">
        <v>5101</v>
      </c>
      <c r="Q3547" s="26">
        <v>22</v>
      </c>
      <c r="R3547" s="26">
        <v>1</v>
      </c>
      <c r="S3547" s="40">
        <v>1</v>
      </c>
      <c r="T3547" s="7"/>
      <c r="U3547" s="7" t="s">
        <v>2951</v>
      </c>
      <c r="V3547" s="7" t="str">
        <f>+IF(U3547="","",IF(U3547="FINES",CONCATENATE("R",IF(OR(B3547="16",B3547="21",B3547="22",B3547="23"),"16212223",IF(OR(B3547="15",B3547="17",B3547="24",B3547="25"),"15172425",B3547))),IF(U3547="CEBAS","UNICO",IF(VALUE(B3547)&lt;=11,"AMBA","INTERIOR"))))</f>
        <v>R16212223</v>
      </c>
      <c r="W3547" s="38" t="str">
        <f>+IF(U3547="","-",CONCATENATE(U3547,"_",V3547))</f>
        <v>FINES_R16212223</v>
      </c>
      <c r="X3547" s="42">
        <v>0.81899999999999995</v>
      </c>
    </row>
    <row r="3548" spans="1:24">
      <c r="A3548" s="21" t="s">
        <v>5100</v>
      </c>
      <c r="B3548" t="s">
        <v>220</v>
      </c>
      <c r="C3548" t="s">
        <v>726</v>
      </c>
      <c r="D3548" t="s">
        <v>2434</v>
      </c>
      <c r="E3548" s="7" t="s">
        <v>198</v>
      </c>
      <c r="F3548" s="7" t="s">
        <v>198</v>
      </c>
      <c r="G3548" s="7" t="s">
        <v>198</v>
      </c>
      <c r="H3548" s="7" t="s">
        <v>20</v>
      </c>
      <c r="I3548" s="7" t="s">
        <v>5102</v>
      </c>
      <c r="J3548" s="7" t="s">
        <v>21</v>
      </c>
      <c r="L3548" t="s">
        <v>4673</v>
      </c>
      <c r="M3548" s="7" t="s">
        <v>22</v>
      </c>
      <c r="N3548" s="7" t="s">
        <v>23</v>
      </c>
      <c r="O3548" s="7" t="s">
        <v>27</v>
      </c>
      <c r="P3548" s="7" t="s">
        <v>5101</v>
      </c>
      <c r="Q3548" s="26">
        <v>17</v>
      </c>
      <c r="R3548" s="26">
        <v>1</v>
      </c>
      <c r="S3548" s="40">
        <v>1</v>
      </c>
      <c r="T3548" s="7"/>
      <c r="U3548" s="7" t="s">
        <v>2951</v>
      </c>
      <c r="V3548" s="7" t="str">
        <f>+IF(U3548="","",IF(U3548="FINES",CONCATENATE("R",IF(OR(B3548="16",B3548="21",B3548="22",B3548="23"),"16212223",IF(OR(B3548="15",B3548="17",B3548="24",B3548="25"),"15172425",B3548))),IF(U3548="CEBAS","UNICO",IF(VALUE(B3548)&lt;=11,"AMBA","INTERIOR"))))</f>
        <v>R16212223</v>
      </c>
      <c r="W3548" s="38" t="str">
        <f>+IF(U3548="","-",CONCATENATE(U3548,"_",V3548))</f>
        <v>FINES_R16212223</v>
      </c>
      <c r="X3548" s="42">
        <v>0.82299999999999995</v>
      </c>
    </row>
    <row r="3549" spans="1:24">
      <c r="A3549" s="21" t="s">
        <v>5100</v>
      </c>
      <c r="B3549" t="s">
        <v>598</v>
      </c>
      <c r="C3549" t="s">
        <v>1190</v>
      </c>
      <c r="D3549" t="s">
        <v>1191</v>
      </c>
      <c r="E3549" s="7" t="s">
        <v>198</v>
      </c>
      <c r="F3549" s="7" t="s">
        <v>198</v>
      </c>
      <c r="G3549" s="7" t="s">
        <v>198</v>
      </c>
      <c r="H3549" s="7" t="s">
        <v>20</v>
      </c>
      <c r="I3549" s="7" t="s">
        <v>5102</v>
      </c>
      <c r="J3549" s="7" t="s">
        <v>21</v>
      </c>
      <c r="L3549" t="s">
        <v>4953</v>
      </c>
      <c r="M3549" s="7" t="s">
        <v>22</v>
      </c>
      <c r="N3549" s="7" t="s">
        <v>23</v>
      </c>
      <c r="O3549" s="7" t="s">
        <v>27</v>
      </c>
      <c r="P3549" s="7" t="s">
        <v>5101</v>
      </c>
      <c r="Q3549" s="26">
        <v>10</v>
      </c>
      <c r="R3549" s="26">
        <v>1</v>
      </c>
      <c r="S3549" s="40">
        <v>1</v>
      </c>
      <c r="T3549" s="7"/>
      <c r="U3549" s="7" t="s">
        <v>2951</v>
      </c>
      <c r="V3549" s="7" t="str">
        <f>+IF(U3549="","",IF(U3549="FINES",CONCATENATE("R",IF(OR(B3549="16",B3549="21",B3549="22",B3549="23"),"16212223",IF(OR(B3549="15",B3549="17",B3549="24",B3549="25"),"15172425",B3549))),IF(U3549="CEBAS","UNICO",IF(VALUE(B3549)&lt;=11,"AMBA","INTERIOR"))))</f>
        <v>R16212223</v>
      </c>
      <c r="W3549" s="38" t="str">
        <f>+IF(U3549="","-",CONCATENATE(U3549,"_",V3549))</f>
        <v>FINES_R16212223</v>
      </c>
      <c r="X3549" s="42">
        <v>0.82399999999999995</v>
      </c>
    </row>
    <row r="3550" spans="1:24">
      <c r="A3550" s="21" t="s">
        <v>5100</v>
      </c>
      <c r="B3550" t="s">
        <v>598</v>
      </c>
      <c r="C3550" t="s">
        <v>748</v>
      </c>
      <c r="D3550" t="s">
        <v>2452</v>
      </c>
      <c r="E3550" s="7" t="s">
        <v>198</v>
      </c>
      <c r="F3550" s="7" t="s">
        <v>198</v>
      </c>
      <c r="G3550" s="7" t="s">
        <v>198</v>
      </c>
      <c r="H3550" s="7" t="s">
        <v>20</v>
      </c>
      <c r="I3550" s="7" t="s">
        <v>5102</v>
      </c>
      <c r="J3550" s="7" t="s">
        <v>21</v>
      </c>
      <c r="L3550" t="s">
        <v>4976</v>
      </c>
      <c r="M3550" s="7" t="s">
        <v>22</v>
      </c>
      <c r="N3550" s="7" t="s">
        <v>23</v>
      </c>
      <c r="O3550" s="7" t="s">
        <v>27</v>
      </c>
      <c r="P3550" s="7" t="s">
        <v>5101</v>
      </c>
      <c r="Q3550" s="26">
        <v>0</v>
      </c>
      <c r="R3550" s="26">
        <v>1</v>
      </c>
      <c r="S3550" s="40">
        <v>1</v>
      </c>
      <c r="T3550" s="7"/>
      <c r="U3550" s="7" t="s">
        <v>2951</v>
      </c>
      <c r="V3550" s="7" t="str">
        <f>+IF(U3550="","",IF(U3550="FINES",CONCATENATE("R",IF(OR(B3550="16",B3550="21",B3550="22",B3550="23"),"16212223",IF(OR(B3550="15",B3550="17",B3550="24",B3550="25"),"15172425",B3550))),IF(U3550="CEBAS","UNICO",IF(VALUE(B3550)&lt;=11,"AMBA","INTERIOR"))))</f>
        <v>R16212223</v>
      </c>
      <c r="W3550" s="38" t="str">
        <f>+IF(U3550="","-",CONCATENATE(U3550,"_",V3550))</f>
        <v>FINES_R16212223</v>
      </c>
      <c r="X3550" s="42">
        <v>0.83799999999999997</v>
      </c>
    </row>
    <row r="3551" spans="1:24">
      <c r="A3551" s="21" t="s">
        <v>5100</v>
      </c>
      <c r="B3551" t="s">
        <v>598</v>
      </c>
      <c r="C3551" t="s">
        <v>709</v>
      </c>
      <c r="D3551" t="s">
        <v>710</v>
      </c>
      <c r="E3551" s="7" t="s">
        <v>198</v>
      </c>
      <c r="F3551" s="7" t="s">
        <v>198</v>
      </c>
      <c r="G3551" s="7" t="s">
        <v>198</v>
      </c>
      <c r="H3551" s="7" t="s">
        <v>20</v>
      </c>
      <c r="I3551" s="7" t="s">
        <v>5102</v>
      </c>
      <c r="J3551" s="7" t="s">
        <v>21</v>
      </c>
      <c r="L3551" t="s">
        <v>4969</v>
      </c>
      <c r="M3551" s="7" t="s">
        <v>22</v>
      </c>
      <c r="N3551" s="7" t="s">
        <v>23</v>
      </c>
      <c r="O3551" s="7" t="s">
        <v>27</v>
      </c>
      <c r="P3551" s="7" t="s">
        <v>5101</v>
      </c>
      <c r="Q3551" s="26">
        <v>29</v>
      </c>
      <c r="R3551" s="26">
        <v>2</v>
      </c>
      <c r="S3551" s="40">
        <v>1</v>
      </c>
      <c r="T3551" s="7"/>
      <c r="U3551" s="7" t="s">
        <v>2951</v>
      </c>
      <c r="V3551" s="7" t="str">
        <f>+IF(U3551="","",IF(U3551="FINES",CONCATENATE("R",IF(OR(B3551="16",B3551="21",B3551="22",B3551="23"),"16212223",IF(OR(B3551="15",B3551="17",B3551="24",B3551="25"),"15172425",B3551))),IF(U3551="CEBAS","UNICO",IF(VALUE(B3551)&lt;=11,"AMBA","INTERIOR"))))</f>
        <v>R16212223</v>
      </c>
      <c r="W3551" s="38" t="str">
        <f>+IF(U3551="","-",CONCATENATE(U3551,"_",V3551))</f>
        <v>FINES_R16212223</v>
      </c>
      <c r="X3551" s="42">
        <v>0.84099999999999997</v>
      </c>
    </row>
    <row r="3552" spans="1:24">
      <c r="A3552" s="21" t="s">
        <v>5100</v>
      </c>
      <c r="B3552" t="s">
        <v>598</v>
      </c>
      <c r="C3552" t="s">
        <v>1204</v>
      </c>
      <c r="D3552" t="s">
        <v>1206</v>
      </c>
      <c r="E3552" s="7" t="s">
        <v>198</v>
      </c>
      <c r="F3552" s="7" t="s">
        <v>198</v>
      </c>
      <c r="G3552" s="7" t="s">
        <v>198</v>
      </c>
      <c r="H3552" s="7" t="s">
        <v>20</v>
      </c>
      <c r="I3552" s="7" t="s">
        <v>5102</v>
      </c>
      <c r="J3552" s="7" t="s">
        <v>21</v>
      </c>
      <c r="L3552" t="s">
        <v>4963</v>
      </c>
      <c r="M3552" s="7" t="s">
        <v>22</v>
      </c>
      <c r="N3552" s="7" t="s">
        <v>23</v>
      </c>
      <c r="O3552" s="7" t="s">
        <v>27</v>
      </c>
      <c r="P3552" s="7" t="s">
        <v>5101</v>
      </c>
      <c r="Q3552" s="26">
        <v>9</v>
      </c>
      <c r="R3552" s="26">
        <v>1</v>
      </c>
      <c r="S3552" s="40">
        <v>1</v>
      </c>
      <c r="T3552" s="7"/>
      <c r="U3552" s="7" t="s">
        <v>2951</v>
      </c>
      <c r="V3552" s="7" t="str">
        <f>+IF(U3552="","",IF(U3552="FINES",CONCATENATE("R",IF(OR(B3552="16",B3552="21",B3552="22",B3552="23"),"16212223",IF(OR(B3552="15",B3552="17",B3552="24",B3552="25"),"15172425",B3552))),IF(U3552="CEBAS","UNICO",IF(VALUE(B3552)&lt;=11,"AMBA","INTERIOR"))))</f>
        <v>R16212223</v>
      </c>
      <c r="W3552" s="38" t="str">
        <f>+IF(U3552="","-",CONCATENATE(U3552,"_",V3552))</f>
        <v>FINES_R16212223</v>
      </c>
      <c r="X3552" s="42">
        <v>0.84499999999999997</v>
      </c>
    </row>
    <row r="3553" spans="1:24">
      <c r="A3553" s="21" t="s">
        <v>5100</v>
      </c>
      <c r="B3553" t="s">
        <v>220</v>
      </c>
      <c r="C3553" t="s">
        <v>665</v>
      </c>
      <c r="D3553" t="s">
        <v>666</v>
      </c>
      <c r="E3553" s="7" t="s">
        <v>198</v>
      </c>
      <c r="F3553" s="7" t="s">
        <v>198</v>
      </c>
      <c r="G3553" s="7" t="s">
        <v>198</v>
      </c>
      <c r="H3553" s="7" t="s">
        <v>20</v>
      </c>
      <c r="I3553" s="7" t="s">
        <v>5102</v>
      </c>
      <c r="J3553" s="7" t="s">
        <v>21</v>
      </c>
      <c r="L3553" t="s">
        <v>4655</v>
      </c>
      <c r="M3553" s="7" t="s">
        <v>22</v>
      </c>
      <c r="N3553" s="7" t="s">
        <v>23</v>
      </c>
      <c r="O3553" s="7" t="s">
        <v>27</v>
      </c>
      <c r="P3553" s="7" t="s">
        <v>5101</v>
      </c>
      <c r="Q3553" s="26">
        <v>19</v>
      </c>
      <c r="R3553" s="26">
        <v>1</v>
      </c>
      <c r="S3553" s="40">
        <v>1</v>
      </c>
      <c r="T3553" s="7"/>
      <c r="U3553" s="7" t="s">
        <v>2951</v>
      </c>
      <c r="V3553" s="7" t="str">
        <f>+IF(U3553="","",IF(U3553="FINES",CONCATENATE("R",IF(OR(B3553="16",B3553="21",B3553="22",B3553="23"),"16212223",IF(OR(B3553="15",B3553="17",B3553="24",B3553="25"),"15172425",B3553))),IF(U3553="CEBAS","UNICO",IF(VALUE(B3553)&lt;=11,"AMBA","INTERIOR"))))</f>
        <v>R16212223</v>
      </c>
      <c r="W3553" s="38" t="str">
        <f>+IF(U3553="","-",CONCATENATE(U3553,"_",V3553))</f>
        <v>FINES_R16212223</v>
      </c>
      <c r="X3553" s="42">
        <v>0.84699999999999998</v>
      </c>
    </row>
    <row r="3554" spans="1:24">
      <c r="A3554" s="21" t="s">
        <v>5100</v>
      </c>
      <c r="B3554" t="s">
        <v>223</v>
      </c>
      <c r="C3554" t="s">
        <v>714</v>
      </c>
      <c r="D3554" t="s">
        <v>715</v>
      </c>
      <c r="E3554" s="7" t="s">
        <v>198</v>
      </c>
      <c r="F3554" s="7" t="s">
        <v>198</v>
      </c>
      <c r="G3554" s="7" t="s">
        <v>198</v>
      </c>
      <c r="H3554" s="7" t="s">
        <v>20</v>
      </c>
      <c r="I3554" s="7" t="s">
        <v>5102</v>
      </c>
      <c r="J3554" s="7" t="s">
        <v>21</v>
      </c>
      <c r="L3554" t="s">
        <v>5018</v>
      </c>
      <c r="M3554" s="7" t="s">
        <v>22</v>
      </c>
      <c r="N3554" s="7" t="s">
        <v>23</v>
      </c>
      <c r="O3554" s="7" t="s">
        <v>27</v>
      </c>
      <c r="P3554" s="7" t="s">
        <v>5101</v>
      </c>
      <c r="Q3554" s="26">
        <v>90</v>
      </c>
      <c r="R3554" s="26">
        <v>4</v>
      </c>
      <c r="S3554" s="40">
        <v>1</v>
      </c>
      <c r="T3554" s="7"/>
      <c r="U3554" s="7" t="s">
        <v>2951</v>
      </c>
      <c r="V3554" s="7" t="str">
        <f>+IF(U3554="","",IF(U3554="FINES",CONCATENATE("R",IF(OR(B3554="16",B3554="21",B3554="22",B3554="23"),"16212223",IF(OR(B3554="15",B3554="17",B3554="24",B3554="25"),"15172425",B3554))),IF(U3554="CEBAS","UNICO",IF(VALUE(B3554)&lt;=11,"AMBA","INTERIOR"))))</f>
        <v>R16212223</v>
      </c>
      <c r="W3554" s="38" t="str">
        <f>+IF(U3554="","-",CONCATENATE(U3554,"_",V3554))</f>
        <v>FINES_R16212223</v>
      </c>
      <c r="X3554" s="42">
        <v>0.86099999999999999</v>
      </c>
    </row>
    <row r="3555" spans="1:24">
      <c r="A3555" s="21" t="s">
        <v>5100</v>
      </c>
      <c r="B3555" t="s">
        <v>203</v>
      </c>
      <c r="C3555" t="s">
        <v>590</v>
      </c>
      <c r="D3555" t="s">
        <v>2553</v>
      </c>
      <c r="E3555" s="7" t="s">
        <v>198</v>
      </c>
      <c r="F3555" s="7" t="s">
        <v>198</v>
      </c>
      <c r="G3555" s="7" t="s">
        <v>198</v>
      </c>
      <c r="H3555" s="7" t="s">
        <v>20</v>
      </c>
      <c r="I3555" s="7" t="s">
        <v>5102</v>
      </c>
      <c r="J3555" s="7" t="s">
        <v>21</v>
      </c>
      <c r="L3555" t="s">
        <v>4673</v>
      </c>
      <c r="M3555" s="7" t="s">
        <v>22</v>
      </c>
      <c r="N3555" s="7" t="s">
        <v>23</v>
      </c>
      <c r="O3555" s="7" t="s">
        <v>27</v>
      </c>
      <c r="P3555" s="7" t="s">
        <v>5101</v>
      </c>
      <c r="Q3555" s="26">
        <v>21</v>
      </c>
      <c r="R3555" s="26">
        <v>1</v>
      </c>
      <c r="S3555" s="40">
        <v>1</v>
      </c>
      <c r="T3555" s="7"/>
      <c r="U3555" s="7" t="s">
        <v>2951</v>
      </c>
      <c r="V3555" s="7" t="str">
        <f>+IF(U3555="","",IF(U3555="FINES",CONCATENATE("R",IF(OR(B3555="16",B3555="21",B3555="22",B3555="23"),"16212223",IF(OR(B3555="15",B3555="17",B3555="24",B3555="25"),"15172425",B3555))),IF(U3555="CEBAS","UNICO",IF(VALUE(B3555)&lt;=11,"AMBA","INTERIOR"))))</f>
        <v>R16212223</v>
      </c>
      <c r="W3555" s="38" t="str">
        <f>+IF(U3555="","-",CONCATENATE(U3555,"_",V3555))</f>
        <v>FINES_R16212223</v>
      </c>
      <c r="X3555" s="42">
        <v>0.86499999999999999</v>
      </c>
    </row>
    <row r="3556" spans="1:24">
      <c r="A3556" s="21" t="s">
        <v>5100</v>
      </c>
      <c r="B3556" t="s">
        <v>220</v>
      </c>
      <c r="C3556" t="s">
        <v>665</v>
      </c>
      <c r="D3556" t="s">
        <v>666</v>
      </c>
      <c r="E3556" s="7" t="s">
        <v>198</v>
      </c>
      <c r="F3556" s="7" t="s">
        <v>198</v>
      </c>
      <c r="G3556" s="7" t="s">
        <v>198</v>
      </c>
      <c r="H3556" s="7" t="s">
        <v>20</v>
      </c>
      <c r="I3556" s="7" t="s">
        <v>5102</v>
      </c>
      <c r="J3556" s="7" t="s">
        <v>21</v>
      </c>
      <c r="L3556" t="s">
        <v>4656</v>
      </c>
      <c r="M3556" s="7" t="s">
        <v>22</v>
      </c>
      <c r="N3556" s="7" t="s">
        <v>23</v>
      </c>
      <c r="O3556" s="7" t="s">
        <v>27</v>
      </c>
      <c r="P3556" s="7" t="s">
        <v>5101</v>
      </c>
      <c r="Q3556" s="26">
        <v>17</v>
      </c>
      <c r="R3556" s="26">
        <v>1</v>
      </c>
      <c r="S3556" s="40">
        <v>1</v>
      </c>
      <c r="T3556" s="7"/>
      <c r="U3556" s="7" t="s">
        <v>2951</v>
      </c>
      <c r="V3556" s="7" t="str">
        <f>+IF(U3556="","",IF(U3556="FINES",CONCATENATE("R",IF(OR(B3556="16",B3556="21",B3556="22",B3556="23"),"16212223",IF(OR(B3556="15",B3556="17",B3556="24",B3556="25"),"15172425",B3556))),IF(U3556="CEBAS","UNICO",IF(VALUE(B3556)&lt;=11,"AMBA","INTERIOR"))))</f>
        <v>R16212223</v>
      </c>
      <c r="W3556" s="38" t="str">
        <f>+IF(U3556="","-",CONCATENATE(U3556,"_",V3556))</f>
        <v>FINES_R16212223</v>
      </c>
      <c r="X3556" s="42">
        <v>0.86699999999999999</v>
      </c>
    </row>
    <row r="3557" spans="1:24">
      <c r="A3557" s="21" t="s">
        <v>5100</v>
      </c>
      <c r="B3557" t="s">
        <v>598</v>
      </c>
      <c r="C3557" t="s">
        <v>1204</v>
      </c>
      <c r="D3557" t="s">
        <v>1206</v>
      </c>
      <c r="E3557" s="7" t="s">
        <v>198</v>
      </c>
      <c r="F3557" s="7" t="s">
        <v>198</v>
      </c>
      <c r="G3557" s="7" t="s">
        <v>198</v>
      </c>
      <c r="H3557" s="7" t="s">
        <v>20</v>
      </c>
      <c r="I3557" s="7" t="s">
        <v>5102</v>
      </c>
      <c r="J3557" s="7" t="s">
        <v>21</v>
      </c>
      <c r="L3557" t="s">
        <v>4959</v>
      </c>
      <c r="M3557" s="7" t="s">
        <v>22</v>
      </c>
      <c r="N3557" s="7" t="s">
        <v>23</v>
      </c>
      <c r="O3557" s="7" t="s">
        <v>27</v>
      </c>
      <c r="P3557" s="7" t="s">
        <v>5101</v>
      </c>
      <c r="Q3557" s="26">
        <v>15</v>
      </c>
      <c r="R3557" s="26">
        <v>1</v>
      </c>
      <c r="S3557" s="40">
        <v>1</v>
      </c>
      <c r="T3557" s="7"/>
      <c r="U3557" s="7" t="s">
        <v>2951</v>
      </c>
      <c r="V3557" s="7" t="str">
        <f>+IF(U3557="","",IF(U3557="FINES",CONCATENATE("R",IF(OR(B3557="16",B3557="21",B3557="22",B3557="23"),"16212223",IF(OR(B3557="15",B3557="17",B3557="24",B3557="25"),"15172425",B3557))),IF(U3557="CEBAS","UNICO",IF(VALUE(B3557)&lt;=11,"AMBA","INTERIOR"))))</f>
        <v>R16212223</v>
      </c>
      <c r="W3557" s="38" t="str">
        <f>+IF(U3557="","-",CONCATENATE(U3557,"_",V3557))</f>
        <v>FINES_R16212223</v>
      </c>
      <c r="X3557" s="42">
        <v>0.874</v>
      </c>
    </row>
    <row r="3558" spans="1:24">
      <c r="A3558" s="21" t="s">
        <v>5100</v>
      </c>
      <c r="B3558" t="s">
        <v>203</v>
      </c>
      <c r="C3558" t="s">
        <v>450</v>
      </c>
      <c r="D3558" t="s">
        <v>452</v>
      </c>
      <c r="E3558" s="7" t="s">
        <v>198</v>
      </c>
      <c r="F3558" s="7" t="s">
        <v>198</v>
      </c>
      <c r="G3558" s="7" t="s">
        <v>198</v>
      </c>
      <c r="H3558" s="7" t="s">
        <v>20</v>
      </c>
      <c r="I3558" s="7" t="s">
        <v>5102</v>
      </c>
      <c r="J3558" s="7" t="s">
        <v>21</v>
      </c>
      <c r="L3558" t="s">
        <v>4996</v>
      </c>
      <c r="M3558" s="7" t="s">
        <v>22</v>
      </c>
      <c r="N3558" s="7" t="s">
        <v>23</v>
      </c>
      <c r="O3558" s="7" t="s">
        <v>27</v>
      </c>
      <c r="P3558" s="7" t="s">
        <v>5101</v>
      </c>
      <c r="Q3558" s="26">
        <v>16</v>
      </c>
      <c r="R3558" s="26">
        <v>1</v>
      </c>
      <c r="S3558" s="40">
        <v>1</v>
      </c>
      <c r="T3558" s="7"/>
      <c r="U3558" s="7" t="s">
        <v>2951</v>
      </c>
      <c r="V3558" s="7" t="str">
        <f>+IF(U3558="","",IF(U3558="FINES",CONCATENATE("R",IF(OR(B3558="16",B3558="21",B3558="22",B3558="23"),"16212223",IF(OR(B3558="15",B3558="17",B3558="24",B3558="25"),"15172425",B3558))),IF(U3558="CEBAS","UNICO",IF(VALUE(B3558)&lt;=11,"AMBA","INTERIOR"))))</f>
        <v>R16212223</v>
      </c>
      <c r="W3558" s="38" t="str">
        <f>+IF(U3558="","-",CONCATENATE(U3558,"_",V3558))</f>
        <v>FINES_R16212223</v>
      </c>
      <c r="X3558" s="42">
        <v>0.874</v>
      </c>
    </row>
    <row r="3559" spans="1:24">
      <c r="A3559" s="21" t="s">
        <v>5100</v>
      </c>
      <c r="B3559" t="s">
        <v>598</v>
      </c>
      <c r="C3559" t="s">
        <v>1190</v>
      </c>
      <c r="D3559" t="s">
        <v>1191</v>
      </c>
      <c r="E3559" s="7" t="s">
        <v>198</v>
      </c>
      <c r="F3559" s="7" t="s">
        <v>198</v>
      </c>
      <c r="G3559" s="7" t="s">
        <v>198</v>
      </c>
      <c r="H3559" s="7" t="s">
        <v>20</v>
      </c>
      <c r="I3559" s="7" t="s">
        <v>5102</v>
      </c>
      <c r="J3559" s="7" t="s">
        <v>21</v>
      </c>
      <c r="L3559" t="s">
        <v>4956</v>
      </c>
      <c r="M3559" s="7" t="s">
        <v>22</v>
      </c>
      <c r="N3559" s="7" t="s">
        <v>23</v>
      </c>
      <c r="O3559" s="7" t="s">
        <v>27</v>
      </c>
      <c r="P3559" s="7" t="s">
        <v>5101</v>
      </c>
      <c r="Q3559" s="26">
        <v>2</v>
      </c>
      <c r="R3559" s="26">
        <v>1</v>
      </c>
      <c r="S3559" s="40">
        <v>1</v>
      </c>
      <c r="T3559" s="7"/>
      <c r="U3559" s="7" t="s">
        <v>2951</v>
      </c>
      <c r="V3559" s="7" t="str">
        <f>+IF(U3559="","",IF(U3559="FINES",CONCATENATE("R",IF(OR(B3559="16",B3559="21",B3559="22",B3559="23"),"16212223",IF(OR(B3559="15",B3559="17",B3559="24",B3559="25"),"15172425",B3559))),IF(U3559="CEBAS","UNICO",IF(VALUE(B3559)&lt;=11,"AMBA","INTERIOR"))))</f>
        <v>R16212223</v>
      </c>
      <c r="W3559" s="38" t="str">
        <f>+IF(U3559="","-",CONCATENATE(U3559,"_",V3559))</f>
        <v>FINES_R16212223</v>
      </c>
      <c r="X3559" s="42">
        <v>0.877</v>
      </c>
    </row>
    <row r="3560" spans="1:24">
      <c r="A3560" s="21" t="s">
        <v>5100</v>
      </c>
      <c r="B3560" t="s">
        <v>598</v>
      </c>
      <c r="C3560" t="s">
        <v>1249</v>
      </c>
      <c r="D3560" t="s">
        <v>1250</v>
      </c>
      <c r="E3560" s="7" t="s">
        <v>198</v>
      </c>
      <c r="F3560" s="7" t="s">
        <v>198</v>
      </c>
      <c r="G3560" s="7" t="s">
        <v>198</v>
      </c>
      <c r="H3560" s="7" t="s">
        <v>20</v>
      </c>
      <c r="I3560" s="7" t="s">
        <v>5102</v>
      </c>
      <c r="J3560" s="7" t="s">
        <v>21</v>
      </c>
      <c r="L3560" t="s">
        <v>4974</v>
      </c>
      <c r="M3560" s="7" t="s">
        <v>22</v>
      </c>
      <c r="N3560" s="7" t="s">
        <v>23</v>
      </c>
      <c r="O3560" s="7" t="s">
        <v>27</v>
      </c>
      <c r="P3560" s="7" t="s">
        <v>5101</v>
      </c>
      <c r="Q3560" s="26">
        <v>2</v>
      </c>
      <c r="R3560" s="26">
        <v>1</v>
      </c>
      <c r="S3560" s="40">
        <v>1</v>
      </c>
      <c r="T3560" s="7"/>
      <c r="U3560" s="7" t="s">
        <v>2951</v>
      </c>
      <c r="V3560" s="7" t="str">
        <f>+IF(U3560="","",IF(U3560="FINES",CONCATENATE("R",IF(OR(B3560="16",B3560="21",B3560="22",B3560="23"),"16212223",IF(OR(B3560="15",B3560="17",B3560="24",B3560="25"),"15172425",B3560))),IF(U3560="CEBAS","UNICO",IF(VALUE(B3560)&lt;=11,"AMBA","INTERIOR"))))</f>
        <v>R16212223</v>
      </c>
      <c r="W3560" s="38" t="str">
        <f>+IF(U3560="","-",CONCATENATE(U3560,"_",V3560))</f>
        <v>FINES_R16212223</v>
      </c>
      <c r="X3560" s="42">
        <v>0.90300000000000002</v>
      </c>
    </row>
    <row r="3561" spans="1:24">
      <c r="A3561" s="21" t="s">
        <v>5100</v>
      </c>
      <c r="B3561" t="s">
        <v>203</v>
      </c>
      <c r="C3561" t="s">
        <v>1986</v>
      </c>
      <c r="D3561" t="s">
        <v>1987</v>
      </c>
      <c r="E3561" s="7" t="s">
        <v>198</v>
      </c>
      <c r="F3561" s="7" t="s">
        <v>198</v>
      </c>
      <c r="G3561" s="7" t="s">
        <v>198</v>
      </c>
      <c r="H3561" s="7" t="s">
        <v>20</v>
      </c>
      <c r="I3561" s="7" t="s">
        <v>5102</v>
      </c>
      <c r="J3561" s="7" t="s">
        <v>21</v>
      </c>
      <c r="L3561" t="s">
        <v>5008</v>
      </c>
      <c r="M3561" s="7" t="s">
        <v>22</v>
      </c>
      <c r="N3561" s="7" t="s">
        <v>23</v>
      </c>
      <c r="O3561" s="7" t="s">
        <v>27</v>
      </c>
      <c r="P3561" s="7" t="s">
        <v>5101</v>
      </c>
      <c r="Q3561" s="26">
        <v>14</v>
      </c>
      <c r="R3561" s="26">
        <v>1</v>
      </c>
      <c r="S3561" s="40">
        <v>1</v>
      </c>
      <c r="T3561" s="7"/>
      <c r="U3561" s="7" t="s">
        <v>2951</v>
      </c>
      <c r="V3561" s="7" t="str">
        <f>+IF(U3561="","",IF(U3561="FINES",CONCATENATE("R",IF(OR(B3561="16",B3561="21",B3561="22",B3561="23"),"16212223",IF(OR(B3561="15",B3561="17",B3561="24",B3561="25"),"15172425",B3561))),IF(U3561="CEBAS","UNICO",IF(VALUE(B3561)&lt;=11,"AMBA","INTERIOR"))))</f>
        <v>R16212223</v>
      </c>
      <c r="W3561" s="38" t="str">
        <f>+IF(U3561="","-",CONCATENATE(U3561,"_",V3561))</f>
        <v>FINES_R16212223</v>
      </c>
      <c r="X3561" s="42">
        <v>0.91500000000000004</v>
      </c>
    </row>
    <row r="3562" spans="1:24">
      <c r="A3562" s="21" t="s">
        <v>5100</v>
      </c>
      <c r="B3562" t="s">
        <v>223</v>
      </c>
      <c r="C3562" t="s">
        <v>683</v>
      </c>
      <c r="D3562" t="s">
        <v>684</v>
      </c>
      <c r="E3562" s="7" t="s">
        <v>198</v>
      </c>
      <c r="F3562" s="7" t="s">
        <v>198</v>
      </c>
      <c r="G3562" s="7" t="s">
        <v>198</v>
      </c>
      <c r="H3562" s="7" t="s">
        <v>20</v>
      </c>
      <c r="I3562" s="7" t="s">
        <v>5102</v>
      </c>
      <c r="J3562" s="7" t="s">
        <v>21</v>
      </c>
      <c r="L3562" t="s">
        <v>5021</v>
      </c>
      <c r="M3562" s="7" t="s">
        <v>22</v>
      </c>
      <c r="N3562" s="7" t="s">
        <v>23</v>
      </c>
      <c r="O3562" s="7" t="s">
        <v>27</v>
      </c>
      <c r="P3562" s="7" t="s">
        <v>5101</v>
      </c>
      <c r="Q3562" s="26">
        <v>14</v>
      </c>
      <c r="R3562" s="26">
        <v>1</v>
      </c>
      <c r="S3562" s="40">
        <v>1</v>
      </c>
      <c r="T3562" s="7"/>
      <c r="U3562" s="7" t="s">
        <v>2951</v>
      </c>
      <c r="V3562" s="7" t="str">
        <f>+IF(U3562="","",IF(U3562="FINES",CONCATENATE("R",IF(OR(B3562="16",B3562="21",B3562="22",B3562="23"),"16212223",IF(OR(B3562="15",B3562="17",B3562="24",B3562="25"),"15172425",B3562))),IF(U3562="CEBAS","UNICO",IF(VALUE(B3562)&lt;=11,"AMBA","INTERIOR"))))</f>
        <v>R16212223</v>
      </c>
      <c r="W3562" s="38" t="str">
        <f>+IF(U3562="","-",CONCATENATE(U3562,"_",V3562))</f>
        <v>FINES_R16212223</v>
      </c>
      <c r="X3562" s="42">
        <v>0.94</v>
      </c>
    </row>
    <row r="3563" spans="1:24">
      <c r="A3563" s="21" t="s">
        <v>5100</v>
      </c>
      <c r="B3563" t="s">
        <v>223</v>
      </c>
      <c r="C3563" t="s">
        <v>1205</v>
      </c>
      <c r="D3563" t="s">
        <v>2075</v>
      </c>
      <c r="E3563" s="7" t="s">
        <v>198</v>
      </c>
      <c r="F3563" s="7" t="s">
        <v>198</v>
      </c>
      <c r="G3563" s="7" t="s">
        <v>198</v>
      </c>
      <c r="H3563" s="7" t="s">
        <v>20</v>
      </c>
      <c r="I3563" s="7" t="s">
        <v>5102</v>
      </c>
      <c r="J3563" s="7" t="s">
        <v>21</v>
      </c>
      <c r="L3563" t="s">
        <v>5030</v>
      </c>
      <c r="M3563" s="7" t="s">
        <v>22</v>
      </c>
      <c r="N3563" s="7" t="s">
        <v>23</v>
      </c>
      <c r="O3563" s="7" t="s">
        <v>27</v>
      </c>
      <c r="P3563" s="7" t="s">
        <v>5101</v>
      </c>
      <c r="Q3563" s="26">
        <v>24</v>
      </c>
      <c r="R3563" s="26">
        <v>2</v>
      </c>
      <c r="S3563" s="40">
        <v>1</v>
      </c>
      <c r="T3563" s="7"/>
      <c r="U3563" s="7" t="s">
        <v>2951</v>
      </c>
      <c r="V3563" s="7" t="str">
        <f>+IF(U3563="","",IF(U3563="FINES",CONCATENATE("R",IF(OR(B3563="16",B3563="21",B3563="22",B3563="23"),"16212223",IF(OR(B3563="15",B3563="17",B3563="24",B3563="25"),"15172425",B3563))),IF(U3563="CEBAS","UNICO",IF(VALUE(B3563)&lt;=11,"AMBA","INTERIOR"))))</f>
        <v>R16212223</v>
      </c>
      <c r="W3563" s="38" t="str">
        <f>+IF(U3563="","-",CONCATENATE(U3563,"_",V3563))</f>
        <v>FINES_R16212223</v>
      </c>
      <c r="X3563" s="42">
        <v>0.94099999999999995</v>
      </c>
    </row>
    <row r="3564" spans="1:24">
      <c r="A3564" s="21" t="s">
        <v>5100</v>
      </c>
      <c r="B3564" t="s">
        <v>598</v>
      </c>
      <c r="C3564" t="s">
        <v>748</v>
      </c>
      <c r="D3564" t="s">
        <v>2452</v>
      </c>
      <c r="E3564" s="7" t="s">
        <v>198</v>
      </c>
      <c r="F3564" s="7" t="s">
        <v>198</v>
      </c>
      <c r="G3564" s="7" t="s">
        <v>198</v>
      </c>
      <c r="H3564" s="7" t="s">
        <v>20</v>
      </c>
      <c r="I3564" s="7" t="s">
        <v>5102</v>
      </c>
      <c r="J3564" s="7" t="s">
        <v>21</v>
      </c>
      <c r="L3564" t="s">
        <v>4979</v>
      </c>
      <c r="M3564" s="7" t="s">
        <v>22</v>
      </c>
      <c r="N3564" s="7" t="s">
        <v>23</v>
      </c>
      <c r="O3564" s="7" t="s">
        <v>27</v>
      </c>
      <c r="P3564" s="7" t="s">
        <v>5101</v>
      </c>
      <c r="Q3564" s="26">
        <v>36</v>
      </c>
      <c r="R3564" s="26">
        <v>2</v>
      </c>
      <c r="S3564" s="40">
        <v>1</v>
      </c>
      <c r="T3564" s="7"/>
      <c r="U3564" s="7" t="s">
        <v>2951</v>
      </c>
      <c r="V3564" s="7" t="str">
        <f>+IF(U3564="","",IF(U3564="FINES",CONCATENATE("R",IF(OR(B3564="16",B3564="21",B3564="22",B3564="23"),"16212223",IF(OR(B3564="15",B3564="17",B3564="24",B3564="25"),"15172425",B3564))),IF(U3564="CEBAS","UNICO",IF(VALUE(B3564)&lt;=11,"AMBA","INTERIOR"))))</f>
        <v>R16212223</v>
      </c>
      <c r="W3564" s="38" t="str">
        <f>+IF(U3564="","-",CONCATENATE(U3564,"_",V3564))</f>
        <v>FINES_R16212223</v>
      </c>
      <c r="X3564" s="42">
        <v>0.95699999999999996</v>
      </c>
    </row>
    <row r="3565" spans="1:24">
      <c r="A3565" s="21" t="s">
        <v>5100</v>
      </c>
      <c r="B3565" t="s">
        <v>410</v>
      </c>
      <c r="C3565" t="s">
        <v>570</v>
      </c>
      <c r="D3565" t="s">
        <v>2717</v>
      </c>
      <c r="E3565" s="7" t="s">
        <v>198</v>
      </c>
      <c r="F3565" s="7" t="s">
        <v>198</v>
      </c>
      <c r="G3565" s="7" t="s">
        <v>198</v>
      </c>
      <c r="H3565" s="7" t="s">
        <v>20</v>
      </c>
      <c r="I3565" s="7" t="s">
        <v>5102</v>
      </c>
      <c r="J3565" s="7" t="s">
        <v>21</v>
      </c>
      <c r="L3565" t="s">
        <v>4745</v>
      </c>
      <c r="M3565" s="7" t="s">
        <v>22</v>
      </c>
      <c r="N3565" s="7" t="s">
        <v>23</v>
      </c>
      <c r="O3565" s="7" t="s">
        <v>27</v>
      </c>
      <c r="P3565" s="7" t="s">
        <v>5101</v>
      </c>
      <c r="Q3565" s="26">
        <v>18</v>
      </c>
      <c r="R3565" s="26">
        <v>3</v>
      </c>
      <c r="S3565" s="40">
        <v>1</v>
      </c>
      <c r="T3565" s="7"/>
      <c r="U3565" s="7" t="s">
        <v>2951</v>
      </c>
      <c r="V3565" s="7" t="str">
        <f>+IF(U3565="","",IF(U3565="FINES",CONCATENATE("R",IF(OR(B3565="16",B3565="21",B3565="22",B3565="23"),"16212223",IF(OR(B3565="15",B3565="17",B3565="24",B3565="25"),"15172425",B3565))),IF(U3565="CEBAS","UNICO",IF(VALUE(B3565)&lt;=11,"AMBA","INTERIOR"))))</f>
        <v>R18</v>
      </c>
      <c r="W3565" s="38" t="str">
        <f>+IF(U3565="","-",CONCATENATE(U3565,"_",V3565))</f>
        <v>FINES_R18</v>
      </c>
      <c r="X3565" s="42">
        <v>2E-3</v>
      </c>
    </row>
    <row r="3566" spans="1:24">
      <c r="A3566" s="21" t="s">
        <v>5100</v>
      </c>
      <c r="B3566" t="s">
        <v>410</v>
      </c>
      <c r="C3566" t="s">
        <v>760</v>
      </c>
      <c r="D3566" t="s">
        <v>761</v>
      </c>
      <c r="E3566" s="7" t="s">
        <v>198</v>
      </c>
      <c r="F3566" s="7" t="s">
        <v>198</v>
      </c>
      <c r="G3566" s="7" t="s">
        <v>198</v>
      </c>
      <c r="H3566" s="7" t="s">
        <v>20</v>
      </c>
      <c r="I3566" s="7" t="s">
        <v>5102</v>
      </c>
      <c r="J3566" s="7" t="s">
        <v>21</v>
      </c>
      <c r="L3566" t="s">
        <v>4719</v>
      </c>
      <c r="M3566" s="7" t="s">
        <v>22</v>
      </c>
      <c r="N3566" s="7" t="s">
        <v>23</v>
      </c>
      <c r="O3566" s="7" t="s">
        <v>27</v>
      </c>
      <c r="P3566" s="7" t="s">
        <v>5101</v>
      </c>
      <c r="Q3566" s="26">
        <v>14</v>
      </c>
      <c r="R3566" s="26">
        <v>1</v>
      </c>
      <c r="S3566" s="40">
        <v>1</v>
      </c>
      <c r="T3566" s="7"/>
      <c r="U3566" s="7" t="s">
        <v>2951</v>
      </c>
      <c r="V3566" s="7" t="str">
        <f>+IF(U3566="","",IF(U3566="FINES",CONCATENATE("R",IF(OR(B3566="16",B3566="21",B3566="22",B3566="23"),"16212223",IF(OR(B3566="15",B3566="17",B3566="24",B3566="25"),"15172425",B3566))),IF(U3566="CEBAS","UNICO",IF(VALUE(B3566)&lt;=11,"AMBA","INTERIOR"))))</f>
        <v>R18</v>
      </c>
      <c r="W3566" s="38" t="str">
        <f>+IF(U3566="","-",CONCATENATE(U3566,"_",V3566))</f>
        <v>FINES_R18</v>
      </c>
      <c r="X3566" s="42">
        <v>1.4E-2</v>
      </c>
    </row>
    <row r="3567" spans="1:24">
      <c r="A3567" s="21" t="s">
        <v>5100</v>
      </c>
      <c r="B3567" t="s">
        <v>410</v>
      </c>
      <c r="C3567" t="s">
        <v>2426</v>
      </c>
      <c r="D3567" t="s">
        <v>2427</v>
      </c>
      <c r="E3567" s="7" t="s">
        <v>198</v>
      </c>
      <c r="F3567" s="7" t="s">
        <v>198</v>
      </c>
      <c r="G3567" s="7" t="s">
        <v>198</v>
      </c>
      <c r="H3567" s="7" t="s">
        <v>20</v>
      </c>
      <c r="I3567" s="7" t="s">
        <v>5102</v>
      </c>
      <c r="J3567" s="7" t="s">
        <v>21</v>
      </c>
      <c r="L3567" t="s">
        <v>4752</v>
      </c>
      <c r="M3567" s="7" t="s">
        <v>22</v>
      </c>
      <c r="N3567" s="7" t="s">
        <v>23</v>
      </c>
      <c r="O3567" s="7" t="s">
        <v>27</v>
      </c>
      <c r="P3567" s="7" t="s">
        <v>5101</v>
      </c>
      <c r="Q3567" s="26">
        <v>19</v>
      </c>
      <c r="R3567" s="26">
        <v>1</v>
      </c>
      <c r="S3567" s="40">
        <v>1</v>
      </c>
      <c r="T3567" s="7"/>
      <c r="U3567" s="7" t="s">
        <v>2951</v>
      </c>
      <c r="V3567" s="7" t="str">
        <f>+IF(U3567="","",IF(U3567="FINES",CONCATENATE("R",IF(OR(B3567="16",B3567="21",B3567="22",B3567="23"),"16212223",IF(OR(B3567="15",B3567="17",B3567="24",B3567="25"),"15172425",B3567))),IF(U3567="CEBAS","UNICO",IF(VALUE(B3567)&lt;=11,"AMBA","INTERIOR"))))</f>
        <v>R18</v>
      </c>
      <c r="W3567" s="38" t="str">
        <f>+IF(U3567="","-",CONCATENATE(U3567,"_",V3567))</f>
        <v>FINES_R18</v>
      </c>
      <c r="X3567" s="42">
        <v>1.7000000000000001E-2</v>
      </c>
    </row>
    <row r="3568" spans="1:24">
      <c r="A3568" s="21" t="s">
        <v>5100</v>
      </c>
      <c r="B3568" t="s">
        <v>410</v>
      </c>
      <c r="C3568" t="s">
        <v>570</v>
      </c>
      <c r="D3568" t="s">
        <v>2717</v>
      </c>
      <c r="E3568" s="7" t="s">
        <v>198</v>
      </c>
      <c r="F3568" s="7" t="s">
        <v>198</v>
      </c>
      <c r="G3568" s="7" t="s">
        <v>198</v>
      </c>
      <c r="H3568" s="7" t="s">
        <v>20</v>
      </c>
      <c r="I3568" s="7" t="s">
        <v>5102</v>
      </c>
      <c r="J3568" s="7" t="s">
        <v>21</v>
      </c>
      <c r="L3568" t="s">
        <v>4577</v>
      </c>
      <c r="M3568" s="7" t="s">
        <v>22</v>
      </c>
      <c r="N3568" s="7" t="s">
        <v>23</v>
      </c>
      <c r="O3568" s="7" t="s">
        <v>27</v>
      </c>
      <c r="P3568" s="7" t="s">
        <v>5101</v>
      </c>
      <c r="Q3568" s="26">
        <v>74</v>
      </c>
      <c r="R3568" s="26">
        <v>4</v>
      </c>
      <c r="S3568" s="40">
        <v>1</v>
      </c>
      <c r="T3568" s="7"/>
      <c r="U3568" s="7" t="s">
        <v>2951</v>
      </c>
      <c r="V3568" s="7" t="str">
        <f>+IF(U3568="","",IF(U3568="FINES",CONCATENATE("R",IF(OR(B3568="16",B3568="21",B3568="22",B3568="23"),"16212223",IF(OR(B3568="15",B3568="17",B3568="24",B3568="25"),"15172425",B3568))),IF(U3568="CEBAS","UNICO",IF(VALUE(B3568)&lt;=11,"AMBA","INTERIOR"))))</f>
        <v>R18</v>
      </c>
      <c r="W3568" s="38" t="str">
        <f>+IF(U3568="","-",CONCATENATE(U3568,"_",V3568))</f>
        <v>FINES_R18</v>
      </c>
      <c r="X3568" s="42">
        <v>5.8999999999999997E-2</v>
      </c>
    </row>
    <row r="3569" spans="1:24">
      <c r="A3569" s="21" t="s">
        <v>5100</v>
      </c>
      <c r="B3569" t="s">
        <v>410</v>
      </c>
      <c r="C3569" t="s">
        <v>417</v>
      </c>
      <c r="D3569" t="s">
        <v>2739</v>
      </c>
      <c r="E3569" s="7" t="s">
        <v>198</v>
      </c>
      <c r="F3569" s="7" t="s">
        <v>198</v>
      </c>
      <c r="G3569" s="7" t="s">
        <v>198</v>
      </c>
      <c r="H3569" s="7" t="s">
        <v>20</v>
      </c>
      <c r="I3569" s="7" t="s">
        <v>5102</v>
      </c>
      <c r="J3569" s="7" t="s">
        <v>21</v>
      </c>
      <c r="L3569" t="s">
        <v>4762</v>
      </c>
      <c r="M3569" s="7" t="s">
        <v>22</v>
      </c>
      <c r="N3569" s="7" t="s">
        <v>23</v>
      </c>
      <c r="O3569" s="7" t="s">
        <v>27</v>
      </c>
      <c r="P3569" s="7" t="s">
        <v>5101</v>
      </c>
      <c r="Q3569" s="26">
        <v>10</v>
      </c>
      <c r="R3569" s="26">
        <v>1</v>
      </c>
      <c r="S3569" s="40">
        <v>1</v>
      </c>
      <c r="T3569" s="7"/>
      <c r="U3569" s="7" t="s">
        <v>2951</v>
      </c>
      <c r="V3569" s="7" t="str">
        <f>+IF(U3569="","",IF(U3569="FINES",CONCATENATE("R",IF(OR(B3569="16",B3569="21",B3569="22",B3569="23"),"16212223",IF(OR(B3569="15",B3569="17",B3569="24",B3569="25"),"15172425",B3569))),IF(U3569="CEBAS","UNICO",IF(VALUE(B3569)&lt;=11,"AMBA","INTERIOR"))))</f>
        <v>R18</v>
      </c>
      <c r="W3569" s="38" t="str">
        <f>+IF(U3569="","-",CONCATENATE(U3569,"_",V3569))</f>
        <v>FINES_R18</v>
      </c>
      <c r="X3569" s="42">
        <v>7.0999999999999994E-2</v>
      </c>
    </row>
    <row r="3570" spans="1:24">
      <c r="A3570" s="21" t="s">
        <v>5100</v>
      </c>
      <c r="B3570" t="s">
        <v>410</v>
      </c>
      <c r="C3570" t="s">
        <v>570</v>
      </c>
      <c r="D3570" t="s">
        <v>2717</v>
      </c>
      <c r="E3570" s="7" t="s">
        <v>198</v>
      </c>
      <c r="F3570" s="7" t="s">
        <v>198</v>
      </c>
      <c r="G3570" s="7" t="s">
        <v>198</v>
      </c>
      <c r="H3570" s="7" t="s">
        <v>20</v>
      </c>
      <c r="I3570" s="7" t="s">
        <v>5102</v>
      </c>
      <c r="J3570" s="7" t="s">
        <v>21</v>
      </c>
      <c r="L3570" t="s">
        <v>4741</v>
      </c>
      <c r="M3570" s="7" t="s">
        <v>22</v>
      </c>
      <c r="N3570" s="7" t="s">
        <v>23</v>
      </c>
      <c r="O3570" s="7" t="s">
        <v>27</v>
      </c>
      <c r="P3570" s="7" t="s">
        <v>5101</v>
      </c>
      <c r="Q3570" s="26">
        <v>78</v>
      </c>
      <c r="R3570" s="26">
        <v>3</v>
      </c>
      <c r="S3570" s="40">
        <v>1</v>
      </c>
      <c r="T3570" s="7"/>
      <c r="U3570" s="7" t="s">
        <v>2951</v>
      </c>
      <c r="V3570" s="7" t="str">
        <f>+IF(U3570="","",IF(U3570="FINES",CONCATENATE("R",IF(OR(B3570="16",B3570="21",B3570="22",B3570="23"),"16212223",IF(OR(B3570="15",B3570="17",B3570="24",B3570="25"),"15172425",B3570))),IF(U3570="CEBAS","UNICO",IF(VALUE(B3570)&lt;=11,"AMBA","INTERIOR"))))</f>
        <v>R18</v>
      </c>
      <c r="W3570" s="38" t="str">
        <f>+IF(U3570="","-",CONCATENATE(U3570,"_",V3570))</f>
        <v>FINES_R18</v>
      </c>
      <c r="X3570" s="42">
        <v>7.9000000000000001E-2</v>
      </c>
    </row>
    <row r="3571" spans="1:24">
      <c r="A3571" s="21" t="s">
        <v>5100</v>
      </c>
      <c r="B3571" t="s">
        <v>410</v>
      </c>
      <c r="C3571" t="s">
        <v>570</v>
      </c>
      <c r="D3571" t="s">
        <v>2717</v>
      </c>
      <c r="E3571" s="7" t="s">
        <v>198</v>
      </c>
      <c r="F3571" s="7" t="s">
        <v>198</v>
      </c>
      <c r="G3571" s="7" t="s">
        <v>198</v>
      </c>
      <c r="H3571" s="7" t="s">
        <v>20</v>
      </c>
      <c r="I3571" s="7" t="s">
        <v>5102</v>
      </c>
      <c r="J3571" s="7" t="s">
        <v>21</v>
      </c>
      <c r="L3571" t="s">
        <v>4742</v>
      </c>
      <c r="M3571" s="7" t="s">
        <v>22</v>
      </c>
      <c r="N3571" s="7" t="s">
        <v>23</v>
      </c>
      <c r="O3571" s="7" t="s">
        <v>27</v>
      </c>
      <c r="P3571" s="7" t="s">
        <v>5101</v>
      </c>
      <c r="Q3571" s="26">
        <v>121</v>
      </c>
      <c r="R3571" s="26">
        <v>5</v>
      </c>
      <c r="S3571" s="40">
        <v>1</v>
      </c>
      <c r="T3571" s="7"/>
      <c r="U3571" s="7" t="s">
        <v>2951</v>
      </c>
      <c r="V3571" s="7" t="str">
        <f>+IF(U3571="","",IF(U3571="FINES",CONCATENATE("R",IF(OR(B3571="16",B3571="21",B3571="22",B3571="23"),"16212223",IF(OR(B3571="15",B3571="17",B3571="24",B3571="25"),"15172425",B3571))),IF(U3571="CEBAS","UNICO",IF(VALUE(B3571)&lt;=11,"AMBA","INTERIOR"))))</f>
        <v>R18</v>
      </c>
      <c r="W3571" s="38" t="str">
        <f>+IF(U3571="","-",CONCATENATE(U3571,"_",V3571))</f>
        <v>FINES_R18</v>
      </c>
      <c r="X3571" s="42">
        <v>8.4000000000000005E-2</v>
      </c>
    </row>
    <row r="3572" spans="1:24">
      <c r="A3572" s="21" t="s">
        <v>5100</v>
      </c>
      <c r="B3572" t="s">
        <v>410</v>
      </c>
      <c r="C3572" t="s">
        <v>423</v>
      </c>
      <c r="D3572" t="s">
        <v>425</v>
      </c>
      <c r="E3572" s="7" t="s">
        <v>198</v>
      </c>
      <c r="F3572" s="7" t="s">
        <v>198</v>
      </c>
      <c r="G3572" s="7" t="s">
        <v>198</v>
      </c>
      <c r="H3572" s="7" t="s">
        <v>20</v>
      </c>
      <c r="I3572" s="7" t="s">
        <v>5102</v>
      </c>
      <c r="J3572" s="7" t="s">
        <v>21</v>
      </c>
      <c r="L3572" t="s">
        <v>4708</v>
      </c>
      <c r="M3572" s="7" t="s">
        <v>22</v>
      </c>
      <c r="N3572" s="7" t="s">
        <v>23</v>
      </c>
      <c r="O3572" s="7" t="s">
        <v>27</v>
      </c>
      <c r="P3572" s="7" t="s">
        <v>5101</v>
      </c>
      <c r="Q3572" s="26">
        <v>12</v>
      </c>
      <c r="R3572" s="26">
        <v>1</v>
      </c>
      <c r="S3572" s="40">
        <v>1</v>
      </c>
      <c r="T3572" s="7"/>
      <c r="U3572" s="7" t="s">
        <v>2951</v>
      </c>
      <c r="V3572" s="7" t="str">
        <f>+IF(U3572="","",IF(U3572="FINES",CONCATENATE("R",IF(OR(B3572="16",B3572="21",B3572="22",B3572="23"),"16212223",IF(OR(B3572="15",B3572="17",B3572="24",B3572="25"),"15172425",B3572))),IF(U3572="CEBAS","UNICO",IF(VALUE(B3572)&lt;=11,"AMBA","INTERIOR"))))</f>
        <v>R18</v>
      </c>
      <c r="W3572" s="38" t="str">
        <f>+IF(U3572="","-",CONCATENATE(U3572,"_",V3572))</f>
        <v>FINES_R18</v>
      </c>
      <c r="X3572" s="42">
        <v>8.4000000000000005E-2</v>
      </c>
    </row>
    <row r="3573" spans="1:24">
      <c r="A3573" s="21" t="s">
        <v>5100</v>
      </c>
      <c r="B3573" t="s">
        <v>410</v>
      </c>
      <c r="C3573" t="s">
        <v>244</v>
      </c>
      <c r="D3573" t="s">
        <v>689</v>
      </c>
      <c r="E3573" s="7" t="s">
        <v>198</v>
      </c>
      <c r="F3573" s="7" t="s">
        <v>198</v>
      </c>
      <c r="G3573" s="7" t="s">
        <v>198</v>
      </c>
      <c r="H3573" s="7" t="s">
        <v>20</v>
      </c>
      <c r="I3573" s="7" t="s">
        <v>5102</v>
      </c>
      <c r="J3573" s="7" t="s">
        <v>21</v>
      </c>
      <c r="L3573" t="s">
        <v>4715</v>
      </c>
      <c r="M3573" s="7" t="s">
        <v>22</v>
      </c>
      <c r="N3573" s="7" t="s">
        <v>23</v>
      </c>
      <c r="O3573" s="7" t="s">
        <v>27</v>
      </c>
      <c r="P3573" s="7" t="s">
        <v>5101</v>
      </c>
      <c r="Q3573" s="26">
        <v>14</v>
      </c>
      <c r="R3573" s="26">
        <v>1</v>
      </c>
      <c r="S3573" s="40">
        <v>1</v>
      </c>
      <c r="T3573" s="7"/>
      <c r="U3573" s="7" t="s">
        <v>2951</v>
      </c>
      <c r="V3573" s="7" t="str">
        <f>+IF(U3573="","",IF(U3573="FINES",CONCATENATE("R",IF(OR(B3573="16",B3573="21",B3573="22",B3573="23"),"16212223",IF(OR(B3573="15",B3573="17",B3573="24",B3573="25"),"15172425",B3573))),IF(U3573="CEBAS","UNICO",IF(VALUE(B3573)&lt;=11,"AMBA","INTERIOR"))))</f>
        <v>R18</v>
      </c>
      <c r="W3573" s="38" t="str">
        <f>+IF(U3573="","-",CONCATENATE(U3573,"_",V3573))</f>
        <v>FINES_R18</v>
      </c>
      <c r="X3573" s="42">
        <v>9.2999999999999999E-2</v>
      </c>
    </row>
    <row r="3574" spans="1:24">
      <c r="A3574" s="21" t="s">
        <v>5100</v>
      </c>
      <c r="B3574" t="s">
        <v>410</v>
      </c>
      <c r="C3574" t="s">
        <v>417</v>
      </c>
      <c r="D3574" t="s">
        <v>2739</v>
      </c>
      <c r="E3574" s="7" t="s">
        <v>198</v>
      </c>
      <c r="F3574" s="7" t="s">
        <v>198</v>
      </c>
      <c r="G3574" s="7" t="s">
        <v>198</v>
      </c>
      <c r="H3574" s="7" t="s">
        <v>20</v>
      </c>
      <c r="I3574" s="7" t="s">
        <v>5102</v>
      </c>
      <c r="J3574" s="7" t="s">
        <v>21</v>
      </c>
      <c r="L3574" t="s">
        <v>4753</v>
      </c>
      <c r="M3574" s="7" t="s">
        <v>22</v>
      </c>
      <c r="N3574" s="7" t="s">
        <v>23</v>
      </c>
      <c r="O3574" s="7" t="s">
        <v>27</v>
      </c>
      <c r="P3574" s="7" t="s">
        <v>5101</v>
      </c>
      <c r="Q3574" s="26">
        <v>25</v>
      </c>
      <c r="R3574" s="26">
        <v>1</v>
      </c>
      <c r="S3574" s="40">
        <v>1</v>
      </c>
      <c r="T3574" s="7"/>
      <c r="U3574" s="7" t="s">
        <v>2951</v>
      </c>
      <c r="V3574" s="7" t="str">
        <f>+IF(U3574="","",IF(U3574="FINES",CONCATENATE("R",IF(OR(B3574="16",B3574="21",B3574="22",B3574="23"),"16212223",IF(OR(B3574="15",B3574="17",B3574="24",B3574="25"),"15172425",B3574))),IF(U3574="CEBAS","UNICO",IF(VALUE(B3574)&lt;=11,"AMBA","INTERIOR"))))</f>
        <v>R18</v>
      </c>
      <c r="W3574" s="38" t="str">
        <f>+IF(U3574="","-",CONCATENATE(U3574,"_",V3574))</f>
        <v>FINES_R18</v>
      </c>
      <c r="X3574" s="42">
        <v>9.8000000000000004E-2</v>
      </c>
    </row>
    <row r="3575" spans="1:24">
      <c r="A3575" s="21" t="s">
        <v>5100</v>
      </c>
      <c r="B3575" t="s">
        <v>410</v>
      </c>
      <c r="C3575" t="s">
        <v>570</v>
      </c>
      <c r="D3575" t="s">
        <v>2717</v>
      </c>
      <c r="E3575" s="7" t="s">
        <v>198</v>
      </c>
      <c r="F3575" s="7" t="s">
        <v>198</v>
      </c>
      <c r="G3575" s="7" t="s">
        <v>198</v>
      </c>
      <c r="H3575" s="7" t="s">
        <v>20</v>
      </c>
      <c r="I3575" s="7" t="s">
        <v>5102</v>
      </c>
      <c r="J3575" s="7" t="s">
        <v>21</v>
      </c>
      <c r="L3575" t="s">
        <v>4748</v>
      </c>
      <c r="M3575" s="7" t="s">
        <v>22</v>
      </c>
      <c r="N3575" s="7" t="s">
        <v>23</v>
      </c>
      <c r="O3575" s="7" t="s">
        <v>27</v>
      </c>
      <c r="P3575" s="7" t="s">
        <v>5101</v>
      </c>
      <c r="Q3575" s="26">
        <v>176</v>
      </c>
      <c r="R3575" s="26">
        <v>8</v>
      </c>
      <c r="S3575" s="40">
        <v>1</v>
      </c>
      <c r="T3575" s="7"/>
      <c r="U3575" s="7" t="s">
        <v>2951</v>
      </c>
      <c r="V3575" s="7" t="str">
        <f>+IF(U3575="","",IF(U3575="FINES",CONCATENATE("R",IF(OR(B3575="16",B3575="21",B3575="22",B3575="23"),"16212223",IF(OR(B3575="15",B3575="17",B3575="24",B3575="25"),"15172425",B3575))),IF(U3575="CEBAS","UNICO",IF(VALUE(B3575)&lt;=11,"AMBA","INTERIOR"))))</f>
        <v>R18</v>
      </c>
      <c r="W3575" s="38" t="str">
        <f>+IF(U3575="","-",CONCATENATE(U3575,"_",V3575))</f>
        <v>FINES_R18</v>
      </c>
      <c r="X3575" s="42">
        <v>0.10299999999999999</v>
      </c>
    </row>
    <row r="3576" spans="1:24">
      <c r="A3576" s="21" t="s">
        <v>5100</v>
      </c>
      <c r="B3576" t="s">
        <v>410</v>
      </c>
      <c r="C3576" t="s">
        <v>244</v>
      </c>
      <c r="D3576" t="s">
        <v>689</v>
      </c>
      <c r="E3576" s="7" t="s">
        <v>198</v>
      </c>
      <c r="F3576" s="7" t="s">
        <v>198</v>
      </c>
      <c r="G3576" s="7" t="s">
        <v>198</v>
      </c>
      <c r="H3576" s="7" t="s">
        <v>20</v>
      </c>
      <c r="I3576" s="7" t="s">
        <v>5102</v>
      </c>
      <c r="J3576" s="7" t="s">
        <v>21</v>
      </c>
      <c r="L3576" t="s">
        <v>4713</v>
      </c>
      <c r="M3576" s="7" t="s">
        <v>22</v>
      </c>
      <c r="N3576" s="7" t="s">
        <v>23</v>
      </c>
      <c r="O3576" s="7" t="s">
        <v>27</v>
      </c>
      <c r="P3576" s="7" t="s">
        <v>5101</v>
      </c>
      <c r="Q3576" s="26">
        <v>0</v>
      </c>
      <c r="R3576" s="26">
        <v>1</v>
      </c>
      <c r="S3576" s="40">
        <v>1</v>
      </c>
      <c r="T3576" s="7"/>
      <c r="U3576" s="7" t="s">
        <v>2951</v>
      </c>
      <c r="V3576" s="7" t="str">
        <f>+IF(U3576="","",IF(U3576="FINES",CONCATENATE("R",IF(OR(B3576="16",B3576="21",B3576="22",B3576="23"),"16212223",IF(OR(B3576="15",B3576="17",B3576="24",B3576="25"),"15172425",B3576))),IF(U3576="CEBAS","UNICO",IF(VALUE(B3576)&lt;=11,"AMBA","INTERIOR"))))</f>
        <v>R18</v>
      </c>
      <c r="W3576" s="38" t="str">
        <f>+IF(U3576="","-",CONCATENATE(U3576,"_",V3576))</f>
        <v>FINES_R18</v>
      </c>
      <c r="X3576" s="42">
        <v>0.115</v>
      </c>
    </row>
    <row r="3577" spans="1:24">
      <c r="A3577" s="21" t="s">
        <v>5100</v>
      </c>
      <c r="B3577" t="s">
        <v>410</v>
      </c>
      <c r="C3577" t="s">
        <v>570</v>
      </c>
      <c r="D3577" t="s">
        <v>2717</v>
      </c>
      <c r="E3577" s="7" t="s">
        <v>198</v>
      </c>
      <c r="F3577" s="7" t="s">
        <v>198</v>
      </c>
      <c r="G3577" s="7" t="s">
        <v>198</v>
      </c>
      <c r="H3577" s="7" t="s">
        <v>20</v>
      </c>
      <c r="I3577" s="7" t="s">
        <v>5102</v>
      </c>
      <c r="J3577" s="7" t="s">
        <v>21</v>
      </c>
      <c r="L3577" t="s">
        <v>4743</v>
      </c>
      <c r="M3577" s="7" t="s">
        <v>22</v>
      </c>
      <c r="N3577" s="7" t="s">
        <v>23</v>
      </c>
      <c r="O3577" s="7" t="s">
        <v>27</v>
      </c>
      <c r="P3577" s="7" t="s">
        <v>5101</v>
      </c>
      <c r="Q3577" s="26">
        <v>8</v>
      </c>
      <c r="R3577" s="26">
        <v>1</v>
      </c>
      <c r="S3577" s="40">
        <v>1</v>
      </c>
      <c r="T3577" s="7"/>
      <c r="U3577" s="7" t="s">
        <v>2951</v>
      </c>
      <c r="V3577" s="7" t="str">
        <f>+IF(U3577="","",IF(U3577="FINES",CONCATENATE("R",IF(OR(B3577="16",B3577="21",B3577="22",B3577="23"),"16212223",IF(OR(B3577="15",B3577="17",B3577="24",B3577="25"),"15172425",B3577))),IF(U3577="CEBAS","UNICO",IF(VALUE(B3577)&lt;=11,"AMBA","INTERIOR"))))</f>
        <v>R18</v>
      </c>
      <c r="W3577" s="38" t="str">
        <f>+IF(U3577="","-",CONCATENATE(U3577,"_",V3577))</f>
        <v>FINES_R18</v>
      </c>
      <c r="X3577" s="42">
        <v>0.156</v>
      </c>
    </row>
    <row r="3578" spans="1:24">
      <c r="A3578" s="21" t="s">
        <v>5100</v>
      </c>
      <c r="B3578" t="s">
        <v>410</v>
      </c>
      <c r="C3578" t="s">
        <v>423</v>
      </c>
      <c r="D3578" t="s">
        <v>425</v>
      </c>
      <c r="E3578" s="7" t="s">
        <v>198</v>
      </c>
      <c r="F3578" s="7" t="s">
        <v>198</v>
      </c>
      <c r="G3578" s="7" t="s">
        <v>198</v>
      </c>
      <c r="H3578" s="7" t="s">
        <v>20</v>
      </c>
      <c r="I3578" s="7" t="s">
        <v>5102</v>
      </c>
      <c r="J3578" s="7" t="s">
        <v>21</v>
      </c>
      <c r="L3578" t="s">
        <v>4703</v>
      </c>
      <c r="M3578" s="7" t="s">
        <v>22</v>
      </c>
      <c r="N3578" s="7" t="s">
        <v>23</v>
      </c>
      <c r="O3578" s="7" t="s">
        <v>27</v>
      </c>
      <c r="P3578" s="7" t="s">
        <v>5101</v>
      </c>
      <c r="Q3578" s="26">
        <v>0</v>
      </c>
      <c r="R3578" s="26">
        <v>1</v>
      </c>
      <c r="S3578" s="40">
        <v>1</v>
      </c>
      <c r="T3578" s="7"/>
      <c r="U3578" s="7" t="s">
        <v>2951</v>
      </c>
      <c r="V3578" s="7" t="str">
        <f>+IF(U3578="","",IF(U3578="FINES",CONCATENATE("R",IF(OR(B3578="16",B3578="21",B3578="22",B3578="23"),"16212223",IF(OR(B3578="15",B3578="17",B3578="24",B3578="25"),"15172425",B3578))),IF(U3578="CEBAS","UNICO",IF(VALUE(B3578)&lt;=11,"AMBA","INTERIOR"))))</f>
        <v>R18</v>
      </c>
      <c r="W3578" s="38" t="str">
        <f>+IF(U3578="","-",CONCATENATE(U3578,"_",V3578))</f>
        <v>FINES_R18</v>
      </c>
      <c r="X3578" s="42">
        <v>0.2</v>
      </c>
    </row>
    <row r="3579" spans="1:24">
      <c r="A3579" s="21" t="s">
        <v>5100</v>
      </c>
      <c r="B3579" t="s">
        <v>410</v>
      </c>
      <c r="C3579" t="s">
        <v>423</v>
      </c>
      <c r="D3579" t="s">
        <v>425</v>
      </c>
      <c r="E3579" s="7" t="s">
        <v>198</v>
      </c>
      <c r="F3579" s="7" t="s">
        <v>198</v>
      </c>
      <c r="G3579" s="7" t="s">
        <v>198</v>
      </c>
      <c r="H3579" s="7" t="s">
        <v>20</v>
      </c>
      <c r="I3579" s="7" t="s">
        <v>5102</v>
      </c>
      <c r="J3579" s="7" t="s">
        <v>21</v>
      </c>
      <c r="L3579" t="s">
        <v>4711</v>
      </c>
      <c r="M3579" s="7" t="s">
        <v>22</v>
      </c>
      <c r="N3579" s="7" t="s">
        <v>23</v>
      </c>
      <c r="O3579" s="7" t="s">
        <v>27</v>
      </c>
      <c r="P3579" s="7" t="s">
        <v>5101</v>
      </c>
      <c r="Q3579" s="26">
        <v>44</v>
      </c>
      <c r="R3579" s="26">
        <v>2</v>
      </c>
      <c r="S3579" s="40">
        <v>1</v>
      </c>
      <c r="T3579" s="7"/>
      <c r="U3579" s="7" t="s">
        <v>2951</v>
      </c>
      <c r="V3579" s="7" t="str">
        <f>+IF(U3579="","",IF(U3579="FINES",CONCATENATE("R",IF(OR(B3579="16",B3579="21",B3579="22",B3579="23"),"16212223",IF(OR(B3579="15",B3579="17",B3579="24",B3579="25"),"15172425",B3579))),IF(U3579="CEBAS","UNICO",IF(VALUE(B3579)&lt;=11,"AMBA","INTERIOR"))))</f>
        <v>R18</v>
      </c>
      <c r="W3579" s="38" t="str">
        <f>+IF(U3579="","-",CONCATENATE(U3579,"_",V3579))</f>
        <v>FINES_R18</v>
      </c>
      <c r="X3579" s="42">
        <v>0.23400000000000001</v>
      </c>
    </row>
    <row r="3580" spans="1:24">
      <c r="A3580" s="21" t="s">
        <v>5100</v>
      </c>
      <c r="B3580" t="s">
        <v>410</v>
      </c>
      <c r="C3580" t="s">
        <v>417</v>
      </c>
      <c r="D3580" t="s">
        <v>2739</v>
      </c>
      <c r="E3580" s="7" t="s">
        <v>198</v>
      </c>
      <c r="F3580" s="7" t="s">
        <v>198</v>
      </c>
      <c r="G3580" s="7" t="s">
        <v>198</v>
      </c>
      <c r="H3580" s="7" t="s">
        <v>20</v>
      </c>
      <c r="I3580" s="7" t="s">
        <v>5102</v>
      </c>
      <c r="J3580" s="7" t="s">
        <v>21</v>
      </c>
      <c r="L3580" t="s">
        <v>4758</v>
      </c>
      <c r="M3580" s="7" t="s">
        <v>22</v>
      </c>
      <c r="N3580" s="7" t="s">
        <v>23</v>
      </c>
      <c r="O3580" s="7" t="s">
        <v>27</v>
      </c>
      <c r="P3580" s="7" t="s">
        <v>5101</v>
      </c>
      <c r="Q3580" s="26">
        <v>10</v>
      </c>
      <c r="R3580" s="26">
        <v>1</v>
      </c>
      <c r="S3580" s="40">
        <v>1</v>
      </c>
      <c r="T3580" s="7"/>
      <c r="U3580" s="7" t="s">
        <v>2951</v>
      </c>
      <c r="V3580" s="7" t="str">
        <f>+IF(U3580="","",IF(U3580="FINES",CONCATENATE("R",IF(OR(B3580="16",B3580="21",B3580="22",B3580="23"),"16212223",IF(OR(B3580="15",B3580="17",B3580="24",B3580="25"),"15172425",B3580))),IF(U3580="CEBAS","UNICO",IF(VALUE(B3580)&lt;=11,"AMBA","INTERIOR"))))</f>
        <v>R18</v>
      </c>
      <c r="W3580" s="38" t="str">
        <f>+IF(U3580="","-",CONCATENATE(U3580,"_",V3580))</f>
        <v>FINES_R18</v>
      </c>
      <c r="X3580" s="42">
        <v>0.254</v>
      </c>
    </row>
    <row r="3581" spans="1:24">
      <c r="A3581" s="21" t="s">
        <v>5100</v>
      </c>
      <c r="B3581" t="s">
        <v>410</v>
      </c>
      <c r="C3581" t="s">
        <v>423</v>
      </c>
      <c r="D3581" t="s">
        <v>425</v>
      </c>
      <c r="E3581" s="7" t="s">
        <v>198</v>
      </c>
      <c r="F3581" s="7" t="s">
        <v>198</v>
      </c>
      <c r="G3581" s="7" t="s">
        <v>198</v>
      </c>
      <c r="H3581" s="7" t="s">
        <v>20</v>
      </c>
      <c r="I3581" s="7" t="s">
        <v>5102</v>
      </c>
      <c r="J3581" s="7" t="s">
        <v>21</v>
      </c>
      <c r="L3581" t="s">
        <v>4704</v>
      </c>
      <c r="M3581" s="7" t="s">
        <v>22</v>
      </c>
      <c r="N3581" s="7" t="s">
        <v>23</v>
      </c>
      <c r="O3581" s="7" t="s">
        <v>27</v>
      </c>
      <c r="P3581" s="7" t="s">
        <v>5101</v>
      </c>
      <c r="Q3581" s="26">
        <v>14</v>
      </c>
      <c r="R3581" s="26">
        <v>1</v>
      </c>
      <c r="S3581" s="40">
        <v>1</v>
      </c>
      <c r="T3581" s="7"/>
      <c r="U3581" s="7" t="s">
        <v>2951</v>
      </c>
      <c r="V3581" s="7" t="str">
        <f>+IF(U3581="","",IF(U3581="FINES",CONCATENATE("R",IF(OR(B3581="16",B3581="21",B3581="22",B3581="23"),"16212223",IF(OR(B3581="15",B3581="17",B3581="24",B3581="25"),"15172425",B3581))),IF(U3581="CEBAS","UNICO",IF(VALUE(B3581)&lt;=11,"AMBA","INTERIOR"))))</f>
        <v>R18</v>
      </c>
      <c r="W3581" s="38" t="str">
        <f>+IF(U3581="","-",CONCATENATE(U3581,"_",V3581))</f>
        <v>FINES_R18</v>
      </c>
      <c r="X3581" s="42">
        <v>0.25800000000000001</v>
      </c>
    </row>
    <row r="3582" spans="1:24">
      <c r="A3582" s="21" t="s">
        <v>5100</v>
      </c>
      <c r="B3582" t="s">
        <v>410</v>
      </c>
      <c r="C3582" t="s">
        <v>423</v>
      </c>
      <c r="D3582" t="s">
        <v>425</v>
      </c>
      <c r="E3582" s="7" t="s">
        <v>198</v>
      </c>
      <c r="F3582" s="7" t="s">
        <v>198</v>
      </c>
      <c r="G3582" s="7" t="s">
        <v>198</v>
      </c>
      <c r="H3582" s="7" t="s">
        <v>20</v>
      </c>
      <c r="I3582" s="7" t="s">
        <v>5102</v>
      </c>
      <c r="J3582" s="7" t="s">
        <v>21</v>
      </c>
      <c r="L3582" t="s">
        <v>4709</v>
      </c>
      <c r="M3582" s="7" t="s">
        <v>22</v>
      </c>
      <c r="N3582" s="7" t="s">
        <v>23</v>
      </c>
      <c r="O3582" s="7" t="s">
        <v>27</v>
      </c>
      <c r="P3582" s="7" t="s">
        <v>5101</v>
      </c>
      <c r="Q3582" s="26">
        <v>22</v>
      </c>
      <c r="R3582" s="26">
        <v>2</v>
      </c>
      <c r="S3582" s="40">
        <v>1</v>
      </c>
      <c r="T3582" s="7"/>
      <c r="U3582" s="7" t="s">
        <v>2951</v>
      </c>
      <c r="V3582" s="7" t="str">
        <f>+IF(U3582="","",IF(U3582="FINES",CONCATENATE("R",IF(OR(B3582="16",B3582="21",B3582="22",B3582="23"),"16212223",IF(OR(B3582="15",B3582="17",B3582="24",B3582="25"),"15172425",B3582))),IF(U3582="CEBAS","UNICO",IF(VALUE(B3582)&lt;=11,"AMBA","INTERIOR"))))</f>
        <v>R18</v>
      </c>
      <c r="W3582" s="38" t="str">
        <f>+IF(U3582="","-",CONCATENATE(U3582,"_",V3582))</f>
        <v>FINES_R18</v>
      </c>
      <c r="X3582" s="42">
        <v>0.26200000000000001</v>
      </c>
    </row>
    <row r="3583" spans="1:24">
      <c r="A3583" s="21" t="s">
        <v>5100</v>
      </c>
      <c r="B3583" t="s">
        <v>410</v>
      </c>
      <c r="C3583" t="s">
        <v>417</v>
      </c>
      <c r="D3583" t="s">
        <v>2739</v>
      </c>
      <c r="E3583" s="7" t="s">
        <v>198</v>
      </c>
      <c r="F3583" s="7" t="s">
        <v>198</v>
      </c>
      <c r="G3583" s="7" t="s">
        <v>198</v>
      </c>
      <c r="H3583" s="7" t="s">
        <v>20</v>
      </c>
      <c r="I3583" s="7" t="s">
        <v>5102</v>
      </c>
      <c r="J3583" s="7" t="s">
        <v>21</v>
      </c>
      <c r="L3583" t="s">
        <v>4756</v>
      </c>
      <c r="M3583" s="7" t="s">
        <v>22</v>
      </c>
      <c r="N3583" s="7" t="s">
        <v>23</v>
      </c>
      <c r="O3583" s="7" t="s">
        <v>27</v>
      </c>
      <c r="P3583" s="7" t="s">
        <v>5101</v>
      </c>
      <c r="Q3583" s="26">
        <v>15</v>
      </c>
      <c r="R3583" s="26">
        <v>1</v>
      </c>
      <c r="S3583" s="40">
        <v>1</v>
      </c>
      <c r="T3583" s="7"/>
      <c r="U3583" s="7" t="s">
        <v>2951</v>
      </c>
      <c r="V3583" s="7" t="str">
        <f>+IF(U3583="","",IF(U3583="FINES",CONCATENATE("R",IF(OR(B3583="16",B3583="21",B3583="22",B3583="23"),"16212223",IF(OR(B3583="15",B3583="17",B3583="24",B3583="25"),"15172425",B3583))),IF(U3583="CEBAS","UNICO",IF(VALUE(B3583)&lt;=11,"AMBA","INTERIOR"))))</f>
        <v>R18</v>
      </c>
      <c r="W3583" s="38" t="str">
        <f>+IF(U3583="","-",CONCATENATE(U3583,"_",V3583))</f>
        <v>FINES_R18</v>
      </c>
      <c r="X3583" s="42">
        <v>0.318</v>
      </c>
    </row>
    <row r="3584" spans="1:24">
      <c r="A3584" s="21" t="s">
        <v>5100</v>
      </c>
      <c r="B3584" t="s">
        <v>410</v>
      </c>
      <c r="C3584" t="s">
        <v>570</v>
      </c>
      <c r="D3584" t="s">
        <v>2717</v>
      </c>
      <c r="E3584" s="7" t="s">
        <v>198</v>
      </c>
      <c r="F3584" s="7" t="s">
        <v>198</v>
      </c>
      <c r="G3584" s="7" t="s">
        <v>198</v>
      </c>
      <c r="H3584" s="7" t="s">
        <v>20</v>
      </c>
      <c r="I3584" s="7" t="s">
        <v>5102</v>
      </c>
      <c r="J3584" s="7" t="s">
        <v>21</v>
      </c>
      <c r="L3584" t="s">
        <v>4749</v>
      </c>
      <c r="M3584" s="7" t="s">
        <v>22</v>
      </c>
      <c r="N3584" s="7" t="s">
        <v>23</v>
      </c>
      <c r="O3584" s="7" t="s">
        <v>27</v>
      </c>
      <c r="P3584" s="7" t="s">
        <v>5101</v>
      </c>
      <c r="Q3584" s="26">
        <v>68</v>
      </c>
      <c r="R3584" s="26">
        <v>4</v>
      </c>
      <c r="S3584" s="40">
        <v>1</v>
      </c>
      <c r="T3584" s="7"/>
      <c r="U3584" s="7" t="s">
        <v>2951</v>
      </c>
      <c r="V3584" s="7" t="str">
        <f>+IF(U3584="","",IF(U3584="FINES",CONCATENATE("R",IF(OR(B3584="16",B3584="21",B3584="22",B3584="23"),"16212223",IF(OR(B3584="15",B3584="17",B3584="24",B3584="25"),"15172425",B3584))),IF(U3584="CEBAS","UNICO",IF(VALUE(B3584)&lt;=11,"AMBA","INTERIOR"))))</f>
        <v>R18</v>
      </c>
      <c r="W3584" s="38" t="str">
        <f>+IF(U3584="","-",CONCATENATE(U3584,"_",V3584))</f>
        <v>FINES_R18</v>
      </c>
      <c r="X3584" s="42">
        <v>0.36199999999999999</v>
      </c>
    </row>
    <row r="3585" spans="1:24">
      <c r="A3585" s="21" t="s">
        <v>5100</v>
      </c>
      <c r="B3585" t="s">
        <v>410</v>
      </c>
      <c r="C3585" t="s">
        <v>423</v>
      </c>
      <c r="D3585" t="s">
        <v>425</v>
      </c>
      <c r="E3585" s="7" t="s">
        <v>198</v>
      </c>
      <c r="F3585" s="7" t="s">
        <v>198</v>
      </c>
      <c r="G3585" s="7" t="s">
        <v>198</v>
      </c>
      <c r="H3585" s="7" t="s">
        <v>20</v>
      </c>
      <c r="I3585" s="7" t="s">
        <v>5102</v>
      </c>
      <c r="J3585" s="7" t="s">
        <v>21</v>
      </c>
      <c r="L3585" t="s">
        <v>4701</v>
      </c>
      <c r="M3585" s="7" t="s">
        <v>22</v>
      </c>
      <c r="N3585" s="7" t="s">
        <v>23</v>
      </c>
      <c r="O3585" s="7" t="s">
        <v>27</v>
      </c>
      <c r="P3585" s="7" t="s">
        <v>5101</v>
      </c>
      <c r="Q3585" s="26">
        <v>21</v>
      </c>
      <c r="R3585" s="26">
        <v>1</v>
      </c>
      <c r="S3585" s="40">
        <v>1</v>
      </c>
      <c r="T3585" s="7"/>
      <c r="U3585" s="7" t="s">
        <v>2951</v>
      </c>
      <c r="V3585" s="7" t="str">
        <f>+IF(U3585="","",IF(U3585="FINES",CONCATENATE("R",IF(OR(B3585="16",B3585="21",B3585="22",B3585="23"),"16212223",IF(OR(B3585="15",B3585="17",B3585="24",B3585="25"),"15172425",B3585))),IF(U3585="CEBAS","UNICO",IF(VALUE(B3585)&lt;=11,"AMBA","INTERIOR"))))</f>
        <v>R18</v>
      </c>
      <c r="W3585" s="38" t="str">
        <f>+IF(U3585="","-",CONCATENATE(U3585,"_",V3585))</f>
        <v>FINES_R18</v>
      </c>
      <c r="X3585" s="42">
        <v>0.38100000000000001</v>
      </c>
    </row>
    <row r="3586" spans="1:24">
      <c r="A3586" s="21" t="s">
        <v>5100</v>
      </c>
      <c r="B3586" t="s">
        <v>410</v>
      </c>
      <c r="C3586" t="s">
        <v>417</v>
      </c>
      <c r="D3586" t="s">
        <v>2739</v>
      </c>
      <c r="E3586" s="7" t="s">
        <v>198</v>
      </c>
      <c r="F3586" s="7" t="s">
        <v>198</v>
      </c>
      <c r="G3586" s="7" t="s">
        <v>198</v>
      </c>
      <c r="H3586" s="7" t="s">
        <v>20</v>
      </c>
      <c r="I3586" s="7" t="s">
        <v>5102</v>
      </c>
      <c r="J3586" s="7" t="s">
        <v>21</v>
      </c>
      <c r="L3586" t="s">
        <v>4761</v>
      </c>
      <c r="M3586" s="7" t="s">
        <v>22</v>
      </c>
      <c r="N3586" s="7" t="s">
        <v>23</v>
      </c>
      <c r="O3586" s="7" t="s">
        <v>27</v>
      </c>
      <c r="P3586" s="7" t="s">
        <v>5101</v>
      </c>
      <c r="Q3586" s="26">
        <v>9</v>
      </c>
      <c r="R3586" s="26">
        <v>1</v>
      </c>
      <c r="S3586" s="40">
        <v>1</v>
      </c>
      <c r="T3586" s="7"/>
      <c r="U3586" s="7" t="s">
        <v>2951</v>
      </c>
      <c r="V3586" s="7" t="str">
        <f>+IF(U3586="","",IF(U3586="FINES",CONCATENATE("R",IF(OR(B3586="16",B3586="21",B3586="22",B3586="23"),"16212223",IF(OR(B3586="15",B3586="17",B3586="24",B3586="25"),"15172425",B3586))),IF(U3586="CEBAS","UNICO",IF(VALUE(B3586)&lt;=11,"AMBA","INTERIOR"))))</f>
        <v>R18</v>
      </c>
      <c r="W3586" s="38" t="str">
        <f>+IF(U3586="","-",CONCATENATE(U3586,"_",V3586))</f>
        <v>FINES_R18</v>
      </c>
      <c r="X3586" s="42">
        <v>0.39500000000000002</v>
      </c>
    </row>
    <row r="3587" spans="1:24">
      <c r="A3587" s="21" t="s">
        <v>5100</v>
      </c>
      <c r="B3587" t="s">
        <v>410</v>
      </c>
      <c r="C3587" t="s">
        <v>1247</v>
      </c>
      <c r="D3587" t="s">
        <v>2733</v>
      </c>
      <c r="E3587" s="7" t="s">
        <v>198</v>
      </c>
      <c r="F3587" s="7" t="s">
        <v>198</v>
      </c>
      <c r="G3587" s="7" t="s">
        <v>198</v>
      </c>
      <c r="H3587" s="7" t="s">
        <v>20</v>
      </c>
      <c r="I3587" s="7" t="s">
        <v>5102</v>
      </c>
      <c r="J3587" s="7" t="s">
        <v>21</v>
      </c>
      <c r="L3587" t="s">
        <v>4751</v>
      </c>
      <c r="M3587" s="7" t="s">
        <v>22</v>
      </c>
      <c r="N3587" s="7" t="s">
        <v>23</v>
      </c>
      <c r="O3587" s="7" t="s">
        <v>27</v>
      </c>
      <c r="P3587" s="7" t="s">
        <v>5101</v>
      </c>
      <c r="Q3587" s="26">
        <v>88</v>
      </c>
      <c r="R3587" s="26">
        <v>4</v>
      </c>
      <c r="S3587" s="40">
        <v>1</v>
      </c>
      <c r="T3587" s="7"/>
      <c r="U3587" s="7" t="s">
        <v>2951</v>
      </c>
      <c r="V3587" s="7" t="str">
        <f>+IF(U3587="","",IF(U3587="FINES",CONCATENATE("R",IF(OR(B3587="16",B3587="21",B3587="22",B3587="23"),"16212223",IF(OR(B3587="15",B3587="17",B3587="24",B3587="25"),"15172425",B3587))),IF(U3587="CEBAS","UNICO",IF(VALUE(B3587)&lt;=11,"AMBA","INTERIOR"))))</f>
        <v>R18</v>
      </c>
      <c r="W3587" s="38" t="str">
        <f>+IF(U3587="","-",CONCATENATE(U3587,"_",V3587))</f>
        <v>FINES_R18</v>
      </c>
      <c r="X3587" s="42">
        <v>0.39900000000000002</v>
      </c>
    </row>
    <row r="3588" spans="1:24">
      <c r="A3588" s="21" t="s">
        <v>5100</v>
      </c>
      <c r="B3588" t="s">
        <v>410</v>
      </c>
      <c r="C3588" t="s">
        <v>918</v>
      </c>
      <c r="D3588" t="s">
        <v>919</v>
      </c>
      <c r="E3588" s="7" t="s">
        <v>198</v>
      </c>
      <c r="F3588" s="7" t="s">
        <v>198</v>
      </c>
      <c r="G3588" s="7" t="s">
        <v>198</v>
      </c>
      <c r="H3588" s="7" t="s">
        <v>20</v>
      </c>
      <c r="I3588" s="7" t="s">
        <v>5102</v>
      </c>
      <c r="J3588" s="7" t="s">
        <v>21</v>
      </c>
      <c r="L3588" t="s">
        <v>4721</v>
      </c>
      <c r="M3588" s="7" t="s">
        <v>22</v>
      </c>
      <c r="N3588" s="7" t="s">
        <v>23</v>
      </c>
      <c r="O3588" s="7" t="s">
        <v>27</v>
      </c>
      <c r="P3588" s="7" t="s">
        <v>5101</v>
      </c>
      <c r="Q3588" s="26">
        <v>13</v>
      </c>
      <c r="R3588" s="26">
        <v>1</v>
      </c>
      <c r="S3588" s="40">
        <v>1</v>
      </c>
      <c r="T3588" s="7"/>
      <c r="U3588" s="7" t="s">
        <v>2951</v>
      </c>
      <c r="V3588" s="7" t="str">
        <f>+IF(U3588="","",IF(U3588="FINES",CONCATENATE("R",IF(OR(B3588="16",B3588="21",B3588="22",B3588="23"),"16212223",IF(OR(B3588="15",B3588="17",B3588="24",B3588="25"),"15172425",B3588))),IF(U3588="CEBAS","UNICO",IF(VALUE(B3588)&lt;=11,"AMBA","INTERIOR"))))</f>
        <v>R18</v>
      </c>
      <c r="W3588" s="38" t="str">
        <f>+IF(U3588="","-",CONCATENATE(U3588,"_",V3588))</f>
        <v>FINES_R18</v>
      </c>
      <c r="X3588" s="42">
        <v>0.40799999999999997</v>
      </c>
    </row>
    <row r="3589" spans="1:24">
      <c r="A3589" s="21" t="s">
        <v>5100</v>
      </c>
      <c r="B3589" t="s">
        <v>410</v>
      </c>
      <c r="C3589" t="s">
        <v>417</v>
      </c>
      <c r="D3589" t="s">
        <v>2739</v>
      </c>
      <c r="E3589" s="7" t="s">
        <v>198</v>
      </c>
      <c r="F3589" s="7" t="s">
        <v>198</v>
      </c>
      <c r="G3589" s="7" t="s">
        <v>198</v>
      </c>
      <c r="H3589" s="7" t="s">
        <v>20</v>
      </c>
      <c r="I3589" s="7" t="s">
        <v>5102</v>
      </c>
      <c r="J3589" s="7" t="s">
        <v>21</v>
      </c>
      <c r="L3589" t="s">
        <v>4759</v>
      </c>
      <c r="M3589" s="7" t="s">
        <v>22</v>
      </c>
      <c r="N3589" s="7" t="s">
        <v>23</v>
      </c>
      <c r="O3589" s="7" t="s">
        <v>27</v>
      </c>
      <c r="P3589" s="7" t="s">
        <v>5101</v>
      </c>
      <c r="Q3589" s="26">
        <v>40</v>
      </c>
      <c r="R3589" s="26">
        <v>1</v>
      </c>
      <c r="S3589" s="40">
        <v>1</v>
      </c>
      <c r="T3589" s="7"/>
      <c r="U3589" s="7" t="s">
        <v>2951</v>
      </c>
      <c r="V3589" s="7" t="str">
        <f>+IF(U3589="","",IF(U3589="FINES",CONCATENATE("R",IF(OR(B3589="16",B3589="21",B3589="22",B3589="23"),"16212223",IF(OR(B3589="15",B3589="17",B3589="24",B3589="25"),"15172425",B3589))),IF(U3589="CEBAS","UNICO",IF(VALUE(B3589)&lt;=11,"AMBA","INTERIOR"))))</f>
        <v>R18</v>
      </c>
      <c r="W3589" s="38" t="str">
        <f>+IF(U3589="","-",CONCATENATE(U3589,"_",V3589))</f>
        <v>FINES_R18</v>
      </c>
      <c r="X3589" s="42">
        <v>0.41599999999999998</v>
      </c>
    </row>
    <row r="3590" spans="1:24">
      <c r="A3590" s="21" t="s">
        <v>5100</v>
      </c>
      <c r="B3590" t="s">
        <v>410</v>
      </c>
      <c r="C3590" t="s">
        <v>760</v>
      </c>
      <c r="D3590" t="s">
        <v>761</v>
      </c>
      <c r="E3590" s="7" t="s">
        <v>198</v>
      </c>
      <c r="F3590" s="7" t="s">
        <v>198</v>
      </c>
      <c r="G3590" s="7" t="s">
        <v>198</v>
      </c>
      <c r="H3590" s="7" t="s">
        <v>20</v>
      </c>
      <c r="I3590" s="7" t="s">
        <v>5102</v>
      </c>
      <c r="J3590" s="7" t="s">
        <v>21</v>
      </c>
      <c r="L3590" t="s">
        <v>4718</v>
      </c>
      <c r="M3590" s="7" t="s">
        <v>22</v>
      </c>
      <c r="N3590" s="7" t="s">
        <v>23</v>
      </c>
      <c r="O3590" s="7" t="s">
        <v>27</v>
      </c>
      <c r="P3590" s="7" t="s">
        <v>5101</v>
      </c>
      <c r="Q3590" s="26">
        <v>30</v>
      </c>
      <c r="R3590" s="26">
        <v>2</v>
      </c>
      <c r="S3590" s="40">
        <v>1</v>
      </c>
      <c r="T3590" s="7"/>
      <c r="U3590" s="7" t="s">
        <v>2951</v>
      </c>
      <c r="V3590" s="7" t="str">
        <f>+IF(U3590="","",IF(U3590="FINES",CONCATENATE("R",IF(OR(B3590="16",B3590="21",B3590="22",B3590="23"),"16212223",IF(OR(B3590="15",B3590="17",B3590="24",B3590="25"),"15172425",B3590))),IF(U3590="CEBAS","UNICO",IF(VALUE(B3590)&lt;=11,"AMBA","INTERIOR"))))</f>
        <v>R18</v>
      </c>
      <c r="W3590" s="38" t="str">
        <f>+IF(U3590="","-",CONCATENATE(U3590,"_",V3590))</f>
        <v>FINES_R18</v>
      </c>
      <c r="X3590" s="42">
        <v>0.41799999999999998</v>
      </c>
    </row>
    <row r="3591" spans="1:24">
      <c r="A3591" s="21" t="s">
        <v>5100</v>
      </c>
      <c r="B3591" t="s">
        <v>410</v>
      </c>
      <c r="C3591" t="s">
        <v>570</v>
      </c>
      <c r="D3591" t="s">
        <v>2717</v>
      </c>
      <c r="E3591" s="7" t="s">
        <v>198</v>
      </c>
      <c r="F3591" s="7" t="s">
        <v>198</v>
      </c>
      <c r="G3591" s="7" t="s">
        <v>198</v>
      </c>
      <c r="H3591" s="7" t="s">
        <v>20</v>
      </c>
      <c r="I3591" s="7" t="s">
        <v>5102</v>
      </c>
      <c r="J3591" s="7" t="s">
        <v>21</v>
      </c>
      <c r="L3591" t="s">
        <v>4738</v>
      </c>
      <c r="M3591" s="7" t="s">
        <v>22</v>
      </c>
      <c r="N3591" s="7" t="s">
        <v>23</v>
      </c>
      <c r="O3591" s="7" t="s">
        <v>27</v>
      </c>
      <c r="P3591" s="7" t="s">
        <v>5101</v>
      </c>
      <c r="Q3591" s="26">
        <v>16</v>
      </c>
      <c r="R3591" s="26">
        <v>1</v>
      </c>
      <c r="S3591" s="40">
        <v>1</v>
      </c>
      <c r="T3591" s="7"/>
      <c r="U3591" s="7" t="s">
        <v>2951</v>
      </c>
      <c r="V3591" s="7" t="str">
        <f>+IF(U3591="","",IF(U3591="FINES",CONCATENATE("R",IF(OR(B3591="16",B3591="21",B3591="22",B3591="23"),"16212223",IF(OR(B3591="15",B3591="17",B3591="24",B3591="25"),"15172425",B3591))),IF(U3591="CEBAS","UNICO",IF(VALUE(B3591)&lt;=11,"AMBA","INTERIOR"))))</f>
        <v>R18</v>
      </c>
      <c r="W3591" s="38" t="str">
        <f>+IF(U3591="","-",CONCATENATE(U3591,"_",V3591))</f>
        <v>FINES_R18</v>
      </c>
      <c r="X3591" s="42">
        <v>0.41799999999999998</v>
      </c>
    </row>
    <row r="3592" spans="1:24">
      <c r="A3592" s="21" t="s">
        <v>5100</v>
      </c>
      <c r="B3592" t="s">
        <v>410</v>
      </c>
      <c r="C3592" t="s">
        <v>760</v>
      </c>
      <c r="D3592" t="s">
        <v>761</v>
      </c>
      <c r="E3592" s="7" t="s">
        <v>198</v>
      </c>
      <c r="F3592" s="7" t="s">
        <v>198</v>
      </c>
      <c r="G3592" s="7" t="s">
        <v>198</v>
      </c>
      <c r="H3592" s="7" t="s">
        <v>20</v>
      </c>
      <c r="I3592" s="7" t="s">
        <v>5102</v>
      </c>
      <c r="J3592" s="7" t="s">
        <v>21</v>
      </c>
      <c r="L3592" t="s">
        <v>4716</v>
      </c>
      <c r="M3592" s="7" t="s">
        <v>22</v>
      </c>
      <c r="N3592" s="7" t="s">
        <v>23</v>
      </c>
      <c r="O3592" s="7" t="s">
        <v>27</v>
      </c>
      <c r="P3592" s="7" t="s">
        <v>5101</v>
      </c>
      <c r="Q3592" s="26">
        <v>1</v>
      </c>
      <c r="R3592" s="26">
        <v>1</v>
      </c>
      <c r="S3592" s="40">
        <v>1</v>
      </c>
      <c r="T3592" s="7"/>
      <c r="U3592" s="7" t="s">
        <v>2951</v>
      </c>
      <c r="V3592" s="7" t="str">
        <f>+IF(U3592="","",IF(U3592="FINES",CONCATENATE("R",IF(OR(B3592="16",B3592="21",B3592="22",B3592="23"),"16212223",IF(OR(B3592="15",B3592="17",B3592="24",B3592="25"),"15172425",B3592))),IF(U3592="CEBAS","UNICO",IF(VALUE(B3592)&lt;=11,"AMBA","INTERIOR"))))</f>
        <v>R18</v>
      </c>
      <c r="W3592" s="38" t="str">
        <f>+IF(U3592="","-",CONCATENATE(U3592,"_",V3592))</f>
        <v>FINES_R18</v>
      </c>
      <c r="X3592" s="42">
        <v>0.441</v>
      </c>
    </row>
    <row r="3593" spans="1:24">
      <c r="A3593" s="21" t="s">
        <v>5100</v>
      </c>
      <c r="B3593" t="s">
        <v>410</v>
      </c>
      <c r="C3593" t="s">
        <v>423</v>
      </c>
      <c r="D3593" t="s">
        <v>425</v>
      </c>
      <c r="E3593" s="7" t="s">
        <v>198</v>
      </c>
      <c r="F3593" s="7" t="s">
        <v>198</v>
      </c>
      <c r="G3593" s="7" t="s">
        <v>198</v>
      </c>
      <c r="H3593" s="7" t="s">
        <v>20</v>
      </c>
      <c r="I3593" s="7" t="s">
        <v>5102</v>
      </c>
      <c r="J3593" s="7" t="s">
        <v>21</v>
      </c>
      <c r="L3593" t="s">
        <v>4712</v>
      </c>
      <c r="M3593" s="7" t="s">
        <v>22</v>
      </c>
      <c r="N3593" s="7" t="s">
        <v>23</v>
      </c>
      <c r="O3593" s="7" t="s">
        <v>27</v>
      </c>
      <c r="P3593" s="7" t="s">
        <v>5101</v>
      </c>
      <c r="Q3593" s="26">
        <v>19</v>
      </c>
      <c r="R3593" s="26">
        <v>1</v>
      </c>
      <c r="S3593" s="40">
        <v>1</v>
      </c>
      <c r="T3593" s="7"/>
      <c r="U3593" s="7" t="s">
        <v>2951</v>
      </c>
      <c r="V3593" s="7" t="str">
        <f>+IF(U3593="","",IF(U3593="FINES",CONCATENATE("R",IF(OR(B3593="16",B3593="21",B3593="22",B3593="23"),"16212223",IF(OR(B3593="15",B3593="17",B3593="24",B3593="25"),"15172425",B3593))),IF(U3593="CEBAS","UNICO",IF(VALUE(B3593)&lt;=11,"AMBA","INTERIOR"))))</f>
        <v>R18</v>
      </c>
      <c r="W3593" s="38" t="str">
        <f>+IF(U3593="","-",CONCATENATE(U3593,"_",V3593))</f>
        <v>FINES_R18</v>
      </c>
      <c r="X3593" s="42">
        <v>0.442</v>
      </c>
    </row>
    <row r="3594" spans="1:24">
      <c r="A3594" s="21" t="s">
        <v>5100</v>
      </c>
      <c r="B3594" t="s">
        <v>410</v>
      </c>
      <c r="C3594" t="s">
        <v>1493</v>
      </c>
      <c r="D3594" t="s">
        <v>1494</v>
      </c>
      <c r="E3594" s="7" t="s">
        <v>198</v>
      </c>
      <c r="F3594" s="7" t="s">
        <v>198</v>
      </c>
      <c r="G3594" s="7" t="s">
        <v>198</v>
      </c>
      <c r="H3594" s="7" t="s">
        <v>20</v>
      </c>
      <c r="I3594" s="7" t="s">
        <v>5102</v>
      </c>
      <c r="J3594" s="7" t="s">
        <v>21</v>
      </c>
      <c r="L3594" t="s">
        <v>4731</v>
      </c>
      <c r="M3594" s="7" t="s">
        <v>22</v>
      </c>
      <c r="N3594" s="7" t="s">
        <v>23</v>
      </c>
      <c r="O3594" s="7" t="s">
        <v>27</v>
      </c>
      <c r="P3594" s="7" t="s">
        <v>5101</v>
      </c>
      <c r="Q3594" s="26">
        <v>5</v>
      </c>
      <c r="R3594" s="26">
        <v>1</v>
      </c>
      <c r="S3594" s="40">
        <v>1</v>
      </c>
      <c r="T3594" s="7"/>
      <c r="U3594" s="7" t="s">
        <v>2951</v>
      </c>
      <c r="V3594" s="7" t="str">
        <f>+IF(U3594="","",IF(U3594="FINES",CONCATENATE("R",IF(OR(B3594="16",B3594="21",B3594="22",B3594="23"),"16212223",IF(OR(B3594="15",B3594="17",B3594="24",B3594="25"),"15172425",B3594))),IF(U3594="CEBAS","UNICO",IF(VALUE(B3594)&lt;=11,"AMBA","INTERIOR"))))</f>
        <v>R18</v>
      </c>
      <c r="W3594" s="38" t="str">
        <f>+IF(U3594="","-",CONCATENATE(U3594,"_",V3594))</f>
        <v>FINES_R18</v>
      </c>
      <c r="X3594" s="42">
        <v>0.47899999999999998</v>
      </c>
    </row>
    <row r="3595" spans="1:24">
      <c r="A3595" s="21" t="s">
        <v>5100</v>
      </c>
      <c r="B3595" t="s">
        <v>410</v>
      </c>
      <c r="C3595" t="s">
        <v>417</v>
      </c>
      <c r="D3595" t="s">
        <v>2739</v>
      </c>
      <c r="E3595" s="7" t="s">
        <v>198</v>
      </c>
      <c r="F3595" s="7" t="s">
        <v>198</v>
      </c>
      <c r="G3595" s="7" t="s">
        <v>198</v>
      </c>
      <c r="H3595" s="7" t="s">
        <v>20</v>
      </c>
      <c r="I3595" s="7" t="s">
        <v>5102</v>
      </c>
      <c r="J3595" s="7" t="s">
        <v>21</v>
      </c>
      <c r="L3595" t="s">
        <v>4757</v>
      </c>
      <c r="M3595" s="7" t="s">
        <v>22</v>
      </c>
      <c r="N3595" s="7" t="s">
        <v>23</v>
      </c>
      <c r="O3595" s="7" t="s">
        <v>27</v>
      </c>
      <c r="P3595" s="7" t="s">
        <v>5101</v>
      </c>
      <c r="Q3595" s="26">
        <v>16</v>
      </c>
      <c r="R3595" s="26">
        <v>1</v>
      </c>
      <c r="S3595" s="40">
        <v>1</v>
      </c>
      <c r="T3595" s="7"/>
      <c r="U3595" s="7" t="s">
        <v>2951</v>
      </c>
      <c r="V3595" s="7" t="str">
        <f>+IF(U3595="","",IF(U3595="FINES",CONCATENATE("R",IF(OR(B3595="16",B3595="21",B3595="22",B3595="23"),"16212223",IF(OR(B3595="15",B3595="17",B3595="24",B3595="25"),"15172425",B3595))),IF(U3595="CEBAS","UNICO",IF(VALUE(B3595)&lt;=11,"AMBA","INTERIOR"))))</f>
        <v>R18</v>
      </c>
      <c r="W3595" s="38" t="str">
        <f>+IF(U3595="","-",CONCATENATE(U3595,"_",V3595))</f>
        <v>FINES_R18</v>
      </c>
      <c r="X3595" s="42">
        <v>0.501</v>
      </c>
    </row>
    <row r="3596" spans="1:24">
      <c r="A3596" s="21" t="s">
        <v>5100</v>
      </c>
      <c r="B3596" t="s">
        <v>410</v>
      </c>
      <c r="C3596" t="s">
        <v>2426</v>
      </c>
      <c r="D3596" t="s">
        <v>2427</v>
      </c>
      <c r="E3596" s="7" t="s">
        <v>198</v>
      </c>
      <c r="F3596" s="7" t="s">
        <v>198</v>
      </c>
      <c r="G3596" s="7" t="s">
        <v>198</v>
      </c>
      <c r="H3596" s="7" t="s">
        <v>20</v>
      </c>
      <c r="I3596" s="7" t="s">
        <v>5102</v>
      </c>
      <c r="J3596" s="7" t="s">
        <v>21</v>
      </c>
      <c r="L3596" t="s">
        <v>4144</v>
      </c>
      <c r="M3596" s="7" t="s">
        <v>22</v>
      </c>
      <c r="N3596" s="7" t="s">
        <v>23</v>
      </c>
      <c r="O3596" s="7" t="s">
        <v>27</v>
      </c>
      <c r="P3596" s="7" t="s">
        <v>5101</v>
      </c>
      <c r="Q3596" s="26">
        <v>10</v>
      </c>
      <c r="R3596" s="26">
        <v>1</v>
      </c>
      <c r="S3596" s="40">
        <v>1</v>
      </c>
      <c r="T3596" s="7"/>
      <c r="U3596" s="7" t="s">
        <v>2951</v>
      </c>
      <c r="V3596" s="7" t="str">
        <f>+IF(U3596="","",IF(U3596="FINES",CONCATENATE("R",IF(OR(B3596="16",B3596="21",B3596="22",B3596="23"),"16212223",IF(OR(B3596="15",B3596="17",B3596="24",B3596="25"),"15172425",B3596))),IF(U3596="CEBAS","UNICO",IF(VALUE(B3596)&lt;=11,"AMBA","INTERIOR"))))</f>
        <v>R18</v>
      </c>
      <c r="W3596" s="38" t="str">
        <f>+IF(U3596="","-",CONCATENATE(U3596,"_",V3596))</f>
        <v>FINES_R18</v>
      </c>
      <c r="X3596" s="42">
        <v>0.50600000000000001</v>
      </c>
    </row>
    <row r="3597" spans="1:24">
      <c r="A3597" s="21" t="s">
        <v>5100</v>
      </c>
      <c r="B3597" t="s">
        <v>410</v>
      </c>
      <c r="C3597" t="s">
        <v>423</v>
      </c>
      <c r="D3597" t="s">
        <v>425</v>
      </c>
      <c r="E3597" s="7" t="s">
        <v>198</v>
      </c>
      <c r="F3597" s="7" t="s">
        <v>198</v>
      </c>
      <c r="G3597" s="7" t="s">
        <v>198</v>
      </c>
      <c r="H3597" s="7" t="s">
        <v>20</v>
      </c>
      <c r="I3597" s="7" t="s">
        <v>5102</v>
      </c>
      <c r="J3597" s="7" t="s">
        <v>21</v>
      </c>
      <c r="L3597" t="s">
        <v>4710</v>
      </c>
      <c r="M3597" s="7" t="s">
        <v>22</v>
      </c>
      <c r="N3597" s="7" t="s">
        <v>23</v>
      </c>
      <c r="O3597" s="7" t="s">
        <v>27</v>
      </c>
      <c r="P3597" s="7" t="s">
        <v>5101</v>
      </c>
      <c r="Q3597" s="26">
        <v>7</v>
      </c>
      <c r="R3597" s="26">
        <v>1</v>
      </c>
      <c r="S3597" s="40">
        <v>1</v>
      </c>
      <c r="T3597" s="7"/>
      <c r="U3597" s="7" t="s">
        <v>2951</v>
      </c>
      <c r="V3597" s="7" t="str">
        <f>+IF(U3597="","",IF(U3597="FINES",CONCATENATE("R",IF(OR(B3597="16",B3597="21",B3597="22",B3597="23"),"16212223",IF(OR(B3597="15",B3597="17",B3597="24",B3597="25"),"15172425",B3597))),IF(U3597="CEBAS","UNICO",IF(VALUE(B3597)&lt;=11,"AMBA","INTERIOR"))))</f>
        <v>R18</v>
      </c>
      <c r="W3597" s="38" t="str">
        <f>+IF(U3597="","-",CONCATENATE(U3597,"_",V3597))</f>
        <v>FINES_R18</v>
      </c>
      <c r="X3597" s="42">
        <v>0.53700000000000003</v>
      </c>
    </row>
    <row r="3598" spans="1:24">
      <c r="A3598" s="21" t="s">
        <v>5100</v>
      </c>
      <c r="B3598" t="s">
        <v>410</v>
      </c>
      <c r="C3598" t="s">
        <v>570</v>
      </c>
      <c r="D3598" t="s">
        <v>2717</v>
      </c>
      <c r="E3598" s="7" t="s">
        <v>198</v>
      </c>
      <c r="F3598" s="7" t="s">
        <v>198</v>
      </c>
      <c r="G3598" s="7" t="s">
        <v>198</v>
      </c>
      <c r="H3598" s="7" t="s">
        <v>20</v>
      </c>
      <c r="I3598" s="7" t="s">
        <v>5102</v>
      </c>
      <c r="J3598" s="7" t="s">
        <v>21</v>
      </c>
      <c r="L3598" t="s">
        <v>4736</v>
      </c>
      <c r="M3598" s="7" t="s">
        <v>22</v>
      </c>
      <c r="N3598" s="7" t="s">
        <v>23</v>
      </c>
      <c r="O3598" s="7" t="s">
        <v>27</v>
      </c>
      <c r="P3598" s="7" t="s">
        <v>5101</v>
      </c>
      <c r="Q3598" s="26">
        <v>19</v>
      </c>
      <c r="R3598" s="26">
        <v>1</v>
      </c>
      <c r="S3598" s="40">
        <v>1</v>
      </c>
      <c r="T3598" s="7"/>
      <c r="U3598" s="7" t="s">
        <v>2951</v>
      </c>
      <c r="V3598" s="7" t="str">
        <f>+IF(U3598="","",IF(U3598="FINES",CONCATENATE("R",IF(OR(B3598="16",B3598="21",B3598="22",B3598="23"),"16212223",IF(OR(B3598="15",B3598="17",B3598="24",B3598="25"),"15172425",B3598))),IF(U3598="CEBAS","UNICO",IF(VALUE(B3598)&lt;=11,"AMBA","INTERIOR"))))</f>
        <v>R18</v>
      </c>
      <c r="W3598" s="38" t="str">
        <f>+IF(U3598="","-",CONCATENATE(U3598,"_",V3598))</f>
        <v>FINES_R18</v>
      </c>
      <c r="X3598" s="42">
        <v>0.56200000000000006</v>
      </c>
    </row>
    <row r="3599" spans="1:24">
      <c r="A3599" s="21" t="s">
        <v>5100</v>
      </c>
      <c r="B3599" t="s">
        <v>410</v>
      </c>
      <c r="C3599" t="s">
        <v>423</v>
      </c>
      <c r="D3599" t="s">
        <v>425</v>
      </c>
      <c r="E3599" s="7" t="s">
        <v>198</v>
      </c>
      <c r="F3599" s="7" t="s">
        <v>198</v>
      </c>
      <c r="G3599" s="7" t="s">
        <v>198</v>
      </c>
      <c r="H3599" s="7" t="s">
        <v>20</v>
      </c>
      <c r="I3599" s="7" t="s">
        <v>5102</v>
      </c>
      <c r="J3599" s="7" t="s">
        <v>21</v>
      </c>
      <c r="L3599" t="s">
        <v>4705</v>
      </c>
      <c r="M3599" s="7" t="s">
        <v>22</v>
      </c>
      <c r="N3599" s="7" t="s">
        <v>23</v>
      </c>
      <c r="O3599" s="7" t="s">
        <v>27</v>
      </c>
      <c r="P3599" s="7" t="s">
        <v>5101</v>
      </c>
      <c r="Q3599" s="26">
        <v>11</v>
      </c>
      <c r="R3599" s="26">
        <v>1</v>
      </c>
      <c r="S3599" s="40">
        <v>1</v>
      </c>
      <c r="T3599" s="7"/>
      <c r="U3599" s="7" t="s">
        <v>2951</v>
      </c>
      <c r="V3599" s="7" t="str">
        <f>+IF(U3599="","",IF(U3599="FINES",CONCATENATE("R",IF(OR(B3599="16",B3599="21",B3599="22",B3599="23"),"16212223",IF(OR(B3599="15",B3599="17",B3599="24",B3599="25"),"15172425",B3599))),IF(U3599="CEBAS","UNICO",IF(VALUE(B3599)&lt;=11,"AMBA","INTERIOR"))))</f>
        <v>R18</v>
      </c>
      <c r="W3599" s="38" t="str">
        <f>+IF(U3599="","-",CONCATENATE(U3599,"_",V3599))</f>
        <v>FINES_R18</v>
      </c>
      <c r="X3599" s="42">
        <v>0.56399999999999995</v>
      </c>
    </row>
    <row r="3600" spans="1:24">
      <c r="A3600" s="21" t="s">
        <v>5100</v>
      </c>
      <c r="B3600" t="s">
        <v>410</v>
      </c>
      <c r="C3600" t="s">
        <v>918</v>
      </c>
      <c r="D3600" t="s">
        <v>919</v>
      </c>
      <c r="E3600" s="7" t="s">
        <v>198</v>
      </c>
      <c r="F3600" s="7" t="s">
        <v>198</v>
      </c>
      <c r="G3600" s="7" t="s">
        <v>198</v>
      </c>
      <c r="H3600" s="7" t="s">
        <v>20</v>
      </c>
      <c r="I3600" s="7" t="s">
        <v>5102</v>
      </c>
      <c r="J3600" s="7" t="s">
        <v>21</v>
      </c>
      <c r="L3600" t="s">
        <v>4720</v>
      </c>
      <c r="M3600" s="7" t="s">
        <v>22</v>
      </c>
      <c r="N3600" s="7" t="s">
        <v>23</v>
      </c>
      <c r="O3600" s="7" t="s">
        <v>27</v>
      </c>
      <c r="P3600" s="7" t="s">
        <v>5101</v>
      </c>
      <c r="Q3600" s="26">
        <v>4</v>
      </c>
      <c r="R3600" s="26">
        <v>1</v>
      </c>
      <c r="S3600" s="40">
        <v>1</v>
      </c>
      <c r="T3600" s="7"/>
      <c r="U3600" s="7" t="s">
        <v>2951</v>
      </c>
      <c r="V3600" s="7" t="str">
        <f>+IF(U3600="","",IF(U3600="FINES",CONCATENATE("R",IF(OR(B3600="16",B3600="21",B3600="22",B3600="23"),"16212223",IF(OR(B3600="15",B3600="17",B3600="24",B3600="25"),"15172425",B3600))),IF(U3600="CEBAS","UNICO",IF(VALUE(B3600)&lt;=11,"AMBA","INTERIOR"))))</f>
        <v>R18</v>
      </c>
      <c r="W3600" s="38" t="str">
        <f>+IF(U3600="","-",CONCATENATE(U3600,"_",V3600))</f>
        <v>FINES_R18</v>
      </c>
      <c r="X3600" s="42">
        <v>0.56599999999999995</v>
      </c>
    </row>
    <row r="3601" spans="1:24">
      <c r="A3601" s="21" t="s">
        <v>5100</v>
      </c>
      <c r="B3601" t="s">
        <v>410</v>
      </c>
      <c r="C3601" t="s">
        <v>570</v>
      </c>
      <c r="D3601" t="s">
        <v>2717</v>
      </c>
      <c r="E3601" s="7" t="s">
        <v>198</v>
      </c>
      <c r="F3601" s="7" t="s">
        <v>198</v>
      </c>
      <c r="G3601" s="7" t="s">
        <v>198</v>
      </c>
      <c r="H3601" s="7" t="s">
        <v>20</v>
      </c>
      <c r="I3601" s="7" t="s">
        <v>5102</v>
      </c>
      <c r="J3601" s="7" t="s">
        <v>21</v>
      </c>
      <c r="L3601" t="s">
        <v>4746</v>
      </c>
      <c r="M3601" s="7" t="s">
        <v>22</v>
      </c>
      <c r="N3601" s="7" t="s">
        <v>23</v>
      </c>
      <c r="O3601" s="7" t="s">
        <v>27</v>
      </c>
      <c r="P3601" s="7" t="s">
        <v>5101</v>
      </c>
      <c r="Q3601" s="26">
        <v>28</v>
      </c>
      <c r="R3601" s="26">
        <v>1</v>
      </c>
      <c r="S3601" s="40">
        <v>1</v>
      </c>
      <c r="T3601" s="7"/>
      <c r="U3601" s="7" t="s">
        <v>2951</v>
      </c>
      <c r="V3601" s="7" t="str">
        <f>+IF(U3601="","",IF(U3601="FINES",CONCATENATE("R",IF(OR(B3601="16",B3601="21",B3601="22",B3601="23"),"16212223",IF(OR(B3601="15",B3601="17",B3601="24",B3601="25"),"15172425",B3601))),IF(U3601="CEBAS","UNICO",IF(VALUE(B3601)&lt;=11,"AMBA","INTERIOR"))))</f>
        <v>R18</v>
      </c>
      <c r="W3601" s="38" t="str">
        <f>+IF(U3601="","-",CONCATENATE(U3601,"_",V3601))</f>
        <v>FINES_R18</v>
      </c>
      <c r="X3601" s="42">
        <v>0.623</v>
      </c>
    </row>
    <row r="3602" spans="1:24">
      <c r="A3602" s="21" t="s">
        <v>5100</v>
      </c>
      <c r="B3602" t="s">
        <v>410</v>
      </c>
      <c r="C3602" t="s">
        <v>1493</v>
      </c>
      <c r="D3602" t="s">
        <v>1494</v>
      </c>
      <c r="E3602" s="7" t="s">
        <v>198</v>
      </c>
      <c r="F3602" s="7" t="s">
        <v>198</v>
      </c>
      <c r="G3602" s="7" t="s">
        <v>198</v>
      </c>
      <c r="H3602" s="7" t="s">
        <v>20</v>
      </c>
      <c r="I3602" s="7" t="s">
        <v>5102</v>
      </c>
      <c r="J3602" s="7" t="s">
        <v>21</v>
      </c>
      <c r="L3602" t="s">
        <v>4729</v>
      </c>
      <c r="M3602" s="7" t="s">
        <v>22</v>
      </c>
      <c r="N3602" s="7" t="s">
        <v>23</v>
      </c>
      <c r="O3602" s="7" t="s">
        <v>27</v>
      </c>
      <c r="P3602" s="7" t="s">
        <v>5101</v>
      </c>
      <c r="Q3602" s="26">
        <v>61</v>
      </c>
      <c r="R3602" s="26">
        <v>3</v>
      </c>
      <c r="S3602" s="40">
        <v>1</v>
      </c>
      <c r="T3602" s="7"/>
      <c r="U3602" s="7" t="s">
        <v>2951</v>
      </c>
      <c r="V3602" s="7" t="str">
        <f>+IF(U3602="","",IF(U3602="FINES",CONCATENATE("R",IF(OR(B3602="16",B3602="21",B3602="22",B3602="23"),"16212223",IF(OR(B3602="15",B3602="17",B3602="24",B3602="25"),"15172425",B3602))),IF(U3602="CEBAS","UNICO",IF(VALUE(B3602)&lt;=11,"AMBA","INTERIOR"))))</f>
        <v>R18</v>
      </c>
      <c r="W3602" s="38" t="str">
        <f>+IF(U3602="","-",CONCATENATE(U3602,"_",V3602))</f>
        <v>FINES_R18</v>
      </c>
      <c r="X3602" s="42">
        <v>0.629</v>
      </c>
    </row>
    <row r="3603" spans="1:24">
      <c r="A3603" s="21" t="s">
        <v>5100</v>
      </c>
      <c r="B3603" t="s">
        <v>410</v>
      </c>
      <c r="C3603" t="s">
        <v>570</v>
      </c>
      <c r="D3603" t="s">
        <v>2717</v>
      </c>
      <c r="E3603" s="7" t="s">
        <v>198</v>
      </c>
      <c r="F3603" s="7" t="s">
        <v>198</v>
      </c>
      <c r="G3603" s="7" t="s">
        <v>198</v>
      </c>
      <c r="H3603" s="7" t="s">
        <v>20</v>
      </c>
      <c r="I3603" s="7" t="s">
        <v>5102</v>
      </c>
      <c r="J3603" s="7" t="s">
        <v>21</v>
      </c>
      <c r="L3603" t="s">
        <v>4734</v>
      </c>
      <c r="M3603" s="7" t="s">
        <v>22</v>
      </c>
      <c r="N3603" s="7" t="s">
        <v>23</v>
      </c>
      <c r="O3603" s="7" t="s">
        <v>27</v>
      </c>
      <c r="P3603" s="7" t="s">
        <v>5101</v>
      </c>
      <c r="Q3603" s="26">
        <v>7</v>
      </c>
      <c r="R3603" s="26">
        <v>1</v>
      </c>
      <c r="S3603" s="40">
        <v>1</v>
      </c>
      <c r="T3603" s="7"/>
      <c r="U3603" s="7" t="s">
        <v>2951</v>
      </c>
      <c r="V3603" s="7" t="str">
        <f>+IF(U3603="","",IF(U3603="FINES",CONCATENATE("R",IF(OR(B3603="16",B3603="21",B3603="22",B3603="23"),"16212223",IF(OR(B3603="15",B3603="17",B3603="24",B3603="25"),"15172425",B3603))),IF(U3603="CEBAS","UNICO",IF(VALUE(B3603)&lt;=11,"AMBA","INTERIOR"))))</f>
        <v>R18</v>
      </c>
      <c r="W3603" s="38" t="str">
        <f>+IF(U3603="","-",CONCATENATE(U3603,"_",V3603))</f>
        <v>FINES_R18</v>
      </c>
      <c r="X3603" s="42">
        <v>0.63700000000000001</v>
      </c>
    </row>
    <row r="3604" spans="1:24">
      <c r="A3604" s="21" t="s">
        <v>5100</v>
      </c>
      <c r="B3604" t="s">
        <v>410</v>
      </c>
      <c r="C3604" t="s">
        <v>423</v>
      </c>
      <c r="D3604" t="s">
        <v>425</v>
      </c>
      <c r="E3604" s="7" t="s">
        <v>198</v>
      </c>
      <c r="F3604" s="7" t="s">
        <v>198</v>
      </c>
      <c r="G3604" s="7" t="s">
        <v>198</v>
      </c>
      <c r="H3604" s="7" t="s">
        <v>20</v>
      </c>
      <c r="I3604" s="7" t="s">
        <v>5102</v>
      </c>
      <c r="J3604" s="7" t="s">
        <v>21</v>
      </c>
      <c r="L3604" t="s">
        <v>4706</v>
      </c>
      <c r="M3604" s="7" t="s">
        <v>22</v>
      </c>
      <c r="N3604" s="7" t="s">
        <v>23</v>
      </c>
      <c r="O3604" s="7" t="s">
        <v>27</v>
      </c>
      <c r="P3604" s="7" t="s">
        <v>5101</v>
      </c>
      <c r="Q3604" s="26">
        <v>24</v>
      </c>
      <c r="R3604" s="26">
        <v>1</v>
      </c>
      <c r="S3604" s="40">
        <v>1</v>
      </c>
      <c r="T3604" s="7"/>
      <c r="U3604" s="7" t="s">
        <v>2951</v>
      </c>
      <c r="V3604" s="7" t="str">
        <f>+IF(U3604="","",IF(U3604="FINES",CONCATENATE("R",IF(OR(B3604="16",B3604="21",B3604="22",B3604="23"),"16212223",IF(OR(B3604="15",B3604="17",B3604="24",B3604="25"),"15172425",B3604))),IF(U3604="CEBAS","UNICO",IF(VALUE(B3604)&lt;=11,"AMBA","INTERIOR"))))</f>
        <v>R18</v>
      </c>
      <c r="W3604" s="38" t="str">
        <f>+IF(U3604="","-",CONCATENATE(U3604,"_",V3604))</f>
        <v>FINES_R18</v>
      </c>
      <c r="X3604" s="42">
        <v>0.64300000000000002</v>
      </c>
    </row>
    <row r="3605" spans="1:24">
      <c r="A3605" s="21" t="s">
        <v>5100</v>
      </c>
      <c r="B3605" t="s">
        <v>410</v>
      </c>
      <c r="C3605" t="s">
        <v>924</v>
      </c>
      <c r="D3605" t="s">
        <v>925</v>
      </c>
      <c r="E3605" s="7" t="s">
        <v>198</v>
      </c>
      <c r="F3605" s="7" t="s">
        <v>198</v>
      </c>
      <c r="G3605" s="7" t="s">
        <v>198</v>
      </c>
      <c r="H3605" s="7" t="s">
        <v>20</v>
      </c>
      <c r="I3605" s="7" t="s">
        <v>5102</v>
      </c>
      <c r="J3605" s="7" t="s">
        <v>21</v>
      </c>
      <c r="L3605" t="s">
        <v>4723</v>
      </c>
      <c r="M3605" s="7" t="s">
        <v>22</v>
      </c>
      <c r="N3605" s="7" t="s">
        <v>23</v>
      </c>
      <c r="O3605" s="7" t="s">
        <v>27</v>
      </c>
      <c r="P3605" s="7" t="s">
        <v>5101</v>
      </c>
      <c r="Q3605" s="26">
        <v>21</v>
      </c>
      <c r="R3605" s="26">
        <v>1</v>
      </c>
      <c r="S3605" s="40">
        <v>1</v>
      </c>
      <c r="T3605" s="7"/>
      <c r="U3605" s="7" t="s">
        <v>2951</v>
      </c>
      <c r="V3605" s="7" t="str">
        <f>+IF(U3605="","",IF(U3605="FINES",CONCATENATE("R",IF(OR(B3605="16",B3605="21",B3605="22",B3605="23"),"16212223",IF(OR(B3605="15",B3605="17",B3605="24",B3605="25"),"15172425",B3605))),IF(U3605="CEBAS","UNICO",IF(VALUE(B3605)&lt;=11,"AMBA","INTERIOR"))))</f>
        <v>R18</v>
      </c>
      <c r="W3605" s="38" t="str">
        <f>+IF(U3605="","-",CONCATENATE(U3605,"_",V3605))</f>
        <v>FINES_R18</v>
      </c>
      <c r="X3605" s="42">
        <v>0.66200000000000003</v>
      </c>
    </row>
    <row r="3606" spans="1:24">
      <c r="A3606" s="21" t="s">
        <v>5100</v>
      </c>
      <c r="B3606" t="s">
        <v>410</v>
      </c>
      <c r="C3606" t="s">
        <v>570</v>
      </c>
      <c r="D3606" t="s">
        <v>2717</v>
      </c>
      <c r="E3606" s="7" t="s">
        <v>198</v>
      </c>
      <c r="F3606" s="7" t="s">
        <v>198</v>
      </c>
      <c r="G3606" s="7" t="s">
        <v>198</v>
      </c>
      <c r="H3606" s="7" t="s">
        <v>20</v>
      </c>
      <c r="I3606" s="7" t="s">
        <v>5102</v>
      </c>
      <c r="J3606" s="7" t="s">
        <v>21</v>
      </c>
      <c r="L3606" t="s">
        <v>4733</v>
      </c>
      <c r="M3606" s="7" t="s">
        <v>22</v>
      </c>
      <c r="N3606" s="7" t="s">
        <v>23</v>
      </c>
      <c r="O3606" s="7" t="s">
        <v>27</v>
      </c>
      <c r="P3606" s="7" t="s">
        <v>5101</v>
      </c>
      <c r="Q3606" s="26">
        <v>0</v>
      </c>
      <c r="R3606" s="26">
        <v>1</v>
      </c>
      <c r="S3606" s="40">
        <v>1</v>
      </c>
      <c r="T3606" s="7"/>
      <c r="U3606" s="7" t="s">
        <v>2951</v>
      </c>
      <c r="V3606" s="7" t="str">
        <f>+IF(U3606="","",IF(U3606="FINES",CONCATENATE("R",IF(OR(B3606="16",B3606="21",B3606="22",B3606="23"),"16212223",IF(OR(B3606="15",B3606="17",B3606="24",B3606="25"),"15172425",B3606))),IF(U3606="CEBAS","UNICO",IF(VALUE(B3606)&lt;=11,"AMBA","INTERIOR"))))</f>
        <v>R18</v>
      </c>
      <c r="W3606" s="38" t="str">
        <f>+IF(U3606="","-",CONCATENATE(U3606,"_",V3606))</f>
        <v>FINES_R18</v>
      </c>
      <c r="X3606" s="42">
        <v>0.66800000000000004</v>
      </c>
    </row>
    <row r="3607" spans="1:24">
      <c r="A3607" s="21" t="s">
        <v>5100</v>
      </c>
      <c r="B3607" t="s">
        <v>410</v>
      </c>
      <c r="C3607" t="s">
        <v>1493</v>
      </c>
      <c r="D3607" t="s">
        <v>1494</v>
      </c>
      <c r="E3607" s="7" t="s">
        <v>198</v>
      </c>
      <c r="F3607" s="7" t="s">
        <v>198</v>
      </c>
      <c r="G3607" s="7" t="s">
        <v>198</v>
      </c>
      <c r="H3607" s="7" t="s">
        <v>20</v>
      </c>
      <c r="I3607" s="7" t="s">
        <v>5102</v>
      </c>
      <c r="J3607" s="7" t="s">
        <v>21</v>
      </c>
      <c r="L3607" t="s">
        <v>4730</v>
      </c>
      <c r="M3607" s="7" t="s">
        <v>22</v>
      </c>
      <c r="N3607" s="7" t="s">
        <v>23</v>
      </c>
      <c r="O3607" s="7" t="s">
        <v>27</v>
      </c>
      <c r="P3607" s="7" t="s">
        <v>5101</v>
      </c>
      <c r="Q3607" s="26">
        <v>15</v>
      </c>
      <c r="R3607" s="26">
        <v>1</v>
      </c>
      <c r="S3607" s="40">
        <v>1</v>
      </c>
      <c r="T3607" s="7"/>
      <c r="U3607" s="7" t="s">
        <v>2951</v>
      </c>
      <c r="V3607" s="7" t="str">
        <f>+IF(U3607="","",IF(U3607="FINES",CONCATENATE("R",IF(OR(B3607="16",B3607="21",B3607="22",B3607="23"),"16212223",IF(OR(B3607="15",B3607="17",B3607="24",B3607="25"),"15172425",B3607))),IF(U3607="CEBAS","UNICO",IF(VALUE(B3607)&lt;=11,"AMBA","INTERIOR"))))</f>
        <v>R18</v>
      </c>
      <c r="W3607" s="38" t="str">
        <f>+IF(U3607="","-",CONCATENATE(U3607,"_",V3607))</f>
        <v>FINES_R18</v>
      </c>
      <c r="X3607" s="42">
        <v>0.67700000000000005</v>
      </c>
    </row>
    <row r="3608" spans="1:24">
      <c r="A3608" s="21" t="s">
        <v>5100</v>
      </c>
      <c r="B3608" t="s">
        <v>410</v>
      </c>
      <c r="C3608" t="s">
        <v>1247</v>
      </c>
      <c r="D3608" t="s">
        <v>2733</v>
      </c>
      <c r="E3608" s="7" t="s">
        <v>198</v>
      </c>
      <c r="F3608" s="7" t="s">
        <v>198</v>
      </c>
      <c r="G3608" s="7" t="s">
        <v>198</v>
      </c>
      <c r="H3608" s="7" t="s">
        <v>20</v>
      </c>
      <c r="I3608" s="7" t="s">
        <v>5102</v>
      </c>
      <c r="J3608" s="7" t="s">
        <v>21</v>
      </c>
      <c r="L3608" t="s">
        <v>4750</v>
      </c>
      <c r="M3608" s="7" t="s">
        <v>22</v>
      </c>
      <c r="N3608" s="7" t="s">
        <v>23</v>
      </c>
      <c r="O3608" s="7" t="s">
        <v>27</v>
      </c>
      <c r="P3608" s="7" t="s">
        <v>5101</v>
      </c>
      <c r="Q3608" s="26">
        <v>96</v>
      </c>
      <c r="R3608" s="26">
        <v>4</v>
      </c>
      <c r="S3608" s="40">
        <v>1</v>
      </c>
      <c r="T3608" s="7"/>
      <c r="U3608" s="7" t="s">
        <v>2951</v>
      </c>
      <c r="V3608" s="7" t="str">
        <f>+IF(U3608="","",IF(U3608="FINES",CONCATENATE("R",IF(OR(B3608="16",B3608="21",B3608="22",B3608="23"),"16212223",IF(OR(B3608="15",B3608="17",B3608="24",B3608="25"),"15172425",B3608))),IF(U3608="CEBAS","UNICO",IF(VALUE(B3608)&lt;=11,"AMBA","INTERIOR"))))</f>
        <v>R18</v>
      </c>
      <c r="W3608" s="38" t="str">
        <f>+IF(U3608="","-",CONCATENATE(U3608,"_",V3608))</f>
        <v>FINES_R18</v>
      </c>
      <c r="X3608" s="42">
        <v>0.70199999999999996</v>
      </c>
    </row>
    <row r="3609" spans="1:24">
      <c r="A3609" s="21" t="s">
        <v>5100</v>
      </c>
      <c r="B3609" t="s">
        <v>410</v>
      </c>
      <c r="C3609" t="s">
        <v>924</v>
      </c>
      <c r="D3609" t="s">
        <v>925</v>
      </c>
      <c r="E3609" s="7" t="s">
        <v>198</v>
      </c>
      <c r="F3609" s="7" t="s">
        <v>198</v>
      </c>
      <c r="G3609" s="7" t="s">
        <v>198</v>
      </c>
      <c r="H3609" s="7" t="s">
        <v>20</v>
      </c>
      <c r="I3609" s="7" t="s">
        <v>5102</v>
      </c>
      <c r="J3609" s="7" t="s">
        <v>21</v>
      </c>
      <c r="L3609" t="s">
        <v>4724</v>
      </c>
      <c r="M3609" s="7" t="s">
        <v>22</v>
      </c>
      <c r="N3609" s="7" t="s">
        <v>23</v>
      </c>
      <c r="O3609" s="7" t="s">
        <v>27</v>
      </c>
      <c r="P3609" s="7" t="s">
        <v>5101</v>
      </c>
      <c r="Q3609" s="26">
        <v>11</v>
      </c>
      <c r="R3609" s="26">
        <v>1</v>
      </c>
      <c r="S3609" s="40">
        <v>1</v>
      </c>
      <c r="T3609" s="7"/>
      <c r="U3609" s="7" t="s">
        <v>2951</v>
      </c>
      <c r="V3609" s="7" t="str">
        <f>+IF(U3609="","",IF(U3609="FINES",CONCATENATE("R",IF(OR(B3609="16",B3609="21",B3609="22",B3609="23"),"16212223",IF(OR(B3609="15",B3609="17",B3609="24",B3609="25"),"15172425",B3609))),IF(U3609="CEBAS","UNICO",IF(VALUE(B3609)&lt;=11,"AMBA","INTERIOR"))))</f>
        <v>R18</v>
      </c>
      <c r="W3609" s="38" t="str">
        <f>+IF(U3609="","-",CONCATENATE(U3609,"_",V3609))</f>
        <v>FINES_R18</v>
      </c>
      <c r="X3609" s="42">
        <v>0.70399999999999996</v>
      </c>
    </row>
    <row r="3610" spans="1:24">
      <c r="A3610" s="21" t="s">
        <v>5100</v>
      </c>
      <c r="B3610" t="s">
        <v>410</v>
      </c>
      <c r="C3610" t="s">
        <v>570</v>
      </c>
      <c r="D3610" t="s">
        <v>2717</v>
      </c>
      <c r="E3610" s="7" t="s">
        <v>198</v>
      </c>
      <c r="F3610" s="7" t="s">
        <v>198</v>
      </c>
      <c r="G3610" s="7" t="s">
        <v>198</v>
      </c>
      <c r="H3610" s="7" t="s">
        <v>20</v>
      </c>
      <c r="I3610" s="7" t="s">
        <v>5102</v>
      </c>
      <c r="J3610" s="7" t="s">
        <v>21</v>
      </c>
      <c r="L3610" t="s">
        <v>4747</v>
      </c>
      <c r="M3610" s="7" t="s">
        <v>22</v>
      </c>
      <c r="N3610" s="7" t="s">
        <v>23</v>
      </c>
      <c r="O3610" s="7" t="s">
        <v>27</v>
      </c>
      <c r="P3610" s="7" t="s">
        <v>5101</v>
      </c>
      <c r="Q3610" s="26">
        <v>81</v>
      </c>
      <c r="R3610" s="26">
        <v>5</v>
      </c>
      <c r="S3610" s="40">
        <v>1</v>
      </c>
      <c r="T3610" s="7"/>
      <c r="U3610" s="7" t="s">
        <v>2951</v>
      </c>
      <c r="V3610" s="7" t="str">
        <f>+IF(U3610="","",IF(U3610="FINES",CONCATENATE("R",IF(OR(B3610="16",B3610="21",B3610="22",B3610="23"),"16212223",IF(OR(B3610="15",B3610="17",B3610="24",B3610="25"),"15172425",B3610))),IF(U3610="CEBAS","UNICO",IF(VALUE(B3610)&lt;=11,"AMBA","INTERIOR"))))</f>
        <v>R18</v>
      </c>
      <c r="W3610" s="38" t="str">
        <f>+IF(U3610="","-",CONCATENATE(U3610,"_",V3610))</f>
        <v>FINES_R18</v>
      </c>
      <c r="X3610" s="42">
        <v>0.70499999999999996</v>
      </c>
    </row>
    <row r="3611" spans="1:24">
      <c r="A3611" s="21" t="s">
        <v>5100</v>
      </c>
      <c r="B3611" t="s">
        <v>410</v>
      </c>
      <c r="C3611" t="s">
        <v>924</v>
      </c>
      <c r="D3611" t="s">
        <v>925</v>
      </c>
      <c r="E3611" s="7" t="s">
        <v>198</v>
      </c>
      <c r="F3611" s="7" t="s">
        <v>198</v>
      </c>
      <c r="G3611" s="7" t="s">
        <v>198</v>
      </c>
      <c r="H3611" s="7" t="s">
        <v>20</v>
      </c>
      <c r="I3611" s="7" t="s">
        <v>5102</v>
      </c>
      <c r="J3611" s="7" t="s">
        <v>21</v>
      </c>
      <c r="L3611" t="s">
        <v>4725</v>
      </c>
      <c r="M3611" s="7" t="s">
        <v>22</v>
      </c>
      <c r="N3611" s="7" t="s">
        <v>23</v>
      </c>
      <c r="O3611" s="7" t="s">
        <v>27</v>
      </c>
      <c r="P3611" s="7" t="s">
        <v>5101</v>
      </c>
      <c r="Q3611" s="26">
        <v>0</v>
      </c>
      <c r="R3611" s="26">
        <v>1</v>
      </c>
      <c r="S3611" s="40">
        <v>1</v>
      </c>
      <c r="T3611" s="7"/>
      <c r="U3611" s="7" t="s">
        <v>2951</v>
      </c>
      <c r="V3611" s="7" t="str">
        <f>+IF(U3611="","",IF(U3611="FINES",CONCATENATE("R",IF(OR(B3611="16",B3611="21",B3611="22",B3611="23"),"16212223",IF(OR(B3611="15",B3611="17",B3611="24",B3611="25"),"15172425",B3611))),IF(U3611="CEBAS","UNICO",IF(VALUE(B3611)&lt;=11,"AMBA","INTERIOR"))))</f>
        <v>R18</v>
      </c>
      <c r="W3611" s="38" t="str">
        <f>+IF(U3611="","-",CONCATENATE(U3611,"_",V3611))</f>
        <v>FINES_R18</v>
      </c>
      <c r="X3611" s="42">
        <v>0.72599999999999998</v>
      </c>
    </row>
    <row r="3612" spans="1:24">
      <c r="A3612" s="21" t="s">
        <v>5100</v>
      </c>
      <c r="B3612" t="s">
        <v>410</v>
      </c>
      <c r="C3612" t="s">
        <v>570</v>
      </c>
      <c r="D3612" t="s">
        <v>2717</v>
      </c>
      <c r="E3612" s="7" t="s">
        <v>198</v>
      </c>
      <c r="F3612" s="7" t="s">
        <v>198</v>
      </c>
      <c r="G3612" s="7" t="s">
        <v>198</v>
      </c>
      <c r="H3612" s="7" t="s">
        <v>20</v>
      </c>
      <c r="I3612" s="7" t="s">
        <v>5102</v>
      </c>
      <c r="J3612" s="7" t="s">
        <v>21</v>
      </c>
      <c r="L3612" t="s">
        <v>4739</v>
      </c>
      <c r="M3612" s="7" t="s">
        <v>22</v>
      </c>
      <c r="N3612" s="7" t="s">
        <v>23</v>
      </c>
      <c r="O3612" s="7" t="s">
        <v>27</v>
      </c>
      <c r="P3612" s="7" t="s">
        <v>5101</v>
      </c>
      <c r="Q3612" s="26">
        <v>11</v>
      </c>
      <c r="R3612" s="26">
        <v>1</v>
      </c>
      <c r="S3612" s="40">
        <v>1</v>
      </c>
      <c r="T3612" s="7"/>
      <c r="U3612" s="7" t="s">
        <v>2951</v>
      </c>
      <c r="V3612" s="7" t="str">
        <f>+IF(U3612="","",IF(U3612="FINES",CONCATENATE("R",IF(OR(B3612="16",B3612="21",B3612="22",B3612="23"),"16212223",IF(OR(B3612="15",B3612="17",B3612="24",B3612="25"),"15172425",B3612))),IF(U3612="CEBAS","UNICO",IF(VALUE(B3612)&lt;=11,"AMBA","INTERIOR"))))</f>
        <v>R18</v>
      </c>
      <c r="W3612" s="38" t="str">
        <f>+IF(U3612="","-",CONCATENATE(U3612,"_",V3612))</f>
        <v>FINES_R18</v>
      </c>
      <c r="X3612" s="42">
        <v>0.79100000000000004</v>
      </c>
    </row>
    <row r="3613" spans="1:24">
      <c r="A3613" s="21" t="s">
        <v>5100</v>
      </c>
      <c r="B3613" t="s">
        <v>410</v>
      </c>
      <c r="C3613" t="s">
        <v>570</v>
      </c>
      <c r="D3613" t="s">
        <v>2717</v>
      </c>
      <c r="E3613" s="7" t="s">
        <v>198</v>
      </c>
      <c r="F3613" s="7" t="s">
        <v>198</v>
      </c>
      <c r="G3613" s="7" t="s">
        <v>198</v>
      </c>
      <c r="H3613" s="7" t="s">
        <v>20</v>
      </c>
      <c r="I3613" s="7" t="s">
        <v>5102</v>
      </c>
      <c r="J3613" s="7" t="s">
        <v>21</v>
      </c>
      <c r="L3613" t="s">
        <v>4740</v>
      </c>
      <c r="M3613" s="7" t="s">
        <v>22</v>
      </c>
      <c r="N3613" s="7" t="s">
        <v>23</v>
      </c>
      <c r="O3613" s="7" t="s">
        <v>27</v>
      </c>
      <c r="P3613" s="7" t="s">
        <v>5101</v>
      </c>
      <c r="Q3613" s="26">
        <v>121</v>
      </c>
      <c r="R3613" s="26">
        <v>5</v>
      </c>
      <c r="S3613" s="40">
        <v>1</v>
      </c>
      <c r="T3613" s="7"/>
      <c r="U3613" s="7" t="s">
        <v>2951</v>
      </c>
      <c r="V3613" s="7" t="str">
        <f>+IF(U3613="","",IF(U3613="FINES",CONCATENATE("R",IF(OR(B3613="16",B3613="21",B3613="22",B3613="23"),"16212223",IF(OR(B3613="15",B3613="17",B3613="24",B3613="25"),"15172425",B3613))),IF(U3613="CEBAS","UNICO",IF(VALUE(B3613)&lt;=11,"AMBA","INTERIOR"))))</f>
        <v>R18</v>
      </c>
      <c r="W3613" s="38" t="str">
        <f>+IF(U3613="","-",CONCATENATE(U3613,"_",V3613))</f>
        <v>FINES_R18</v>
      </c>
      <c r="X3613" s="42">
        <v>0.82199999999999995</v>
      </c>
    </row>
    <row r="3614" spans="1:24">
      <c r="A3614" s="21" t="s">
        <v>5100</v>
      </c>
      <c r="B3614" t="s">
        <v>410</v>
      </c>
      <c r="C3614" t="s">
        <v>570</v>
      </c>
      <c r="D3614" t="s">
        <v>2717</v>
      </c>
      <c r="E3614" s="7" t="s">
        <v>198</v>
      </c>
      <c r="F3614" s="7" t="s">
        <v>198</v>
      </c>
      <c r="G3614" s="7" t="s">
        <v>198</v>
      </c>
      <c r="H3614" s="7" t="s">
        <v>20</v>
      </c>
      <c r="I3614" s="7" t="s">
        <v>5102</v>
      </c>
      <c r="J3614" s="7" t="s">
        <v>21</v>
      </c>
      <c r="L3614" t="s">
        <v>4737</v>
      </c>
      <c r="M3614" s="7" t="s">
        <v>22</v>
      </c>
      <c r="N3614" s="7" t="s">
        <v>23</v>
      </c>
      <c r="O3614" s="7" t="s">
        <v>27</v>
      </c>
      <c r="P3614" s="7" t="s">
        <v>5101</v>
      </c>
      <c r="Q3614" s="26">
        <v>13</v>
      </c>
      <c r="R3614" s="26">
        <v>1</v>
      </c>
      <c r="S3614" s="40">
        <v>1</v>
      </c>
      <c r="T3614" s="7"/>
      <c r="U3614" s="7" t="s">
        <v>2951</v>
      </c>
      <c r="V3614" s="7" t="str">
        <f>+IF(U3614="","",IF(U3614="FINES",CONCATENATE("R",IF(OR(B3614="16",B3614="21",B3614="22",B3614="23"),"16212223",IF(OR(B3614="15",B3614="17",B3614="24",B3614="25"),"15172425",B3614))),IF(U3614="CEBAS","UNICO",IF(VALUE(B3614)&lt;=11,"AMBA","INTERIOR"))))</f>
        <v>R18</v>
      </c>
      <c r="W3614" s="38" t="str">
        <f>+IF(U3614="","-",CONCATENATE(U3614,"_",V3614))</f>
        <v>FINES_R18</v>
      </c>
      <c r="X3614" s="42">
        <v>0.82599999999999996</v>
      </c>
    </row>
    <row r="3615" spans="1:24">
      <c r="A3615" s="21" t="s">
        <v>5100</v>
      </c>
      <c r="B3615" t="s">
        <v>410</v>
      </c>
      <c r="C3615" t="s">
        <v>417</v>
      </c>
      <c r="D3615" t="s">
        <v>2739</v>
      </c>
      <c r="E3615" s="7" t="s">
        <v>198</v>
      </c>
      <c r="F3615" s="7" t="s">
        <v>198</v>
      </c>
      <c r="G3615" s="7" t="s">
        <v>198</v>
      </c>
      <c r="H3615" s="7" t="s">
        <v>20</v>
      </c>
      <c r="I3615" s="7" t="s">
        <v>5102</v>
      </c>
      <c r="J3615" s="7" t="s">
        <v>21</v>
      </c>
      <c r="L3615" t="s">
        <v>4754</v>
      </c>
      <c r="M3615" s="7" t="s">
        <v>22</v>
      </c>
      <c r="N3615" s="7" t="s">
        <v>23</v>
      </c>
      <c r="O3615" s="7" t="s">
        <v>27</v>
      </c>
      <c r="P3615" s="7" t="s">
        <v>5101</v>
      </c>
      <c r="Q3615" s="26">
        <v>47</v>
      </c>
      <c r="R3615" s="26">
        <v>3</v>
      </c>
      <c r="S3615" s="40">
        <v>1</v>
      </c>
      <c r="T3615" s="7"/>
      <c r="U3615" s="7" t="s">
        <v>2951</v>
      </c>
      <c r="V3615" s="7" t="str">
        <f>+IF(U3615="","",IF(U3615="FINES",CONCATENATE("R",IF(OR(B3615="16",B3615="21",B3615="22",B3615="23"),"16212223",IF(OR(B3615="15",B3615="17",B3615="24",B3615="25"),"15172425",B3615))),IF(U3615="CEBAS","UNICO",IF(VALUE(B3615)&lt;=11,"AMBA","INTERIOR"))))</f>
        <v>R18</v>
      </c>
      <c r="W3615" s="38" t="str">
        <f>+IF(U3615="","-",CONCATENATE(U3615,"_",V3615))</f>
        <v>FINES_R18</v>
      </c>
      <c r="X3615" s="42">
        <v>0.82599999999999996</v>
      </c>
    </row>
    <row r="3616" spans="1:24">
      <c r="A3616" s="21" t="s">
        <v>5100</v>
      </c>
      <c r="B3616" t="s">
        <v>410</v>
      </c>
      <c r="C3616" t="s">
        <v>760</v>
      </c>
      <c r="D3616" t="s">
        <v>761</v>
      </c>
      <c r="E3616" s="7" t="s">
        <v>198</v>
      </c>
      <c r="F3616" s="7" t="s">
        <v>198</v>
      </c>
      <c r="G3616" s="7" t="s">
        <v>198</v>
      </c>
      <c r="H3616" s="7" t="s">
        <v>20</v>
      </c>
      <c r="I3616" s="7" t="s">
        <v>5102</v>
      </c>
      <c r="J3616" s="7" t="s">
        <v>21</v>
      </c>
      <c r="L3616" t="s">
        <v>4717</v>
      </c>
      <c r="M3616" s="7" t="s">
        <v>22</v>
      </c>
      <c r="N3616" s="7" t="s">
        <v>23</v>
      </c>
      <c r="O3616" s="7" t="s">
        <v>27</v>
      </c>
      <c r="P3616" s="7" t="s">
        <v>5101</v>
      </c>
      <c r="Q3616" s="26">
        <v>47</v>
      </c>
      <c r="R3616" s="26">
        <v>2</v>
      </c>
      <c r="S3616" s="40">
        <v>1</v>
      </c>
      <c r="T3616" s="7"/>
      <c r="U3616" s="7" t="s">
        <v>2951</v>
      </c>
      <c r="V3616" s="7" t="str">
        <f>+IF(U3616="","",IF(U3616="FINES",CONCATENATE("R",IF(OR(B3616="16",B3616="21",B3616="22",B3616="23"),"16212223",IF(OR(B3616="15",B3616="17",B3616="24",B3616="25"),"15172425",B3616))),IF(U3616="CEBAS","UNICO",IF(VALUE(B3616)&lt;=11,"AMBA","INTERIOR"))))</f>
        <v>R18</v>
      </c>
      <c r="W3616" s="38" t="str">
        <f>+IF(U3616="","-",CONCATENATE(U3616,"_",V3616))</f>
        <v>FINES_R18</v>
      </c>
      <c r="X3616" s="42">
        <v>0.85</v>
      </c>
    </row>
    <row r="3617" spans="1:24">
      <c r="A3617" s="21" t="s">
        <v>5100</v>
      </c>
      <c r="B3617" t="s">
        <v>410</v>
      </c>
      <c r="C3617" t="s">
        <v>244</v>
      </c>
      <c r="D3617" t="s">
        <v>689</v>
      </c>
      <c r="E3617" s="7" t="s">
        <v>198</v>
      </c>
      <c r="F3617" s="7" t="s">
        <v>198</v>
      </c>
      <c r="G3617" s="7" t="s">
        <v>198</v>
      </c>
      <c r="H3617" s="7" t="s">
        <v>20</v>
      </c>
      <c r="I3617" s="7" t="s">
        <v>5102</v>
      </c>
      <c r="J3617" s="7" t="s">
        <v>21</v>
      </c>
      <c r="L3617" t="s">
        <v>4714</v>
      </c>
      <c r="M3617" s="7" t="s">
        <v>22</v>
      </c>
      <c r="N3617" s="7" t="s">
        <v>23</v>
      </c>
      <c r="O3617" s="7" t="s">
        <v>27</v>
      </c>
      <c r="P3617" s="7" t="s">
        <v>5101</v>
      </c>
      <c r="Q3617" s="26">
        <v>21</v>
      </c>
      <c r="R3617" s="26">
        <v>2</v>
      </c>
      <c r="S3617" s="40">
        <v>1</v>
      </c>
      <c r="T3617" s="7"/>
      <c r="U3617" s="7" t="s">
        <v>2951</v>
      </c>
      <c r="V3617" s="7" t="str">
        <f>+IF(U3617="","",IF(U3617="FINES",CONCATENATE("R",IF(OR(B3617="16",B3617="21",B3617="22",B3617="23"),"16212223",IF(OR(B3617="15",B3617="17",B3617="24",B3617="25"),"15172425",B3617))),IF(U3617="CEBAS","UNICO",IF(VALUE(B3617)&lt;=11,"AMBA","INTERIOR"))))</f>
        <v>R18</v>
      </c>
      <c r="W3617" s="38" t="str">
        <f>+IF(U3617="","-",CONCATENATE(U3617,"_",V3617))</f>
        <v>FINES_R18</v>
      </c>
      <c r="X3617" s="42">
        <v>0.85</v>
      </c>
    </row>
    <row r="3618" spans="1:24">
      <c r="A3618" s="21" t="s">
        <v>5100</v>
      </c>
      <c r="B3618" t="s">
        <v>410</v>
      </c>
      <c r="C3618" t="s">
        <v>908</v>
      </c>
      <c r="D3618" t="s">
        <v>909</v>
      </c>
      <c r="E3618" s="7" t="s">
        <v>198</v>
      </c>
      <c r="F3618" s="7" t="s">
        <v>198</v>
      </c>
      <c r="G3618" s="7" t="s">
        <v>198</v>
      </c>
      <c r="H3618" s="7" t="s">
        <v>20</v>
      </c>
      <c r="I3618" s="7" t="s">
        <v>5102</v>
      </c>
      <c r="J3618" s="7" t="s">
        <v>21</v>
      </c>
      <c r="L3618" t="s">
        <v>4727</v>
      </c>
      <c r="M3618" s="7" t="s">
        <v>22</v>
      </c>
      <c r="N3618" s="7" t="s">
        <v>23</v>
      </c>
      <c r="O3618" s="7" t="s">
        <v>27</v>
      </c>
      <c r="P3618" s="7" t="s">
        <v>5101</v>
      </c>
      <c r="Q3618" s="26">
        <v>26</v>
      </c>
      <c r="R3618" s="26">
        <v>3</v>
      </c>
      <c r="S3618" s="40">
        <v>1</v>
      </c>
      <c r="T3618" s="7"/>
      <c r="U3618" s="7" t="s">
        <v>2951</v>
      </c>
      <c r="V3618" s="7" t="str">
        <f>+IF(U3618="","",IF(U3618="FINES",CONCATENATE("R",IF(OR(B3618="16",B3618="21",B3618="22",B3618="23"),"16212223",IF(OR(B3618="15",B3618="17",B3618="24",B3618="25"),"15172425",B3618))),IF(U3618="CEBAS","UNICO",IF(VALUE(B3618)&lt;=11,"AMBA","INTERIOR"))))</f>
        <v>R18</v>
      </c>
      <c r="W3618" s="38" t="str">
        <f>+IF(U3618="","-",CONCATENATE(U3618,"_",V3618))</f>
        <v>FINES_R18</v>
      </c>
      <c r="X3618" s="42">
        <v>0.85499999999999998</v>
      </c>
    </row>
    <row r="3619" spans="1:24">
      <c r="A3619" s="21" t="s">
        <v>5100</v>
      </c>
      <c r="B3619" t="s">
        <v>410</v>
      </c>
      <c r="C3619" t="s">
        <v>570</v>
      </c>
      <c r="D3619" t="s">
        <v>2717</v>
      </c>
      <c r="E3619" s="7" t="s">
        <v>198</v>
      </c>
      <c r="F3619" s="7" t="s">
        <v>198</v>
      </c>
      <c r="G3619" s="7" t="s">
        <v>198</v>
      </c>
      <c r="H3619" s="7" t="s">
        <v>20</v>
      </c>
      <c r="I3619" s="7" t="s">
        <v>5102</v>
      </c>
      <c r="J3619" s="7" t="s">
        <v>21</v>
      </c>
      <c r="L3619" t="s">
        <v>4735</v>
      </c>
      <c r="M3619" s="7" t="s">
        <v>22</v>
      </c>
      <c r="N3619" s="7" t="s">
        <v>23</v>
      </c>
      <c r="O3619" s="7" t="s">
        <v>27</v>
      </c>
      <c r="P3619" s="7" t="s">
        <v>5101</v>
      </c>
      <c r="Q3619" s="26">
        <v>29</v>
      </c>
      <c r="R3619" s="26">
        <v>2</v>
      </c>
      <c r="S3619" s="40">
        <v>1</v>
      </c>
      <c r="T3619" s="7"/>
      <c r="U3619" s="7" t="s">
        <v>2951</v>
      </c>
      <c r="V3619" s="7" t="str">
        <f>+IF(U3619="","",IF(U3619="FINES",CONCATENATE("R",IF(OR(B3619="16",B3619="21",B3619="22",B3619="23"),"16212223",IF(OR(B3619="15",B3619="17",B3619="24",B3619="25"),"15172425",B3619))),IF(U3619="CEBAS","UNICO",IF(VALUE(B3619)&lt;=11,"AMBA","INTERIOR"))))</f>
        <v>R18</v>
      </c>
      <c r="W3619" s="38" t="str">
        <f>+IF(U3619="","-",CONCATENATE(U3619,"_",V3619))</f>
        <v>FINES_R18</v>
      </c>
      <c r="X3619" s="42">
        <v>0.89300000000000002</v>
      </c>
    </row>
    <row r="3620" spans="1:24">
      <c r="A3620" s="21" t="s">
        <v>5100</v>
      </c>
      <c r="B3620" t="s">
        <v>410</v>
      </c>
      <c r="C3620" t="s">
        <v>423</v>
      </c>
      <c r="D3620" t="s">
        <v>425</v>
      </c>
      <c r="E3620" s="7" t="s">
        <v>198</v>
      </c>
      <c r="F3620" s="7" t="s">
        <v>198</v>
      </c>
      <c r="G3620" s="7" t="s">
        <v>198</v>
      </c>
      <c r="H3620" s="7" t="s">
        <v>20</v>
      </c>
      <c r="I3620" s="7" t="s">
        <v>5102</v>
      </c>
      <c r="J3620" s="7" t="s">
        <v>21</v>
      </c>
      <c r="L3620" t="s">
        <v>4707</v>
      </c>
      <c r="M3620" s="7" t="s">
        <v>22</v>
      </c>
      <c r="N3620" s="7" t="s">
        <v>23</v>
      </c>
      <c r="O3620" s="7" t="s">
        <v>27</v>
      </c>
      <c r="P3620" s="7" t="s">
        <v>5101</v>
      </c>
      <c r="Q3620" s="26">
        <v>24</v>
      </c>
      <c r="R3620" s="26">
        <v>1</v>
      </c>
      <c r="S3620" s="40">
        <v>1</v>
      </c>
      <c r="T3620" s="7"/>
      <c r="U3620" s="7" t="s">
        <v>2951</v>
      </c>
      <c r="V3620" s="7" t="str">
        <f>+IF(U3620="","",IF(U3620="FINES",CONCATENATE("R",IF(OR(B3620="16",B3620="21",B3620="22",B3620="23"),"16212223",IF(OR(B3620="15",B3620="17",B3620="24",B3620="25"),"15172425",B3620))),IF(U3620="CEBAS","UNICO",IF(VALUE(B3620)&lt;=11,"AMBA","INTERIOR"))))</f>
        <v>R18</v>
      </c>
      <c r="W3620" s="38" t="str">
        <f>+IF(U3620="","-",CONCATENATE(U3620,"_",V3620))</f>
        <v>FINES_R18</v>
      </c>
      <c r="X3620" s="42">
        <v>0.92900000000000005</v>
      </c>
    </row>
    <row r="3621" spans="1:24">
      <c r="A3621" s="21" t="s">
        <v>5100</v>
      </c>
      <c r="B3621" t="s">
        <v>410</v>
      </c>
      <c r="C3621" t="s">
        <v>417</v>
      </c>
      <c r="D3621" t="s">
        <v>2739</v>
      </c>
      <c r="E3621" s="7" t="s">
        <v>198</v>
      </c>
      <c r="F3621" s="7" t="s">
        <v>198</v>
      </c>
      <c r="G3621" s="7" t="s">
        <v>198</v>
      </c>
      <c r="H3621" s="7" t="s">
        <v>20</v>
      </c>
      <c r="I3621" s="7" t="s">
        <v>5102</v>
      </c>
      <c r="J3621" s="7" t="s">
        <v>21</v>
      </c>
      <c r="L3621" t="s">
        <v>4755</v>
      </c>
      <c r="M3621" s="7" t="s">
        <v>22</v>
      </c>
      <c r="N3621" s="7" t="s">
        <v>23</v>
      </c>
      <c r="O3621" s="7" t="s">
        <v>27</v>
      </c>
      <c r="P3621" s="7" t="s">
        <v>5101</v>
      </c>
      <c r="Q3621" s="26">
        <v>15</v>
      </c>
      <c r="R3621" s="26">
        <v>1</v>
      </c>
      <c r="S3621" s="40">
        <v>1</v>
      </c>
      <c r="T3621" s="7"/>
      <c r="U3621" s="7" t="s">
        <v>2951</v>
      </c>
      <c r="V3621" s="7" t="str">
        <f>+IF(U3621="","",IF(U3621="FINES",CONCATENATE("R",IF(OR(B3621="16",B3621="21",B3621="22",B3621="23"),"16212223",IF(OR(B3621="15",B3621="17",B3621="24",B3621="25"),"15172425",B3621))),IF(U3621="CEBAS","UNICO",IF(VALUE(B3621)&lt;=11,"AMBA","INTERIOR"))))</f>
        <v>R18</v>
      </c>
      <c r="W3621" s="38" t="str">
        <f>+IF(U3621="","-",CONCATENATE(U3621,"_",V3621))</f>
        <v>FINES_R18</v>
      </c>
      <c r="X3621" s="42">
        <v>0.95699999999999996</v>
      </c>
    </row>
    <row r="3622" spans="1:24">
      <c r="A3622" s="21" t="s">
        <v>5100</v>
      </c>
      <c r="B3622" t="s">
        <v>410</v>
      </c>
      <c r="C3622" t="s">
        <v>423</v>
      </c>
      <c r="D3622" t="s">
        <v>425</v>
      </c>
      <c r="E3622" s="7" t="s">
        <v>198</v>
      </c>
      <c r="F3622" s="7" t="s">
        <v>198</v>
      </c>
      <c r="G3622" s="7" t="s">
        <v>198</v>
      </c>
      <c r="H3622" s="7" t="s">
        <v>20</v>
      </c>
      <c r="I3622" s="7" t="s">
        <v>5102</v>
      </c>
      <c r="J3622" s="7" t="s">
        <v>21</v>
      </c>
      <c r="L3622" t="s">
        <v>4702</v>
      </c>
      <c r="M3622" s="7" t="s">
        <v>22</v>
      </c>
      <c r="N3622" s="7" t="s">
        <v>23</v>
      </c>
      <c r="O3622" s="7" t="s">
        <v>27</v>
      </c>
      <c r="P3622" s="7" t="s">
        <v>5101</v>
      </c>
      <c r="Q3622" s="26">
        <v>32</v>
      </c>
      <c r="R3622" s="26">
        <v>1</v>
      </c>
      <c r="S3622" s="40">
        <v>1</v>
      </c>
      <c r="T3622" s="7"/>
      <c r="U3622" s="7" t="s">
        <v>2951</v>
      </c>
      <c r="V3622" s="7" t="str">
        <f>+IF(U3622="","",IF(U3622="FINES",CONCATENATE("R",IF(OR(B3622="16",B3622="21",B3622="22",B3622="23"),"16212223",IF(OR(B3622="15",B3622="17",B3622="24",B3622="25"),"15172425",B3622))),IF(U3622="CEBAS","UNICO",IF(VALUE(B3622)&lt;=11,"AMBA","INTERIOR"))))</f>
        <v>R18</v>
      </c>
      <c r="W3622" s="38" t="str">
        <f>+IF(U3622="","-",CONCATENATE(U3622,"_",V3622))</f>
        <v>FINES_R18</v>
      </c>
      <c r="X3622" s="42">
        <v>0.97599999999999998</v>
      </c>
    </row>
    <row r="3623" spans="1:24">
      <c r="A3623" s="21" t="s">
        <v>5100</v>
      </c>
      <c r="B3623" t="s">
        <v>410</v>
      </c>
      <c r="C3623" t="s">
        <v>570</v>
      </c>
      <c r="D3623" t="s">
        <v>2717</v>
      </c>
      <c r="E3623" s="7" t="s">
        <v>198</v>
      </c>
      <c r="F3623" s="7" t="s">
        <v>198</v>
      </c>
      <c r="G3623" s="7" t="s">
        <v>198</v>
      </c>
      <c r="H3623" s="7" t="s">
        <v>20</v>
      </c>
      <c r="I3623" s="7" t="s">
        <v>5102</v>
      </c>
      <c r="J3623" s="7" t="s">
        <v>21</v>
      </c>
      <c r="L3623" t="s">
        <v>4744</v>
      </c>
      <c r="M3623" s="7" t="s">
        <v>22</v>
      </c>
      <c r="N3623" s="7" t="s">
        <v>23</v>
      </c>
      <c r="O3623" s="7" t="s">
        <v>27</v>
      </c>
      <c r="P3623" s="7" t="s">
        <v>5101</v>
      </c>
      <c r="Q3623" s="26">
        <v>15</v>
      </c>
      <c r="R3623" s="26">
        <v>2</v>
      </c>
      <c r="S3623" s="40">
        <v>1</v>
      </c>
      <c r="T3623" s="7"/>
      <c r="U3623" s="7" t="s">
        <v>2951</v>
      </c>
      <c r="V3623" s="7" t="str">
        <f>+IF(U3623="","",IF(U3623="FINES",CONCATENATE("R",IF(OR(B3623="16",B3623="21",B3623="22",B3623="23"),"16212223",IF(OR(B3623="15",B3623="17",B3623="24",B3623="25"),"15172425",B3623))),IF(U3623="CEBAS","UNICO",IF(VALUE(B3623)&lt;=11,"AMBA","INTERIOR"))))</f>
        <v>R18</v>
      </c>
      <c r="W3623" s="38" t="str">
        <f>+IF(U3623="","-",CONCATENATE(U3623,"_",V3623))</f>
        <v>FINES_R18</v>
      </c>
      <c r="X3623" s="42">
        <v>0.995</v>
      </c>
    </row>
    <row r="3624" spans="1:24">
      <c r="A3624" s="21" t="s">
        <v>5100</v>
      </c>
      <c r="B3624" t="s">
        <v>410</v>
      </c>
      <c r="C3624" t="s">
        <v>417</v>
      </c>
      <c r="D3624" t="s">
        <v>2739</v>
      </c>
      <c r="E3624" s="7" t="s">
        <v>198</v>
      </c>
      <c r="F3624" s="7" t="s">
        <v>198</v>
      </c>
      <c r="G3624" s="7" t="s">
        <v>198</v>
      </c>
      <c r="H3624" s="7" t="s">
        <v>20</v>
      </c>
      <c r="I3624" s="7" t="s">
        <v>5102</v>
      </c>
      <c r="J3624" s="7" t="s">
        <v>21</v>
      </c>
      <c r="L3624" t="s">
        <v>4760</v>
      </c>
      <c r="M3624" s="7" t="s">
        <v>22</v>
      </c>
      <c r="N3624" s="7" t="s">
        <v>23</v>
      </c>
      <c r="O3624" s="7" t="s">
        <v>27</v>
      </c>
      <c r="P3624" s="7" t="s">
        <v>5101</v>
      </c>
      <c r="Q3624" s="26">
        <v>16</v>
      </c>
      <c r="R3624" s="26">
        <v>1</v>
      </c>
      <c r="S3624" s="40">
        <v>1</v>
      </c>
      <c r="T3624" s="7"/>
      <c r="U3624" s="7" t="s">
        <v>2951</v>
      </c>
      <c r="V3624" s="7" t="str">
        <f>+IF(U3624="","",IF(U3624="FINES",CONCATENATE("R",IF(OR(B3624="16",B3624="21",B3624="22",B3624="23"),"16212223",IF(OR(B3624="15",B3624="17",B3624="24",B3624="25"),"15172425",B3624))),IF(U3624="CEBAS","UNICO",IF(VALUE(B3624)&lt;=11,"AMBA","INTERIOR"))))</f>
        <v>R18</v>
      </c>
      <c r="W3624" s="38" t="str">
        <f>+IF(U3624="","-",CONCATENATE(U3624,"_",V3624))</f>
        <v>FINES_R18</v>
      </c>
      <c r="X3624" s="42">
        <v>1</v>
      </c>
    </row>
    <row r="3625" spans="1:24">
      <c r="A3625" s="21" t="s">
        <v>5100</v>
      </c>
      <c r="B3625" t="s">
        <v>225</v>
      </c>
      <c r="C3625" t="s">
        <v>942</v>
      </c>
      <c r="D3625" t="s">
        <v>943</v>
      </c>
      <c r="E3625" s="7" t="s">
        <v>198</v>
      </c>
      <c r="F3625" s="7" t="s">
        <v>198</v>
      </c>
      <c r="G3625" s="7" t="s">
        <v>198</v>
      </c>
      <c r="H3625" s="7" t="s">
        <v>20</v>
      </c>
      <c r="I3625" s="7" t="s">
        <v>5102</v>
      </c>
      <c r="J3625" s="7" t="s">
        <v>21</v>
      </c>
      <c r="L3625" t="s">
        <v>4813</v>
      </c>
      <c r="M3625" s="7" t="s">
        <v>22</v>
      </c>
      <c r="N3625" s="7" t="s">
        <v>23</v>
      </c>
      <c r="O3625" s="7" t="s">
        <v>27</v>
      </c>
      <c r="P3625" s="7" t="s">
        <v>5101</v>
      </c>
      <c r="Q3625" s="26">
        <v>24</v>
      </c>
      <c r="R3625" s="26">
        <v>1</v>
      </c>
      <c r="S3625" s="40">
        <v>1</v>
      </c>
      <c r="T3625" s="7"/>
      <c r="U3625" s="7" t="s">
        <v>2951</v>
      </c>
      <c r="V3625" s="7" t="str">
        <f>+IF(U3625="","",IF(U3625="FINES",CONCATENATE("R",IF(OR(B3625="16",B3625="21",B3625="22",B3625="23"),"16212223",IF(OR(B3625="15",B3625="17",B3625="24",B3625="25"),"15172425",B3625))),IF(U3625="CEBAS","UNICO",IF(VALUE(B3625)&lt;=11,"AMBA","INTERIOR"))))</f>
        <v>R19</v>
      </c>
      <c r="W3625" s="38" t="str">
        <f>+IF(U3625="","-",CONCATENATE(U3625,"_",V3625))</f>
        <v>FINES_R19</v>
      </c>
      <c r="X3625" s="42">
        <v>1.9E-2</v>
      </c>
    </row>
    <row r="3626" spans="1:24">
      <c r="A3626" s="21" t="s">
        <v>5100</v>
      </c>
      <c r="B3626" t="s">
        <v>225</v>
      </c>
      <c r="C3626" t="s">
        <v>1521</v>
      </c>
      <c r="D3626" t="s">
        <v>1522</v>
      </c>
      <c r="E3626" s="7" t="s">
        <v>198</v>
      </c>
      <c r="F3626" s="7" t="s">
        <v>198</v>
      </c>
      <c r="G3626" s="7" t="s">
        <v>198</v>
      </c>
      <c r="H3626" s="7" t="s">
        <v>20</v>
      </c>
      <c r="I3626" s="7" t="s">
        <v>5102</v>
      </c>
      <c r="J3626" s="7" t="s">
        <v>21</v>
      </c>
      <c r="L3626" t="s">
        <v>4904</v>
      </c>
      <c r="M3626" s="7" t="s">
        <v>22</v>
      </c>
      <c r="N3626" s="7" t="s">
        <v>23</v>
      </c>
      <c r="O3626" s="7" t="s">
        <v>27</v>
      </c>
      <c r="P3626" s="7" t="s">
        <v>5101</v>
      </c>
      <c r="Q3626" s="26">
        <v>21</v>
      </c>
      <c r="R3626" s="26">
        <v>1</v>
      </c>
      <c r="S3626" s="40">
        <v>1</v>
      </c>
      <c r="T3626" s="7"/>
      <c r="U3626" s="7" t="s">
        <v>2951</v>
      </c>
      <c r="V3626" s="7" t="str">
        <f>+IF(U3626="","",IF(U3626="FINES",CONCATENATE("R",IF(OR(B3626="16",B3626="21",B3626="22",B3626="23"),"16212223",IF(OR(B3626="15",B3626="17",B3626="24",B3626="25"),"15172425",B3626))),IF(U3626="CEBAS","UNICO",IF(VALUE(B3626)&lt;=11,"AMBA","INTERIOR"))))</f>
        <v>R19</v>
      </c>
      <c r="W3626" s="38" t="str">
        <f>+IF(U3626="","-",CONCATENATE(U3626,"_",V3626))</f>
        <v>FINES_R19</v>
      </c>
      <c r="X3626" s="42">
        <v>2.1000000000000001E-2</v>
      </c>
    </row>
    <row r="3627" spans="1:24">
      <c r="A3627" s="21" t="s">
        <v>5100</v>
      </c>
      <c r="B3627" t="s">
        <v>225</v>
      </c>
      <c r="C3627" t="s">
        <v>942</v>
      </c>
      <c r="D3627" t="s">
        <v>943</v>
      </c>
      <c r="E3627" s="7" t="s">
        <v>198</v>
      </c>
      <c r="F3627" s="7" t="s">
        <v>198</v>
      </c>
      <c r="G3627" s="7" t="s">
        <v>198</v>
      </c>
      <c r="H3627" s="7" t="s">
        <v>20</v>
      </c>
      <c r="I3627" s="7" t="s">
        <v>5102</v>
      </c>
      <c r="J3627" s="7" t="s">
        <v>21</v>
      </c>
      <c r="L3627" t="s">
        <v>4880</v>
      </c>
      <c r="M3627" s="7" t="s">
        <v>22</v>
      </c>
      <c r="N3627" s="7" t="s">
        <v>23</v>
      </c>
      <c r="O3627" s="7" t="s">
        <v>27</v>
      </c>
      <c r="P3627" s="7" t="s">
        <v>5101</v>
      </c>
      <c r="Q3627" s="26">
        <v>63</v>
      </c>
      <c r="R3627" s="26">
        <v>3</v>
      </c>
      <c r="S3627" s="40">
        <v>1</v>
      </c>
      <c r="T3627" s="7"/>
      <c r="U3627" s="7" t="s">
        <v>2951</v>
      </c>
      <c r="V3627" s="7" t="str">
        <f>+IF(U3627="","",IF(U3627="FINES",CONCATENATE("R",IF(OR(B3627="16",B3627="21",B3627="22",B3627="23"),"16212223",IF(OR(B3627="15",B3627="17",B3627="24",B3627="25"),"15172425",B3627))),IF(U3627="CEBAS","UNICO",IF(VALUE(B3627)&lt;=11,"AMBA","INTERIOR"))))</f>
        <v>R19</v>
      </c>
      <c r="W3627" s="38" t="str">
        <f>+IF(U3627="","-",CONCATENATE(U3627,"_",V3627))</f>
        <v>FINES_R19</v>
      </c>
      <c r="X3627" s="42">
        <v>2.3E-2</v>
      </c>
    </row>
    <row r="3628" spans="1:24">
      <c r="A3628" s="21" t="s">
        <v>5100</v>
      </c>
      <c r="B3628" t="s">
        <v>225</v>
      </c>
      <c r="C3628" t="s">
        <v>942</v>
      </c>
      <c r="D3628" t="s">
        <v>943</v>
      </c>
      <c r="E3628" s="7" t="s">
        <v>198</v>
      </c>
      <c r="F3628" s="7" t="s">
        <v>198</v>
      </c>
      <c r="G3628" s="7" t="s">
        <v>198</v>
      </c>
      <c r="H3628" s="7" t="s">
        <v>20</v>
      </c>
      <c r="I3628" s="7" t="s">
        <v>5102</v>
      </c>
      <c r="J3628" s="7" t="s">
        <v>21</v>
      </c>
      <c r="L3628" t="s">
        <v>4793</v>
      </c>
      <c r="M3628" s="7" t="s">
        <v>22</v>
      </c>
      <c r="N3628" s="7" t="s">
        <v>23</v>
      </c>
      <c r="O3628" s="7" t="s">
        <v>27</v>
      </c>
      <c r="P3628" s="7" t="s">
        <v>5101</v>
      </c>
      <c r="Q3628" s="26">
        <v>23</v>
      </c>
      <c r="R3628" s="26">
        <v>1</v>
      </c>
      <c r="S3628" s="40">
        <v>1</v>
      </c>
      <c r="T3628" s="7"/>
      <c r="U3628" s="7" t="s">
        <v>2951</v>
      </c>
      <c r="V3628" s="7" t="str">
        <f>+IF(U3628="","",IF(U3628="FINES",CONCATENATE("R",IF(OR(B3628="16",B3628="21",B3628="22",B3628="23"),"16212223",IF(OR(B3628="15",B3628="17",B3628="24",B3628="25"),"15172425",B3628))),IF(U3628="CEBAS","UNICO",IF(VALUE(B3628)&lt;=11,"AMBA","INTERIOR"))))</f>
        <v>R19</v>
      </c>
      <c r="W3628" s="38" t="str">
        <f>+IF(U3628="","-",CONCATENATE(U3628,"_",V3628))</f>
        <v>FINES_R19</v>
      </c>
      <c r="X3628" s="42">
        <v>2.4E-2</v>
      </c>
    </row>
    <row r="3629" spans="1:24">
      <c r="A3629" s="21" t="s">
        <v>5100</v>
      </c>
      <c r="B3629" t="s">
        <v>225</v>
      </c>
      <c r="C3629" t="s">
        <v>876</v>
      </c>
      <c r="D3629" t="s">
        <v>877</v>
      </c>
      <c r="E3629" s="7" t="s">
        <v>198</v>
      </c>
      <c r="F3629" s="7" t="s">
        <v>198</v>
      </c>
      <c r="G3629" s="7" t="s">
        <v>198</v>
      </c>
      <c r="H3629" s="7" t="s">
        <v>20</v>
      </c>
      <c r="I3629" s="7" t="s">
        <v>5102</v>
      </c>
      <c r="J3629" s="7" t="s">
        <v>21</v>
      </c>
      <c r="L3629" t="s">
        <v>4768</v>
      </c>
      <c r="M3629" s="7" t="s">
        <v>22</v>
      </c>
      <c r="N3629" s="7" t="s">
        <v>23</v>
      </c>
      <c r="O3629" s="7" t="s">
        <v>27</v>
      </c>
      <c r="P3629" s="7" t="s">
        <v>5101</v>
      </c>
      <c r="Q3629" s="26">
        <v>0</v>
      </c>
      <c r="R3629" s="26">
        <v>1</v>
      </c>
      <c r="S3629" s="40">
        <v>1</v>
      </c>
      <c r="T3629" s="7"/>
      <c r="U3629" s="7" t="s">
        <v>2951</v>
      </c>
      <c r="V3629" s="7" t="str">
        <f>+IF(U3629="","",IF(U3629="FINES",CONCATENATE("R",IF(OR(B3629="16",B3629="21",B3629="22",B3629="23"),"16212223",IF(OR(B3629="15",B3629="17",B3629="24",B3629="25"),"15172425",B3629))),IF(U3629="CEBAS","UNICO",IF(VALUE(B3629)&lt;=11,"AMBA","INTERIOR"))))</f>
        <v>R19</v>
      </c>
      <c r="W3629" s="38" t="str">
        <f>+IF(U3629="","-",CONCATENATE(U3629,"_",V3629))</f>
        <v>FINES_R19</v>
      </c>
      <c r="X3629" s="42">
        <v>2.8000000000000001E-2</v>
      </c>
    </row>
    <row r="3630" spans="1:24">
      <c r="A3630" s="21" t="s">
        <v>5100</v>
      </c>
      <c r="B3630" t="s">
        <v>225</v>
      </c>
      <c r="C3630" t="s">
        <v>942</v>
      </c>
      <c r="D3630" t="s">
        <v>943</v>
      </c>
      <c r="E3630" s="7" t="s">
        <v>198</v>
      </c>
      <c r="F3630" s="7" t="s">
        <v>198</v>
      </c>
      <c r="G3630" s="7" t="s">
        <v>198</v>
      </c>
      <c r="H3630" s="7" t="s">
        <v>20</v>
      </c>
      <c r="I3630" s="7" t="s">
        <v>5102</v>
      </c>
      <c r="J3630" s="7" t="s">
        <v>21</v>
      </c>
      <c r="L3630" t="s">
        <v>4808</v>
      </c>
      <c r="M3630" s="7" t="s">
        <v>22</v>
      </c>
      <c r="N3630" s="7" t="s">
        <v>23</v>
      </c>
      <c r="O3630" s="7" t="s">
        <v>27</v>
      </c>
      <c r="P3630" s="7" t="s">
        <v>5101</v>
      </c>
      <c r="Q3630" s="26">
        <v>13</v>
      </c>
      <c r="R3630" s="26">
        <v>1</v>
      </c>
      <c r="S3630" s="40">
        <v>1</v>
      </c>
      <c r="T3630" s="7"/>
      <c r="U3630" s="7" t="s">
        <v>2951</v>
      </c>
      <c r="V3630" s="7" t="str">
        <f>+IF(U3630="","",IF(U3630="FINES",CONCATENATE("R",IF(OR(B3630="16",B3630="21",B3630="22",B3630="23"),"16212223",IF(OR(B3630="15",B3630="17",B3630="24",B3630="25"),"15172425",B3630))),IF(U3630="CEBAS","UNICO",IF(VALUE(B3630)&lt;=11,"AMBA","INTERIOR"))))</f>
        <v>R19</v>
      </c>
      <c r="W3630" s="38" t="str">
        <f>+IF(U3630="","-",CONCATENATE(U3630,"_",V3630))</f>
        <v>FINES_R19</v>
      </c>
      <c r="X3630" s="42">
        <v>4.2000000000000003E-2</v>
      </c>
    </row>
    <row r="3631" spans="1:24">
      <c r="A3631" s="21" t="s">
        <v>5100</v>
      </c>
      <c r="B3631" t="s">
        <v>225</v>
      </c>
      <c r="C3631" t="s">
        <v>942</v>
      </c>
      <c r="D3631" t="s">
        <v>943</v>
      </c>
      <c r="E3631" s="7" t="s">
        <v>198</v>
      </c>
      <c r="F3631" s="7" t="s">
        <v>198</v>
      </c>
      <c r="G3631" s="7" t="s">
        <v>198</v>
      </c>
      <c r="H3631" s="7" t="s">
        <v>20</v>
      </c>
      <c r="I3631" s="7" t="s">
        <v>5102</v>
      </c>
      <c r="J3631" s="7" t="s">
        <v>21</v>
      </c>
      <c r="L3631" t="s">
        <v>4827</v>
      </c>
      <c r="M3631" s="7" t="s">
        <v>22</v>
      </c>
      <c r="N3631" s="7" t="s">
        <v>23</v>
      </c>
      <c r="O3631" s="7" t="s">
        <v>27</v>
      </c>
      <c r="P3631" s="7" t="s">
        <v>5101</v>
      </c>
      <c r="Q3631" s="26">
        <v>21</v>
      </c>
      <c r="R3631" s="26">
        <v>1</v>
      </c>
      <c r="S3631" s="40">
        <v>1</v>
      </c>
      <c r="T3631" s="7"/>
      <c r="U3631" s="7" t="s">
        <v>2951</v>
      </c>
      <c r="V3631" s="7" t="str">
        <f>+IF(U3631="","",IF(U3631="FINES",CONCATENATE("R",IF(OR(B3631="16",B3631="21",B3631="22",B3631="23"),"16212223",IF(OR(B3631="15",B3631="17",B3631="24",B3631="25"),"15172425",B3631))),IF(U3631="CEBAS","UNICO",IF(VALUE(B3631)&lt;=11,"AMBA","INTERIOR"))))</f>
        <v>R19</v>
      </c>
      <c r="W3631" s="38" t="str">
        <f>+IF(U3631="","-",CONCATENATE(U3631,"_",V3631))</f>
        <v>FINES_R19</v>
      </c>
      <c r="X3631" s="42">
        <v>4.7E-2</v>
      </c>
    </row>
    <row r="3632" spans="1:24">
      <c r="A3632" s="21" t="s">
        <v>5100</v>
      </c>
      <c r="B3632" t="s">
        <v>225</v>
      </c>
      <c r="C3632" t="s">
        <v>942</v>
      </c>
      <c r="D3632" t="s">
        <v>943</v>
      </c>
      <c r="E3632" s="7" t="s">
        <v>198</v>
      </c>
      <c r="F3632" s="7" t="s">
        <v>198</v>
      </c>
      <c r="G3632" s="7" t="s">
        <v>198</v>
      </c>
      <c r="H3632" s="7" t="s">
        <v>20</v>
      </c>
      <c r="I3632" s="7" t="s">
        <v>5102</v>
      </c>
      <c r="J3632" s="7" t="s">
        <v>21</v>
      </c>
      <c r="L3632" t="s">
        <v>4789</v>
      </c>
      <c r="M3632" s="7" t="s">
        <v>22</v>
      </c>
      <c r="N3632" s="7" t="s">
        <v>23</v>
      </c>
      <c r="O3632" s="7" t="s">
        <v>27</v>
      </c>
      <c r="P3632" s="7" t="s">
        <v>5101</v>
      </c>
      <c r="Q3632" s="26">
        <v>221</v>
      </c>
      <c r="R3632" s="26">
        <v>10</v>
      </c>
      <c r="S3632" s="40">
        <v>1</v>
      </c>
      <c r="T3632" s="7"/>
      <c r="U3632" s="7" t="s">
        <v>2951</v>
      </c>
      <c r="V3632" s="7" t="str">
        <f>+IF(U3632="","",IF(U3632="FINES",CONCATENATE("R",IF(OR(B3632="16",B3632="21",B3632="22",B3632="23"),"16212223",IF(OR(B3632="15",B3632="17",B3632="24",B3632="25"),"15172425",B3632))),IF(U3632="CEBAS","UNICO",IF(VALUE(B3632)&lt;=11,"AMBA","INTERIOR"))))</f>
        <v>R19</v>
      </c>
      <c r="W3632" s="38" t="str">
        <f>+IF(U3632="","-",CONCATENATE(U3632,"_",V3632))</f>
        <v>FINES_R19</v>
      </c>
      <c r="X3632" s="42">
        <v>4.9000000000000002E-2</v>
      </c>
    </row>
    <row r="3633" spans="1:24">
      <c r="A3633" s="21" t="s">
        <v>5100</v>
      </c>
      <c r="B3633" t="s">
        <v>225</v>
      </c>
      <c r="C3633" t="s">
        <v>942</v>
      </c>
      <c r="D3633" t="s">
        <v>943</v>
      </c>
      <c r="E3633" s="7" t="s">
        <v>198</v>
      </c>
      <c r="F3633" s="7" t="s">
        <v>198</v>
      </c>
      <c r="G3633" s="7" t="s">
        <v>198</v>
      </c>
      <c r="H3633" s="7" t="s">
        <v>20</v>
      </c>
      <c r="I3633" s="7" t="s">
        <v>5102</v>
      </c>
      <c r="J3633" s="7" t="s">
        <v>21</v>
      </c>
      <c r="L3633" t="s">
        <v>4848</v>
      </c>
      <c r="M3633" s="7" t="s">
        <v>22</v>
      </c>
      <c r="N3633" s="7" t="s">
        <v>23</v>
      </c>
      <c r="O3633" s="7" t="s">
        <v>27</v>
      </c>
      <c r="P3633" s="7" t="s">
        <v>5101</v>
      </c>
      <c r="Q3633" s="26">
        <v>15</v>
      </c>
      <c r="R3633" s="26">
        <v>1</v>
      </c>
      <c r="S3633" s="40">
        <v>1</v>
      </c>
      <c r="T3633" s="7"/>
      <c r="U3633" s="7" t="s">
        <v>2951</v>
      </c>
      <c r="V3633" s="7" t="str">
        <f>+IF(U3633="","",IF(U3633="FINES",CONCATENATE("R",IF(OR(B3633="16",B3633="21",B3633="22",B3633="23"),"16212223",IF(OR(B3633="15",B3633="17",B3633="24",B3633="25"),"15172425",B3633))),IF(U3633="CEBAS","UNICO",IF(VALUE(B3633)&lt;=11,"AMBA","INTERIOR"))))</f>
        <v>R19</v>
      </c>
      <c r="W3633" s="38" t="str">
        <f>+IF(U3633="","-",CONCATENATE(U3633,"_",V3633))</f>
        <v>FINES_R19</v>
      </c>
      <c r="X3633" s="42">
        <v>5.0999999999999997E-2</v>
      </c>
    </row>
    <row r="3634" spans="1:24">
      <c r="A3634" s="21" t="s">
        <v>5100</v>
      </c>
      <c r="B3634" t="s">
        <v>225</v>
      </c>
      <c r="C3634" t="s">
        <v>942</v>
      </c>
      <c r="D3634" t="s">
        <v>943</v>
      </c>
      <c r="E3634" s="7" t="s">
        <v>198</v>
      </c>
      <c r="F3634" s="7" t="s">
        <v>198</v>
      </c>
      <c r="G3634" s="7" t="s">
        <v>198</v>
      </c>
      <c r="H3634" s="7" t="s">
        <v>20</v>
      </c>
      <c r="I3634" s="7" t="s">
        <v>5102</v>
      </c>
      <c r="J3634" s="7" t="s">
        <v>21</v>
      </c>
      <c r="L3634" t="s">
        <v>4844</v>
      </c>
      <c r="M3634" s="7" t="s">
        <v>22</v>
      </c>
      <c r="N3634" s="7" t="s">
        <v>23</v>
      </c>
      <c r="O3634" s="7" t="s">
        <v>27</v>
      </c>
      <c r="P3634" s="7" t="s">
        <v>5101</v>
      </c>
      <c r="Q3634" s="26">
        <v>31</v>
      </c>
      <c r="R3634" s="26">
        <v>2</v>
      </c>
      <c r="S3634" s="40">
        <v>1</v>
      </c>
      <c r="T3634" s="7"/>
      <c r="U3634" s="7" t="s">
        <v>2951</v>
      </c>
      <c r="V3634" s="7" t="str">
        <f>+IF(U3634="","",IF(U3634="FINES",CONCATENATE("R",IF(OR(B3634="16",B3634="21",B3634="22",B3634="23"),"16212223",IF(OR(B3634="15",B3634="17",B3634="24",B3634="25"),"15172425",B3634))),IF(U3634="CEBAS","UNICO",IF(VALUE(B3634)&lt;=11,"AMBA","INTERIOR"))))</f>
        <v>R19</v>
      </c>
      <c r="W3634" s="38" t="str">
        <f>+IF(U3634="","-",CONCATENATE(U3634,"_",V3634))</f>
        <v>FINES_R19</v>
      </c>
      <c r="X3634" s="42">
        <v>5.1999999999999998E-2</v>
      </c>
    </row>
    <row r="3635" spans="1:24">
      <c r="A3635" s="21" t="s">
        <v>5100</v>
      </c>
      <c r="B3635" t="s">
        <v>225</v>
      </c>
      <c r="C3635" t="s">
        <v>942</v>
      </c>
      <c r="D3635" t="s">
        <v>943</v>
      </c>
      <c r="E3635" s="7" t="s">
        <v>198</v>
      </c>
      <c r="F3635" s="7" t="s">
        <v>198</v>
      </c>
      <c r="G3635" s="7" t="s">
        <v>198</v>
      </c>
      <c r="H3635" s="7" t="s">
        <v>20</v>
      </c>
      <c r="I3635" s="7" t="s">
        <v>5102</v>
      </c>
      <c r="J3635" s="7" t="s">
        <v>21</v>
      </c>
      <c r="L3635" t="s">
        <v>4818</v>
      </c>
      <c r="M3635" s="7" t="s">
        <v>22</v>
      </c>
      <c r="N3635" s="7" t="s">
        <v>23</v>
      </c>
      <c r="O3635" s="7" t="s">
        <v>27</v>
      </c>
      <c r="P3635" s="7" t="s">
        <v>5101</v>
      </c>
      <c r="Q3635" s="26">
        <v>21</v>
      </c>
      <c r="R3635" s="26">
        <v>1</v>
      </c>
      <c r="S3635" s="40">
        <v>1</v>
      </c>
      <c r="T3635" s="7"/>
      <c r="U3635" s="7" t="s">
        <v>2951</v>
      </c>
      <c r="V3635" s="7" t="str">
        <f>+IF(U3635="","",IF(U3635="FINES",CONCATENATE("R",IF(OR(B3635="16",B3635="21",B3635="22",B3635="23"),"16212223",IF(OR(B3635="15",B3635="17",B3635="24",B3635="25"),"15172425",B3635))),IF(U3635="CEBAS","UNICO",IF(VALUE(B3635)&lt;=11,"AMBA","INTERIOR"))))</f>
        <v>R19</v>
      </c>
      <c r="W3635" s="38" t="str">
        <f>+IF(U3635="","-",CONCATENATE(U3635,"_",V3635))</f>
        <v>FINES_R19</v>
      </c>
      <c r="X3635" s="42">
        <v>5.5E-2</v>
      </c>
    </row>
    <row r="3636" spans="1:24">
      <c r="A3636" s="21" t="s">
        <v>5100</v>
      </c>
      <c r="B3636" t="s">
        <v>225</v>
      </c>
      <c r="C3636" t="s">
        <v>942</v>
      </c>
      <c r="D3636" t="s">
        <v>943</v>
      </c>
      <c r="E3636" s="7" t="s">
        <v>198</v>
      </c>
      <c r="F3636" s="7" t="s">
        <v>198</v>
      </c>
      <c r="G3636" s="7" t="s">
        <v>198</v>
      </c>
      <c r="H3636" s="7" t="s">
        <v>20</v>
      </c>
      <c r="I3636" s="7" t="s">
        <v>5102</v>
      </c>
      <c r="J3636" s="7" t="s">
        <v>21</v>
      </c>
      <c r="L3636" t="s">
        <v>4867</v>
      </c>
      <c r="M3636" s="7" t="s">
        <v>22</v>
      </c>
      <c r="N3636" s="7" t="s">
        <v>23</v>
      </c>
      <c r="O3636" s="7" t="s">
        <v>27</v>
      </c>
      <c r="P3636" s="7" t="s">
        <v>5101</v>
      </c>
      <c r="Q3636" s="26">
        <v>0</v>
      </c>
      <c r="R3636" s="26">
        <v>1</v>
      </c>
      <c r="S3636" s="40">
        <v>1</v>
      </c>
      <c r="T3636" s="7"/>
      <c r="U3636" s="7" t="s">
        <v>2951</v>
      </c>
      <c r="V3636" s="7" t="str">
        <f>+IF(U3636="","",IF(U3636="FINES",CONCATENATE("R",IF(OR(B3636="16",B3636="21",B3636="22",B3636="23"),"16212223",IF(OR(B3636="15",B3636="17",B3636="24",B3636="25"),"15172425",B3636))),IF(U3636="CEBAS","UNICO",IF(VALUE(B3636)&lt;=11,"AMBA","INTERIOR"))))</f>
        <v>R19</v>
      </c>
      <c r="W3636" s="38" t="str">
        <f>+IF(U3636="","-",CONCATENATE(U3636,"_",V3636))</f>
        <v>FINES_R19</v>
      </c>
      <c r="X3636" s="42">
        <v>5.5E-2</v>
      </c>
    </row>
    <row r="3637" spans="1:24">
      <c r="A3637" s="21" t="s">
        <v>5100</v>
      </c>
      <c r="B3637" t="s">
        <v>225</v>
      </c>
      <c r="C3637" t="s">
        <v>942</v>
      </c>
      <c r="D3637" t="s">
        <v>943</v>
      </c>
      <c r="E3637" s="7" t="s">
        <v>198</v>
      </c>
      <c r="F3637" s="7" t="s">
        <v>198</v>
      </c>
      <c r="G3637" s="7" t="s">
        <v>198</v>
      </c>
      <c r="H3637" s="7" t="s">
        <v>20</v>
      </c>
      <c r="I3637" s="7" t="s">
        <v>5102</v>
      </c>
      <c r="J3637" s="7" t="s">
        <v>21</v>
      </c>
      <c r="L3637" t="s">
        <v>4780</v>
      </c>
      <c r="M3637" s="7" t="s">
        <v>22</v>
      </c>
      <c r="N3637" s="7" t="s">
        <v>23</v>
      </c>
      <c r="O3637" s="7" t="s">
        <v>27</v>
      </c>
      <c r="P3637" s="7" t="s">
        <v>5101</v>
      </c>
      <c r="Q3637" s="26">
        <v>13</v>
      </c>
      <c r="R3637" s="26">
        <v>1</v>
      </c>
      <c r="S3637" s="40">
        <v>1</v>
      </c>
      <c r="T3637" s="7"/>
      <c r="U3637" s="7" t="s">
        <v>2951</v>
      </c>
      <c r="V3637" s="7" t="str">
        <f>+IF(U3637="","",IF(U3637="FINES",CONCATENATE("R",IF(OR(B3637="16",B3637="21",B3637="22",B3637="23"),"16212223",IF(OR(B3637="15",B3637="17",B3637="24",B3637="25"),"15172425",B3637))),IF(U3637="CEBAS","UNICO",IF(VALUE(B3637)&lt;=11,"AMBA","INTERIOR"))))</f>
        <v>R19</v>
      </c>
      <c r="W3637" s="38" t="str">
        <f>+IF(U3637="","-",CONCATENATE(U3637,"_",V3637))</f>
        <v>FINES_R19</v>
      </c>
      <c r="X3637" s="42">
        <v>6.8000000000000005E-2</v>
      </c>
    </row>
    <row r="3638" spans="1:24">
      <c r="A3638" s="21" t="s">
        <v>5100</v>
      </c>
      <c r="B3638" t="s">
        <v>225</v>
      </c>
      <c r="C3638" t="s">
        <v>1521</v>
      </c>
      <c r="D3638" t="s">
        <v>1522</v>
      </c>
      <c r="E3638" s="7" t="s">
        <v>198</v>
      </c>
      <c r="F3638" s="7" t="s">
        <v>198</v>
      </c>
      <c r="G3638" s="7" t="s">
        <v>198</v>
      </c>
      <c r="H3638" s="7" t="s">
        <v>20</v>
      </c>
      <c r="I3638" s="7" t="s">
        <v>5102</v>
      </c>
      <c r="J3638" s="7" t="s">
        <v>21</v>
      </c>
      <c r="L3638" t="s">
        <v>4903</v>
      </c>
      <c r="M3638" s="7" t="s">
        <v>22</v>
      </c>
      <c r="N3638" s="7" t="s">
        <v>23</v>
      </c>
      <c r="O3638" s="7" t="s">
        <v>27</v>
      </c>
      <c r="P3638" s="7" t="s">
        <v>5101</v>
      </c>
      <c r="Q3638" s="26">
        <v>43</v>
      </c>
      <c r="R3638" s="26">
        <v>2</v>
      </c>
      <c r="S3638" s="40">
        <v>1</v>
      </c>
      <c r="T3638" s="7"/>
      <c r="U3638" s="7" t="s">
        <v>2951</v>
      </c>
      <c r="V3638" s="7" t="str">
        <f>+IF(U3638="","",IF(U3638="FINES",CONCATENATE("R",IF(OR(B3638="16",B3638="21",B3638="22",B3638="23"),"16212223",IF(OR(B3638="15",B3638="17",B3638="24",B3638="25"),"15172425",B3638))),IF(U3638="CEBAS","UNICO",IF(VALUE(B3638)&lt;=11,"AMBA","INTERIOR"))))</f>
        <v>R19</v>
      </c>
      <c r="W3638" s="38" t="str">
        <f>+IF(U3638="","-",CONCATENATE(U3638,"_",V3638))</f>
        <v>FINES_R19</v>
      </c>
      <c r="X3638" s="42">
        <v>7.4999999999999997E-2</v>
      </c>
    </row>
    <row r="3639" spans="1:24">
      <c r="A3639" s="21" t="s">
        <v>5100</v>
      </c>
      <c r="B3639" t="s">
        <v>225</v>
      </c>
      <c r="C3639" t="s">
        <v>942</v>
      </c>
      <c r="D3639" t="s">
        <v>943</v>
      </c>
      <c r="E3639" s="7" t="s">
        <v>198</v>
      </c>
      <c r="F3639" s="7" t="s">
        <v>198</v>
      </c>
      <c r="G3639" s="7" t="s">
        <v>198</v>
      </c>
      <c r="H3639" s="7" t="s">
        <v>20</v>
      </c>
      <c r="I3639" s="7" t="s">
        <v>5102</v>
      </c>
      <c r="J3639" s="7" t="s">
        <v>21</v>
      </c>
      <c r="L3639" t="s">
        <v>4891</v>
      </c>
      <c r="M3639" s="7" t="s">
        <v>22</v>
      </c>
      <c r="N3639" s="7" t="s">
        <v>23</v>
      </c>
      <c r="O3639" s="7" t="s">
        <v>27</v>
      </c>
      <c r="P3639" s="7" t="s">
        <v>5101</v>
      </c>
      <c r="Q3639" s="26">
        <v>0</v>
      </c>
      <c r="R3639" s="26">
        <v>3</v>
      </c>
      <c r="S3639" s="40">
        <v>1</v>
      </c>
      <c r="T3639" s="7"/>
      <c r="U3639" s="7" t="s">
        <v>2951</v>
      </c>
      <c r="V3639" s="7" t="str">
        <f>+IF(U3639="","",IF(U3639="FINES",CONCATENATE("R",IF(OR(B3639="16",B3639="21",B3639="22",B3639="23"),"16212223",IF(OR(B3639="15",B3639="17",B3639="24",B3639="25"),"15172425",B3639))),IF(U3639="CEBAS","UNICO",IF(VALUE(B3639)&lt;=11,"AMBA","INTERIOR"))))</f>
        <v>R19</v>
      </c>
      <c r="W3639" s="38" t="str">
        <f>+IF(U3639="","-",CONCATENATE(U3639,"_",V3639))</f>
        <v>FINES_R19</v>
      </c>
      <c r="X3639" s="42">
        <v>0.08</v>
      </c>
    </row>
    <row r="3640" spans="1:24">
      <c r="A3640" s="21" t="s">
        <v>5100</v>
      </c>
      <c r="B3640" t="s">
        <v>225</v>
      </c>
      <c r="C3640" t="s">
        <v>942</v>
      </c>
      <c r="D3640" t="s">
        <v>943</v>
      </c>
      <c r="E3640" s="7" t="s">
        <v>198</v>
      </c>
      <c r="F3640" s="7" t="s">
        <v>198</v>
      </c>
      <c r="G3640" s="7" t="s">
        <v>198</v>
      </c>
      <c r="H3640" s="7" t="s">
        <v>20</v>
      </c>
      <c r="I3640" s="7" t="s">
        <v>5102</v>
      </c>
      <c r="J3640" s="7" t="s">
        <v>21</v>
      </c>
      <c r="L3640" t="s">
        <v>4837</v>
      </c>
      <c r="M3640" s="7" t="s">
        <v>22</v>
      </c>
      <c r="N3640" s="7" t="s">
        <v>23</v>
      </c>
      <c r="O3640" s="7" t="s">
        <v>27</v>
      </c>
      <c r="P3640" s="7" t="s">
        <v>5101</v>
      </c>
      <c r="Q3640" s="26">
        <v>29</v>
      </c>
      <c r="R3640" s="26">
        <v>1</v>
      </c>
      <c r="S3640" s="40">
        <v>1</v>
      </c>
      <c r="T3640" s="7"/>
      <c r="U3640" s="7" t="s">
        <v>2951</v>
      </c>
      <c r="V3640" s="7" t="str">
        <f>+IF(U3640="","",IF(U3640="FINES",CONCATENATE("R",IF(OR(B3640="16",B3640="21",B3640="22",B3640="23"),"16212223",IF(OR(B3640="15",B3640="17",B3640="24",B3640="25"),"15172425",B3640))),IF(U3640="CEBAS","UNICO",IF(VALUE(B3640)&lt;=11,"AMBA","INTERIOR"))))</f>
        <v>R19</v>
      </c>
      <c r="W3640" s="38" t="str">
        <f>+IF(U3640="","-",CONCATENATE(U3640,"_",V3640))</f>
        <v>FINES_R19</v>
      </c>
      <c r="X3640" s="42">
        <v>8.2000000000000003E-2</v>
      </c>
    </row>
    <row r="3641" spans="1:24">
      <c r="A3641" s="21" t="s">
        <v>5100</v>
      </c>
      <c r="B3641" t="s">
        <v>225</v>
      </c>
      <c r="C3641" t="s">
        <v>942</v>
      </c>
      <c r="D3641" t="s">
        <v>943</v>
      </c>
      <c r="E3641" s="7" t="s">
        <v>198</v>
      </c>
      <c r="F3641" s="7" t="s">
        <v>198</v>
      </c>
      <c r="G3641" s="7" t="s">
        <v>198</v>
      </c>
      <c r="H3641" s="7" t="s">
        <v>20</v>
      </c>
      <c r="I3641" s="7" t="s">
        <v>5102</v>
      </c>
      <c r="J3641" s="7" t="s">
        <v>21</v>
      </c>
      <c r="L3641" t="s">
        <v>4883</v>
      </c>
      <c r="M3641" s="7" t="s">
        <v>22</v>
      </c>
      <c r="N3641" s="7" t="s">
        <v>23</v>
      </c>
      <c r="O3641" s="7" t="s">
        <v>27</v>
      </c>
      <c r="P3641" s="7" t="s">
        <v>5101</v>
      </c>
      <c r="Q3641" s="26">
        <v>103</v>
      </c>
      <c r="R3641" s="26">
        <v>3</v>
      </c>
      <c r="S3641" s="40">
        <v>1</v>
      </c>
      <c r="T3641" s="7"/>
      <c r="U3641" s="7" t="s">
        <v>2951</v>
      </c>
      <c r="V3641" s="7" t="str">
        <f>+IF(U3641="","",IF(U3641="FINES",CONCATENATE("R",IF(OR(B3641="16",B3641="21",B3641="22",B3641="23"),"16212223",IF(OR(B3641="15",B3641="17",B3641="24",B3641="25"),"15172425",B3641))),IF(U3641="CEBAS","UNICO",IF(VALUE(B3641)&lt;=11,"AMBA","INTERIOR"))))</f>
        <v>R19</v>
      </c>
      <c r="W3641" s="38" t="str">
        <f>+IF(U3641="","-",CONCATENATE(U3641,"_",V3641))</f>
        <v>FINES_R19</v>
      </c>
      <c r="X3641" s="42">
        <v>0.126</v>
      </c>
    </row>
    <row r="3642" spans="1:24">
      <c r="A3642" s="21" t="s">
        <v>5100</v>
      </c>
      <c r="B3642" t="s">
        <v>225</v>
      </c>
      <c r="C3642" t="s">
        <v>942</v>
      </c>
      <c r="D3642" t="s">
        <v>943</v>
      </c>
      <c r="E3642" s="7" t="s">
        <v>198</v>
      </c>
      <c r="F3642" s="7" t="s">
        <v>198</v>
      </c>
      <c r="G3642" s="7" t="s">
        <v>198</v>
      </c>
      <c r="H3642" s="7" t="s">
        <v>20</v>
      </c>
      <c r="I3642" s="7" t="s">
        <v>5102</v>
      </c>
      <c r="J3642" s="7" t="s">
        <v>21</v>
      </c>
      <c r="L3642" t="s">
        <v>4796</v>
      </c>
      <c r="M3642" s="7" t="s">
        <v>22</v>
      </c>
      <c r="N3642" s="7" t="s">
        <v>23</v>
      </c>
      <c r="O3642" s="7" t="s">
        <v>27</v>
      </c>
      <c r="P3642" s="7" t="s">
        <v>5101</v>
      </c>
      <c r="Q3642" s="26">
        <v>13</v>
      </c>
      <c r="R3642" s="26">
        <v>1</v>
      </c>
      <c r="S3642" s="40">
        <v>1</v>
      </c>
      <c r="T3642" s="7"/>
      <c r="U3642" s="7" t="s">
        <v>2951</v>
      </c>
      <c r="V3642" s="7" t="str">
        <f>+IF(U3642="","",IF(U3642="FINES",CONCATENATE("R",IF(OR(B3642="16",B3642="21",B3642="22",B3642="23"),"16212223",IF(OR(B3642="15",B3642="17",B3642="24",B3642="25"),"15172425",B3642))),IF(U3642="CEBAS","UNICO",IF(VALUE(B3642)&lt;=11,"AMBA","INTERIOR"))))</f>
        <v>R19</v>
      </c>
      <c r="W3642" s="38" t="str">
        <f>+IF(U3642="","-",CONCATENATE(U3642,"_",V3642))</f>
        <v>FINES_R19</v>
      </c>
      <c r="X3642" s="42">
        <v>0.14000000000000001</v>
      </c>
    </row>
    <row r="3643" spans="1:24">
      <c r="A3643" s="21" t="s">
        <v>5100</v>
      </c>
      <c r="B3643" t="s">
        <v>225</v>
      </c>
      <c r="C3643" t="s">
        <v>942</v>
      </c>
      <c r="D3643" t="s">
        <v>943</v>
      </c>
      <c r="E3643" s="7" t="s">
        <v>198</v>
      </c>
      <c r="F3643" s="7" t="s">
        <v>198</v>
      </c>
      <c r="G3643" s="7" t="s">
        <v>198</v>
      </c>
      <c r="H3643" s="7" t="s">
        <v>20</v>
      </c>
      <c r="I3643" s="7" t="s">
        <v>5102</v>
      </c>
      <c r="J3643" s="7" t="s">
        <v>21</v>
      </c>
      <c r="L3643" t="s">
        <v>4798</v>
      </c>
      <c r="M3643" s="7" t="s">
        <v>22</v>
      </c>
      <c r="N3643" s="7" t="s">
        <v>23</v>
      </c>
      <c r="O3643" s="7" t="s">
        <v>27</v>
      </c>
      <c r="P3643" s="7" t="s">
        <v>5101</v>
      </c>
      <c r="Q3643" s="26">
        <v>106</v>
      </c>
      <c r="R3643" s="26">
        <v>4</v>
      </c>
      <c r="S3643" s="40">
        <v>1</v>
      </c>
      <c r="T3643" s="7"/>
      <c r="U3643" s="7" t="s">
        <v>2951</v>
      </c>
      <c r="V3643" s="7" t="str">
        <f>+IF(U3643="","",IF(U3643="FINES",CONCATENATE("R",IF(OR(B3643="16",B3643="21",B3643="22",B3643="23"),"16212223",IF(OR(B3643="15",B3643="17",B3643="24",B3643="25"),"15172425",B3643))),IF(U3643="CEBAS","UNICO",IF(VALUE(B3643)&lt;=11,"AMBA","INTERIOR"))))</f>
        <v>R19</v>
      </c>
      <c r="W3643" s="38" t="str">
        <f>+IF(U3643="","-",CONCATENATE(U3643,"_",V3643))</f>
        <v>FINES_R19</v>
      </c>
      <c r="X3643" s="42">
        <v>0.14699999999999999</v>
      </c>
    </row>
    <row r="3644" spans="1:24">
      <c r="A3644" s="21" t="s">
        <v>5100</v>
      </c>
      <c r="B3644" t="s">
        <v>225</v>
      </c>
      <c r="C3644" t="s">
        <v>942</v>
      </c>
      <c r="D3644" t="s">
        <v>943</v>
      </c>
      <c r="E3644" s="7" t="s">
        <v>198</v>
      </c>
      <c r="F3644" s="7" t="s">
        <v>198</v>
      </c>
      <c r="G3644" s="7" t="s">
        <v>198</v>
      </c>
      <c r="H3644" s="7" t="s">
        <v>20</v>
      </c>
      <c r="I3644" s="7" t="s">
        <v>5102</v>
      </c>
      <c r="J3644" s="7" t="s">
        <v>21</v>
      </c>
      <c r="L3644" t="s">
        <v>4885</v>
      </c>
      <c r="M3644" s="7" t="s">
        <v>22</v>
      </c>
      <c r="N3644" s="7" t="s">
        <v>23</v>
      </c>
      <c r="O3644" s="7" t="s">
        <v>27</v>
      </c>
      <c r="P3644" s="7" t="s">
        <v>5101</v>
      </c>
      <c r="Q3644" s="26">
        <v>10</v>
      </c>
      <c r="R3644" s="26">
        <v>1</v>
      </c>
      <c r="S3644" s="40">
        <v>1</v>
      </c>
      <c r="T3644" s="7"/>
      <c r="U3644" s="7" t="s">
        <v>2951</v>
      </c>
      <c r="V3644" s="7" t="str">
        <f>+IF(U3644="","",IF(U3644="FINES",CONCATENATE("R",IF(OR(B3644="16",B3644="21",B3644="22",B3644="23"),"16212223",IF(OR(B3644="15",B3644="17",B3644="24",B3644="25"),"15172425",B3644))),IF(U3644="CEBAS","UNICO",IF(VALUE(B3644)&lt;=11,"AMBA","INTERIOR"))))</f>
        <v>R19</v>
      </c>
      <c r="W3644" s="38" t="str">
        <f>+IF(U3644="","-",CONCATENATE(U3644,"_",V3644))</f>
        <v>FINES_R19</v>
      </c>
      <c r="X3644" s="42">
        <v>0.14899999999999999</v>
      </c>
    </row>
    <row r="3645" spans="1:24">
      <c r="A3645" s="21" t="s">
        <v>5100</v>
      </c>
      <c r="B3645" t="s">
        <v>225</v>
      </c>
      <c r="C3645" t="s">
        <v>942</v>
      </c>
      <c r="D3645" t="s">
        <v>943</v>
      </c>
      <c r="E3645" s="7" t="s">
        <v>198</v>
      </c>
      <c r="F3645" s="7" t="s">
        <v>198</v>
      </c>
      <c r="G3645" s="7" t="s">
        <v>198</v>
      </c>
      <c r="H3645" s="7" t="s">
        <v>20</v>
      </c>
      <c r="I3645" s="7" t="s">
        <v>5102</v>
      </c>
      <c r="J3645" s="7" t="s">
        <v>21</v>
      </c>
      <c r="L3645" t="s">
        <v>4877</v>
      </c>
      <c r="M3645" s="7" t="s">
        <v>22</v>
      </c>
      <c r="N3645" s="7" t="s">
        <v>23</v>
      </c>
      <c r="O3645" s="7" t="s">
        <v>27</v>
      </c>
      <c r="P3645" s="7" t="s">
        <v>5101</v>
      </c>
      <c r="Q3645" s="26">
        <v>10</v>
      </c>
      <c r="R3645" s="26">
        <v>1</v>
      </c>
      <c r="S3645" s="40">
        <v>1</v>
      </c>
      <c r="T3645" s="7"/>
      <c r="U3645" s="7" t="s">
        <v>2951</v>
      </c>
      <c r="V3645" s="7" t="str">
        <f>+IF(U3645="","",IF(U3645="FINES",CONCATENATE("R",IF(OR(B3645="16",B3645="21",B3645="22",B3645="23"),"16212223",IF(OR(B3645="15",B3645="17",B3645="24",B3645="25"),"15172425",B3645))),IF(U3645="CEBAS","UNICO",IF(VALUE(B3645)&lt;=11,"AMBA","INTERIOR"))))</f>
        <v>R19</v>
      </c>
      <c r="W3645" s="38" t="str">
        <f>+IF(U3645="","-",CONCATENATE(U3645,"_",V3645))</f>
        <v>FINES_R19</v>
      </c>
      <c r="X3645" s="42">
        <v>0.154</v>
      </c>
    </row>
    <row r="3646" spans="1:24">
      <c r="A3646" s="21" t="s">
        <v>5100</v>
      </c>
      <c r="B3646" t="s">
        <v>225</v>
      </c>
      <c r="C3646" t="s">
        <v>876</v>
      </c>
      <c r="D3646" t="s">
        <v>877</v>
      </c>
      <c r="E3646" s="7" t="s">
        <v>198</v>
      </c>
      <c r="F3646" s="7" t="s">
        <v>198</v>
      </c>
      <c r="G3646" s="7" t="s">
        <v>198</v>
      </c>
      <c r="H3646" s="7" t="s">
        <v>20</v>
      </c>
      <c r="I3646" s="7" t="s">
        <v>5102</v>
      </c>
      <c r="J3646" s="7" t="s">
        <v>21</v>
      </c>
      <c r="L3646" t="s">
        <v>4764</v>
      </c>
      <c r="M3646" s="7" t="s">
        <v>22</v>
      </c>
      <c r="N3646" s="7" t="s">
        <v>23</v>
      </c>
      <c r="O3646" s="7" t="s">
        <v>27</v>
      </c>
      <c r="P3646" s="7" t="s">
        <v>5101</v>
      </c>
      <c r="Q3646" s="26">
        <v>58</v>
      </c>
      <c r="R3646" s="26">
        <v>3</v>
      </c>
      <c r="S3646" s="40">
        <v>1</v>
      </c>
      <c r="T3646" s="7"/>
      <c r="U3646" s="7" t="s">
        <v>2951</v>
      </c>
      <c r="V3646" s="7" t="str">
        <f>+IF(U3646="","",IF(U3646="FINES",CONCATENATE("R",IF(OR(B3646="16",B3646="21",B3646="22",B3646="23"),"16212223",IF(OR(B3646="15",B3646="17",B3646="24",B3646="25"),"15172425",B3646))),IF(U3646="CEBAS","UNICO",IF(VALUE(B3646)&lt;=11,"AMBA","INTERIOR"))))</f>
        <v>R19</v>
      </c>
      <c r="W3646" s="38" t="str">
        <f>+IF(U3646="","-",CONCATENATE(U3646,"_",V3646))</f>
        <v>FINES_R19</v>
      </c>
      <c r="X3646" s="42">
        <v>0.154</v>
      </c>
    </row>
    <row r="3647" spans="1:24">
      <c r="A3647" s="21" t="s">
        <v>5100</v>
      </c>
      <c r="B3647" t="s">
        <v>225</v>
      </c>
      <c r="C3647" t="s">
        <v>942</v>
      </c>
      <c r="D3647" t="s">
        <v>943</v>
      </c>
      <c r="E3647" s="7" t="s">
        <v>198</v>
      </c>
      <c r="F3647" s="7" t="s">
        <v>198</v>
      </c>
      <c r="G3647" s="7" t="s">
        <v>198</v>
      </c>
      <c r="H3647" s="7" t="s">
        <v>20</v>
      </c>
      <c r="I3647" s="7" t="s">
        <v>5102</v>
      </c>
      <c r="J3647" s="7" t="s">
        <v>21</v>
      </c>
      <c r="L3647" t="s">
        <v>4888</v>
      </c>
      <c r="M3647" s="7" t="s">
        <v>22</v>
      </c>
      <c r="N3647" s="7" t="s">
        <v>23</v>
      </c>
      <c r="O3647" s="7" t="s">
        <v>27</v>
      </c>
      <c r="P3647" s="7" t="s">
        <v>5101</v>
      </c>
      <c r="Q3647" s="26">
        <v>33</v>
      </c>
      <c r="R3647" s="26">
        <v>1</v>
      </c>
      <c r="S3647" s="40">
        <v>1</v>
      </c>
      <c r="T3647" s="7"/>
      <c r="U3647" s="7" t="s">
        <v>2951</v>
      </c>
      <c r="V3647" s="7" t="str">
        <f>+IF(U3647="","",IF(U3647="FINES",CONCATENATE("R",IF(OR(B3647="16",B3647="21",B3647="22",B3647="23"),"16212223",IF(OR(B3647="15",B3647="17",B3647="24",B3647="25"),"15172425",B3647))),IF(U3647="CEBAS","UNICO",IF(VALUE(B3647)&lt;=11,"AMBA","INTERIOR"))))</f>
        <v>R19</v>
      </c>
      <c r="W3647" s="38" t="str">
        <f>+IF(U3647="","-",CONCATENATE(U3647,"_",V3647))</f>
        <v>FINES_R19</v>
      </c>
      <c r="X3647" s="42">
        <v>0.157</v>
      </c>
    </row>
    <row r="3648" spans="1:24">
      <c r="A3648" s="21" t="s">
        <v>5100</v>
      </c>
      <c r="B3648" t="s">
        <v>225</v>
      </c>
      <c r="C3648" t="s">
        <v>942</v>
      </c>
      <c r="D3648" t="s">
        <v>943</v>
      </c>
      <c r="E3648" s="7" t="s">
        <v>198</v>
      </c>
      <c r="F3648" s="7" t="s">
        <v>198</v>
      </c>
      <c r="G3648" s="7" t="s">
        <v>198</v>
      </c>
      <c r="H3648" s="7" t="s">
        <v>20</v>
      </c>
      <c r="I3648" s="7" t="s">
        <v>5102</v>
      </c>
      <c r="J3648" s="7" t="s">
        <v>21</v>
      </c>
      <c r="L3648" t="s">
        <v>4835</v>
      </c>
      <c r="M3648" s="7" t="s">
        <v>22</v>
      </c>
      <c r="N3648" s="7" t="s">
        <v>23</v>
      </c>
      <c r="O3648" s="7" t="s">
        <v>27</v>
      </c>
      <c r="P3648" s="7" t="s">
        <v>5101</v>
      </c>
      <c r="Q3648" s="26">
        <v>63</v>
      </c>
      <c r="R3648" s="26">
        <v>3</v>
      </c>
      <c r="S3648" s="40">
        <v>1</v>
      </c>
      <c r="T3648" s="7"/>
      <c r="U3648" s="7" t="s">
        <v>2951</v>
      </c>
      <c r="V3648" s="7" t="str">
        <f>+IF(U3648="","",IF(U3648="FINES",CONCATENATE("R",IF(OR(B3648="16",B3648="21",B3648="22",B3648="23"),"16212223",IF(OR(B3648="15",B3648="17",B3648="24",B3648="25"),"15172425",B3648))),IF(U3648="CEBAS","UNICO",IF(VALUE(B3648)&lt;=11,"AMBA","INTERIOR"))))</f>
        <v>R19</v>
      </c>
      <c r="W3648" s="38" t="str">
        <f>+IF(U3648="","-",CONCATENATE(U3648,"_",V3648))</f>
        <v>FINES_R19</v>
      </c>
      <c r="X3648" s="42">
        <v>0.158</v>
      </c>
    </row>
    <row r="3649" spans="1:24">
      <c r="A3649" s="21" t="s">
        <v>5100</v>
      </c>
      <c r="B3649" t="s">
        <v>225</v>
      </c>
      <c r="C3649" t="s">
        <v>942</v>
      </c>
      <c r="D3649" t="s">
        <v>943</v>
      </c>
      <c r="E3649" s="7" t="s">
        <v>198</v>
      </c>
      <c r="F3649" s="7" t="s">
        <v>198</v>
      </c>
      <c r="G3649" s="7" t="s">
        <v>198</v>
      </c>
      <c r="H3649" s="7" t="s">
        <v>20</v>
      </c>
      <c r="I3649" s="7" t="s">
        <v>5102</v>
      </c>
      <c r="J3649" s="7" t="s">
        <v>21</v>
      </c>
      <c r="L3649" t="s">
        <v>4857</v>
      </c>
      <c r="M3649" s="7" t="s">
        <v>22</v>
      </c>
      <c r="N3649" s="7" t="s">
        <v>23</v>
      </c>
      <c r="O3649" s="7" t="s">
        <v>27</v>
      </c>
      <c r="P3649" s="7" t="s">
        <v>5101</v>
      </c>
      <c r="Q3649" s="26">
        <v>7</v>
      </c>
      <c r="R3649" s="26">
        <v>1</v>
      </c>
      <c r="S3649" s="40">
        <v>1</v>
      </c>
      <c r="T3649" s="7"/>
      <c r="U3649" s="7" t="s">
        <v>2951</v>
      </c>
      <c r="V3649" s="7" t="str">
        <f>+IF(U3649="","",IF(U3649="FINES",CONCATENATE("R",IF(OR(B3649="16",B3649="21",B3649="22",B3649="23"),"16212223",IF(OR(B3649="15",B3649="17",B3649="24",B3649="25"),"15172425",B3649))),IF(U3649="CEBAS","UNICO",IF(VALUE(B3649)&lt;=11,"AMBA","INTERIOR"))))</f>
        <v>R19</v>
      </c>
      <c r="W3649" s="38" t="str">
        <f>+IF(U3649="","-",CONCATENATE(U3649,"_",V3649))</f>
        <v>FINES_R19</v>
      </c>
      <c r="X3649" s="42">
        <v>0.16500000000000001</v>
      </c>
    </row>
    <row r="3650" spans="1:24">
      <c r="A3650" s="21" t="s">
        <v>5100</v>
      </c>
      <c r="B3650" t="s">
        <v>225</v>
      </c>
      <c r="C3650" t="s">
        <v>942</v>
      </c>
      <c r="D3650" t="s">
        <v>943</v>
      </c>
      <c r="E3650" s="7" t="s">
        <v>198</v>
      </c>
      <c r="F3650" s="7" t="s">
        <v>198</v>
      </c>
      <c r="G3650" s="7" t="s">
        <v>198</v>
      </c>
      <c r="H3650" s="7" t="s">
        <v>20</v>
      </c>
      <c r="I3650" s="7" t="s">
        <v>5102</v>
      </c>
      <c r="J3650" s="7" t="s">
        <v>21</v>
      </c>
      <c r="L3650" t="s">
        <v>4847</v>
      </c>
      <c r="M3650" s="7" t="s">
        <v>22</v>
      </c>
      <c r="N3650" s="7" t="s">
        <v>23</v>
      </c>
      <c r="O3650" s="7" t="s">
        <v>27</v>
      </c>
      <c r="P3650" s="7" t="s">
        <v>5101</v>
      </c>
      <c r="Q3650" s="26">
        <v>0</v>
      </c>
      <c r="R3650" s="26">
        <v>1</v>
      </c>
      <c r="S3650" s="40">
        <v>1</v>
      </c>
      <c r="T3650" s="7"/>
      <c r="U3650" s="7" t="s">
        <v>2951</v>
      </c>
      <c r="V3650" s="7" t="str">
        <f>+IF(U3650="","",IF(U3650="FINES",CONCATENATE("R",IF(OR(B3650="16",B3650="21",B3650="22",B3650="23"),"16212223",IF(OR(B3650="15",B3650="17",B3650="24",B3650="25"),"15172425",B3650))),IF(U3650="CEBAS","UNICO",IF(VALUE(B3650)&lt;=11,"AMBA","INTERIOR"))))</f>
        <v>R19</v>
      </c>
      <c r="W3650" s="38" t="str">
        <f>+IF(U3650="","-",CONCATENATE(U3650,"_",V3650))</f>
        <v>FINES_R19</v>
      </c>
      <c r="X3650" s="42">
        <v>0.17699999999999999</v>
      </c>
    </row>
    <row r="3651" spans="1:24">
      <c r="A3651" s="21" t="s">
        <v>5100</v>
      </c>
      <c r="B3651" t="s">
        <v>225</v>
      </c>
      <c r="C3651" t="s">
        <v>942</v>
      </c>
      <c r="D3651" t="s">
        <v>943</v>
      </c>
      <c r="E3651" s="7" t="s">
        <v>198</v>
      </c>
      <c r="F3651" s="7" t="s">
        <v>198</v>
      </c>
      <c r="G3651" s="7" t="s">
        <v>198</v>
      </c>
      <c r="H3651" s="7" t="s">
        <v>20</v>
      </c>
      <c r="I3651" s="7" t="s">
        <v>5102</v>
      </c>
      <c r="J3651" s="7" t="s">
        <v>21</v>
      </c>
      <c r="L3651" t="s">
        <v>4859</v>
      </c>
      <c r="M3651" s="7" t="s">
        <v>22</v>
      </c>
      <c r="N3651" s="7" t="s">
        <v>23</v>
      </c>
      <c r="O3651" s="7" t="s">
        <v>27</v>
      </c>
      <c r="P3651" s="7" t="s">
        <v>5101</v>
      </c>
      <c r="Q3651" s="26">
        <v>59</v>
      </c>
      <c r="R3651" s="26">
        <v>2</v>
      </c>
      <c r="S3651" s="40">
        <v>1</v>
      </c>
      <c r="T3651" s="7"/>
      <c r="U3651" s="7" t="s">
        <v>2951</v>
      </c>
      <c r="V3651" s="7" t="str">
        <f>+IF(U3651="","",IF(U3651="FINES",CONCATENATE("R",IF(OR(B3651="16",B3651="21",B3651="22",B3651="23"),"16212223",IF(OR(B3651="15",B3651="17",B3651="24",B3651="25"),"15172425",B3651))),IF(U3651="CEBAS","UNICO",IF(VALUE(B3651)&lt;=11,"AMBA","INTERIOR"))))</f>
        <v>R19</v>
      </c>
      <c r="W3651" s="38" t="str">
        <f>+IF(U3651="","-",CONCATENATE(U3651,"_",V3651))</f>
        <v>FINES_R19</v>
      </c>
      <c r="X3651" s="42">
        <v>0.17699999999999999</v>
      </c>
    </row>
    <row r="3652" spans="1:24">
      <c r="A3652" s="21" t="s">
        <v>5100</v>
      </c>
      <c r="B3652" t="s">
        <v>225</v>
      </c>
      <c r="C3652" t="s">
        <v>942</v>
      </c>
      <c r="D3652" t="s">
        <v>943</v>
      </c>
      <c r="E3652" s="7" t="s">
        <v>198</v>
      </c>
      <c r="F3652" s="7" t="s">
        <v>198</v>
      </c>
      <c r="G3652" s="7" t="s">
        <v>198</v>
      </c>
      <c r="H3652" s="7" t="s">
        <v>20</v>
      </c>
      <c r="I3652" s="7" t="s">
        <v>5102</v>
      </c>
      <c r="J3652" s="7" t="s">
        <v>21</v>
      </c>
      <c r="L3652" t="s">
        <v>4792</v>
      </c>
      <c r="M3652" s="7" t="s">
        <v>22</v>
      </c>
      <c r="N3652" s="7" t="s">
        <v>23</v>
      </c>
      <c r="O3652" s="7" t="s">
        <v>27</v>
      </c>
      <c r="P3652" s="7" t="s">
        <v>5101</v>
      </c>
      <c r="Q3652" s="26">
        <v>30</v>
      </c>
      <c r="R3652" s="26">
        <v>2</v>
      </c>
      <c r="S3652" s="40">
        <v>1</v>
      </c>
      <c r="T3652" s="7"/>
      <c r="U3652" s="7" t="s">
        <v>2951</v>
      </c>
      <c r="V3652" s="7" t="str">
        <f>+IF(U3652="","",IF(U3652="FINES",CONCATENATE("R",IF(OR(B3652="16",B3652="21",B3652="22",B3652="23"),"16212223",IF(OR(B3652="15",B3652="17",B3652="24",B3652="25"),"15172425",B3652))),IF(U3652="CEBAS","UNICO",IF(VALUE(B3652)&lt;=11,"AMBA","INTERIOR"))))</f>
        <v>R19</v>
      </c>
      <c r="W3652" s="38" t="str">
        <f>+IF(U3652="","-",CONCATENATE(U3652,"_",V3652))</f>
        <v>FINES_R19</v>
      </c>
      <c r="X3652" s="42">
        <v>0.17799999999999999</v>
      </c>
    </row>
    <row r="3653" spans="1:24">
      <c r="A3653" s="21" t="s">
        <v>5100</v>
      </c>
      <c r="B3653" t="s">
        <v>225</v>
      </c>
      <c r="C3653" t="s">
        <v>1521</v>
      </c>
      <c r="D3653" t="s">
        <v>1522</v>
      </c>
      <c r="E3653" s="7" t="s">
        <v>198</v>
      </c>
      <c r="F3653" s="7" t="s">
        <v>198</v>
      </c>
      <c r="G3653" s="7" t="s">
        <v>198</v>
      </c>
      <c r="H3653" s="7" t="s">
        <v>20</v>
      </c>
      <c r="I3653" s="7" t="s">
        <v>5102</v>
      </c>
      <c r="J3653" s="7" t="s">
        <v>21</v>
      </c>
      <c r="L3653" t="s">
        <v>4896</v>
      </c>
      <c r="M3653" s="7" t="s">
        <v>22</v>
      </c>
      <c r="N3653" s="7" t="s">
        <v>23</v>
      </c>
      <c r="O3653" s="7" t="s">
        <v>27</v>
      </c>
      <c r="P3653" s="7" t="s">
        <v>5101</v>
      </c>
      <c r="Q3653" s="26">
        <v>15</v>
      </c>
      <c r="R3653" s="26">
        <v>1</v>
      </c>
      <c r="S3653" s="40">
        <v>1</v>
      </c>
      <c r="T3653" s="7"/>
      <c r="U3653" s="7" t="s">
        <v>2951</v>
      </c>
      <c r="V3653" s="7" t="str">
        <f>+IF(U3653="","",IF(U3653="FINES",CONCATENATE("R",IF(OR(B3653="16",B3653="21",B3653="22",B3653="23"),"16212223",IF(OR(B3653="15",B3653="17",B3653="24",B3653="25"),"15172425",B3653))),IF(U3653="CEBAS","UNICO",IF(VALUE(B3653)&lt;=11,"AMBA","INTERIOR"))))</f>
        <v>R19</v>
      </c>
      <c r="W3653" s="38" t="str">
        <f>+IF(U3653="","-",CONCATENATE(U3653,"_",V3653))</f>
        <v>FINES_R19</v>
      </c>
      <c r="X3653" s="42">
        <v>0.18</v>
      </c>
    </row>
    <row r="3654" spans="1:24">
      <c r="A3654" s="21" t="s">
        <v>5100</v>
      </c>
      <c r="B3654" t="s">
        <v>225</v>
      </c>
      <c r="C3654" t="s">
        <v>942</v>
      </c>
      <c r="D3654" t="s">
        <v>943</v>
      </c>
      <c r="E3654" s="7" t="s">
        <v>198</v>
      </c>
      <c r="F3654" s="7" t="s">
        <v>198</v>
      </c>
      <c r="G3654" s="7" t="s">
        <v>198</v>
      </c>
      <c r="H3654" s="7" t="s">
        <v>20</v>
      </c>
      <c r="I3654" s="7" t="s">
        <v>5102</v>
      </c>
      <c r="J3654" s="7" t="s">
        <v>21</v>
      </c>
      <c r="L3654" t="s">
        <v>4787</v>
      </c>
      <c r="M3654" s="7" t="s">
        <v>22</v>
      </c>
      <c r="N3654" s="7" t="s">
        <v>23</v>
      </c>
      <c r="O3654" s="7" t="s">
        <v>27</v>
      </c>
      <c r="P3654" s="7" t="s">
        <v>5101</v>
      </c>
      <c r="Q3654" s="26">
        <v>26</v>
      </c>
      <c r="R3654" s="26">
        <v>1</v>
      </c>
      <c r="S3654" s="40">
        <v>1</v>
      </c>
      <c r="T3654" s="7"/>
      <c r="U3654" s="7" t="s">
        <v>2951</v>
      </c>
      <c r="V3654" s="7" t="str">
        <f>+IF(U3654="","",IF(U3654="FINES",CONCATENATE("R",IF(OR(B3654="16",B3654="21",B3654="22",B3654="23"),"16212223",IF(OR(B3654="15",B3654="17",B3654="24",B3654="25"),"15172425",B3654))),IF(U3654="CEBAS","UNICO",IF(VALUE(B3654)&lt;=11,"AMBA","INTERIOR"))))</f>
        <v>R19</v>
      </c>
      <c r="W3654" s="38" t="str">
        <f>+IF(U3654="","-",CONCATENATE(U3654,"_",V3654))</f>
        <v>FINES_R19</v>
      </c>
      <c r="X3654" s="42">
        <v>0.18099999999999999</v>
      </c>
    </row>
    <row r="3655" spans="1:24">
      <c r="A3655" s="21" t="s">
        <v>5100</v>
      </c>
      <c r="B3655" t="s">
        <v>225</v>
      </c>
      <c r="C3655" t="s">
        <v>1521</v>
      </c>
      <c r="D3655" t="s">
        <v>1522</v>
      </c>
      <c r="E3655" s="7" t="s">
        <v>198</v>
      </c>
      <c r="F3655" s="7" t="s">
        <v>198</v>
      </c>
      <c r="G3655" s="7" t="s">
        <v>198</v>
      </c>
      <c r="H3655" s="7" t="s">
        <v>20</v>
      </c>
      <c r="I3655" s="7" t="s">
        <v>5102</v>
      </c>
      <c r="J3655" s="7" t="s">
        <v>21</v>
      </c>
      <c r="L3655" t="s">
        <v>4898</v>
      </c>
      <c r="M3655" s="7" t="s">
        <v>22</v>
      </c>
      <c r="N3655" s="7" t="s">
        <v>23</v>
      </c>
      <c r="O3655" s="7" t="s">
        <v>27</v>
      </c>
      <c r="P3655" s="7" t="s">
        <v>5101</v>
      </c>
      <c r="Q3655" s="26">
        <v>16</v>
      </c>
      <c r="R3655" s="26">
        <v>1</v>
      </c>
      <c r="S3655" s="40">
        <v>1</v>
      </c>
      <c r="T3655" s="7"/>
      <c r="U3655" s="7" t="s">
        <v>2951</v>
      </c>
      <c r="V3655" s="7" t="str">
        <f>+IF(U3655="","",IF(U3655="FINES",CONCATENATE("R",IF(OR(B3655="16",B3655="21",B3655="22",B3655="23"),"16212223",IF(OR(B3655="15",B3655="17",B3655="24",B3655="25"),"15172425",B3655))),IF(U3655="CEBAS","UNICO",IF(VALUE(B3655)&lt;=11,"AMBA","INTERIOR"))))</f>
        <v>R19</v>
      </c>
      <c r="W3655" s="38" t="str">
        <f>+IF(U3655="","-",CONCATENATE(U3655,"_",V3655))</f>
        <v>FINES_R19</v>
      </c>
      <c r="X3655" s="42">
        <v>0.182</v>
      </c>
    </row>
    <row r="3656" spans="1:24">
      <c r="A3656" s="21" t="s">
        <v>5100</v>
      </c>
      <c r="B3656" t="s">
        <v>225</v>
      </c>
      <c r="C3656" t="s">
        <v>942</v>
      </c>
      <c r="D3656" t="s">
        <v>943</v>
      </c>
      <c r="E3656" s="7" t="s">
        <v>198</v>
      </c>
      <c r="F3656" s="7" t="s">
        <v>198</v>
      </c>
      <c r="G3656" s="7" t="s">
        <v>198</v>
      </c>
      <c r="H3656" s="7" t="s">
        <v>20</v>
      </c>
      <c r="I3656" s="7" t="s">
        <v>5102</v>
      </c>
      <c r="J3656" s="7" t="s">
        <v>21</v>
      </c>
      <c r="L3656" t="s">
        <v>4810</v>
      </c>
      <c r="M3656" s="7" t="s">
        <v>22</v>
      </c>
      <c r="N3656" s="7" t="s">
        <v>23</v>
      </c>
      <c r="O3656" s="7" t="s">
        <v>27</v>
      </c>
      <c r="P3656" s="7" t="s">
        <v>5101</v>
      </c>
      <c r="Q3656" s="26">
        <v>31</v>
      </c>
      <c r="R3656" s="26">
        <v>1</v>
      </c>
      <c r="S3656" s="40">
        <v>1</v>
      </c>
      <c r="T3656" s="7"/>
      <c r="U3656" s="7" t="s">
        <v>2951</v>
      </c>
      <c r="V3656" s="7" t="str">
        <f>+IF(U3656="","",IF(U3656="FINES",CONCATENATE("R",IF(OR(B3656="16",B3656="21",B3656="22",B3656="23"),"16212223",IF(OR(B3656="15",B3656="17",B3656="24",B3656="25"),"15172425",B3656))),IF(U3656="CEBAS","UNICO",IF(VALUE(B3656)&lt;=11,"AMBA","INTERIOR"))))</f>
        <v>R19</v>
      </c>
      <c r="W3656" s="38" t="str">
        <f>+IF(U3656="","-",CONCATENATE(U3656,"_",V3656))</f>
        <v>FINES_R19</v>
      </c>
      <c r="X3656" s="42">
        <v>0.19600000000000001</v>
      </c>
    </row>
    <row r="3657" spans="1:24">
      <c r="A3657" s="21" t="s">
        <v>5100</v>
      </c>
      <c r="B3657" t="s">
        <v>225</v>
      </c>
      <c r="C3657" t="s">
        <v>942</v>
      </c>
      <c r="D3657" t="s">
        <v>943</v>
      </c>
      <c r="E3657" s="7" t="s">
        <v>198</v>
      </c>
      <c r="F3657" s="7" t="s">
        <v>198</v>
      </c>
      <c r="G3657" s="7" t="s">
        <v>198</v>
      </c>
      <c r="H3657" s="7" t="s">
        <v>20</v>
      </c>
      <c r="I3657" s="7" t="s">
        <v>5102</v>
      </c>
      <c r="J3657" s="7" t="s">
        <v>21</v>
      </c>
      <c r="L3657" t="s">
        <v>4786</v>
      </c>
      <c r="M3657" s="7" t="s">
        <v>22</v>
      </c>
      <c r="N3657" s="7" t="s">
        <v>23</v>
      </c>
      <c r="O3657" s="7" t="s">
        <v>27</v>
      </c>
      <c r="P3657" s="7" t="s">
        <v>5101</v>
      </c>
      <c r="Q3657" s="26">
        <v>0</v>
      </c>
      <c r="R3657" s="26">
        <v>1</v>
      </c>
      <c r="S3657" s="40">
        <v>1</v>
      </c>
      <c r="T3657" s="7"/>
      <c r="U3657" s="7" t="s">
        <v>2951</v>
      </c>
      <c r="V3657" s="7" t="str">
        <f>+IF(U3657="","",IF(U3657="FINES",CONCATENATE("R",IF(OR(B3657="16",B3657="21",B3657="22",B3657="23"),"16212223",IF(OR(B3657="15",B3657="17",B3657="24",B3657="25"),"15172425",B3657))),IF(U3657="CEBAS","UNICO",IF(VALUE(B3657)&lt;=11,"AMBA","INTERIOR"))))</f>
        <v>R19</v>
      </c>
      <c r="W3657" s="38" t="str">
        <f>+IF(U3657="","-",CONCATENATE(U3657,"_",V3657))</f>
        <v>FINES_R19</v>
      </c>
      <c r="X3657" s="42">
        <v>0.21099999999999999</v>
      </c>
    </row>
    <row r="3658" spans="1:24">
      <c r="A3658" s="21" t="s">
        <v>5100</v>
      </c>
      <c r="B3658" t="s">
        <v>225</v>
      </c>
      <c r="C3658" t="s">
        <v>942</v>
      </c>
      <c r="D3658" t="s">
        <v>943</v>
      </c>
      <c r="E3658" s="7" t="s">
        <v>198</v>
      </c>
      <c r="F3658" s="7" t="s">
        <v>198</v>
      </c>
      <c r="G3658" s="7" t="s">
        <v>198</v>
      </c>
      <c r="H3658" s="7" t="s">
        <v>20</v>
      </c>
      <c r="I3658" s="7" t="s">
        <v>5102</v>
      </c>
      <c r="J3658" s="7" t="s">
        <v>21</v>
      </c>
      <c r="L3658" t="s">
        <v>4779</v>
      </c>
      <c r="M3658" s="7" t="s">
        <v>22</v>
      </c>
      <c r="N3658" s="7" t="s">
        <v>23</v>
      </c>
      <c r="O3658" s="7" t="s">
        <v>27</v>
      </c>
      <c r="P3658" s="7" t="s">
        <v>5101</v>
      </c>
      <c r="Q3658" s="26">
        <v>0</v>
      </c>
      <c r="R3658" s="26">
        <v>1</v>
      </c>
      <c r="S3658" s="40">
        <v>1</v>
      </c>
      <c r="T3658" s="7"/>
      <c r="U3658" s="7" t="s">
        <v>2951</v>
      </c>
      <c r="V3658" s="7" t="str">
        <f>+IF(U3658="","",IF(U3658="FINES",CONCATENATE("R",IF(OR(B3658="16",B3658="21",B3658="22",B3658="23"),"16212223",IF(OR(B3658="15",B3658="17",B3658="24",B3658="25"),"15172425",B3658))),IF(U3658="CEBAS","UNICO",IF(VALUE(B3658)&lt;=11,"AMBA","INTERIOR"))))</f>
        <v>R19</v>
      </c>
      <c r="W3658" s="38" t="str">
        <f>+IF(U3658="","-",CONCATENATE(U3658,"_",V3658))</f>
        <v>FINES_R19</v>
      </c>
      <c r="X3658" s="42">
        <v>0.21299999999999999</v>
      </c>
    </row>
    <row r="3659" spans="1:24">
      <c r="A3659" s="21" t="s">
        <v>5100</v>
      </c>
      <c r="B3659" t="s">
        <v>225</v>
      </c>
      <c r="C3659" t="s">
        <v>942</v>
      </c>
      <c r="D3659" t="s">
        <v>943</v>
      </c>
      <c r="E3659" s="7" t="s">
        <v>198</v>
      </c>
      <c r="F3659" s="7" t="s">
        <v>198</v>
      </c>
      <c r="G3659" s="7" t="s">
        <v>198</v>
      </c>
      <c r="H3659" s="7" t="s">
        <v>20</v>
      </c>
      <c r="I3659" s="7" t="s">
        <v>5102</v>
      </c>
      <c r="J3659" s="7" t="s">
        <v>21</v>
      </c>
      <c r="L3659" t="s">
        <v>4782</v>
      </c>
      <c r="M3659" s="7" t="s">
        <v>22</v>
      </c>
      <c r="N3659" s="7" t="s">
        <v>23</v>
      </c>
      <c r="O3659" s="7" t="s">
        <v>27</v>
      </c>
      <c r="P3659" s="7" t="s">
        <v>5101</v>
      </c>
      <c r="Q3659" s="26">
        <v>13</v>
      </c>
      <c r="R3659" s="26">
        <v>1</v>
      </c>
      <c r="S3659" s="40">
        <v>1</v>
      </c>
      <c r="T3659" s="7"/>
      <c r="U3659" s="7" t="s">
        <v>2951</v>
      </c>
      <c r="V3659" s="7" t="str">
        <f>+IF(U3659="","",IF(U3659="FINES",CONCATENATE("R",IF(OR(B3659="16",B3659="21",B3659="22",B3659="23"),"16212223",IF(OR(B3659="15",B3659="17",B3659="24",B3659="25"),"15172425",B3659))),IF(U3659="CEBAS","UNICO",IF(VALUE(B3659)&lt;=11,"AMBA","INTERIOR"))))</f>
        <v>R19</v>
      </c>
      <c r="W3659" s="38" t="str">
        <f>+IF(U3659="","-",CONCATENATE(U3659,"_",V3659))</f>
        <v>FINES_R19</v>
      </c>
      <c r="X3659" s="42">
        <v>0.217</v>
      </c>
    </row>
    <row r="3660" spans="1:24">
      <c r="A3660" s="21" t="s">
        <v>5100</v>
      </c>
      <c r="B3660" t="s">
        <v>225</v>
      </c>
      <c r="C3660" t="s">
        <v>942</v>
      </c>
      <c r="D3660" t="s">
        <v>943</v>
      </c>
      <c r="E3660" s="7" t="s">
        <v>198</v>
      </c>
      <c r="F3660" s="7" t="s">
        <v>198</v>
      </c>
      <c r="G3660" s="7" t="s">
        <v>198</v>
      </c>
      <c r="H3660" s="7" t="s">
        <v>20</v>
      </c>
      <c r="I3660" s="7" t="s">
        <v>5102</v>
      </c>
      <c r="J3660" s="7" t="s">
        <v>21</v>
      </c>
      <c r="L3660" t="s">
        <v>4841</v>
      </c>
      <c r="M3660" s="7" t="s">
        <v>22</v>
      </c>
      <c r="N3660" s="7" t="s">
        <v>23</v>
      </c>
      <c r="O3660" s="7" t="s">
        <v>27</v>
      </c>
      <c r="P3660" s="7" t="s">
        <v>5101</v>
      </c>
      <c r="Q3660" s="26">
        <v>0</v>
      </c>
      <c r="R3660" s="26">
        <v>1</v>
      </c>
      <c r="S3660" s="40">
        <v>1</v>
      </c>
      <c r="T3660" s="7"/>
      <c r="U3660" s="7" t="s">
        <v>2951</v>
      </c>
      <c r="V3660" s="7" t="str">
        <f>+IF(U3660="","",IF(U3660="FINES",CONCATENATE("R",IF(OR(B3660="16",B3660="21",B3660="22",B3660="23"),"16212223",IF(OR(B3660="15",B3660="17",B3660="24",B3660="25"),"15172425",B3660))),IF(U3660="CEBAS","UNICO",IF(VALUE(B3660)&lt;=11,"AMBA","INTERIOR"))))</f>
        <v>R19</v>
      </c>
      <c r="W3660" s="38" t="str">
        <f>+IF(U3660="","-",CONCATENATE(U3660,"_",V3660))</f>
        <v>FINES_R19</v>
      </c>
      <c r="X3660" s="42">
        <v>0.221</v>
      </c>
    </row>
    <row r="3661" spans="1:24">
      <c r="A3661" s="21" t="s">
        <v>5100</v>
      </c>
      <c r="B3661" t="s">
        <v>225</v>
      </c>
      <c r="C3661" t="s">
        <v>1521</v>
      </c>
      <c r="D3661" t="s">
        <v>1522</v>
      </c>
      <c r="E3661" s="7" t="s">
        <v>198</v>
      </c>
      <c r="F3661" s="7" t="s">
        <v>198</v>
      </c>
      <c r="G3661" s="7" t="s">
        <v>198</v>
      </c>
      <c r="H3661" s="7" t="s">
        <v>20</v>
      </c>
      <c r="I3661" s="7" t="s">
        <v>5102</v>
      </c>
      <c r="J3661" s="7" t="s">
        <v>21</v>
      </c>
      <c r="L3661" t="s">
        <v>4909</v>
      </c>
      <c r="M3661" s="7" t="s">
        <v>22</v>
      </c>
      <c r="N3661" s="7" t="s">
        <v>23</v>
      </c>
      <c r="O3661" s="7" t="s">
        <v>27</v>
      </c>
      <c r="P3661" s="7" t="s">
        <v>5101</v>
      </c>
      <c r="Q3661" s="26">
        <v>15</v>
      </c>
      <c r="R3661" s="26">
        <v>1</v>
      </c>
      <c r="S3661" s="40">
        <v>1</v>
      </c>
      <c r="T3661" s="7"/>
      <c r="U3661" s="7" t="s">
        <v>2951</v>
      </c>
      <c r="V3661" s="7" t="str">
        <f>+IF(U3661="","",IF(U3661="FINES",CONCATENATE("R",IF(OR(B3661="16",B3661="21",B3661="22",B3661="23"),"16212223",IF(OR(B3661="15",B3661="17",B3661="24",B3661="25"),"15172425",B3661))),IF(U3661="CEBAS","UNICO",IF(VALUE(B3661)&lt;=11,"AMBA","INTERIOR"))))</f>
        <v>R19</v>
      </c>
      <c r="W3661" s="38" t="str">
        <f>+IF(U3661="","-",CONCATENATE(U3661,"_",V3661))</f>
        <v>FINES_R19</v>
      </c>
      <c r="X3661" s="42">
        <v>0.223</v>
      </c>
    </row>
    <row r="3662" spans="1:24">
      <c r="A3662" s="21" t="s">
        <v>5100</v>
      </c>
      <c r="B3662" t="s">
        <v>225</v>
      </c>
      <c r="C3662" t="s">
        <v>876</v>
      </c>
      <c r="D3662" t="s">
        <v>877</v>
      </c>
      <c r="E3662" s="7" t="s">
        <v>198</v>
      </c>
      <c r="F3662" s="7" t="s">
        <v>198</v>
      </c>
      <c r="G3662" s="7" t="s">
        <v>198</v>
      </c>
      <c r="H3662" s="7" t="s">
        <v>20</v>
      </c>
      <c r="I3662" s="7" t="s">
        <v>5102</v>
      </c>
      <c r="J3662" s="7" t="s">
        <v>21</v>
      </c>
      <c r="L3662" t="s">
        <v>4770</v>
      </c>
      <c r="M3662" s="7" t="s">
        <v>22</v>
      </c>
      <c r="N3662" s="7" t="s">
        <v>23</v>
      </c>
      <c r="O3662" s="7" t="s">
        <v>27</v>
      </c>
      <c r="P3662" s="7" t="s">
        <v>5101</v>
      </c>
      <c r="Q3662" s="26">
        <v>45</v>
      </c>
      <c r="R3662" s="26">
        <v>3</v>
      </c>
      <c r="S3662" s="40">
        <v>1</v>
      </c>
      <c r="T3662" s="7"/>
      <c r="U3662" s="7" t="s">
        <v>2951</v>
      </c>
      <c r="V3662" s="7" t="str">
        <f>+IF(U3662="","",IF(U3662="FINES",CONCATENATE("R",IF(OR(B3662="16",B3662="21",B3662="22",B3662="23"),"16212223",IF(OR(B3662="15",B3662="17",B3662="24",B3662="25"),"15172425",B3662))),IF(U3662="CEBAS","UNICO",IF(VALUE(B3662)&lt;=11,"AMBA","INTERIOR"))))</f>
        <v>R19</v>
      </c>
      <c r="W3662" s="38" t="str">
        <f>+IF(U3662="","-",CONCATENATE(U3662,"_",V3662))</f>
        <v>FINES_R19</v>
      </c>
      <c r="X3662" s="42">
        <v>0.22500000000000001</v>
      </c>
    </row>
    <row r="3663" spans="1:24">
      <c r="A3663" s="21" t="s">
        <v>5100</v>
      </c>
      <c r="B3663" t="s">
        <v>225</v>
      </c>
      <c r="C3663" t="s">
        <v>1521</v>
      </c>
      <c r="D3663" t="s">
        <v>1522</v>
      </c>
      <c r="E3663" s="7" t="s">
        <v>198</v>
      </c>
      <c r="F3663" s="7" t="s">
        <v>198</v>
      </c>
      <c r="G3663" s="7" t="s">
        <v>198</v>
      </c>
      <c r="H3663" s="7" t="s">
        <v>20</v>
      </c>
      <c r="I3663" s="7" t="s">
        <v>5102</v>
      </c>
      <c r="J3663" s="7" t="s">
        <v>21</v>
      </c>
      <c r="L3663" t="s">
        <v>4901</v>
      </c>
      <c r="M3663" s="7" t="s">
        <v>22</v>
      </c>
      <c r="N3663" s="7" t="s">
        <v>23</v>
      </c>
      <c r="O3663" s="7" t="s">
        <v>27</v>
      </c>
      <c r="P3663" s="7" t="s">
        <v>5101</v>
      </c>
      <c r="Q3663" s="26">
        <v>18</v>
      </c>
      <c r="R3663" s="26">
        <v>1</v>
      </c>
      <c r="S3663" s="40">
        <v>1</v>
      </c>
      <c r="T3663" s="7"/>
      <c r="U3663" s="7" t="s">
        <v>2951</v>
      </c>
      <c r="V3663" s="7" t="str">
        <f>+IF(U3663="","",IF(U3663="FINES",CONCATENATE("R",IF(OR(B3663="16",B3663="21",B3663="22",B3663="23"),"16212223",IF(OR(B3663="15",B3663="17",B3663="24",B3663="25"),"15172425",B3663))),IF(U3663="CEBAS","UNICO",IF(VALUE(B3663)&lt;=11,"AMBA","INTERIOR"))))</f>
        <v>R19</v>
      </c>
      <c r="W3663" s="38" t="str">
        <f>+IF(U3663="","-",CONCATENATE(U3663,"_",V3663))</f>
        <v>FINES_R19</v>
      </c>
      <c r="X3663" s="42">
        <v>0.24</v>
      </c>
    </row>
    <row r="3664" spans="1:24">
      <c r="A3664" s="21" t="s">
        <v>5100</v>
      </c>
      <c r="B3664" t="s">
        <v>225</v>
      </c>
      <c r="C3664" t="s">
        <v>1521</v>
      </c>
      <c r="D3664" t="s">
        <v>1522</v>
      </c>
      <c r="E3664" s="7" t="s">
        <v>198</v>
      </c>
      <c r="F3664" s="7" t="s">
        <v>198</v>
      </c>
      <c r="G3664" s="7" t="s">
        <v>198</v>
      </c>
      <c r="H3664" s="7" t="s">
        <v>20</v>
      </c>
      <c r="I3664" s="7" t="s">
        <v>5102</v>
      </c>
      <c r="J3664" s="7" t="s">
        <v>21</v>
      </c>
      <c r="L3664" t="s">
        <v>4899</v>
      </c>
      <c r="M3664" s="7" t="s">
        <v>22</v>
      </c>
      <c r="N3664" s="7" t="s">
        <v>23</v>
      </c>
      <c r="O3664" s="7" t="s">
        <v>27</v>
      </c>
      <c r="P3664" s="7" t="s">
        <v>5101</v>
      </c>
      <c r="Q3664" s="26">
        <v>50</v>
      </c>
      <c r="R3664" s="26">
        <v>2</v>
      </c>
      <c r="S3664" s="40">
        <v>1</v>
      </c>
      <c r="T3664" s="7"/>
      <c r="U3664" s="7" t="s">
        <v>2951</v>
      </c>
      <c r="V3664" s="7" t="str">
        <f>+IF(U3664="","",IF(U3664="FINES",CONCATENATE("R",IF(OR(B3664="16",B3664="21",B3664="22",B3664="23"),"16212223",IF(OR(B3664="15",B3664="17",B3664="24",B3664="25"),"15172425",B3664))),IF(U3664="CEBAS","UNICO",IF(VALUE(B3664)&lt;=11,"AMBA","INTERIOR"))))</f>
        <v>R19</v>
      </c>
      <c r="W3664" s="38" t="str">
        <f>+IF(U3664="","-",CONCATENATE(U3664,"_",V3664))</f>
        <v>FINES_R19</v>
      </c>
      <c r="X3664" s="42">
        <v>0.24399999999999999</v>
      </c>
    </row>
    <row r="3665" spans="1:24">
      <c r="A3665" s="21" t="s">
        <v>5100</v>
      </c>
      <c r="B3665" t="s">
        <v>225</v>
      </c>
      <c r="C3665" t="s">
        <v>942</v>
      </c>
      <c r="D3665" t="s">
        <v>943</v>
      </c>
      <c r="E3665" s="7" t="s">
        <v>198</v>
      </c>
      <c r="F3665" s="7" t="s">
        <v>198</v>
      </c>
      <c r="G3665" s="7" t="s">
        <v>198</v>
      </c>
      <c r="H3665" s="7" t="s">
        <v>20</v>
      </c>
      <c r="I3665" s="7" t="s">
        <v>5102</v>
      </c>
      <c r="J3665" s="7" t="s">
        <v>21</v>
      </c>
      <c r="L3665" t="s">
        <v>4868</v>
      </c>
      <c r="M3665" s="7" t="s">
        <v>22</v>
      </c>
      <c r="N3665" s="7" t="s">
        <v>23</v>
      </c>
      <c r="O3665" s="7" t="s">
        <v>27</v>
      </c>
      <c r="P3665" s="7" t="s">
        <v>5101</v>
      </c>
      <c r="Q3665" s="26">
        <v>15</v>
      </c>
      <c r="R3665" s="26">
        <v>1</v>
      </c>
      <c r="S3665" s="40">
        <v>1</v>
      </c>
      <c r="T3665" s="7"/>
      <c r="U3665" s="7" t="s">
        <v>2951</v>
      </c>
      <c r="V3665" s="7" t="str">
        <f>+IF(U3665="","",IF(U3665="FINES",CONCATENATE("R",IF(OR(B3665="16",B3665="21",B3665="22",B3665="23"),"16212223",IF(OR(B3665="15",B3665="17",B3665="24",B3665="25"),"15172425",B3665))),IF(U3665="CEBAS","UNICO",IF(VALUE(B3665)&lt;=11,"AMBA","INTERIOR"))))</f>
        <v>R19</v>
      </c>
      <c r="W3665" s="38" t="str">
        <f>+IF(U3665="","-",CONCATENATE(U3665,"_",V3665))</f>
        <v>FINES_R19</v>
      </c>
      <c r="X3665" s="42">
        <v>0.24399999999999999</v>
      </c>
    </row>
    <row r="3666" spans="1:24">
      <c r="A3666" s="21" t="s">
        <v>5100</v>
      </c>
      <c r="B3666" t="s">
        <v>225</v>
      </c>
      <c r="C3666" t="s">
        <v>942</v>
      </c>
      <c r="D3666" t="s">
        <v>943</v>
      </c>
      <c r="E3666" s="7" t="s">
        <v>198</v>
      </c>
      <c r="F3666" s="7" t="s">
        <v>198</v>
      </c>
      <c r="G3666" s="7" t="s">
        <v>198</v>
      </c>
      <c r="H3666" s="7" t="s">
        <v>20</v>
      </c>
      <c r="I3666" s="7" t="s">
        <v>5102</v>
      </c>
      <c r="J3666" s="7" t="s">
        <v>21</v>
      </c>
      <c r="L3666" t="s">
        <v>4816</v>
      </c>
      <c r="M3666" s="7" t="s">
        <v>22</v>
      </c>
      <c r="N3666" s="7" t="s">
        <v>23</v>
      </c>
      <c r="O3666" s="7" t="s">
        <v>27</v>
      </c>
      <c r="P3666" s="7" t="s">
        <v>5101</v>
      </c>
      <c r="Q3666" s="26">
        <v>14</v>
      </c>
      <c r="R3666" s="26">
        <v>1</v>
      </c>
      <c r="S3666" s="40">
        <v>1</v>
      </c>
      <c r="T3666" s="7"/>
      <c r="U3666" s="7" t="s">
        <v>2951</v>
      </c>
      <c r="V3666" s="7" t="str">
        <f>+IF(U3666="","",IF(U3666="FINES",CONCATENATE("R",IF(OR(B3666="16",B3666="21",B3666="22",B3666="23"),"16212223",IF(OR(B3666="15",B3666="17",B3666="24",B3666="25"),"15172425",B3666))),IF(U3666="CEBAS","UNICO",IF(VALUE(B3666)&lt;=11,"AMBA","INTERIOR"))))</f>
        <v>R19</v>
      </c>
      <c r="W3666" s="38" t="str">
        <f>+IF(U3666="","-",CONCATENATE(U3666,"_",V3666))</f>
        <v>FINES_R19</v>
      </c>
      <c r="X3666" s="42">
        <v>0.25600000000000001</v>
      </c>
    </row>
    <row r="3667" spans="1:24">
      <c r="A3667" s="21" t="s">
        <v>5100</v>
      </c>
      <c r="B3667" t="s">
        <v>225</v>
      </c>
      <c r="C3667" t="s">
        <v>942</v>
      </c>
      <c r="D3667" t="s">
        <v>943</v>
      </c>
      <c r="E3667" s="7" t="s">
        <v>198</v>
      </c>
      <c r="F3667" s="7" t="s">
        <v>198</v>
      </c>
      <c r="G3667" s="7" t="s">
        <v>198</v>
      </c>
      <c r="H3667" s="7" t="s">
        <v>20</v>
      </c>
      <c r="I3667" s="7" t="s">
        <v>5102</v>
      </c>
      <c r="J3667" s="7" t="s">
        <v>21</v>
      </c>
      <c r="L3667" t="s">
        <v>4856</v>
      </c>
      <c r="M3667" s="7" t="s">
        <v>22</v>
      </c>
      <c r="N3667" s="7" t="s">
        <v>23</v>
      </c>
      <c r="O3667" s="7" t="s">
        <v>27</v>
      </c>
      <c r="P3667" s="7" t="s">
        <v>5101</v>
      </c>
      <c r="Q3667" s="26">
        <v>30</v>
      </c>
      <c r="R3667" s="26">
        <v>1</v>
      </c>
      <c r="S3667" s="40">
        <v>1</v>
      </c>
      <c r="T3667" s="7"/>
      <c r="U3667" s="7" t="s">
        <v>2951</v>
      </c>
      <c r="V3667" s="7" t="str">
        <f>+IF(U3667="","",IF(U3667="FINES",CONCATENATE("R",IF(OR(B3667="16",B3667="21",B3667="22",B3667="23"),"16212223",IF(OR(B3667="15",B3667="17",B3667="24",B3667="25"),"15172425",B3667))),IF(U3667="CEBAS","UNICO",IF(VALUE(B3667)&lt;=11,"AMBA","INTERIOR"))))</f>
        <v>R19</v>
      </c>
      <c r="W3667" s="38" t="str">
        <f>+IF(U3667="","-",CONCATENATE(U3667,"_",V3667))</f>
        <v>FINES_R19</v>
      </c>
      <c r="X3667" s="42">
        <v>0.25900000000000001</v>
      </c>
    </row>
    <row r="3668" spans="1:24">
      <c r="A3668" s="21" t="s">
        <v>5100</v>
      </c>
      <c r="B3668" t="s">
        <v>225</v>
      </c>
      <c r="C3668" t="s">
        <v>1521</v>
      </c>
      <c r="D3668" t="s">
        <v>1522</v>
      </c>
      <c r="E3668" s="7" t="s">
        <v>198</v>
      </c>
      <c r="F3668" s="7" t="s">
        <v>198</v>
      </c>
      <c r="G3668" s="7" t="s">
        <v>198</v>
      </c>
      <c r="H3668" s="7" t="s">
        <v>20</v>
      </c>
      <c r="I3668" s="7" t="s">
        <v>5102</v>
      </c>
      <c r="J3668" s="7" t="s">
        <v>21</v>
      </c>
      <c r="L3668" t="s">
        <v>4902</v>
      </c>
      <c r="M3668" s="7" t="s">
        <v>22</v>
      </c>
      <c r="N3668" s="7" t="s">
        <v>23</v>
      </c>
      <c r="O3668" s="7" t="s">
        <v>27</v>
      </c>
      <c r="P3668" s="7" t="s">
        <v>5101</v>
      </c>
      <c r="Q3668" s="26">
        <v>16</v>
      </c>
      <c r="R3668" s="26">
        <v>1</v>
      </c>
      <c r="S3668" s="40">
        <v>1</v>
      </c>
      <c r="T3668" s="7"/>
      <c r="U3668" s="7" t="s">
        <v>2951</v>
      </c>
      <c r="V3668" s="7" t="str">
        <f>+IF(U3668="","",IF(U3668="FINES",CONCATENATE("R",IF(OR(B3668="16",B3668="21",B3668="22",B3668="23"),"16212223",IF(OR(B3668="15",B3668="17",B3668="24",B3668="25"),"15172425",B3668))),IF(U3668="CEBAS","UNICO",IF(VALUE(B3668)&lt;=11,"AMBA","INTERIOR"))))</f>
        <v>R19</v>
      </c>
      <c r="W3668" s="38" t="str">
        <f>+IF(U3668="","-",CONCATENATE(U3668,"_",V3668))</f>
        <v>FINES_R19</v>
      </c>
      <c r="X3668" s="42">
        <v>0.26100000000000001</v>
      </c>
    </row>
    <row r="3669" spans="1:24">
      <c r="A3669" s="21" t="s">
        <v>5100</v>
      </c>
      <c r="B3669" t="s">
        <v>225</v>
      </c>
      <c r="C3669" t="s">
        <v>942</v>
      </c>
      <c r="D3669" t="s">
        <v>943</v>
      </c>
      <c r="E3669" s="7" t="s">
        <v>198</v>
      </c>
      <c r="F3669" s="7" t="s">
        <v>198</v>
      </c>
      <c r="G3669" s="7" t="s">
        <v>198</v>
      </c>
      <c r="H3669" s="7" t="s">
        <v>20</v>
      </c>
      <c r="I3669" s="7" t="s">
        <v>5102</v>
      </c>
      <c r="J3669" s="7" t="s">
        <v>21</v>
      </c>
      <c r="L3669" t="s">
        <v>4776</v>
      </c>
      <c r="M3669" s="7" t="s">
        <v>22</v>
      </c>
      <c r="N3669" s="7" t="s">
        <v>23</v>
      </c>
      <c r="O3669" s="7" t="s">
        <v>27</v>
      </c>
      <c r="P3669" s="7" t="s">
        <v>5101</v>
      </c>
      <c r="Q3669" s="26">
        <v>68</v>
      </c>
      <c r="R3669" s="26">
        <v>2</v>
      </c>
      <c r="S3669" s="40">
        <v>1</v>
      </c>
      <c r="T3669" s="7"/>
      <c r="U3669" s="7" t="s">
        <v>2951</v>
      </c>
      <c r="V3669" s="7" t="str">
        <f>+IF(U3669="","",IF(U3669="FINES",CONCATENATE("R",IF(OR(B3669="16",B3669="21",B3669="22",B3669="23"),"16212223",IF(OR(B3669="15",B3669="17",B3669="24",B3669="25"),"15172425",B3669))),IF(U3669="CEBAS","UNICO",IF(VALUE(B3669)&lt;=11,"AMBA","INTERIOR"))))</f>
        <v>R19</v>
      </c>
      <c r="W3669" s="38" t="str">
        <f>+IF(U3669="","-",CONCATENATE(U3669,"_",V3669))</f>
        <v>FINES_R19</v>
      </c>
      <c r="X3669" s="42">
        <v>0.26100000000000001</v>
      </c>
    </row>
    <row r="3670" spans="1:24">
      <c r="A3670" s="21" t="s">
        <v>5100</v>
      </c>
      <c r="B3670" t="s">
        <v>225</v>
      </c>
      <c r="C3670" t="s">
        <v>942</v>
      </c>
      <c r="D3670" t="s">
        <v>943</v>
      </c>
      <c r="E3670" s="7" t="s">
        <v>198</v>
      </c>
      <c r="F3670" s="7" t="s">
        <v>198</v>
      </c>
      <c r="G3670" s="7" t="s">
        <v>198</v>
      </c>
      <c r="H3670" s="7" t="s">
        <v>20</v>
      </c>
      <c r="I3670" s="7" t="s">
        <v>5102</v>
      </c>
      <c r="J3670" s="7" t="s">
        <v>21</v>
      </c>
      <c r="L3670" t="s">
        <v>4864</v>
      </c>
      <c r="M3670" s="7" t="s">
        <v>22</v>
      </c>
      <c r="N3670" s="7" t="s">
        <v>23</v>
      </c>
      <c r="O3670" s="7" t="s">
        <v>27</v>
      </c>
      <c r="P3670" s="7" t="s">
        <v>5101</v>
      </c>
      <c r="Q3670" s="26">
        <v>48</v>
      </c>
      <c r="R3670" s="26">
        <v>2</v>
      </c>
      <c r="S3670" s="40">
        <v>1</v>
      </c>
      <c r="T3670" s="7"/>
      <c r="U3670" s="7" t="s">
        <v>2951</v>
      </c>
      <c r="V3670" s="7" t="str">
        <f>+IF(U3670="","",IF(U3670="FINES",CONCATENATE("R",IF(OR(B3670="16",B3670="21",B3670="22",B3670="23"),"16212223",IF(OR(B3670="15",B3670="17",B3670="24",B3670="25"),"15172425",B3670))),IF(U3670="CEBAS","UNICO",IF(VALUE(B3670)&lt;=11,"AMBA","INTERIOR"))))</f>
        <v>R19</v>
      </c>
      <c r="W3670" s="38" t="str">
        <f>+IF(U3670="","-",CONCATENATE(U3670,"_",V3670))</f>
        <v>FINES_R19</v>
      </c>
      <c r="X3670" s="42">
        <v>0.26500000000000001</v>
      </c>
    </row>
    <row r="3671" spans="1:24">
      <c r="A3671" s="21" t="s">
        <v>5100</v>
      </c>
      <c r="B3671" t="s">
        <v>225</v>
      </c>
      <c r="C3671" t="s">
        <v>942</v>
      </c>
      <c r="D3671" t="s">
        <v>943</v>
      </c>
      <c r="E3671" s="7" t="s">
        <v>198</v>
      </c>
      <c r="F3671" s="7" t="s">
        <v>198</v>
      </c>
      <c r="G3671" s="7" t="s">
        <v>198</v>
      </c>
      <c r="H3671" s="7" t="s">
        <v>20</v>
      </c>
      <c r="I3671" s="7" t="s">
        <v>5102</v>
      </c>
      <c r="J3671" s="7" t="s">
        <v>21</v>
      </c>
      <c r="L3671" t="s">
        <v>4795</v>
      </c>
      <c r="M3671" s="7" t="s">
        <v>22</v>
      </c>
      <c r="N3671" s="7" t="s">
        <v>23</v>
      </c>
      <c r="O3671" s="7" t="s">
        <v>27</v>
      </c>
      <c r="P3671" s="7" t="s">
        <v>5101</v>
      </c>
      <c r="Q3671" s="26">
        <v>0</v>
      </c>
      <c r="R3671" s="26">
        <v>2</v>
      </c>
      <c r="S3671" s="40">
        <v>1</v>
      </c>
      <c r="T3671" s="7"/>
      <c r="U3671" s="7" t="s">
        <v>2951</v>
      </c>
      <c r="V3671" s="7" t="str">
        <f>+IF(U3671="","",IF(U3671="FINES",CONCATENATE("R",IF(OR(B3671="16",B3671="21",B3671="22",B3671="23"),"16212223",IF(OR(B3671="15",B3671="17",B3671="24",B3671="25"),"15172425",B3671))),IF(U3671="CEBAS","UNICO",IF(VALUE(B3671)&lt;=11,"AMBA","INTERIOR"))))</f>
        <v>R19</v>
      </c>
      <c r="W3671" s="38" t="str">
        <f>+IF(U3671="","-",CONCATENATE(U3671,"_",V3671))</f>
        <v>FINES_R19</v>
      </c>
      <c r="X3671" s="42">
        <v>0.28000000000000003</v>
      </c>
    </row>
    <row r="3672" spans="1:24">
      <c r="A3672" s="21" t="s">
        <v>5100</v>
      </c>
      <c r="B3672" t="s">
        <v>225</v>
      </c>
      <c r="C3672" t="s">
        <v>942</v>
      </c>
      <c r="D3672" t="s">
        <v>943</v>
      </c>
      <c r="E3672" s="7" t="s">
        <v>198</v>
      </c>
      <c r="F3672" s="7" t="s">
        <v>198</v>
      </c>
      <c r="G3672" s="7" t="s">
        <v>198</v>
      </c>
      <c r="H3672" s="7" t="s">
        <v>20</v>
      </c>
      <c r="I3672" s="7" t="s">
        <v>5102</v>
      </c>
      <c r="J3672" s="7" t="s">
        <v>21</v>
      </c>
      <c r="L3672" t="s">
        <v>4889</v>
      </c>
      <c r="M3672" s="7" t="s">
        <v>22</v>
      </c>
      <c r="N3672" s="7" t="s">
        <v>23</v>
      </c>
      <c r="O3672" s="7" t="s">
        <v>27</v>
      </c>
      <c r="P3672" s="7" t="s">
        <v>5101</v>
      </c>
      <c r="Q3672" s="26">
        <v>83</v>
      </c>
      <c r="R3672" s="26">
        <v>3</v>
      </c>
      <c r="S3672" s="40">
        <v>1</v>
      </c>
      <c r="T3672" s="7"/>
      <c r="U3672" s="7" t="s">
        <v>2951</v>
      </c>
      <c r="V3672" s="7" t="str">
        <f>+IF(U3672="","",IF(U3672="FINES",CONCATENATE("R",IF(OR(B3672="16",B3672="21",B3672="22",B3672="23"),"16212223",IF(OR(B3672="15",B3672="17",B3672="24",B3672="25"),"15172425",B3672))),IF(U3672="CEBAS","UNICO",IF(VALUE(B3672)&lt;=11,"AMBA","INTERIOR"))))</f>
        <v>R19</v>
      </c>
      <c r="W3672" s="38" t="str">
        <f>+IF(U3672="","-",CONCATENATE(U3672,"_",V3672))</f>
        <v>FINES_R19</v>
      </c>
      <c r="X3672" s="42">
        <v>0.28199999999999997</v>
      </c>
    </row>
    <row r="3673" spans="1:24">
      <c r="A3673" s="21" t="s">
        <v>5100</v>
      </c>
      <c r="B3673" t="s">
        <v>225</v>
      </c>
      <c r="C3673" t="s">
        <v>942</v>
      </c>
      <c r="D3673" t="s">
        <v>943</v>
      </c>
      <c r="E3673" s="7" t="s">
        <v>198</v>
      </c>
      <c r="F3673" s="7" t="s">
        <v>198</v>
      </c>
      <c r="G3673" s="7" t="s">
        <v>198</v>
      </c>
      <c r="H3673" s="7" t="s">
        <v>20</v>
      </c>
      <c r="I3673" s="7" t="s">
        <v>5102</v>
      </c>
      <c r="J3673" s="7" t="s">
        <v>21</v>
      </c>
      <c r="L3673" t="s">
        <v>4806</v>
      </c>
      <c r="M3673" s="7" t="s">
        <v>22</v>
      </c>
      <c r="N3673" s="7" t="s">
        <v>23</v>
      </c>
      <c r="O3673" s="7" t="s">
        <v>27</v>
      </c>
      <c r="P3673" s="7" t="s">
        <v>5101</v>
      </c>
      <c r="Q3673" s="26">
        <v>31</v>
      </c>
      <c r="R3673" s="26">
        <v>1</v>
      </c>
      <c r="S3673" s="40">
        <v>1</v>
      </c>
      <c r="T3673" s="7"/>
      <c r="U3673" s="7" t="s">
        <v>2951</v>
      </c>
      <c r="V3673" s="7" t="str">
        <f>+IF(U3673="","",IF(U3673="FINES",CONCATENATE("R",IF(OR(B3673="16",B3673="21",B3673="22",B3673="23"),"16212223",IF(OR(B3673="15",B3673="17",B3673="24",B3673="25"),"15172425",B3673))),IF(U3673="CEBAS","UNICO",IF(VALUE(B3673)&lt;=11,"AMBA","INTERIOR"))))</f>
        <v>R19</v>
      </c>
      <c r="W3673" s="38" t="str">
        <f>+IF(U3673="","-",CONCATENATE(U3673,"_",V3673))</f>
        <v>FINES_R19</v>
      </c>
      <c r="X3673" s="42">
        <v>0.28799999999999998</v>
      </c>
    </row>
    <row r="3674" spans="1:24">
      <c r="A3674" s="21" t="s">
        <v>5100</v>
      </c>
      <c r="B3674" t="s">
        <v>225</v>
      </c>
      <c r="C3674" t="s">
        <v>1521</v>
      </c>
      <c r="D3674" t="s">
        <v>1522</v>
      </c>
      <c r="E3674" s="7" t="s">
        <v>198</v>
      </c>
      <c r="F3674" s="7" t="s">
        <v>198</v>
      </c>
      <c r="G3674" s="7" t="s">
        <v>198</v>
      </c>
      <c r="H3674" s="7" t="s">
        <v>20</v>
      </c>
      <c r="I3674" s="7" t="s">
        <v>5102</v>
      </c>
      <c r="J3674" s="7" t="s">
        <v>21</v>
      </c>
      <c r="L3674" t="s">
        <v>4905</v>
      </c>
      <c r="M3674" s="7" t="s">
        <v>22</v>
      </c>
      <c r="N3674" s="7" t="s">
        <v>23</v>
      </c>
      <c r="O3674" s="7" t="s">
        <v>27</v>
      </c>
      <c r="P3674" s="7" t="s">
        <v>5101</v>
      </c>
      <c r="Q3674" s="26">
        <v>21</v>
      </c>
      <c r="R3674" s="26">
        <v>1</v>
      </c>
      <c r="S3674" s="40">
        <v>1</v>
      </c>
      <c r="T3674" s="7"/>
      <c r="U3674" s="7" t="s">
        <v>2951</v>
      </c>
      <c r="V3674" s="7" t="str">
        <f>+IF(U3674="","",IF(U3674="FINES",CONCATENATE("R",IF(OR(B3674="16",B3674="21",B3674="22",B3674="23"),"16212223",IF(OR(B3674="15",B3674="17",B3674="24",B3674="25"),"15172425",B3674))),IF(U3674="CEBAS","UNICO",IF(VALUE(B3674)&lt;=11,"AMBA","INTERIOR"))))</f>
        <v>R19</v>
      </c>
      <c r="W3674" s="38" t="str">
        <f>+IF(U3674="","-",CONCATENATE(U3674,"_",V3674))</f>
        <v>FINES_R19</v>
      </c>
      <c r="X3674" s="42">
        <v>0.28999999999999998</v>
      </c>
    </row>
    <row r="3675" spans="1:24">
      <c r="A3675" s="21" t="s">
        <v>5100</v>
      </c>
      <c r="B3675" t="s">
        <v>225</v>
      </c>
      <c r="C3675" t="s">
        <v>942</v>
      </c>
      <c r="D3675" t="s">
        <v>943</v>
      </c>
      <c r="E3675" s="7" t="s">
        <v>198</v>
      </c>
      <c r="F3675" s="7" t="s">
        <v>198</v>
      </c>
      <c r="G3675" s="7" t="s">
        <v>198</v>
      </c>
      <c r="H3675" s="7" t="s">
        <v>20</v>
      </c>
      <c r="I3675" s="7" t="s">
        <v>5102</v>
      </c>
      <c r="J3675" s="7" t="s">
        <v>21</v>
      </c>
      <c r="L3675" t="s">
        <v>4887</v>
      </c>
      <c r="M3675" s="7" t="s">
        <v>22</v>
      </c>
      <c r="N3675" s="7" t="s">
        <v>23</v>
      </c>
      <c r="O3675" s="7" t="s">
        <v>27</v>
      </c>
      <c r="P3675" s="7" t="s">
        <v>5101</v>
      </c>
      <c r="Q3675" s="26">
        <v>18</v>
      </c>
      <c r="R3675" s="26">
        <v>1</v>
      </c>
      <c r="S3675" s="40">
        <v>1</v>
      </c>
      <c r="T3675" s="7"/>
      <c r="U3675" s="7" t="s">
        <v>2951</v>
      </c>
      <c r="V3675" s="7" t="str">
        <f>+IF(U3675="","",IF(U3675="FINES",CONCATENATE("R",IF(OR(B3675="16",B3675="21",B3675="22",B3675="23"),"16212223",IF(OR(B3675="15",B3675="17",B3675="24",B3675="25"),"15172425",B3675))),IF(U3675="CEBAS","UNICO",IF(VALUE(B3675)&lt;=11,"AMBA","INTERIOR"))))</f>
        <v>R19</v>
      </c>
      <c r="W3675" s="38" t="str">
        <f>+IF(U3675="","-",CONCATENATE(U3675,"_",V3675))</f>
        <v>FINES_R19</v>
      </c>
      <c r="X3675" s="42">
        <v>0.29499999999999998</v>
      </c>
    </row>
    <row r="3676" spans="1:24">
      <c r="A3676" s="21" t="s">
        <v>5100</v>
      </c>
      <c r="B3676" t="s">
        <v>225</v>
      </c>
      <c r="C3676" t="s">
        <v>942</v>
      </c>
      <c r="D3676" t="s">
        <v>943</v>
      </c>
      <c r="E3676" s="7" t="s">
        <v>198</v>
      </c>
      <c r="F3676" s="7" t="s">
        <v>198</v>
      </c>
      <c r="G3676" s="7" t="s">
        <v>198</v>
      </c>
      <c r="H3676" s="7" t="s">
        <v>20</v>
      </c>
      <c r="I3676" s="7" t="s">
        <v>5102</v>
      </c>
      <c r="J3676" s="7" t="s">
        <v>21</v>
      </c>
      <c r="L3676" t="s">
        <v>4846</v>
      </c>
      <c r="M3676" s="7" t="s">
        <v>22</v>
      </c>
      <c r="N3676" s="7" t="s">
        <v>23</v>
      </c>
      <c r="O3676" s="7" t="s">
        <v>27</v>
      </c>
      <c r="P3676" s="7" t="s">
        <v>5101</v>
      </c>
      <c r="Q3676" s="26">
        <v>121</v>
      </c>
      <c r="R3676" s="26">
        <v>4</v>
      </c>
      <c r="S3676" s="40">
        <v>1</v>
      </c>
      <c r="T3676" s="7"/>
      <c r="U3676" s="7" t="s">
        <v>2951</v>
      </c>
      <c r="V3676" s="7" t="str">
        <f>+IF(U3676="","",IF(U3676="FINES",CONCATENATE("R",IF(OR(B3676="16",B3676="21",B3676="22",B3676="23"),"16212223",IF(OR(B3676="15",B3676="17",B3676="24",B3676="25"),"15172425",B3676))),IF(U3676="CEBAS","UNICO",IF(VALUE(B3676)&lt;=11,"AMBA","INTERIOR"))))</f>
        <v>R19</v>
      </c>
      <c r="W3676" s="38" t="str">
        <f>+IF(U3676="","-",CONCATENATE(U3676,"_",V3676))</f>
        <v>FINES_R19</v>
      </c>
      <c r="X3676" s="42">
        <v>0.311</v>
      </c>
    </row>
    <row r="3677" spans="1:24">
      <c r="A3677" s="21" t="s">
        <v>5100</v>
      </c>
      <c r="B3677" t="s">
        <v>225</v>
      </c>
      <c r="C3677" t="s">
        <v>942</v>
      </c>
      <c r="D3677" t="s">
        <v>943</v>
      </c>
      <c r="E3677" s="7" t="s">
        <v>198</v>
      </c>
      <c r="F3677" s="7" t="s">
        <v>198</v>
      </c>
      <c r="G3677" s="7" t="s">
        <v>198</v>
      </c>
      <c r="H3677" s="7" t="s">
        <v>20</v>
      </c>
      <c r="I3677" s="7" t="s">
        <v>5102</v>
      </c>
      <c r="J3677" s="7" t="s">
        <v>21</v>
      </c>
      <c r="L3677" t="s">
        <v>4822</v>
      </c>
      <c r="M3677" s="7" t="s">
        <v>22</v>
      </c>
      <c r="N3677" s="7" t="s">
        <v>23</v>
      </c>
      <c r="O3677" s="7" t="s">
        <v>27</v>
      </c>
      <c r="P3677" s="7" t="s">
        <v>5101</v>
      </c>
      <c r="Q3677" s="26">
        <v>37</v>
      </c>
      <c r="R3677" s="26">
        <v>2</v>
      </c>
      <c r="S3677" s="40">
        <v>1</v>
      </c>
      <c r="T3677" s="7"/>
      <c r="U3677" s="7" t="s">
        <v>2951</v>
      </c>
      <c r="V3677" s="7" t="str">
        <f>+IF(U3677="","",IF(U3677="FINES",CONCATENATE("R",IF(OR(B3677="16",B3677="21",B3677="22",B3677="23"),"16212223",IF(OR(B3677="15",B3677="17",B3677="24",B3677="25"),"15172425",B3677))),IF(U3677="CEBAS","UNICO",IF(VALUE(B3677)&lt;=11,"AMBA","INTERIOR"))))</f>
        <v>R19</v>
      </c>
      <c r="W3677" s="38" t="str">
        <f>+IF(U3677="","-",CONCATENATE(U3677,"_",V3677))</f>
        <v>FINES_R19</v>
      </c>
      <c r="X3677" s="42">
        <v>0.32200000000000001</v>
      </c>
    </row>
    <row r="3678" spans="1:24">
      <c r="A3678" s="21" t="s">
        <v>5100</v>
      </c>
      <c r="B3678" t="s">
        <v>225</v>
      </c>
      <c r="C3678" t="s">
        <v>942</v>
      </c>
      <c r="D3678" t="s">
        <v>943</v>
      </c>
      <c r="E3678" s="7" t="s">
        <v>198</v>
      </c>
      <c r="F3678" s="7" t="s">
        <v>198</v>
      </c>
      <c r="G3678" s="7" t="s">
        <v>198</v>
      </c>
      <c r="H3678" s="7" t="s">
        <v>20</v>
      </c>
      <c r="I3678" s="7" t="s">
        <v>5102</v>
      </c>
      <c r="J3678" s="7" t="s">
        <v>21</v>
      </c>
      <c r="L3678" t="s">
        <v>4852</v>
      </c>
      <c r="M3678" s="7" t="s">
        <v>22</v>
      </c>
      <c r="N3678" s="7" t="s">
        <v>23</v>
      </c>
      <c r="O3678" s="7" t="s">
        <v>27</v>
      </c>
      <c r="P3678" s="7" t="s">
        <v>5101</v>
      </c>
      <c r="Q3678" s="26">
        <v>17</v>
      </c>
      <c r="R3678" s="26">
        <v>1</v>
      </c>
      <c r="S3678" s="40">
        <v>1</v>
      </c>
      <c r="T3678" s="7"/>
      <c r="U3678" s="7" t="s">
        <v>2951</v>
      </c>
      <c r="V3678" s="7" t="str">
        <f>+IF(U3678="","",IF(U3678="FINES",CONCATENATE("R",IF(OR(B3678="16",B3678="21",B3678="22",B3678="23"),"16212223",IF(OR(B3678="15",B3678="17",B3678="24",B3678="25"),"15172425",B3678))),IF(U3678="CEBAS","UNICO",IF(VALUE(B3678)&lt;=11,"AMBA","INTERIOR"))))</f>
        <v>R19</v>
      </c>
      <c r="W3678" s="38" t="str">
        <f>+IF(U3678="","-",CONCATENATE(U3678,"_",V3678))</f>
        <v>FINES_R19</v>
      </c>
      <c r="X3678" s="42">
        <v>0.32700000000000001</v>
      </c>
    </row>
    <row r="3679" spans="1:24">
      <c r="A3679" s="21" t="s">
        <v>5100</v>
      </c>
      <c r="B3679" t="s">
        <v>225</v>
      </c>
      <c r="C3679" t="s">
        <v>942</v>
      </c>
      <c r="D3679" t="s">
        <v>943</v>
      </c>
      <c r="E3679" s="7" t="s">
        <v>198</v>
      </c>
      <c r="F3679" s="7" t="s">
        <v>198</v>
      </c>
      <c r="G3679" s="7" t="s">
        <v>198</v>
      </c>
      <c r="H3679" s="7" t="s">
        <v>20</v>
      </c>
      <c r="I3679" s="7" t="s">
        <v>5102</v>
      </c>
      <c r="J3679" s="7" t="s">
        <v>21</v>
      </c>
      <c r="L3679" t="s">
        <v>4842</v>
      </c>
      <c r="M3679" s="7" t="s">
        <v>22</v>
      </c>
      <c r="N3679" s="7" t="s">
        <v>23</v>
      </c>
      <c r="O3679" s="7" t="s">
        <v>27</v>
      </c>
      <c r="P3679" s="7" t="s">
        <v>5101</v>
      </c>
      <c r="Q3679" s="26">
        <v>14</v>
      </c>
      <c r="R3679" s="26">
        <v>1</v>
      </c>
      <c r="S3679" s="40">
        <v>1</v>
      </c>
      <c r="T3679" s="7"/>
      <c r="U3679" s="7" t="s">
        <v>2951</v>
      </c>
      <c r="V3679" s="7" t="str">
        <f>+IF(U3679="","",IF(U3679="FINES",CONCATENATE("R",IF(OR(B3679="16",B3679="21",B3679="22",B3679="23"),"16212223",IF(OR(B3679="15",B3679="17",B3679="24",B3679="25"),"15172425",B3679))),IF(U3679="CEBAS","UNICO",IF(VALUE(B3679)&lt;=11,"AMBA","INTERIOR"))))</f>
        <v>R19</v>
      </c>
      <c r="W3679" s="38" t="str">
        <f>+IF(U3679="","-",CONCATENATE(U3679,"_",V3679))</f>
        <v>FINES_R19</v>
      </c>
      <c r="X3679" s="42">
        <v>0.32800000000000001</v>
      </c>
    </row>
    <row r="3680" spans="1:24">
      <c r="A3680" s="21" t="s">
        <v>5100</v>
      </c>
      <c r="B3680" t="s">
        <v>225</v>
      </c>
      <c r="C3680" t="s">
        <v>942</v>
      </c>
      <c r="D3680" t="s">
        <v>943</v>
      </c>
      <c r="E3680" s="7" t="s">
        <v>198</v>
      </c>
      <c r="F3680" s="7" t="s">
        <v>198</v>
      </c>
      <c r="G3680" s="7" t="s">
        <v>198</v>
      </c>
      <c r="H3680" s="7" t="s">
        <v>20</v>
      </c>
      <c r="I3680" s="7" t="s">
        <v>5102</v>
      </c>
      <c r="J3680" s="7" t="s">
        <v>21</v>
      </c>
      <c r="L3680" t="s">
        <v>4871</v>
      </c>
      <c r="M3680" s="7" t="s">
        <v>22</v>
      </c>
      <c r="N3680" s="7" t="s">
        <v>23</v>
      </c>
      <c r="O3680" s="7" t="s">
        <v>27</v>
      </c>
      <c r="P3680" s="7" t="s">
        <v>5101</v>
      </c>
      <c r="Q3680" s="26">
        <v>17</v>
      </c>
      <c r="R3680" s="26">
        <v>1</v>
      </c>
      <c r="S3680" s="40">
        <v>1</v>
      </c>
      <c r="T3680" s="7"/>
      <c r="U3680" s="7" t="s">
        <v>2951</v>
      </c>
      <c r="V3680" s="7" t="str">
        <f>+IF(U3680="","",IF(U3680="FINES",CONCATENATE("R",IF(OR(B3680="16",B3680="21",B3680="22",B3680="23"),"16212223",IF(OR(B3680="15",B3680="17",B3680="24",B3680="25"),"15172425",B3680))),IF(U3680="CEBAS","UNICO",IF(VALUE(B3680)&lt;=11,"AMBA","INTERIOR"))))</f>
        <v>R19</v>
      </c>
      <c r="W3680" s="38" t="str">
        <f>+IF(U3680="","-",CONCATENATE(U3680,"_",V3680))</f>
        <v>FINES_R19</v>
      </c>
      <c r="X3680" s="42">
        <v>0.32900000000000001</v>
      </c>
    </row>
    <row r="3681" spans="1:24">
      <c r="A3681" s="21" t="s">
        <v>5100</v>
      </c>
      <c r="B3681" t="s">
        <v>225</v>
      </c>
      <c r="C3681" t="s">
        <v>942</v>
      </c>
      <c r="D3681" t="s">
        <v>943</v>
      </c>
      <c r="E3681" s="7" t="s">
        <v>198</v>
      </c>
      <c r="F3681" s="7" t="s">
        <v>198</v>
      </c>
      <c r="G3681" s="7" t="s">
        <v>198</v>
      </c>
      <c r="H3681" s="7" t="s">
        <v>20</v>
      </c>
      <c r="I3681" s="7" t="s">
        <v>5102</v>
      </c>
      <c r="J3681" s="7" t="s">
        <v>21</v>
      </c>
      <c r="L3681" t="s">
        <v>4834</v>
      </c>
      <c r="M3681" s="7" t="s">
        <v>22</v>
      </c>
      <c r="N3681" s="7" t="s">
        <v>23</v>
      </c>
      <c r="O3681" s="7" t="s">
        <v>27</v>
      </c>
      <c r="P3681" s="7" t="s">
        <v>5101</v>
      </c>
      <c r="Q3681" s="26">
        <v>13</v>
      </c>
      <c r="R3681" s="26">
        <v>1</v>
      </c>
      <c r="S3681" s="40">
        <v>1</v>
      </c>
      <c r="T3681" s="7"/>
      <c r="U3681" s="7" t="s">
        <v>2951</v>
      </c>
      <c r="V3681" s="7" t="str">
        <f>+IF(U3681="","",IF(U3681="FINES",CONCATENATE("R",IF(OR(B3681="16",B3681="21",B3681="22",B3681="23"),"16212223",IF(OR(B3681="15",B3681="17",B3681="24",B3681="25"),"15172425",B3681))),IF(U3681="CEBAS","UNICO",IF(VALUE(B3681)&lt;=11,"AMBA","INTERIOR"))))</f>
        <v>R19</v>
      </c>
      <c r="W3681" s="38" t="str">
        <f>+IF(U3681="","-",CONCATENATE(U3681,"_",V3681))</f>
        <v>FINES_R19</v>
      </c>
      <c r="X3681" s="42">
        <v>0.34</v>
      </c>
    </row>
    <row r="3682" spans="1:24">
      <c r="A3682" s="21" t="s">
        <v>5100</v>
      </c>
      <c r="B3682" t="s">
        <v>225</v>
      </c>
      <c r="C3682" t="s">
        <v>942</v>
      </c>
      <c r="D3682" t="s">
        <v>943</v>
      </c>
      <c r="E3682" s="7" t="s">
        <v>198</v>
      </c>
      <c r="F3682" s="7" t="s">
        <v>198</v>
      </c>
      <c r="G3682" s="7" t="s">
        <v>198</v>
      </c>
      <c r="H3682" s="7" t="s">
        <v>20</v>
      </c>
      <c r="I3682" s="7" t="s">
        <v>5102</v>
      </c>
      <c r="J3682" s="7" t="s">
        <v>21</v>
      </c>
      <c r="L3682" t="s">
        <v>4845</v>
      </c>
      <c r="M3682" s="7" t="s">
        <v>22</v>
      </c>
      <c r="N3682" s="7" t="s">
        <v>23</v>
      </c>
      <c r="O3682" s="7" t="s">
        <v>27</v>
      </c>
      <c r="P3682" s="7" t="s">
        <v>5101</v>
      </c>
      <c r="Q3682" s="26">
        <v>10</v>
      </c>
      <c r="R3682" s="26">
        <v>1</v>
      </c>
      <c r="S3682" s="40">
        <v>1</v>
      </c>
      <c r="T3682" s="7"/>
      <c r="U3682" s="7" t="s">
        <v>2951</v>
      </c>
      <c r="V3682" s="7" t="str">
        <f>+IF(U3682="","",IF(U3682="FINES",CONCATENATE("R",IF(OR(B3682="16",B3682="21",B3682="22",B3682="23"),"16212223",IF(OR(B3682="15",B3682="17",B3682="24",B3682="25"),"15172425",B3682))),IF(U3682="CEBAS","UNICO",IF(VALUE(B3682)&lt;=11,"AMBA","INTERIOR"))))</f>
        <v>R19</v>
      </c>
      <c r="W3682" s="38" t="str">
        <f>+IF(U3682="","-",CONCATENATE(U3682,"_",V3682))</f>
        <v>FINES_R19</v>
      </c>
      <c r="X3682" s="42">
        <v>0.34699999999999998</v>
      </c>
    </row>
    <row r="3683" spans="1:24">
      <c r="A3683" s="21" t="s">
        <v>5100</v>
      </c>
      <c r="B3683" t="s">
        <v>225</v>
      </c>
      <c r="C3683" t="s">
        <v>876</v>
      </c>
      <c r="D3683" t="s">
        <v>877</v>
      </c>
      <c r="E3683" s="7" t="s">
        <v>198</v>
      </c>
      <c r="F3683" s="7" t="s">
        <v>198</v>
      </c>
      <c r="G3683" s="7" t="s">
        <v>198</v>
      </c>
      <c r="H3683" s="7" t="s">
        <v>20</v>
      </c>
      <c r="I3683" s="7" t="s">
        <v>5102</v>
      </c>
      <c r="J3683" s="7" t="s">
        <v>21</v>
      </c>
      <c r="L3683" t="s">
        <v>4769</v>
      </c>
      <c r="M3683" s="7" t="s">
        <v>22</v>
      </c>
      <c r="N3683" s="7" t="s">
        <v>23</v>
      </c>
      <c r="O3683" s="7" t="s">
        <v>27</v>
      </c>
      <c r="P3683" s="7" t="s">
        <v>5101</v>
      </c>
      <c r="Q3683" s="26">
        <v>32</v>
      </c>
      <c r="R3683" s="26">
        <v>2</v>
      </c>
      <c r="S3683" s="40">
        <v>1</v>
      </c>
      <c r="T3683" s="7"/>
      <c r="U3683" s="7" t="s">
        <v>2951</v>
      </c>
      <c r="V3683" s="7" t="str">
        <f>+IF(U3683="","",IF(U3683="FINES",CONCATENATE("R",IF(OR(B3683="16",B3683="21",B3683="22",B3683="23"),"16212223",IF(OR(B3683="15",B3683="17",B3683="24",B3683="25"),"15172425",B3683))),IF(U3683="CEBAS","UNICO",IF(VALUE(B3683)&lt;=11,"AMBA","INTERIOR"))))</f>
        <v>R19</v>
      </c>
      <c r="W3683" s="38" t="str">
        <f>+IF(U3683="","-",CONCATENATE(U3683,"_",V3683))</f>
        <v>FINES_R19</v>
      </c>
      <c r="X3683" s="42">
        <v>0.34699999999999998</v>
      </c>
    </row>
    <row r="3684" spans="1:24">
      <c r="A3684" s="21" t="s">
        <v>5100</v>
      </c>
      <c r="B3684" t="s">
        <v>225</v>
      </c>
      <c r="C3684" t="s">
        <v>942</v>
      </c>
      <c r="D3684" t="s">
        <v>943</v>
      </c>
      <c r="E3684" s="7" t="s">
        <v>198</v>
      </c>
      <c r="F3684" s="7" t="s">
        <v>198</v>
      </c>
      <c r="G3684" s="7" t="s">
        <v>198</v>
      </c>
      <c r="H3684" s="7" t="s">
        <v>20</v>
      </c>
      <c r="I3684" s="7" t="s">
        <v>5102</v>
      </c>
      <c r="J3684" s="7" t="s">
        <v>21</v>
      </c>
      <c r="L3684" t="s">
        <v>4881</v>
      </c>
      <c r="M3684" s="7" t="s">
        <v>22</v>
      </c>
      <c r="N3684" s="7" t="s">
        <v>23</v>
      </c>
      <c r="O3684" s="7" t="s">
        <v>27</v>
      </c>
      <c r="P3684" s="7" t="s">
        <v>5101</v>
      </c>
      <c r="Q3684" s="26">
        <v>53</v>
      </c>
      <c r="R3684" s="26">
        <v>2</v>
      </c>
      <c r="S3684" s="40">
        <v>1</v>
      </c>
      <c r="T3684" s="7"/>
      <c r="U3684" s="7" t="s">
        <v>2951</v>
      </c>
      <c r="V3684" s="7" t="str">
        <f>+IF(U3684="","",IF(U3684="FINES",CONCATENATE("R",IF(OR(B3684="16",B3684="21",B3684="22",B3684="23"),"16212223",IF(OR(B3684="15",B3684="17",B3684="24",B3684="25"),"15172425",B3684))),IF(U3684="CEBAS","UNICO",IF(VALUE(B3684)&lt;=11,"AMBA","INTERIOR"))))</f>
        <v>R19</v>
      </c>
      <c r="W3684" s="38" t="str">
        <f>+IF(U3684="","-",CONCATENATE(U3684,"_",V3684))</f>
        <v>FINES_R19</v>
      </c>
      <c r="X3684" s="42">
        <v>0.35299999999999998</v>
      </c>
    </row>
    <row r="3685" spans="1:24">
      <c r="A3685" s="21" t="s">
        <v>5100</v>
      </c>
      <c r="B3685" t="s">
        <v>225</v>
      </c>
      <c r="C3685" t="s">
        <v>942</v>
      </c>
      <c r="D3685" t="s">
        <v>943</v>
      </c>
      <c r="E3685" s="7" t="s">
        <v>198</v>
      </c>
      <c r="F3685" s="7" t="s">
        <v>198</v>
      </c>
      <c r="G3685" s="7" t="s">
        <v>198</v>
      </c>
      <c r="H3685" s="7" t="s">
        <v>20</v>
      </c>
      <c r="I3685" s="7" t="s">
        <v>5102</v>
      </c>
      <c r="J3685" s="7" t="s">
        <v>21</v>
      </c>
      <c r="L3685" t="s">
        <v>4820</v>
      </c>
      <c r="M3685" s="7" t="s">
        <v>22</v>
      </c>
      <c r="N3685" s="7" t="s">
        <v>23</v>
      </c>
      <c r="O3685" s="7" t="s">
        <v>27</v>
      </c>
      <c r="P3685" s="7" t="s">
        <v>5101</v>
      </c>
      <c r="Q3685" s="26">
        <v>19</v>
      </c>
      <c r="R3685" s="26">
        <v>2</v>
      </c>
      <c r="S3685" s="40">
        <v>1</v>
      </c>
      <c r="T3685" s="7"/>
      <c r="U3685" s="7" t="s">
        <v>2951</v>
      </c>
      <c r="V3685" s="7" t="str">
        <f>+IF(U3685="","",IF(U3685="FINES",CONCATENATE("R",IF(OR(B3685="16",B3685="21",B3685="22",B3685="23"),"16212223",IF(OR(B3685="15",B3685="17",B3685="24",B3685="25"),"15172425",B3685))),IF(U3685="CEBAS","UNICO",IF(VALUE(B3685)&lt;=11,"AMBA","INTERIOR"))))</f>
        <v>R19</v>
      </c>
      <c r="W3685" s="38" t="str">
        <f>+IF(U3685="","-",CONCATENATE(U3685,"_",V3685))</f>
        <v>FINES_R19</v>
      </c>
      <c r="X3685" s="42">
        <v>0.36</v>
      </c>
    </row>
    <row r="3686" spans="1:24">
      <c r="A3686" s="21" t="s">
        <v>5100</v>
      </c>
      <c r="B3686" t="s">
        <v>225</v>
      </c>
      <c r="C3686" t="s">
        <v>942</v>
      </c>
      <c r="D3686" t="s">
        <v>943</v>
      </c>
      <c r="E3686" s="7" t="s">
        <v>198</v>
      </c>
      <c r="F3686" s="7" t="s">
        <v>198</v>
      </c>
      <c r="G3686" s="7" t="s">
        <v>198</v>
      </c>
      <c r="H3686" s="7" t="s">
        <v>20</v>
      </c>
      <c r="I3686" s="7" t="s">
        <v>5102</v>
      </c>
      <c r="J3686" s="7" t="s">
        <v>21</v>
      </c>
      <c r="L3686" t="s">
        <v>4804</v>
      </c>
      <c r="M3686" s="7" t="s">
        <v>22</v>
      </c>
      <c r="N3686" s="7" t="s">
        <v>23</v>
      </c>
      <c r="O3686" s="7" t="s">
        <v>27</v>
      </c>
      <c r="P3686" s="7" t="s">
        <v>5101</v>
      </c>
      <c r="Q3686" s="26">
        <v>65</v>
      </c>
      <c r="R3686" s="26">
        <v>3</v>
      </c>
      <c r="S3686" s="40">
        <v>1</v>
      </c>
      <c r="T3686" s="7"/>
      <c r="U3686" s="7" t="s">
        <v>2951</v>
      </c>
      <c r="V3686" s="7" t="str">
        <f>+IF(U3686="","",IF(U3686="FINES",CONCATENATE("R",IF(OR(B3686="16",B3686="21",B3686="22",B3686="23"),"16212223",IF(OR(B3686="15",B3686="17",B3686="24",B3686="25"),"15172425",B3686))),IF(U3686="CEBAS","UNICO",IF(VALUE(B3686)&lt;=11,"AMBA","INTERIOR"))))</f>
        <v>R19</v>
      </c>
      <c r="W3686" s="38" t="str">
        <f>+IF(U3686="","-",CONCATENATE(U3686,"_",V3686))</f>
        <v>FINES_R19</v>
      </c>
      <c r="X3686" s="42">
        <v>0.36099999999999999</v>
      </c>
    </row>
    <row r="3687" spans="1:24">
      <c r="A3687" s="21" t="s">
        <v>5100</v>
      </c>
      <c r="B3687" t="s">
        <v>225</v>
      </c>
      <c r="C3687" t="s">
        <v>942</v>
      </c>
      <c r="D3687" t="s">
        <v>943</v>
      </c>
      <c r="E3687" s="7" t="s">
        <v>198</v>
      </c>
      <c r="F3687" s="7" t="s">
        <v>198</v>
      </c>
      <c r="G3687" s="7" t="s">
        <v>198</v>
      </c>
      <c r="H3687" s="7" t="s">
        <v>20</v>
      </c>
      <c r="I3687" s="7" t="s">
        <v>5102</v>
      </c>
      <c r="J3687" s="7" t="s">
        <v>21</v>
      </c>
      <c r="L3687" t="s">
        <v>4783</v>
      </c>
      <c r="M3687" s="7" t="s">
        <v>22</v>
      </c>
      <c r="N3687" s="7" t="s">
        <v>23</v>
      </c>
      <c r="O3687" s="7" t="s">
        <v>27</v>
      </c>
      <c r="P3687" s="7" t="s">
        <v>5101</v>
      </c>
      <c r="Q3687" s="26">
        <v>16</v>
      </c>
      <c r="R3687" s="26">
        <v>1</v>
      </c>
      <c r="S3687" s="40">
        <v>1</v>
      </c>
      <c r="T3687" s="7"/>
      <c r="U3687" s="7" t="s">
        <v>2951</v>
      </c>
      <c r="V3687" s="7" t="str">
        <f>+IF(U3687="","",IF(U3687="FINES",CONCATENATE("R",IF(OR(B3687="16",B3687="21",B3687="22",B3687="23"),"16212223",IF(OR(B3687="15",B3687="17",B3687="24",B3687="25"),"15172425",B3687))),IF(U3687="CEBAS","UNICO",IF(VALUE(B3687)&lt;=11,"AMBA","INTERIOR"))))</f>
        <v>R19</v>
      </c>
      <c r="W3687" s="38" t="str">
        <f>+IF(U3687="","-",CONCATENATE(U3687,"_",V3687))</f>
        <v>FINES_R19</v>
      </c>
      <c r="X3687" s="42">
        <v>0.36199999999999999</v>
      </c>
    </row>
    <row r="3688" spans="1:24">
      <c r="A3688" s="21" t="s">
        <v>5100</v>
      </c>
      <c r="B3688" t="s">
        <v>225</v>
      </c>
      <c r="C3688" t="s">
        <v>942</v>
      </c>
      <c r="D3688" t="s">
        <v>943</v>
      </c>
      <c r="E3688" s="7" t="s">
        <v>198</v>
      </c>
      <c r="F3688" s="7" t="s">
        <v>198</v>
      </c>
      <c r="G3688" s="7" t="s">
        <v>198</v>
      </c>
      <c r="H3688" s="7" t="s">
        <v>20</v>
      </c>
      <c r="I3688" s="7" t="s">
        <v>5102</v>
      </c>
      <c r="J3688" s="7" t="s">
        <v>21</v>
      </c>
      <c r="L3688" t="s">
        <v>4812</v>
      </c>
      <c r="M3688" s="7" t="s">
        <v>22</v>
      </c>
      <c r="N3688" s="7" t="s">
        <v>23</v>
      </c>
      <c r="O3688" s="7" t="s">
        <v>27</v>
      </c>
      <c r="P3688" s="7" t="s">
        <v>5101</v>
      </c>
      <c r="Q3688" s="26">
        <v>17</v>
      </c>
      <c r="R3688" s="26">
        <v>1</v>
      </c>
      <c r="S3688" s="40">
        <v>1</v>
      </c>
      <c r="T3688" s="7"/>
      <c r="U3688" s="7" t="s">
        <v>2951</v>
      </c>
      <c r="V3688" s="7" t="str">
        <f>+IF(U3688="","",IF(U3688="FINES",CONCATENATE("R",IF(OR(B3688="16",B3688="21",B3688="22",B3688="23"),"16212223",IF(OR(B3688="15",B3688="17",B3688="24",B3688="25"),"15172425",B3688))),IF(U3688="CEBAS","UNICO",IF(VALUE(B3688)&lt;=11,"AMBA","INTERIOR"))))</f>
        <v>R19</v>
      </c>
      <c r="W3688" s="38" t="str">
        <f>+IF(U3688="","-",CONCATENATE(U3688,"_",V3688))</f>
        <v>FINES_R19</v>
      </c>
      <c r="X3688" s="42">
        <v>0.36299999999999999</v>
      </c>
    </row>
    <row r="3689" spans="1:24">
      <c r="A3689" s="21" t="s">
        <v>5100</v>
      </c>
      <c r="B3689" t="s">
        <v>225</v>
      </c>
      <c r="C3689" t="s">
        <v>942</v>
      </c>
      <c r="D3689" t="s">
        <v>943</v>
      </c>
      <c r="E3689" s="7" t="s">
        <v>198</v>
      </c>
      <c r="F3689" s="7" t="s">
        <v>198</v>
      </c>
      <c r="G3689" s="7" t="s">
        <v>198</v>
      </c>
      <c r="H3689" s="7" t="s">
        <v>20</v>
      </c>
      <c r="I3689" s="7" t="s">
        <v>5102</v>
      </c>
      <c r="J3689" s="7" t="s">
        <v>21</v>
      </c>
      <c r="L3689" t="s">
        <v>4890</v>
      </c>
      <c r="M3689" s="7" t="s">
        <v>22</v>
      </c>
      <c r="N3689" s="7" t="s">
        <v>23</v>
      </c>
      <c r="O3689" s="7" t="s">
        <v>27</v>
      </c>
      <c r="P3689" s="7" t="s">
        <v>5101</v>
      </c>
      <c r="Q3689" s="26">
        <v>33</v>
      </c>
      <c r="R3689" s="26">
        <v>1</v>
      </c>
      <c r="S3689" s="40">
        <v>1</v>
      </c>
      <c r="T3689" s="7"/>
      <c r="U3689" s="7" t="s">
        <v>2951</v>
      </c>
      <c r="V3689" s="7" t="str">
        <f>+IF(U3689="","",IF(U3689="FINES",CONCATENATE("R",IF(OR(B3689="16",B3689="21",B3689="22",B3689="23"),"16212223",IF(OR(B3689="15",B3689="17",B3689="24",B3689="25"),"15172425",B3689))),IF(U3689="CEBAS","UNICO",IF(VALUE(B3689)&lt;=11,"AMBA","INTERIOR"))))</f>
        <v>R19</v>
      </c>
      <c r="W3689" s="38" t="str">
        <f>+IF(U3689="","-",CONCATENATE(U3689,"_",V3689))</f>
        <v>FINES_R19</v>
      </c>
      <c r="X3689" s="42">
        <v>0.36599999999999999</v>
      </c>
    </row>
    <row r="3690" spans="1:24">
      <c r="A3690" s="21" t="s">
        <v>5100</v>
      </c>
      <c r="B3690" t="s">
        <v>225</v>
      </c>
      <c r="C3690" t="s">
        <v>942</v>
      </c>
      <c r="D3690" t="s">
        <v>943</v>
      </c>
      <c r="E3690" s="7" t="s">
        <v>198</v>
      </c>
      <c r="F3690" s="7" t="s">
        <v>198</v>
      </c>
      <c r="G3690" s="7" t="s">
        <v>198</v>
      </c>
      <c r="H3690" s="7" t="s">
        <v>20</v>
      </c>
      <c r="I3690" s="7" t="s">
        <v>5102</v>
      </c>
      <c r="J3690" s="7" t="s">
        <v>21</v>
      </c>
      <c r="L3690" t="s">
        <v>4778</v>
      </c>
      <c r="M3690" s="7" t="s">
        <v>22</v>
      </c>
      <c r="N3690" s="7" t="s">
        <v>23</v>
      </c>
      <c r="O3690" s="7" t="s">
        <v>27</v>
      </c>
      <c r="P3690" s="7" t="s">
        <v>5101</v>
      </c>
      <c r="Q3690" s="26">
        <v>20</v>
      </c>
      <c r="R3690" s="26">
        <v>1</v>
      </c>
      <c r="S3690" s="40">
        <v>1</v>
      </c>
      <c r="T3690" s="7"/>
      <c r="U3690" s="7" t="s">
        <v>2951</v>
      </c>
      <c r="V3690" s="7" t="str">
        <f>+IF(U3690="","",IF(U3690="FINES",CONCATENATE("R",IF(OR(B3690="16",B3690="21",B3690="22",B3690="23"),"16212223",IF(OR(B3690="15",B3690="17",B3690="24",B3690="25"),"15172425",B3690))),IF(U3690="CEBAS","UNICO",IF(VALUE(B3690)&lt;=11,"AMBA","INTERIOR"))))</f>
        <v>R19</v>
      </c>
      <c r="W3690" s="38" t="str">
        <f>+IF(U3690="","-",CONCATENATE(U3690,"_",V3690))</f>
        <v>FINES_R19</v>
      </c>
      <c r="X3690" s="42">
        <v>0.373</v>
      </c>
    </row>
    <row r="3691" spans="1:24">
      <c r="A3691" s="21" t="s">
        <v>5100</v>
      </c>
      <c r="B3691" t="s">
        <v>225</v>
      </c>
      <c r="C3691" t="s">
        <v>942</v>
      </c>
      <c r="D3691" t="s">
        <v>943</v>
      </c>
      <c r="E3691" s="7" t="s">
        <v>198</v>
      </c>
      <c r="F3691" s="7" t="s">
        <v>198</v>
      </c>
      <c r="G3691" s="7" t="s">
        <v>198</v>
      </c>
      <c r="H3691" s="7" t="s">
        <v>20</v>
      </c>
      <c r="I3691" s="7" t="s">
        <v>5102</v>
      </c>
      <c r="J3691" s="7" t="s">
        <v>21</v>
      </c>
      <c r="L3691" t="s">
        <v>4886</v>
      </c>
      <c r="M3691" s="7" t="s">
        <v>22</v>
      </c>
      <c r="N3691" s="7" t="s">
        <v>23</v>
      </c>
      <c r="O3691" s="7" t="s">
        <v>27</v>
      </c>
      <c r="P3691" s="7" t="s">
        <v>5101</v>
      </c>
      <c r="Q3691" s="26">
        <v>0</v>
      </c>
      <c r="R3691" s="26">
        <v>1</v>
      </c>
      <c r="S3691" s="40">
        <v>1</v>
      </c>
      <c r="T3691" s="7"/>
      <c r="U3691" s="7" t="s">
        <v>2951</v>
      </c>
      <c r="V3691" s="7" t="str">
        <f>+IF(U3691="","",IF(U3691="FINES",CONCATENATE("R",IF(OR(B3691="16",B3691="21",B3691="22",B3691="23"),"16212223",IF(OR(B3691="15",B3691="17",B3691="24",B3691="25"),"15172425",B3691))),IF(U3691="CEBAS","UNICO",IF(VALUE(B3691)&lt;=11,"AMBA","INTERIOR"))))</f>
        <v>R19</v>
      </c>
      <c r="W3691" s="38" t="str">
        <f>+IF(U3691="","-",CONCATENATE(U3691,"_",V3691))</f>
        <v>FINES_R19</v>
      </c>
      <c r="X3691" s="42">
        <v>0.38400000000000001</v>
      </c>
    </row>
    <row r="3692" spans="1:24">
      <c r="A3692" s="21" t="s">
        <v>5100</v>
      </c>
      <c r="B3692" t="s">
        <v>225</v>
      </c>
      <c r="C3692" t="s">
        <v>942</v>
      </c>
      <c r="D3692" t="s">
        <v>943</v>
      </c>
      <c r="E3692" s="7" t="s">
        <v>198</v>
      </c>
      <c r="F3692" s="7" t="s">
        <v>198</v>
      </c>
      <c r="G3692" s="7" t="s">
        <v>198</v>
      </c>
      <c r="H3692" s="7" t="s">
        <v>20</v>
      </c>
      <c r="I3692" s="7" t="s">
        <v>5102</v>
      </c>
      <c r="J3692" s="7" t="s">
        <v>21</v>
      </c>
      <c r="L3692" t="s">
        <v>4892</v>
      </c>
      <c r="M3692" s="7" t="s">
        <v>22</v>
      </c>
      <c r="N3692" s="7" t="s">
        <v>23</v>
      </c>
      <c r="O3692" s="7" t="s">
        <v>27</v>
      </c>
      <c r="P3692" s="7" t="s">
        <v>5101</v>
      </c>
      <c r="Q3692" s="26">
        <v>15</v>
      </c>
      <c r="R3692" s="26">
        <v>1</v>
      </c>
      <c r="S3692" s="40">
        <v>1</v>
      </c>
      <c r="T3692" s="7"/>
      <c r="U3692" s="7" t="s">
        <v>2951</v>
      </c>
      <c r="V3692" s="7" t="str">
        <f>+IF(U3692="","",IF(U3692="FINES",CONCATENATE("R",IF(OR(B3692="16",B3692="21",B3692="22",B3692="23"),"16212223",IF(OR(B3692="15",B3692="17",B3692="24",B3692="25"),"15172425",B3692))),IF(U3692="CEBAS","UNICO",IF(VALUE(B3692)&lt;=11,"AMBA","INTERIOR"))))</f>
        <v>R19</v>
      </c>
      <c r="W3692" s="38" t="str">
        <f>+IF(U3692="","-",CONCATENATE(U3692,"_",V3692))</f>
        <v>FINES_R19</v>
      </c>
      <c r="X3692" s="42">
        <v>0.38800000000000001</v>
      </c>
    </row>
    <row r="3693" spans="1:24">
      <c r="A3693" s="21" t="s">
        <v>5100</v>
      </c>
      <c r="B3693" t="s">
        <v>225</v>
      </c>
      <c r="C3693" t="s">
        <v>1521</v>
      </c>
      <c r="D3693" t="s">
        <v>1522</v>
      </c>
      <c r="E3693" s="7" t="s">
        <v>198</v>
      </c>
      <c r="F3693" s="7" t="s">
        <v>198</v>
      </c>
      <c r="G3693" s="7" t="s">
        <v>198</v>
      </c>
      <c r="H3693" s="7" t="s">
        <v>20</v>
      </c>
      <c r="I3693" s="7" t="s">
        <v>5102</v>
      </c>
      <c r="J3693" s="7" t="s">
        <v>21</v>
      </c>
      <c r="L3693" t="s">
        <v>4906</v>
      </c>
      <c r="M3693" s="7" t="s">
        <v>22</v>
      </c>
      <c r="N3693" s="7" t="s">
        <v>23</v>
      </c>
      <c r="O3693" s="7" t="s">
        <v>27</v>
      </c>
      <c r="P3693" s="7" t="s">
        <v>5101</v>
      </c>
      <c r="Q3693" s="26">
        <v>24</v>
      </c>
      <c r="R3693" s="26">
        <v>1</v>
      </c>
      <c r="S3693" s="40">
        <v>1</v>
      </c>
      <c r="T3693" s="7"/>
      <c r="U3693" s="7" t="s">
        <v>2951</v>
      </c>
      <c r="V3693" s="7" t="str">
        <f>+IF(U3693="","",IF(U3693="FINES",CONCATENATE("R",IF(OR(B3693="16",B3693="21",B3693="22",B3693="23"),"16212223",IF(OR(B3693="15",B3693="17",B3693="24",B3693="25"),"15172425",B3693))),IF(U3693="CEBAS","UNICO",IF(VALUE(B3693)&lt;=11,"AMBA","INTERIOR"))))</f>
        <v>R19</v>
      </c>
      <c r="W3693" s="38" t="str">
        <f>+IF(U3693="","-",CONCATENATE(U3693,"_",V3693))</f>
        <v>FINES_R19</v>
      </c>
      <c r="X3693" s="42">
        <v>0.41499999999999998</v>
      </c>
    </row>
    <row r="3694" spans="1:24">
      <c r="A3694" s="21" t="s">
        <v>5100</v>
      </c>
      <c r="B3694" t="s">
        <v>225</v>
      </c>
      <c r="C3694" t="s">
        <v>942</v>
      </c>
      <c r="D3694" t="s">
        <v>943</v>
      </c>
      <c r="E3694" s="7" t="s">
        <v>198</v>
      </c>
      <c r="F3694" s="7" t="s">
        <v>198</v>
      </c>
      <c r="G3694" s="7" t="s">
        <v>198</v>
      </c>
      <c r="H3694" s="7" t="s">
        <v>20</v>
      </c>
      <c r="I3694" s="7" t="s">
        <v>5102</v>
      </c>
      <c r="J3694" s="7" t="s">
        <v>21</v>
      </c>
      <c r="L3694" t="s">
        <v>4872</v>
      </c>
      <c r="M3694" s="7" t="s">
        <v>22</v>
      </c>
      <c r="N3694" s="7" t="s">
        <v>23</v>
      </c>
      <c r="O3694" s="7" t="s">
        <v>27</v>
      </c>
      <c r="P3694" s="7" t="s">
        <v>5101</v>
      </c>
      <c r="Q3694" s="26">
        <v>25</v>
      </c>
      <c r="R3694" s="26">
        <v>1</v>
      </c>
      <c r="S3694" s="40">
        <v>1</v>
      </c>
      <c r="T3694" s="7"/>
      <c r="U3694" s="7" t="s">
        <v>2951</v>
      </c>
      <c r="V3694" s="7" t="str">
        <f>+IF(U3694="","",IF(U3694="FINES",CONCATENATE("R",IF(OR(B3694="16",B3694="21",B3694="22",B3694="23"),"16212223",IF(OR(B3694="15",B3694="17",B3694="24",B3694="25"),"15172425",B3694))),IF(U3694="CEBAS","UNICO",IF(VALUE(B3694)&lt;=11,"AMBA","INTERIOR"))))</f>
        <v>R19</v>
      </c>
      <c r="W3694" s="38" t="str">
        <f>+IF(U3694="","-",CONCATENATE(U3694,"_",V3694))</f>
        <v>FINES_R19</v>
      </c>
      <c r="X3694" s="42">
        <v>0.41599999999999998</v>
      </c>
    </row>
    <row r="3695" spans="1:24">
      <c r="A3695" s="21" t="s">
        <v>5100</v>
      </c>
      <c r="B3695" t="s">
        <v>225</v>
      </c>
      <c r="C3695" t="s">
        <v>942</v>
      </c>
      <c r="D3695" t="s">
        <v>943</v>
      </c>
      <c r="E3695" s="7" t="s">
        <v>198</v>
      </c>
      <c r="F3695" s="7" t="s">
        <v>198</v>
      </c>
      <c r="G3695" s="7" t="s">
        <v>198</v>
      </c>
      <c r="H3695" s="7" t="s">
        <v>20</v>
      </c>
      <c r="I3695" s="7" t="s">
        <v>5102</v>
      </c>
      <c r="J3695" s="7" t="s">
        <v>21</v>
      </c>
      <c r="L3695" t="s">
        <v>4784</v>
      </c>
      <c r="M3695" s="7" t="s">
        <v>22</v>
      </c>
      <c r="N3695" s="7" t="s">
        <v>23</v>
      </c>
      <c r="O3695" s="7" t="s">
        <v>27</v>
      </c>
      <c r="P3695" s="7" t="s">
        <v>5101</v>
      </c>
      <c r="Q3695" s="26">
        <v>27</v>
      </c>
      <c r="R3695" s="26">
        <v>1</v>
      </c>
      <c r="S3695" s="40">
        <v>1</v>
      </c>
      <c r="T3695" s="7"/>
      <c r="U3695" s="7" t="s">
        <v>2951</v>
      </c>
      <c r="V3695" s="7" t="str">
        <f>+IF(U3695="","",IF(U3695="FINES",CONCATENATE("R",IF(OR(B3695="16",B3695="21",B3695="22",B3695="23"),"16212223",IF(OR(B3695="15",B3695="17",B3695="24",B3695="25"),"15172425",B3695))),IF(U3695="CEBAS","UNICO",IF(VALUE(B3695)&lt;=11,"AMBA","INTERIOR"))))</f>
        <v>R19</v>
      </c>
      <c r="W3695" s="38" t="str">
        <f>+IF(U3695="","-",CONCATENATE(U3695,"_",V3695))</f>
        <v>FINES_R19</v>
      </c>
      <c r="X3695" s="42">
        <v>0.41899999999999998</v>
      </c>
    </row>
    <row r="3696" spans="1:24">
      <c r="A3696" s="21" t="s">
        <v>5100</v>
      </c>
      <c r="B3696" t="s">
        <v>225</v>
      </c>
      <c r="C3696" t="s">
        <v>1521</v>
      </c>
      <c r="D3696" t="s">
        <v>1522</v>
      </c>
      <c r="E3696" s="7" t="s">
        <v>198</v>
      </c>
      <c r="F3696" s="7" t="s">
        <v>198</v>
      </c>
      <c r="G3696" s="7" t="s">
        <v>198</v>
      </c>
      <c r="H3696" s="7" t="s">
        <v>20</v>
      </c>
      <c r="I3696" s="7" t="s">
        <v>5102</v>
      </c>
      <c r="J3696" s="7" t="s">
        <v>21</v>
      </c>
      <c r="L3696" t="s">
        <v>4895</v>
      </c>
      <c r="M3696" s="7" t="s">
        <v>22</v>
      </c>
      <c r="N3696" s="7" t="s">
        <v>23</v>
      </c>
      <c r="O3696" s="7" t="s">
        <v>27</v>
      </c>
      <c r="P3696" s="7" t="s">
        <v>5101</v>
      </c>
      <c r="Q3696" s="26">
        <v>41</v>
      </c>
      <c r="R3696" s="26">
        <v>2</v>
      </c>
      <c r="S3696" s="40">
        <v>1</v>
      </c>
      <c r="T3696" s="7"/>
      <c r="U3696" s="7" t="s">
        <v>2951</v>
      </c>
      <c r="V3696" s="7" t="str">
        <f>+IF(U3696="","",IF(U3696="FINES",CONCATENATE("R",IF(OR(B3696="16",B3696="21",B3696="22",B3696="23"),"16212223",IF(OR(B3696="15",B3696="17",B3696="24",B3696="25"),"15172425",B3696))),IF(U3696="CEBAS","UNICO",IF(VALUE(B3696)&lt;=11,"AMBA","INTERIOR"))))</f>
        <v>R19</v>
      </c>
      <c r="W3696" s="38" t="str">
        <f>+IF(U3696="","-",CONCATENATE(U3696,"_",V3696))</f>
        <v>FINES_R19</v>
      </c>
      <c r="X3696" s="42">
        <v>0.42199999999999999</v>
      </c>
    </row>
    <row r="3697" spans="1:24">
      <c r="A3697" s="21" t="s">
        <v>5100</v>
      </c>
      <c r="B3697" t="s">
        <v>225</v>
      </c>
      <c r="C3697" t="s">
        <v>876</v>
      </c>
      <c r="D3697" t="s">
        <v>877</v>
      </c>
      <c r="E3697" s="7" t="s">
        <v>198</v>
      </c>
      <c r="F3697" s="7" t="s">
        <v>198</v>
      </c>
      <c r="G3697" s="7" t="s">
        <v>198</v>
      </c>
      <c r="H3697" s="7" t="s">
        <v>20</v>
      </c>
      <c r="I3697" s="7" t="s">
        <v>5102</v>
      </c>
      <c r="J3697" s="7" t="s">
        <v>21</v>
      </c>
      <c r="L3697" t="s">
        <v>4767</v>
      </c>
      <c r="M3697" s="7" t="s">
        <v>22</v>
      </c>
      <c r="N3697" s="7" t="s">
        <v>23</v>
      </c>
      <c r="O3697" s="7" t="s">
        <v>27</v>
      </c>
      <c r="P3697" s="7" t="s">
        <v>5101</v>
      </c>
      <c r="Q3697" s="26">
        <v>0</v>
      </c>
      <c r="R3697" s="26">
        <v>3</v>
      </c>
      <c r="S3697" s="40">
        <v>1</v>
      </c>
      <c r="T3697" s="7"/>
      <c r="U3697" s="7" t="s">
        <v>2951</v>
      </c>
      <c r="V3697" s="7" t="str">
        <f>+IF(U3697="","",IF(U3697="FINES",CONCATENATE("R",IF(OR(B3697="16",B3697="21",B3697="22",B3697="23"),"16212223",IF(OR(B3697="15",B3697="17",B3697="24",B3697="25"),"15172425",B3697))),IF(U3697="CEBAS","UNICO",IF(VALUE(B3697)&lt;=11,"AMBA","INTERIOR"))))</f>
        <v>R19</v>
      </c>
      <c r="W3697" s="38" t="str">
        <f>+IF(U3697="","-",CONCATENATE(U3697,"_",V3697))</f>
        <v>FINES_R19</v>
      </c>
      <c r="X3697" s="42">
        <v>0.432</v>
      </c>
    </row>
    <row r="3698" spans="1:24">
      <c r="A3698" s="21" t="s">
        <v>5100</v>
      </c>
      <c r="B3698" t="s">
        <v>225</v>
      </c>
      <c r="C3698" t="s">
        <v>876</v>
      </c>
      <c r="D3698" t="s">
        <v>877</v>
      </c>
      <c r="E3698" s="7" t="s">
        <v>198</v>
      </c>
      <c r="F3698" s="7" t="s">
        <v>198</v>
      </c>
      <c r="G3698" s="7" t="s">
        <v>198</v>
      </c>
      <c r="H3698" s="7" t="s">
        <v>20</v>
      </c>
      <c r="I3698" s="7" t="s">
        <v>5102</v>
      </c>
      <c r="J3698" s="7" t="s">
        <v>21</v>
      </c>
      <c r="L3698" t="s">
        <v>4765</v>
      </c>
      <c r="M3698" s="7" t="s">
        <v>22</v>
      </c>
      <c r="N3698" s="7" t="s">
        <v>23</v>
      </c>
      <c r="O3698" s="7" t="s">
        <v>27</v>
      </c>
      <c r="P3698" s="7" t="s">
        <v>5101</v>
      </c>
      <c r="Q3698" s="26">
        <v>30</v>
      </c>
      <c r="R3698" s="26">
        <v>2</v>
      </c>
      <c r="S3698" s="40">
        <v>1</v>
      </c>
      <c r="T3698" s="7"/>
      <c r="U3698" s="7" t="s">
        <v>2951</v>
      </c>
      <c r="V3698" s="7" t="str">
        <f>+IF(U3698="","",IF(U3698="FINES",CONCATENATE("R",IF(OR(B3698="16",B3698="21",B3698="22",B3698="23"),"16212223",IF(OR(B3698="15",B3698="17",B3698="24",B3698="25"),"15172425",B3698))),IF(U3698="CEBAS","UNICO",IF(VALUE(B3698)&lt;=11,"AMBA","INTERIOR"))))</f>
        <v>R19</v>
      </c>
      <c r="W3698" s="38" t="str">
        <f>+IF(U3698="","-",CONCATENATE(U3698,"_",V3698))</f>
        <v>FINES_R19</v>
      </c>
      <c r="X3698" s="42">
        <v>0.442</v>
      </c>
    </row>
    <row r="3699" spans="1:24">
      <c r="A3699" s="21" t="s">
        <v>5100</v>
      </c>
      <c r="B3699" t="s">
        <v>225</v>
      </c>
      <c r="C3699" t="s">
        <v>942</v>
      </c>
      <c r="D3699" t="s">
        <v>943</v>
      </c>
      <c r="E3699" s="7" t="s">
        <v>198</v>
      </c>
      <c r="F3699" s="7" t="s">
        <v>198</v>
      </c>
      <c r="G3699" s="7" t="s">
        <v>198</v>
      </c>
      <c r="H3699" s="7" t="s">
        <v>20</v>
      </c>
      <c r="I3699" s="7" t="s">
        <v>5102</v>
      </c>
      <c r="J3699" s="7" t="s">
        <v>21</v>
      </c>
      <c r="L3699" t="s">
        <v>4865</v>
      </c>
      <c r="M3699" s="7" t="s">
        <v>22</v>
      </c>
      <c r="N3699" s="7" t="s">
        <v>23</v>
      </c>
      <c r="O3699" s="7" t="s">
        <v>27</v>
      </c>
      <c r="P3699" s="7" t="s">
        <v>5101</v>
      </c>
      <c r="Q3699" s="26">
        <v>10</v>
      </c>
      <c r="R3699" s="26">
        <v>1</v>
      </c>
      <c r="S3699" s="40">
        <v>1</v>
      </c>
      <c r="T3699" s="7"/>
      <c r="U3699" s="7" t="s">
        <v>2951</v>
      </c>
      <c r="V3699" s="7" t="str">
        <f>+IF(U3699="","",IF(U3699="FINES",CONCATENATE("R",IF(OR(B3699="16",B3699="21",B3699="22",B3699="23"),"16212223",IF(OR(B3699="15",B3699="17",B3699="24",B3699="25"),"15172425",B3699))),IF(U3699="CEBAS","UNICO",IF(VALUE(B3699)&lt;=11,"AMBA","INTERIOR"))))</f>
        <v>R19</v>
      </c>
      <c r="W3699" s="38" t="str">
        <f>+IF(U3699="","-",CONCATENATE(U3699,"_",V3699))</f>
        <v>FINES_R19</v>
      </c>
      <c r="X3699" s="42">
        <v>0.45</v>
      </c>
    </row>
    <row r="3700" spans="1:24">
      <c r="A3700" s="21" t="s">
        <v>5100</v>
      </c>
      <c r="B3700" t="s">
        <v>225</v>
      </c>
      <c r="C3700" t="s">
        <v>942</v>
      </c>
      <c r="D3700" t="s">
        <v>943</v>
      </c>
      <c r="E3700" s="7" t="s">
        <v>198</v>
      </c>
      <c r="F3700" s="7" t="s">
        <v>198</v>
      </c>
      <c r="G3700" s="7" t="s">
        <v>198</v>
      </c>
      <c r="H3700" s="7" t="s">
        <v>20</v>
      </c>
      <c r="I3700" s="7" t="s">
        <v>5102</v>
      </c>
      <c r="J3700" s="7" t="s">
        <v>21</v>
      </c>
      <c r="L3700" t="s">
        <v>4829</v>
      </c>
      <c r="M3700" s="7" t="s">
        <v>22</v>
      </c>
      <c r="N3700" s="7" t="s">
        <v>23</v>
      </c>
      <c r="O3700" s="7" t="s">
        <v>27</v>
      </c>
      <c r="P3700" s="7" t="s">
        <v>5101</v>
      </c>
      <c r="Q3700" s="26">
        <v>13</v>
      </c>
      <c r="R3700" s="26">
        <v>1</v>
      </c>
      <c r="S3700" s="40">
        <v>1</v>
      </c>
      <c r="T3700" s="7"/>
      <c r="U3700" s="7" t="s">
        <v>2951</v>
      </c>
      <c r="V3700" s="7" t="str">
        <f>+IF(U3700="","",IF(U3700="FINES",CONCATENATE("R",IF(OR(B3700="16",B3700="21",B3700="22",B3700="23"),"16212223",IF(OR(B3700="15",B3700="17",B3700="24",B3700="25"),"15172425",B3700))),IF(U3700="CEBAS","UNICO",IF(VALUE(B3700)&lt;=11,"AMBA","INTERIOR"))))</f>
        <v>R19</v>
      </c>
      <c r="W3700" s="38" t="str">
        <f>+IF(U3700="","-",CONCATENATE(U3700,"_",V3700))</f>
        <v>FINES_R19</v>
      </c>
      <c r="X3700" s="42">
        <v>0.45700000000000002</v>
      </c>
    </row>
    <row r="3701" spans="1:24">
      <c r="A3701" s="21" t="s">
        <v>5100</v>
      </c>
      <c r="B3701" t="s">
        <v>225</v>
      </c>
      <c r="C3701" t="s">
        <v>942</v>
      </c>
      <c r="D3701" t="s">
        <v>943</v>
      </c>
      <c r="E3701" s="7" t="s">
        <v>198</v>
      </c>
      <c r="F3701" s="7" t="s">
        <v>198</v>
      </c>
      <c r="G3701" s="7" t="s">
        <v>198</v>
      </c>
      <c r="H3701" s="7" t="s">
        <v>20</v>
      </c>
      <c r="I3701" s="7" t="s">
        <v>5102</v>
      </c>
      <c r="J3701" s="7" t="s">
        <v>21</v>
      </c>
      <c r="L3701" t="s">
        <v>4855</v>
      </c>
      <c r="M3701" s="7" t="s">
        <v>22</v>
      </c>
      <c r="N3701" s="7" t="s">
        <v>23</v>
      </c>
      <c r="O3701" s="7" t="s">
        <v>27</v>
      </c>
      <c r="P3701" s="7" t="s">
        <v>5101</v>
      </c>
      <c r="Q3701" s="26">
        <v>20</v>
      </c>
      <c r="R3701" s="26">
        <v>1</v>
      </c>
      <c r="S3701" s="40">
        <v>1</v>
      </c>
      <c r="T3701" s="7"/>
      <c r="U3701" s="7" t="s">
        <v>2951</v>
      </c>
      <c r="V3701" s="7" t="str">
        <f>+IF(U3701="","",IF(U3701="FINES",CONCATENATE("R",IF(OR(B3701="16",B3701="21",B3701="22",B3701="23"),"16212223",IF(OR(B3701="15",B3701="17",B3701="24",B3701="25"),"15172425",B3701))),IF(U3701="CEBAS","UNICO",IF(VALUE(B3701)&lt;=11,"AMBA","INTERIOR"))))</f>
        <v>R19</v>
      </c>
      <c r="W3701" s="38" t="str">
        <f>+IF(U3701="","-",CONCATENATE(U3701,"_",V3701))</f>
        <v>FINES_R19</v>
      </c>
      <c r="X3701" s="42">
        <v>0.46200000000000002</v>
      </c>
    </row>
    <row r="3702" spans="1:24">
      <c r="A3702" s="21" t="s">
        <v>5100</v>
      </c>
      <c r="B3702" t="s">
        <v>225</v>
      </c>
      <c r="C3702" t="s">
        <v>942</v>
      </c>
      <c r="D3702" t="s">
        <v>943</v>
      </c>
      <c r="E3702" s="7" t="s">
        <v>198</v>
      </c>
      <c r="F3702" s="7" t="s">
        <v>198</v>
      </c>
      <c r="G3702" s="7" t="s">
        <v>198</v>
      </c>
      <c r="H3702" s="7" t="s">
        <v>20</v>
      </c>
      <c r="I3702" s="7" t="s">
        <v>5102</v>
      </c>
      <c r="J3702" s="7" t="s">
        <v>21</v>
      </c>
      <c r="L3702" t="s">
        <v>4814</v>
      </c>
      <c r="M3702" s="7" t="s">
        <v>22</v>
      </c>
      <c r="N3702" s="7" t="s">
        <v>23</v>
      </c>
      <c r="O3702" s="7" t="s">
        <v>27</v>
      </c>
      <c r="P3702" s="7" t="s">
        <v>5101</v>
      </c>
      <c r="Q3702" s="26">
        <v>14</v>
      </c>
      <c r="R3702" s="26">
        <v>1</v>
      </c>
      <c r="S3702" s="40">
        <v>1</v>
      </c>
      <c r="T3702" s="7"/>
      <c r="U3702" s="7" t="s">
        <v>2951</v>
      </c>
      <c r="V3702" s="7" t="str">
        <f>+IF(U3702="","",IF(U3702="FINES",CONCATENATE("R",IF(OR(B3702="16",B3702="21",B3702="22",B3702="23"),"16212223",IF(OR(B3702="15",B3702="17",B3702="24",B3702="25"),"15172425",B3702))),IF(U3702="CEBAS","UNICO",IF(VALUE(B3702)&lt;=11,"AMBA","INTERIOR"))))</f>
        <v>R19</v>
      </c>
      <c r="W3702" s="38" t="str">
        <f>+IF(U3702="","-",CONCATENATE(U3702,"_",V3702))</f>
        <v>FINES_R19</v>
      </c>
      <c r="X3702" s="42">
        <v>0.46700000000000003</v>
      </c>
    </row>
    <row r="3703" spans="1:24">
      <c r="A3703" s="21" t="s">
        <v>5100</v>
      </c>
      <c r="B3703" t="s">
        <v>225</v>
      </c>
      <c r="C3703" t="s">
        <v>1521</v>
      </c>
      <c r="D3703" t="s">
        <v>1522</v>
      </c>
      <c r="E3703" s="7" t="s">
        <v>198</v>
      </c>
      <c r="F3703" s="7" t="s">
        <v>198</v>
      </c>
      <c r="G3703" s="7" t="s">
        <v>198</v>
      </c>
      <c r="H3703" s="7" t="s">
        <v>20</v>
      </c>
      <c r="I3703" s="7" t="s">
        <v>5102</v>
      </c>
      <c r="J3703" s="7" t="s">
        <v>21</v>
      </c>
      <c r="L3703" t="s">
        <v>4897</v>
      </c>
      <c r="M3703" s="7" t="s">
        <v>22</v>
      </c>
      <c r="N3703" s="7" t="s">
        <v>23</v>
      </c>
      <c r="O3703" s="7" t="s">
        <v>27</v>
      </c>
      <c r="P3703" s="7" t="s">
        <v>5101</v>
      </c>
      <c r="Q3703" s="26">
        <v>19</v>
      </c>
      <c r="R3703" s="26">
        <v>1</v>
      </c>
      <c r="S3703" s="40">
        <v>1</v>
      </c>
      <c r="T3703" s="7"/>
      <c r="U3703" s="7" t="s">
        <v>2951</v>
      </c>
      <c r="V3703" s="7" t="str">
        <f>+IF(U3703="","",IF(U3703="FINES",CONCATENATE("R",IF(OR(B3703="16",B3703="21",B3703="22",B3703="23"),"16212223",IF(OR(B3703="15",B3703="17",B3703="24",B3703="25"),"15172425",B3703))),IF(U3703="CEBAS","UNICO",IF(VALUE(B3703)&lt;=11,"AMBA","INTERIOR"))))</f>
        <v>R19</v>
      </c>
      <c r="W3703" s="38" t="str">
        <f>+IF(U3703="","-",CONCATENATE(U3703,"_",V3703))</f>
        <v>FINES_R19</v>
      </c>
      <c r="X3703" s="42">
        <v>0.47499999999999998</v>
      </c>
    </row>
    <row r="3704" spans="1:24">
      <c r="A3704" s="21" t="s">
        <v>5100</v>
      </c>
      <c r="B3704" t="s">
        <v>225</v>
      </c>
      <c r="C3704" t="s">
        <v>942</v>
      </c>
      <c r="D3704" t="s">
        <v>943</v>
      </c>
      <c r="E3704" s="7" t="s">
        <v>198</v>
      </c>
      <c r="F3704" s="7" t="s">
        <v>198</v>
      </c>
      <c r="G3704" s="7" t="s">
        <v>198</v>
      </c>
      <c r="H3704" s="7" t="s">
        <v>20</v>
      </c>
      <c r="I3704" s="7" t="s">
        <v>5102</v>
      </c>
      <c r="J3704" s="7" t="s">
        <v>21</v>
      </c>
      <c r="L3704" t="s">
        <v>4878</v>
      </c>
      <c r="M3704" s="7" t="s">
        <v>22</v>
      </c>
      <c r="N3704" s="7" t="s">
        <v>23</v>
      </c>
      <c r="O3704" s="7" t="s">
        <v>27</v>
      </c>
      <c r="P3704" s="7" t="s">
        <v>5101</v>
      </c>
      <c r="Q3704" s="26">
        <v>16</v>
      </c>
      <c r="R3704" s="26">
        <v>1</v>
      </c>
      <c r="S3704" s="40">
        <v>1</v>
      </c>
      <c r="T3704" s="7"/>
      <c r="U3704" s="7" t="s">
        <v>2951</v>
      </c>
      <c r="V3704" s="7" t="str">
        <f>+IF(U3704="","",IF(U3704="FINES",CONCATENATE("R",IF(OR(B3704="16",B3704="21",B3704="22",B3704="23"),"16212223",IF(OR(B3704="15",B3704="17",B3704="24",B3704="25"),"15172425",B3704))),IF(U3704="CEBAS","UNICO",IF(VALUE(B3704)&lt;=11,"AMBA","INTERIOR"))))</f>
        <v>R19</v>
      </c>
      <c r="W3704" s="38" t="str">
        <f>+IF(U3704="","-",CONCATENATE(U3704,"_",V3704))</f>
        <v>FINES_R19</v>
      </c>
      <c r="X3704" s="42">
        <v>0.47499999999999998</v>
      </c>
    </row>
    <row r="3705" spans="1:24">
      <c r="A3705" s="21" t="s">
        <v>5100</v>
      </c>
      <c r="B3705" t="s">
        <v>225</v>
      </c>
      <c r="C3705" t="s">
        <v>942</v>
      </c>
      <c r="D3705" t="s">
        <v>943</v>
      </c>
      <c r="E3705" s="7" t="s">
        <v>198</v>
      </c>
      <c r="F3705" s="7" t="s">
        <v>198</v>
      </c>
      <c r="G3705" s="7" t="s">
        <v>198</v>
      </c>
      <c r="H3705" s="7" t="s">
        <v>20</v>
      </c>
      <c r="I3705" s="7" t="s">
        <v>5102</v>
      </c>
      <c r="J3705" s="7" t="s">
        <v>21</v>
      </c>
      <c r="L3705" t="s">
        <v>4875</v>
      </c>
      <c r="M3705" s="7" t="s">
        <v>22</v>
      </c>
      <c r="N3705" s="7" t="s">
        <v>23</v>
      </c>
      <c r="O3705" s="7" t="s">
        <v>27</v>
      </c>
      <c r="P3705" s="7" t="s">
        <v>5101</v>
      </c>
      <c r="Q3705" s="26">
        <v>55</v>
      </c>
      <c r="R3705" s="26">
        <v>2</v>
      </c>
      <c r="S3705" s="40">
        <v>1</v>
      </c>
      <c r="T3705" s="7"/>
      <c r="U3705" s="7" t="s">
        <v>2951</v>
      </c>
      <c r="V3705" s="7" t="str">
        <f>+IF(U3705="","",IF(U3705="FINES",CONCATENATE("R",IF(OR(B3705="16",B3705="21",B3705="22",B3705="23"),"16212223",IF(OR(B3705="15",B3705="17",B3705="24",B3705="25"),"15172425",B3705))),IF(U3705="CEBAS","UNICO",IF(VALUE(B3705)&lt;=11,"AMBA","INTERIOR"))))</f>
        <v>R19</v>
      </c>
      <c r="W3705" s="38" t="str">
        <f>+IF(U3705="","-",CONCATENATE(U3705,"_",V3705))</f>
        <v>FINES_R19</v>
      </c>
      <c r="X3705" s="42">
        <v>0.48299999999999998</v>
      </c>
    </row>
    <row r="3706" spans="1:24">
      <c r="A3706" s="21" t="s">
        <v>5100</v>
      </c>
      <c r="B3706" t="s">
        <v>225</v>
      </c>
      <c r="C3706" t="s">
        <v>942</v>
      </c>
      <c r="D3706" t="s">
        <v>943</v>
      </c>
      <c r="E3706" s="7" t="s">
        <v>198</v>
      </c>
      <c r="F3706" s="7" t="s">
        <v>198</v>
      </c>
      <c r="G3706" s="7" t="s">
        <v>198</v>
      </c>
      <c r="H3706" s="7" t="s">
        <v>20</v>
      </c>
      <c r="I3706" s="7" t="s">
        <v>5102</v>
      </c>
      <c r="J3706" s="7" t="s">
        <v>21</v>
      </c>
      <c r="L3706" t="s">
        <v>4811</v>
      </c>
      <c r="M3706" s="7" t="s">
        <v>22</v>
      </c>
      <c r="N3706" s="7" t="s">
        <v>23</v>
      </c>
      <c r="O3706" s="7" t="s">
        <v>27</v>
      </c>
      <c r="P3706" s="7" t="s">
        <v>5101</v>
      </c>
      <c r="Q3706" s="26">
        <v>18</v>
      </c>
      <c r="R3706" s="26">
        <v>1</v>
      </c>
      <c r="S3706" s="40">
        <v>1</v>
      </c>
      <c r="T3706" s="7"/>
      <c r="U3706" s="7" t="s">
        <v>2951</v>
      </c>
      <c r="V3706" s="7" t="str">
        <f>+IF(U3706="","",IF(U3706="FINES",CONCATENATE("R",IF(OR(B3706="16",B3706="21",B3706="22",B3706="23"),"16212223",IF(OR(B3706="15",B3706="17",B3706="24",B3706="25"),"15172425",B3706))),IF(U3706="CEBAS","UNICO",IF(VALUE(B3706)&lt;=11,"AMBA","INTERIOR"))))</f>
        <v>R19</v>
      </c>
      <c r="W3706" s="38" t="str">
        <f>+IF(U3706="","-",CONCATENATE(U3706,"_",V3706))</f>
        <v>FINES_R19</v>
      </c>
      <c r="X3706" s="42">
        <v>0.48799999999999999</v>
      </c>
    </row>
    <row r="3707" spans="1:24">
      <c r="A3707" s="21" t="s">
        <v>5100</v>
      </c>
      <c r="B3707" t="s">
        <v>225</v>
      </c>
      <c r="C3707" t="s">
        <v>942</v>
      </c>
      <c r="D3707" t="s">
        <v>943</v>
      </c>
      <c r="E3707" s="7" t="s">
        <v>198</v>
      </c>
      <c r="F3707" s="7" t="s">
        <v>198</v>
      </c>
      <c r="G3707" s="7" t="s">
        <v>198</v>
      </c>
      <c r="H3707" s="7" t="s">
        <v>20</v>
      </c>
      <c r="I3707" s="7" t="s">
        <v>5102</v>
      </c>
      <c r="J3707" s="7" t="s">
        <v>21</v>
      </c>
      <c r="L3707" t="s">
        <v>4781</v>
      </c>
      <c r="M3707" s="7" t="s">
        <v>22</v>
      </c>
      <c r="N3707" s="7" t="s">
        <v>23</v>
      </c>
      <c r="O3707" s="7" t="s">
        <v>27</v>
      </c>
      <c r="P3707" s="7" t="s">
        <v>5101</v>
      </c>
      <c r="Q3707" s="26">
        <v>0</v>
      </c>
      <c r="R3707" s="26">
        <v>1</v>
      </c>
      <c r="S3707" s="40">
        <v>1</v>
      </c>
      <c r="T3707" s="7"/>
      <c r="U3707" s="7" t="s">
        <v>2951</v>
      </c>
      <c r="V3707" s="7" t="str">
        <f>+IF(U3707="","",IF(U3707="FINES",CONCATENATE("R",IF(OR(B3707="16",B3707="21",B3707="22",B3707="23"),"16212223",IF(OR(B3707="15",B3707="17",B3707="24",B3707="25"),"15172425",B3707))),IF(U3707="CEBAS","UNICO",IF(VALUE(B3707)&lt;=11,"AMBA","INTERIOR"))))</f>
        <v>R19</v>
      </c>
      <c r="W3707" s="38" t="str">
        <f>+IF(U3707="","-",CONCATENATE(U3707,"_",V3707))</f>
        <v>FINES_R19</v>
      </c>
      <c r="X3707" s="42">
        <v>0.48899999999999999</v>
      </c>
    </row>
    <row r="3708" spans="1:24">
      <c r="A3708" s="21" t="s">
        <v>5100</v>
      </c>
      <c r="B3708" t="s">
        <v>225</v>
      </c>
      <c r="C3708" t="s">
        <v>876</v>
      </c>
      <c r="D3708" t="s">
        <v>877</v>
      </c>
      <c r="E3708" s="7" t="s">
        <v>198</v>
      </c>
      <c r="F3708" s="7" t="s">
        <v>198</v>
      </c>
      <c r="G3708" s="7" t="s">
        <v>198</v>
      </c>
      <c r="H3708" s="7" t="s">
        <v>20</v>
      </c>
      <c r="I3708" s="7" t="s">
        <v>5102</v>
      </c>
      <c r="J3708" s="7" t="s">
        <v>21</v>
      </c>
      <c r="L3708" t="s">
        <v>4766</v>
      </c>
      <c r="M3708" s="7" t="s">
        <v>22</v>
      </c>
      <c r="N3708" s="7" t="s">
        <v>23</v>
      </c>
      <c r="O3708" s="7" t="s">
        <v>27</v>
      </c>
      <c r="P3708" s="7" t="s">
        <v>5101</v>
      </c>
      <c r="Q3708" s="26">
        <v>14</v>
      </c>
      <c r="R3708" s="26">
        <v>1</v>
      </c>
      <c r="S3708" s="40">
        <v>1</v>
      </c>
      <c r="T3708" s="7"/>
      <c r="U3708" s="7" t="s">
        <v>2951</v>
      </c>
      <c r="V3708" s="7" t="str">
        <f>+IF(U3708="","",IF(U3708="FINES",CONCATENATE("R",IF(OR(B3708="16",B3708="21",B3708="22",B3708="23"),"16212223",IF(OR(B3708="15",B3708="17",B3708="24",B3708="25"),"15172425",B3708))),IF(U3708="CEBAS","UNICO",IF(VALUE(B3708)&lt;=11,"AMBA","INTERIOR"))))</f>
        <v>R19</v>
      </c>
      <c r="W3708" s="38" t="str">
        <f>+IF(U3708="","-",CONCATENATE(U3708,"_",V3708))</f>
        <v>FINES_R19</v>
      </c>
      <c r="X3708" s="42">
        <v>0.5</v>
      </c>
    </row>
    <row r="3709" spans="1:24">
      <c r="A3709" s="21" t="s">
        <v>5100</v>
      </c>
      <c r="B3709" t="s">
        <v>225</v>
      </c>
      <c r="C3709" t="s">
        <v>942</v>
      </c>
      <c r="D3709" t="s">
        <v>943</v>
      </c>
      <c r="E3709" s="7" t="s">
        <v>198</v>
      </c>
      <c r="F3709" s="7" t="s">
        <v>198</v>
      </c>
      <c r="G3709" s="7" t="s">
        <v>198</v>
      </c>
      <c r="H3709" s="7" t="s">
        <v>20</v>
      </c>
      <c r="I3709" s="7" t="s">
        <v>5102</v>
      </c>
      <c r="J3709" s="7" t="s">
        <v>21</v>
      </c>
      <c r="L3709" t="s">
        <v>4836</v>
      </c>
      <c r="M3709" s="7" t="s">
        <v>22</v>
      </c>
      <c r="N3709" s="7" t="s">
        <v>23</v>
      </c>
      <c r="O3709" s="7" t="s">
        <v>27</v>
      </c>
      <c r="P3709" s="7" t="s">
        <v>5101</v>
      </c>
      <c r="Q3709" s="26">
        <v>45</v>
      </c>
      <c r="R3709" s="26">
        <v>3</v>
      </c>
      <c r="S3709" s="40">
        <v>1</v>
      </c>
      <c r="T3709" s="7"/>
      <c r="U3709" s="7" t="s">
        <v>2951</v>
      </c>
      <c r="V3709" s="7" t="str">
        <f>+IF(U3709="","",IF(U3709="FINES",CONCATENATE("R",IF(OR(B3709="16",B3709="21",B3709="22",B3709="23"),"16212223",IF(OR(B3709="15",B3709="17",B3709="24",B3709="25"),"15172425",B3709))),IF(U3709="CEBAS","UNICO",IF(VALUE(B3709)&lt;=11,"AMBA","INTERIOR"))))</f>
        <v>R19</v>
      </c>
      <c r="W3709" s="38" t="str">
        <f>+IF(U3709="","-",CONCATENATE(U3709,"_",V3709))</f>
        <v>FINES_R19</v>
      </c>
      <c r="X3709" s="42">
        <v>0.50600000000000001</v>
      </c>
    </row>
    <row r="3710" spans="1:24">
      <c r="A3710" s="21" t="s">
        <v>5100</v>
      </c>
      <c r="B3710" t="s">
        <v>225</v>
      </c>
      <c r="C3710" t="s">
        <v>876</v>
      </c>
      <c r="D3710" t="s">
        <v>877</v>
      </c>
      <c r="E3710" s="7" t="s">
        <v>198</v>
      </c>
      <c r="F3710" s="7" t="s">
        <v>198</v>
      </c>
      <c r="G3710" s="7" t="s">
        <v>198</v>
      </c>
      <c r="H3710" s="7" t="s">
        <v>20</v>
      </c>
      <c r="I3710" s="7" t="s">
        <v>5102</v>
      </c>
      <c r="J3710" s="7" t="s">
        <v>21</v>
      </c>
      <c r="L3710" t="s">
        <v>4771</v>
      </c>
      <c r="M3710" s="7" t="s">
        <v>22</v>
      </c>
      <c r="N3710" s="7" t="s">
        <v>23</v>
      </c>
      <c r="O3710" s="7" t="s">
        <v>27</v>
      </c>
      <c r="P3710" s="7" t="s">
        <v>5101</v>
      </c>
      <c r="Q3710" s="26">
        <v>0</v>
      </c>
      <c r="R3710" s="26">
        <v>1</v>
      </c>
      <c r="S3710" s="40">
        <v>1</v>
      </c>
      <c r="T3710" s="7"/>
      <c r="U3710" s="7" t="s">
        <v>2951</v>
      </c>
      <c r="V3710" s="7" t="str">
        <f>+IF(U3710="","",IF(U3710="FINES",CONCATENATE("R",IF(OR(B3710="16",B3710="21",B3710="22",B3710="23"),"16212223",IF(OR(B3710="15",B3710="17",B3710="24",B3710="25"),"15172425",B3710))),IF(U3710="CEBAS","UNICO",IF(VALUE(B3710)&lt;=11,"AMBA","INTERIOR"))))</f>
        <v>R19</v>
      </c>
      <c r="W3710" s="38" t="str">
        <f>+IF(U3710="","-",CONCATENATE(U3710,"_",V3710))</f>
        <v>FINES_R19</v>
      </c>
      <c r="X3710" s="42">
        <v>0.51100000000000001</v>
      </c>
    </row>
    <row r="3711" spans="1:24">
      <c r="A3711" s="21" t="s">
        <v>5100</v>
      </c>
      <c r="B3711" t="s">
        <v>225</v>
      </c>
      <c r="C3711" t="s">
        <v>942</v>
      </c>
      <c r="D3711" t="s">
        <v>943</v>
      </c>
      <c r="E3711" s="7" t="s">
        <v>198</v>
      </c>
      <c r="F3711" s="7" t="s">
        <v>198</v>
      </c>
      <c r="G3711" s="7" t="s">
        <v>198</v>
      </c>
      <c r="H3711" s="7" t="s">
        <v>20</v>
      </c>
      <c r="I3711" s="7" t="s">
        <v>5102</v>
      </c>
      <c r="J3711" s="7" t="s">
        <v>21</v>
      </c>
      <c r="L3711" t="s">
        <v>4839</v>
      </c>
      <c r="M3711" s="7" t="s">
        <v>22</v>
      </c>
      <c r="N3711" s="7" t="s">
        <v>23</v>
      </c>
      <c r="O3711" s="7" t="s">
        <v>27</v>
      </c>
      <c r="P3711" s="7" t="s">
        <v>5101</v>
      </c>
      <c r="Q3711" s="26">
        <v>18</v>
      </c>
      <c r="R3711" s="26">
        <v>1</v>
      </c>
      <c r="S3711" s="40">
        <v>1</v>
      </c>
      <c r="T3711" s="7"/>
      <c r="U3711" s="7" t="s">
        <v>2951</v>
      </c>
      <c r="V3711" s="7" t="str">
        <f>+IF(U3711="","",IF(U3711="FINES",CONCATENATE("R",IF(OR(B3711="16",B3711="21",B3711="22",B3711="23"),"16212223",IF(OR(B3711="15",B3711="17",B3711="24",B3711="25"),"15172425",B3711))),IF(U3711="CEBAS","UNICO",IF(VALUE(B3711)&lt;=11,"AMBA","INTERIOR"))))</f>
        <v>R19</v>
      </c>
      <c r="W3711" s="38" t="str">
        <f>+IF(U3711="","-",CONCATENATE(U3711,"_",V3711))</f>
        <v>FINES_R19</v>
      </c>
      <c r="X3711" s="42">
        <v>0.51400000000000001</v>
      </c>
    </row>
    <row r="3712" spans="1:24">
      <c r="A3712" s="21" t="s">
        <v>5100</v>
      </c>
      <c r="B3712" t="s">
        <v>225</v>
      </c>
      <c r="C3712" t="s">
        <v>942</v>
      </c>
      <c r="D3712" t="s">
        <v>943</v>
      </c>
      <c r="E3712" s="7" t="s">
        <v>198</v>
      </c>
      <c r="F3712" s="7" t="s">
        <v>198</v>
      </c>
      <c r="G3712" s="7" t="s">
        <v>198</v>
      </c>
      <c r="H3712" s="7" t="s">
        <v>20</v>
      </c>
      <c r="I3712" s="7" t="s">
        <v>5102</v>
      </c>
      <c r="J3712" s="7" t="s">
        <v>21</v>
      </c>
      <c r="L3712" t="s">
        <v>4876</v>
      </c>
      <c r="M3712" s="7" t="s">
        <v>22</v>
      </c>
      <c r="N3712" s="7" t="s">
        <v>23</v>
      </c>
      <c r="O3712" s="7" t="s">
        <v>27</v>
      </c>
      <c r="P3712" s="7" t="s">
        <v>5101</v>
      </c>
      <c r="Q3712" s="26">
        <v>0</v>
      </c>
      <c r="R3712" s="26">
        <v>1</v>
      </c>
      <c r="S3712" s="40">
        <v>1</v>
      </c>
      <c r="T3712" s="7"/>
      <c r="U3712" s="7" t="s">
        <v>2951</v>
      </c>
      <c r="V3712" s="7" t="str">
        <f>+IF(U3712="","",IF(U3712="FINES",CONCATENATE("R",IF(OR(B3712="16",B3712="21",B3712="22",B3712="23"),"16212223",IF(OR(B3712="15",B3712="17",B3712="24",B3712="25"),"15172425",B3712))),IF(U3712="CEBAS","UNICO",IF(VALUE(B3712)&lt;=11,"AMBA","INTERIOR"))))</f>
        <v>R19</v>
      </c>
      <c r="W3712" s="38" t="str">
        <f>+IF(U3712="","-",CONCATENATE(U3712,"_",V3712))</f>
        <v>FINES_R19</v>
      </c>
      <c r="X3712" s="42">
        <v>0.51700000000000002</v>
      </c>
    </row>
    <row r="3713" spans="1:24">
      <c r="A3713" s="21" t="s">
        <v>5100</v>
      </c>
      <c r="B3713" t="s">
        <v>225</v>
      </c>
      <c r="C3713" t="s">
        <v>942</v>
      </c>
      <c r="D3713" t="s">
        <v>943</v>
      </c>
      <c r="E3713" s="7" t="s">
        <v>198</v>
      </c>
      <c r="F3713" s="7" t="s">
        <v>198</v>
      </c>
      <c r="G3713" s="7" t="s">
        <v>198</v>
      </c>
      <c r="H3713" s="7" t="s">
        <v>20</v>
      </c>
      <c r="I3713" s="7" t="s">
        <v>5102</v>
      </c>
      <c r="J3713" s="7" t="s">
        <v>21</v>
      </c>
      <c r="L3713" t="s">
        <v>4851</v>
      </c>
      <c r="M3713" s="7" t="s">
        <v>22</v>
      </c>
      <c r="N3713" s="7" t="s">
        <v>23</v>
      </c>
      <c r="O3713" s="7" t="s">
        <v>27</v>
      </c>
      <c r="P3713" s="7" t="s">
        <v>5101</v>
      </c>
      <c r="Q3713" s="26">
        <v>42</v>
      </c>
      <c r="R3713" s="26">
        <v>1</v>
      </c>
      <c r="S3713" s="40">
        <v>1</v>
      </c>
      <c r="T3713" s="7"/>
      <c r="U3713" s="7" t="s">
        <v>2951</v>
      </c>
      <c r="V3713" s="7" t="str">
        <f>+IF(U3713="","",IF(U3713="FINES",CONCATENATE("R",IF(OR(B3713="16",B3713="21",B3713="22",B3713="23"),"16212223",IF(OR(B3713="15",B3713="17",B3713="24",B3713="25"),"15172425",B3713))),IF(U3713="CEBAS","UNICO",IF(VALUE(B3713)&lt;=11,"AMBA","INTERIOR"))))</f>
        <v>R19</v>
      </c>
      <c r="W3713" s="38" t="str">
        <f>+IF(U3713="","-",CONCATENATE(U3713,"_",V3713))</f>
        <v>FINES_R19</v>
      </c>
      <c r="X3713" s="42">
        <v>0.51800000000000002</v>
      </c>
    </row>
    <row r="3714" spans="1:24">
      <c r="A3714" s="21" t="s">
        <v>5100</v>
      </c>
      <c r="B3714" t="s">
        <v>225</v>
      </c>
      <c r="C3714" t="s">
        <v>942</v>
      </c>
      <c r="D3714" t="s">
        <v>943</v>
      </c>
      <c r="E3714" s="7" t="s">
        <v>198</v>
      </c>
      <c r="F3714" s="7" t="s">
        <v>198</v>
      </c>
      <c r="G3714" s="7" t="s">
        <v>198</v>
      </c>
      <c r="H3714" s="7" t="s">
        <v>20</v>
      </c>
      <c r="I3714" s="7" t="s">
        <v>5102</v>
      </c>
      <c r="J3714" s="7" t="s">
        <v>21</v>
      </c>
      <c r="L3714" t="s">
        <v>4860</v>
      </c>
      <c r="M3714" s="7" t="s">
        <v>22</v>
      </c>
      <c r="N3714" s="7" t="s">
        <v>23</v>
      </c>
      <c r="O3714" s="7" t="s">
        <v>27</v>
      </c>
      <c r="P3714" s="7" t="s">
        <v>5101</v>
      </c>
      <c r="Q3714" s="26">
        <v>0</v>
      </c>
      <c r="R3714" s="26">
        <v>1</v>
      </c>
      <c r="S3714" s="40">
        <v>1</v>
      </c>
      <c r="T3714" s="7"/>
      <c r="U3714" s="7" t="s">
        <v>2951</v>
      </c>
      <c r="V3714" s="7" t="str">
        <f>+IF(U3714="","",IF(U3714="FINES",CONCATENATE("R",IF(OR(B3714="16",B3714="21",B3714="22",B3714="23"),"16212223",IF(OR(B3714="15",B3714="17",B3714="24",B3714="25"),"15172425",B3714))),IF(U3714="CEBAS","UNICO",IF(VALUE(B3714)&lt;=11,"AMBA","INTERIOR"))))</f>
        <v>R19</v>
      </c>
      <c r="W3714" s="38" t="str">
        <f>+IF(U3714="","-",CONCATENATE(U3714,"_",V3714))</f>
        <v>FINES_R19</v>
      </c>
      <c r="X3714" s="42">
        <v>0.52600000000000002</v>
      </c>
    </row>
    <row r="3715" spans="1:24">
      <c r="A3715" s="21" t="s">
        <v>5100</v>
      </c>
      <c r="B3715" t="s">
        <v>225</v>
      </c>
      <c r="C3715" t="s">
        <v>942</v>
      </c>
      <c r="D3715" t="s">
        <v>943</v>
      </c>
      <c r="E3715" s="7" t="s">
        <v>198</v>
      </c>
      <c r="F3715" s="7" t="s">
        <v>198</v>
      </c>
      <c r="G3715" s="7" t="s">
        <v>198</v>
      </c>
      <c r="H3715" s="7" t="s">
        <v>20</v>
      </c>
      <c r="I3715" s="7" t="s">
        <v>5102</v>
      </c>
      <c r="J3715" s="7" t="s">
        <v>21</v>
      </c>
      <c r="L3715" t="s">
        <v>4861</v>
      </c>
      <c r="M3715" s="7" t="s">
        <v>22</v>
      </c>
      <c r="N3715" s="7" t="s">
        <v>23</v>
      </c>
      <c r="O3715" s="7" t="s">
        <v>27</v>
      </c>
      <c r="P3715" s="7" t="s">
        <v>5101</v>
      </c>
      <c r="Q3715" s="26">
        <v>13</v>
      </c>
      <c r="R3715" s="26">
        <v>1</v>
      </c>
      <c r="S3715" s="40">
        <v>1</v>
      </c>
      <c r="T3715" s="7"/>
      <c r="U3715" s="7" t="s">
        <v>2951</v>
      </c>
      <c r="V3715" s="7" t="str">
        <f>+IF(U3715="","",IF(U3715="FINES",CONCATENATE("R",IF(OR(B3715="16",B3715="21",B3715="22",B3715="23"),"16212223",IF(OR(B3715="15",B3715="17",B3715="24",B3715="25"),"15172425",B3715))),IF(U3715="CEBAS","UNICO",IF(VALUE(B3715)&lt;=11,"AMBA","INTERIOR"))))</f>
        <v>R19</v>
      </c>
      <c r="W3715" s="38" t="str">
        <f>+IF(U3715="","-",CONCATENATE(U3715,"_",V3715))</f>
        <v>FINES_R19</v>
      </c>
      <c r="X3715" s="42">
        <v>0.52800000000000002</v>
      </c>
    </row>
    <row r="3716" spans="1:24">
      <c r="A3716" s="21" t="s">
        <v>5100</v>
      </c>
      <c r="B3716" t="s">
        <v>225</v>
      </c>
      <c r="C3716" t="s">
        <v>942</v>
      </c>
      <c r="D3716" t="s">
        <v>943</v>
      </c>
      <c r="E3716" s="7" t="s">
        <v>198</v>
      </c>
      <c r="F3716" s="7" t="s">
        <v>198</v>
      </c>
      <c r="G3716" s="7" t="s">
        <v>198</v>
      </c>
      <c r="H3716" s="7" t="s">
        <v>20</v>
      </c>
      <c r="I3716" s="7" t="s">
        <v>5102</v>
      </c>
      <c r="J3716" s="7" t="s">
        <v>21</v>
      </c>
      <c r="L3716" t="s">
        <v>4791</v>
      </c>
      <c r="M3716" s="7" t="s">
        <v>22</v>
      </c>
      <c r="N3716" s="7" t="s">
        <v>23</v>
      </c>
      <c r="O3716" s="7" t="s">
        <v>27</v>
      </c>
      <c r="P3716" s="7" t="s">
        <v>5101</v>
      </c>
      <c r="Q3716" s="26">
        <v>43</v>
      </c>
      <c r="R3716" s="26">
        <v>2</v>
      </c>
      <c r="S3716" s="40">
        <v>1</v>
      </c>
      <c r="T3716" s="7"/>
      <c r="U3716" s="7" t="s">
        <v>2951</v>
      </c>
      <c r="V3716" s="7" t="str">
        <f>+IF(U3716="","",IF(U3716="FINES",CONCATENATE("R",IF(OR(B3716="16",B3716="21",B3716="22",B3716="23"),"16212223",IF(OR(B3716="15",B3716="17",B3716="24",B3716="25"),"15172425",B3716))),IF(U3716="CEBAS","UNICO",IF(VALUE(B3716)&lt;=11,"AMBA","INTERIOR"))))</f>
        <v>R19</v>
      </c>
      <c r="W3716" s="38" t="str">
        <f>+IF(U3716="","-",CONCATENATE(U3716,"_",V3716))</f>
        <v>FINES_R19</v>
      </c>
      <c r="X3716" s="42">
        <v>0.53700000000000003</v>
      </c>
    </row>
    <row r="3717" spans="1:24">
      <c r="A3717" s="21" t="s">
        <v>5100</v>
      </c>
      <c r="B3717" t="s">
        <v>225</v>
      </c>
      <c r="C3717" t="s">
        <v>942</v>
      </c>
      <c r="D3717" t="s">
        <v>943</v>
      </c>
      <c r="E3717" s="7" t="s">
        <v>198</v>
      </c>
      <c r="F3717" s="7" t="s">
        <v>198</v>
      </c>
      <c r="G3717" s="7" t="s">
        <v>198</v>
      </c>
      <c r="H3717" s="7" t="s">
        <v>20</v>
      </c>
      <c r="I3717" s="7" t="s">
        <v>5102</v>
      </c>
      <c r="J3717" s="7" t="s">
        <v>21</v>
      </c>
      <c r="L3717" t="s">
        <v>4817</v>
      </c>
      <c r="M3717" s="7" t="s">
        <v>22</v>
      </c>
      <c r="N3717" s="7" t="s">
        <v>23</v>
      </c>
      <c r="O3717" s="7" t="s">
        <v>27</v>
      </c>
      <c r="P3717" s="7" t="s">
        <v>5101</v>
      </c>
      <c r="Q3717" s="26">
        <v>40</v>
      </c>
      <c r="R3717" s="26">
        <v>2</v>
      </c>
      <c r="S3717" s="40">
        <v>1</v>
      </c>
      <c r="T3717" s="7"/>
      <c r="U3717" s="7" t="s">
        <v>2951</v>
      </c>
      <c r="V3717" s="7" t="str">
        <f>+IF(U3717="","",IF(U3717="FINES",CONCATENATE("R",IF(OR(B3717="16",B3717="21",B3717="22",B3717="23"),"16212223",IF(OR(B3717="15",B3717="17",B3717="24",B3717="25"),"15172425",B3717))),IF(U3717="CEBAS","UNICO",IF(VALUE(B3717)&lt;=11,"AMBA","INTERIOR"))))</f>
        <v>R19</v>
      </c>
      <c r="W3717" s="38" t="str">
        <f>+IF(U3717="","-",CONCATENATE(U3717,"_",V3717))</f>
        <v>FINES_R19</v>
      </c>
      <c r="X3717" s="42">
        <v>0.54700000000000004</v>
      </c>
    </row>
    <row r="3718" spans="1:24">
      <c r="A3718" s="21" t="s">
        <v>5100</v>
      </c>
      <c r="B3718" t="s">
        <v>225</v>
      </c>
      <c r="C3718" t="s">
        <v>942</v>
      </c>
      <c r="D3718" t="s">
        <v>943</v>
      </c>
      <c r="E3718" s="7" t="s">
        <v>198</v>
      </c>
      <c r="F3718" s="7" t="s">
        <v>198</v>
      </c>
      <c r="G3718" s="7" t="s">
        <v>198</v>
      </c>
      <c r="H3718" s="7" t="s">
        <v>20</v>
      </c>
      <c r="I3718" s="7" t="s">
        <v>5102</v>
      </c>
      <c r="J3718" s="7" t="s">
        <v>21</v>
      </c>
      <c r="L3718" t="s">
        <v>4826</v>
      </c>
      <c r="M3718" s="7" t="s">
        <v>22</v>
      </c>
      <c r="N3718" s="7" t="s">
        <v>23</v>
      </c>
      <c r="O3718" s="7" t="s">
        <v>27</v>
      </c>
      <c r="P3718" s="7" t="s">
        <v>5101</v>
      </c>
      <c r="Q3718" s="26">
        <v>43</v>
      </c>
      <c r="R3718" s="26">
        <v>2</v>
      </c>
      <c r="S3718" s="40">
        <v>1</v>
      </c>
      <c r="T3718" s="7"/>
      <c r="U3718" s="7" t="s">
        <v>2951</v>
      </c>
      <c r="V3718" s="7" t="str">
        <f>+IF(U3718="","",IF(U3718="FINES",CONCATENATE("R",IF(OR(B3718="16",B3718="21",B3718="22",B3718="23"),"16212223",IF(OR(B3718="15",B3718="17",B3718="24",B3718="25"),"15172425",B3718))),IF(U3718="CEBAS","UNICO",IF(VALUE(B3718)&lt;=11,"AMBA","INTERIOR"))))</f>
        <v>R19</v>
      </c>
      <c r="W3718" s="38" t="str">
        <f>+IF(U3718="","-",CONCATENATE(U3718,"_",V3718))</f>
        <v>FINES_R19</v>
      </c>
      <c r="X3718" s="42">
        <v>0.57199999999999995</v>
      </c>
    </row>
    <row r="3719" spans="1:24">
      <c r="A3719" s="21" t="s">
        <v>5100</v>
      </c>
      <c r="B3719" t="s">
        <v>225</v>
      </c>
      <c r="C3719" t="s">
        <v>942</v>
      </c>
      <c r="D3719" t="s">
        <v>943</v>
      </c>
      <c r="E3719" s="7" t="s">
        <v>198</v>
      </c>
      <c r="F3719" s="7" t="s">
        <v>198</v>
      </c>
      <c r="G3719" s="7" t="s">
        <v>198</v>
      </c>
      <c r="H3719" s="7" t="s">
        <v>20</v>
      </c>
      <c r="I3719" s="7" t="s">
        <v>5102</v>
      </c>
      <c r="J3719" s="7" t="s">
        <v>21</v>
      </c>
      <c r="L3719" t="s">
        <v>4790</v>
      </c>
      <c r="M3719" s="7" t="s">
        <v>22</v>
      </c>
      <c r="N3719" s="7" t="s">
        <v>23</v>
      </c>
      <c r="O3719" s="7" t="s">
        <v>27</v>
      </c>
      <c r="P3719" s="7" t="s">
        <v>5101</v>
      </c>
      <c r="Q3719" s="26">
        <v>17</v>
      </c>
      <c r="R3719" s="26">
        <v>1</v>
      </c>
      <c r="S3719" s="40">
        <v>1</v>
      </c>
      <c r="T3719" s="7"/>
      <c r="U3719" s="7" t="s">
        <v>2951</v>
      </c>
      <c r="V3719" s="7" t="str">
        <f>+IF(U3719="","",IF(U3719="FINES",CONCATENATE("R",IF(OR(B3719="16",B3719="21",B3719="22",B3719="23"),"16212223",IF(OR(B3719="15",B3719="17",B3719="24",B3719="25"),"15172425",B3719))),IF(U3719="CEBAS","UNICO",IF(VALUE(B3719)&lt;=11,"AMBA","INTERIOR"))))</f>
        <v>R19</v>
      </c>
      <c r="W3719" s="38" t="str">
        <f>+IF(U3719="","-",CONCATENATE(U3719,"_",V3719))</f>
        <v>FINES_R19</v>
      </c>
      <c r="X3719" s="42">
        <v>0.58299999999999996</v>
      </c>
    </row>
    <row r="3720" spans="1:24">
      <c r="A3720" s="21" t="s">
        <v>5100</v>
      </c>
      <c r="B3720" t="s">
        <v>225</v>
      </c>
      <c r="C3720" t="s">
        <v>942</v>
      </c>
      <c r="D3720" t="s">
        <v>943</v>
      </c>
      <c r="E3720" s="7" t="s">
        <v>198</v>
      </c>
      <c r="F3720" s="7" t="s">
        <v>198</v>
      </c>
      <c r="G3720" s="7" t="s">
        <v>198</v>
      </c>
      <c r="H3720" s="7" t="s">
        <v>20</v>
      </c>
      <c r="I3720" s="7" t="s">
        <v>5102</v>
      </c>
      <c r="J3720" s="7" t="s">
        <v>21</v>
      </c>
      <c r="L3720" t="s">
        <v>4807</v>
      </c>
      <c r="M3720" s="7" t="s">
        <v>22</v>
      </c>
      <c r="N3720" s="7" t="s">
        <v>23</v>
      </c>
      <c r="O3720" s="7" t="s">
        <v>27</v>
      </c>
      <c r="P3720" s="7" t="s">
        <v>5101</v>
      </c>
      <c r="Q3720" s="26">
        <v>23</v>
      </c>
      <c r="R3720" s="26">
        <v>2</v>
      </c>
      <c r="S3720" s="40">
        <v>1</v>
      </c>
      <c r="T3720" s="7"/>
      <c r="U3720" s="7" t="s">
        <v>2951</v>
      </c>
      <c r="V3720" s="7" t="str">
        <f>+IF(U3720="","",IF(U3720="FINES",CONCATENATE("R",IF(OR(B3720="16",B3720="21",B3720="22",B3720="23"),"16212223",IF(OR(B3720="15",B3720="17",B3720="24",B3720="25"),"15172425",B3720))),IF(U3720="CEBAS","UNICO",IF(VALUE(B3720)&lt;=11,"AMBA","INTERIOR"))))</f>
        <v>R19</v>
      </c>
      <c r="W3720" s="38" t="str">
        <f>+IF(U3720="","-",CONCATENATE(U3720,"_",V3720))</f>
        <v>FINES_R19</v>
      </c>
      <c r="X3720" s="42">
        <v>0.58699999999999997</v>
      </c>
    </row>
    <row r="3721" spans="1:24">
      <c r="A3721" s="21" t="s">
        <v>5100</v>
      </c>
      <c r="B3721" t="s">
        <v>225</v>
      </c>
      <c r="C3721" t="s">
        <v>942</v>
      </c>
      <c r="D3721" t="s">
        <v>943</v>
      </c>
      <c r="E3721" s="7" t="s">
        <v>198</v>
      </c>
      <c r="F3721" s="7" t="s">
        <v>198</v>
      </c>
      <c r="G3721" s="7" t="s">
        <v>198</v>
      </c>
      <c r="H3721" s="7" t="s">
        <v>20</v>
      </c>
      <c r="I3721" s="7" t="s">
        <v>5102</v>
      </c>
      <c r="J3721" s="7" t="s">
        <v>21</v>
      </c>
      <c r="L3721" t="s">
        <v>4777</v>
      </c>
      <c r="M3721" s="7" t="s">
        <v>22</v>
      </c>
      <c r="N3721" s="7" t="s">
        <v>23</v>
      </c>
      <c r="O3721" s="7" t="s">
        <v>27</v>
      </c>
      <c r="P3721" s="7" t="s">
        <v>5101</v>
      </c>
      <c r="Q3721" s="26">
        <v>114</v>
      </c>
      <c r="R3721" s="26">
        <v>3</v>
      </c>
      <c r="S3721" s="40">
        <v>1</v>
      </c>
      <c r="T3721" s="7"/>
      <c r="U3721" s="7" t="s">
        <v>2951</v>
      </c>
      <c r="V3721" s="7" t="str">
        <f>+IF(U3721="","",IF(U3721="FINES",CONCATENATE("R",IF(OR(B3721="16",B3721="21",B3721="22",B3721="23"),"16212223",IF(OR(B3721="15",B3721="17",B3721="24",B3721="25"),"15172425",B3721))),IF(U3721="CEBAS","UNICO",IF(VALUE(B3721)&lt;=11,"AMBA","INTERIOR"))))</f>
        <v>R19</v>
      </c>
      <c r="W3721" s="38" t="str">
        <f>+IF(U3721="","-",CONCATENATE(U3721,"_",V3721))</f>
        <v>FINES_R19</v>
      </c>
      <c r="X3721" s="42">
        <v>0.60399999999999998</v>
      </c>
    </row>
    <row r="3722" spans="1:24">
      <c r="A3722" s="21" t="s">
        <v>5100</v>
      </c>
      <c r="B3722" t="s">
        <v>225</v>
      </c>
      <c r="C3722" t="s">
        <v>942</v>
      </c>
      <c r="D3722" t="s">
        <v>943</v>
      </c>
      <c r="E3722" s="7" t="s">
        <v>198</v>
      </c>
      <c r="F3722" s="7" t="s">
        <v>198</v>
      </c>
      <c r="G3722" s="7" t="s">
        <v>198</v>
      </c>
      <c r="H3722" s="7" t="s">
        <v>20</v>
      </c>
      <c r="I3722" s="7" t="s">
        <v>5102</v>
      </c>
      <c r="J3722" s="7" t="s">
        <v>21</v>
      </c>
      <c r="L3722" t="s">
        <v>4843</v>
      </c>
      <c r="M3722" s="7" t="s">
        <v>22</v>
      </c>
      <c r="N3722" s="7" t="s">
        <v>23</v>
      </c>
      <c r="O3722" s="7" t="s">
        <v>27</v>
      </c>
      <c r="P3722" s="7" t="s">
        <v>5101</v>
      </c>
      <c r="Q3722" s="26">
        <v>21</v>
      </c>
      <c r="R3722" s="26">
        <v>1</v>
      </c>
      <c r="S3722" s="40">
        <v>1</v>
      </c>
      <c r="T3722" s="7"/>
      <c r="U3722" s="7" t="s">
        <v>2951</v>
      </c>
      <c r="V3722" s="7" t="str">
        <f>+IF(U3722="","",IF(U3722="FINES",CONCATENATE("R",IF(OR(B3722="16",B3722="21",B3722="22",B3722="23"),"16212223",IF(OR(B3722="15",B3722="17",B3722="24",B3722="25"),"15172425",B3722))),IF(U3722="CEBAS","UNICO",IF(VALUE(B3722)&lt;=11,"AMBA","INTERIOR"))))</f>
        <v>R19</v>
      </c>
      <c r="W3722" s="38" t="str">
        <f>+IF(U3722="","-",CONCATENATE(U3722,"_",V3722))</f>
        <v>FINES_R19</v>
      </c>
      <c r="X3722" s="42">
        <v>0.61399999999999999</v>
      </c>
    </row>
    <row r="3723" spans="1:24">
      <c r="A3723" s="21" t="s">
        <v>5100</v>
      </c>
      <c r="B3723" t="s">
        <v>225</v>
      </c>
      <c r="C3723" t="s">
        <v>942</v>
      </c>
      <c r="D3723" t="s">
        <v>943</v>
      </c>
      <c r="E3723" s="7" t="s">
        <v>198</v>
      </c>
      <c r="F3723" s="7" t="s">
        <v>198</v>
      </c>
      <c r="G3723" s="7" t="s">
        <v>198</v>
      </c>
      <c r="H3723" s="7" t="s">
        <v>20</v>
      </c>
      <c r="I3723" s="7" t="s">
        <v>5102</v>
      </c>
      <c r="J3723" s="7" t="s">
        <v>21</v>
      </c>
      <c r="L3723" t="s">
        <v>3601</v>
      </c>
      <c r="M3723" s="7" t="s">
        <v>22</v>
      </c>
      <c r="N3723" s="7" t="s">
        <v>23</v>
      </c>
      <c r="O3723" s="7" t="s">
        <v>27</v>
      </c>
      <c r="P3723" s="7" t="s">
        <v>5101</v>
      </c>
      <c r="Q3723" s="26">
        <v>19</v>
      </c>
      <c r="R3723" s="26">
        <v>1</v>
      </c>
      <c r="S3723" s="40">
        <v>1</v>
      </c>
      <c r="T3723" s="7"/>
      <c r="U3723" s="7" t="s">
        <v>2951</v>
      </c>
      <c r="V3723" s="7" t="str">
        <f>+IF(U3723="","",IF(U3723="FINES",CONCATENATE("R",IF(OR(B3723="16",B3723="21",B3723="22",B3723="23"),"16212223",IF(OR(B3723="15",B3723="17",B3723="24",B3723="25"),"15172425",B3723))),IF(U3723="CEBAS","UNICO",IF(VALUE(B3723)&lt;=11,"AMBA","INTERIOR"))))</f>
        <v>R19</v>
      </c>
      <c r="W3723" s="38" t="str">
        <f>+IF(U3723="","-",CONCATENATE(U3723,"_",V3723))</f>
        <v>FINES_R19</v>
      </c>
      <c r="X3723" s="42">
        <v>0.61799999999999999</v>
      </c>
    </row>
    <row r="3724" spans="1:24">
      <c r="A3724" s="21" t="s">
        <v>5100</v>
      </c>
      <c r="B3724" t="s">
        <v>225</v>
      </c>
      <c r="C3724" t="s">
        <v>942</v>
      </c>
      <c r="D3724" t="s">
        <v>943</v>
      </c>
      <c r="E3724" s="7" t="s">
        <v>198</v>
      </c>
      <c r="F3724" s="7" t="s">
        <v>198</v>
      </c>
      <c r="G3724" s="7" t="s">
        <v>198</v>
      </c>
      <c r="H3724" s="7" t="s">
        <v>20</v>
      </c>
      <c r="I3724" s="7" t="s">
        <v>5102</v>
      </c>
      <c r="J3724" s="7" t="s">
        <v>21</v>
      </c>
      <c r="L3724" t="s">
        <v>4853</v>
      </c>
      <c r="M3724" s="7" t="s">
        <v>22</v>
      </c>
      <c r="N3724" s="7" t="s">
        <v>23</v>
      </c>
      <c r="O3724" s="7" t="s">
        <v>27</v>
      </c>
      <c r="P3724" s="7" t="s">
        <v>5101</v>
      </c>
      <c r="Q3724" s="26">
        <v>35</v>
      </c>
      <c r="R3724" s="26">
        <v>2</v>
      </c>
      <c r="S3724" s="40">
        <v>1</v>
      </c>
      <c r="T3724" s="7"/>
      <c r="U3724" s="7" t="s">
        <v>2951</v>
      </c>
      <c r="V3724" s="7" t="str">
        <f>+IF(U3724="","",IF(U3724="FINES",CONCATENATE("R",IF(OR(B3724="16",B3724="21",B3724="22",B3724="23"),"16212223",IF(OR(B3724="15",B3724="17",B3724="24",B3724="25"),"15172425",B3724))),IF(U3724="CEBAS","UNICO",IF(VALUE(B3724)&lt;=11,"AMBA","INTERIOR"))))</f>
        <v>R19</v>
      </c>
      <c r="W3724" s="38" t="str">
        <f>+IF(U3724="","-",CONCATENATE(U3724,"_",V3724))</f>
        <v>FINES_R19</v>
      </c>
      <c r="X3724" s="42">
        <v>0.621</v>
      </c>
    </row>
    <row r="3725" spans="1:24">
      <c r="A3725" s="21" t="s">
        <v>5100</v>
      </c>
      <c r="B3725" t="s">
        <v>225</v>
      </c>
      <c r="C3725" t="s">
        <v>942</v>
      </c>
      <c r="D3725" t="s">
        <v>943</v>
      </c>
      <c r="E3725" s="7" t="s">
        <v>198</v>
      </c>
      <c r="F3725" s="7" t="s">
        <v>198</v>
      </c>
      <c r="G3725" s="7" t="s">
        <v>198</v>
      </c>
      <c r="H3725" s="7" t="s">
        <v>20</v>
      </c>
      <c r="I3725" s="7" t="s">
        <v>5102</v>
      </c>
      <c r="J3725" s="7" t="s">
        <v>21</v>
      </c>
      <c r="L3725" t="s">
        <v>4775</v>
      </c>
      <c r="M3725" s="7" t="s">
        <v>22</v>
      </c>
      <c r="N3725" s="7" t="s">
        <v>23</v>
      </c>
      <c r="O3725" s="7" t="s">
        <v>27</v>
      </c>
      <c r="P3725" s="7" t="s">
        <v>5101</v>
      </c>
      <c r="Q3725" s="26">
        <v>14</v>
      </c>
      <c r="R3725" s="26">
        <v>1</v>
      </c>
      <c r="S3725" s="40">
        <v>1</v>
      </c>
      <c r="T3725" s="7"/>
      <c r="U3725" s="7" t="s">
        <v>2951</v>
      </c>
      <c r="V3725" s="7" t="str">
        <f>+IF(U3725="","",IF(U3725="FINES",CONCATENATE("R",IF(OR(B3725="16",B3725="21",B3725="22",B3725="23"),"16212223",IF(OR(B3725="15",B3725="17",B3725="24",B3725="25"),"15172425",B3725))),IF(U3725="CEBAS","UNICO",IF(VALUE(B3725)&lt;=11,"AMBA","INTERIOR"))))</f>
        <v>R19</v>
      </c>
      <c r="W3725" s="38" t="str">
        <f>+IF(U3725="","-",CONCATENATE(U3725,"_",V3725))</f>
        <v>FINES_R19</v>
      </c>
      <c r="X3725" s="42">
        <v>0.624</v>
      </c>
    </row>
    <row r="3726" spans="1:24">
      <c r="A3726" s="21" t="s">
        <v>5100</v>
      </c>
      <c r="B3726" t="s">
        <v>225</v>
      </c>
      <c r="C3726" t="s">
        <v>942</v>
      </c>
      <c r="D3726" t="s">
        <v>943</v>
      </c>
      <c r="E3726" s="7" t="s">
        <v>198</v>
      </c>
      <c r="F3726" s="7" t="s">
        <v>198</v>
      </c>
      <c r="G3726" s="7" t="s">
        <v>198</v>
      </c>
      <c r="H3726" s="7" t="s">
        <v>20</v>
      </c>
      <c r="I3726" s="7" t="s">
        <v>5102</v>
      </c>
      <c r="J3726" s="7" t="s">
        <v>21</v>
      </c>
      <c r="L3726" t="s">
        <v>4797</v>
      </c>
      <c r="M3726" s="7" t="s">
        <v>22</v>
      </c>
      <c r="N3726" s="7" t="s">
        <v>23</v>
      </c>
      <c r="O3726" s="7" t="s">
        <v>27</v>
      </c>
      <c r="P3726" s="7" t="s">
        <v>5101</v>
      </c>
      <c r="Q3726" s="26">
        <v>18</v>
      </c>
      <c r="R3726" s="26">
        <v>1</v>
      </c>
      <c r="S3726" s="40">
        <v>1</v>
      </c>
      <c r="T3726" s="7"/>
      <c r="U3726" s="7" t="s">
        <v>2951</v>
      </c>
      <c r="V3726" s="7" t="str">
        <f>+IF(U3726="","",IF(U3726="FINES",CONCATENATE("R",IF(OR(B3726="16",B3726="21",B3726="22",B3726="23"),"16212223",IF(OR(B3726="15",B3726="17",B3726="24",B3726="25"),"15172425",B3726))),IF(U3726="CEBAS","UNICO",IF(VALUE(B3726)&lt;=11,"AMBA","INTERIOR"))))</f>
        <v>R19</v>
      </c>
      <c r="W3726" s="38" t="str">
        <f>+IF(U3726="","-",CONCATENATE(U3726,"_",V3726))</f>
        <v>FINES_R19</v>
      </c>
      <c r="X3726" s="42">
        <v>0.628</v>
      </c>
    </row>
    <row r="3727" spans="1:24">
      <c r="A3727" s="21" t="s">
        <v>5100</v>
      </c>
      <c r="B3727" t="s">
        <v>225</v>
      </c>
      <c r="C3727" t="s">
        <v>942</v>
      </c>
      <c r="D3727" t="s">
        <v>943</v>
      </c>
      <c r="E3727" s="7" t="s">
        <v>198</v>
      </c>
      <c r="F3727" s="7" t="s">
        <v>198</v>
      </c>
      <c r="G3727" s="7" t="s">
        <v>198</v>
      </c>
      <c r="H3727" s="7" t="s">
        <v>20</v>
      </c>
      <c r="I3727" s="7" t="s">
        <v>5102</v>
      </c>
      <c r="J3727" s="7" t="s">
        <v>21</v>
      </c>
      <c r="L3727" t="s">
        <v>4802</v>
      </c>
      <c r="M3727" s="7" t="s">
        <v>22</v>
      </c>
      <c r="N3727" s="7" t="s">
        <v>23</v>
      </c>
      <c r="O3727" s="7" t="s">
        <v>27</v>
      </c>
      <c r="P3727" s="7" t="s">
        <v>5101</v>
      </c>
      <c r="Q3727" s="26">
        <v>0</v>
      </c>
      <c r="R3727" s="26">
        <v>1</v>
      </c>
      <c r="S3727" s="40">
        <v>1</v>
      </c>
      <c r="T3727" s="7"/>
      <c r="U3727" s="7" t="s">
        <v>2951</v>
      </c>
      <c r="V3727" s="7" t="str">
        <f>+IF(U3727="","",IF(U3727="FINES",CONCATENATE("R",IF(OR(B3727="16",B3727="21",B3727="22",B3727="23"),"16212223",IF(OR(B3727="15",B3727="17",B3727="24",B3727="25"),"15172425",B3727))),IF(U3727="CEBAS","UNICO",IF(VALUE(B3727)&lt;=11,"AMBA","INTERIOR"))))</f>
        <v>R19</v>
      </c>
      <c r="W3727" s="38" t="str">
        <f>+IF(U3727="","-",CONCATENATE(U3727,"_",V3727))</f>
        <v>FINES_R19</v>
      </c>
      <c r="X3727" s="42">
        <v>0.63900000000000001</v>
      </c>
    </row>
    <row r="3728" spans="1:24">
      <c r="A3728" s="21" t="s">
        <v>5100</v>
      </c>
      <c r="B3728" t="s">
        <v>225</v>
      </c>
      <c r="C3728" t="s">
        <v>942</v>
      </c>
      <c r="D3728" t="s">
        <v>943</v>
      </c>
      <c r="E3728" s="7" t="s">
        <v>198</v>
      </c>
      <c r="F3728" s="7" t="s">
        <v>198</v>
      </c>
      <c r="G3728" s="7" t="s">
        <v>198</v>
      </c>
      <c r="H3728" s="7" t="s">
        <v>20</v>
      </c>
      <c r="I3728" s="7" t="s">
        <v>5102</v>
      </c>
      <c r="J3728" s="7" t="s">
        <v>21</v>
      </c>
      <c r="L3728" t="s">
        <v>653</v>
      </c>
      <c r="M3728" s="7" t="s">
        <v>22</v>
      </c>
      <c r="N3728" s="7" t="s">
        <v>23</v>
      </c>
      <c r="O3728" s="7" t="s">
        <v>27</v>
      </c>
      <c r="P3728" s="7" t="s">
        <v>5101</v>
      </c>
      <c r="Q3728" s="26">
        <v>21</v>
      </c>
      <c r="R3728" s="26">
        <v>1</v>
      </c>
      <c r="S3728" s="40">
        <v>1</v>
      </c>
      <c r="T3728" s="7"/>
      <c r="U3728" s="7" t="s">
        <v>2951</v>
      </c>
      <c r="V3728" s="7" t="str">
        <f>+IF(U3728="","",IF(U3728="FINES",CONCATENATE("R",IF(OR(B3728="16",B3728="21",B3728="22",B3728="23"),"16212223",IF(OR(B3728="15",B3728="17",B3728="24",B3728="25"),"15172425",B3728))),IF(U3728="CEBAS","UNICO",IF(VALUE(B3728)&lt;=11,"AMBA","INTERIOR"))))</f>
        <v>R19</v>
      </c>
      <c r="W3728" s="38" t="str">
        <f>+IF(U3728="","-",CONCATENATE(U3728,"_",V3728))</f>
        <v>FINES_R19</v>
      </c>
      <c r="X3728" s="42">
        <v>0.64700000000000002</v>
      </c>
    </row>
    <row r="3729" spans="1:24">
      <c r="A3729" s="21" t="s">
        <v>5100</v>
      </c>
      <c r="B3729" t="s">
        <v>225</v>
      </c>
      <c r="C3729" t="s">
        <v>942</v>
      </c>
      <c r="D3729" t="s">
        <v>943</v>
      </c>
      <c r="E3729" s="7" t="s">
        <v>198</v>
      </c>
      <c r="F3729" s="7" t="s">
        <v>198</v>
      </c>
      <c r="G3729" s="7" t="s">
        <v>198</v>
      </c>
      <c r="H3729" s="7" t="s">
        <v>20</v>
      </c>
      <c r="I3729" s="7" t="s">
        <v>5102</v>
      </c>
      <c r="J3729" s="7" t="s">
        <v>21</v>
      </c>
      <c r="L3729" t="s">
        <v>4838</v>
      </c>
      <c r="M3729" s="7" t="s">
        <v>22</v>
      </c>
      <c r="N3729" s="7" t="s">
        <v>23</v>
      </c>
      <c r="O3729" s="7" t="s">
        <v>27</v>
      </c>
      <c r="P3729" s="7" t="s">
        <v>5101</v>
      </c>
      <c r="Q3729" s="26">
        <v>22</v>
      </c>
      <c r="R3729" s="26">
        <v>1</v>
      </c>
      <c r="S3729" s="40">
        <v>1</v>
      </c>
      <c r="T3729" s="7"/>
      <c r="U3729" s="7" t="s">
        <v>2951</v>
      </c>
      <c r="V3729" s="7" t="str">
        <f>+IF(U3729="","",IF(U3729="FINES",CONCATENATE("R",IF(OR(B3729="16",B3729="21",B3729="22",B3729="23"),"16212223",IF(OR(B3729="15",B3729="17",B3729="24",B3729="25"),"15172425",B3729))),IF(U3729="CEBAS","UNICO",IF(VALUE(B3729)&lt;=11,"AMBA","INTERIOR"))))</f>
        <v>R19</v>
      </c>
      <c r="W3729" s="38" t="str">
        <f>+IF(U3729="","-",CONCATENATE(U3729,"_",V3729))</f>
        <v>FINES_R19</v>
      </c>
      <c r="X3729" s="42">
        <v>0.64700000000000002</v>
      </c>
    </row>
    <row r="3730" spans="1:24">
      <c r="A3730" s="21" t="s">
        <v>5100</v>
      </c>
      <c r="B3730" t="s">
        <v>225</v>
      </c>
      <c r="C3730" t="s">
        <v>942</v>
      </c>
      <c r="D3730" t="s">
        <v>943</v>
      </c>
      <c r="E3730" s="7" t="s">
        <v>198</v>
      </c>
      <c r="F3730" s="7" t="s">
        <v>198</v>
      </c>
      <c r="G3730" s="7" t="s">
        <v>198</v>
      </c>
      <c r="H3730" s="7" t="s">
        <v>20</v>
      </c>
      <c r="I3730" s="7" t="s">
        <v>5102</v>
      </c>
      <c r="J3730" s="7" t="s">
        <v>21</v>
      </c>
      <c r="L3730" t="s">
        <v>4884</v>
      </c>
      <c r="M3730" s="7" t="s">
        <v>22</v>
      </c>
      <c r="N3730" s="7" t="s">
        <v>23</v>
      </c>
      <c r="O3730" s="7" t="s">
        <v>27</v>
      </c>
      <c r="P3730" s="7" t="s">
        <v>5101</v>
      </c>
      <c r="Q3730" s="26">
        <v>48</v>
      </c>
      <c r="R3730" s="26">
        <v>2</v>
      </c>
      <c r="S3730" s="40">
        <v>1</v>
      </c>
      <c r="T3730" s="7"/>
      <c r="U3730" s="7" t="s">
        <v>2951</v>
      </c>
      <c r="V3730" s="7" t="str">
        <f>+IF(U3730="","",IF(U3730="FINES",CONCATENATE("R",IF(OR(B3730="16",B3730="21",B3730="22",B3730="23"),"16212223",IF(OR(B3730="15",B3730="17",B3730="24",B3730="25"),"15172425",B3730))),IF(U3730="CEBAS","UNICO",IF(VALUE(B3730)&lt;=11,"AMBA","INTERIOR"))))</f>
        <v>R19</v>
      </c>
      <c r="W3730" s="38" t="str">
        <f>+IF(U3730="","-",CONCATENATE(U3730,"_",V3730))</f>
        <v>FINES_R19</v>
      </c>
      <c r="X3730" s="42">
        <v>0.65900000000000003</v>
      </c>
    </row>
    <row r="3731" spans="1:24">
      <c r="A3731" s="21" t="s">
        <v>5100</v>
      </c>
      <c r="B3731" t="s">
        <v>225</v>
      </c>
      <c r="C3731" t="s">
        <v>942</v>
      </c>
      <c r="D3731" t="s">
        <v>943</v>
      </c>
      <c r="E3731" s="7" t="s">
        <v>198</v>
      </c>
      <c r="F3731" s="7" t="s">
        <v>198</v>
      </c>
      <c r="G3731" s="7" t="s">
        <v>198</v>
      </c>
      <c r="H3731" s="7" t="s">
        <v>20</v>
      </c>
      <c r="I3731" s="7" t="s">
        <v>5102</v>
      </c>
      <c r="J3731" s="7" t="s">
        <v>21</v>
      </c>
      <c r="L3731" t="s">
        <v>4800</v>
      </c>
      <c r="M3731" s="7" t="s">
        <v>22</v>
      </c>
      <c r="N3731" s="7" t="s">
        <v>23</v>
      </c>
      <c r="O3731" s="7" t="s">
        <v>27</v>
      </c>
      <c r="P3731" s="7" t="s">
        <v>5101</v>
      </c>
      <c r="Q3731" s="26">
        <v>0</v>
      </c>
      <c r="R3731" s="26">
        <v>1</v>
      </c>
      <c r="S3731" s="40">
        <v>1</v>
      </c>
      <c r="T3731" s="7"/>
      <c r="U3731" s="7" t="s">
        <v>2951</v>
      </c>
      <c r="V3731" s="7" t="str">
        <f>+IF(U3731="","",IF(U3731="FINES",CONCATENATE("R",IF(OR(B3731="16",B3731="21",B3731="22",B3731="23"),"16212223",IF(OR(B3731="15",B3731="17",B3731="24",B3731="25"),"15172425",B3731))),IF(U3731="CEBAS","UNICO",IF(VALUE(B3731)&lt;=11,"AMBA","INTERIOR"))))</f>
        <v>R19</v>
      </c>
      <c r="W3731" s="38" t="str">
        <f>+IF(U3731="","-",CONCATENATE(U3731,"_",V3731))</f>
        <v>FINES_R19</v>
      </c>
      <c r="X3731" s="42">
        <v>0.65900000000000003</v>
      </c>
    </row>
    <row r="3732" spans="1:24">
      <c r="A3732" s="21" t="s">
        <v>5100</v>
      </c>
      <c r="B3732" t="s">
        <v>225</v>
      </c>
      <c r="C3732" t="s">
        <v>942</v>
      </c>
      <c r="D3732" t="s">
        <v>943</v>
      </c>
      <c r="E3732" s="7" t="s">
        <v>198</v>
      </c>
      <c r="F3732" s="7" t="s">
        <v>198</v>
      </c>
      <c r="G3732" s="7" t="s">
        <v>198</v>
      </c>
      <c r="H3732" s="7" t="s">
        <v>20</v>
      </c>
      <c r="I3732" s="7" t="s">
        <v>5102</v>
      </c>
      <c r="J3732" s="7" t="s">
        <v>21</v>
      </c>
      <c r="L3732" t="s">
        <v>4832</v>
      </c>
      <c r="M3732" s="7" t="s">
        <v>22</v>
      </c>
      <c r="N3732" s="7" t="s">
        <v>23</v>
      </c>
      <c r="O3732" s="7" t="s">
        <v>27</v>
      </c>
      <c r="P3732" s="7" t="s">
        <v>5101</v>
      </c>
      <c r="Q3732" s="26">
        <v>60</v>
      </c>
      <c r="R3732" s="26">
        <v>3</v>
      </c>
      <c r="S3732" s="40">
        <v>1</v>
      </c>
      <c r="T3732" s="7"/>
      <c r="U3732" s="7" t="s">
        <v>2951</v>
      </c>
      <c r="V3732" s="7" t="str">
        <f>+IF(U3732="","",IF(U3732="FINES",CONCATENATE("R",IF(OR(B3732="16",B3732="21",B3732="22",B3732="23"),"16212223",IF(OR(B3732="15",B3732="17",B3732="24",B3732="25"),"15172425",B3732))),IF(U3732="CEBAS","UNICO",IF(VALUE(B3732)&lt;=11,"AMBA","INTERIOR"))))</f>
        <v>R19</v>
      </c>
      <c r="W3732" s="38" t="str">
        <f>+IF(U3732="","-",CONCATENATE(U3732,"_",V3732))</f>
        <v>FINES_R19</v>
      </c>
      <c r="X3732" s="42">
        <v>0.66100000000000003</v>
      </c>
    </row>
    <row r="3733" spans="1:24">
      <c r="A3733" s="21" t="s">
        <v>5100</v>
      </c>
      <c r="B3733" t="s">
        <v>225</v>
      </c>
      <c r="C3733" t="s">
        <v>876</v>
      </c>
      <c r="D3733" t="s">
        <v>877</v>
      </c>
      <c r="E3733" s="7" t="s">
        <v>198</v>
      </c>
      <c r="F3733" s="7" t="s">
        <v>198</v>
      </c>
      <c r="G3733" s="7" t="s">
        <v>198</v>
      </c>
      <c r="H3733" s="7" t="s">
        <v>20</v>
      </c>
      <c r="I3733" s="7" t="s">
        <v>5102</v>
      </c>
      <c r="J3733" s="7" t="s">
        <v>21</v>
      </c>
      <c r="L3733" t="s">
        <v>4763</v>
      </c>
      <c r="M3733" s="7" t="s">
        <v>22</v>
      </c>
      <c r="N3733" s="7" t="s">
        <v>23</v>
      </c>
      <c r="O3733" s="7" t="s">
        <v>27</v>
      </c>
      <c r="P3733" s="7" t="s">
        <v>5101</v>
      </c>
      <c r="Q3733" s="26">
        <v>8</v>
      </c>
      <c r="R3733" s="26">
        <v>1</v>
      </c>
      <c r="S3733" s="40">
        <v>1</v>
      </c>
      <c r="T3733" s="7"/>
      <c r="U3733" s="7" t="s">
        <v>2951</v>
      </c>
      <c r="V3733" s="7" t="str">
        <f>+IF(U3733="","",IF(U3733="FINES",CONCATENATE("R",IF(OR(B3733="16",B3733="21",B3733="22",B3733="23"),"16212223",IF(OR(B3733="15",B3733="17",B3733="24",B3733="25"),"15172425",B3733))),IF(U3733="CEBAS","UNICO",IF(VALUE(B3733)&lt;=11,"AMBA","INTERIOR"))))</f>
        <v>R19</v>
      </c>
      <c r="W3733" s="38" t="str">
        <f>+IF(U3733="","-",CONCATENATE(U3733,"_",V3733))</f>
        <v>FINES_R19</v>
      </c>
      <c r="X3733" s="42">
        <v>0.66400000000000003</v>
      </c>
    </row>
    <row r="3734" spans="1:24">
      <c r="A3734" s="21" t="s">
        <v>5100</v>
      </c>
      <c r="B3734" t="s">
        <v>225</v>
      </c>
      <c r="C3734" t="s">
        <v>942</v>
      </c>
      <c r="D3734" t="s">
        <v>943</v>
      </c>
      <c r="E3734" s="7" t="s">
        <v>198</v>
      </c>
      <c r="F3734" s="7" t="s">
        <v>198</v>
      </c>
      <c r="G3734" s="7" t="s">
        <v>198</v>
      </c>
      <c r="H3734" s="7" t="s">
        <v>20</v>
      </c>
      <c r="I3734" s="7" t="s">
        <v>5102</v>
      </c>
      <c r="J3734" s="7" t="s">
        <v>21</v>
      </c>
      <c r="L3734" t="s">
        <v>4799</v>
      </c>
      <c r="M3734" s="7" t="s">
        <v>22</v>
      </c>
      <c r="N3734" s="7" t="s">
        <v>23</v>
      </c>
      <c r="O3734" s="7" t="s">
        <v>27</v>
      </c>
      <c r="P3734" s="7" t="s">
        <v>5101</v>
      </c>
      <c r="Q3734" s="26">
        <v>38</v>
      </c>
      <c r="R3734" s="26">
        <v>1</v>
      </c>
      <c r="S3734" s="40">
        <v>1</v>
      </c>
      <c r="T3734" s="7"/>
      <c r="U3734" s="7" t="s">
        <v>2951</v>
      </c>
      <c r="V3734" s="7" t="str">
        <f>+IF(U3734="","",IF(U3734="FINES",CONCATENATE("R",IF(OR(B3734="16",B3734="21",B3734="22",B3734="23"),"16212223",IF(OR(B3734="15",B3734="17",B3734="24",B3734="25"),"15172425",B3734))),IF(U3734="CEBAS","UNICO",IF(VALUE(B3734)&lt;=11,"AMBA","INTERIOR"))))</f>
        <v>R19</v>
      </c>
      <c r="W3734" s="38" t="str">
        <f>+IF(U3734="","-",CONCATENATE(U3734,"_",V3734))</f>
        <v>FINES_R19</v>
      </c>
      <c r="X3734" s="42">
        <v>0.67500000000000004</v>
      </c>
    </row>
    <row r="3735" spans="1:24">
      <c r="A3735" s="21" t="s">
        <v>5100</v>
      </c>
      <c r="B3735" t="s">
        <v>225</v>
      </c>
      <c r="C3735" t="s">
        <v>942</v>
      </c>
      <c r="D3735" t="s">
        <v>943</v>
      </c>
      <c r="E3735" s="7" t="s">
        <v>198</v>
      </c>
      <c r="F3735" s="7" t="s">
        <v>198</v>
      </c>
      <c r="G3735" s="7" t="s">
        <v>198</v>
      </c>
      <c r="H3735" s="7" t="s">
        <v>20</v>
      </c>
      <c r="I3735" s="7" t="s">
        <v>5102</v>
      </c>
      <c r="J3735" s="7" t="s">
        <v>21</v>
      </c>
      <c r="L3735" t="s">
        <v>4863</v>
      </c>
      <c r="M3735" s="7" t="s">
        <v>22</v>
      </c>
      <c r="N3735" s="7" t="s">
        <v>23</v>
      </c>
      <c r="O3735" s="7" t="s">
        <v>27</v>
      </c>
      <c r="P3735" s="7" t="s">
        <v>5101</v>
      </c>
      <c r="Q3735" s="26">
        <v>30</v>
      </c>
      <c r="R3735" s="26">
        <v>2</v>
      </c>
      <c r="S3735" s="40">
        <v>1</v>
      </c>
      <c r="T3735" s="7"/>
      <c r="U3735" s="7" t="s">
        <v>2951</v>
      </c>
      <c r="V3735" s="7" t="str">
        <f>+IF(U3735="","",IF(U3735="FINES",CONCATENATE("R",IF(OR(B3735="16",B3735="21",B3735="22",B3735="23"),"16212223",IF(OR(B3735="15",B3735="17",B3735="24",B3735="25"),"15172425",B3735))),IF(U3735="CEBAS","UNICO",IF(VALUE(B3735)&lt;=11,"AMBA","INTERIOR"))))</f>
        <v>R19</v>
      </c>
      <c r="W3735" s="38" t="str">
        <f>+IF(U3735="","-",CONCATENATE(U3735,"_",V3735))</f>
        <v>FINES_R19</v>
      </c>
      <c r="X3735" s="42">
        <v>0.67500000000000004</v>
      </c>
    </row>
    <row r="3736" spans="1:24">
      <c r="A3736" s="21" t="s">
        <v>5100</v>
      </c>
      <c r="B3736" t="s">
        <v>225</v>
      </c>
      <c r="C3736" t="s">
        <v>876</v>
      </c>
      <c r="D3736" t="s">
        <v>877</v>
      </c>
      <c r="E3736" s="7" t="s">
        <v>198</v>
      </c>
      <c r="F3736" s="7" t="s">
        <v>198</v>
      </c>
      <c r="G3736" s="7" t="s">
        <v>198</v>
      </c>
      <c r="H3736" s="7" t="s">
        <v>20</v>
      </c>
      <c r="I3736" s="7" t="s">
        <v>5102</v>
      </c>
      <c r="J3736" s="7" t="s">
        <v>21</v>
      </c>
      <c r="L3736" t="s">
        <v>3926</v>
      </c>
      <c r="M3736" s="7" t="s">
        <v>22</v>
      </c>
      <c r="N3736" s="7" t="s">
        <v>23</v>
      </c>
      <c r="O3736" s="7" t="s">
        <v>27</v>
      </c>
      <c r="P3736" s="7" t="s">
        <v>5101</v>
      </c>
      <c r="Q3736" s="26">
        <v>19</v>
      </c>
      <c r="R3736" s="26">
        <v>1</v>
      </c>
      <c r="S3736" s="40">
        <v>1</v>
      </c>
      <c r="T3736" s="7"/>
      <c r="U3736" s="7" t="s">
        <v>2951</v>
      </c>
      <c r="V3736" s="7" t="str">
        <f>+IF(U3736="","",IF(U3736="FINES",CONCATENATE("R",IF(OR(B3736="16",B3736="21",B3736="22",B3736="23"),"16212223",IF(OR(B3736="15",B3736="17",B3736="24",B3736="25"),"15172425",B3736))),IF(U3736="CEBAS","UNICO",IF(VALUE(B3736)&lt;=11,"AMBA","INTERIOR"))))</f>
        <v>R19</v>
      </c>
      <c r="W3736" s="38" t="str">
        <f>+IF(U3736="","-",CONCATENATE(U3736,"_",V3736))</f>
        <v>FINES_R19</v>
      </c>
      <c r="X3736" s="42">
        <v>0.67600000000000005</v>
      </c>
    </row>
    <row r="3737" spans="1:24">
      <c r="A3737" s="21" t="s">
        <v>5100</v>
      </c>
      <c r="B3737" t="s">
        <v>225</v>
      </c>
      <c r="C3737" t="s">
        <v>942</v>
      </c>
      <c r="D3737" t="s">
        <v>943</v>
      </c>
      <c r="E3737" s="7" t="s">
        <v>198</v>
      </c>
      <c r="F3737" s="7" t="s">
        <v>198</v>
      </c>
      <c r="G3737" s="7" t="s">
        <v>198</v>
      </c>
      <c r="H3737" s="7" t="s">
        <v>20</v>
      </c>
      <c r="I3737" s="7" t="s">
        <v>5102</v>
      </c>
      <c r="J3737" s="7" t="s">
        <v>21</v>
      </c>
      <c r="L3737" t="s">
        <v>4819</v>
      </c>
      <c r="M3737" s="7" t="s">
        <v>22</v>
      </c>
      <c r="N3737" s="7" t="s">
        <v>23</v>
      </c>
      <c r="O3737" s="7" t="s">
        <v>27</v>
      </c>
      <c r="P3737" s="7" t="s">
        <v>5101</v>
      </c>
      <c r="Q3737" s="26">
        <v>0</v>
      </c>
      <c r="R3737" s="26">
        <v>1</v>
      </c>
      <c r="S3737" s="40">
        <v>1</v>
      </c>
      <c r="T3737" s="7"/>
      <c r="U3737" s="7" t="s">
        <v>2951</v>
      </c>
      <c r="V3737" s="7" t="str">
        <f>+IF(U3737="","",IF(U3737="FINES",CONCATENATE("R",IF(OR(B3737="16",B3737="21",B3737="22",B3737="23"),"16212223",IF(OR(B3737="15",B3737="17",B3737="24",B3737="25"),"15172425",B3737))),IF(U3737="CEBAS","UNICO",IF(VALUE(B3737)&lt;=11,"AMBA","INTERIOR"))))</f>
        <v>R19</v>
      </c>
      <c r="W3737" s="38" t="str">
        <f>+IF(U3737="","-",CONCATENATE(U3737,"_",V3737))</f>
        <v>FINES_R19</v>
      </c>
      <c r="X3737" s="42">
        <v>0.68100000000000005</v>
      </c>
    </row>
    <row r="3738" spans="1:24">
      <c r="A3738" s="21" t="s">
        <v>5100</v>
      </c>
      <c r="B3738" t="s">
        <v>225</v>
      </c>
      <c r="C3738" t="s">
        <v>942</v>
      </c>
      <c r="D3738" t="s">
        <v>943</v>
      </c>
      <c r="E3738" s="7" t="s">
        <v>198</v>
      </c>
      <c r="F3738" s="7" t="s">
        <v>198</v>
      </c>
      <c r="G3738" s="7" t="s">
        <v>198</v>
      </c>
      <c r="H3738" s="7" t="s">
        <v>20</v>
      </c>
      <c r="I3738" s="7" t="s">
        <v>5102</v>
      </c>
      <c r="J3738" s="7" t="s">
        <v>21</v>
      </c>
      <c r="L3738" t="s">
        <v>4866</v>
      </c>
      <c r="M3738" s="7" t="s">
        <v>22</v>
      </c>
      <c r="N3738" s="7" t="s">
        <v>23</v>
      </c>
      <c r="O3738" s="7" t="s">
        <v>27</v>
      </c>
      <c r="P3738" s="7" t="s">
        <v>5101</v>
      </c>
      <c r="Q3738" s="26">
        <v>16</v>
      </c>
      <c r="R3738" s="26">
        <v>1</v>
      </c>
      <c r="S3738" s="40">
        <v>1</v>
      </c>
      <c r="T3738" s="7"/>
      <c r="U3738" s="7" t="s">
        <v>2951</v>
      </c>
      <c r="V3738" s="7" t="str">
        <f>+IF(U3738="","",IF(U3738="FINES",CONCATENATE("R",IF(OR(B3738="16",B3738="21",B3738="22",B3738="23"),"16212223",IF(OR(B3738="15",B3738="17",B3738="24",B3738="25"),"15172425",B3738))),IF(U3738="CEBAS","UNICO",IF(VALUE(B3738)&lt;=11,"AMBA","INTERIOR"))))</f>
        <v>R19</v>
      </c>
      <c r="W3738" s="38" t="str">
        <f>+IF(U3738="","-",CONCATENATE(U3738,"_",V3738))</f>
        <v>FINES_R19</v>
      </c>
      <c r="X3738" s="42">
        <v>0.69299999999999995</v>
      </c>
    </row>
    <row r="3739" spans="1:24">
      <c r="A3739" s="21" t="s">
        <v>5100</v>
      </c>
      <c r="B3739" t="s">
        <v>225</v>
      </c>
      <c r="C3739" t="s">
        <v>942</v>
      </c>
      <c r="D3739" t="s">
        <v>943</v>
      </c>
      <c r="E3739" s="7" t="s">
        <v>198</v>
      </c>
      <c r="F3739" s="7" t="s">
        <v>198</v>
      </c>
      <c r="G3739" s="7" t="s">
        <v>198</v>
      </c>
      <c r="H3739" s="7" t="s">
        <v>20</v>
      </c>
      <c r="I3739" s="7" t="s">
        <v>5102</v>
      </c>
      <c r="J3739" s="7" t="s">
        <v>21</v>
      </c>
      <c r="L3739" t="s">
        <v>4849</v>
      </c>
      <c r="M3739" s="7" t="s">
        <v>22</v>
      </c>
      <c r="N3739" s="7" t="s">
        <v>23</v>
      </c>
      <c r="O3739" s="7" t="s">
        <v>27</v>
      </c>
      <c r="P3739" s="7" t="s">
        <v>5101</v>
      </c>
      <c r="Q3739" s="26">
        <v>54</v>
      </c>
      <c r="R3739" s="26">
        <v>2</v>
      </c>
      <c r="S3739" s="40">
        <v>1</v>
      </c>
      <c r="T3739" s="7"/>
      <c r="U3739" s="7" t="s">
        <v>2951</v>
      </c>
      <c r="V3739" s="7" t="str">
        <f>+IF(U3739="","",IF(U3739="FINES",CONCATENATE("R",IF(OR(B3739="16",B3739="21",B3739="22",B3739="23"),"16212223",IF(OR(B3739="15",B3739="17",B3739="24",B3739="25"),"15172425",B3739))),IF(U3739="CEBAS","UNICO",IF(VALUE(B3739)&lt;=11,"AMBA","INTERIOR"))))</f>
        <v>R19</v>
      </c>
      <c r="W3739" s="38" t="str">
        <f>+IF(U3739="","-",CONCATENATE(U3739,"_",V3739))</f>
        <v>FINES_R19</v>
      </c>
      <c r="X3739" s="42">
        <v>0.69499999999999995</v>
      </c>
    </row>
    <row r="3740" spans="1:24">
      <c r="A3740" s="21" t="s">
        <v>5100</v>
      </c>
      <c r="B3740" t="s">
        <v>225</v>
      </c>
      <c r="C3740" t="s">
        <v>942</v>
      </c>
      <c r="D3740" t="s">
        <v>943</v>
      </c>
      <c r="E3740" s="7" t="s">
        <v>198</v>
      </c>
      <c r="F3740" s="7" t="s">
        <v>198</v>
      </c>
      <c r="G3740" s="7" t="s">
        <v>198</v>
      </c>
      <c r="H3740" s="7" t="s">
        <v>20</v>
      </c>
      <c r="I3740" s="7" t="s">
        <v>5102</v>
      </c>
      <c r="J3740" s="7" t="s">
        <v>21</v>
      </c>
      <c r="L3740" t="s">
        <v>4854</v>
      </c>
      <c r="M3740" s="7" t="s">
        <v>22</v>
      </c>
      <c r="N3740" s="7" t="s">
        <v>23</v>
      </c>
      <c r="O3740" s="7" t="s">
        <v>27</v>
      </c>
      <c r="P3740" s="7" t="s">
        <v>5101</v>
      </c>
      <c r="Q3740" s="26">
        <v>6</v>
      </c>
      <c r="R3740" s="26">
        <v>1</v>
      </c>
      <c r="S3740" s="40">
        <v>1</v>
      </c>
      <c r="T3740" s="7"/>
      <c r="U3740" s="7" t="s">
        <v>2951</v>
      </c>
      <c r="V3740" s="7" t="str">
        <f>+IF(U3740="","",IF(U3740="FINES",CONCATENATE("R",IF(OR(B3740="16",B3740="21",B3740="22",B3740="23"),"16212223",IF(OR(B3740="15",B3740="17",B3740="24",B3740="25"),"15172425",B3740))),IF(U3740="CEBAS","UNICO",IF(VALUE(B3740)&lt;=11,"AMBA","INTERIOR"))))</f>
        <v>R19</v>
      </c>
      <c r="W3740" s="38" t="str">
        <f>+IF(U3740="","-",CONCATENATE(U3740,"_",V3740))</f>
        <v>FINES_R19</v>
      </c>
      <c r="X3740" s="42">
        <v>0.69599999999999995</v>
      </c>
    </row>
    <row r="3741" spans="1:24">
      <c r="A3741" s="21" t="s">
        <v>5100</v>
      </c>
      <c r="B3741" t="s">
        <v>225</v>
      </c>
      <c r="C3741" t="s">
        <v>942</v>
      </c>
      <c r="D3741" t="s">
        <v>943</v>
      </c>
      <c r="E3741" s="7" t="s">
        <v>198</v>
      </c>
      <c r="F3741" s="7" t="s">
        <v>198</v>
      </c>
      <c r="G3741" s="7" t="s">
        <v>198</v>
      </c>
      <c r="H3741" s="7" t="s">
        <v>20</v>
      </c>
      <c r="I3741" s="7" t="s">
        <v>5102</v>
      </c>
      <c r="J3741" s="7" t="s">
        <v>21</v>
      </c>
      <c r="L3741" t="s">
        <v>4858</v>
      </c>
      <c r="M3741" s="7" t="s">
        <v>22</v>
      </c>
      <c r="N3741" s="7" t="s">
        <v>23</v>
      </c>
      <c r="O3741" s="7" t="s">
        <v>27</v>
      </c>
      <c r="P3741" s="7" t="s">
        <v>5101</v>
      </c>
      <c r="Q3741" s="26">
        <v>0</v>
      </c>
      <c r="R3741" s="26">
        <v>1</v>
      </c>
      <c r="S3741" s="40">
        <v>1</v>
      </c>
      <c r="T3741" s="7"/>
      <c r="U3741" s="7" t="s">
        <v>2951</v>
      </c>
      <c r="V3741" s="7" t="str">
        <f>+IF(U3741="","",IF(U3741="FINES",CONCATENATE("R",IF(OR(B3741="16",B3741="21",B3741="22",B3741="23"),"16212223",IF(OR(B3741="15",B3741="17",B3741="24",B3741="25"),"15172425",B3741))),IF(U3741="CEBAS","UNICO",IF(VALUE(B3741)&lt;=11,"AMBA","INTERIOR"))))</f>
        <v>R19</v>
      </c>
      <c r="W3741" s="38" t="str">
        <f>+IF(U3741="","-",CONCATENATE(U3741,"_",V3741))</f>
        <v>FINES_R19</v>
      </c>
      <c r="X3741" s="42">
        <v>0.7</v>
      </c>
    </row>
    <row r="3742" spans="1:24">
      <c r="A3742" s="21" t="s">
        <v>5100</v>
      </c>
      <c r="B3742" t="s">
        <v>225</v>
      </c>
      <c r="C3742" t="s">
        <v>942</v>
      </c>
      <c r="D3742" t="s">
        <v>943</v>
      </c>
      <c r="E3742" s="7" t="s">
        <v>198</v>
      </c>
      <c r="F3742" s="7" t="s">
        <v>198</v>
      </c>
      <c r="G3742" s="7" t="s">
        <v>198</v>
      </c>
      <c r="H3742" s="7" t="s">
        <v>20</v>
      </c>
      <c r="I3742" s="7" t="s">
        <v>5102</v>
      </c>
      <c r="J3742" s="7" t="s">
        <v>21</v>
      </c>
      <c r="L3742" t="s">
        <v>4794</v>
      </c>
      <c r="M3742" s="7" t="s">
        <v>22</v>
      </c>
      <c r="N3742" s="7" t="s">
        <v>23</v>
      </c>
      <c r="O3742" s="7" t="s">
        <v>27</v>
      </c>
      <c r="P3742" s="7" t="s">
        <v>5101</v>
      </c>
      <c r="Q3742" s="26">
        <v>11</v>
      </c>
      <c r="R3742" s="26">
        <v>1</v>
      </c>
      <c r="S3742" s="40">
        <v>1</v>
      </c>
      <c r="T3742" s="7"/>
      <c r="U3742" s="7" t="s">
        <v>2951</v>
      </c>
      <c r="V3742" s="7" t="str">
        <f>+IF(U3742="","",IF(U3742="FINES",CONCATENATE("R",IF(OR(B3742="16",B3742="21",B3742="22",B3742="23"),"16212223",IF(OR(B3742="15",B3742="17",B3742="24",B3742="25"),"15172425",B3742))),IF(U3742="CEBAS","UNICO",IF(VALUE(B3742)&lt;=11,"AMBA","INTERIOR"))))</f>
        <v>R19</v>
      </c>
      <c r="W3742" s="38" t="str">
        <f>+IF(U3742="","-",CONCATENATE(U3742,"_",V3742))</f>
        <v>FINES_R19</v>
      </c>
      <c r="X3742" s="42">
        <v>0.70499999999999996</v>
      </c>
    </row>
    <row r="3743" spans="1:24">
      <c r="A3743" s="21" t="s">
        <v>5100</v>
      </c>
      <c r="B3743" t="s">
        <v>225</v>
      </c>
      <c r="C3743" t="s">
        <v>942</v>
      </c>
      <c r="D3743" t="s">
        <v>943</v>
      </c>
      <c r="E3743" s="7" t="s">
        <v>198</v>
      </c>
      <c r="F3743" s="7" t="s">
        <v>198</v>
      </c>
      <c r="G3743" s="7" t="s">
        <v>198</v>
      </c>
      <c r="H3743" s="7" t="s">
        <v>20</v>
      </c>
      <c r="I3743" s="7" t="s">
        <v>5102</v>
      </c>
      <c r="J3743" s="7" t="s">
        <v>21</v>
      </c>
      <c r="L3743" t="s">
        <v>4785</v>
      </c>
      <c r="M3743" s="7" t="s">
        <v>22</v>
      </c>
      <c r="N3743" s="7" t="s">
        <v>23</v>
      </c>
      <c r="O3743" s="7" t="s">
        <v>27</v>
      </c>
      <c r="P3743" s="7" t="s">
        <v>5101</v>
      </c>
      <c r="Q3743" s="26">
        <v>25</v>
      </c>
      <c r="R3743" s="26">
        <v>1</v>
      </c>
      <c r="S3743" s="40">
        <v>1</v>
      </c>
      <c r="T3743" s="7"/>
      <c r="U3743" s="7" t="s">
        <v>2951</v>
      </c>
      <c r="V3743" s="7" t="str">
        <f>+IF(U3743="","",IF(U3743="FINES",CONCATENATE("R",IF(OR(B3743="16",B3743="21",B3743="22",B3743="23"),"16212223",IF(OR(B3743="15",B3743="17",B3743="24",B3743="25"),"15172425",B3743))),IF(U3743="CEBAS","UNICO",IF(VALUE(B3743)&lt;=11,"AMBA","INTERIOR"))))</f>
        <v>R19</v>
      </c>
      <c r="W3743" s="38" t="str">
        <f>+IF(U3743="","-",CONCATENATE(U3743,"_",V3743))</f>
        <v>FINES_R19</v>
      </c>
      <c r="X3743" s="42">
        <v>0.70499999999999996</v>
      </c>
    </row>
    <row r="3744" spans="1:24">
      <c r="A3744" s="21" t="s">
        <v>5100</v>
      </c>
      <c r="B3744" t="s">
        <v>225</v>
      </c>
      <c r="C3744" t="s">
        <v>942</v>
      </c>
      <c r="D3744" t="s">
        <v>943</v>
      </c>
      <c r="E3744" s="7" t="s">
        <v>198</v>
      </c>
      <c r="F3744" s="7" t="s">
        <v>198</v>
      </c>
      <c r="G3744" s="7" t="s">
        <v>198</v>
      </c>
      <c r="H3744" s="7" t="s">
        <v>20</v>
      </c>
      <c r="I3744" s="7" t="s">
        <v>5102</v>
      </c>
      <c r="J3744" s="7" t="s">
        <v>21</v>
      </c>
      <c r="L3744" t="s">
        <v>4870</v>
      </c>
      <c r="M3744" s="7" t="s">
        <v>22</v>
      </c>
      <c r="N3744" s="7" t="s">
        <v>23</v>
      </c>
      <c r="O3744" s="7" t="s">
        <v>27</v>
      </c>
      <c r="P3744" s="7" t="s">
        <v>5101</v>
      </c>
      <c r="Q3744" s="26">
        <v>13</v>
      </c>
      <c r="R3744" s="26">
        <v>1</v>
      </c>
      <c r="S3744" s="40">
        <v>1</v>
      </c>
      <c r="T3744" s="7"/>
      <c r="U3744" s="7" t="s">
        <v>2951</v>
      </c>
      <c r="V3744" s="7" t="str">
        <f>+IF(U3744="","",IF(U3744="FINES",CONCATENATE("R",IF(OR(B3744="16",B3744="21",B3744="22",B3744="23"),"16212223",IF(OR(B3744="15",B3744="17",B3744="24",B3744="25"),"15172425",B3744))),IF(U3744="CEBAS","UNICO",IF(VALUE(B3744)&lt;=11,"AMBA","INTERIOR"))))</f>
        <v>R19</v>
      </c>
      <c r="W3744" s="38" t="str">
        <f>+IF(U3744="","-",CONCATENATE(U3744,"_",V3744))</f>
        <v>FINES_R19</v>
      </c>
      <c r="X3744" s="42">
        <v>0.70899999999999996</v>
      </c>
    </row>
    <row r="3745" spans="1:24">
      <c r="A3745" s="21" t="s">
        <v>5100</v>
      </c>
      <c r="B3745" t="s">
        <v>225</v>
      </c>
      <c r="C3745" t="s">
        <v>942</v>
      </c>
      <c r="D3745" t="s">
        <v>943</v>
      </c>
      <c r="E3745" s="7" t="s">
        <v>198</v>
      </c>
      <c r="F3745" s="7" t="s">
        <v>198</v>
      </c>
      <c r="G3745" s="7" t="s">
        <v>198</v>
      </c>
      <c r="H3745" s="7" t="s">
        <v>20</v>
      </c>
      <c r="I3745" s="7" t="s">
        <v>5102</v>
      </c>
      <c r="J3745" s="7" t="s">
        <v>21</v>
      </c>
      <c r="L3745" t="s">
        <v>4828</v>
      </c>
      <c r="M3745" s="7" t="s">
        <v>22</v>
      </c>
      <c r="N3745" s="7" t="s">
        <v>23</v>
      </c>
      <c r="O3745" s="7" t="s">
        <v>27</v>
      </c>
      <c r="P3745" s="7" t="s">
        <v>5101</v>
      </c>
      <c r="Q3745" s="26">
        <v>15</v>
      </c>
      <c r="R3745" s="26">
        <v>1</v>
      </c>
      <c r="S3745" s="40">
        <v>1</v>
      </c>
      <c r="T3745" s="7"/>
      <c r="U3745" s="7" t="s">
        <v>2951</v>
      </c>
      <c r="V3745" s="7" t="str">
        <f>+IF(U3745="","",IF(U3745="FINES",CONCATENATE("R",IF(OR(B3745="16",B3745="21",B3745="22",B3745="23"),"16212223",IF(OR(B3745="15",B3745="17",B3745="24",B3745="25"),"15172425",B3745))),IF(U3745="CEBAS","UNICO",IF(VALUE(B3745)&lt;=11,"AMBA","INTERIOR"))))</f>
        <v>R19</v>
      </c>
      <c r="W3745" s="38" t="str">
        <f>+IF(U3745="","-",CONCATENATE(U3745,"_",V3745))</f>
        <v>FINES_R19</v>
      </c>
      <c r="X3745" s="42">
        <v>0.72299999999999998</v>
      </c>
    </row>
    <row r="3746" spans="1:24">
      <c r="A3746" s="21" t="s">
        <v>5100</v>
      </c>
      <c r="B3746" t="s">
        <v>225</v>
      </c>
      <c r="C3746" t="s">
        <v>942</v>
      </c>
      <c r="D3746" t="s">
        <v>943</v>
      </c>
      <c r="E3746" s="7" t="s">
        <v>198</v>
      </c>
      <c r="F3746" s="7" t="s">
        <v>198</v>
      </c>
      <c r="G3746" s="7" t="s">
        <v>198</v>
      </c>
      <c r="H3746" s="7" t="s">
        <v>20</v>
      </c>
      <c r="I3746" s="7" t="s">
        <v>5102</v>
      </c>
      <c r="J3746" s="7" t="s">
        <v>21</v>
      </c>
      <c r="L3746" t="s">
        <v>4879</v>
      </c>
      <c r="M3746" s="7" t="s">
        <v>22</v>
      </c>
      <c r="N3746" s="7" t="s">
        <v>23</v>
      </c>
      <c r="O3746" s="7" t="s">
        <v>27</v>
      </c>
      <c r="P3746" s="7" t="s">
        <v>5101</v>
      </c>
      <c r="Q3746" s="26">
        <v>59</v>
      </c>
      <c r="R3746" s="26">
        <v>2</v>
      </c>
      <c r="S3746" s="40">
        <v>1</v>
      </c>
      <c r="T3746" s="7"/>
      <c r="U3746" s="7" t="s">
        <v>2951</v>
      </c>
      <c r="V3746" s="7" t="str">
        <f>+IF(U3746="","",IF(U3746="FINES",CONCATENATE("R",IF(OR(B3746="16",B3746="21",B3746="22",B3746="23"),"16212223",IF(OR(B3746="15",B3746="17",B3746="24",B3746="25"),"15172425",B3746))),IF(U3746="CEBAS","UNICO",IF(VALUE(B3746)&lt;=11,"AMBA","INTERIOR"))))</f>
        <v>R19</v>
      </c>
      <c r="W3746" s="38" t="str">
        <f>+IF(U3746="","-",CONCATENATE(U3746,"_",V3746))</f>
        <v>FINES_R19</v>
      </c>
      <c r="X3746" s="42">
        <v>0.749</v>
      </c>
    </row>
    <row r="3747" spans="1:24">
      <c r="A3747" s="21" t="s">
        <v>5100</v>
      </c>
      <c r="B3747" t="s">
        <v>225</v>
      </c>
      <c r="C3747" t="s">
        <v>942</v>
      </c>
      <c r="D3747" t="s">
        <v>943</v>
      </c>
      <c r="E3747" s="7" t="s">
        <v>198</v>
      </c>
      <c r="F3747" s="7" t="s">
        <v>198</v>
      </c>
      <c r="G3747" s="7" t="s">
        <v>198</v>
      </c>
      <c r="H3747" s="7" t="s">
        <v>20</v>
      </c>
      <c r="I3747" s="7" t="s">
        <v>5102</v>
      </c>
      <c r="J3747" s="7" t="s">
        <v>21</v>
      </c>
      <c r="L3747" t="s">
        <v>3193</v>
      </c>
      <c r="M3747" s="7" t="s">
        <v>22</v>
      </c>
      <c r="N3747" s="7" t="s">
        <v>23</v>
      </c>
      <c r="O3747" s="7" t="s">
        <v>27</v>
      </c>
      <c r="P3747" s="7" t="s">
        <v>5101</v>
      </c>
      <c r="Q3747" s="26">
        <v>17</v>
      </c>
      <c r="R3747" s="26">
        <v>1</v>
      </c>
      <c r="S3747" s="40">
        <v>1</v>
      </c>
      <c r="T3747" s="7"/>
      <c r="U3747" s="7" t="s">
        <v>2951</v>
      </c>
      <c r="V3747" s="7" t="str">
        <f>+IF(U3747="","",IF(U3747="FINES",CONCATENATE("R",IF(OR(B3747="16",B3747="21",B3747="22",B3747="23"),"16212223",IF(OR(B3747="15",B3747="17",B3747="24",B3747="25"),"15172425",B3747))),IF(U3747="CEBAS","UNICO",IF(VALUE(B3747)&lt;=11,"AMBA","INTERIOR"))))</f>
        <v>R19</v>
      </c>
      <c r="W3747" s="38" t="str">
        <f>+IF(U3747="","-",CONCATENATE(U3747,"_",V3747))</f>
        <v>FINES_R19</v>
      </c>
      <c r="X3747" s="42">
        <v>0.75</v>
      </c>
    </row>
    <row r="3748" spans="1:24">
      <c r="A3748" s="21" t="s">
        <v>5100</v>
      </c>
      <c r="B3748" t="s">
        <v>225</v>
      </c>
      <c r="C3748" t="s">
        <v>942</v>
      </c>
      <c r="D3748" t="s">
        <v>943</v>
      </c>
      <c r="E3748" s="7" t="s">
        <v>198</v>
      </c>
      <c r="F3748" s="7" t="s">
        <v>198</v>
      </c>
      <c r="G3748" s="7" t="s">
        <v>198</v>
      </c>
      <c r="H3748" s="7" t="s">
        <v>20</v>
      </c>
      <c r="I3748" s="7" t="s">
        <v>5102</v>
      </c>
      <c r="J3748" s="7" t="s">
        <v>21</v>
      </c>
      <c r="L3748" t="s">
        <v>4803</v>
      </c>
      <c r="M3748" s="7" t="s">
        <v>22</v>
      </c>
      <c r="N3748" s="7" t="s">
        <v>23</v>
      </c>
      <c r="O3748" s="7" t="s">
        <v>27</v>
      </c>
      <c r="P3748" s="7" t="s">
        <v>5101</v>
      </c>
      <c r="Q3748" s="26">
        <v>16</v>
      </c>
      <c r="R3748" s="26">
        <v>1</v>
      </c>
      <c r="S3748" s="40">
        <v>1</v>
      </c>
      <c r="T3748" s="7"/>
      <c r="U3748" s="7" t="s">
        <v>2951</v>
      </c>
      <c r="V3748" s="7" t="str">
        <f>+IF(U3748="","",IF(U3748="FINES",CONCATENATE("R",IF(OR(B3748="16",B3748="21",B3748="22",B3748="23"),"16212223",IF(OR(B3748="15",B3748="17",B3748="24",B3748="25"),"15172425",B3748))),IF(U3748="CEBAS","UNICO",IF(VALUE(B3748)&lt;=11,"AMBA","INTERIOR"))))</f>
        <v>R19</v>
      </c>
      <c r="W3748" s="38" t="str">
        <f>+IF(U3748="","-",CONCATENATE(U3748,"_",V3748))</f>
        <v>FINES_R19</v>
      </c>
      <c r="X3748" s="42">
        <v>0.75900000000000001</v>
      </c>
    </row>
    <row r="3749" spans="1:24">
      <c r="A3749" s="21" t="s">
        <v>5100</v>
      </c>
      <c r="B3749" t="s">
        <v>225</v>
      </c>
      <c r="C3749" t="s">
        <v>876</v>
      </c>
      <c r="D3749" t="s">
        <v>877</v>
      </c>
      <c r="E3749" s="7" t="s">
        <v>198</v>
      </c>
      <c r="F3749" s="7" t="s">
        <v>198</v>
      </c>
      <c r="G3749" s="7" t="s">
        <v>198</v>
      </c>
      <c r="H3749" s="7" t="s">
        <v>20</v>
      </c>
      <c r="I3749" s="7" t="s">
        <v>5102</v>
      </c>
      <c r="J3749" s="7" t="s">
        <v>21</v>
      </c>
      <c r="L3749" t="s">
        <v>4772</v>
      </c>
      <c r="M3749" s="7" t="s">
        <v>22</v>
      </c>
      <c r="N3749" s="7" t="s">
        <v>23</v>
      </c>
      <c r="O3749" s="7" t="s">
        <v>27</v>
      </c>
      <c r="P3749" s="7" t="s">
        <v>5101</v>
      </c>
      <c r="Q3749" s="26">
        <v>11</v>
      </c>
      <c r="R3749" s="26">
        <v>1</v>
      </c>
      <c r="S3749" s="40">
        <v>1</v>
      </c>
      <c r="T3749" s="7"/>
      <c r="U3749" s="7" t="s">
        <v>2951</v>
      </c>
      <c r="V3749" s="7" t="str">
        <f>+IF(U3749="","",IF(U3749="FINES",CONCATENATE("R",IF(OR(B3749="16",B3749="21",B3749="22",B3749="23"),"16212223",IF(OR(B3749="15",B3749="17",B3749="24",B3749="25"),"15172425",B3749))),IF(U3749="CEBAS","UNICO",IF(VALUE(B3749)&lt;=11,"AMBA","INTERIOR"))))</f>
        <v>R19</v>
      </c>
      <c r="W3749" s="38" t="str">
        <f>+IF(U3749="","-",CONCATENATE(U3749,"_",V3749))</f>
        <v>FINES_R19</v>
      </c>
      <c r="X3749" s="42">
        <v>0.76100000000000001</v>
      </c>
    </row>
    <row r="3750" spans="1:24">
      <c r="A3750" s="21" t="s">
        <v>5100</v>
      </c>
      <c r="B3750" t="s">
        <v>225</v>
      </c>
      <c r="C3750" t="s">
        <v>1521</v>
      </c>
      <c r="D3750" t="s">
        <v>1522</v>
      </c>
      <c r="E3750" s="7" t="s">
        <v>198</v>
      </c>
      <c r="F3750" s="7" t="s">
        <v>198</v>
      </c>
      <c r="G3750" s="7" t="s">
        <v>198</v>
      </c>
      <c r="H3750" s="7" t="s">
        <v>20</v>
      </c>
      <c r="I3750" s="7" t="s">
        <v>5102</v>
      </c>
      <c r="J3750" s="7" t="s">
        <v>21</v>
      </c>
      <c r="L3750" t="s">
        <v>4900</v>
      </c>
      <c r="M3750" s="7" t="s">
        <v>22</v>
      </c>
      <c r="N3750" s="7" t="s">
        <v>23</v>
      </c>
      <c r="O3750" s="7" t="s">
        <v>27</v>
      </c>
      <c r="P3750" s="7" t="s">
        <v>5101</v>
      </c>
      <c r="Q3750" s="26">
        <v>21</v>
      </c>
      <c r="R3750" s="26">
        <v>1</v>
      </c>
      <c r="S3750" s="40">
        <v>1</v>
      </c>
      <c r="T3750" s="7"/>
      <c r="U3750" s="7" t="s">
        <v>2951</v>
      </c>
      <c r="V3750" s="7" t="str">
        <f>+IF(U3750="","",IF(U3750="FINES",CONCATENATE("R",IF(OR(B3750="16",B3750="21",B3750="22",B3750="23"),"16212223",IF(OR(B3750="15",B3750="17",B3750="24",B3750="25"),"15172425",B3750))),IF(U3750="CEBAS","UNICO",IF(VALUE(B3750)&lt;=11,"AMBA","INTERIOR"))))</f>
        <v>R19</v>
      </c>
      <c r="W3750" s="38" t="str">
        <f>+IF(U3750="","-",CONCATENATE(U3750,"_",V3750))</f>
        <v>FINES_R19</v>
      </c>
      <c r="X3750" s="42">
        <v>0.76600000000000001</v>
      </c>
    </row>
    <row r="3751" spans="1:24">
      <c r="A3751" s="21" t="s">
        <v>5100</v>
      </c>
      <c r="B3751" t="s">
        <v>225</v>
      </c>
      <c r="C3751" t="s">
        <v>1521</v>
      </c>
      <c r="D3751" t="s">
        <v>1522</v>
      </c>
      <c r="E3751" s="7" t="s">
        <v>198</v>
      </c>
      <c r="F3751" s="7" t="s">
        <v>198</v>
      </c>
      <c r="G3751" s="7" t="s">
        <v>198</v>
      </c>
      <c r="H3751" s="7" t="s">
        <v>20</v>
      </c>
      <c r="I3751" s="7" t="s">
        <v>5102</v>
      </c>
      <c r="J3751" s="7" t="s">
        <v>21</v>
      </c>
      <c r="L3751" t="s">
        <v>4908</v>
      </c>
      <c r="M3751" s="7" t="s">
        <v>22</v>
      </c>
      <c r="N3751" s="7" t="s">
        <v>23</v>
      </c>
      <c r="O3751" s="7" t="s">
        <v>27</v>
      </c>
      <c r="P3751" s="7" t="s">
        <v>5101</v>
      </c>
      <c r="Q3751" s="26">
        <v>15</v>
      </c>
      <c r="R3751" s="26">
        <v>1</v>
      </c>
      <c r="S3751" s="40">
        <v>1</v>
      </c>
      <c r="T3751" s="7"/>
      <c r="U3751" s="7" t="s">
        <v>2951</v>
      </c>
      <c r="V3751" s="7" t="str">
        <f>+IF(U3751="","",IF(U3751="FINES",CONCATENATE("R",IF(OR(B3751="16",B3751="21",B3751="22",B3751="23"),"16212223",IF(OR(B3751="15",B3751="17",B3751="24",B3751="25"),"15172425",B3751))),IF(U3751="CEBAS","UNICO",IF(VALUE(B3751)&lt;=11,"AMBA","INTERIOR"))))</f>
        <v>R19</v>
      </c>
      <c r="W3751" s="38" t="str">
        <f>+IF(U3751="","-",CONCATENATE(U3751,"_",V3751))</f>
        <v>FINES_R19</v>
      </c>
      <c r="X3751" s="42">
        <v>0.76700000000000002</v>
      </c>
    </row>
    <row r="3752" spans="1:24">
      <c r="A3752" s="21" t="s">
        <v>5100</v>
      </c>
      <c r="B3752" t="s">
        <v>225</v>
      </c>
      <c r="C3752" t="s">
        <v>942</v>
      </c>
      <c r="D3752" t="s">
        <v>943</v>
      </c>
      <c r="E3752" s="7" t="s">
        <v>198</v>
      </c>
      <c r="F3752" s="7" t="s">
        <v>198</v>
      </c>
      <c r="G3752" s="7" t="s">
        <v>198</v>
      </c>
      <c r="H3752" s="7" t="s">
        <v>20</v>
      </c>
      <c r="I3752" s="7" t="s">
        <v>5102</v>
      </c>
      <c r="J3752" s="7" t="s">
        <v>21</v>
      </c>
      <c r="L3752" t="s">
        <v>4831</v>
      </c>
      <c r="M3752" s="7" t="s">
        <v>22</v>
      </c>
      <c r="N3752" s="7" t="s">
        <v>23</v>
      </c>
      <c r="O3752" s="7" t="s">
        <v>27</v>
      </c>
      <c r="P3752" s="7" t="s">
        <v>5101</v>
      </c>
      <c r="Q3752" s="26">
        <v>39</v>
      </c>
      <c r="R3752" s="26">
        <v>1</v>
      </c>
      <c r="S3752" s="40">
        <v>1</v>
      </c>
      <c r="T3752" s="7"/>
      <c r="U3752" s="7" t="s">
        <v>2951</v>
      </c>
      <c r="V3752" s="7" t="str">
        <f>+IF(U3752="","",IF(U3752="FINES",CONCATENATE("R",IF(OR(B3752="16",B3752="21",B3752="22",B3752="23"),"16212223",IF(OR(B3752="15",B3752="17",B3752="24",B3752="25"),"15172425",B3752))),IF(U3752="CEBAS","UNICO",IF(VALUE(B3752)&lt;=11,"AMBA","INTERIOR"))))</f>
        <v>R19</v>
      </c>
      <c r="W3752" s="38" t="str">
        <f>+IF(U3752="","-",CONCATENATE(U3752,"_",V3752))</f>
        <v>FINES_R19</v>
      </c>
      <c r="X3752" s="42">
        <v>0.78700000000000003</v>
      </c>
    </row>
    <row r="3753" spans="1:24">
      <c r="A3753" s="21" t="s">
        <v>5100</v>
      </c>
      <c r="B3753" t="s">
        <v>225</v>
      </c>
      <c r="C3753" t="s">
        <v>942</v>
      </c>
      <c r="D3753" t="s">
        <v>943</v>
      </c>
      <c r="E3753" s="7" t="s">
        <v>198</v>
      </c>
      <c r="F3753" s="7" t="s">
        <v>198</v>
      </c>
      <c r="G3753" s="7" t="s">
        <v>198</v>
      </c>
      <c r="H3753" s="7" t="s">
        <v>20</v>
      </c>
      <c r="I3753" s="7" t="s">
        <v>5102</v>
      </c>
      <c r="J3753" s="7" t="s">
        <v>21</v>
      </c>
      <c r="L3753" t="s">
        <v>4825</v>
      </c>
      <c r="M3753" s="7" t="s">
        <v>22</v>
      </c>
      <c r="N3753" s="7" t="s">
        <v>23</v>
      </c>
      <c r="O3753" s="7" t="s">
        <v>27</v>
      </c>
      <c r="P3753" s="7" t="s">
        <v>5101</v>
      </c>
      <c r="Q3753" s="26">
        <v>10</v>
      </c>
      <c r="R3753" s="26">
        <v>1</v>
      </c>
      <c r="S3753" s="40">
        <v>1</v>
      </c>
      <c r="T3753" s="7"/>
      <c r="U3753" s="7" t="s">
        <v>2951</v>
      </c>
      <c r="V3753" s="7" t="str">
        <f>+IF(U3753="","",IF(U3753="FINES",CONCATENATE("R",IF(OR(B3753="16",B3753="21",B3753="22",B3753="23"),"16212223",IF(OR(B3753="15",B3753="17",B3753="24",B3753="25"),"15172425",B3753))),IF(U3753="CEBAS","UNICO",IF(VALUE(B3753)&lt;=11,"AMBA","INTERIOR"))))</f>
        <v>R19</v>
      </c>
      <c r="W3753" s="38" t="str">
        <f>+IF(U3753="","-",CONCATENATE(U3753,"_",V3753))</f>
        <v>FINES_R19</v>
      </c>
      <c r="X3753" s="42">
        <v>0.8</v>
      </c>
    </row>
    <row r="3754" spans="1:24">
      <c r="A3754" s="21" t="s">
        <v>5100</v>
      </c>
      <c r="B3754" t="s">
        <v>225</v>
      </c>
      <c r="C3754" t="s">
        <v>942</v>
      </c>
      <c r="D3754" t="s">
        <v>943</v>
      </c>
      <c r="E3754" s="7" t="s">
        <v>198</v>
      </c>
      <c r="F3754" s="7" t="s">
        <v>198</v>
      </c>
      <c r="G3754" s="7" t="s">
        <v>198</v>
      </c>
      <c r="H3754" s="7" t="s">
        <v>20</v>
      </c>
      <c r="I3754" s="7" t="s">
        <v>5102</v>
      </c>
      <c r="J3754" s="7" t="s">
        <v>21</v>
      </c>
      <c r="L3754" t="s">
        <v>4882</v>
      </c>
      <c r="M3754" s="7" t="s">
        <v>22</v>
      </c>
      <c r="N3754" s="7" t="s">
        <v>23</v>
      </c>
      <c r="O3754" s="7" t="s">
        <v>27</v>
      </c>
      <c r="P3754" s="7" t="s">
        <v>5101</v>
      </c>
      <c r="Q3754" s="26">
        <v>6</v>
      </c>
      <c r="R3754" s="26">
        <v>1</v>
      </c>
      <c r="S3754" s="40">
        <v>1</v>
      </c>
      <c r="T3754" s="7"/>
      <c r="U3754" s="7" t="s">
        <v>2951</v>
      </c>
      <c r="V3754" s="7" t="str">
        <f>+IF(U3754="","",IF(U3754="FINES",CONCATENATE("R",IF(OR(B3754="16",B3754="21",B3754="22",B3754="23"),"16212223",IF(OR(B3754="15",B3754="17",B3754="24",B3754="25"),"15172425",B3754))),IF(U3754="CEBAS","UNICO",IF(VALUE(B3754)&lt;=11,"AMBA","INTERIOR"))))</f>
        <v>R19</v>
      </c>
      <c r="W3754" s="38" t="str">
        <f>+IF(U3754="","-",CONCATENATE(U3754,"_",V3754))</f>
        <v>FINES_R19</v>
      </c>
      <c r="X3754" s="42">
        <v>0.81599999999999995</v>
      </c>
    </row>
    <row r="3755" spans="1:24">
      <c r="A3755" s="21" t="s">
        <v>5100</v>
      </c>
      <c r="B3755" t="s">
        <v>225</v>
      </c>
      <c r="C3755" t="s">
        <v>942</v>
      </c>
      <c r="D3755" t="s">
        <v>943</v>
      </c>
      <c r="E3755" s="7" t="s">
        <v>198</v>
      </c>
      <c r="F3755" s="7" t="s">
        <v>198</v>
      </c>
      <c r="G3755" s="7" t="s">
        <v>198</v>
      </c>
      <c r="H3755" s="7" t="s">
        <v>20</v>
      </c>
      <c r="I3755" s="7" t="s">
        <v>5102</v>
      </c>
      <c r="J3755" s="7" t="s">
        <v>21</v>
      </c>
      <c r="L3755" t="s">
        <v>4774</v>
      </c>
      <c r="M3755" s="7" t="s">
        <v>22</v>
      </c>
      <c r="N3755" s="7" t="s">
        <v>23</v>
      </c>
      <c r="O3755" s="7" t="s">
        <v>27</v>
      </c>
      <c r="P3755" s="7" t="s">
        <v>5101</v>
      </c>
      <c r="Q3755" s="26">
        <v>11</v>
      </c>
      <c r="R3755" s="26">
        <v>1</v>
      </c>
      <c r="S3755" s="40">
        <v>1</v>
      </c>
      <c r="T3755" s="7"/>
      <c r="U3755" s="7" t="s">
        <v>2951</v>
      </c>
      <c r="V3755" s="7" t="str">
        <f>+IF(U3755="","",IF(U3755="FINES",CONCATENATE("R",IF(OR(B3755="16",B3755="21",B3755="22",B3755="23"),"16212223",IF(OR(B3755="15",B3755="17",B3755="24",B3755="25"),"15172425",B3755))),IF(U3755="CEBAS","UNICO",IF(VALUE(B3755)&lt;=11,"AMBA","INTERIOR"))))</f>
        <v>R19</v>
      </c>
      <c r="W3755" s="38" t="str">
        <f>+IF(U3755="","-",CONCATENATE(U3755,"_",V3755))</f>
        <v>FINES_R19</v>
      </c>
      <c r="X3755" s="42">
        <v>0.81899999999999995</v>
      </c>
    </row>
    <row r="3756" spans="1:24">
      <c r="A3756" s="21" t="s">
        <v>5100</v>
      </c>
      <c r="B3756" t="s">
        <v>225</v>
      </c>
      <c r="C3756" t="s">
        <v>942</v>
      </c>
      <c r="D3756" t="s">
        <v>943</v>
      </c>
      <c r="E3756" s="7" t="s">
        <v>198</v>
      </c>
      <c r="F3756" s="7" t="s">
        <v>198</v>
      </c>
      <c r="G3756" s="7" t="s">
        <v>198</v>
      </c>
      <c r="H3756" s="7" t="s">
        <v>20</v>
      </c>
      <c r="I3756" s="7" t="s">
        <v>5102</v>
      </c>
      <c r="J3756" s="7" t="s">
        <v>21</v>
      </c>
      <c r="L3756" t="s">
        <v>4869</v>
      </c>
      <c r="M3756" s="7" t="s">
        <v>22</v>
      </c>
      <c r="N3756" s="7" t="s">
        <v>23</v>
      </c>
      <c r="O3756" s="7" t="s">
        <v>27</v>
      </c>
      <c r="P3756" s="7" t="s">
        <v>5101</v>
      </c>
      <c r="Q3756" s="26">
        <v>18</v>
      </c>
      <c r="R3756" s="26">
        <v>1</v>
      </c>
      <c r="S3756" s="40">
        <v>1</v>
      </c>
      <c r="T3756" s="7"/>
      <c r="U3756" s="7" t="s">
        <v>2951</v>
      </c>
      <c r="V3756" s="7" t="str">
        <f>+IF(U3756="","",IF(U3756="FINES",CONCATENATE("R",IF(OR(B3756="16",B3756="21",B3756="22",B3756="23"),"16212223",IF(OR(B3756="15",B3756="17",B3756="24",B3756="25"),"15172425",B3756))),IF(U3756="CEBAS","UNICO",IF(VALUE(B3756)&lt;=11,"AMBA","INTERIOR"))))</f>
        <v>R19</v>
      </c>
      <c r="W3756" s="38" t="str">
        <f>+IF(U3756="","-",CONCATENATE(U3756,"_",V3756))</f>
        <v>FINES_R19</v>
      </c>
      <c r="X3756" s="42">
        <v>0.81899999999999995</v>
      </c>
    </row>
    <row r="3757" spans="1:24">
      <c r="A3757" s="21" t="s">
        <v>5100</v>
      </c>
      <c r="B3757" t="s">
        <v>225</v>
      </c>
      <c r="C3757" t="s">
        <v>942</v>
      </c>
      <c r="D3757" t="s">
        <v>943</v>
      </c>
      <c r="E3757" s="7" t="s">
        <v>198</v>
      </c>
      <c r="F3757" s="7" t="s">
        <v>198</v>
      </c>
      <c r="G3757" s="7" t="s">
        <v>198</v>
      </c>
      <c r="H3757" s="7" t="s">
        <v>20</v>
      </c>
      <c r="I3757" s="7" t="s">
        <v>5102</v>
      </c>
      <c r="J3757" s="7" t="s">
        <v>21</v>
      </c>
      <c r="L3757" t="s">
        <v>4801</v>
      </c>
      <c r="M3757" s="7" t="s">
        <v>22</v>
      </c>
      <c r="N3757" s="7" t="s">
        <v>23</v>
      </c>
      <c r="O3757" s="7" t="s">
        <v>27</v>
      </c>
      <c r="P3757" s="7" t="s">
        <v>5101</v>
      </c>
      <c r="Q3757" s="26">
        <v>15</v>
      </c>
      <c r="R3757" s="26">
        <v>1</v>
      </c>
      <c r="S3757" s="40">
        <v>1</v>
      </c>
      <c r="T3757" s="7"/>
      <c r="U3757" s="7" t="s">
        <v>2951</v>
      </c>
      <c r="V3757" s="7" t="str">
        <f>+IF(U3757="","",IF(U3757="FINES",CONCATENATE("R",IF(OR(B3757="16",B3757="21",B3757="22",B3757="23"),"16212223",IF(OR(B3757="15",B3757="17",B3757="24",B3757="25"),"15172425",B3757))),IF(U3757="CEBAS","UNICO",IF(VALUE(B3757)&lt;=11,"AMBA","INTERIOR"))))</f>
        <v>R19</v>
      </c>
      <c r="W3757" s="38" t="str">
        <f>+IF(U3757="","-",CONCATENATE(U3757,"_",V3757))</f>
        <v>FINES_R19</v>
      </c>
      <c r="X3757" s="42">
        <v>0.82499999999999996</v>
      </c>
    </row>
    <row r="3758" spans="1:24">
      <c r="A3758" s="21" t="s">
        <v>5100</v>
      </c>
      <c r="B3758" t="s">
        <v>225</v>
      </c>
      <c r="C3758" t="s">
        <v>942</v>
      </c>
      <c r="D3758" t="s">
        <v>943</v>
      </c>
      <c r="E3758" s="7" t="s">
        <v>198</v>
      </c>
      <c r="F3758" s="7" t="s">
        <v>198</v>
      </c>
      <c r="G3758" s="7" t="s">
        <v>198</v>
      </c>
      <c r="H3758" s="7" t="s">
        <v>20</v>
      </c>
      <c r="I3758" s="7" t="s">
        <v>5102</v>
      </c>
      <c r="J3758" s="7" t="s">
        <v>21</v>
      </c>
      <c r="L3758" t="s">
        <v>4873</v>
      </c>
      <c r="M3758" s="7" t="s">
        <v>22</v>
      </c>
      <c r="N3758" s="7" t="s">
        <v>23</v>
      </c>
      <c r="O3758" s="7" t="s">
        <v>27</v>
      </c>
      <c r="P3758" s="7" t="s">
        <v>5101</v>
      </c>
      <c r="Q3758" s="26">
        <v>13</v>
      </c>
      <c r="R3758" s="26">
        <v>1</v>
      </c>
      <c r="S3758" s="40">
        <v>1</v>
      </c>
      <c r="T3758" s="7"/>
      <c r="U3758" s="7" t="s">
        <v>2951</v>
      </c>
      <c r="V3758" s="7" t="str">
        <f>+IF(U3758="","",IF(U3758="FINES",CONCATENATE("R",IF(OR(B3758="16",B3758="21",B3758="22",B3758="23"),"16212223",IF(OR(B3758="15",B3758="17",B3758="24",B3758="25"),"15172425",B3758))),IF(U3758="CEBAS","UNICO",IF(VALUE(B3758)&lt;=11,"AMBA","INTERIOR"))))</f>
        <v>R19</v>
      </c>
      <c r="W3758" s="38" t="str">
        <f>+IF(U3758="","-",CONCATENATE(U3758,"_",V3758))</f>
        <v>FINES_R19</v>
      </c>
      <c r="X3758" s="42">
        <v>0.85099999999999998</v>
      </c>
    </row>
    <row r="3759" spans="1:24">
      <c r="A3759" s="21" t="s">
        <v>5100</v>
      </c>
      <c r="B3759" t="s">
        <v>225</v>
      </c>
      <c r="C3759" t="s">
        <v>942</v>
      </c>
      <c r="D3759" t="s">
        <v>943</v>
      </c>
      <c r="E3759" s="7" t="s">
        <v>198</v>
      </c>
      <c r="F3759" s="7" t="s">
        <v>198</v>
      </c>
      <c r="G3759" s="7" t="s">
        <v>198</v>
      </c>
      <c r="H3759" s="7" t="s">
        <v>20</v>
      </c>
      <c r="I3759" s="7" t="s">
        <v>5102</v>
      </c>
      <c r="J3759" s="7" t="s">
        <v>21</v>
      </c>
      <c r="L3759" t="s">
        <v>4894</v>
      </c>
      <c r="M3759" s="7" t="s">
        <v>22</v>
      </c>
      <c r="N3759" s="7" t="s">
        <v>23</v>
      </c>
      <c r="O3759" s="7" t="s">
        <v>27</v>
      </c>
      <c r="P3759" s="7" t="s">
        <v>5101</v>
      </c>
      <c r="Q3759" s="26">
        <v>0</v>
      </c>
      <c r="R3759" s="26">
        <v>1</v>
      </c>
      <c r="S3759" s="40">
        <v>1</v>
      </c>
      <c r="T3759" s="7"/>
      <c r="U3759" s="7" t="s">
        <v>2951</v>
      </c>
      <c r="V3759" s="7" t="str">
        <f>+IF(U3759="","",IF(U3759="FINES",CONCATENATE("R",IF(OR(B3759="16",B3759="21",B3759="22",B3759="23"),"16212223",IF(OR(B3759="15",B3759="17",B3759="24",B3759="25"),"15172425",B3759))),IF(U3759="CEBAS","UNICO",IF(VALUE(B3759)&lt;=11,"AMBA","INTERIOR"))))</f>
        <v>R19</v>
      </c>
      <c r="W3759" s="38" t="str">
        <f>+IF(U3759="","-",CONCATENATE(U3759,"_",V3759))</f>
        <v>FINES_R19</v>
      </c>
      <c r="X3759" s="42">
        <v>0.85299999999999998</v>
      </c>
    </row>
    <row r="3760" spans="1:24">
      <c r="A3760" s="21" t="s">
        <v>5100</v>
      </c>
      <c r="B3760" t="s">
        <v>225</v>
      </c>
      <c r="C3760" t="s">
        <v>942</v>
      </c>
      <c r="D3760" t="s">
        <v>943</v>
      </c>
      <c r="E3760" s="7" t="s">
        <v>198</v>
      </c>
      <c r="F3760" s="7" t="s">
        <v>198</v>
      </c>
      <c r="G3760" s="7" t="s">
        <v>198</v>
      </c>
      <c r="H3760" s="7" t="s">
        <v>20</v>
      </c>
      <c r="I3760" s="7" t="s">
        <v>5102</v>
      </c>
      <c r="J3760" s="7" t="s">
        <v>21</v>
      </c>
      <c r="L3760" t="s">
        <v>4862</v>
      </c>
      <c r="M3760" s="7" t="s">
        <v>22</v>
      </c>
      <c r="N3760" s="7" t="s">
        <v>23</v>
      </c>
      <c r="O3760" s="7" t="s">
        <v>27</v>
      </c>
      <c r="P3760" s="7" t="s">
        <v>5101</v>
      </c>
      <c r="Q3760" s="26">
        <v>15</v>
      </c>
      <c r="R3760" s="26">
        <v>1</v>
      </c>
      <c r="S3760" s="40">
        <v>1</v>
      </c>
      <c r="T3760" s="7"/>
      <c r="U3760" s="7" t="s">
        <v>2951</v>
      </c>
      <c r="V3760" s="7" t="str">
        <f>+IF(U3760="","",IF(U3760="FINES",CONCATENATE("R",IF(OR(B3760="16",B3760="21",B3760="22",B3760="23"),"16212223",IF(OR(B3760="15",B3760="17",B3760="24",B3760="25"),"15172425",B3760))),IF(U3760="CEBAS","UNICO",IF(VALUE(B3760)&lt;=11,"AMBA","INTERIOR"))))</f>
        <v>R19</v>
      </c>
      <c r="W3760" s="38" t="str">
        <f>+IF(U3760="","-",CONCATENATE(U3760,"_",V3760))</f>
        <v>FINES_R19</v>
      </c>
      <c r="X3760" s="42">
        <v>0.85599999999999998</v>
      </c>
    </row>
    <row r="3761" spans="1:24">
      <c r="A3761" s="21" t="s">
        <v>5100</v>
      </c>
      <c r="B3761" t="s">
        <v>225</v>
      </c>
      <c r="C3761" t="s">
        <v>942</v>
      </c>
      <c r="D3761" t="s">
        <v>943</v>
      </c>
      <c r="E3761" s="7" t="s">
        <v>198</v>
      </c>
      <c r="F3761" s="7" t="s">
        <v>198</v>
      </c>
      <c r="G3761" s="7" t="s">
        <v>198</v>
      </c>
      <c r="H3761" s="7" t="s">
        <v>20</v>
      </c>
      <c r="I3761" s="7" t="s">
        <v>5102</v>
      </c>
      <c r="J3761" s="7" t="s">
        <v>21</v>
      </c>
      <c r="L3761" t="s">
        <v>4809</v>
      </c>
      <c r="M3761" s="7" t="s">
        <v>22</v>
      </c>
      <c r="N3761" s="7" t="s">
        <v>23</v>
      </c>
      <c r="O3761" s="7" t="s">
        <v>27</v>
      </c>
      <c r="P3761" s="7" t="s">
        <v>5101</v>
      </c>
      <c r="Q3761" s="26">
        <v>71</v>
      </c>
      <c r="R3761" s="26">
        <v>3</v>
      </c>
      <c r="S3761" s="40">
        <v>1</v>
      </c>
      <c r="T3761" s="7"/>
      <c r="U3761" s="7" t="s">
        <v>2951</v>
      </c>
      <c r="V3761" s="7" t="str">
        <f>+IF(U3761="","",IF(U3761="FINES",CONCATENATE("R",IF(OR(B3761="16",B3761="21",B3761="22",B3761="23"),"16212223",IF(OR(B3761="15",B3761="17",B3761="24",B3761="25"),"15172425",B3761))),IF(U3761="CEBAS","UNICO",IF(VALUE(B3761)&lt;=11,"AMBA","INTERIOR"))))</f>
        <v>R19</v>
      </c>
      <c r="W3761" s="38" t="str">
        <f>+IF(U3761="","-",CONCATENATE(U3761,"_",V3761))</f>
        <v>FINES_R19</v>
      </c>
      <c r="X3761" s="42">
        <v>0.86699999999999999</v>
      </c>
    </row>
    <row r="3762" spans="1:24">
      <c r="A3762" s="21" t="s">
        <v>5100</v>
      </c>
      <c r="B3762" t="s">
        <v>225</v>
      </c>
      <c r="C3762" t="s">
        <v>942</v>
      </c>
      <c r="D3762" t="s">
        <v>943</v>
      </c>
      <c r="E3762" s="7" t="s">
        <v>198</v>
      </c>
      <c r="F3762" s="7" t="s">
        <v>198</v>
      </c>
      <c r="G3762" s="7" t="s">
        <v>198</v>
      </c>
      <c r="H3762" s="7" t="s">
        <v>20</v>
      </c>
      <c r="I3762" s="7" t="s">
        <v>5102</v>
      </c>
      <c r="J3762" s="7" t="s">
        <v>21</v>
      </c>
      <c r="L3762" t="s">
        <v>4874</v>
      </c>
      <c r="M3762" s="7" t="s">
        <v>22</v>
      </c>
      <c r="N3762" s="7" t="s">
        <v>23</v>
      </c>
      <c r="O3762" s="7" t="s">
        <v>27</v>
      </c>
      <c r="P3762" s="7" t="s">
        <v>5101</v>
      </c>
      <c r="Q3762" s="26">
        <v>59</v>
      </c>
      <c r="R3762" s="26">
        <v>2</v>
      </c>
      <c r="S3762" s="40">
        <v>1</v>
      </c>
      <c r="T3762" s="7"/>
      <c r="U3762" s="7" t="s">
        <v>2951</v>
      </c>
      <c r="V3762" s="7" t="str">
        <f>+IF(U3762="","",IF(U3762="FINES",CONCATENATE("R",IF(OR(B3762="16",B3762="21",B3762="22",B3762="23"),"16212223",IF(OR(B3762="15",B3762="17",B3762="24",B3762="25"),"15172425",B3762))),IF(U3762="CEBAS","UNICO",IF(VALUE(B3762)&lt;=11,"AMBA","INTERIOR"))))</f>
        <v>R19</v>
      </c>
      <c r="W3762" s="38" t="str">
        <f>+IF(U3762="","-",CONCATENATE(U3762,"_",V3762))</f>
        <v>FINES_R19</v>
      </c>
      <c r="X3762" s="42">
        <v>0.89200000000000002</v>
      </c>
    </row>
    <row r="3763" spans="1:24">
      <c r="A3763" s="21" t="s">
        <v>5100</v>
      </c>
      <c r="B3763" t="s">
        <v>225</v>
      </c>
      <c r="C3763" t="s">
        <v>942</v>
      </c>
      <c r="D3763" t="s">
        <v>943</v>
      </c>
      <c r="E3763" s="7" t="s">
        <v>198</v>
      </c>
      <c r="F3763" s="7" t="s">
        <v>198</v>
      </c>
      <c r="G3763" s="7" t="s">
        <v>198</v>
      </c>
      <c r="H3763" s="7" t="s">
        <v>20</v>
      </c>
      <c r="I3763" s="7" t="s">
        <v>5102</v>
      </c>
      <c r="J3763" s="7" t="s">
        <v>21</v>
      </c>
      <c r="L3763" t="s">
        <v>4824</v>
      </c>
      <c r="M3763" s="7" t="s">
        <v>22</v>
      </c>
      <c r="N3763" s="7" t="s">
        <v>23</v>
      </c>
      <c r="O3763" s="7" t="s">
        <v>27</v>
      </c>
      <c r="P3763" s="7" t="s">
        <v>5101</v>
      </c>
      <c r="Q3763" s="26">
        <v>36</v>
      </c>
      <c r="R3763" s="26">
        <v>1</v>
      </c>
      <c r="S3763" s="40">
        <v>1</v>
      </c>
      <c r="T3763" s="7"/>
      <c r="U3763" s="7" t="s">
        <v>2951</v>
      </c>
      <c r="V3763" s="7" t="str">
        <f>+IF(U3763="","",IF(U3763="FINES",CONCATENATE("R",IF(OR(B3763="16",B3763="21",B3763="22",B3763="23"),"16212223",IF(OR(B3763="15",B3763="17",B3763="24",B3763="25"),"15172425",B3763))),IF(U3763="CEBAS","UNICO",IF(VALUE(B3763)&lt;=11,"AMBA","INTERIOR"))))</f>
        <v>R19</v>
      </c>
      <c r="W3763" s="38" t="str">
        <f>+IF(U3763="","-",CONCATENATE(U3763,"_",V3763))</f>
        <v>FINES_R19</v>
      </c>
      <c r="X3763" s="42">
        <v>0.89600000000000002</v>
      </c>
    </row>
    <row r="3764" spans="1:24">
      <c r="A3764" s="21" t="s">
        <v>5100</v>
      </c>
      <c r="B3764" t="s">
        <v>225</v>
      </c>
      <c r="C3764" t="s">
        <v>942</v>
      </c>
      <c r="D3764" t="s">
        <v>943</v>
      </c>
      <c r="E3764" s="7" t="s">
        <v>198</v>
      </c>
      <c r="F3764" s="7" t="s">
        <v>198</v>
      </c>
      <c r="G3764" s="7" t="s">
        <v>198</v>
      </c>
      <c r="H3764" s="7" t="s">
        <v>20</v>
      </c>
      <c r="I3764" s="7" t="s">
        <v>5102</v>
      </c>
      <c r="J3764" s="7" t="s">
        <v>21</v>
      </c>
      <c r="L3764" t="s">
        <v>4815</v>
      </c>
      <c r="M3764" s="7" t="s">
        <v>22</v>
      </c>
      <c r="N3764" s="7" t="s">
        <v>23</v>
      </c>
      <c r="O3764" s="7" t="s">
        <v>27</v>
      </c>
      <c r="P3764" s="7" t="s">
        <v>5101</v>
      </c>
      <c r="Q3764" s="26">
        <v>8</v>
      </c>
      <c r="R3764" s="26">
        <v>1</v>
      </c>
      <c r="S3764" s="40">
        <v>1</v>
      </c>
      <c r="T3764" s="7"/>
      <c r="U3764" s="7" t="s">
        <v>2951</v>
      </c>
      <c r="V3764" s="7" t="str">
        <f>+IF(U3764="","",IF(U3764="FINES",CONCATENATE("R",IF(OR(B3764="16",B3764="21",B3764="22",B3764="23"),"16212223",IF(OR(B3764="15",B3764="17",B3764="24",B3764="25"),"15172425",B3764))),IF(U3764="CEBAS","UNICO",IF(VALUE(B3764)&lt;=11,"AMBA","INTERIOR"))))</f>
        <v>R19</v>
      </c>
      <c r="W3764" s="38" t="str">
        <f>+IF(U3764="","-",CONCATENATE(U3764,"_",V3764))</f>
        <v>FINES_R19</v>
      </c>
      <c r="X3764" s="42">
        <v>0.9</v>
      </c>
    </row>
    <row r="3765" spans="1:24">
      <c r="A3765" s="21" t="s">
        <v>5100</v>
      </c>
      <c r="B3765" t="s">
        <v>225</v>
      </c>
      <c r="C3765" t="s">
        <v>942</v>
      </c>
      <c r="D3765" t="s">
        <v>943</v>
      </c>
      <c r="E3765" s="7" t="s">
        <v>198</v>
      </c>
      <c r="F3765" s="7" t="s">
        <v>198</v>
      </c>
      <c r="G3765" s="7" t="s">
        <v>198</v>
      </c>
      <c r="H3765" s="7" t="s">
        <v>20</v>
      </c>
      <c r="I3765" s="7" t="s">
        <v>5102</v>
      </c>
      <c r="J3765" s="7" t="s">
        <v>21</v>
      </c>
      <c r="L3765" t="s">
        <v>4788</v>
      </c>
      <c r="M3765" s="7" t="s">
        <v>22</v>
      </c>
      <c r="N3765" s="7" t="s">
        <v>23</v>
      </c>
      <c r="O3765" s="7" t="s">
        <v>27</v>
      </c>
      <c r="P3765" s="7" t="s">
        <v>5101</v>
      </c>
      <c r="Q3765" s="26">
        <v>0</v>
      </c>
      <c r="R3765" s="26">
        <v>1</v>
      </c>
      <c r="S3765" s="40">
        <v>1</v>
      </c>
      <c r="T3765" s="7"/>
      <c r="U3765" s="7" t="s">
        <v>2951</v>
      </c>
      <c r="V3765" s="7" t="str">
        <f>+IF(U3765="","",IF(U3765="FINES",CONCATENATE("R",IF(OR(B3765="16",B3765="21",B3765="22",B3765="23"),"16212223",IF(OR(B3765="15",B3765="17",B3765="24",B3765="25"),"15172425",B3765))),IF(U3765="CEBAS","UNICO",IF(VALUE(B3765)&lt;=11,"AMBA","INTERIOR"))))</f>
        <v>R19</v>
      </c>
      <c r="W3765" s="38" t="str">
        <f>+IF(U3765="","-",CONCATENATE(U3765,"_",V3765))</f>
        <v>FINES_R19</v>
      </c>
      <c r="X3765" s="42">
        <v>0.93200000000000005</v>
      </c>
    </row>
    <row r="3766" spans="1:24">
      <c r="A3766" s="21" t="s">
        <v>5100</v>
      </c>
      <c r="B3766" t="s">
        <v>225</v>
      </c>
      <c r="C3766" t="s">
        <v>942</v>
      </c>
      <c r="D3766" t="s">
        <v>943</v>
      </c>
      <c r="E3766" s="7" t="s">
        <v>198</v>
      </c>
      <c r="F3766" s="7" t="s">
        <v>198</v>
      </c>
      <c r="G3766" s="7" t="s">
        <v>198</v>
      </c>
      <c r="H3766" s="7" t="s">
        <v>20</v>
      </c>
      <c r="I3766" s="7" t="s">
        <v>5102</v>
      </c>
      <c r="J3766" s="7" t="s">
        <v>21</v>
      </c>
      <c r="L3766" t="s">
        <v>4805</v>
      </c>
      <c r="M3766" s="7" t="s">
        <v>22</v>
      </c>
      <c r="N3766" s="7" t="s">
        <v>23</v>
      </c>
      <c r="O3766" s="7" t="s">
        <v>27</v>
      </c>
      <c r="P3766" s="7" t="s">
        <v>5101</v>
      </c>
      <c r="Q3766" s="26">
        <v>77</v>
      </c>
      <c r="R3766" s="26">
        <v>3</v>
      </c>
      <c r="S3766" s="40">
        <v>1</v>
      </c>
      <c r="T3766" s="7"/>
      <c r="U3766" s="7" t="s">
        <v>2951</v>
      </c>
      <c r="V3766" s="7" t="str">
        <f>+IF(U3766="","",IF(U3766="FINES",CONCATENATE("R",IF(OR(B3766="16",B3766="21",B3766="22",B3766="23"),"16212223",IF(OR(B3766="15",B3766="17",B3766="24",B3766="25"),"15172425",B3766))),IF(U3766="CEBAS","UNICO",IF(VALUE(B3766)&lt;=11,"AMBA","INTERIOR"))))</f>
        <v>R19</v>
      </c>
      <c r="W3766" s="38" t="str">
        <f>+IF(U3766="","-",CONCATENATE(U3766,"_",V3766))</f>
        <v>FINES_R19</v>
      </c>
      <c r="X3766" s="42">
        <v>0.94299999999999995</v>
      </c>
    </row>
    <row r="3767" spans="1:24">
      <c r="A3767" s="21" t="s">
        <v>5100</v>
      </c>
      <c r="B3767" t="s">
        <v>225</v>
      </c>
      <c r="C3767" t="s">
        <v>942</v>
      </c>
      <c r="D3767" t="s">
        <v>943</v>
      </c>
      <c r="E3767" s="7" t="s">
        <v>198</v>
      </c>
      <c r="F3767" s="7" t="s">
        <v>198</v>
      </c>
      <c r="G3767" s="7" t="s">
        <v>198</v>
      </c>
      <c r="H3767" s="7" t="s">
        <v>20</v>
      </c>
      <c r="I3767" s="7" t="s">
        <v>5102</v>
      </c>
      <c r="J3767" s="7" t="s">
        <v>21</v>
      </c>
      <c r="L3767" t="s">
        <v>4850</v>
      </c>
      <c r="M3767" s="7" t="s">
        <v>22</v>
      </c>
      <c r="N3767" s="7" t="s">
        <v>23</v>
      </c>
      <c r="O3767" s="7" t="s">
        <v>27</v>
      </c>
      <c r="P3767" s="7" t="s">
        <v>5101</v>
      </c>
      <c r="Q3767" s="26">
        <v>35</v>
      </c>
      <c r="R3767" s="26">
        <v>1</v>
      </c>
      <c r="S3767" s="40">
        <v>1</v>
      </c>
      <c r="T3767" s="7"/>
      <c r="U3767" s="7" t="s">
        <v>2951</v>
      </c>
      <c r="V3767" s="7" t="str">
        <f>+IF(U3767="","",IF(U3767="FINES",CONCATENATE("R",IF(OR(B3767="16",B3767="21",B3767="22",B3767="23"),"16212223",IF(OR(B3767="15",B3767="17",B3767="24",B3767="25"),"15172425",B3767))),IF(U3767="CEBAS","UNICO",IF(VALUE(B3767)&lt;=11,"AMBA","INTERIOR"))))</f>
        <v>R19</v>
      </c>
      <c r="W3767" s="38" t="str">
        <f>+IF(U3767="","-",CONCATENATE(U3767,"_",V3767))</f>
        <v>FINES_R19</v>
      </c>
      <c r="X3767" s="42">
        <v>0.94299999999999995</v>
      </c>
    </row>
    <row r="3768" spans="1:24">
      <c r="A3768" s="21" t="s">
        <v>5100</v>
      </c>
      <c r="B3768" t="s">
        <v>225</v>
      </c>
      <c r="C3768" t="s">
        <v>1521</v>
      </c>
      <c r="D3768" t="s">
        <v>1522</v>
      </c>
      <c r="E3768" s="7" t="s">
        <v>198</v>
      </c>
      <c r="F3768" s="7" t="s">
        <v>198</v>
      </c>
      <c r="G3768" s="7" t="s">
        <v>198</v>
      </c>
      <c r="H3768" s="7" t="s">
        <v>20</v>
      </c>
      <c r="I3768" s="7" t="s">
        <v>5102</v>
      </c>
      <c r="J3768" s="7" t="s">
        <v>21</v>
      </c>
      <c r="L3768" t="s">
        <v>4907</v>
      </c>
      <c r="M3768" s="7" t="s">
        <v>22</v>
      </c>
      <c r="N3768" s="7" t="s">
        <v>23</v>
      </c>
      <c r="O3768" s="7" t="s">
        <v>27</v>
      </c>
      <c r="P3768" s="7" t="s">
        <v>5101</v>
      </c>
      <c r="Q3768" s="26">
        <v>22</v>
      </c>
      <c r="R3768" s="26">
        <v>1</v>
      </c>
      <c r="S3768" s="40">
        <v>1</v>
      </c>
      <c r="T3768" s="7"/>
      <c r="U3768" s="7" t="s">
        <v>2951</v>
      </c>
      <c r="V3768" s="7" t="str">
        <f>+IF(U3768="","",IF(U3768="FINES",CONCATENATE("R",IF(OR(B3768="16",B3768="21",B3768="22",B3768="23"),"16212223",IF(OR(B3768="15",B3768="17",B3768="24",B3768="25"),"15172425",B3768))),IF(U3768="CEBAS","UNICO",IF(VALUE(B3768)&lt;=11,"AMBA","INTERIOR"))))</f>
        <v>R19</v>
      </c>
      <c r="W3768" s="38" t="str">
        <f>+IF(U3768="","-",CONCATENATE(U3768,"_",V3768))</f>
        <v>FINES_R19</v>
      </c>
      <c r="X3768" s="42">
        <v>0.95299999999999996</v>
      </c>
    </row>
    <row r="3769" spans="1:24">
      <c r="A3769" s="21" t="s">
        <v>5100</v>
      </c>
      <c r="B3769" t="s">
        <v>225</v>
      </c>
      <c r="C3769" t="s">
        <v>942</v>
      </c>
      <c r="D3769" t="s">
        <v>943</v>
      </c>
      <c r="E3769" s="7" t="s">
        <v>198</v>
      </c>
      <c r="F3769" s="7" t="s">
        <v>198</v>
      </c>
      <c r="G3769" s="7" t="s">
        <v>198</v>
      </c>
      <c r="H3769" s="7" t="s">
        <v>20</v>
      </c>
      <c r="I3769" s="7" t="s">
        <v>5102</v>
      </c>
      <c r="J3769" s="7" t="s">
        <v>21</v>
      </c>
      <c r="L3769" t="s">
        <v>4833</v>
      </c>
      <c r="M3769" s="7" t="s">
        <v>22</v>
      </c>
      <c r="N3769" s="7" t="s">
        <v>23</v>
      </c>
      <c r="O3769" s="7" t="s">
        <v>27</v>
      </c>
      <c r="P3769" s="7" t="s">
        <v>5101</v>
      </c>
      <c r="Q3769" s="26">
        <v>220</v>
      </c>
      <c r="R3769" s="26">
        <v>7</v>
      </c>
      <c r="S3769" s="40">
        <v>1</v>
      </c>
      <c r="T3769" s="7"/>
      <c r="U3769" s="7" t="s">
        <v>2951</v>
      </c>
      <c r="V3769" s="7" t="str">
        <f>+IF(U3769="","",IF(U3769="FINES",CONCATENATE("R",IF(OR(B3769="16",B3769="21",B3769="22",B3769="23"),"16212223",IF(OR(B3769="15",B3769="17",B3769="24",B3769="25"),"15172425",B3769))),IF(U3769="CEBAS","UNICO",IF(VALUE(B3769)&lt;=11,"AMBA","INTERIOR"))))</f>
        <v>R19</v>
      </c>
      <c r="W3769" s="38" t="str">
        <f>+IF(U3769="","-",CONCATENATE(U3769,"_",V3769))</f>
        <v>FINES_R19</v>
      </c>
      <c r="X3769" s="42">
        <v>0.95299999999999996</v>
      </c>
    </row>
    <row r="3770" spans="1:24">
      <c r="A3770" s="21" t="s">
        <v>5100</v>
      </c>
      <c r="B3770" t="s">
        <v>225</v>
      </c>
      <c r="C3770" t="s">
        <v>942</v>
      </c>
      <c r="D3770" t="s">
        <v>943</v>
      </c>
      <c r="E3770" s="7" t="s">
        <v>198</v>
      </c>
      <c r="F3770" s="7" t="s">
        <v>198</v>
      </c>
      <c r="G3770" s="7" t="s">
        <v>198</v>
      </c>
      <c r="H3770" s="7" t="s">
        <v>20</v>
      </c>
      <c r="I3770" s="7" t="s">
        <v>5102</v>
      </c>
      <c r="J3770" s="7" t="s">
        <v>21</v>
      </c>
      <c r="L3770" t="s">
        <v>4840</v>
      </c>
      <c r="M3770" s="7" t="s">
        <v>22</v>
      </c>
      <c r="N3770" s="7" t="s">
        <v>23</v>
      </c>
      <c r="O3770" s="7" t="s">
        <v>27</v>
      </c>
      <c r="P3770" s="7" t="s">
        <v>5101</v>
      </c>
      <c r="Q3770" s="26">
        <v>0</v>
      </c>
      <c r="R3770" s="26">
        <v>1</v>
      </c>
      <c r="S3770" s="40">
        <v>1</v>
      </c>
      <c r="T3770" s="7"/>
      <c r="U3770" s="7" t="s">
        <v>2951</v>
      </c>
      <c r="V3770" s="7" t="str">
        <f>+IF(U3770="","",IF(U3770="FINES",CONCATENATE("R",IF(OR(B3770="16",B3770="21",B3770="22",B3770="23"),"16212223",IF(OR(B3770="15",B3770="17",B3770="24",B3770="25"),"15172425",B3770))),IF(U3770="CEBAS","UNICO",IF(VALUE(B3770)&lt;=11,"AMBA","INTERIOR"))))</f>
        <v>R19</v>
      </c>
      <c r="W3770" s="38" t="str">
        <f>+IF(U3770="","-",CONCATENATE(U3770,"_",V3770))</f>
        <v>FINES_R19</v>
      </c>
      <c r="X3770" s="42">
        <v>0.97</v>
      </c>
    </row>
    <row r="3771" spans="1:24">
      <c r="A3771" s="21" t="s">
        <v>5100</v>
      </c>
      <c r="B3771" t="s">
        <v>225</v>
      </c>
      <c r="C3771" t="s">
        <v>942</v>
      </c>
      <c r="D3771" t="s">
        <v>943</v>
      </c>
      <c r="E3771" s="7" t="s">
        <v>198</v>
      </c>
      <c r="F3771" s="7" t="s">
        <v>198</v>
      </c>
      <c r="G3771" s="7" t="s">
        <v>198</v>
      </c>
      <c r="H3771" s="7" t="s">
        <v>20</v>
      </c>
      <c r="I3771" s="7" t="s">
        <v>5102</v>
      </c>
      <c r="J3771" s="7" t="s">
        <v>21</v>
      </c>
      <c r="L3771" t="s">
        <v>4167</v>
      </c>
      <c r="M3771" s="7" t="s">
        <v>22</v>
      </c>
      <c r="N3771" s="7" t="s">
        <v>23</v>
      </c>
      <c r="O3771" s="7" t="s">
        <v>27</v>
      </c>
      <c r="P3771" s="7" t="s">
        <v>5101</v>
      </c>
      <c r="Q3771" s="26">
        <v>20</v>
      </c>
      <c r="R3771" s="26">
        <v>1</v>
      </c>
      <c r="S3771" s="40">
        <v>1</v>
      </c>
      <c r="T3771" s="7"/>
      <c r="U3771" s="7" t="s">
        <v>2951</v>
      </c>
      <c r="V3771" s="7" t="str">
        <f>+IF(U3771="","",IF(U3771="FINES",CONCATENATE("R",IF(OR(B3771="16",B3771="21",B3771="22",B3771="23"),"16212223",IF(OR(B3771="15",B3771="17",B3771="24",B3771="25"),"15172425",B3771))),IF(U3771="CEBAS","UNICO",IF(VALUE(B3771)&lt;=11,"AMBA","INTERIOR"))))</f>
        <v>R19</v>
      </c>
      <c r="W3771" s="38" t="str">
        <f>+IF(U3771="","-",CONCATENATE(U3771,"_",V3771))</f>
        <v>FINES_R19</v>
      </c>
      <c r="X3771" s="42">
        <v>0.97499999999999998</v>
      </c>
    </row>
    <row r="3772" spans="1:24">
      <c r="A3772" s="21" t="s">
        <v>5100</v>
      </c>
      <c r="B3772" t="s">
        <v>225</v>
      </c>
      <c r="C3772" t="s">
        <v>942</v>
      </c>
      <c r="D3772" t="s">
        <v>943</v>
      </c>
      <c r="E3772" s="7" t="s">
        <v>198</v>
      </c>
      <c r="F3772" s="7" t="s">
        <v>198</v>
      </c>
      <c r="G3772" s="7" t="s">
        <v>198</v>
      </c>
      <c r="H3772" s="7" t="s">
        <v>20</v>
      </c>
      <c r="I3772" s="7" t="s">
        <v>5102</v>
      </c>
      <c r="J3772" s="7" t="s">
        <v>21</v>
      </c>
      <c r="L3772" t="s">
        <v>4821</v>
      </c>
      <c r="M3772" s="7" t="s">
        <v>22</v>
      </c>
      <c r="N3772" s="7" t="s">
        <v>23</v>
      </c>
      <c r="O3772" s="7" t="s">
        <v>27</v>
      </c>
      <c r="P3772" s="7" t="s">
        <v>5101</v>
      </c>
      <c r="Q3772" s="26">
        <v>10</v>
      </c>
      <c r="R3772" s="26">
        <v>1</v>
      </c>
      <c r="S3772" s="40">
        <v>1</v>
      </c>
      <c r="T3772" s="7"/>
      <c r="U3772" s="7" t="s">
        <v>2951</v>
      </c>
      <c r="V3772" s="7" t="str">
        <f>+IF(U3772="","",IF(U3772="FINES",CONCATENATE("R",IF(OR(B3772="16",B3772="21",B3772="22",B3772="23"),"16212223",IF(OR(B3772="15",B3772="17",B3772="24",B3772="25"),"15172425",B3772))),IF(U3772="CEBAS","UNICO",IF(VALUE(B3772)&lt;=11,"AMBA","INTERIOR"))))</f>
        <v>R19</v>
      </c>
      <c r="W3772" s="38" t="str">
        <f>+IF(U3772="","-",CONCATENATE(U3772,"_",V3772))</f>
        <v>FINES_R19</v>
      </c>
      <c r="X3772" s="42">
        <v>0.97799999999999998</v>
      </c>
    </row>
    <row r="3773" spans="1:24">
      <c r="A3773" s="21" t="s">
        <v>5100</v>
      </c>
      <c r="B3773" t="s">
        <v>225</v>
      </c>
      <c r="C3773" t="s">
        <v>942</v>
      </c>
      <c r="D3773" t="s">
        <v>943</v>
      </c>
      <c r="E3773" s="7" t="s">
        <v>198</v>
      </c>
      <c r="F3773" s="7" t="s">
        <v>198</v>
      </c>
      <c r="G3773" s="7" t="s">
        <v>198</v>
      </c>
      <c r="H3773" s="7" t="s">
        <v>20</v>
      </c>
      <c r="I3773" s="7" t="s">
        <v>5102</v>
      </c>
      <c r="J3773" s="7" t="s">
        <v>21</v>
      </c>
      <c r="L3773" t="s">
        <v>4830</v>
      </c>
      <c r="M3773" s="7" t="s">
        <v>22</v>
      </c>
      <c r="N3773" s="7" t="s">
        <v>23</v>
      </c>
      <c r="O3773" s="7" t="s">
        <v>27</v>
      </c>
      <c r="P3773" s="7" t="s">
        <v>5101</v>
      </c>
      <c r="Q3773" s="26">
        <v>101</v>
      </c>
      <c r="R3773" s="26">
        <v>4</v>
      </c>
      <c r="S3773" s="40">
        <v>1</v>
      </c>
      <c r="T3773" s="7"/>
      <c r="U3773" s="7" t="s">
        <v>2951</v>
      </c>
      <c r="V3773" s="7" t="str">
        <f>+IF(U3773="","",IF(U3773="FINES",CONCATENATE("R",IF(OR(B3773="16",B3773="21",B3773="22",B3773="23"),"16212223",IF(OR(B3773="15",B3773="17",B3773="24",B3773="25"),"15172425",B3773))),IF(U3773="CEBAS","UNICO",IF(VALUE(B3773)&lt;=11,"AMBA","INTERIOR"))))</f>
        <v>R19</v>
      </c>
      <c r="W3773" s="38" t="str">
        <f>+IF(U3773="","-",CONCATENATE(U3773,"_",V3773))</f>
        <v>FINES_R19</v>
      </c>
      <c r="X3773" s="42">
        <v>0.99099999999999999</v>
      </c>
    </row>
    <row r="3774" spans="1:24">
      <c r="A3774" s="21" t="s">
        <v>5100</v>
      </c>
      <c r="B3774" t="s">
        <v>225</v>
      </c>
      <c r="C3774" t="s">
        <v>942</v>
      </c>
      <c r="D3774" t="s">
        <v>943</v>
      </c>
      <c r="E3774" s="7" t="s">
        <v>198</v>
      </c>
      <c r="F3774" s="7" t="s">
        <v>198</v>
      </c>
      <c r="G3774" s="7" t="s">
        <v>198</v>
      </c>
      <c r="H3774" s="7" t="s">
        <v>20</v>
      </c>
      <c r="I3774" s="7" t="s">
        <v>5102</v>
      </c>
      <c r="J3774" s="7" t="s">
        <v>21</v>
      </c>
      <c r="L3774" t="s">
        <v>4893</v>
      </c>
      <c r="M3774" s="7" t="s">
        <v>22</v>
      </c>
      <c r="N3774" s="7" t="s">
        <v>23</v>
      </c>
      <c r="O3774" s="7" t="s">
        <v>27</v>
      </c>
      <c r="P3774" s="7" t="s">
        <v>5101</v>
      </c>
      <c r="Q3774" s="26">
        <v>38</v>
      </c>
      <c r="R3774" s="26">
        <v>2</v>
      </c>
      <c r="S3774" s="40">
        <v>1</v>
      </c>
      <c r="T3774" s="7"/>
      <c r="U3774" s="7" t="s">
        <v>2951</v>
      </c>
      <c r="V3774" s="7" t="str">
        <f>+IF(U3774="","",IF(U3774="FINES",CONCATENATE("R",IF(OR(B3774="16",B3774="21",B3774="22",B3774="23"),"16212223",IF(OR(B3774="15",B3774="17",B3774="24",B3774="25"),"15172425",B3774))),IF(U3774="CEBAS","UNICO",IF(VALUE(B3774)&lt;=11,"AMBA","INTERIOR"))))</f>
        <v>R19</v>
      </c>
      <c r="W3774" s="38" t="str">
        <f>+IF(U3774="","-",CONCATENATE(U3774,"_",V3774))</f>
        <v>FINES_R19</v>
      </c>
      <c r="X3774" s="42">
        <v>0.99399999999999999</v>
      </c>
    </row>
    <row r="3775" spans="1:24">
      <c r="A3775" s="21" t="s">
        <v>5100</v>
      </c>
      <c r="B3775" t="s">
        <v>225</v>
      </c>
      <c r="C3775" t="s">
        <v>942</v>
      </c>
      <c r="D3775" t="s">
        <v>943</v>
      </c>
      <c r="E3775" s="7" t="s">
        <v>198</v>
      </c>
      <c r="F3775" s="7" t="s">
        <v>198</v>
      </c>
      <c r="G3775" s="7" t="s">
        <v>198</v>
      </c>
      <c r="H3775" s="7" t="s">
        <v>20</v>
      </c>
      <c r="I3775" s="7" t="s">
        <v>5102</v>
      </c>
      <c r="J3775" s="7" t="s">
        <v>21</v>
      </c>
      <c r="L3775" t="s">
        <v>4823</v>
      </c>
      <c r="M3775" s="7" t="s">
        <v>22</v>
      </c>
      <c r="N3775" s="7" t="s">
        <v>23</v>
      </c>
      <c r="O3775" s="7" t="s">
        <v>27</v>
      </c>
      <c r="P3775" s="7" t="s">
        <v>5101</v>
      </c>
      <c r="Q3775" s="26">
        <v>0</v>
      </c>
      <c r="R3775" s="26">
        <v>1</v>
      </c>
      <c r="S3775" s="40">
        <v>1</v>
      </c>
      <c r="T3775" s="7"/>
      <c r="U3775" s="7" t="s">
        <v>2951</v>
      </c>
      <c r="V3775" s="7" t="str">
        <f>+IF(U3775="","",IF(U3775="FINES",CONCATENATE("R",IF(OR(B3775="16",B3775="21",B3775="22",B3775="23"),"16212223",IF(OR(B3775="15",B3775="17",B3775="24",B3775="25"),"15172425",B3775))),IF(U3775="CEBAS","UNICO",IF(VALUE(B3775)&lt;=11,"AMBA","INTERIOR"))))</f>
        <v>R19</v>
      </c>
      <c r="W3775" s="38" t="str">
        <f>+IF(U3775="","-",CONCATENATE(U3775,"_",V3775))</f>
        <v>FINES_R19</v>
      </c>
      <c r="X3775" s="42">
        <v>0.995</v>
      </c>
    </row>
    <row r="3776" spans="1:24">
      <c r="A3776" s="21" t="s">
        <v>5100</v>
      </c>
      <c r="B3776" t="s">
        <v>352</v>
      </c>
      <c r="C3776" t="s">
        <v>349</v>
      </c>
      <c r="D3776" t="s">
        <v>2397</v>
      </c>
      <c r="E3776" s="7" t="s">
        <v>198</v>
      </c>
      <c r="F3776" s="7" t="s">
        <v>198</v>
      </c>
      <c r="G3776" s="7" t="s">
        <v>198</v>
      </c>
      <c r="H3776" s="7" t="s">
        <v>20</v>
      </c>
      <c r="I3776" s="7" t="s">
        <v>5102</v>
      </c>
      <c r="J3776" s="7" t="s">
        <v>21</v>
      </c>
      <c r="L3776" t="s">
        <v>4938</v>
      </c>
      <c r="M3776" s="7" t="s">
        <v>22</v>
      </c>
      <c r="N3776" s="7" t="s">
        <v>23</v>
      </c>
      <c r="O3776" s="7" t="s">
        <v>27</v>
      </c>
      <c r="P3776" s="7" t="s">
        <v>5101</v>
      </c>
      <c r="Q3776" s="26">
        <v>18</v>
      </c>
      <c r="R3776" s="26">
        <v>1</v>
      </c>
      <c r="S3776" s="40">
        <v>1</v>
      </c>
      <c r="T3776" s="7"/>
      <c r="U3776" s="7" t="s">
        <v>2951</v>
      </c>
      <c r="V3776" s="7" t="str">
        <f>+IF(U3776="","",IF(U3776="FINES",CONCATENATE("R",IF(OR(B3776="16",B3776="21",B3776="22",B3776="23"),"16212223",IF(OR(B3776="15",B3776="17",B3776="24",B3776="25"),"15172425",B3776))),IF(U3776="CEBAS","UNICO",IF(VALUE(B3776)&lt;=11,"AMBA","INTERIOR"))))</f>
        <v>R20</v>
      </c>
      <c r="W3776" s="38" t="str">
        <f>+IF(U3776="","-",CONCATENATE(U3776,"_",V3776))</f>
        <v>FINES_R20</v>
      </c>
      <c r="X3776" s="42">
        <v>2E-3</v>
      </c>
    </row>
    <row r="3777" spans="1:24">
      <c r="A3777" s="21" t="s">
        <v>5100</v>
      </c>
      <c r="B3777" t="s">
        <v>352</v>
      </c>
      <c r="C3777" t="s">
        <v>521</v>
      </c>
      <c r="D3777" t="s">
        <v>523</v>
      </c>
      <c r="E3777" s="7" t="s">
        <v>198</v>
      </c>
      <c r="F3777" s="7" t="s">
        <v>198</v>
      </c>
      <c r="G3777" s="7" t="s">
        <v>198</v>
      </c>
      <c r="H3777" s="7" t="s">
        <v>20</v>
      </c>
      <c r="I3777" s="7" t="s">
        <v>5102</v>
      </c>
      <c r="J3777" s="7" t="s">
        <v>21</v>
      </c>
      <c r="L3777" t="s">
        <v>4913</v>
      </c>
      <c r="M3777" s="7" t="s">
        <v>22</v>
      </c>
      <c r="N3777" s="7" t="s">
        <v>23</v>
      </c>
      <c r="O3777" s="7" t="s">
        <v>27</v>
      </c>
      <c r="P3777" s="7" t="s">
        <v>5101</v>
      </c>
      <c r="Q3777" s="26">
        <v>17</v>
      </c>
      <c r="R3777" s="26">
        <v>1</v>
      </c>
      <c r="S3777" s="40">
        <v>1</v>
      </c>
      <c r="T3777" s="7"/>
      <c r="U3777" s="7" t="s">
        <v>2951</v>
      </c>
      <c r="V3777" s="7" t="str">
        <f>+IF(U3777="","",IF(U3777="FINES",CONCATENATE("R",IF(OR(B3777="16",B3777="21",B3777="22",B3777="23"),"16212223",IF(OR(B3777="15",B3777="17",B3777="24",B3777="25"),"15172425",B3777))),IF(U3777="CEBAS","UNICO",IF(VALUE(B3777)&lt;=11,"AMBA","INTERIOR"))))</f>
        <v>R20</v>
      </c>
      <c r="W3777" s="38" t="str">
        <f>+IF(U3777="","-",CONCATENATE(U3777,"_",V3777))</f>
        <v>FINES_R20</v>
      </c>
      <c r="X3777" s="42">
        <v>1.9E-2</v>
      </c>
    </row>
    <row r="3778" spans="1:24">
      <c r="A3778" s="21" t="s">
        <v>5100</v>
      </c>
      <c r="B3778" t="s">
        <v>352</v>
      </c>
      <c r="C3778" t="s">
        <v>349</v>
      </c>
      <c r="D3778" t="s">
        <v>2397</v>
      </c>
      <c r="E3778" s="7" t="s">
        <v>198</v>
      </c>
      <c r="F3778" s="7" t="s">
        <v>198</v>
      </c>
      <c r="G3778" s="7" t="s">
        <v>198</v>
      </c>
      <c r="H3778" s="7" t="s">
        <v>20</v>
      </c>
      <c r="I3778" s="7" t="s">
        <v>5102</v>
      </c>
      <c r="J3778" s="7" t="s">
        <v>21</v>
      </c>
      <c r="L3778" t="s">
        <v>4943</v>
      </c>
      <c r="M3778" s="7" t="s">
        <v>22</v>
      </c>
      <c r="N3778" s="7" t="s">
        <v>23</v>
      </c>
      <c r="O3778" s="7" t="s">
        <v>27</v>
      </c>
      <c r="P3778" s="7" t="s">
        <v>5101</v>
      </c>
      <c r="Q3778" s="26">
        <v>11</v>
      </c>
      <c r="R3778" s="26">
        <v>1</v>
      </c>
      <c r="S3778" s="40">
        <v>1</v>
      </c>
      <c r="T3778" s="7"/>
      <c r="U3778" s="7" t="s">
        <v>2951</v>
      </c>
      <c r="V3778" s="7" t="str">
        <f>+IF(U3778="","",IF(U3778="FINES",CONCATENATE("R",IF(OR(B3778="16",B3778="21",B3778="22",B3778="23"),"16212223",IF(OR(B3778="15",B3778="17",B3778="24",B3778="25"),"15172425",B3778))),IF(U3778="CEBAS","UNICO",IF(VALUE(B3778)&lt;=11,"AMBA","INTERIOR"))))</f>
        <v>R20</v>
      </c>
      <c r="W3778" s="38" t="str">
        <f>+IF(U3778="","-",CONCATENATE(U3778,"_",V3778))</f>
        <v>FINES_R20</v>
      </c>
      <c r="X3778" s="42">
        <v>0.11700000000000001</v>
      </c>
    </row>
    <row r="3779" spans="1:24">
      <c r="A3779" s="21" t="s">
        <v>5100</v>
      </c>
      <c r="B3779" t="s">
        <v>352</v>
      </c>
      <c r="C3779" t="s">
        <v>1924</v>
      </c>
      <c r="D3779" t="s">
        <v>1925</v>
      </c>
      <c r="E3779" s="7" t="s">
        <v>198</v>
      </c>
      <c r="F3779" s="7" t="s">
        <v>198</v>
      </c>
      <c r="G3779" s="7" t="s">
        <v>198</v>
      </c>
      <c r="H3779" s="7" t="s">
        <v>20</v>
      </c>
      <c r="I3779" s="7" t="s">
        <v>5102</v>
      </c>
      <c r="J3779" s="7" t="s">
        <v>21</v>
      </c>
      <c r="L3779" t="s">
        <v>4927</v>
      </c>
      <c r="M3779" s="7" t="s">
        <v>22</v>
      </c>
      <c r="N3779" s="7" t="s">
        <v>23</v>
      </c>
      <c r="O3779" s="7" t="s">
        <v>27</v>
      </c>
      <c r="P3779" s="7" t="s">
        <v>5101</v>
      </c>
      <c r="Q3779" s="26">
        <v>16</v>
      </c>
      <c r="R3779" s="26">
        <v>1</v>
      </c>
      <c r="S3779" s="40">
        <v>1</v>
      </c>
      <c r="T3779" s="7"/>
      <c r="U3779" s="7" t="s">
        <v>2951</v>
      </c>
      <c r="V3779" s="7" t="str">
        <f>+IF(U3779="","",IF(U3779="FINES",CONCATENATE("R",IF(OR(B3779="16",B3779="21",B3779="22",B3779="23"),"16212223",IF(OR(B3779="15",B3779="17",B3779="24",B3779="25"),"15172425",B3779))),IF(U3779="CEBAS","UNICO",IF(VALUE(B3779)&lt;=11,"AMBA","INTERIOR"))))</f>
        <v>R20</v>
      </c>
      <c r="W3779" s="38" t="str">
        <f>+IF(U3779="","-",CONCATENATE(U3779,"_",V3779))</f>
        <v>FINES_R20</v>
      </c>
      <c r="X3779" s="42">
        <v>0.13700000000000001</v>
      </c>
    </row>
    <row r="3780" spans="1:24">
      <c r="A3780" s="21" t="s">
        <v>5100</v>
      </c>
      <c r="B3780" t="s">
        <v>352</v>
      </c>
      <c r="C3780" t="s">
        <v>349</v>
      </c>
      <c r="D3780" t="s">
        <v>2397</v>
      </c>
      <c r="E3780" s="7" t="s">
        <v>198</v>
      </c>
      <c r="F3780" s="7" t="s">
        <v>198</v>
      </c>
      <c r="G3780" s="7" t="s">
        <v>198</v>
      </c>
      <c r="H3780" s="7" t="s">
        <v>20</v>
      </c>
      <c r="I3780" s="7" t="s">
        <v>5102</v>
      </c>
      <c r="J3780" s="7" t="s">
        <v>21</v>
      </c>
      <c r="L3780" t="s">
        <v>4934</v>
      </c>
      <c r="M3780" s="7" t="s">
        <v>22</v>
      </c>
      <c r="N3780" s="7" t="s">
        <v>23</v>
      </c>
      <c r="O3780" s="7" t="s">
        <v>27</v>
      </c>
      <c r="P3780" s="7" t="s">
        <v>5101</v>
      </c>
      <c r="Q3780" s="26">
        <v>14</v>
      </c>
      <c r="R3780" s="26">
        <v>1</v>
      </c>
      <c r="S3780" s="40">
        <v>1</v>
      </c>
      <c r="T3780" s="7"/>
      <c r="U3780" s="7" t="s">
        <v>2951</v>
      </c>
      <c r="V3780" s="7" t="str">
        <f>+IF(U3780="","",IF(U3780="FINES",CONCATENATE("R",IF(OR(B3780="16",B3780="21",B3780="22",B3780="23"),"16212223",IF(OR(B3780="15",B3780="17",B3780="24",B3780="25"),"15172425",B3780))),IF(U3780="CEBAS","UNICO",IF(VALUE(B3780)&lt;=11,"AMBA","INTERIOR"))))</f>
        <v>R20</v>
      </c>
      <c r="W3780" s="38" t="str">
        <f>+IF(U3780="","-",CONCATENATE(U3780,"_",V3780))</f>
        <v>FINES_R20</v>
      </c>
      <c r="X3780" s="42">
        <v>0.13800000000000001</v>
      </c>
    </row>
    <row r="3781" spans="1:24">
      <c r="A3781" s="21" t="s">
        <v>5100</v>
      </c>
      <c r="B3781" t="s">
        <v>352</v>
      </c>
      <c r="C3781" t="s">
        <v>1924</v>
      </c>
      <c r="D3781" t="s">
        <v>1925</v>
      </c>
      <c r="E3781" s="7" t="s">
        <v>198</v>
      </c>
      <c r="F3781" s="7" t="s">
        <v>198</v>
      </c>
      <c r="G3781" s="7" t="s">
        <v>198</v>
      </c>
      <c r="H3781" s="7" t="s">
        <v>20</v>
      </c>
      <c r="I3781" s="7" t="s">
        <v>5102</v>
      </c>
      <c r="J3781" s="7" t="s">
        <v>21</v>
      </c>
      <c r="L3781" t="s">
        <v>4922</v>
      </c>
      <c r="M3781" s="7" t="s">
        <v>22</v>
      </c>
      <c r="N3781" s="7" t="s">
        <v>23</v>
      </c>
      <c r="O3781" s="7" t="s">
        <v>27</v>
      </c>
      <c r="P3781" s="7" t="s">
        <v>5101</v>
      </c>
      <c r="Q3781" s="26">
        <v>91</v>
      </c>
      <c r="R3781" s="26">
        <v>4</v>
      </c>
      <c r="S3781" s="40">
        <v>1</v>
      </c>
      <c r="T3781" s="7"/>
      <c r="U3781" s="7" t="s">
        <v>2951</v>
      </c>
      <c r="V3781" s="7" t="str">
        <f>+IF(U3781="","",IF(U3781="FINES",CONCATENATE("R",IF(OR(B3781="16",B3781="21",B3781="22",B3781="23"),"16212223",IF(OR(B3781="15",B3781="17",B3781="24",B3781="25"),"15172425",B3781))),IF(U3781="CEBAS","UNICO",IF(VALUE(B3781)&lt;=11,"AMBA","INTERIOR"))))</f>
        <v>R20</v>
      </c>
      <c r="W3781" s="38" t="str">
        <f>+IF(U3781="","-",CONCATENATE(U3781,"_",V3781))</f>
        <v>FINES_R20</v>
      </c>
      <c r="X3781" s="42">
        <v>0.16</v>
      </c>
    </row>
    <row r="3782" spans="1:24">
      <c r="A3782" s="21" t="s">
        <v>5100</v>
      </c>
      <c r="B3782" t="s">
        <v>352</v>
      </c>
      <c r="C3782" t="s">
        <v>1338</v>
      </c>
      <c r="D3782" t="s">
        <v>1339</v>
      </c>
      <c r="E3782" s="7" t="s">
        <v>198</v>
      </c>
      <c r="F3782" s="7" t="s">
        <v>198</v>
      </c>
      <c r="G3782" s="7" t="s">
        <v>198</v>
      </c>
      <c r="H3782" s="7" t="s">
        <v>20</v>
      </c>
      <c r="I3782" s="7" t="s">
        <v>5102</v>
      </c>
      <c r="J3782" s="7" t="s">
        <v>21</v>
      </c>
      <c r="L3782" t="s">
        <v>4915</v>
      </c>
      <c r="M3782" s="7" t="s">
        <v>22</v>
      </c>
      <c r="N3782" s="7" t="s">
        <v>23</v>
      </c>
      <c r="O3782" s="7" t="s">
        <v>27</v>
      </c>
      <c r="P3782" s="7" t="s">
        <v>5101</v>
      </c>
      <c r="Q3782" s="26">
        <v>8</v>
      </c>
      <c r="R3782" s="26">
        <v>1</v>
      </c>
      <c r="S3782" s="40">
        <v>1</v>
      </c>
      <c r="T3782" s="7"/>
      <c r="U3782" s="7" t="s">
        <v>2951</v>
      </c>
      <c r="V3782" s="7" t="str">
        <f>+IF(U3782="","",IF(U3782="FINES",CONCATENATE("R",IF(OR(B3782="16",B3782="21",B3782="22",B3782="23"),"16212223",IF(OR(B3782="15",B3782="17",B3782="24",B3782="25"),"15172425",B3782))),IF(U3782="CEBAS","UNICO",IF(VALUE(B3782)&lt;=11,"AMBA","INTERIOR"))))</f>
        <v>R20</v>
      </c>
      <c r="W3782" s="38" t="str">
        <f>+IF(U3782="","-",CONCATENATE(U3782,"_",V3782))</f>
        <v>FINES_R20</v>
      </c>
      <c r="X3782" s="42">
        <v>0.19600000000000001</v>
      </c>
    </row>
    <row r="3783" spans="1:24">
      <c r="A3783" s="21" t="s">
        <v>5100</v>
      </c>
      <c r="B3783" t="s">
        <v>352</v>
      </c>
      <c r="C3783" t="s">
        <v>1924</v>
      </c>
      <c r="D3783" t="s">
        <v>1925</v>
      </c>
      <c r="E3783" s="7" t="s">
        <v>198</v>
      </c>
      <c r="F3783" s="7" t="s">
        <v>198</v>
      </c>
      <c r="G3783" s="7" t="s">
        <v>198</v>
      </c>
      <c r="H3783" s="7" t="s">
        <v>20</v>
      </c>
      <c r="I3783" s="7" t="s">
        <v>5102</v>
      </c>
      <c r="J3783" s="7" t="s">
        <v>21</v>
      </c>
      <c r="L3783" t="s">
        <v>4923</v>
      </c>
      <c r="M3783" s="7" t="s">
        <v>22</v>
      </c>
      <c r="N3783" s="7" t="s">
        <v>23</v>
      </c>
      <c r="O3783" s="7" t="s">
        <v>27</v>
      </c>
      <c r="P3783" s="7" t="s">
        <v>5101</v>
      </c>
      <c r="Q3783" s="26">
        <v>23</v>
      </c>
      <c r="R3783" s="26">
        <v>1</v>
      </c>
      <c r="S3783" s="40">
        <v>1</v>
      </c>
      <c r="T3783" s="7"/>
      <c r="U3783" s="7" t="s">
        <v>2951</v>
      </c>
      <c r="V3783" s="7" t="str">
        <f>+IF(U3783="","",IF(U3783="FINES",CONCATENATE("R",IF(OR(B3783="16",B3783="21",B3783="22",B3783="23"),"16212223",IF(OR(B3783="15",B3783="17",B3783="24",B3783="25"),"15172425",B3783))),IF(U3783="CEBAS","UNICO",IF(VALUE(B3783)&lt;=11,"AMBA","INTERIOR"))))</f>
        <v>R20</v>
      </c>
      <c r="W3783" s="38" t="str">
        <f>+IF(U3783="","-",CONCATENATE(U3783,"_",V3783))</f>
        <v>FINES_R20</v>
      </c>
      <c r="X3783" s="42">
        <v>0.21099999999999999</v>
      </c>
    </row>
    <row r="3784" spans="1:24">
      <c r="A3784" s="21" t="s">
        <v>5100</v>
      </c>
      <c r="B3784" t="s">
        <v>352</v>
      </c>
      <c r="C3784" t="s">
        <v>349</v>
      </c>
      <c r="D3784" t="s">
        <v>2397</v>
      </c>
      <c r="E3784" s="7" t="s">
        <v>198</v>
      </c>
      <c r="F3784" s="7" t="s">
        <v>198</v>
      </c>
      <c r="G3784" s="7" t="s">
        <v>198</v>
      </c>
      <c r="H3784" s="7" t="s">
        <v>20</v>
      </c>
      <c r="I3784" s="7" t="s">
        <v>5102</v>
      </c>
      <c r="J3784" s="7" t="s">
        <v>21</v>
      </c>
      <c r="L3784" t="s">
        <v>4952</v>
      </c>
      <c r="M3784" s="7" t="s">
        <v>22</v>
      </c>
      <c r="N3784" s="7" t="s">
        <v>23</v>
      </c>
      <c r="O3784" s="7" t="s">
        <v>27</v>
      </c>
      <c r="P3784" s="7" t="s">
        <v>5101</v>
      </c>
      <c r="Q3784" s="26">
        <v>26</v>
      </c>
      <c r="R3784" s="26">
        <v>1</v>
      </c>
      <c r="S3784" s="40">
        <v>1</v>
      </c>
      <c r="T3784" s="7"/>
      <c r="U3784" s="7" t="s">
        <v>2951</v>
      </c>
      <c r="V3784" s="7" t="str">
        <f>+IF(U3784="","",IF(U3784="FINES",CONCATENATE("R",IF(OR(B3784="16",B3784="21",B3784="22",B3784="23"),"16212223",IF(OR(B3784="15",B3784="17",B3784="24",B3784="25"),"15172425",B3784))),IF(U3784="CEBAS","UNICO",IF(VALUE(B3784)&lt;=11,"AMBA","INTERIOR"))))</f>
        <v>R20</v>
      </c>
      <c r="W3784" s="38" t="str">
        <f>+IF(U3784="","-",CONCATENATE(U3784,"_",V3784))</f>
        <v>FINES_R20</v>
      </c>
      <c r="X3784" s="42">
        <v>0.219</v>
      </c>
    </row>
    <row r="3785" spans="1:24">
      <c r="A3785" s="21" t="s">
        <v>5100</v>
      </c>
      <c r="B3785" t="s">
        <v>352</v>
      </c>
      <c r="C3785" t="s">
        <v>349</v>
      </c>
      <c r="D3785" t="s">
        <v>2397</v>
      </c>
      <c r="E3785" s="7" t="s">
        <v>198</v>
      </c>
      <c r="F3785" s="7" t="s">
        <v>198</v>
      </c>
      <c r="G3785" s="7" t="s">
        <v>198</v>
      </c>
      <c r="H3785" s="7" t="s">
        <v>20</v>
      </c>
      <c r="I3785" s="7" t="s">
        <v>5102</v>
      </c>
      <c r="J3785" s="7" t="s">
        <v>21</v>
      </c>
      <c r="L3785" t="s">
        <v>4939</v>
      </c>
      <c r="M3785" s="7" t="s">
        <v>22</v>
      </c>
      <c r="N3785" s="7" t="s">
        <v>23</v>
      </c>
      <c r="O3785" s="7" t="s">
        <v>27</v>
      </c>
      <c r="P3785" s="7" t="s">
        <v>5101</v>
      </c>
      <c r="Q3785" s="26">
        <v>49</v>
      </c>
      <c r="R3785" s="26">
        <v>2</v>
      </c>
      <c r="S3785" s="40">
        <v>1</v>
      </c>
      <c r="T3785" s="7"/>
      <c r="U3785" s="7" t="s">
        <v>2951</v>
      </c>
      <c r="V3785" s="7" t="str">
        <f>+IF(U3785="","",IF(U3785="FINES",CONCATENATE("R",IF(OR(B3785="16",B3785="21",B3785="22",B3785="23"),"16212223",IF(OR(B3785="15",B3785="17",B3785="24",B3785="25"),"15172425",B3785))),IF(U3785="CEBAS","UNICO",IF(VALUE(B3785)&lt;=11,"AMBA","INTERIOR"))))</f>
        <v>R20</v>
      </c>
      <c r="W3785" s="38" t="str">
        <f>+IF(U3785="","-",CONCATENATE(U3785,"_",V3785))</f>
        <v>FINES_R20</v>
      </c>
      <c r="X3785" s="42">
        <v>0.248</v>
      </c>
    </row>
    <row r="3786" spans="1:24">
      <c r="A3786" s="21" t="s">
        <v>5100</v>
      </c>
      <c r="B3786" t="s">
        <v>352</v>
      </c>
      <c r="C3786" t="s">
        <v>1924</v>
      </c>
      <c r="D3786" t="s">
        <v>1925</v>
      </c>
      <c r="E3786" s="7" t="s">
        <v>198</v>
      </c>
      <c r="F3786" s="7" t="s">
        <v>198</v>
      </c>
      <c r="G3786" s="7" t="s">
        <v>198</v>
      </c>
      <c r="H3786" s="7" t="s">
        <v>20</v>
      </c>
      <c r="I3786" s="7" t="s">
        <v>5102</v>
      </c>
      <c r="J3786" s="7" t="s">
        <v>21</v>
      </c>
      <c r="L3786" t="s">
        <v>4440</v>
      </c>
      <c r="M3786" s="7" t="s">
        <v>22</v>
      </c>
      <c r="N3786" s="7" t="s">
        <v>23</v>
      </c>
      <c r="O3786" s="7" t="s">
        <v>27</v>
      </c>
      <c r="P3786" s="7" t="s">
        <v>5101</v>
      </c>
      <c r="Q3786" s="26">
        <v>40</v>
      </c>
      <c r="R3786" s="26">
        <v>2</v>
      </c>
      <c r="S3786" s="40">
        <v>1</v>
      </c>
      <c r="T3786" s="7"/>
      <c r="U3786" s="7" t="s">
        <v>2951</v>
      </c>
      <c r="V3786" s="7" t="str">
        <f>+IF(U3786="","",IF(U3786="FINES",CONCATENATE("R",IF(OR(B3786="16",B3786="21",B3786="22",B3786="23"),"16212223",IF(OR(B3786="15",B3786="17",B3786="24",B3786="25"),"15172425",B3786))),IF(U3786="CEBAS","UNICO",IF(VALUE(B3786)&lt;=11,"AMBA","INTERIOR"))))</f>
        <v>R20</v>
      </c>
      <c r="W3786" s="38" t="str">
        <f>+IF(U3786="","-",CONCATENATE(U3786,"_",V3786))</f>
        <v>FINES_R20</v>
      </c>
      <c r="X3786" s="42">
        <v>0.28299999999999997</v>
      </c>
    </row>
    <row r="3787" spans="1:24">
      <c r="A3787" s="21" t="s">
        <v>5100</v>
      </c>
      <c r="B3787" t="s">
        <v>352</v>
      </c>
      <c r="C3787" t="s">
        <v>349</v>
      </c>
      <c r="D3787" t="s">
        <v>2397</v>
      </c>
      <c r="E3787" s="7" t="s">
        <v>198</v>
      </c>
      <c r="F3787" s="7" t="s">
        <v>198</v>
      </c>
      <c r="G3787" s="7" t="s">
        <v>198</v>
      </c>
      <c r="H3787" s="7" t="s">
        <v>20</v>
      </c>
      <c r="I3787" s="7" t="s">
        <v>5102</v>
      </c>
      <c r="J3787" s="7" t="s">
        <v>21</v>
      </c>
      <c r="L3787" t="s">
        <v>4947</v>
      </c>
      <c r="M3787" s="7" t="s">
        <v>22</v>
      </c>
      <c r="N3787" s="7" t="s">
        <v>23</v>
      </c>
      <c r="O3787" s="7" t="s">
        <v>27</v>
      </c>
      <c r="P3787" s="7" t="s">
        <v>5101</v>
      </c>
      <c r="Q3787" s="26">
        <v>16</v>
      </c>
      <c r="R3787" s="26">
        <v>1</v>
      </c>
      <c r="S3787" s="40">
        <v>1</v>
      </c>
      <c r="T3787" s="7"/>
      <c r="U3787" s="7" t="s">
        <v>2951</v>
      </c>
      <c r="V3787" s="7" t="str">
        <f>+IF(U3787="","",IF(U3787="FINES",CONCATENATE("R",IF(OR(B3787="16",B3787="21",B3787="22",B3787="23"),"16212223",IF(OR(B3787="15",B3787="17",B3787="24",B3787="25"),"15172425",B3787))),IF(U3787="CEBAS","UNICO",IF(VALUE(B3787)&lt;=11,"AMBA","INTERIOR"))))</f>
        <v>R20</v>
      </c>
      <c r="W3787" s="38" t="str">
        <f>+IF(U3787="","-",CONCATENATE(U3787,"_",V3787))</f>
        <v>FINES_R20</v>
      </c>
      <c r="X3787" s="42">
        <v>0.28399999999999997</v>
      </c>
    </row>
    <row r="3788" spans="1:24">
      <c r="A3788" s="21" t="s">
        <v>5100</v>
      </c>
      <c r="B3788" t="s">
        <v>352</v>
      </c>
      <c r="C3788" t="s">
        <v>349</v>
      </c>
      <c r="D3788" t="s">
        <v>2397</v>
      </c>
      <c r="E3788" s="7" t="s">
        <v>198</v>
      </c>
      <c r="F3788" s="7" t="s">
        <v>198</v>
      </c>
      <c r="G3788" s="7" t="s">
        <v>198</v>
      </c>
      <c r="H3788" s="7" t="s">
        <v>20</v>
      </c>
      <c r="I3788" s="7" t="s">
        <v>5102</v>
      </c>
      <c r="J3788" s="7" t="s">
        <v>21</v>
      </c>
      <c r="L3788" t="s">
        <v>4935</v>
      </c>
      <c r="M3788" s="7" t="s">
        <v>22</v>
      </c>
      <c r="N3788" s="7" t="s">
        <v>23</v>
      </c>
      <c r="O3788" s="7" t="s">
        <v>27</v>
      </c>
      <c r="P3788" s="7" t="s">
        <v>5101</v>
      </c>
      <c r="Q3788" s="26">
        <v>15</v>
      </c>
      <c r="R3788" s="26">
        <v>1</v>
      </c>
      <c r="S3788" s="40">
        <v>1</v>
      </c>
      <c r="T3788" s="7"/>
      <c r="U3788" s="7" t="s">
        <v>2951</v>
      </c>
      <c r="V3788" s="7" t="str">
        <f>+IF(U3788="","",IF(U3788="FINES",CONCATENATE("R",IF(OR(B3788="16",B3788="21",B3788="22",B3788="23"),"16212223",IF(OR(B3788="15",B3788="17",B3788="24",B3788="25"),"15172425",B3788))),IF(U3788="CEBAS","UNICO",IF(VALUE(B3788)&lt;=11,"AMBA","INTERIOR"))))</f>
        <v>R20</v>
      </c>
      <c r="W3788" s="38" t="str">
        <f>+IF(U3788="","-",CONCATENATE(U3788,"_",V3788))</f>
        <v>FINES_R20</v>
      </c>
      <c r="X3788" s="42">
        <v>0.312</v>
      </c>
    </row>
    <row r="3789" spans="1:24">
      <c r="A3789" s="21" t="s">
        <v>5100</v>
      </c>
      <c r="B3789" t="s">
        <v>352</v>
      </c>
      <c r="C3789" t="s">
        <v>216</v>
      </c>
      <c r="D3789" t="s">
        <v>2600</v>
      </c>
      <c r="E3789" s="7" t="s">
        <v>198</v>
      </c>
      <c r="F3789" s="7" t="s">
        <v>198</v>
      </c>
      <c r="G3789" s="7" t="s">
        <v>198</v>
      </c>
      <c r="H3789" s="7" t="s">
        <v>20</v>
      </c>
      <c r="I3789" s="7" t="s">
        <v>5102</v>
      </c>
      <c r="J3789" s="7" t="s">
        <v>21</v>
      </c>
      <c r="L3789" t="s">
        <v>4930</v>
      </c>
      <c r="M3789" s="7" t="s">
        <v>22</v>
      </c>
      <c r="N3789" s="7" t="s">
        <v>23</v>
      </c>
      <c r="O3789" s="7" t="s">
        <v>27</v>
      </c>
      <c r="P3789" s="7" t="s">
        <v>5101</v>
      </c>
      <c r="Q3789" s="26">
        <v>6</v>
      </c>
      <c r="R3789" s="26">
        <v>1</v>
      </c>
      <c r="S3789" s="40">
        <v>1</v>
      </c>
      <c r="T3789" s="7"/>
      <c r="U3789" s="7" t="s">
        <v>2951</v>
      </c>
      <c r="V3789" s="7" t="str">
        <f>+IF(U3789="","",IF(U3789="FINES",CONCATENATE("R",IF(OR(B3789="16",B3789="21",B3789="22",B3789="23"),"16212223",IF(OR(B3789="15",B3789="17",B3789="24",B3789="25"),"15172425",B3789))),IF(U3789="CEBAS","UNICO",IF(VALUE(B3789)&lt;=11,"AMBA","INTERIOR"))))</f>
        <v>R20</v>
      </c>
      <c r="W3789" s="38" t="str">
        <f>+IF(U3789="","-",CONCATENATE(U3789,"_",V3789))</f>
        <v>FINES_R20</v>
      </c>
      <c r="X3789" s="42">
        <v>0.312</v>
      </c>
    </row>
    <row r="3790" spans="1:24">
      <c r="A3790" s="21" t="s">
        <v>5100</v>
      </c>
      <c r="B3790" t="s">
        <v>352</v>
      </c>
      <c r="C3790" t="s">
        <v>349</v>
      </c>
      <c r="D3790" t="s">
        <v>2397</v>
      </c>
      <c r="E3790" s="7" t="s">
        <v>198</v>
      </c>
      <c r="F3790" s="7" t="s">
        <v>198</v>
      </c>
      <c r="G3790" s="7" t="s">
        <v>198</v>
      </c>
      <c r="H3790" s="7" t="s">
        <v>20</v>
      </c>
      <c r="I3790" s="7" t="s">
        <v>5102</v>
      </c>
      <c r="J3790" s="7" t="s">
        <v>21</v>
      </c>
      <c r="L3790" t="s">
        <v>4936</v>
      </c>
      <c r="M3790" s="7" t="s">
        <v>22</v>
      </c>
      <c r="N3790" s="7" t="s">
        <v>23</v>
      </c>
      <c r="O3790" s="7" t="s">
        <v>27</v>
      </c>
      <c r="P3790" s="7" t="s">
        <v>5101</v>
      </c>
      <c r="Q3790" s="26">
        <v>25</v>
      </c>
      <c r="R3790" s="26">
        <v>1</v>
      </c>
      <c r="S3790" s="40">
        <v>1</v>
      </c>
      <c r="T3790" s="7"/>
      <c r="U3790" s="7" t="s">
        <v>2951</v>
      </c>
      <c r="V3790" s="7" t="str">
        <f>+IF(U3790="","",IF(U3790="FINES",CONCATENATE("R",IF(OR(B3790="16",B3790="21",B3790="22",B3790="23"),"16212223",IF(OR(B3790="15",B3790="17",B3790="24",B3790="25"),"15172425",B3790))),IF(U3790="CEBAS","UNICO",IF(VALUE(B3790)&lt;=11,"AMBA","INTERIOR"))))</f>
        <v>R20</v>
      </c>
      <c r="W3790" s="38" t="str">
        <f>+IF(U3790="","-",CONCATENATE(U3790,"_",V3790))</f>
        <v>FINES_R20</v>
      </c>
      <c r="X3790" s="42">
        <v>0.33200000000000002</v>
      </c>
    </row>
    <row r="3791" spans="1:24">
      <c r="A3791" s="21" t="s">
        <v>5100</v>
      </c>
      <c r="B3791" t="s">
        <v>352</v>
      </c>
      <c r="C3791" t="s">
        <v>1924</v>
      </c>
      <c r="D3791" t="s">
        <v>1925</v>
      </c>
      <c r="E3791" s="7" t="s">
        <v>198</v>
      </c>
      <c r="F3791" s="7" t="s">
        <v>198</v>
      </c>
      <c r="G3791" s="7" t="s">
        <v>198</v>
      </c>
      <c r="H3791" s="7" t="s">
        <v>20</v>
      </c>
      <c r="I3791" s="7" t="s">
        <v>5102</v>
      </c>
      <c r="J3791" s="7" t="s">
        <v>21</v>
      </c>
      <c r="L3791" t="s">
        <v>4920</v>
      </c>
      <c r="M3791" s="7" t="s">
        <v>22</v>
      </c>
      <c r="N3791" s="7" t="s">
        <v>23</v>
      </c>
      <c r="O3791" s="7" t="s">
        <v>27</v>
      </c>
      <c r="P3791" s="7" t="s">
        <v>5101</v>
      </c>
      <c r="Q3791" s="26">
        <v>24</v>
      </c>
      <c r="R3791" s="26">
        <v>1</v>
      </c>
      <c r="S3791" s="40">
        <v>1</v>
      </c>
      <c r="T3791" s="7"/>
      <c r="U3791" s="7" t="s">
        <v>2951</v>
      </c>
      <c r="V3791" s="7" t="str">
        <f>+IF(U3791="","",IF(U3791="FINES",CONCATENATE("R",IF(OR(B3791="16",B3791="21",B3791="22",B3791="23"),"16212223",IF(OR(B3791="15",B3791="17",B3791="24",B3791="25"),"15172425",B3791))),IF(U3791="CEBAS","UNICO",IF(VALUE(B3791)&lt;=11,"AMBA","INTERIOR"))))</f>
        <v>R20</v>
      </c>
      <c r="W3791" s="38" t="str">
        <f>+IF(U3791="","-",CONCATENATE(U3791,"_",V3791))</f>
        <v>FINES_R20</v>
      </c>
      <c r="X3791" s="42">
        <v>0.34100000000000003</v>
      </c>
    </row>
    <row r="3792" spans="1:24">
      <c r="A3792" s="21" t="s">
        <v>5100</v>
      </c>
      <c r="B3792" t="s">
        <v>352</v>
      </c>
      <c r="C3792" t="s">
        <v>349</v>
      </c>
      <c r="D3792" t="s">
        <v>2397</v>
      </c>
      <c r="E3792" s="7" t="s">
        <v>198</v>
      </c>
      <c r="F3792" s="7" t="s">
        <v>198</v>
      </c>
      <c r="G3792" s="7" t="s">
        <v>198</v>
      </c>
      <c r="H3792" s="7" t="s">
        <v>20</v>
      </c>
      <c r="I3792" s="7" t="s">
        <v>5102</v>
      </c>
      <c r="J3792" s="7" t="s">
        <v>21</v>
      </c>
      <c r="L3792" t="s">
        <v>4937</v>
      </c>
      <c r="M3792" s="7" t="s">
        <v>22</v>
      </c>
      <c r="N3792" s="7" t="s">
        <v>23</v>
      </c>
      <c r="O3792" s="7" t="s">
        <v>27</v>
      </c>
      <c r="P3792" s="7" t="s">
        <v>5101</v>
      </c>
      <c r="Q3792" s="26">
        <v>18</v>
      </c>
      <c r="R3792" s="26">
        <v>1</v>
      </c>
      <c r="S3792" s="40">
        <v>1</v>
      </c>
      <c r="T3792" s="7"/>
      <c r="U3792" s="7" t="s">
        <v>2951</v>
      </c>
      <c r="V3792" s="7" t="str">
        <f>+IF(U3792="","",IF(U3792="FINES",CONCATENATE("R",IF(OR(B3792="16",B3792="21",B3792="22",B3792="23"),"16212223",IF(OR(B3792="15",B3792="17",B3792="24",B3792="25"),"15172425",B3792))),IF(U3792="CEBAS","UNICO",IF(VALUE(B3792)&lt;=11,"AMBA","INTERIOR"))))</f>
        <v>R20</v>
      </c>
      <c r="W3792" s="38" t="str">
        <f>+IF(U3792="","-",CONCATENATE(U3792,"_",V3792))</f>
        <v>FINES_R20</v>
      </c>
      <c r="X3792" s="42">
        <v>0.376</v>
      </c>
    </row>
    <row r="3793" spans="1:24">
      <c r="A3793" s="21" t="s">
        <v>5100</v>
      </c>
      <c r="B3793" t="s">
        <v>352</v>
      </c>
      <c r="C3793" t="s">
        <v>349</v>
      </c>
      <c r="D3793" t="s">
        <v>2397</v>
      </c>
      <c r="E3793" s="7" t="s">
        <v>198</v>
      </c>
      <c r="F3793" s="7" t="s">
        <v>198</v>
      </c>
      <c r="G3793" s="7" t="s">
        <v>198</v>
      </c>
      <c r="H3793" s="7" t="s">
        <v>20</v>
      </c>
      <c r="I3793" s="7" t="s">
        <v>5102</v>
      </c>
      <c r="J3793" s="7" t="s">
        <v>21</v>
      </c>
      <c r="L3793" t="s">
        <v>3751</v>
      </c>
      <c r="M3793" s="7" t="s">
        <v>22</v>
      </c>
      <c r="N3793" s="7" t="s">
        <v>23</v>
      </c>
      <c r="O3793" s="7" t="s">
        <v>27</v>
      </c>
      <c r="P3793" s="7" t="s">
        <v>5101</v>
      </c>
      <c r="Q3793" s="26">
        <v>17</v>
      </c>
      <c r="R3793" s="26">
        <v>1</v>
      </c>
      <c r="S3793" s="40">
        <v>1</v>
      </c>
      <c r="T3793" s="7"/>
      <c r="U3793" s="7" t="s">
        <v>2951</v>
      </c>
      <c r="V3793" s="7" t="str">
        <f>+IF(U3793="","",IF(U3793="FINES",CONCATENATE("R",IF(OR(B3793="16",B3793="21",B3793="22",B3793="23"),"16212223",IF(OR(B3793="15",B3793="17",B3793="24",B3793="25"),"15172425",B3793))),IF(U3793="CEBAS","UNICO",IF(VALUE(B3793)&lt;=11,"AMBA","INTERIOR"))))</f>
        <v>R20</v>
      </c>
      <c r="W3793" s="38" t="str">
        <f>+IF(U3793="","-",CONCATENATE(U3793,"_",V3793))</f>
        <v>FINES_R20</v>
      </c>
      <c r="X3793" s="42">
        <v>0.38800000000000001</v>
      </c>
    </row>
    <row r="3794" spans="1:24">
      <c r="A3794" s="21" t="s">
        <v>5100</v>
      </c>
      <c r="B3794" t="s">
        <v>352</v>
      </c>
      <c r="C3794" t="s">
        <v>216</v>
      </c>
      <c r="D3794" t="s">
        <v>2600</v>
      </c>
      <c r="E3794" s="7" t="s">
        <v>198</v>
      </c>
      <c r="F3794" s="7" t="s">
        <v>198</v>
      </c>
      <c r="G3794" s="7" t="s">
        <v>198</v>
      </c>
      <c r="H3794" s="7" t="s">
        <v>20</v>
      </c>
      <c r="I3794" s="7" t="s">
        <v>5102</v>
      </c>
      <c r="J3794" s="7" t="s">
        <v>21</v>
      </c>
      <c r="L3794" t="s">
        <v>4929</v>
      </c>
      <c r="M3794" s="7" t="s">
        <v>22</v>
      </c>
      <c r="N3794" s="7" t="s">
        <v>23</v>
      </c>
      <c r="O3794" s="7" t="s">
        <v>27</v>
      </c>
      <c r="P3794" s="7" t="s">
        <v>5101</v>
      </c>
      <c r="Q3794" s="26">
        <v>25</v>
      </c>
      <c r="R3794" s="26">
        <v>2</v>
      </c>
      <c r="S3794" s="40">
        <v>1</v>
      </c>
      <c r="T3794" s="7"/>
      <c r="U3794" s="7" t="s">
        <v>2951</v>
      </c>
      <c r="V3794" s="7" t="str">
        <f>+IF(U3794="","",IF(U3794="FINES",CONCATENATE("R",IF(OR(B3794="16",B3794="21",B3794="22",B3794="23"),"16212223",IF(OR(B3794="15",B3794="17",B3794="24",B3794="25"),"15172425",B3794))),IF(U3794="CEBAS","UNICO",IF(VALUE(B3794)&lt;=11,"AMBA","INTERIOR"))))</f>
        <v>R20</v>
      </c>
      <c r="W3794" s="38" t="str">
        <f>+IF(U3794="","-",CONCATENATE(U3794,"_",V3794))</f>
        <v>FINES_R20</v>
      </c>
      <c r="X3794" s="42">
        <v>0.40200000000000002</v>
      </c>
    </row>
    <row r="3795" spans="1:24">
      <c r="A3795" s="21" t="s">
        <v>5100</v>
      </c>
      <c r="B3795" t="s">
        <v>352</v>
      </c>
      <c r="C3795" t="s">
        <v>521</v>
      </c>
      <c r="D3795" t="s">
        <v>523</v>
      </c>
      <c r="E3795" s="7" t="s">
        <v>198</v>
      </c>
      <c r="F3795" s="7" t="s">
        <v>198</v>
      </c>
      <c r="G3795" s="7" t="s">
        <v>198</v>
      </c>
      <c r="H3795" s="7" t="s">
        <v>20</v>
      </c>
      <c r="I3795" s="7" t="s">
        <v>5102</v>
      </c>
      <c r="J3795" s="7" t="s">
        <v>21</v>
      </c>
      <c r="L3795" t="s">
        <v>4910</v>
      </c>
      <c r="M3795" s="7" t="s">
        <v>22</v>
      </c>
      <c r="N3795" s="7" t="s">
        <v>23</v>
      </c>
      <c r="O3795" s="7" t="s">
        <v>27</v>
      </c>
      <c r="P3795" s="7" t="s">
        <v>5101</v>
      </c>
      <c r="Q3795" s="26">
        <v>114</v>
      </c>
      <c r="R3795" s="26">
        <v>4</v>
      </c>
      <c r="S3795" s="40">
        <v>1</v>
      </c>
      <c r="T3795" s="7"/>
      <c r="U3795" s="7" t="s">
        <v>2951</v>
      </c>
      <c r="V3795" s="7" t="str">
        <f>+IF(U3795="","",IF(U3795="FINES",CONCATENATE("R",IF(OR(B3795="16",B3795="21",B3795="22",B3795="23"),"16212223",IF(OR(B3795="15",B3795="17",B3795="24",B3795="25"),"15172425",B3795))),IF(U3795="CEBAS","UNICO",IF(VALUE(B3795)&lt;=11,"AMBA","INTERIOR"))))</f>
        <v>R20</v>
      </c>
      <c r="W3795" s="38" t="str">
        <f>+IF(U3795="","-",CONCATENATE(U3795,"_",V3795))</f>
        <v>FINES_R20</v>
      </c>
      <c r="X3795" s="42">
        <v>0.42399999999999999</v>
      </c>
    </row>
    <row r="3796" spans="1:24">
      <c r="A3796" s="21" t="s">
        <v>5100</v>
      </c>
      <c r="B3796" t="s">
        <v>352</v>
      </c>
      <c r="C3796" t="s">
        <v>1924</v>
      </c>
      <c r="D3796" t="s">
        <v>1925</v>
      </c>
      <c r="E3796" s="7" t="s">
        <v>198</v>
      </c>
      <c r="F3796" s="7" t="s">
        <v>198</v>
      </c>
      <c r="G3796" s="7" t="s">
        <v>198</v>
      </c>
      <c r="H3796" s="7" t="s">
        <v>20</v>
      </c>
      <c r="I3796" s="7" t="s">
        <v>5102</v>
      </c>
      <c r="J3796" s="7" t="s">
        <v>21</v>
      </c>
      <c r="L3796" t="s">
        <v>4925</v>
      </c>
      <c r="M3796" s="7" t="s">
        <v>22</v>
      </c>
      <c r="N3796" s="7" t="s">
        <v>23</v>
      </c>
      <c r="O3796" s="7" t="s">
        <v>27</v>
      </c>
      <c r="P3796" s="7" t="s">
        <v>5101</v>
      </c>
      <c r="Q3796" s="26">
        <v>25</v>
      </c>
      <c r="R3796" s="26">
        <v>1</v>
      </c>
      <c r="S3796" s="40">
        <v>1</v>
      </c>
      <c r="T3796" s="7"/>
      <c r="U3796" s="7" t="s">
        <v>2951</v>
      </c>
      <c r="V3796" s="7" t="str">
        <f>+IF(U3796="","",IF(U3796="FINES",CONCATENATE("R",IF(OR(B3796="16",B3796="21",B3796="22",B3796="23"),"16212223",IF(OR(B3796="15",B3796="17",B3796="24",B3796="25"),"15172425",B3796))),IF(U3796="CEBAS","UNICO",IF(VALUE(B3796)&lt;=11,"AMBA","INTERIOR"))))</f>
        <v>R20</v>
      </c>
      <c r="W3796" s="38" t="str">
        <f>+IF(U3796="","-",CONCATENATE(U3796,"_",V3796))</f>
        <v>FINES_R20</v>
      </c>
      <c r="X3796" s="42">
        <v>0.437</v>
      </c>
    </row>
    <row r="3797" spans="1:24">
      <c r="A3797" s="21" t="s">
        <v>5100</v>
      </c>
      <c r="B3797" t="s">
        <v>352</v>
      </c>
      <c r="C3797" t="s">
        <v>521</v>
      </c>
      <c r="D3797" t="s">
        <v>523</v>
      </c>
      <c r="E3797" s="7" t="s">
        <v>198</v>
      </c>
      <c r="F3797" s="7" t="s">
        <v>198</v>
      </c>
      <c r="G3797" s="7" t="s">
        <v>198</v>
      </c>
      <c r="H3797" s="7" t="s">
        <v>20</v>
      </c>
      <c r="I3797" s="7" t="s">
        <v>5102</v>
      </c>
      <c r="J3797" s="7" t="s">
        <v>21</v>
      </c>
      <c r="L3797" t="s">
        <v>4911</v>
      </c>
      <c r="M3797" s="7" t="s">
        <v>22</v>
      </c>
      <c r="N3797" s="7" t="s">
        <v>23</v>
      </c>
      <c r="O3797" s="7" t="s">
        <v>27</v>
      </c>
      <c r="P3797" s="7" t="s">
        <v>5101</v>
      </c>
      <c r="Q3797" s="26">
        <v>9</v>
      </c>
      <c r="R3797" s="26">
        <v>1</v>
      </c>
      <c r="S3797" s="40">
        <v>1</v>
      </c>
      <c r="T3797" s="7"/>
      <c r="U3797" s="7" t="s">
        <v>2951</v>
      </c>
      <c r="V3797" s="7" t="str">
        <f>+IF(U3797="","",IF(U3797="FINES",CONCATENATE("R",IF(OR(B3797="16",B3797="21",B3797="22",B3797="23"),"16212223",IF(OR(B3797="15",B3797="17",B3797="24",B3797="25"),"15172425",B3797))),IF(U3797="CEBAS","UNICO",IF(VALUE(B3797)&lt;=11,"AMBA","INTERIOR"))))</f>
        <v>R20</v>
      </c>
      <c r="W3797" s="38" t="str">
        <f>+IF(U3797="","-",CONCATENATE(U3797,"_",V3797))</f>
        <v>FINES_R20</v>
      </c>
      <c r="X3797" s="42">
        <v>0.44600000000000001</v>
      </c>
    </row>
    <row r="3798" spans="1:24">
      <c r="A3798" s="21" t="s">
        <v>5100</v>
      </c>
      <c r="B3798" t="s">
        <v>352</v>
      </c>
      <c r="C3798" t="s">
        <v>1924</v>
      </c>
      <c r="D3798" t="s">
        <v>1925</v>
      </c>
      <c r="E3798" s="7" t="s">
        <v>198</v>
      </c>
      <c r="F3798" s="7" t="s">
        <v>198</v>
      </c>
      <c r="G3798" s="7" t="s">
        <v>198</v>
      </c>
      <c r="H3798" s="7" t="s">
        <v>20</v>
      </c>
      <c r="I3798" s="7" t="s">
        <v>5102</v>
      </c>
      <c r="J3798" s="7" t="s">
        <v>21</v>
      </c>
      <c r="L3798" t="s">
        <v>4926</v>
      </c>
      <c r="M3798" s="7" t="s">
        <v>22</v>
      </c>
      <c r="N3798" s="7" t="s">
        <v>23</v>
      </c>
      <c r="O3798" s="7" t="s">
        <v>27</v>
      </c>
      <c r="P3798" s="7" t="s">
        <v>5101</v>
      </c>
      <c r="Q3798" s="26">
        <v>16</v>
      </c>
      <c r="R3798" s="26">
        <v>1</v>
      </c>
      <c r="S3798" s="40">
        <v>1</v>
      </c>
      <c r="T3798" s="7"/>
      <c r="U3798" s="7" t="s">
        <v>2951</v>
      </c>
      <c r="V3798" s="7" t="str">
        <f>+IF(U3798="","",IF(U3798="FINES",CONCATENATE("R",IF(OR(B3798="16",B3798="21",B3798="22",B3798="23"),"16212223",IF(OR(B3798="15",B3798="17",B3798="24",B3798="25"),"15172425",B3798))),IF(U3798="CEBAS","UNICO",IF(VALUE(B3798)&lt;=11,"AMBA","INTERIOR"))))</f>
        <v>R20</v>
      </c>
      <c r="W3798" s="38" t="str">
        <f>+IF(U3798="","-",CONCATENATE(U3798,"_",V3798))</f>
        <v>FINES_R20</v>
      </c>
      <c r="X3798" s="42">
        <v>0.47699999999999998</v>
      </c>
    </row>
    <row r="3799" spans="1:24">
      <c r="A3799" s="21" t="s">
        <v>5100</v>
      </c>
      <c r="B3799" t="s">
        <v>352</v>
      </c>
      <c r="C3799" t="s">
        <v>349</v>
      </c>
      <c r="D3799" t="s">
        <v>2397</v>
      </c>
      <c r="E3799" s="7" t="s">
        <v>198</v>
      </c>
      <c r="F3799" s="7" t="s">
        <v>198</v>
      </c>
      <c r="G3799" s="7" t="s">
        <v>198</v>
      </c>
      <c r="H3799" s="7" t="s">
        <v>20</v>
      </c>
      <c r="I3799" s="7" t="s">
        <v>5102</v>
      </c>
      <c r="J3799" s="7" t="s">
        <v>21</v>
      </c>
      <c r="L3799" t="s">
        <v>4948</v>
      </c>
      <c r="M3799" s="7" t="s">
        <v>22</v>
      </c>
      <c r="N3799" s="7" t="s">
        <v>23</v>
      </c>
      <c r="O3799" s="7" t="s">
        <v>27</v>
      </c>
      <c r="P3799" s="7" t="s">
        <v>5101</v>
      </c>
      <c r="Q3799" s="26">
        <v>18</v>
      </c>
      <c r="R3799" s="26">
        <v>1</v>
      </c>
      <c r="S3799" s="40">
        <v>1</v>
      </c>
      <c r="T3799" s="7"/>
      <c r="U3799" s="7" t="s">
        <v>2951</v>
      </c>
      <c r="V3799" s="7" t="str">
        <f>+IF(U3799="","",IF(U3799="FINES",CONCATENATE("R",IF(OR(B3799="16",B3799="21",B3799="22",B3799="23"),"16212223",IF(OR(B3799="15",B3799="17",B3799="24",B3799="25"),"15172425",B3799))),IF(U3799="CEBAS","UNICO",IF(VALUE(B3799)&lt;=11,"AMBA","INTERIOR"))))</f>
        <v>R20</v>
      </c>
      <c r="W3799" s="38" t="str">
        <f>+IF(U3799="","-",CONCATENATE(U3799,"_",V3799))</f>
        <v>FINES_R20</v>
      </c>
      <c r="X3799" s="42">
        <v>0.48699999999999999</v>
      </c>
    </row>
    <row r="3800" spans="1:24">
      <c r="A3800" s="21" t="s">
        <v>5100</v>
      </c>
      <c r="B3800" t="s">
        <v>352</v>
      </c>
      <c r="C3800" t="s">
        <v>349</v>
      </c>
      <c r="D3800" t="s">
        <v>2397</v>
      </c>
      <c r="E3800" s="7" t="s">
        <v>198</v>
      </c>
      <c r="F3800" s="7" t="s">
        <v>198</v>
      </c>
      <c r="G3800" s="7" t="s">
        <v>198</v>
      </c>
      <c r="H3800" s="7" t="s">
        <v>20</v>
      </c>
      <c r="I3800" s="7" t="s">
        <v>5102</v>
      </c>
      <c r="J3800" s="7" t="s">
        <v>21</v>
      </c>
      <c r="L3800" t="s">
        <v>2420</v>
      </c>
      <c r="M3800" s="7" t="s">
        <v>22</v>
      </c>
      <c r="N3800" s="7" t="s">
        <v>23</v>
      </c>
      <c r="O3800" s="7" t="s">
        <v>27</v>
      </c>
      <c r="P3800" s="7" t="s">
        <v>5101</v>
      </c>
      <c r="Q3800" s="26">
        <v>20</v>
      </c>
      <c r="R3800" s="26">
        <v>1</v>
      </c>
      <c r="S3800" s="40">
        <v>1</v>
      </c>
      <c r="T3800" s="7"/>
      <c r="U3800" s="7" t="s">
        <v>2951</v>
      </c>
      <c r="V3800" s="7" t="str">
        <f>+IF(U3800="","",IF(U3800="FINES",CONCATENATE("R",IF(OR(B3800="16",B3800="21",B3800="22",B3800="23"),"16212223",IF(OR(B3800="15",B3800="17",B3800="24",B3800="25"),"15172425",B3800))),IF(U3800="CEBAS","UNICO",IF(VALUE(B3800)&lt;=11,"AMBA","INTERIOR"))))</f>
        <v>R20</v>
      </c>
      <c r="W3800" s="38" t="str">
        <f>+IF(U3800="","-",CONCATENATE(U3800,"_",V3800))</f>
        <v>FINES_R20</v>
      </c>
      <c r="X3800" s="42">
        <v>0.495</v>
      </c>
    </row>
    <row r="3801" spans="1:24">
      <c r="A3801" s="21" t="s">
        <v>5100</v>
      </c>
      <c r="B3801" t="s">
        <v>352</v>
      </c>
      <c r="C3801" t="s">
        <v>349</v>
      </c>
      <c r="D3801" t="s">
        <v>2397</v>
      </c>
      <c r="E3801" s="7" t="s">
        <v>198</v>
      </c>
      <c r="F3801" s="7" t="s">
        <v>198</v>
      </c>
      <c r="G3801" s="7" t="s">
        <v>198</v>
      </c>
      <c r="H3801" s="7" t="s">
        <v>20</v>
      </c>
      <c r="I3801" s="7" t="s">
        <v>5102</v>
      </c>
      <c r="J3801" s="7" t="s">
        <v>21</v>
      </c>
      <c r="L3801" t="s">
        <v>4941</v>
      </c>
      <c r="M3801" s="7" t="s">
        <v>22</v>
      </c>
      <c r="N3801" s="7" t="s">
        <v>23</v>
      </c>
      <c r="O3801" s="7" t="s">
        <v>27</v>
      </c>
      <c r="P3801" s="7" t="s">
        <v>5101</v>
      </c>
      <c r="Q3801" s="26">
        <v>70</v>
      </c>
      <c r="R3801" s="26">
        <v>4</v>
      </c>
      <c r="S3801" s="40">
        <v>1</v>
      </c>
      <c r="T3801" s="7"/>
      <c r="U3801" s="7" t="s">
        <v>2951</v>
      </c>
      <c r="V3801" s="7" t="str">
        <f>+IF(U3801="","",IF(U3801="FINES",CONCATENATE("R",IF(OR(B3801="16",B3801="21",B3801="22",B3801="23"),"16212223",IF(OR(B3801="15",B3801="17",B3801="24",B3801="25"),"15172425",B3801))),IF(U3801="CEBAS","UNICO",IF(VALUE(B3801)&lt;=11,"AMBA","INTERIOR"))))</f>
        <v>R20</v>
      </c>
      <c r="W3801" s="38" t="str">
        <f>+IF(U3801="","-",CONCATENATE(U3801,"_",V3801))</f>
        <v>FINES_R20</v>
      </c>
      <c r="X3801" s="42">
        <v>0.51700000000000002</v>
      </c>
    </row>
    <row r="3802" spans="1:24">
      <c r="A3802" s="21" t="s">
        <v>5100</v>
      </c>
      <c r="B3802" t="s">
        <v>352</v>
      </c>
      <c r="C3802" t="s">
        <v>349</v>
      </c>
      <c r="D3802" t="s">
        <v>2397</v>
      </c>
      <c r="E3802" s="7" t="s">
        <v>198</v>
      </c>
      <c r="F3802" s="7" t="s">
        <v>198</v>
      </c>
      <c r="G3802" s="7" t="s">
        <v>198</v>
      </c>
      <c r="H3802" s="7" t="s">
        <v>20</v>
      </c>
      <c r="I3802" s="7" t="s">
        <v>5102</v>
      </c>
      <c r="J3802" s="7" t="s">
        <v>21</v>
      </c>
      <c r="L3802" t="s">
        <v>4933</v>
      </c>
      <c r="M3802" s="7" t="s">
        <v>22</v>
      </c>
      <c r="N3802" s="7" t="s">
        <v>23</v>
      </c>
      <c r="O3802" s="7" t="s">
        <v>27</v>
      </c>
      <c r="P3802" s="7" t="s">
        <v>5101</v>
      </c>
      <c r="Q3802" s="26">
        <v>17</v>
      </c>
      <c r="R3802" s="26">
        <v>1</v>
      </c>
      <c r="S3802" s="40">
        <v>1</v>
      </c>
      <c r="T3802" s="7"/>
      <c r="U3802" s="7" t="s">
        <v>2951</v>
      </c>
      <c r="V3802" s="7" t="str">
        <f>+IF(U3802="","",IF(U3802="FINES",CONCATENATE("R",IF(OR(B3802="16",B3802="21",B3802="22",B3802="23"),"16212223",IF(OR(B3802="15",B3802="17",B3802="24",B3802="25"),"15172425",B3802))),IF(U3802="CEBAS","UNICO",IF(VALUE(B3802)&lt;=11,"AMBA","INTERIOR"))))</f>
        <v>R20</v>
      </c>
      <c r="W3802" s="38" t="str">
        <f>+IF(U3802="","-",CONCATENATE(U3802,"_",V3802))</f>
        <v>FINES_R20</v>
      </c>
      <c r="X3802" s="42">
        <v>0.52800000000000002</v>
      </c>
    </row>
    <row r="3803" spans="1:24">
      <c r="A3803" s="21" t="s">
        <v>5100</v>
      </c>
      <c r="B3803" t="s">
        <v>352</v>
      </c>
      <c r="C3803" t="s">
        <v>349</v>
      </c>
      <c r="D3803" t="s">
        <v>2397</v>
      </c>
      <c r="E3803" s="7" t="s">
        <v>198</v>
      </c>
      <c r="F3803" s="7" t="s">
        <v>198</v>
      </c>
      <c r="G3803" s="7" t="s">
        <v>198</v>
      </c>
      <c r="H3803" s="7" t="s">
        <v>20</v>
      </c>
      <c r="I3803" s="7" t="s">
        <v>5102</v>
      </c>
      <c r="J3803" s="7" t="s">
        <v>21</v>
      </c>
      <c r="L3803" t="s">
        <v>4944</v>
      </c>
      <c r="M3803" s="7" t="s">
        <v>22</v>
      </c>
      <c r="N3803" s="7" t="s">
        <v>23</v>
      </c>
      <c r="O3803" s="7" t="s">
        <v>27</v>
      </c>
      <c r="P3803" s="7" t="s">
        <v>5101</v>
      </c>
      <c r="Q3803" s="26">
        <v>83</v>
      </c>
      <c r="R3803" s="26">
        <v>5</v>
      </c>
      <c r="S3803" s="40">
        <v>1</v>
      </c>
      <c r="T3803" s="7"/>
      <c r="U3803" s="7" t="s">
        <v>2951</v>
      </c>
      <c r="V3803" s="7" t="str">
        <f>+IF(U3803="","",IF(U3803="FINES",CONCATENATE("R",IF(OR(B3803="16",B3803="21",B3803="22",B3803="23"),"16212223",IF(OR(B3803="15",B3803="17",B3803="24",B3803="25"),"15172425",B3803))),IF(U3803="CEBAS","UNICO",IF(VALUE(B3803)&lt;=11,"AMBA","INTERIOR"))))</f>
        <v>R20</v>
      </c>
      <c r="W3803" s="38" t="str">
        <f>+IF(U3803="","-",CONCATENATE(U3803,"_",V3803))</f>
        <v>FINES_R20</v>
      </c>
      <c r="X3803" s="42">
        <v>0.53300000000000003</v>
      </c>
    </row>
    <row r="3804" spans="1:24">
      <c r="A3804" s="21" t="s">
        <v>5100</v>
      </c>
      <c r="B3804" t="s">
        <v>352</v>
      </c>
      <c r="C3804" t="s">
        <v>349</v>
      </c>
      <c r="D3804" t="s">
        <v>2397</v>
      </c>
      <c r="E3804" s="7" t="s">
        <v>198</v>
      </c>
      <c r="F3804" s="7" t="s">
        <v>198</v>
      </c>
      <c r="G3804" s="7" t="s">
        <v>198</v>
      </c>
      <c r="H3804" s="7" t="s">
        <v>20</v>
      </c>
      <c r="I3804" s="7" t="s">
        <v>5102</v>
      </c>
      <c r="J3804" s="7" t="s">
        <v>21</v>
      </c>
      <c r="L3804" t="s">
        <v>4931</v>
      </c>
      <c r="M3804" s="7" t="s">
        <v>22</v>
      </c>
      <c r="N3804" s="7" t="s">
        <v>23</v>
      </c>
      <c r="O3804" s="7" t="s">
        <v>27</v>
      </c>
      <c r="P3804" s="7" t="s">
        <v>5101</v>
      </c>
      <c r="Q3804" s="26">
        <v>43</v>
      </c>
      <c r="R3804" s="26">
        <v>2</v>
      </c>
      <c r="S3804" s="40">
        <v>1</v>
      </c>
      <c r="T3804" s="7"/>
      <c r="U3804" s="7" t="s">
        <v>2951</v>
      </c>
      <c r="V3804" s="7" t="str">
        <f>+IF(U3804="","",IF(U3804="FINES",CONCATENATE("R",IF(OR(B3804="16",B3804="21",B3804="22",B3804="23"),"16212223",IF(OR(B3804="15",B3804="17",B3804="24",B3804="25"),"15172425",B3804))),IF(U3804="CEBAS","UNICO",IF(VALUE(B3804)&lt;=11,"AMBA","INTERIOR"))))</f>
        <v>R20</v>
      </c>
      <c r="W3804" s="38" t="str">
        <f>+IF(U3804="","-",CONCATENATE(U3804,"_",V3804))</f>
        <v>FINES_R20</v>
      </c>
      <c r="X3804" s="42">
        <v>0.55600000000000005</v>
      </c>
    </row>
    <row r="3805" spans="1:24">
      <c r="A3805" s="21" t="s">
        <v>5100</v>
      </c>
      <c r="B3805" t="s">
        <v>352</v>
      </c>
      <c r="C3805" t="s">
        <v>1338</v>
      </c>
      <c r="D3805" t="s">
        <v>1339</v>
      </c>
      <c r="E3805" s="7" t="s">
        <v>198</v>
      </c>
      <c r="F3805" s="7" t="s">
        <v>198</v>
      </c>
      <c r="G3805" s="7" t="s">
        <v>198</v>
      </c>
      <c r="H3805" s="7" t="s">
        <v>20</v>
      </c>
      <c r="I3805" s="7" t="s">
        <v>5102</v>
      </c>
      <c r="J3805" s="7" t="s">
        <v>21</v>
      </c>
      <c r="L3805" t="s">
        <v>4918</v>
      </c>
      <c r="M3805" s="7" t="s">
        <v>22</v>
      </c>
      <c r="N3805" s="7" t="s">
        <v>23</v>
      </c>
      <c r="O3805" s="7" t="s">
        <v>27</v>
      </c>
      <c r="P3805" s="7" t="s">
        <v>5101</v>
      </c>
      <c r="Q3805" s="26">
        <v>20</v>
      </c>
      <c r="R3805" s="26">
        <v>1</v>
      </c>
      <c r="S3805" s="40">
        <v>1</v>
      </c>
      <c r="T3805" s="7"/>
      <c r="U3805" s="7" t="s">
        <v>2951</v>
      </c>
      <c r="V3805" s="7" t="str">
        <f>+IF(U3805="","",IF(U3805="FINES",CONCATENATE("R",IF(OR(B3805="16",B3805="21",B3805="22",B3805="23"),"16212223",IF(OR(B3805="15",B3805="17",B3805="24",B3805="25"),"15172425",B3805))),IF(U3805="CEBAS","UNICO",IF(VALUE(B3805)&lt;=11,"AMBA","INTERIOR"))))</f>
        <v>R20</v>
      </c>
      <c r="W3805" s="38" t="str">
        <f>+IF(U3805="","-",CONCATENATE(U3805,"_",V3805))</f>
        <v>FINES_R20</v>
      </c>
      <c r="X3805" s="42">
        <v>0.56899999999999995</v>
      </c>
    </row>
    <row r="3806" spans="1:24">
      <c r="A3806" s="21" t="s">
        <v>5100</v>
      </c>
      <c r="B3806" t="s">
        <v>352</v>
      </c>
      <c r="C3806" t="s">
        <v>1924</v>
      </c>
      <c r="D3806" t="s">
        <v>1925</v>
      </c>
      <c r="E3806" s="7" t="s">
        <v>198</v>
      </c>
      <c r="F3806" s="7" t="s">
        <v>198</v>
      </c>
      <c r="G3806" s="7" t="s">
        <v>198</v>
      </c>
      <c r="H3806" s="7" t="s">
        <v>20</v>
      </c>
      <c r="I3806" s="7" t="s">
        <v>5102</v>
      </c>
      <c r="J3806" s="7" t="s">
        <v>21</v>
      </c>
      <c r="L3806" t="s">
        <v>4921</v>
      </c>
      <c r="M3806" s="7" t="s">
        <v>22</v>
      </c>
      <c r="N3806" s="7" t="s">
        <v>23</v>
      </c>
      <c r="O3806" s="7" t="s">
        <v>27</v>
      </c>
      <c r="P3806" s="7" t="s">
        <v>5101</v>
      </c>
      <c r="Q3806" s="26">
        <v>29</v>
      </c>
      <c r="R3806" s="26">
        <v>1</v>
      </c>
      <c r="S3806" s="40">
        <v>1</v>
      </c>
      <c r="T3806" s="7"/>
      <c r="U3806" s="7" t="s">
        <v>2951</v>
      </c>
      <c r="V3806" s="7" t="str">
        <f>+IF(U3806="","",IF(U3806="FINES",CONCATENATE("R",IF(OR(B3806="16",B3806="21",B3806="22",B3806="23"),"16212223",IF(OR(B3806="15",B3806="17",B3806="24",B3806="25"),"15172425",B3806))),IF(U3806="CEBAS","UNICO",IF(VALUE(B3806)&lt;=11,"AMBA","INTERIOR"))))</f>
        <v>R20</v>
      </c>
      <c r="W3806" s="38" t="str">
        <f>+IF(U3806="","-",CONCATENATE(U3806,"_",V3806))</f>
        <v>FINES_R20</v>
      </c>
      <c r="X3806" s="42">
        <v>0.59</v>
      </c>
    </row>
    <row r="3807" spans="1:24">
      <c r="A3807" s="21" t="s">
        <v>5100</v>
      </c>
      <c r="B3807" t="s">
        <v>352</v>
      </c>
      <c r="C3807" t="s">
        <v>1924</v>
      </c>
      <c r="D3807" t="s">
        <v>1925</v>
      </c>
      <c r="E3807" s="7" t="s">
        <v>198</v>
      </c>
      <c r="F3807" s="7" t="s">
        <v>198</v>
      </c>
      <c r="G3807" s="7" t="s">
        <v>198</v>
      </c>
      <c r="H3807" s="7" t="s">
        <v>20</v>
      </c>
      <c r="I3807" s="7" t="s">
        <v>5102</v>
      </c>
      <c r="J3807" s="7" t="s">
        <v>21</v>
      </c>
      <c r="L3807" t="s">
        <v>4924</v>
      </c>
      <c r="M3807" s="7" t="s">
        <v>22</v>
      </c>
      <c r="N3807" s="7" t="s">
        <v>23</v>
      </c>
      <c r="O3807" s="7" t="s">
        <v>27</v>
      </c>
      <c r="P3807" s="7" t="s">
        <v>5101</v>
      </c>
      <c r="Q3807" s="26">
        <v>86</v>
      </c>
      <c r="R3807" s="26">
        <v>3</v>
      </c>
      <c r="S3807" s="40">
        <v>1</v>
      </c>
      <c r="T3807" s="7"/>
      <c r="U3807" s="7" t="s">
        <v>2951</v>
      </c>
      <c r="V3807" s="7" t="str">
        <f>+IF(U3807="","",IF(U3807="FINES",CONCATENATE("R",IF(OR(B3807="16",B3807="21",B3807="22",B3807="23"),"16212223",IF(OR(B3807="15",B3807="17",B3807="24",B3807="25"),"15172425",B3807))),IF(U3807="CEBAS","UNICO",IF(VALUE(B3807)&lt;=11,"AMBA","INTERIOR"))))</f>
        <v>R20</v>
      </c>
      <c r="W3807" s="38" t="str">
        <f>+IF(U3807="","-",CONCATENATE(U3807,"_",V3807))</f>
        <v>FINES_R20</v>
      </c>
      <c r="X3807" s="42">
        <v>0.59499999999999997</v>
      </c>
    </row>
    <row r="3808" spans="1:24">
      <c r="A3808" s="21" t="s">
        <v>5100</v>
      </c>
      <c r="B3808" t="s">
        <v>352</v>
      </c>
      <c r="C3808" t="s">
        <v>349</v>
      </c>
      <c r="D3808" t="s">
        <v>2397</v>
      </c>
      <c r="E3808" s="7" t="s">
        <v>198</v>
      </c>
      <c r="F3808" s="7" t="s">
        <v>198</v>
      </c>
      <c r="G3808" s="7" t="s">
        <v>198</v>
      </c>
      <c r="H3808" s="7" t="s">
        <v>20</v>
      </c>
      <c r="I3808" s="7" t="s">
        <v>5102</v>
      </c>
      <c r="J3808" s="7" t="s">
        <v>21</v>
      </c>
      <c r="L3808" t="s">
        <v>4946</v>
      </c>
      <c r="M3808" s="7" t="s">
        <v>22</v>
      </c>
      <c r="N3808" s="7" t="s">
        <v>23</v>
      </c>
      <c r="O3808" s="7" t="s">
        <v>27</v>
      </c>
      <c r="P3808" s="7" t="s">
        <v>5101</v>
      </c>
      <c r="Q3808" s="26">
        <v>0</v>
      </c>
      <c r="R3808" s="26">
        <v>1</v>
      </c>
      <c r="S3808" s="40">
        <v>1</v>
      </c>
      <c r="T3808" s="7"/>
      <c r="U3808" s="7" t="s">
        <v>2951</v>
      </c>
      <c r="V3808" s="7" t="str">
        <f>+IF(U3808="","",IF(U3808="FINES",CONCATENATE("R",IF(OR(B3808="16",B3808="21",B3808="22",B3808="23"),"16212223",IF(OR(B3808="15",B3808="17",B3808="24",B3808="25"),"15172425",B3808))),IF(U3808="CEBAS","UNICO",IF(VALUE(B3808)&lt;=11,"AMBA","INTERIOR"))))</f>
        <v>R20</v>
      </c>
      <c r="W3808" s="38" t="str">
        <f>+IF(U3808="","-",CONCATENATE(U3808,"_",V3808))</f>
        <v>FINES_R20</v>
      </c>
      <c r="X3808" s="42">
        <v>0.628</v>
      </c>
    </row>
    <row r="3809" spans="1:24">
      <c r="A3809" s="21" t="s">
        <v>5100</v>
      </c>
      <c r="B3809" t="s">
        <v>352</v>
      </c>
      <c r="C3809" t="s">
        <v>521</v>
      </c>
      <c r="D3809" t="s">
        <v>523</v>
      </c>
      <c r="E3809" s="7" t="s">
        <v>198</v>
      </c>
      <c r="F3809" s="7" t="s">
        <v>198</v>
      </c>
      <c r="G3809" s="7" t="s">
        <v>198</v>
      </c>
      <c r="H3809" s="7" t="s">
        <v>20</v>
      </c>
      <c r="I3809" s="7" t="s">
        <v>5102</v>
      </c>
      <c r="J3809" s="7" t="s">
        <v>21</v>
      </c>
      <c r="L3809" t="s">
        <v>4914</v>
      </c>
      <c r="M3809" s="7" t="s">
        <v>22</v>
      </c>
      <c r="N3809" s="7" t="s">
        <v>23</v>
      </c>
      <c r="O3809" s="7" t="s">
        <v>27</v>
      </c>
      <c r="P3809" s="7" t="s">
        <v>5101</v>
      </c>
      <c r="Q3809" s="26">
        <v>16</v>
      </c>
      <c r="R3809" s="26">
        <v>1</v>
      </c>
      <c r="S3809" s="40">
        <v>1</v>
      </c>
      <c r="T3809" s="7"/>
      <c r="U3809" s="7" t="s">
        <v>2951</v>
      </c>
      <c r="V3809" s="7" t="str">
        <f>+IF(U3809="","",IF(U3809="FINES",CONCATENATE("R",IF(OR(B3809="16",B3809="21",B3809="22",B3809="23"),"16212223",IF(OR(B3809="15",B3809="17",B3809="24",B3809="25"),"15172425",B3809))),IF(U3809="CEBAS","UNICO",IF(VALUE(B3809)&lt;=11,"AMBA","INTERIOR"))))</f>
        <v>R20</v>
      </c>
      <c r="W3809" s="38" t="str">
        <f>+IF(U3809="","-",CONCATENATE(U3809,"_",V3809))</f>
        <v>FINES_R20</v>
      </c>
      <c r="X3809" s="42">
        <v>0.63700000000000001</v>
      </c>
    </row>
    <row r="3810" spans="1:24">
      <c r="A3810" s="21" t="s">
        <v>5100</v>
      </c>
      <c r="B3810" t="s">
        <v>352</v>
      </c>
      <c r="C3810" t="s">
        <v>349</v>
      </c>
      <c r="D3810" t="s">
        <v>2397</v>
      </c>
      <c r="E3810" s="7" t="s">
        <v>198</v>
      </c>
      <c r="F3810" s="7" t="s">
        <v>198</v>
      </c>
      <c r="G3810" s="7" t="s">
        <v>198</v>
      </c>
      <c r="H3810" s="7" t="s">
        <v>20</v>
      </c>
      <c r="I3810" s="7" t="s">
        <v>5102</v>
      </c>
      <c r="J3810" s="7" t="s">
        <v>21</v>
      </c>
      <c r="L3810" t="s">
        <v>4949</v>
      </c>
      <c r="M3810" s="7" t="s">
        <v>22</v>
      </c>
      <c r="N3810" s="7" t="s">
        <v>23</v>
      </c>
      <c r="O3810" s="7" t="s">
        <v>27</v>
      </c>
      <c r="P3810" s="7" t="s">
        <v>5101</v>
      </c>
      <c r="Q3810" s="26">
        <v>17</v>
      </c>
      <c r="R3810" s="26">
        <v>1</v>
      </c>
      <c r="S3810" s="40">
        <v>1</v>
      </c>
      <c r="T3810" s="7"/>
      <c r="U3810" s="7" t="s">
        <v>2951</v>
      </c>
      <c r="V3810" s="7" t="str">
        <f>+IF(U3810="","",IF(U3810="FINES",CONCATENATE("R",IF(OR(B3810="16",B3810="21",B3810="22",B3810="23"),"16212223",IF(OR(B3810="15",B3810="17",B3810="24",B3810="25"),"15172425",B3810))),IF(U3810="CEBAS","UNICO",IF(VALUE(B3810)&lt;=11,"AMBA","INTERIOR"))))</f>
        <v>R20</v>
      </c>
      <c r="W3810" s="38" t="str">
        <f>+IF(U3810="","-",CONCATENATE(U3810,"_",V3810))</f>
        <v>FINES_R20</v>
      </c>
      <c r="X3810" s="42">
        <v>0.64400000000000002</v>
      </c>
    </row>
    <row r="3811" spans="1:24">
      <c r="A3811" s="21" t="s">
        <v>5100</v>
      </c>
      <c r="B3811" t="s">
        <v>352</v>
      </c>
      <c r="C3811" t="s">
        <v>349</v>
      </c>
      <c r="D3811" t="s">
        <v>2397</v>
      </c>
      <c r="E3811" s="7" t="s">
        <v>198</v>
      </c>
      <c r="F3811" s="7" t="s">
        <v>198</v>
      </c>
      <c r="G3811" s="7" t="s">
        <v>198</v>
      </c>
      <c r="H3811" s="7" t="s">
        <v>20</v>
      </c>
      <c r="I3811" s="7" t="s">
        <v>5102</v>
      </c>
      <c r="J3811" s="7" t="s">
        <v>21</v>
      </c>
      <c r="L3811" t="s">
        <v>4945</v>
      </c>
      <c r="M3811" s="7" t="s">
        <v>22</v>
      </c>
      <c r="N3811" s="7" t="s">
        <v>23</v>
      </c>
      <c r="O3811" s="7" t="s">
        <v>27</v>
      </c>
      <c r="P3811" s="7" t="s">
        <v>5101</v>
      </c>
      <c r="Q3811" s="26">
        <v>14</v>
      </c>
      <c r="R3811" s="26">
        <v>1</v>
      </c>
      <c r="S3811" s="40">
        <v>1</v>
      </c>
      <c r="T3811" s="7"/>
      <c r="U3811" s="7" t="s">
        <v>2951</v>
      </c>
      <c r="V3811" s="7" t="str">
        <f>+IF(U3811="","",IF(U3811="FINES",CONCATENATE("R",IF(OR(B3811="16",B3811="21",B3811="22",B3811="23"),"16212223",IF(OR(B3811="15",B3811="17",B3811="24",B3811="25"),"15172425",B3811))),IF(U3811="CEBAS","UNICO",IF(VALUE(B3811)&lt;=11,"AMBA","INTERIOR"))))</f>
        <v>R20</v>
      </c>
      <c r="W3811" s="38" t="str">
        <f>+IF(U3811="","-",CONCATENATE(U3811,"_",V3811))</f>
        <v>FINES_R20</v>
      </c>
      <c r="X3811" s="42">
        <v>0.64800000000000002</v>
      </c>
    </row>
    <row r="3812" spans="1:24">
      <c r="A3812" s="21" t="s">
        <v>5100</v>
      </c>
      <c r="B3812" t="s">
        <v>352</v>
      </c>
      <c r="C3812" t="s">
        <v>521</v>
      </c>
      <c r="D3812" t="s">
        <v>523</v>
      </c>
      <c r="E3812" s="7" t="s">
        <v>198</v>
      </c>
      <c r="F3812" s="7" t="s">
        <v>198</v>
      </c>
      <c r="G3812" s="7" t="s">
        <v>198</v>
      </c>
      <c r="H3812" s="7" t="s">
        <v>20</v>
      </c>
      <c r="I3812" s="7" t="s">
        <v>5102</v>
      </c>
      <c r="J3812" s="7" t="s">
        <v>21</v>
      </c>
      <c r="L3812" t="s">
        <v>4912</v>
      </c>
      <c r="M3812" s="7" t="s">
        <v>22</v>
      </c>
      <c r="N3812" s="7" t="s">
        <v>23</v>
      </c>
      <c r="O3812" s="7" t="s">
        <v>27</v>
      </c>
      <c r="P3812" s="7" t="s">
        <v>5101</v>
      </c>
      <c r="Q3812" s="26">
        <v>17</v>
      </c>
      <c r="R3812" s="26">
        <v>1</v>
      </c>
      <c r="S3812" s="40">
        <v>1</v>
      </c>
      <c r="T3812" s="7"/>
      <c r="U3812" s="7" t="s">
        <v>2951</v>
      </c>
      <c r="V3812" s="7" t="str">
        <f>+IF(U3812="","",IF(U3812="FINES",CONCATENATE("R",IF(OR(B3812="16",B3812="21",B3812="22",B3812="23"),"16212223",IF(OR(B3812="15",B3812="17",B3812="24",B3812="25"),"15172425",B3812))),IF(U3812="CEBAS","UNICO",IF(VALUE(B3812)&lt;=11,"AMBA","INTERIOR"))))</f>
        <v>R20</v>
      </c>
      <c r="W3812" s="38" t="str">
        <f>+IF(U3812="","-",CONCATENATE(U3812,"_",V3812))</f>
        <v>FINES_R20</v>
      </c>
      <c r="X3812" s="42">
        <v>0.65400000000000003</v>
      </c>
    </row>
    <row r="3813" spans="1:24">
      <c r="A3813" s="21" t="s">
        <v>5100</v>
      </c>
      <c r="B3813" t="s">
        <v>352</v>
      </c>
      <c r="C3813" t="s">
        <v>349</v>
      </c>
      <c r="D3813" t="s">
        <v>2397</v>
      </c>
      <c r="E3813" s="7" t="s">
        <v>198</v>
      </c>
      <c r="F3813" s="7" t="s">
        <v>198</v>
      </c>
      <c r="G3813" s="7" t="s">
        <v>198</v>
      </c>
      <c r="H3813" s="7" t="s">
        <v>20</v>
      </c>
      <c r="I3813" s="7" t="s">
        <v>5102</v>
      </c>
      <c r="J3813" s="7" t="s">
        <v>21</v>
      </c>
      <c r="L3813" t="s">
        <v>4940</v>
      </c>
      <c r="M3813" s="7" t="s">
        <v>22</v>
      </c>
      <c r="N3813" s="7" t="s">
        <v>23</v>
      </c>
      <c r="O3813" s="7" t="s">
        <v>27</v>
      </c>
      <c r="P3813" s="7" t="s">
        <v>5101</v>
      </c>
      <c r="Q3813" s="26">
        <v>19</v>
      </c>
      <c r="R3813" s="26">
        <v>1</v>
      </c>
      <c r="S3813" s="40">
        <v>1</v>
      </c>
      <c r="T3813" s="7"/>
      <c r="U3813" s="7" t="s">
        <v>2951</v>
      </c>
      <c r="V3813" s="7" t="str">
        <f>+IF(U3813="","",IF(U3813="FINES",CONCATENATE("R",IF(OR(B3813="16",B3813="21",B3813="22",B3813="23"),"16212223",IF(OR(B3813="15",B3813="17",B3813="24",B3813="25"),"15172425",B3813))),IF(U3813="CEBAS","UNICO",IF(VALUE(B3813)&lt;=11,"AMBA","INTERIOR"))))</f>
        <v>R20</v>
      </c>
      <c r="W3813" s="38" t="str">
        <f>+IF(U3813="","-",CONCATENATE(U3813,"_",V3813))</f>
        <v>FINES_R20</v>
      </c>
      <c r="X3813" s="42">
        <v>0.68200000000000005</v>
      </c>
    </row>
    <row r="3814" spans="1:24">
      <c r="A3814" s="21" t="s">
        <v>5100</v>
      </c>
      <c r="B3814" t="s">
        <v>352</v>
      </c>
      <c r="C3814" t="s">
        <v>1338</v>
      </c>
      <c r="D3814" t="s">
        <v>1339</v>
      </c>
      <c r="E3814" s="7" t="s">
        <v>198</v>
      </c>
      <c r="F3814" s="7" t="s">
        <v>198</v>
      </c>
      <c r="G3814" s="7" t="s">
        <v>198</v>
      </c>
      <c r="H3814" s="7" t="s">
        <v>20</v>
      </c>
      <c r="I3814" s="7" t="s">
        <v>5102</v>
      </c>
      <c r="J3814" s="7" t="s">
        <v>21</v>
      </c>
      <c r="L3814" t="s">
        <v>3863</v>
      </c>
      <c r="M3814" s="7" t="s">
        <v>22</v>
      </c>
      <c r="N3814" s="7" t="s">
        <v>23</v>
      </c>
      <c r="O3814" s="7" t="s">
        <v>27</v>
      </c>
      <c r="P3814" s="7" t="s">
        <v>5101</v>
      </c>
      <c r="Q3814" s="26">
        <v>21</v>
      </c>
      <c r="R3814" s="26">
        <v>1</v>
      </c>
      <c r="S3814" s="40">
        <v>1</v>
      </c>
      <c r="T3814" s="7"/>
      <c r="U3814" s="7" t="s">
        <v>2951</v>
      </c>
      <c r="V3814" s="7" t="str">
        <f>+IF(U3814="","",IF(U3814="FINES",CONCATENATE("R",IF(OR(B3814="16",B3814="21",B3814="22",B3814="23"),"16212223",IF(OR(B3814="15",B3814="17",B3814="24",B3814="25"),"15172425",B3814))),IF(U3814="CEBAS","UNICO",IF(VALUE(B3814)&lt;=11,"AMBA","INTERIOR"))))</f>
        <v>R20</v>
      </c>
      <c r="W3814" s="38" t="str">
        <f>+IF(U3814="","-",CONCATENATE(U3814,"_",V3814))</f>
        <v>FINES_R20</v>
      </c>
      <c r="X3814" s="42">
        <v>0.68400000000000005</v>
      </c>
    </row>
    <row r="3815" spans="1:24">
      <c r="A3815" s="21" t="s">
        <v>5100</v>
      </c>
      <c r="B3815" t="s">
        <v>352</v>
      </c>
      <c r="C3815" t="s">
        <v>349</v>
      </c>
      <c r="D3815" t="s">
        <v>2397</v>
      </c>
      <c r="E3815" s="7" t="s">
        <v>198</v>
      </c>
      <c r="F3815" s="7" t="s">
        <v>198</v>
      </c>
      <c r="G3815" s="7" t="s">
        <v>198</v>
      </c>
      <c r="H3815" s="7" t="s">
        <v>20</v>
      </c>
      <c r="I3815" s="7" t="s">
        <v>5102</v>
      </c>
      <c r="J3815" s="7" t="s">
        <v>21</v>
      </c>
      <c r="L3815" t="s">
        <v>4951</v>
      </c>
      <c r="M3815" s="7" t="s">
        <v>22</v>
      </c>
      <c r="N3815" s="7" t="s">
        <v>23</v>
      </c>
      <c r="O3815" s="7" t="s">
        <v>27</v>
      </c>
      <c r="P3815" s="7" t="s">
        <v>5101</v>
      </c>
      <c r="Q3815" s="26">
        <v>21</v>
      </c>
      <c r="R3815" s="26">
        <v>1</v>
      </c>
      <c r="S3815" s="40">
        <v>1</v>
      </c>
      <c r="T3815" s="7"/>
      <c r="U3815" s="7" t="s">
        <v>2951</v>
      </c>
      <c r="V3815" s="7" t="str">
        <f>+IF(U3815="","",IF(U3815="FINES",CONCATENATE("R",IF(OR(B3815="16",B3815="21",B3815="22",B3815="23"),"16212223",IF(OR(B3815="15",B3815="17",B3815="24",B3815="25"),"15172425",B3815))),IF(U3815="CEBAS","UNICO",IF(VALUE(B3815)&lt;=11,"AMBA","INTERIOR"))))</f>
        <v>R20</v>
      </c>
      <c r="W3815" s="38" t="str">
        <f>+IF(U3815="","-",CONCATENATE(U3815,"_",V3815))</f>
        <v>FINES_R20</v>
      </c>
      <c r="X3815" s="42">
        <v>0.74399999999999999</v>
      </c>
    </row>
    <row r="3816" spans="1:24">
      <c r="A3816" s="21" t="s">
        <v>5100</v>
      </c>
      <c r="B3816" t="s">
        <v>352</v>
      </c>
      <c r="C3816" t="s">
        <v>1924</v>
      </c>
      <c r="D3816" t="s">
        <v>1925</v>
      </c>
      <c r="E3816" s="7" t="s">
        <v>198</v>
      </c>
      <c r="F3816" s="7" t="s">
        <v>198</v>
      </c>
      <c r="G3816" s="7" t="s">
        <v>198</v>
      </c>
      <c r="H3816" s="7" t="s">
        <v>20</v>
      </c>
      <c r="I3816" s="7" t="s">
        <v>5102</v>
      </c>
      <c r="J3816" s="7" t="s">
        <v>21</v>
      </c>
      <c r="L3816" t="s">
        <v>3926</v>
      </c>
      <c r="M3816" s="7" t="s">
        <v>22</v>
      </c>
      <c r="N3816" s="7" t="s">
        <v>23</v>
      </c>
      <c r="O3816" s="7" t="s">
        <v>27</v>
      </c>
      <c r="P3816" s="7" t="s">
        <v>5101</v>
      </c>
      <c r="Q3816" s="26">
        <v>19</v>
      </c>
      <c r="R3816" s="26">
        <v>1</v>
      </c>
      <c r="S3816" s="40">
        <v>1</v>
      </c>
      <c r="T3816" s="7"/>
      <c r="U3816" s="7" t="s">
        <v>2951</v>
      </c>
      <c r="V3816" s="7" t="str">
        <f>+IF(U3816="","",IF(U3816="FINES",CONCATENATE("R",IF(OR(B3816="16",B3816="21",B3816="22",B3816="23"),"16212223",IF(OR(B3816="15",B3816="17",B3816="24",B3816="25"),"15172425",B3816))),IF(U3816="CEBAS","UNICO",IF(VALUE(B3816)&lt;=11,"AMBA","INTERIOR"))))</f>
        <v>R20</v>
      </c>
      <c r="W3816" s="38" t="str">
        <f>+IF(U3816="","-",CONCATENATE(U3816,"_",V3816))</f>
        <v>FINES_R20</v>
      </c>
      <c r="X3816" s="42">
        <v>0.75800000000000001</v>
      </c>
    </row>
    <row r="3817" spans="1:24">
      <c r="A3817" s="21" t="s">
        <v>5100</v>
      </c>
      <c r="B3817" t="s">
        <v>352</v>
      </c>
      <c r="C3817" t="s">
        <v>1338</v>
      </c>
      <c r="D3817" t="s">
        <v>1339</v>
      </c>
      <c r="E3817" s="7" t="s">
        <v>198</v>
      </c>
      <c r="F3817" s="7" t="s">
        <v>198</v>
      </c>
      <c r="G3817" s="7" t="s">
        <v>198</v>
      </c>
      <c r="H3817" s="7" t="s">
        <v>20</v>
      </c>
      <c r="I3817" s="7" t="s">
        <v>5102</v>
      </c>
      <c r="J3817" s="7" t="s">
        <v>21</v>
      </c>
      <c r="L3817" t="s">
        <v>4917</v>
      </c>
      <c r="M3817" s="7" t="s">
        <v>22</v>
      </c>
      <c r="N3817" s="7" t="s">
        <v>23</v>
      </c>
      <c r="O3817" s="7" t="s">
        <v>27</v>
      </c>
      <c r="P3817" s="7" t="s">
        <v>5101</v>
      </c>
      <c r="Q3817" s="26">
        <v>19</v>
      </c>
      <c r="R3817" s="26">
        <v>1</v>
      </c>
      <c r="S3817" s="40">
        <v>1</v>
      </c>
      <c r="T3817" s="7"/>
      <c r="U3817" s="7" t="s">
        <v>2951</v>
      </c>
      <c r="V3817" s="7" t="str">
        <f>+IF(U3817="","",IF(U3817="FINES",CONCATENATE("R",IF(OR(B3817="16",B3817="21",B3817="22",B3817="23"),"16212223",IF(OR(B3817="15",B3817="17",B3817="24",B3817="25"),"15172425",B3817))),IF(U3817="CEBAS","UNICO",IF(VALUE(B3817)&lt;=11,"AMBA","INTERIOR"))))</f>
        <v>R20</v>
      </c>
      <c r="W3817" s="38" t="str">
        <f>+IF(U3817="","-",CONCATENATE(U3817,"_",V3817))</f>
        <v>FINES_R20</v>
      </c>
      <c r="X3817" s="42">
        <v>0.81</v>
      </c>
    </row>
    <row r="3818" spans="1:24">
      <c r="A3818" s="21" t="s">
        <v>5100</v>
      </c>
      <c r="B3818" t="s">
        <v>352</v>
      </c>
      <c r="C3818" t="s">
        <v>1338</v>
      </c>
      <c r="D3818" t="s">
        <v>1339</v>
      </c>
      <c r="E3818" s="7" t="s">
        <v>198</v>
      </c>
      <c r="F3818" s="7" t="s">
        <v>198</v>
      </c>
      <c r="G3818" s="7" t="s">
        <v>198</v>
      </c>
      <c r="H3818" s="7" t="s">
        <v>20</v>
      </c>
      <c r="I3818" s="7" t="s">
        <v>5102</v>
      </c>
      <c r="J3818" s="7" t="s">
        <v>21</v>
      </c>
      <c r="L3818" t="s">
        <v>4919</v>
      </c>
      <c r="M3818" s="7" t="s">
        <v>22</v>
      </c>
      <c r="N3818" s="7" t="s">
        <v>23</v>
      </c>
      <c r="O3818" s="7" t="s">
        <v>27</v>
      </c>
      <c r="P3818" s="7" t="s">
        <v>5101</v>
      </c>
      <c r="Q3818" s="26">
        <v>8</v>
      </c>
      <c r="R3818" s="26">
        <v>1</v>
      </c>
      <c r="S3818" s="40">
        <v>1</v>
      </c>
      <c r="T3818" s="7"/>
      <c r="U3818" s="7" t="s">
        <v>2951</v>
      </c>
      <c r="V3818" s="7" t="str">
        <f>+IF(U3818="","",IF(U3818="FINES",CONCATENATE("R",IF(OR(B3818="16",B3818="21",B3818="22",B3818="23"),"16212223",IF(OR(B3818="15",B3818="17",B3818="24",B3818="25"),"15172425",B3818))),IF(U3818="CEBAS","UNICO",IF(VALUE(B3818)&lt;=11,"AMBA","INTERIOR"))))</f>
        <v>R20</v>
      </c>
      <c r="W3818" s="38" t="str">
        <f>+IF(U3818="","-",CONCATENATE(U3818,"_",V3818))</f>
        <v>FINES_R20</v>
      </c>
      <c r="X3818" s="42">
        <v>0.81499999999999995</v>
      </c>
    </row>
    <row r="3819" spans="1:24">
      <c r="A3819" s="21" t="s">
        <v>5100</v>
      </c>
      <c r="B3819" t="s">
        <v>352</v>
      </c>
      <c r="C3819" t="s">
        <v>1924</v>
      </c>
      <c r="D3819" t="s">
        <v>1925</v>
      </c>
      <c r="E3819" s="7" t="s">
        <v>198</v>
      </c>
      <c r="F3819" s="7" t="s">
        <v>198</v>
      </c>
      <c r="G3819" s="7" t="s">
        <v>198</v>
      </c>
      <c r="H3819" s="7" t="s">
        <v>20</v>
      </c>
      <c r="I3819" s="7" t="s">
        <v>5102</v>
      </c>
      <c r="J3819" s="7" t="s">
        <v>21</v>
      </c>
      <c r="L3819" t="s">
        <v>4928</v>
      </c>
      <c r="M3819" s="7" t="s">
        <v>22</v>
      </c>
      <c r="N3819" s="7" t="s">
        <v>23</v>
      </c>
      <c r="O3819" s="7" t="s">
        <v>27</v>
      </c>
      <c r="P3819" s="7" t="s">
        <v>5101</v>
      </c>
      <c r="Q3819" s="26">
        <v>25</v>
      </c>
      <c r="R3819" s="26">
        <v>1</v>
      </c>
      <c r="S3819" s="40">
        <v>1</v>
      </c>
      <c r="T3819" s="7"/>
      <c r="U3819" s="7" t="s">
        <v>2951</v>
      </c>
      <c r="V3819" s="7" t="str">
        <f>+IF(U3819="","",IF(U3819="FINES",CONCATENATE("R",IF(OR(B3819="16",B3819="21",B3819="22",B3819="23"),"16212223",IF(OR(B3819="15",B3819="17",B3819="24",B3819="25"),"15172425",B3819))),IF(U3819="CEBAS","UNICO",IF(VALUE(B3819)&lt;=11,"AMBA","INTERIOR"))))</f>
        <v>R20</v>
      </c>
      <c r="W3819" s="38" t="str">
        <f>+IF(U3819="","-",CONCATENATE(U3819,"_",V3819))</f>
        <v>FINES_R20</v>
      </c>
      <c r="X3819" s="42">
        <v>0.83299999999999996</v>
      </c>
    </row>
    <row r="3820" spans="1:24">
      <c r="A3820" s="21" t="s">
        <v>5100</v>
      </c>
      <c r="B3820" t="s">
        <v>352</v>
      </c>
      <c r="C3820" t="s">
        <v>1338</v>
      </c>
      <c r="D3820" t="s">
        <v>1339</v>
      </c>
      <c r="E3820" s="7" t="s">
        <v>198</v>
      </c>
      <c r="F3820" s="7" t="s">
        <v>198</v>
      </c>
      <c r="G3820" s="7" t="s">
        <v>198</v>
      </c>
      <c r="H3820" s="7" t="s">
        <v>20</v>
      </c>
      <c r="I3820" s="7" t="s">
        <v>5102</v>
      </c>
      <c r="J3820" s="7" t="s">
        <v>21</v>
      </c>
      <c r="L3820" t="s">
        <v>4916</v>
      </c>
      <c r="M3820" s="7" t="s">
        <v>22</v>
      </c>
      <c r="N3820" s="7" t="s">
        <v>23</v>
      </c>
      <c r="O3820" s="7" t="s">
        <v>27</v>
      </c>
      <c r="P3820" s="7" t="s">
        <v>5101</v>
      </c>
      <c r="Q3820" s="26">
        <v>13</v>
      </c>
      <c r="R3820" s="26">
        <v>1</v>
      </c>
      <c r="S3820" s="40">
        <v>1</v>
      </c>
      <c r="T3820" s="7"/>
      <c r="U3820" s="7" t="s">
        <v>2951</v>
      </c>
      <c r="V3820" s="7" t="str">
        <f>+IF(U3820="","",IF(U3820="FINES",CONCATENATE("R",IF(OR(B3820="16",B3820="21",B3820="22",B3820="23"),"16212223",IF(OR(B3820="15",B3820="17",B3820="24",B3820="25"),"15172425",B3820))),IF(U3820="CEBAS","UNICO",IF(VALUE(B3820)&lt;=11,"AMBA","INTERIOR"))))</f>
        <v>R20</v>
      </c>
      <c r="W3820" s="38" t="str">
        <f>+IF(U3820="","-",CONCATENATE(U3820,"_",V3820))</f>
        <v>FINES_R20</v>
      </c>
      <c r="X3820" s="42">
        <v>0.85399999999999998</v>
      </c>
    </row>
    <row r="3821" spans="1:24">
      <c r="A3821" s="21" t="s">
        <v>5100</v>
      </c>
      <c r="B3821" t="s">
        <v>352</v>
      </c>
      <c r="C3821" t="s">
        <v>349</v>
      </c>
      <c r="D3821" t="s">
        <v>2397</v>
      </c>
      <c r="E3821" s="7" t="s">
        <v>198</v>
      </c>
      <c r="F3821" s="7" t="s">
        <v>198</v>
      </c>
      <c r="G3821" s="7" t="s">
        <v>198</v>
      </c>
      <c r="H3821" s="7" t="s">
        <v>20</v>
      </c>
      <c r="I3821" s="7" t="s">
        <v>5102</v>
      </c>
      <c r="J3821" s="7" t="s">
        <v>21</v>
      </c>
      <c r="L3821" t="s">
        <v>4950</v>
      </c>
      <c r="M3821" s="7" t="s">
        <v>22</v>
      </c>
      <c r="N3821" s="7" t="s">
        <v>23</v>
      </c>
      <c r="O3821" s="7" t="s">
        <v>27</v>
      </c>
      <c r="P3821" s="7" t="s">
        <v>5101</v>
      </c>
      <c r="Q3821" s="26">
        <v>0</v>
      </c>
      <c r="R3821" s="26">
        <v>1</v>
      </c>
      <c r="S3821" s="40">
        <v>1</v>
      </c>
      <c r="T3821" s="7"/>
      <c r="U3821" s="7" t="s">
        <v>2951</v>
      </c>
      <c r="V3821" s="7" t="str">
        <f>+IF(U3821="","",IF(U3821="FINES",CONCATENATE("R",IF(OR(B3821="16",B3821="21",B3821="22",B3821="23"),"16212223",IF(OR(B3821="15",B3821="17",B3821="24",B3821="25"),"15172425",B3821))),IF(U3821="CEBAS","UNICO",IF(VALUE(B3821)&lt;=11,"AMBA","INTERIOR"))))</f>
        <v>R20</v>
      </c>
      <c r="W3821" s="38" t="str">
        <f>+IF(U3821="","-",CONCATENATE(U3821,"_",V3821))</f>
        <v>FINES_R20</v>
      </c>
      <c r="X3821" s="42">
        <v>0.93200000000000005</v>
      </c>
    </row>
    <row r="3822" spans="1:24">
      <c r="A3822" s="21" t="s">
        <v>5100</v>
      </c>
      <c r="B3822" t="s">
        <v>352</v>
      </c>
      <c r="C3822" t="s">
        <v>349</v>
      </c>
      <c r="D3822" t="s">
        <v>2397</v>
      </c>
      <c r="E3822" s="7" t="s">
        <v>198</v>
      </c>
      <c r="F3822" s="7" t="s">
        <v>198</v>
      </c>
      <c r="G3822" s="7" t="s">
        <v>198</v>
      </c>
      <c r="H3822" s="7" t="s">
        <v>20</v>
      </c>
      <c r="I3822" s="7" t="s">
        <v>5102</v>
      </c>
      <c r="J3822" s="7" t="s">
        <v>21</v>
      </c>
      <c r="L3822" t="s">
        <v>4942</v>
      </c>
      <c r="M3822" s="7" t="s">
        <v>22</v>
      </c>
      <c r="N3822" s="7" t="s">
        <v>23</v>
      </c>
      <c r="O3822" s="7" t="s">
        <v>27</v>
      </c>
      <c r="P3822" s="7" t="s">
        <v>5101</v>
      </c>
      <c r="Q3822" s="26">
        <v>142</v>
      </c>
      <c r="R3822" s="26">
        <v>6</v>
      </c>
      <c r="S3822" s="40">
        <v>1</v>
      </c>
      <c r="T3822" s="7"/>
      <c r="U3822" s="7" t="s">
        <v>2951</v>
      </c>
      <c r="V3822" s="7" t="str">
        <f>+IF(U3822="","",IF(U3822="FINES",CONCATENATE("R",IF(OR(B3822="16",B3822="21",B3822="22",B3822="23"),"16212223",IF(OR(B3822="15",B3822="17",B3822="24",B3822="25"),"15172425",B3822))),IF(U3822="CEBAS","UNICO",IF(VALUE(B3822)&lt;=11,"AMBA","INTERIOR"))))</f>
        <v>R20</v>
      </c>
      <c r="W3822" s="38" t="str">
        <f>+IF(U3822="","-",CONCATENATE(U3822,"_",V3822))</f>
        <v>FINES_R20</v>
      </c>
      <c r="X3822" s="42">
        <v>0.94899999999999995</v>
      </c>
    </row>
    <row r="3823" spans="1:24">
      <c r="A3823" s="21" t="s">
        <v>5100</v>
      </c>
      <c r="B3823" t="s">
        <v>352</v>
      </c>
      <c r="C3823" t="s">
        <v>349</v>
      </c>
      <c r="D3823" t="s">
        <v>2397</v>
      </c>
      <c r="E3823" s="7" t="s">
        <v>198</v>
      </c>
      <c r="F3823" s="7" t="s">
        <v>198</v>
      </c>
      <c r="G3823" s="7" t="s">
        <v>198</v>
      </c>
      <c r="H3823" s="7" t="s">
        <v>20</v>
      </c>
      <c r="I3823" s="7" t="s">
        <v>5102</v>
      </c>
      <c r="J3823" s="7" t="s">
        <v>21</v>
      </c>
      <c r="L3823" t="s">
        <v>4932</v>
      </c>
      <c r="M3823" s="7" t="s">
        <v>22</v>
      </c>
      <c r="N3823" s="7" t="s">
        <v>23</v>
      </c>
      <c r="O3823" s="7" t="s">
        <v>27</v>
      </c>
      <c r="P3823" s="7" t="s">
        <v>5101</v>
      </c>
      <c r="Q3823" s="26">
        <v>15</v>
      </c>
      <c r="R3823" s="26">
        <v>1</v>
      </c>
      <c r="S3823" s="40">
        <v>1</v>
      </c>
      <c r="T3823" s="7"/>
      <c r="U3823" s="7" t="s">
        <v>2951</v>
      </c>
      <c r="V3823" s="7" t="str">
        <f>+IF(U3823="","",IF(U3823="FINES",CONCATENATE("R",IF(OR(B3823="16",B3823="21",B3823="22",B3823="23"),"16212223",IF(OR(B3823="15",B3823="17",B3823="24",B3823="25"),"15172425",B3823))),IF(U3823="CEBAS","UNICO",IF(VALUE(B3823)&lt;=11,"AMBA","INTERIOR"))))</f>
        <v>R20</v>
      </c>
      <c r="W3823" s="38" t="str">
        <f>+IF(U3823="","-",CONCATENATE(U3823,"_",V3823))</f>
        <v>FINES_R20</v>
      </c>
      <c r="X3823" s="42">
        <v>0.98699999999999999</v>
      </c>
    </row>
  </sheetData>
  <sortState ref="A2:Y3823">
    <sortCondition ref="W2:W3823"/>
    <sortCondition ref="X2:X382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H1" workbookViewId="0">
      <selection activeCell="K1" sqref="K1:S7"/>
    </sheetView>
  </sheetViews>
  <sheetFormatPr baseColWidth="10" defaultRowHeight="14.4"/>
  <cols>
    <col min="1" max="1" width="14.109375" style="10" customWidth="1"/>
    <col min="2" max="7" width="14.109375" style="11" customWidth="1"/>
    <col min="8" max="8" width="11.5546875" style="9"/>
    <col min="9" max="9" width="17.21875" style="11" customWidth="1"/>
    <col min="10" max="10" width="11.5546875" style="7"/>
    <col min="11" max="11" width="11.5546875" style="9"/>
    <col min="12" max="12" width="13.6640625" style="9" customWidth="1"/>
    <col min="13" max="13" width="8.33203125" style="9" customWidth="1"/>
    <col min="14" max="14" width="11.5546875" style="9"/>
    <col min="15" max="15" width="10.109375" style="9" customWidth="1"/>
    <col min="16" max="17" width="11.5546875" style="9"/>
    <col min="18" max="18" width="9.21875" customWidth="1"/>
  </cols>
  <sheetData>
    <row r="1" spans="1:19" s="7" customFormat="1">
      <c r="A1" s="10"/>
      <c r="B1" s="11"/>
      <c r="C1" s="11"/>
      <c r="D1" s="11"/>
      <c r="E1" s="11"/>
      <c r="F1" s="11"/>
      <c r="G1" s="11"/>
      <c r="H1" s="9"/>
      <c r="I1" s="11"/>
      <c r="K1" s="27" t="s">
        <v>2917</v>
      </c>
      <c r="L1" s="27" t="s">
        <v>5111</v>
      </c>
      <c r="M1" s="27"/>
      <c r="N1" s="31" t="s">
        <v>2908</v>
      </c>
      <c r="O1" s="31"/>
      <c r="P1" s="31"/>
      <c r="Q1" s="31" t="s">
        <v>5109</v>
      </c>
      <c r="R1" s="31"/>
      <c r="S1" s="31"/>
    </row>
    <row r="2" spans="1:19" ht="43.2">
      <c r="B2" s="11" t="s">
        <v>2943</v>
      </c>
      <c r="C2" s="11" t="s">
        <v>2945</v>
      </c>
      <c r="D2" s="11" t="s">
        <v>2944</v>
      </c>
      <c r="E2" s="11" t="s">
        <v>2946</v>
      </c>
      <c r="F2" s="11" t="s">
        <v>5106</v>
      </c>
      <c r="G2" s="12" t="s">
        <v>2948</v>
      </c>
      <c r="H2" s="11" t="s">
        <v>2943</v>
      </c>
      <c r="I2" s="12" t="s">
        <v>2947</v>
      </c>
      <c r="J2" s="11"/>
      <c r="K2" s="27"/>
      <c r="L2" s="27"/>
      <c r="M2" s="27"/>
      <c r="N2" s="16" t="s">
        <v>2953</v>
      </c>
      <c r="O2" s="16" t="s">
        <v>16</v>
      </c>
      <c r="P2" s="16" t="s">
        <v>5108</v>
      </c>
      <c r="Q2" s="15" t="s">
        <v>2953</v>
      </c>
      <c r="R2" s="15" t="s">
        <v>16</v>
      </c>
      <c r="S2" s="15" t="s">
        <v>5108</v>
      </c>
    </row>
    <row r="3" spans="1:19">
      <c r="A3" s="10" t="s">
        <v>2924</v>
      </c>
      <c r="B3" s="14">
        <f>+COUNTIF(Nómina!W:W,A3)</f>
        <v>225</v>
      </c>
      <c r="C3" s="14">
        <f>+SUMIF(Nómina!W:W,A3,Nómina!R:R)</f>
        <v>2238</v>
      </c>
      <c r="D3" s="14">
        <f>+SUMIF(Nómina!W:W,A3,Nómina!Q:Q)</f>
        <v>31241</v>
      </c>
      <c r="E3" s="14">
        <v>3</v>
      </c>
      <c r="F3" s="30">
        <v>2</v>
      </c>
      <c r="G3" s="13">
        <f>+MIN(C3,I3/5)</f>
        <v>293.61433940819239</v>
      </c>
      <c r="H3" s="17">
        <f>MIN(B3,G3/C3*B3)</f>
        <v>29.518867902968402</v>
      </c>
      <c r="I3" s="14">
        <f>+(D3*POWER(1.645,2)*(0.5*0.5))/(POWER(E3/100,2)*(D3-1)+POWER(1.645,2)*(0.5*0.5))*F3</f>
        <v>1468.0716970409619</v>
      </c>
      <c r="K3" s="33" t="s">
        <v>2912</v>
      </c>
      <c r="L3" s="34" t="s">
        <v>2949</v>
      </c>
      <c r="M3" s="34">
        <v>1500</v>
      </c>
      <c r="N3" s="35">
        <f>+COUNTIF(Nómina!U:U,Estratos!K3)</f>
        <v>334</v>
      </c>
      <c r="O3" s="35">
        <f>+SUMIF(Nómina!U:U,Estratos!K3,Nómina!R:R)</f>
        <v>2921</v>
      </c>
      <c r="P3" s="35">
        <f>+SUMIF(Nómina!U:U,Estratos!K3,Nómina!Q:Q)</f>
        <v>40995</v>
      </c>
      <c r="Q3" s="35">
        <f>+H3+H4</f>
        <v>74.073747827794918</v>
      </c>
      <c r="R3" s="35">
        <f>+G3+G4</f>
        <v>572.79766957935294</v>
      </c>
      <c r="S3" s="35">
        <f>+I3+I4</f>
        <v>2863.9883478967649</v>
      </c>
    </row>
    <row r="4" spans="1:19">
      <c r="A4" s="10" t="s">
        <v>2925</v>
      </c>
      <c r="B4" s="14">
        <f>+COUNTIF(Nómina!W:W,A4)</f>
        <v>109</v>
      </c>
      <c r="C4" s="14">
        <f>+SUMIF(Nómina!W:W,A4,Nómina!R:R)</f>
        <v>683</v>
      </c>
      <c r="D4" s="14">
        <f>+SUMIF(Nómina!W:W,A4,Nómina!Q:Q)</f>
        <v>9754</v>
      </c>
      <c r="E4" s="14">
        <v>3</v>
      </c>
      <c r="F4" s="30">
        <v>2</v>
      </c>
      <c r="G4" s="13">
        <f>+MIN(C4,I4/5)</f>
        <v>279.18333017116061</v>
      </c>
      <c r="H4" s="17">
        <f>MIN(B4,G4/C4*B4)</f>
        <v>44.554879924826515</v>
      </c>
      <c r="I4" s="14">
        <f>+(D4*POWER(1.645,2)*(0.5*0.5))/(POWER(E4/100,2)*(D4-1)+POWER(1.645,2)*(0.5*0.5))*F4</f>
        <v>1395.916650855803</v>
      </c>
      <c r="K4" s="33" t="s">
        <v>2914</v>
      </c>
      <c r="L4" s="34" t="s">
        <v>2950</v>
      </c>
      <c r="M4" s="34">
        <v>500</v>
      </c>
      <c r="N4" s="35">
        <f>+COUNTIF(Nómina!U:U,Estratos!K4)</f>
        <v>20</v>
      </c>
      <c r="O4" s="35">
        <f>+SUMIF(Nómina!U:U,Estratos!K4,Nómina!R:R)</f>
        <v>90</v>
      </c>
      <c r="P4" s="35">
        <f>+SUMIF(Nómina!U:U,Estratos!K4,Nómina!Q:Q)</f>
        <v>1590</v>
      </c>
      <c r="Q4" s="35">
        <f>+H5</f>
        <v>20</v>
      </c>
      <c r="R4" s="35">
        <f>+G5</f>
        <v>90</v>
      </c>
      <c r="S4" s="35">
        <f>+I5</f>
        <v>765.90839234906855</v>
      </c>
    </row>
    <row r="5" spans="1:19">
      <c r="A5" s="10" t="s">
        <v>2921</v>
      </c>
      <c r="B5" s="14">
        <f>+COUNTIF(Nómina!W:W,A5)</f>
        <v>20</v>
      </c>
      <c r="C5" s="14">
        <f>+SUMIF(Nómina!W:W,A5,Nómina!R:R)</f>
        <v>90</v>
      </c>
      <c r="D5" s="14">
        <f>+SUMIF(Nómina!W:W,A5,Nómina!Q:Q)</f>
        <v>1590</v>
      </c>
      <c r="E5" s="14">
        <v>3</v>
      </c>
      <c r="F5" s="30">
        <v>1.5</v>
      </c>
      <c r="G5" s="13">
        <f>+MIN(C5,I5/5)</f>
        <v>90</v>
      </c>
      <c r="H5" s="17">
        <f>MIN(B5,G5/C5*B5)</f>
        <v>20</v>
      </c>
      <c r="I5" s="14">
        <f>+(D5*POWER(1.645,2)*(0.5*0.5))/(POWER(E5/100,2)*(D5-1)+POWER(1.645,2)*(0.5*0.5))*F5</f>
        <v>765.90839234906855</v>
      </c>
      <c r="K5" s="33" t="s">
        <v>2913</v>
      </c>
      <c r="L5" s="34" t="s">
        <v>2949</v>
      </c>
      <c r="M5" s="34">
        <v>1500</v>
      </c>
      <c r="N5" s="35">
        <f>+COUNTIF(Nómina!U:U,Estratos!K5)</f>
        <v>534</v>
      </c>
      <c r="O5" s="35">
        <f>+SUMIF(Nómina!U:U,Estratos!K5,Nómina!R:R)</f>
        <v>4404</v>
      </c>
      <c r="P5" s="35">
        <f>+SUMIF(Nómina!U:U,Estratos!K5,Nómina!Q:Q)</f>
        <v>80793</v>
      </c>
      <c r="Q5" s="35">
        <f>+H6+H7</f>
        <v>75.00525735586038</v>
      </c>
      <c r="R5" s="35">
        <f>+G6+G7</f>
        <v>587.91427421128105</v>
      </c>
      <c r="S5" s="35">
        <f>+I6+I7</f>
        <v>2939.571371056405</v>
      </c>
    </row>
    <row r="6" spans="1:19" ht="28.8">
      <c r="A6" s="10" t="s">
        <v>2922</v>
      </c>
      <c r="B6" s="14">
        <f>+COUNTIF(Nómina!W:W,A6)</f>
        <v>354</v>
      </c>
      <c r="C6" s="14">
        <f>+SUMIF(Nómina!W:W,A6,Nómina!R:R)</f>
        <v>3144</v>
      </c>
      <c r="D6" s="14">
        <f>+SUMIF(Nómina!W:W,A6,Nómina!Q:Q)</f>
        <v>57989</v>
      </c>
      <c r="E6" s="14">
        <v>3</v>
      </c>
      <c r="F6" s="30">
        <v>2</v>
      </c>
      <c r="G6" s="13">
        <f>+MIN(C6,I6/5)</f>
        <v>296.82698833707525</v>
      </c>
      <c r="H6" s="17">
        <f>MIN(B6,G6/C6*B6)</f>
        <v>33.421359373830988</v>
      </c>
      <c r="I6" s="14">
        <f>+(D6*POWER(1.645,2)*(0.5*0.5))/(POWER(E6/100,2)*(D6-1)+POWER(1.645,2)*(0.5*0.5))*F6</f>
        <v>1484.1349416853764</v>
      </c>
      <c r="K6" s="33" t="s">
        <v>2951</v>
      </c>
      <c r="L6" s="36" t="s">
        <v>5110</v>
      </c>
      <c r="M6" s="34" t="s">
        <v>5107</v>
      </c>
      <c r="N6" s="35">
        <f>+COUNTIF(Nómina!U:U,Estratos!K6)</f>
        <v>2190</v>
      </c>
      <c r="O6" s="35">
        <f>+SUMIF(Nómina!U:U,Estratos!K6,Nómina!R:R)</f>
        <v>3728</v>
      </c>
      <c r="P6" s="35">
        <f>+SUMIF(Nómina!U:U,Estratos!K6,Nómina!Q:Q)</f>
        <v>75049</v>
      </c>
      <c r="Q6" s="35">
        <f>+SUM(H8:H26)</f>
        <v>911.41661974412261</v>
      </c>
      <c r="R6" s="35">
        <f>+SUM(G8:G26)</f>
        <v>1454.6634296840746</v>
      </c>
      <c r="S6" s="35">
        <f>+SUM(I8:I26)</f>
        <v>7321.0964706698514</v>
      </c>
    </row>
    <row r="7" spans="1:19">
      <c r="A7" s="10" t="s">
        <v>2923</v>
      </c>
      <c r="B7" s="14">
        <f>+COUNTIF(Nómina!W:W,A7)</f>
        <v>180</v>
      </c>
      <c r="C7" s="14">
        <f>+SUMIF(Nómina!W:W,A7,Nómina!R:R)</f>
        <v>1260</v>
      </c>
      <c r="D7" s="14">
        <f>+SUMIF(Nómina!W:W,A7,Nómina!Q:Q)</f>
        <v>22804</v>
      </c>
      <c r="E7" s="14">
        <v>3</v>
      </c>
      <c r="F7" s="30">
        <v>2</v>
      </c>
      <c r="G7" s="13">
        <f>+MIN(C7,I7/5)</f>
        <v>291.0872858742058</v>
      </c>
      <c r="H7" s="17">
        <f>MIN(B7,G7/C7*B7)</f>
        <v>41.583897982029399</v>
      </c>
      <c r="I7" s="14">
        <f>+(D7*POWER(1.645,2)*(0.5*0.5))/(POWER(E7/100,2)*(D7-1)+POWER(1.645,2)*(0.5*0.5))*F7</f>
        <v>1455.4364293710289</v>
      </c>
      <c r="K7" s="33" t="s">
        <v>2952</v>
      </c>
      <c r="L7" s="33" t="s">
        <v>198</v>
      </c>
      <c r="M7" s="33" t="s">
        <v>198</v>
      </c>
      <c r="N7" s="37">
        <f t="shared" ref="N7:P7" si="0">+SUM(N3:N6)</f>
        <v>3078</v>
      </c>
      <c r="O7" s="37">
        <f t="shared" si="0"/>
        <v>11143</v>
      </c>
      <c r="P7" s="37">
        <f t="shared" si="0"/>
        <v>198427</v>
      </c>
      <c r="Q7" s="37">
        <f>+SUM(Q3:Q6)</f>
        <v>1080.495624927778</v>
      </c>
      <c r="R7" s="37">
        <f t="shared" ref="R7:S7" si="1">+SUM(R3:R6)</f>
        <v>2705.3753734747088</v>
      </c>
      <c r="S7" s="37">
        <f t="shared" si="1"/>
        <v>13890.564581972088</v>
      </c>
    </row>
    <row r="8" spans="1:19">
      <c r="A8" s="10" t="s">
        <v>2926</v>
      </c>
      <c r="B8" s="14">
        <f>+COUNTIF(Nómina!W:W,A8)</f>
        <v>172</v>
      </c>
      <c r="C8" s="14">
        <f>+SUMIF(Nómina!W:W,A8,Nómina!R:R)</f>
        <v>250</v>
      </c>
      <c r="D8" s="14">
        <f>+SUMIF(Nómina!W:W,A8,Nómina!Q:Q)</f>
        <v>4188</v>
      </c>
      <c r="E8" s="14">
        <v>5</v>
      </c>
      <c r="F8" s="30">
        <v>1.5</v>
      </c>
      <c r="G8" s="13">
        <f>+MIN(C8,I8/5)</f>
        <v>76.270816206694036</v>
      </c>
      <c r="H8" s="17">
        <f>MIN(B8,G8/C8*B8)</f>
        <v>52.474321550205502</v>
      </c>
      <c r="I8" s="14">
        <f>+(D8*POWER(1.645,2)*(0.5*0.5))/(POWER(E8/100,2)*(D8-1)+POWER(1.645,2)*(0.5*0.5))*F8</f>
        <v>381.35408103347021</v>
      </c>
    </row>
    <row r="9" spans="1:19">
      <c r="A9" s="10" t="s">
        <v>2927</v>
      </c>
      <c r="B9" s="14">
        <f>+COUNTIF(Nómina!W:W,A9)</f>
        <v>191</v>
      </c>
      <c r="C9" s="14">
        <f>+SUMIF(Nómina!W:W,A9,Nómina!R:R)</f>
        <v>308</v>
      </c>
      <c r="D9" s="14">
        <f>+SUMIF(Nómina!W:W,A9,Nómina!Q:Q)</f>
        <v>5612</v>
      </c>
      <c r="E9" s="14">
        <v>5</v>
      </c>
      <c r="F9" s="30">
        <v>1.5</v>
      </c>
      <c r="G9" s="13">
        <f>+MIN(C9,I9/5)</f>
        <v>77.459564633958152</v>
      </c>
      <c r="H9" s="17">
        <f>MIN(B9,G9/C9*B9)</f>
        <v>48.034989756772752</v>
      </c>
      <c r="I9" s="14">
        <f>+(D9*POWER(1.645,2)*(0.5*0.5))/(POWER(E9/100,2)*(D9-1)+POWER(1.645,2)*(0.5*0.5))*F9</f>
        <v>387.29782316979077</v>
      </c>
    </row>
    <row r="10" spans="1:19">
      <c r="A10" s="10" t="s">
        <v>2928</v>
      </c>
      <c r="B10" s="14">
        <f>+COUNTIF(Nómina!W:W,A10)</f>
        <v>234</v>
      </c>
      <c r="C10" s="14">
        <f>+SUMIF(Nómina!W:W,A10,Nómina!R:R)</f>
        <v>482</v>
      </c>
      <c r="D10" s="14">
        <f>+SUMIF(Nómina!W:W,A10,Nómina!Q:Q)</f>
        <v>10911</v>
      </c>
      <c r="E10" s="14">
        <v>5</v>
      </c>
      <c r="F10" s="30">
        <v>1.5</v>
      </c>
      <c r="G10" s="13">
        <f>+MIN(C10,I10/5)</f>
        <v>79.223204943561839</v>
      </c>
      <c r="H10" s="17">
        <f>MIN(B10,G10/C10*B10)</f>
        <v>38.461058001646208</v>
      </c>
      <c r="I10" s="14">
        <f>+(D10*POWER(1.645,2)*(0.5*0.5))/(POWER(E10/100,2)*(D10-1)+POWER(1.645,2)*(0.5*0.5))*F10</f>
        <v>396.11602471780918</v>
      </c>
    </row>
    <row r="11" spans="1:19">
      <c r="A11" s="10" t="s">
        <v>2929</v>
      </c>
      <c r="B11" s="14">
        <f>+COUNTIF(Nómina!W:W,A11)</f>
        <v>181</v>
      </c>
      <c r="C11" s="14">
        <f>+SUMIF(Nómina!W:W,A11,Nómina!R:R)</f>
        <v>317</v>
      </c>
      <c r="D11" s="14">
        <f>+SUMIF(Nómina!W:W,A11,Nómina!Q:Q)</f>
        <v>6828</v>
      </c>
      <c r="E11" s="14">
        <v>5</v>
      </c>
      <c r="F11" s="30">
        <v>1.5</v>
      </c>
      <c r="G11" s="13">
        <f>+MIN(C11,I11/5)</f>
        <v>78.097098421614888</v>
      </c>
      <c r="H11" s="17">
        <f>MIN(B11,G11/C11*B11)</f>
        <v>44.591718657136575</v>
      </c>
      <c r="I11" s="14">
        <f>+(D11*POWER(1.645,2)*(0.5*0.5))/(POWER(E11/100,2)*(D11-1)+POWER(1.645,2)*(0.5*0.5))*F11</f>
        <v>390.48549210807442</v>
      </c>
    </row>
    <row r="12" spans="1:19">
      <c r="A12" s="10" t="s">
        <v>2930</v>
      </c>
      <c r="B12" s="14">
        <f>+COUNTIF(Nómina!W:W,A12)</f>
        <v>215</v>
      </c>
      <c r="C12" s="14">
        <f>+SUMIF(Nómina!W:W,A12,Nómina!R:R)</f>
        <v>471</v>
      </c>
      <c r="D12" s="14">
        <f>+SUMIF(Nómina!W:W,A12,Nómina!Q:Q)</f>
        <v>10881</v>
      </c>
      <c r="E12" s="14">
        <v>5</v>
      </c>
      <c r="F12" s="30">
        <v>1.5</v>
      </c>
      <c r="G12" s="13">
        <f>+MIN(C12,I12/5)</f>
        <v>79.217938290778449</v>
      </c>
      <c r="H12" s="17">
        <f>MIN(B12,G12/C12*B12)</f>
        <v>36.161054633794834</v>
      </c>
      <c r="I12" s="14">
        <f>+(D12*POWER(1.645,2)*(0.5*0.5))/(POWER(E12/100,2)*(D12-1)+POWER(1.645,2)*(0.5*0.5))*F12</f>
        <v>396.08969145389221</v>
      </c>
    </row>
    <row r="13" spans="1:19">
      <c r="A13" s="10" t="s">
        <v>2931</v>
      </c>
      <c r="B13" s="14">
        <f>+COUNTIF(Nómina!W:W,A13)</f>
        <v>57</v>
      </c>
      <c r="C13" s="14">
        <f>+SUMIF(Nómina!W:W,A13,Nómina!R:R)</f>
        <v>80</v>
      </c>
      <c r="D13" s="14">
        <f>+SUMIF(Nómina!W:W,A13,Nómina!Q:Q)</f>
        <v>1212</v>
      </c>
      <c r="E13" s="14">
        <v>5</v>
      </c>
      <c r="F13" s="30">
        <v>1.5</v>
      </c>
      <c r="G13" s="13">
        <f>+MIN(C13,I13/5)</f>
        <v>66.408546826831071</v>
      </c>
      <c r="H13" s="17">
        <f>MIN(B13,G13/C13*B13)</f>
        <v>47.316089614117139</v>
      </c>
      <c r="I13" s="14">
        <f>+(D13*POWER(1.645,2)*(0.5*0.5))/(POWER(E13/100,2)*(D13-1)+POWER(1.645,2)*(0.5*0.5))*F13</f>
        <v>332.04273413415535</v>
      </c>
    </row>
    <row r="14" spans="1:19">
      <c r="A14" s="10" t="s">
        <v>2932</v>
      </c>
      <c r="B14" s="14">
        <f>+COUNTIF(Nómina!W:W,A14)</f>
        <v>87</v>
      </c>
      <c r="C14" s="14">
        <f>+SUMIF(Nómina!W:W,A14,Nómina!R:R)</f>
        <v>119</v>
      </c>
      <c r="D14" s="14">
        <f>+SUMIF(Nómina!W:W,A14,Nómina!Q:Q)</f>
        <v>1867</v>
      </c>
      <c r="E14" s="14">
        <v>5</v>
      </c>
      <c r="F14" s="30">
        <v>1.5</v>
      </c>
      <c r="G14" s="13">
        <f>+MIN(C14,I14/5)</f>
        <v>70.937135124572748</v>
      </c>
      <c r="H14" s="17">
        <f>MIN(B14,G14/C14*B14)</f>
        <v>51.861602990233855</v>
      </c>
      <c r="I14" s="14">
        <f>+(D14*POWER(1.645,2)*(0.5*0.5))/(POWER(E14/100,2)*(D14-1)+POWER(1.645,2)*(0.5*0.5))*F14</f>
        <v>354.68567562286376</v>
      </c>
    </row>
    <row r="15" spans="1:19">
      <c r="A15" s="10" t="s">
        <v>2933</v>
      </c>
      <c r="B15" s="14">
        <f>+COUNTIF(Nómina!W:W,A15)</f>
        <v>102</v>
      </c>
      <c r="C15" s="14">
        <f>+SUMIF(Nómina!W:W,A15,Nómina!R:R)</f>
        <v>221</v>
      </c>
      <c r="D15" s="14">
        <f>+SUMIF(Nómina!W:W,A15,Nómina!Q:Q)</f>
        <v>4512</v>
      </c>
      <c r="E15" s="14">
        <v>5</v>
      </c>
      <c r="F15" s="30">
        <v>1.5</v>
      </c>
      <c r="G15" s="13">
        <f>+MIN(C15,I15/5)</f>
        <v>76.603511897946333</v>
      </c>
      <c r="H15" s="17">
        <f>MIN(B15,G15/C15*B15)</f>
        <v>35.355467029821384</v>
      </c>
      <c r="I15" s="14">
        <f>+(D15*POWER(1.645,2)*(0.5*0.5))/(POWER(E15/100,2)*(D15-1)+POWER(1.645,2)*(0.5*0.5))*F15</f>
        <v>383.01755948973164</v>
      </c>
    </row>
    <row r="16" spans="1:19">
      <c r="A16" s="10" t="s">
        <v>2934</v>
      </c>
      <c r="B16" s="14">
        <f>+COUNTIF(Nómina!W:W,A16)</f>
        <v>109</v>
      </c>
      <c r="C16" s="14">
        <f>+SUMIF(Nómina!W:W,A16,Nómina!R:R)</f>
        <v>188</v>
      </c>
      <c r="D16" s="14">
        <f>+SUMIF(Nómina!W:W,A16,Nómina!Q:Q)</f>
        <v>4902</v>
      </c>
      <c r="E16" s="14">
        <v>5</v>
      </c>
      <c r="F16" s="30">
        <v>1.5</v>
      </c>
      <c r="G16" s="13">
        <f>+MIN(C16,I16/5)</f>
        <v>76.948689791993871</v>
      </c>
      <c r="H16" s="17">
        <f>MIN(B16,G16/C16*B16)</f>
        <v>44.613868017698572</v>
      </c>
      <c r="I16" s="14">
        <f>+(D16*POWER(1.645,2)*(0.5*0.5))/(POWER(E16/100,2)*(D16-1)+POWER(1.645,2)*(0.5*0.5))*F16</f>
        <v>384.74344895996933</v>
      </c>
    </row>
    <row r="17" spans="1:9">
      <c r="A17" s="10" t="s">
        <v>2935</v>
      </c>
      <c r="B17" s="14">
        <f>+COUNTIF(Nómina!W:W,A17)</f>
        <v>136</v>
      </c>
      <c r="C17" s="14">
        <f>+SUMIF(Nómina!W:W,A17,Nómina!R:R)</f>
        <v>185</v>
      </c>
      <c r="D17" s="14">
        <f>+SUMIF(Nómina!W:W,A17,Nómina!Q:Q)</f>
        <v>3176</v>
      </c>
      <c r="E17" s="14">
        <v>5</v>
      </c>
      <c r="F17" s="30">
        <v>1.5</v>
      </c>
      <c r="G17" s="13">
        <f>+MIN(C17,I17/5)</f>
        <v>74.828730824289792</v>
      </c>
      <c r="H17" s="17">
        <f>MIN(B17,G17/C17*B17)</f>
        <v>55.009229146504929</v>
      </c>
      <c r="I17" s="14">
        <f>+(D17*POWER(1.645,2)*(0.5*0.5))/(POWER(E17/100,2)*(D17-1)+POWER(1.645,2)*(0.5*0.5))*F17</f>
        <v>374.14365412144895</v>
      </c>
    </row>
    <row r="18" spans="1:9">
      <c r="A18" s="10" t="s">
        <v>2936</v>
      </c>
      <c r="B18" s="14">
        <f>+COUNTIF(Nómina!W:W,A18)</f>
        <v>104</v>
      </c>
      <c r="C18" s="14">
        <f>+SUMIF(Nómina!W:W,A18,Nómina!R:R)</f>
        <v>215</v>
      </c>
      <c r="D18" s="14">
        <f>+SUMIF(Nómina!W:W,A18,Nómina!Q:Q)</f>
        <v>4932</v>
      </c>
      <c r="E18" s="14">
        <v>5</v>
      </c>
      <c r="F18" s="30">
        <v>1.5</v>
      </c>
      <c r="G18" s="13">
        <f>+MIN(C18,I18/5)</f>
        <v>76.973098002009948</v>
      </c>
      <c r="H18" s="17">
        <f>MIN(B18,G18/C18*B18)</f>
        <v>37.233498568414113</v>
      </c>
      <c r="I18" s="14">
        <f>+(D18*POWER(1.645,2)*(0.5*0.5))/(POWER(E18/100,2)*(D18-1)+POWER(1.645,2)*(0.5*0.5))*F18</f>
        <v>384.86549001004971</v>
      </c>
    </row>
    <row r="19" spans="1:9">
      <c r="A19" s="10" t="s">
        <v>2937</v>
      </c>
      <c r="B19" s="14">
        <f>+COUNTIF(Nómina!W:W,A19)</f>
        <v>48</v>
      </c>
      <c r="C19" s="14">
        <f>+SUMIF(Nómina!W:W,A19,Nómina!R:R)</f>
        <v>68</v>
      </c>
      <c r="D19" s="14">
        <f>+SUMIF(Nómina!W:W,A19,Nómina!Q:Q)</f>
        <v>1374</v>
      </c>
      <c r="E19" s="14">
        <v>5</v>
      </c>
      <c r="F19" s="30">
        <v>1.5</v>
      </c>
      <c r="G19" s="13">
        <f>+MIN(C19,I19/5)</f>
        <v>67.864553929554134</v>
      </c>
      <c r="H19" s="17">
        <f>MIN(B19,G19/C19*B19)</f>
        <v>47.90439100909704</v>
      </c>
      <c r="I19" s="14">
        <f>+(D19*POWER(1.645,2)*(0.5*0.5))/(POWER(E19/100,2)*(D19-1)+POWER(1.645,2)*(0.5*0.5))*F19</f>
        <v>339.32276964777066</v>
      </c>
    </row>
    <row r="20" spans="1:9">
      <c r="A20" s="10" t="s">
        <v>2938</v>
      </c>
      <c r="B20" s="14">
        <f>+COUNTIF(Nómina!W:W,A20)</f>
        <v>32</v>
      </c>
      <c r="C20" s="14">
        <f>+SUMIF(Nómina!W:W,A20,Nómina!R:R)</f>
        <v>59</v>
      </c>
      <c r="D20" s="14">
        <f>+SUMIF(Nómina!W:W,A20,Nómina!Q:Q)</f>
        <v>1464</v>
      </c>
      <c r="E20" s="14">
        <v>5</v>
      </c>
      <c r="F20" s="30">
        <v>1.5</v>
      </c>
      <c r="G20" s="13">
        <f>+MIN(C20,I20/5)</f>
        <v>59</v>
      </c>
      <c r="H20" s="17">
        <f>MIN(B20,G20/C20*B20)</f>
        <v>32</v>
      </c>
      <c r="I20" s="14">
        <f>+(D20*POWER(1.645,2)*(0.5*0.5))/(POWER(E20/100,2)*(D20-1)+POWER(1.645,2)*(0.5*0.5))*F20</f>
        <v>342.7793222494775</v>
      </c>
    </row>
    <row r="21" spans="1:9">
      <c r="A21" s="10" t="s">
        <v>2939</v>
      </c>
      <c r="B21" s="14">
        <f>+COUNTIF(Nómina!W:W,A21)</f>
        <v>44</v>
      </c>
      <c r="C21" s="14">
        <f>+SUMIF(Nómina!W:W,A21,Nómina!R:R)</f>
        <v>71</v>
      </c>
      <c r="D21" s="14">
        <f>+SUMIF(Nómina!W:W,A21,Nómina!Q:Q)</f>
        <v>1219</v>
      </c>
      <c r="E21" s="14">
        <v>5</v>
      </c>
      <c r="F21" s="30">
        <v>1.5</v>
      </c>
      <c r="G21" s="13">
        <f>+MIN(C21,I21/5)</f>
        <v>66.478011591408716</v>
      </c>
      <c r="H21" s="17">
        <f>MIN(B21,G21/C21*B21)</f>
        <v>41.197640986225117</v>
      </c>
      <c r="I21" s="14">
        <f>+(D21*POWER(1.645,2)*(0.5*0.5))/(POWER(E21/100,2)*(D21-1)+POWER(1.645,2)*(0.5*0.5))*F21</f>
        <v>332.39005795704361</v>
      </c>
    </row>
    <row r="22" spans="1:9">
      <c r="A22" s="10" t="s">
        <v>2940</v>
      </c>
      <c r="B22" s="14">
        <f>+COUNTIF(Nómina!W:W,A22)</f>
        <v>60</v>
      </c>
      <c r="C22" s="14">
        <f>+SUMIF(Nómina!W:W,A22,Nómina!R:R)</f>
        <v>108</v>
      </c>
      <c r="D22" s="14">
        <f>+SUMIF(Nómina!W:W,A22,Nómina!Q:Q)</f>
        <v>1812</v>
      </c>
      <c r="E22" s="14">
        <v>5</v>
      </c>
      <c r="F22" s="30">
        <v>1.5</v>
      </c>
      <c r="G22" s="13">
        <f>+MIN(C22,I22/5)</f>
        <v>70.666478830612462</v>
      </c>
      <c r="H22" s="17">
        <f>MIN(B22,G22/C22*B22)</f>
        <v>39.259154905895812</v>
      </c>
      <c r="I22" s="14">
        <f>+(D22*POWER(1.645,2)*(0.5*0.5))/(POWER(E22/100,2)*(D22-1)+POWER(1.645,2)*(0.5*0.5))*F22</f>
        <v>353.3323941530623</v>
      </c>
    </row>
    <row r="23" spans="1:9">
      <c r="A23" s="10" t="s">
        <v>2941</v>
      </c>
      <c r="B23" s="14">
        <f>+COUNTIF(Nómina!W:W,A23)</f>
        <v>151</v>
      </c>
      <c r="C23" s="14">
        <f>+SUMIF(Nómina!W:W,A23,Nómina!R:R)</f>
        <v>229</v>
      </c>
      <c r="D23" s="14">
        <f>+SUMIF(Nómina!W:W,A23,Nómina!Q:Q)</f>
        <v>4282</v>
      </c>
      <c r="E23" s="14">
        <v>5</v>
      </c>
      <c r="F23" s="30">
        <v>1.5</v>
      </c>
      <c r="G23" s="13">
        <f>+MIN(C23,I23/5)</f>
        <v>76.37221648858835</v>
      </c>
      <c r="H23" s="17">
        <f>MIN(B23,G23/C23*B23)</f>
        <v>50.358972444440347</v>
      </c>
      <c r="I23" s="14">
        <f>+(D23*POWER(1.645,2)*(0.5*0.5))/(POWER(E23/100,2)*(D23-1)+POWER(1.645,2)*(0.5*0.5))*F23</f>
        <v>381.86108244294172</v>
      </c>
    </row>
    <row r="24" spans="1:9">
      <c r="A24" s="10" t="s">
        <v>2942</v>
      </c>
      <c r="B24" s="14">
        <f>+COUNTIF(Nómina!W:W,A24)</f>
        <v>48</v>
      </c>
      <c r="C24" s="14">
        <f>+SUMIF(Nómina!W:W,A24,Nómina!R:R)</f>
        <v>72</v>
      </c>
      <c r="D24" s="14">
        <f>+SUMIF(Nómina!W:W,A24,Nómina!Q:Q)</f>
        <v>1375</v>
      </c>
      <c r="E24" s="14">
        <v>5</v>
      </c>
      <c r="F24" s="30">
        <v>1.5</v>
      </c>
      <c r="G24" s="13">
        <f>+MIN(C24,I24/5)</f>
        <v>67.87265083812045</v>
      </c>
      <c r="H24" s="17">
        <f>MIN(B24,G24/C24*B24)</f>
        <v>45.2484338920803</v>
      </c>
      <c r="I24" s="14">
        <f>+(D24*POWER(1.645,2)*(0.5*0.5))/(POWER(E24/100,2)*(D24-1)+POWER(1.645,2)*(0.5*0.5))*F24</f>
        <v>339.36325419060222</v>
      </c>
    </row>
    <row r="25" spans="1:9">
      <c r="A25" s="28" t="s">
        <v>5104</v>
      </c>
      <c r="B25" s="29">
        <f>+COUNTIF(Nómina!W:W,A25)</f>
        <v>105</v>
      </c>
      <c r="C25" s="29">
        <f>+SUMIF(Nómina!W:W,A25,Nómina!R:R)</f>
        <v>132</v>
      </c>
      <c r="D25" s="29">
        <f>+SUMIF(Nómina!W:W,A25,Nómina!Q:Q)</f>
        <v>2057</v>
      </c>
      <c r="E25" s="29">
        <v>4</v>
      </c>
      <c r="F25" s="30">
        <v>1.5</v>
      </c>
      <c r="G25" s="13">
        <f>+MIN(C25,I25/5)</f>
        <v>105.2599150300121</v>
      </c>
      <c r="H25" s="17">
        <f>MIN(B25,G25/C25*B25)</f>
        <v>83.729477864782339</v>
      </c>
      <c r="I25" s="14">
        <f>+(D25*POWER(1.645,2)*(0.5*0.5))/(POWER(E25/100,2)*(D25-1)+POWER(1.645,2)*(0.5*0.5))*F25</f>
        <v>526.29957515006049</v>
      </c>
    </row>
    <row r="26" spans="1:9">
      <c r="A26" s="28" t="s">
        <v>5105</v>
      </c>
      <c r="B26" s="29">
        <f>+COUNTIF(Nómina!W:W,A26)</f>
        <v>114</v>
      </c>
      <c r="C26" s="29">
        <f>+SUMIF(Nómina!W:W,A26,Nómina!R:R)</f>
        <v>153</v>
      </c>
      <c r="D26" s="29">
        <f>+SUMIF(Nómina!W:W,A26,Nómina!Q:Q)</f>
        <v>2445</v>
      </c>
      <c r="E26" s="29">
        <v>4</v>
      </c>
      <c r="F26" s="30">
        <v>1.5</v>
      </c>
      <c r="G26" s="13">
        <f>+MIN(C26,I26/5)</f>
        <v>108.18126801152737</v>
      </c>
      <c r="H26" s="17">
        <f>MIN(B26,G26/C26*B26)</f>
        <v>80.605650675255688</v>
      </c>
      <c r="I26" s="14">
        <f>+(D26*POWER(1.645,2)*(0.5*0.5))/(POWER(E26/100,2)*(D26-1)+POWER(1.645,2)*(0.5*0.5))*F26</f>
        <v>540.90634005763684</v>
      </c>
    </row>
  </sheetData>
  <mergeCells count="4">
    <mergeCell ref="K1:K2"/>
    <mergeCell ref="L1:M2"/>
    <mergeCell ref="Q1:S1"/>
    <mergeCell ref="N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91"/>
  <sheetViews>
    <sheetView topLeftCell="A2164" workbookViewId="0">
      <selection activeCell="D2188" sqref="D2188"/>
    </sheetView>
  </sheetViews>
  <sheetFormatPr baseColWidth="10" defaultRowHeight="14.4"/>
  <cols>
    <col min="1" max="3" width="11.5546875" style="7"/>
    <col min="4" max="4" width="50.21875" style="18" customWidth="1"/>
    <col min="5" max="6" width="9.33203125" style="18" customWidth="1"/>
    <col min="7" max="7" width="6.21875" style="18" customWidth="1"/>
    <col min="8" max="8" width="9.33203125" style="18" customWidth="1"/>
  </cols>
  <sheetData>
    <row r="1" spans="1:14">
      <c r="A1" s="7" t="s">
        <v>2</v>
      </c>
      <c r="B1" s="7" t="s">
        <v>0</v>
      </c>
      <c r="C1" s="7" t="s">
        <v>1</v>
      </c>
      <c r="D1" s="18" t="s">
        <v>2955</v>
      </c>
      <c r="E1" s="19" t="s">
        <v>2956</v>
      </c>
      <c r="F1" s="18" t="s">
        <v>2957</v>
      </c>
      <c r="G1" s="18" t="s">
        <v>1358</v>
      </c>
      <c r="H1" s="18" t="s">
        <v>2954</v>
      </c>
      <c r="K1" s="20" t="s">
        <v>5099</v>
      </c>
      <c r="L1" s="20" t="s">
        <v>2</v>
      </c>
      <c r="M1" s="20" t="s">
        <v>0</v>
      </c>
      <c r="N1" s="20" t="s">
        <v>1</v>
      </c>
    </row>
    <row r="2" spans="1:14">
      <c r="A2" s="7" t="str">
        <f>+VLOOKUP(H2,$K:$N,2,FALSE)</f>
        <v>01</v>
      </c>
      <c r="B2" s="7" t="str">
        <f>+VLOOKUP(H2,$K:$N,3,FALSE)</f>
        <v>113</v>
      </c>
      <c r="C2" s="7" t="str">
        <f>+VLOOKUP(H2,$K:$N,4,FALSE)</f>
        <v>Berisso</v>
      </c>
      <c r="D2" s="18" t="s">
        <v>2958</v>
      </c>
      <c r="E2" s="18">
        <v>1</v>
      </c>
      <c r="F2" s="18">
        <v>18</v>
      </c>
      <c r="G2" s="18">
        <v>1</v>
      </c>
      <c r="H2" s="18" t="s">
        <v>2567</v>
      </c>
      <c r="K2" s="20" t="s">
        <v>2567</v>
      </c>
      <c r="L2" s="20" t="s">
        <v>19</v>
      </c>
      <c r="M2" s="20" t="s">
        <v>252</v>
      </c>
      <c r="N2" s="20" t="s">
        <v>2566</v>
      </c>
    </row>
    <row r="3" spans="1:14">
      <c r="A3" s="7" t="str">
        <f t="shared" ref="A3:A66" si="0">+VLOOKUP(H3,$K:$N,2,FALSE)</f>
        <v>01</v>
      </c>
      <c r="B3" s="7" t="str">
        <f t="shared" ref="B3:B66" si="1">+VLOOKUP(H3,$K:$N,3,FALSE)</f>
        <v>113</v>
      </c>
      <c r="C3" s="7" t="str">
        <f t="shared" ref="C3:C66" si="2">+VLOOKUP(H3,$K:$N,4,FALSE)</f>
        <v>Berisso</v>
      </c>
      <c r="D3" s="18" t="s">
        <v>2959</v>
      </c>
      <c r="E3" s="18">
        <v>1</v>
      </c>
      <c r="F3" s="18">
        <v>17</v>
      </c>
      <c r="G3" s="18">
        <v>1</v>
      </c>
      <c r="H3" s="18" t="s">
        <v>2567</v>
      </c>
      <c r="K3" s="20" t="s">
        <v>2978</v>
      </c>
      <c r="L3" s="20" t="s">
        <v>19</v>
      </c>
      <c r="M3" s="20" t="s">
        <v>599</v>
      </c>
      <c r="N3" s="20" t="s">
        <v>601</v>
      </c>
    </row>
    <row r="4" spans="1:14">
      <c r="A4" s="7" t="str">
        <f t="shared" si="0"/>
        <v>01</v>
      </c>
      <c r="B4" s="7" t="str">
        <f t="shared" si="1"/>
        <v>113</v>
      </c>
      <c r="C4" s="7" t="str">
        <f t="shared" si="2"/>
        <v>Berisso</v>
      </c>
      <c r="D4" s="18" t="s">
        <v>2960</v>
      </c>
      <c r="E4" s="18">
        <v>3</v>
      </c>
      <c r="F4" s="18">
        <v>69</v>
      </c>
      <c r="G4" s="18">
        <v>1</v>
      </c>
      <c r="H4" s="18" t="s">
        <v>2567</v>
      </c>
      <c r="K4" s="20" t="s">
        <v>2590</v>
      </c>
      <c r="L4" s="20" t="s">
        <v>19</v>
      </c>
      <c r="M4" s="20" t="s">
        <v>449</v>
      </c>
      <c r="N4" s="20" t="s">
        <v>2590</v>
      </c>
    </row>
    <row r="5" spans="1:14">
      <c r="A5" s="7" t="str">
        <f t="shared" si="0"/>
        <v>01</v>
      </c>
      <c r="B5" s="7" t="str">
        <f t="shared" si="1"/>
        <v>113</v>
      </c>
      <c r="C5" s="7" t="str">
        <f t="shared" si="2"/>
        <v>Berisso</v>
      </c>
      <c r="D5" s="18" t="s">
        <v>2961</v>
      </c>
      <c r="E5" s="18">
        <v>1</v>
      </c>
      <c r="F5" s="18">
        <v>22</v>
      </c>
      <c r="G5" s="18">
        <v>1</v>
      </c>
      <c r="H5" s="18" t="s">
        <v>2567</v>
      </c>
      <c r="K5" s="20" t="s">
        <v>18</v>
      </c>
      <c r="L5" s="20" t="s">
        <v>19</v>
      </c>
      <c r="M5" s="20" t="s">
        <v>17</v>
      </c>
      <c r="N5" s="20" t="s">
        <v>18</v>
      </c>
    </row>
    <row r="6" spans="1:14">
      <c r="A6" s="7" t="str">
        <f t="shared" si="0"/>
        <v>01</v>
      </c>
      <c r="B6" s="7" t="str">
        <f t="shared" si="1"/>
        <v>113</v>
      </c>
      <c r="C6" s="7" t="str">
        <f t="shared" si="2"/>
        <v>Berisso</v>
      </c>
      <c r="D6" s="18" t="s">
        <v>2962</v>
      </c>
      <c r="E6" s="18">
        <v>1</v>
      </c>
      <c r="F6" s="18">
        <v>19</v>
      </c>
      <c r="G6" s="18">
        <v>1</v>
      </c>
      <c r="H6" s="18" t="s">
        <v>2567</v>
      </c>
      <c r="K6" s="20" t="s">
        <v>1481</v>
      </c>
      <c r="L6" s="20" t="s">
        <v>19</v>
      </c>
      <c r="M6" s="20" t="s">
        <v>1480</v>
      </c>
      <c r="N6" s="20" t="s">
        <v>1481</v>
      </c>
    </row>
    <row r="7" spans="1:14">
      <c r="A7" s="7" t="str">
        <f t="shared" si="0"/>
        <v>01</v>
      </c>
      <c r="B7" s="7" t="str">
        <f t="shared" si="1"/>
        <v>113</v>
      </c>
      <c r="C7" s="7" t="str">
        <f t="shared" si="2"/>
        <v>Berisso</v>
      </c>
      <c r="D7" s="18" t="s">
        <v>2963</v>
      </c>
      <c r="E7" s="18">
        <v>1</v>
      </c>
      <c r="F7" s="18">
        <v>13</v>
      </c>
      <c r="G7" s="18">
        <v>1</v>
      </c>
      <c r="H7" s="18" t="s">
        <v>2567</v>
      </c>
      <c r="K7" s="20" t="s">
        <v>2862</v>
      </c>
      <c r="L7" s="20" t="s">
        <v>19</v>
      </c>
      <c r="M7" s="20" t="s">
        <v>644</v>
      </c>
      <c r="N7" s="20" t="s">
        <v>2862</v>
      </c>
    </row>
    <row r="8" spans="1:14">
      <c r="A8" s="7" t="str">
        <f t="shared" si="0"/>
        <v>01</v>
      </c>
      <c r="B8" s="7" t="str">
        <f t="shared" si="1"/>
        <v>113</v>
      </c>
      <c r="C8" s="7" t="str">
        <f t="shared" si="2"/>
        <v>Berisso</v>
      </c>
      <c r="D8" s="18" t="s">
        <v>2964</v>
      </c>
      <c r="E8" s="18">
        <v>1</v>
      </c>
      <c r="F8" s="18">
        <v>18</v>
      </c>
      <c r="G8" s="18">
        <v>1</v>
      </c>
      <c r="H8" s="18" t="s">
        <v>2567</v>
      </c>
      <c r="K8" s="20" t="s">
        <v>355</v>
      </c>
      <c r="L8" s="20" t="s">
        <v>356</v>
      </c>
      <c r="M8" s="20" t="s">
        <v>353</v>
      </c>
      <c r="N8" s="20" t="s">
        <v>355</v>
      </c>
    </row>
    <row r="9" spans="1:14">
      <c r="A9" s="7" t="str">
        <f t="shared" si="0"/>
        <v>01</v>
      </c>
      <c r="B9" s="7" t="str">
        <f t="shared" si="1"/>
        <v>113</v>
      </c>
      <c r="C9" s="7" t="str">
        <f t="shared" si="2"/>
        <v>Berisso</v>
      </c>
      <c r="D9" s="18" t="s">
        <v>2965</v>
      </c>
      <c r="E9" s="18">
        <v>1</v>
      </c>
      <c r="F9" s="18">
        <v>27</v>
      </c>
      <c r="G9" s="18">
        <v>1</v>
      </c>
      <c r="H9" s="18" t="s">
        <v>2567</v>
      </c>
      <c r="K9" s="20" t="s">
        <v>2500</v>
      </c>
      <c r="L9" s="20" t="s">
        <v>356</v>
      </c>
      <c r="M9" s="20" t="s">
        <v>805</v>
      </c>
      <c r="N9" s="20" t="s">
        <v>2500</v>
      </c>
    </row>
    <row r="10" spans="1:14">
      <c r="A10" s="7" t="str">
        <f t="shared" si="0"/>
        <v>01</v>
      </c>
      <c r="B10" s="7" t="str">
        <f t="shared" si="1"/>
        <v>113</v>
      </c>
      <c r="C10" s="7" t="str">
        <f t="shared" si="2"/>
        <v>Berisso</v>
      </c>
      <c r="D10" s="18" t="s">
        <v>2966</v>
      </c>
      <c r="E10" s="18">
        <v>1</v>
      </c>
      <c r="F10" s="18">
        <v>14</v>
      </c>
      <c r="G10" s="18">
        <v>1</v>
      </c>
      <c r="H10" s="18" t="s">
        <v>2567</v>
      </c>
      <c r="K10" s="20" t="s">
        <v>1360</v>
      </c>
      <c r="L10" s="20" t="s">
        <v>356</v>
      </c>
      <c r="M10" s="20" t="s">
        <v>1359</v>
      </c>
      <c r="N10" s="20" t="s">
        <v>1360</v>
      </c>
    </row>
    <row r="11" spans="1:14">
      <c r="A11" s="7" t="str">
        <f t="shared" si="0"/>
        <v>01</v>
      </c>
      <c r="B11" s="7" t="str">
        <f t="shared" si="1"/>
        <v>113</v>
      </c>
      <c r="C11" s="7" t="str">
        <f t="shared" si="2"/>
        <v>Berisso</v>
      </c>
      <c r="D11" s="18" t="s">
        <v>2967</v>
      </c>
      <c r="E11" s="18">
        <v>1</v>
      </c>
      <c r="F11" s="18">
        <v>20</v>
      </c>
      <c r="G11" s="18">
        <v>1</v>
      </c>
      <c r="H11" s="18" t="s">
        <v>2567</v>
      </c>
      <c r="K11" s="20" t="s">
        <v>3312</v>
      </c>
      <c r="L11" s="20" t="s">
        <v>1532</v>
      </c>
      <c r="M11" s="20" t="s">
        <v>1530</v>
      </c>
      <c r="N11" s="20" t="s">
        <v>1531</v>
      </c>
    </row>
    <row r="12" spans="1:14">
      <c r="A12" s="7" t="str">
        <f t="shared" si="0"/>
        <v>01</v>
      </c>
      <c r="B12" s="7" t="str">
        <f t="shared" si="1"/>
        <v>113</v>
      </c>
      <c r="C12" s="7" t="str">
        <f t="shared" si="2"/>
        <v>Berisso</v>
      </c>
      <c r="D12" s="18" t="s">
        <v>2968</v>
      </c>
      <c r="E12" s="18">
        <v>2</v>
      </c>
      <c r="F12" s="18">
        <v>37</v>
      </c>
      <c r="G12" s="18">
        <v>1</v>
      </c>
      <c r="H12" s="18" t="s">
        <v>2567</v>
      </c>
      <c r="K12" s="20" t="s">
        <v>3359</v>
      </c>
      <c r="L12" s="20" t="s">
        <v>1532</v>
      </c>
      <c r="M12" s="20" t="s">
        <v>1530</v>
      </c>
      <c r="N12" s="20" t="s">
        <v>1531</v>
      </c>
    </row>
    <row r="13" spans="1:14">
      <c r="A13" s="7" t="str">
        <f t="shared" si="0"/>
        <v>01</v>
      </c>
      <c r="B13" s="7" t="str">
        <f t="shared" si="1"/>
        <v>113</v>
      </c>
      <c r="C13" s="7" t="str">
        <f t="shared" si="2"/>
        <v>Berisso</v>
      </c>
      <c r="D13" s="18" t="s">
        <v>2969</v>
      </c>
      <c r="E13" s="18">
        <v>2</v>
      </c>
      <c r="F13" s="18">
        <v>26</v>
      </c>
      <c r="G13" s="18">
        <v>1</v>
      </c>
      <c r="H13" s="18" t="s">
        <v>2567</v>
      </c>
      <c r="K13" s="20" t="s">
        <v>3446</v>
      </c>
      <c r="L13" s="20" t="s">
        <v>1532</v>
      </c>
      <c r="M13" s="20" t="s">
        <v>1530</v>
      </c>
      <c r="N13" s="20" t="s">
        <v>1531</v>
      </c>
    </row>
    <row r="14" spans="1:14">
      <c r="A14" s="7" t="str">
        <f t="shared" si="0"/>
        <v>01</v>
      </c>
      <c r="B14" s="7" t="str">
        <f t="shared" si="1"/>
        <v>113</v>
      </c>
      <c r="C14" s="7" t="str">
        <f t="shared" si="2"/>
        <v>Berisso</v>
      </c>
      <c r="D14" s="18" t="s">
        <v>2970</v>
      </c>
      <c r="E14" s="18">
        <v>3</v>
      </c>
      <c r="F14" s="18">
        <v>33</v>
      </c>
      <c r="G14" s="18">
        <v>1</v>
      </c>
      <c r="H14" s="18" t="s">
        <v>2567</v>
      </c>
      <c r="K14" s="20" t="s">
        <v>2661</v>
      </c>
      <c r="L14" s="20" t="s">
        <v>817</v>
      </c>
      <c r="M14" s="20" t="s">
        <v>600</v>
      </c>
      <c r="N14" s="20" t="s">
        <v>2661</v>
      </c>
    </row>
    <row r="15" spans="1:14">
      <c r="A15" s="7" t="str">
        <f t="shared" si="0"/>
        <v>01</v>
      </c>
      <c r="B15" s="7" t="str">
        <f t="shared" si="1"/>
        <v>113</v>
      </c>
      <c r="C15" s="7" t="str">
        <f t="shared" si="2"/>
        <v>Berisso</v>
      </c>
      <c r="D15" s="18" t="s">
        <v>2971</v>
      </c>
      <c r="E15" s="18">
        <v>1</v>
      </c>
      <c r="F15" s="18">
        <v>15</v>
      </c>
      <c r="G15" s="18">
        <v>1</v>
      </c>
      <c r="H15" s="18" t="s">
        <v>2567</v>
      </c>
      <c r="K15" s="20" t="s">
        <v>816</v>
      </c>
      <c r="L15" s="20" t="s">
        <v>817</v>
      </c>
      <c r="M15" s="20" t="s">
        <v>815</v>
      </c>
      <c r="N15" s="20" t="s">
        <v>816</v>
      </c>
    </row>
    <row r="16" spans="1:14">
      <c r="A16" s="7" t="str">
        <f t="shared" si="0"/>
        <v>01</v>
      </c>
      <c r="B16" s="7" t="str">
        <f t="shared" si="1"/>
        <v>113</v>
      </c>
      <c r="C16" s="7" t="str">
        <f t="shared" si="2"/>
        <v>Berisso</v>
      </c>
      <c r="D16" s="18" t="s">
        <v>2972</v>
      </c>
      <c r="E16" s="18">
        <v>1</v>
      </c>
      <c r="F16" s="18">
        <v>21</v>
      </c>
      <c r="G16" s="18">
        <v>1</v>
      </c>
      <c r="H16" s="18" t="s">
        <v>2567</v>
      </c>
      <c r="K16" s="20" t="s">
        <v>2081</v>
      </c>
      <c r="L16" s="20" t="s">
        <v>817</v>
      </c>
      <c r="M16" s="20" t="s">
        <v>2080</v>
      </c>
      <c r="N16" s="20" t="s">
        <v>2081</v>
      </c>
    </row>
    <row r="17" spans="1:14">
      <c r="A17" s="7" t="str">
        <f t="shared" si="0"/>
        <v>01</v>
      </c>
      <c r="B17" s="7" t="str">
        <f t="shared" si="1"/>
        <v>113</v>
      </c>
      <c r="C17" s="7" t="str">
        <f t="shared" si="2"/>
        <v>Berisso</v>
      </c>
      <c r="D17" s="18" t="s">
        <v>2973</v>
      </c>
      <c r="E17" s="18">
        <v>1</v>
      </c>
      <c r="F17" s="18">
        <v>0</v>
      </c>
      <c r="G17" s="18">
        <v>1</v>
      </c>
      <c r="H17" s="18" t="s">
        <v>2567</v>
      </c>
      <c r="K17" s="20" t="s">
        <v>256</v>
      </c>
      <c r="L17" s="20" t="s">
        <v>257</v>
      </c>
      <c r="M17" s="20" t="s">
        <v>254</v>
      </c>
      <c r="N17" s="20" t="s">
        <v>256</v>
      </c>
    </row>
    <row r="18" spans="1:14">
      <c r="A18" s="7" t="str">
        <f t="shared" si="0"/>
        <v>01</v>
      </c>
      <c r="B18" s="7" t="str">
        <f t="shared" si="1"/>
        <v>113</v>
      </c>
      <c r="C18" s="7" t="str">
        <f t="shared" si="2"/>
        <v>Berisso</v>
      </c>
      <c r="D18" s="18" t="s">
        <v>2974</v>
      </c>
      <c r="E18" s="18">
        <v>1</v>
      </c>
      <c r="F18" s="18">
        <v>12</v>
      </c>
      <c r="G18" s="18">
        <v>1</v>
      </c>
      <c r="H18" s="18" t="s">
        <v>2567</v>
      </c>
      <c r="K18" s="20" t="s">
        <v>773</v>
      </c>
      <c r="L18" s="20" t="s">
        <v>257</v>
      </c>
      <c r="M18" s="20" t="s">
        <v>772</v>
      </c>
      <c r="N18" s="20" t="s">
        <v>773</v>
      </c>
    </row>
    <row r="19" spans="1:14">
      <c r="A19" s="7" t="str">
        <f t="shared" si="0"/>
        <v>01</v>
      </c>
      <c r="B19" s="7" t="str">
        <f t="shared" si="1"/>
        <v>113</v>
      </c>
      <c r="C19" s="7" t="str">
        <f t="shared" si="2"/>
        <v>Berisso</v>
      </c>
      <c r="D19" s="18" t="s">
        <v>2975</v>
      </c>
      <c r="E19" s="18">
        <v>2</v>
      </c>
      <c r="F19" s="18">
        <v>34</v>
      </c>
      <c r="G19" s="18">
        <v>1</v>
      </c>
      <c r="H19" s="18" t="s">
        <v>2567</v>
      </c>
      <c r="K19" s="20" t="s">
        <v>2770</v>
      </c>
      <c r="L19" s="20" t="s">
        <v>257</v>
      </c>
      <c r="M19" s="20" t="s">
        <v>415</v>
      </c>
      <c r="N19" s="20" t="s">
        <v>2770</v>
      </c>
    </row>
    <row r="20" spans="1:14">
      <c r="A20" s="7" t="str">
        <f t="shared" si="0"/>
        <v>01</v>
      </c>
      <c r="B20" s="7" t="str">
        <f t="shared" si="1"/>
        <v>113</v>
      </c>
      <c r="C20" s="7" t="str">
        <f t="shared" si="2"/>
        <v>Berisso</v>
      </c>
      <c r="D20" s="18" t="s">
        <v>2976</v>
      </c>
      <c r="E20" s="18">
        <v>1</v>
      </c>
      <c r="F20" s="18">
        <v>30</v>
      </c>
      <c r="G20" s="18">
        <v>1</v>
      </c>
      <c r="H20" s="18" t="s">
        <v>2567</v>
      </c>
      <c r="K20" s="20" t="s">
        <v>2759</v>
      </c>
      <c r="L20" s="20" t="s">
        <v>257</v>
      </c>
      <c r="M20" s="20" t="s">
        <v>253</v>
      </c>
      <c r="N20" s="20" t="s">
        <v>2759</v>
      </c>
    </row>
    <row r="21" spans="1:14">
      <c r="A21" s="7" t="str">
        <f t="shared" si="0"/>
        <v>01</v>
      </c>
      <c r="B21" s="7" t="str">
        <f t="shared" si="1"/>
        <v>113</v>
      </c>
      <c r="C21" s="7" t="str">
        <f t="shared" si="2"/>
        <v>Berisso</v>
      </c>
      <c r="D21" s="18" t="s">
        <v>2977</v>
      </c>
      <c r="E21" s="18">
        <v>1</v>
      </c>
      <c r="F21" s="18">
        <v>23</v>
      </c>
      <c r="G21" s="18">
        <v>1</v>
      </c>
      <c r="H21" s="18" t="s">
        <v>2567</v>
      </c>
      <c r="K21" s="20" t="s">
        <v>2338</v>
      </c>
      <c r="L21" s="20" t="s">
        <v>257</v>
      </c>
      <c r="M21" s="20" t="s">
        <v>2337</v>
      </c>
      <c r="N21" s="20" t="s">
        <v>2338</v>
      </c>
    </row>
    <row r="22" spans="1:14">
      <c r="A22" s="7" t="str">
        <f t="shared" si="0"/>
        <v>01</v>
      </c>
      <c r="B22" s="7" t="str">
        <f t="shared" si="1"/>
        <v>113</v>
      </c>
      <c r="C22" s="7" t="str">
        <f t="shared" si="2"/>
        <v>Berisso</v>
      </c>
      <c r="D22" s="18" t="s">
        <v>2589</v>
      </c>
      <c r="E22" s="18">
        <v>2</v>
      </c>
      <c r="F22" s="18">
        <v>43</v>
      </c>
      <c r="G22" s="18">
        <v>1</v>
      </c>
      <c r="H22" s="18" t="s">
        <v>2567</v>
      </c>
      <c r="K22" s="20" t="s">
        <v>2214</v>
      </c>
      <c r="L22" s="20" t="s">
        <v>1257</v>
      </c>
      <c r="M22" s="20" t="s">
        <v>2213</v>
      </c>
      <c r="N22" s="20" t="s">
        <v>2214</v>
      </c>
    </row>
    <row r="23" spans="1:14">
      <c r="A23" s="7" t="str">
        <f t="shared" si="0"/>
        <v>01</v>
      </c>
      <c r="B23" s="7" t="str">
        <f t="shared" si="1"/>
        <v>014</v>
      </c>
      <c r="C23" s="7" t="str">
        <f t="shared" si="2"/>
        <v>Brandsen</v>
      </c>
      <c r="D23" s="18" t="s">
        <v>2979</v>
      </c>
      <c r="E23" s="18">
        <v>2</v>
      </c>
      <c r="F23" s="18">
        <v>19</v>
      </c>
      <c r="G23" s="18">
        <v>1</v>
      </c>
      <c r="H23" s="18" t="s">
        <v>2978</v>
      </c>
      <c r="K23" s="20" t="s">
        <v>2238</v>
      </c>
      <c r="L23" s="20" t="s">
        <v>1257</v>
      </c>
      <c r="M23" s="20" t="s">
        <v>2237</v>
      </c>
      <c r="N23" s="20" t="s">
        <v>2238</v>
      </c>
    </row>
    <row r="24" spans="1:14">
      <c r="A24" s="7" t="str">
        <f t="shared" si="0"/>
        <v>01</v>
      </c>
      <c r="B24" s="7" t="str">
        <f t="shared" si="1"/>
        <v>014</v>
      </c>
      <c r="C24" s="7" t="str">
        <f t="shared" si="2"/>
        <v>Brandsen</v>
      </c>
      <c r="D24" s="18" t="s">
        <v>2980</v>
      </c>
      <c r="E24" s="18">
        <v>1</v>
      </c>
      <c r="F24" s="18">
        <v>0</v>
      </c>
      <c r="G24" s="18">
        <v>1</v>
      </c>
      <c r="H24" s="18" t="s">
        <v>2978</v>
      </c>
      <c r="K24" s="20" t="s">
        <v>1256</v>
      </c>
      <c r="L24" s="20" t="s">
        <v>1257</v>
      </c>
      <c r="M24" s="20" t="s">
        <v>1255</v>
      </c>
      <c r="N24" s="20" t="s">
        <v>1256</v>
      </c>
    </row>
    <row r="25" spans="1:14">
      <c r="A25" s="7" t="str">
        <f t="shared" si="0"/>
        <v>01</v>
      </c>
      <c r="B25" s="7" t="str">
        <f t="shared" si="1"/>
        <v>014</v>
      </c>
      <c r="C25" s="7" t="str">
        <f t="shared" si="2"/>
        <v>Brandsen</v>
      </c>
      <c r="D25" s="18" t="s">
        <v>2981</v>
      </c>
      <c r="E25" s="18">
        <v>3</v>
      </c>
      <c r="F25" s="18">
        <v>46</v>
      </c>
      <c r="G25" s="18">
        <v>1</v>
      </c>
      <c r="H25" s="18" t="s">
        <v>2978</v>
      </c>
      <c r="K25" s="20" t="s">
        <v>2470</v>
      </c>
      <c r="L25" s="20" t="s">
        <v>1257</v>
      </c>
      <c r="M25" s="20" t="s">
        <v>519</v>
      </c>
      <c r="N25" s="20" t="s">
        <v>2470</v>
      </c>
    </row>
    <row r="26" spans="1:14">
      <c r="A26" s="7" t="str">
        <f t="shared" si="0"/>
        <v>01</v>
      </c>
      <c r="B26" s="7" t="str">
        <f t="shared" si="1"/>
        <v>014</v>
      </c>
      <c r="C26" s="7" t="str">
        <f t="shared" si="2"/>
        <v>Brandsen</v>
      </c>
      <c r="D26" s="18" t="s">
        <v>2982</v>
      </c>
      <c r="E26" s="18">
        <v>1</v>
      </c>
      <c r="F26" s="18">
        <v>14</v>
      </c>
      <c r="G26" s="18">
        <v>1</v>
      </c>
      <c r="H26" s="18" t="s">
        <v>2978</v>
      </c>
      <c r="K26" s="20" t="s">
        <v>1085</v>
      </c>
      <c r="L26" s="20" t="s">
        <v>204</v>
      </c>
      <c r="M26" s="20" t="s">
        <v>1084</v>
      </c>
      <c r="N26" s="20" t="s">
        <v>1085</v>
      </c>
    </row>
    <row r="27" spans="1:14">
      <c r="A27" s="7" t="str">
        <f t="shared" si="0"/>
        <v>01</v>
      </c>
      <c r="B27" s="7" t="str">
        <f t="shared" si="1"/>
        <v>014</v>
      </c>
      <c r="C27" s="7" t="str">
        <f t="shared" si="2"/>
        <v>Brandsen</v>
      </c>
      <c r="D27" s="18" t="s">
        <v>2983</v>
      </c>
      <c r="E27" s="18">
        <v>1</v>
      </c>
      <c r="F27" s="18">
        <v>0</v>
      </c>
      <c r="G27" s="18">
        <v>1</v>
      </c>
      <c r="H27" s="18" t="s">
        <v>2978</v>
      </c>
      <c r="K27" s="20" t="s">
        <v>2865</v>
      </c>
      <c r="L27" s="20" t="s">
        <v>204</v>
      </c>
      <c r="M27" s="20" t="s">
        <v>219</v>
      </c>
      <c r="N27" s="20" t="s">
        <v>2865</v>
      </c>
    </row>
    <row r="28" spans="1:14">
      <c r="A28" s="7" t="str">
        <f t="shared" si="0"/>
        <v>01</v>
      </c>
      <c r="B28" s="7" t="str">
        <f t="shared" si="1"/>
        <v>014</v>
      </c>
      <c r="C28" s="7" t="str">
        <f t="shared" si="2"/>
        <v>Brandsen</v>
      </c>
      <c r="D28" s="18" t="s">
        <v>2984</v>
      </c>
      <c r="E28" s="18">
        <v>1</v>
      </c>
      <c r="F28" s="18">
        <v>0</v>
      </c>
      <c r="G28" s="18">
        <v>1</v>
      </c>
      <c r="H28" s="18" t="s">
        <v>2978</v>
      </c>
      <c r="K28" s="20" t="s">
        <v>2629</v>
      </c>
      <c r="L28" s="20" t="s">
        <v>204</v>
      </c>
      <c r="M28" s="20" t="s">
        <v>137</v>
      </c>
      <c r="N28" s="20" t="s">
        <v>2629</v>
      </c>
    </row>
    <row r="29" spans="1:14">
      <c r="A29" s="7" t="str">
        <f t="shared" si="0"/>
        <v>01</v>
      </c>
      <c r="B29" s="7" t="str">
        <f t="shared" si="1"/>
        <v>014</v>
      </c>
      <c r="C29" s="7" t="str">
        <f t="shared" si="2"/>
        <v>Brandsen</v>
      </c>
      <c r="D29" s="18" t="s">
        <v>2985</v>
      </c>
      <c r="E29" s="18">
        <v>2</v>
      </c>
      <c r="F29" s="18">
        <v>29</v>
      </c>
      <c r="G29" s="18">
        <v>1</v>
      </c>
      <c r="H29" s="18" t="s">
        <v>2978</v>
      </c>
      <c r="K29" s="20" t="s">
        <v>4071</v>
      </c>
      <c r="L29" s="20" t="s">
        <v>1780</v>
      </c>
      <c r="M29" s="20" t="s">
        <v>238</v>
      </c>
      <c r="N29" s="20" t="s">
        <v>2887</v>
      </c>
    </row>
    <row r="30" spans="1:14">
      <c r="A30" s="7" t="str">
        <f t="shared" si="0"/>
        <v>01</v>
      </c>
      <c r="B30" s="7" t="str">
        <f t="shared" si="1"/>
        <v>014</v>
      </c>
      <c r="C30" s="7" t="str">
        <f t="shared" si="2"/>
        <v>Brandsen</v>
      </c>
      <c r="D30" s="18" t="s">
        <v>2986</v>
      </c>
      <c r="E30" s="18">
        <v>1</v>
      </c>
      <c r="F30" s="18">
        <v>7</v>
      </c>
      <c r="G30" s="18">
        <v>1</v>
      </c>
      <c r="H30" s="18" t="s">
        <v>2978</v>
      </c>
      <c r="K30" s="20" t="s">
        <v>1779</v>
      </c>
      <c r="L30" s="20" t="s">
        <v>1780</v>
      </c>
      <c r="M30" s="20" t="s">
        <v>1778</v>
      </c>
      <c r="N30" s="20" t="s">
        <v>1779</v>
      </c>
    </row>
    <row r="31" spans="1:14">
      <c r="A31" s="7" t="str">
        <f t="shared" si="0"/>
        <v>01</v>
      </c>
      <c r="B31" s="7" t="str">
        <f t="shared" si="1"/>
        <v>014</v>
      </c>
      <c r="C31" s="7" t="str">
        <f t="shared" si="2"/>
        <v>Brandsen</v>
      </c>
      <c r="D31" s="18" t="s">
        <v>2987</v>
      </c>
      <c r="E31" s="18">
        <v>2</v>
      </c>
      <c r="F31" s="18">
        <v>32</v>
      </c>
      <c r="G31" s="18">
        <v>1</v>
      </c>
      <c r="H31" s="18" t="s">
        <v>2978</v>
      </c>
      <c r="K31" s="20" t="s">
        <v>2348</v>
      </c>
      <c r="L31" s="20" t="s">
        <v>1780</v>
      </c>
      <c r="M31" s="20" t="s">
        <v>1248</v>
      </c>
      <c r="N31" s="20" t="s">
        <v>2348</v>
      </c>
    </row>
    <row r="32" spans="1:14">
      <c r="A32" s="7" t="str">
        <f t="shared" si="0"/>
        <v>01</v>
      </c>
      <c r="B32" s="7" t="str">
        <f t="shared" si="1"/>
        <v>014</v>
      </c>
      <c r="C32" s="7" t="str">
        <f t="shared" si="2"/>
        <v>Brandsen</v>
      </c>
      <c r="D32" s="18" t="s">
        <v>2988</v>
      </c>
      <c r="E32" s="18">
        <v>1</v>
      </c>
      <c r="F32" s="18">
        <v>11</v>
      </c>
      <c r="G32" s="18">
        <v>1</v>
      </c>
      <c r="H32" s="18" t="s">
        <v>2978</v>
      </c>
      <c r="K32" s="20" t="s">
        <v>4173</v>
      </c>
      <c r="L32" s="20" t="s">
        <v>1860</v>
      </c>
      <c r="M32" s="20" t="s">
        <v>875</v>
      </c>
      <c r="N32" s="20" t="s">
        <v>2816</v>
      </c>
    </row>
    <row r="33" spans="1:14">
      <c r="A33" s="7" t="str">
        <f t="shared" si="0"/>
        <v>01</v>
      </c>
      <c r="B33" s="7" t="str">
        <f t="shared" si="1"/>
        <v>114</v>
      </c>
      <c r="C33" s="7" t="str">
        <f t="shared" si="2"/>
        <v>Ensenada</v>
      </c>
      <c r="D33" s="18" t="s">
        <v>2989</v>
      </c>
      <c r="E33" s="18">
        <v>1</v>
      </c>
      <c r="F33" s="18">
        <v>0</v>
      </c>
      <c r="G33" s="18">
        <v>1</v>
      </c>
      <c r="H33" s="18" t="s">
        <v>2590</v>
      </c>
      <c r="K33" s="20" t="s">
        <v>2837</v>
      </c>
      <c r="L33" s="20" t="s">
        <v>1860</v>
      </c>
      <c r="M33" s="20" t="s">
        <v>224</v>
      </c>
      <c r="N33" s="20" t="s">
        <v>2837</v>
      </c>
    </row>
    <row r="34" spans="1:14">
      <c r="A34" s="7" t="str">
        <f t="shared" si="0"/>
        <v>01</v>
      </c>
      <c r="B34" s="7" t="str">
        <f t="shared" si="1"/>
        <v>114</v>
      </c>
      <c r="C34" s="7" t="str">
        <f t="shared" si="2"/>
        <v>Ensenada</v>
      </c>
      <c r="D34" s="18" t="s">
        <v>2990</v>
      </c>
      <c r="E34" s="18">
        <v>1</v>
      </c>
      <c r="F34" s="18">
        <v>16</v>
      </c>
      <c r="G34" s="18">
        <v>1</v>
      </c>
      <c r="H34" s="18" t="s">
        <v>2590</v>
      </c>
      <c r="K34" s="20" t="s">
        <v>1859</v>
      </c>
      <c r="L34" s="20" t="s">
        <v>1860</v>
      </c>
      <c r="M34" s="20" t="s">
        <v>1858</v>
      </c>
      <c r="N34" s="20" t="s">
        <v>1859</v>
      </c>
    </row>
    <row r="35" spans="1:14">
      <c r="A35" s="7" t="str">
        <f t="shared" si="0"/>
        <v>01</v>
      </c>
      <c r="B35" s="7" t="str">
        <f t="shared" si="1"/>
        <v>114</v>
      </c>
      <c r="C35" s="7" t="str">
        <f t="shared" si="2"/>
        <v>Ensenada</v>
      </c>
      <c r="D35" s="18" t="s">
        <v>2991</v>
      </c>
      <c r="E35" s="18">
        <v>1</v>
      </c>
      <c r="F35" s="18">
        <v>17</v>
      </c>
      <c r="G35" s="18">
        <v>1</v>
      </c>
      <c r="H35" s="18" t="s">
        <v>2590</v>
      </c>
      <c r="K35" s="20" t="s">
        <v>2791</v>
      </c>
      <c r="L35" s="20" t="s">
        <v>1860</v>
      </c>
      <c r="M35" s="20" t="s">
        <v>411</v>
      </c>
      <c r="N35" s="20" t="s">
        <v>2791</v>
      </c>
    </row>
    <row r="36" spans="1:14">
      <c r="A36" s="7" t="str">
        <f t="shared" si="0"/>
        <v>01</v>
      </c>
      <c r="B36" s="7" t="str">
        <f t="shared" si="1"/>
        <v>114</v>
      </c>
      <c r="C36" s="7" t="str">
        <f t="shared" si="2"/>
        <v>Ensenada</v>
      </c>
      <c r="D36" s="18" t="s">
        <v>2992</v>
      </c>
      <c r="E36" s="18">
        <v>1</v>
      </c>
      <c r="F36" s="18">
        <v>8</v>
      </c>
      <c r="G36" s="18">
        <v>1</v>
      </c>
      <c r="H36" s="18" t="s">
        <v>2590</v>
      </c>
      <c r="K36" s="20" t="s">
        <v>645</v>
      </c>
      <c r="L36" s="20" t="s">
        <v>138</v>
      </c>
      <c r="M36" s="20" t="s">
        <v>643</v>
      </c>
      <c r="N36" s="20" t="s">
        <v>645</v>
      </c>
    </row>
    <row r="37" spans="1:14">
      <c r="A37" s="7" t="str">
        <f t="shared" si="0"/>
        <v>01</v>
      </c>
      <c r="B37" s="7" t="str">
        <f t="shared" si="1"/>
        <v>114</v>
      </c>
      <c r="C37" s="7" t="str">
        <f t="shared" si="2"/>
        <v>Ensenada</v>
      </c>
      <c r="D37" s="18" t="s">
        <v>2993</v>
      </c>
      <c r="E37" s="18">
        <v>1</v>
      </c>
      <c r="F37" s="18">
        <v>23</v>
      </c>
      <c r="G37" s="18">
        <v>1</v>
      </c>
      <c r="H37" s="18" t="s">
        <v>2590</v>
      </c>
      <c r="K37" s="20" t="s">
        <v>1322</v>
      </c>
      <c r="L37" s="20" t="s">
        <v>138</v>
      </c>
      <c r="M37" s="20" t="s">
        <v>1321</v>
      </c>
      <c r="N37" s="20" t="s">
        <v>1322</v>
      </c>
    </row>
    <row r="38" spans="1:14">
      <c r="A38" s="7" t="str">
        <f t="shared" si="0"/>
        <v>01</v>
      </c>
      <c r="B38" s="7" t="str">
        <f t="shared" si="1"/>
        <v>114</v>
      </c>
      <c r="C38" s="7" t="str">
        <f t="shared" si="2"/>
        <v>Ensenada</v>
      </c>
      <c r="D38" s="18" t="s">
        <v>2994</v>
      </c>
      <c r="E38" s="18">
        <v>1</v>
      </c>
      <c r="F38" s="18">
        <v>22</v>
      </c>
      <c r="G38" s="18">
        <v>1</v>
      </c>
      <c r="H38" s="18" t="s">
        <v>2590</v>
      </c>
      <c r="K38" s="20" t="s">
        <v>4307</v>
      </c>
      <c r="L38" s="20" t="s">
        <v>138</v>
      </c>
      <c r="M38" s="20" t="s">
        <v>436</v>
      </c>
      <c r="N38" s="20" t="s">
        <v>1067</v>
      </c>
    </row>
    <row r="39" spans="1:14">
      <c r="A39" s="7" t="str">
        <f t="shared" si="0"/>
        <v>01</v>
      </c>
      <c r="B39" s="7" t="str">
        <f t="shared" si="1"/>
        <v>114</v>
      </c>
      <c r="C39" s="7" t="str">
        <f t="shared" si="2"/>
        <v>Ensenada</v>
      </c>
      <c r="D39" s="18" t="s">
        <v>2995</v>
      </c>
      <c r="E39" s="18">
        <v>1</v>
      </c>
      <c r="F39" s="18">
        <v>19</v>
      </c>
      <c r="G39" s="18">
        <v>1</v>
      </c>
      <c r="H39" s="18" t="s">
        <v>2590</v>
      </c>
      <c r="K39" s="20" t="s">
        <v>1468</v>
      </c>
      <c r="L39" s="20" t="s">
        <v>138</v>
      </c>
      <c r="M39" s="20" t="s">
        <v>522</v>
      </c>
      <c r="N39" s="20" t="s">
        <v>1468</v>
      </c>
    </row>
    <row r="40" spans="1:14">
      <c r="A40" s="7" t="str">
        <f t="shared" si="0"/>
        <v>01</v>
      </c>
      <c r="B40" s="7" t="str">
        <f t="shared" si="1"/>
        <v>114</v>
      </c>
      <c r="C40" s="7" t="str">
        <f t="shared" si="2"/>
        <v>Ensenada</v>
      </c>
      <c r="D40" s="18" t="s">
        <v>2996</v>
      </c>
      <c r="E40" s="18">
        <v>2</v>
      </c>
      <c r="F40" s="18">
        <v>45</v>
      </c>
      <c r="G40" s="18">
        <v>1</v>
      </c>
      <c r="H40" s="18" t="s">
        <v>2590</v>
      </c>
      <c r="K40" s="20" t="s">
        <v>1508</v>
      </c>
      <c r="L40" s="20" t="s">
        <v>138</v>
      </c>
      <c r="M40" s="20" t="s">
        <v>1507</v>
      </c>
      <c r="N40" s="20" t="s">
        <v>1508</v>
      </c>
    </row>
    <row r="41" spans="1:14">
      <c r="A41" s="7" t="str">
        <f t="shared" si="0"/>
        <v>01</v>
      </c>
      <c r="B41" s="7" t="str">
        <f t="shared" si="1"/>
        <v>114</v>
      </c>
      <c r="C41" s="7" t="str">
        <f t="shared" si="2"/>
        <v>Ensenada</v>
      </c>
      <c r="D41" s="18" t="s">
        <v>2997</v>
      </c>
      <c r="E41" s="18">
        <v>1</v>
      </c>
      <c r="F41" s="18">
        <v>19</v>
      </c>
      <c r="G41" s="18">
        <v>1</v>
      </c>
      <c r="H41" s="18" t="s">
        <v>2590</v>
      </c>
      <c r="K41" s="20" t="s">
        <v>1766</v>
      </c>
      <c r="L41" s="20" t="s">
        <v>138</v>
      </c>
      <c r="M41" s="20" t="s">
        <v>540</v>
      </c>
      <c r="N41" s="20" t="s">
        <v>1766</v>
      </c>
    </row>
    <row r="42" spans="1:14">
      <c r="A42" s="7" t="str">
        <f t="shared" si="0"/>
        <v>01</v>
      </c>
      <c r="B42" s="7" t="str">
        <f t="shared" si="1"/>
        <v>114</v>
      </c>
      <c r="C42" s="7" t="str">
        <f t="shared" si="2"/>
        <v>Ensenada</v>
      </c>
      <c r="D42" s="18" t="s">
        <v>2998</v>
      </c>
      <c r="E42" s="18">
        <v>1</v>
      </c>
      <c r="F42" s="18">
        <v>12</v>
      </c>
      <c r="G42" s="18">
        <v>1</v>
      </c>
      <c r="H42" s="18" t="s">
        <v>2590</v>
      </c>
      <c r="K42" s="20" t="s">
        <v>1921</v>
      </c>
      <c r="L42" s="20" t="s">
        <v>138</v>
      </c>
      <c r="M42" s="20" t="s">
        <v>1920</v>
      </c>
      <c r="N42" s="20" t="s">
        <v>1921</v>
      </c>
    </row>
    <row r="43" spans="1:14">
      <c r="A43" s="7" t="str">
        <f t="shared" si="0"/>
        <v>01</v>
      </c>
      <c r="B43" s="7" t="str">
        <f t="shared" si="1"/>
        <v>114</v>
      </c>
      <c r="C43" s="7" t="str">
        <f t="shared" si="2"/>
        <v>Ensenada</v>
      </c>
      <c r="D43" s="18" t="s">
        <v>2999</v>
      </c>
      <c r="E43" s="18">
        <v>1</v>
      </c>
      <c r="F43" s="18">
        <v>11</v>
      </c>
      <c r="G43" s="18">
        <v>1</v>
      </c>
      <c r="H43" s="18" t="s">
        <v>2590</v>
      </c>
      <c r="K43" s="20" t="s">
        <v>2200</v>
      </c>
      <c r="L43" s="20" t="s">
        <v>138</v>
      </c>
      <c r="M43" s="20" t="s">
        <v>2199</v>
      </c>
      <c r="N43" s="20" t="s">
        <v>2200</v>
      </c>
    </row>
    <row r="44" spans="1:14">
      <c r="A44" s="7" t="str">
        <f t="shared" si="0"/>
        <v>01</v>
      </c>
      <c r="B44" s="7" t="str">
        <f t="shared" si="1"/>
        <v>114</v>
      </c>
      <c r="C44" s="7" t="str">
        <f t="shared" si="2"/>
        <v>Ensenada</v>
      </c>
      <c r="D44" s="18" t="s">
        <v>2321</v>
      </c>
      <c r="E44" s="18">
        <v>2</v>
      </c>
      <c r="F44" s="18">
        <v>36</v>
      </c>
      <c r="G44" s="18">
        <v>1</v>
      </c>
      <c r="H44" s="18" t="s">
        <v>2590</v>
      </c>
      <c r="K44" s="20" t="s">
        <v>2392</v>
      </c>
      <c r="L44" s="20" t="s">
        <v>138</v>
      </c>
      <c r="M44" s="20" t="s">
        <v>555</v>
      </c>
      <c r="N44" s="20" t="s">
        <v>2392</v>
      </c>
    </row>
    <row r="45" spans="1:14">
      <c r="A45" s="7" t="str">
        <f t="shared" si="0"/>
        <v>01</v>
      </c>
      <c r="B45" s="7" t="str">
        <f t="shared" si="1"/>
        <v>114</v>
      </c>
      <c r="C45" s="7" t="str">
        <f t="shared" si="2"/>
        <v>Ensenada</v>
      </c>
      <c r="D45" s="18" t="s">
        <v>3000</v>
      </c>
      <c r="E45" s="18">
        <v>1</v>
      </c>
      <c r="F45" s="18">
        <v>14</v>
      </c>
      <c r="G45" s="18">
        <v>1</v>
      </c>
      <c r="H45" s="18" t="s">
        <v>2590</v>
      </c>
      <c r="K45" s="20" t="s">
        <v>611</v>
      </c>
      <c r="L45" s="20" t="s">
        <v>222</v>
      </c>
      <c r="M45" s="20" t="s">
        <v>610</v>
      </c>
      <c r="N45" s="20" t="s">
        <v>611</v>
      </c>
    </row>
    <row r="46" spans="1:14">
      <c r="A46" s="7" t="str">
        <f t="shared" si="0"/>
        <v>01</v>
      </c>
      <c r="B46" s="7" t="str">
        <f t="shared" si="1"/>
        <v>114</v>
      </c>
      <c r="C46" s="7" t="str">
        <f t="shared" si="2"/>
        <v>Ensenada</v>
      </c>
      <c r="D46" s="18" t="s">
        <v>3001</v>
      </c>
      <c r="E46" s="18">
        <v>1</v>
      </c>
      <c r="F46" s="18">
        <v>20</v>
      </c>
      <c r="G46" s="18">
        <v>1</v>
      </c>
      <c r="H46" s="18" t="s">
        <v>2590</v>
      </c>
      <c r="K46" s="20" t="s">
        <v>2603</v>
      </c>
      <c r="L46" s="20" t="s">
        <v>222</v>
      </c>
      <c r="M46" s="20" t="s">
        <v>227</v>
      </c>
      <c r="N46" s="20" t="s">
        <v>2603</v>
      </c>
    </row>
    <row r="47" spans="1:14">
      <c r="A47" s="7" t="str">
        <f t="shared" si="0"/>
        <v>01</v>
      </c>
      <c r="B47" s="7" t="str">
        <f t="shared" si="1"/>
        <v>114</v>
      </c>
      <c r="C47" s="7" t="str">
        <f t="shared" si="2"/>
        <v>Ensenada</v>
      </c>
      <c r="D47" s="18" t="s">
        <v>3002</v>
      </c>
      <c r="E47" s="18">
        <v>2</v>
      </c>
      <c r="F47" s="18">
        <v>46</v>
      </c>
      <c r="G47" s="18">
        <v>1</v>
      </c>
      <c r="H47" s="18" t="s">
        <v>2590</v>
      </c>
      <c r="K47" s="20" t="s">
        <v>808</v>
      </c>
      <c r="L47" s="20" t="s">
        <v>222</v>
      </c>
      <c r="M47" s="20" t="s">
        <v>807</v>
      </c>
      <c r="N47" s="20" t="s">
        <v>808</v>
      </c>
    </row>
    <row r="48" spans="1:14">
      <c r="A48" s="7" t="str">
        <f t="shared" si="0"/>
        <v>01</v>
      </c>
      <c r="B48" s="7" t="str">
        <f t="shared" si="1"/>
        <v>114</v>
      </c>
      <c r="C48" s="7" t="str">
        <f t="shared" si="2"/>
        <v>Ensenada</v>
      </c>
      <c r="D48" s="18" t="s">
        <v>3003</v>
      </c>
      <c r="E48" s="18">
        <v>4</v>
      </c>
      <c r="F48" s="18">
        <v>111</v>
      </c>
      <c r="G48" s="18">
        <v>1</v>
      </c>
      <c r="H48" s="18" t="s">
        <v>2590</v>
      </c>
      <c r="K48" s="20" t="s">
        <v>2048</v>
      </c>
      <c r="L48" s="20" t="s">
        <v>222</v>
      </c>
      <c r="M48" s="20" t="s">
        <v>2047</v>
      </c>
      <c r="N48" s="20" t="s">
        <v>2048</v>
      </c>
    </row>
    <row r="49" spans="1:14">
      <c r="A49" s="7" t="str">
        <f t="shared" si="0"/>
        <v>01</v>
      </c>
      <c r="B49" s="7" t="str">
        <f t="shared" si="1"/>
        <v>114</v>
      </c>
      <c r="C49" s="7" t="str">
        <f t="shared" si="2"/>
        <v>Ensenada</v>
      </c>
      <c r="D49" s="18" t="s">
        <v>3004</v>
      </c>
      <c r="E49" s="18">
        <v>1</v>
      </c>
      <c r="F49" s="18">
        <v>30</v>
      </c>
      <c r="G49" s="18">
        <v>1</v>
      </c>
      <c r="H49" s="18" t="s">
        <v>2590</v>
      </c>
      <c r="K49" s="20" t="s">
        <v>4497</v>
      </c>
      <c r="L49" s="20" t="s">
        <v>222</v>
      </c>
      <c r="M49" s="20" t="s">
        <v>1154</v>
      </c>
      <c r="N49" s="20" t="s">
        <v>1155</v>
      </c>
    </row>
    <row r="50" spans="1:14">
      <c r="A50" s="7" t="str">
        <f t="shared" si="0"/>
        <v>01</v>
      </c>
      <c r="B50" s="7" t="str">
        <f t="shared" si="1"/>
        <v>114</v>
      </c>
      <c r="C50" s="7" t="str">
        <f t="shared" si="2"/>
        <v>Ensenada</v>
      </c>
      <c r="D50" s="18" t="s">
        <v>3005</v>
      </c>
      <c r="E50" s="18">
        <v>1</v>
      </c>
      <c r="F50" s="18">
        <v>21</v>
      </c>
      <c r="G50" s="18">
        <v>1</v>
      </c>
      <c r="H50" s="18" t="s">
        <v>2590</v>
      </c>
      <c r="K50" s="20" t="s">
        <v>559</v>
      </c>
      <c r="L50" s="20" t="s">
        <v>140</v>
      </c>
      <c r="M50" s="20" t="s">
        <v>136</v>
      </c>
      <c r="N50" s="20" t="s">
        <v>559</v>
      </c>
    </row>
    <row r="51" spans="1:14">
      <c r="A51" s="7" t="str">
        <f t="shared" si="0"/>
        <v>01</v>
      </c>
      <c r="B51" s="7" t="str">
        <f t="shared" si="1"/>
        <v>114</v>
      </c>
      <c r="C51" s="7" t="str">
        <f t="shared" si="2"/>
        <v>Ensenada</v>
      </c>
      <c r="D51" s="18" t="s">
        <v>3006</v>
      </c>
      <c r="E51" s="18">
        <v>3</v>
      </c>
      <c r="F51" s="18">
        <v>37</v>
      </c>
      <c r="G51" s="18">
        <v>1</v>
      </c>
      <c r="H51" s="18" t="s">
        <v>2590</v>
      </c>
      <c r="K51" s="20" t="s">
        <v>541</v>
      </c>
      <c r="L51" s="20" t="s">
        <v>140</v>
      </c>
      <c r="M51" s="20" t="s">
        <v>539</v>
      </c>
      <c r="N51" s="20" t="s">
        <v>541</v>
      </c>
    </row>
    <row r="52" spans="1:14">
      <c r="A52" s="7" t="str">
        <f t="shared" si="0"/>
        <v>01</v>
      </c>
      <c r="B52" s="7" t="str">
        <f t="shared" si="1"/>
        <v>001</v>
      </c>
      <c r="C52" s="7" t="str">
        <f t="shared" si="2"/>
        <v>La Plata</v>
      </c>
      <c r="D52" s="18" t="s">
        <v>3007</v>
      </c>
      <c r="E52" s="18">
        <v>1</v>
      </c>
      <c r="F52" s="18">
        <v>23</v>
      </c>
      <c r="G52" s="18">
        <v>1</v>
      </c>
      <c r="H52" s="18" t="s">
        <v>18</v>
      </c>
      <c r="K52" s="20" t="s">
        <v>2714</v>
      </c>
      <c r="L52" s="20" t="s">
        <v>140</v>
      </c>
      <c r="M52" s="20" t="s">
        <v>412</v>
      </c>
      <c r="N52" s="20" t="s">
        <v>2714</v>
      </c>
    </row>
    <row r="53" spans="1:14">
      <c r="A53" s="7" t="str">
        <f t="shared" si="0"/>
        <v>01</v>
      </c>
      <c r="B53" s="7" t="str">
        <f t="shared" si="1"/>
        <v>001</v>
      </c>
      <c r="C53" s="7" t="str">
        <f t="shared" si="2"/>
        <v>La Plata</v>
      </c>
      <c r="D53" s="18" t="s">
        <v>3008</v>
      </c>
      <c r="E53" s="18">
        <v>1</v>
      </c>
      <c r="F53" s="18">
        <v>15</v>
      </c>
      <c r="G53" s="18">
        <v>1</v>
      </c>
      <c r="H53" s="18" t="s">
        <v>18</v>
      </c>
      <c r="K53" s="20" t="s">
        <v>2150</v>
      </c>
      <c r="L53" s="20" t="s">
        <v>140</v>
      </c>
      <c r="M53" s="20" t="s">
        <v>2149</v>
      </c>
      <c r="N53" s="20" t="s">
        <v>2150</v>
      </c>
    </row>
    <row r="54" spans="1:14">
      <c r="A54" s="7" t="str">
        <f t="shared" si="0"/>
        <v>01</v>
      </c>
      <c r="B54" s="7" t="str">
        <f t="shared" si="1"/>
        <v>001</v>
      </c>
      <c r="C54" s="7" t="str">
        <f t="shared" si="2"/>
        <v>La Plata</v>
      </c>
      <c r="D54" s="18" t="s">
        <v>3009</v>
      </c>
      <c r="E54" s="18">
        <v>1</v>
      </c>
      <c r="F54" s="18">
        <v>0</v>
      </c>
      <c r="G54" s="18">
        <v>1</v>
      </c>
      <c r="H54" s="18" t="s">
        <v>18</v>
      </c>
      <c r="K54" s="20" t="s">
        <v>2278</v>
      </c>
      <c r="L54" s="20" t="s">
        <v>140</v>
      </c>
      <c r="M54" s="20" t="s">
        <v>2277</v>
      </c>
      <c r="N54" s="20" t="s">
        <v>2278</v>
      </c>
    </row>
    <row r="55" spans="1:14">
      <c r="A55" s="7" t="str">
        <f t="shared" si="0"/>
        <v>01</v>
      </c>
      <c r="B55" s="7" t="str">
        <f t="shared" si="1"/>
        <v>001</v>
      </c>
      <c r="C55" s="7" t="str">
        <f t="shared" si="2"/>
        <v>La Plata</v>
      </c>
      <c r="D55" s="18" t="s">
        <v>3010</v>
      </c>
      <c r="E55" s="18">
        <v>1</v>
      </c>
      <c r="F55" s="18">
        <v>23</v>
      </c>
      <c r="G55" s="18">
        <v>1</v>
      </c>
      <c r="H55" s="18" t="s">
        <v>18</v>
      </c>
      <c r="K55" s="20" t="s">
        <v>2323</v>
      </c>
      <c r="L55" s="20" t="s">
        <v>140</v>
      </c>
      <c r="M55" s="20" t="s">
        <v>2322</v>
      </c>
      <c r="N55" s="20" t="s">
        <v>2323</v>
      </c>
    </row>
    <row r="56" spans="1:14">
      <c r="A56" s="7" t="str">
        <f t="shared" si="0"/>
        <v>01</v>
      </c>
      <c r="B56" s="7" t="str">
        <f t="shared" si="1"/>
        <v>001</v>
      </c>
      <c r="C56" s="7" t="str">
        <f t="shared" si="2"/>
        <v>La Plata</v>
      </c>
      <c r="D56" s="18" t="s">
        <v>3011</v>
      </c>
      <c r="E56" s="18">
        <v>1</v>
      </c>
      <c r="F56" s="18">
        <v>16</v>
      </c>
      <c r="G56" s="18">
        <v>1</v>
      </c>
      <c r="H56" s="18" t="s">
        <v>18</v>
      </c>
      <c r="K56" s="20" t="s">
        <v>4551</v>
      </c>
      <c r="L56" s="20" t="s">
        <v>217</v>
      </c>
      <c r="M56" s="20" t="s">
        <v>674</v>
      </c>
      <c r="N56" s="20" t="s">
        <v>675</v>
      </c>
    </row>
    <row r="57" spans="1:14">
      <c r="A57" s="7" t="str">
        <f t="shared" si="0"/>
        <v>01</v>
      </c>
      <c r="B57" s="7" t="str">
        <f t="shared" si="1"/>
        <v>001</v>
      </c>
      <c r="C57" s="7" t="str">
        <f t="shared" si="2"/>
        <v>La Plata</v>
      </c>
      <c r="D57" s="18" t="s">
        <v>3012</v>
      </c>
      <c r="E57" s="18">
        <v>3</v>
      </c>
      <c r="F57" s="18">
        <v>109</v>
      </c>
      <c r="G57" s="18">
        <v>1</v>
      </c>
      <c r="H57" s="18" t="s">
        <v>18</v>
      </c>
      <c r="K57" s="20" t="s">
        <v>694</v>
      </c>
      <c r="L57" s="20" t="s">
        <v>217</v>
      </c>
      <c r="M57" s="20" t="s">
        <v>693</v>
      </c>
      <c r="N57" s="20" t="s">
        <v>694</v>
      </c>
    </row>
    <row r="58" spans="1:14">
      <c r="A58" s="7" t="str">
        <f t="shared" si="0"/>
        <v>01</v>
      </c>
      <c r="B58" s="7" t="str">
        <f t="shared" si="1"/>
        <v>001</v>
      </c>
      <c r="C58" s="7" t="str">
        <f t="shared" si="2"/>
        <v>La Plata</v>
      </c>
      <c r="D58" s="18" t="s">
        <v>3013</v>
      </c>
      <c r="E58" s="18">
        <v>1</v>
      </c>
      <c r="F58" s="18">
        <v>10</v>
      </c>
      <c r="G58" s="18">
        <v>1</v>
      </c>
      <c r="H58" s="18" t="s">
        <v>18</v>
      </c>
      <c r="K58" s="20" t="s">
        <v>2028</v>
      </c>
      <c r="L58" s="20" t="s">
        <v>217</v>
      </c>
      <c r="M58" s="20" t="s">
        <v>2027</v>
      </c>
      <c r="N58" s="20" t="s">
        <v>2028</v>
      </c>
    </row>
    <row r="59" spans="1:14">
      <c r="A59" s="7" t="str">
        <f t="shared" si="0"/>
        <v>01</v>
      </c>
      <c r="B59" s="7" t="str">
        <f t="shared" si="1"/>
        <v>001</v>
      </c>
      <c r="C59" s="7" t="str">
        <f t="shared" si="2"/>
        <v>La Plata</v>
      </c>
      <c r="D59" s="18" t="s">
        <v>3014</v>
      </c>
      <c r="E59" s="18">
        <v>1</v>
      </c>
      <c r="F59" s="18">
        <v>17</v>
      </c>
      <c r="G59" s="18">
        <v>1</v>
      </c>
      <c r="H59" s="18" t="s">
        <v>18</v>
      </c>
      <c r="K59" s="20" t="s">
        <v>2172</v>
      </c>
      <c r="L59" s="20" t="s">
        <v>217</v>
      </c>
      <c r="M59" s="20" t="s">
        <v>2171</v>
      </c>
      <c r="N59" s="20" t="s">
        <v>2172</v>
      </c>
    </row>
    <row r="60" spans="1:14">
      <c r="A60" s="7" t="str">
        <f t="shared" si="0"/>
        <v>01</v>
      </c>
      <c r="B60" s="7" t="str">
        <f t="shared" si="1"/>
        <v>001</v>
      </c>
      <c r="C60" s="7" t="str">
        <f t="shared" si="2"/>
        <v>La Plata</v>
      </c>
      <c r="D60" s="18" t="s">
        <v>3015</v>
      </c>
      <c r="E60" s="18">
        <v>2</v>
      </c>
      <c r="F60" s="18">
        <v>23</v>
      </c>
      <c r="G60" s="18">
        <v>1</v>
      </c>
      <c r="H60" s="18" t="s">
        <v>18</v>
      </c>
      <c r="K60" s="20" t="s">
        <v>1500</v>
      </c>
      <c r="L60" s="20" t="s">
        <v>217</v>
      </c>
      <c r="M60" s="20" t="s">
        <v>1499</v>
      </c>
      <c r="N60" s="20" t="s">
        <v>1500</v>
      </c>
    </row>
    <row r="61" spans="1:14">
      <c r="A61" s="7" t="str">
        <f t="shared" si="0"/>
        <v>01</v>
      </c>
      <c r="B61" s="7" t="str">
        <f t="shared" si="1"/>
        <v>001</v>
      </c>
      <c r="C61" s="7" t="str">
        <f t="shared" si="2"/>
        <v>La Plata</v>
      </c>
      <c r="D61" s="18" t="s">
        <v>3016</v>
      </c>
      <c r="E61" s="18">
        <v>1</v>
      </c>
      <c r="F61" s="18">
        <v>9</v>
      </c>
      <c r="G61" s="18">
        <v>1</v>
      </c>
      <c r="H61" s="18" t="s">
        <v>18</v>
      </c>
      <c r="K61" s="20" t="s">
        <v>2207</v>
      </c>
      <c r="L61" s="20" t="s">
        <v>217</v>
      </c>
      <c r="M61" s="20" t="s">
        <v>2206</v>
      </c>
      <c r="N61" s="20" t="s">
        <v>2207</v>
      </c>
    </row>
    <row r="62" spans="1:14">
      <c r="A62" s="7" t="str">
        <f t="shared" si="0"/>
        <v>01</v>
      </c>
      <c r="B62" s="7" t="str">
        <f t="shared" si="1"/>
        <v>001</v>
      </c>
      <c r="C62" s="7" t="str">
        <f t="shared" si="2"/>
        <v>La Plata</v>
      </c>
      <c r="D62" s="18" t="s">
        <v>3017</v>
      </c>
      <c r="E62" s="18">
        <v>1</v>
      </c>
      <c r="F62" s="18">
        <v>0</v>
      </c>
      <c r="G62" s="18">
        <v>1</v>
      </c>
      <c r="H62" s="18" t="s">
        <v>18</v>
      </c>
      <c r="K62" s="20" t="s">
        <v>728</v>
      </c>
      <c r="L62" s="20" t="s">
        <v>135</v>
      </c>
      <c r="M62" s="20" t="s">
        <v>727</v>
      </c>
      <c r="N62" s="20" t="s">
        <v>728</v>
      </c>
    </row>
    <row r="63" spans="1:14">
      <c r="A63" s="7" t="str">
        <f t="shared" si="0"/>
        <v>01</v>
      </c>
      <c r="B63" s="7" t="str">
        <f t="shared" si="1"/>
        <v>001</v>
      </c>
      <c r="C63" s="7" t="str">
        <f t="shared" si="2"/>
        <v>La Plata</v>
      </c>
      <c r="D63" s="18" t="s">
        <v>3018</v>
      </c>
      <c r="E63" s="18">
        <v>3</v>
      </c>
      <c r="F63" s="18">
        <v>82</v>
      </c>
      <c r="G63" s="18">
        <v>1</v>
      </c>
      <c r="H63" s="18" t="s">
        <v>18</v>
      </c>
      <c r="K63" s="20" t="s">
        <v>2754</v>
      </c>
      <c r="L63" s="20" t="s">
        <v>135</v>
      </c>
      <c r="M63" s="20" t="s">
        <v>902</v>
      </c>
      <c r="N63" s="20" t="s">
        <v>2754</v>
      </c>
    </row>
    <row r="64" spans="1:14">
      <c r="A64" s="7" t="str">
        <f t="shared" si="0"/>
        <v>01</v>
      </c>
      <c r="B64" s="7" t="str">
        <f t="shared" si="1"/>
        <v>001</v>
      </c>
      <c r="C64" s="7" t="str">
        <f t="shared" si="2"/>
        <v>La Plata</v>
      </c>
      <c r="D64" s="18" t="s">
        <v>3019</v>
      </c>
      <c r="E64" s="18">
        <v>1</v>
      </c>
      <c r="F64" s="18">
        <v>23</v>
      </c>
      <c r="G64" s="18">
        <v>1</v>
      </c>
      <c r="H64" s="18" t="s">
        <v>18</v>
      </c>
      <c r="K64" s="20" t="s">
        <v>897</v>
      </c>
      <c r="L64" s="20" t="s">
        <v>135</v>
      </c>
      <c r="M64" s="20" t="s">
        <v>354</v>
      </c>
      <c r="N64" s="20" t="s">
        <v>897</v>
      </c>
    </row>
    <row r="65" spans="1:14">
      <c r="A65" s="7" t="str">
        <f t="shared" si="0"/>
        <v>01</v>
      </c>
      <c r="B65" s="7" t="str">
        <f t="shared" si="1"/>
        <v>001</v>
      </c>
      <c r="C65" s="7" t="str">
        <f t="shared" si="2"/>
        <v>La Plata</v>
      </c>
      <c r="D65" s="18" t="s">
        <v>3020</v>
      </c>
      <c r="E65" s="18">
        <v>1</v>
      </c>
      <c r="F65" s="18">
        <v>7</v>
      </c>
      <c r="G65" s="18">
        <v>1</v>
      </c>
      <c r="H65" s="18" t="s">
        <v>18</v>
      </c>
      <c r="K65" s="20" t="s">
        <v>937</v>
      </c>
      <c r="L65" s="20" t="s">
        <v>135</v>
      </c>
      <c r="M65" s="20" t="s">
        <v>424</v>
      </c>
      <c r="N65" s="20" t="s">
        <v>937</v>
      </c>
    </row>
    <row r="66" spans="1:14">
      <c r="A66" s="7" t="str">
        <f t="shared" si="0"/>
        <v>01</v>
      </c>
      <c r="B66" s="7" t="str">
        <f t="shared" si="1"/>
        <v>001</v>
      </c>
      <c r="C66" s="7" t="str">
        <f t="shared" si="2"/>
        <v>La Plata</v>
      </c>
      <c r="D66" s="18" t="s">
        <v>3021</v>
      </c>
      <c r="E66" s="18">
        <v>1</v>
      </c>
      <c r="F66" s="18">
        <v>0</v>
      </c>
      <c r="G66" s="18">
        <v>1</v>
      </c>
      <c r="H66" s="18" t="s">
        <v>18</v>
      </c>
      <c r="K66" s="20" t="s">
        <v>1180</v>
      </c>
      <c r="L66" s="20" t="s">
        <v>135</v>
      </c>
      <c r="M66" s="20" t="s">
        <v>1179</v>
      </c>
      <c r="N66" s="20" t="s">
        <v>1180</v>
      </c>
    </row>
    <row r="67" spans="1:14">
      <c r="A67" s="7" t="str">
        <f t="shared" ref="A67:A130" si="3">+VLOOKUP(H67,$K:$N,2,FALSE)</f>
        <v>01</v>
      </c>
      <c r="B67" s="7" t="str">
        <f t="shared" ref="B67:B130" si="4">+VLOOKUP(H67,$K:$N,3,FALSE)</f>
        <v>001</v>
      </c>
      <c r="C67" s="7" t="str">
        <f t="shared" ref="C67:C130" si="5">+VLOOKUP(H67,$K:$N,4,FALSE)</f>
        <v>La Plata</v>
      </c>
      <c r="D67" s="18" t="s">
        <v>3022</v>
      </c>
      <c r="E67" s="18">
        <v>3</v>
      </c>
      <c r="F67" s="18">
        <v>72</v>
      </c>
      <c r="G67" s="18">
        <v>1</v>
      </c>
      <c r="H67" s="18" t="s">
        <v>18</v>
      </c>
      <c r="K67" s="20" t="s">
        <v>1218</v>
      </c>
      <c r="L67" s="20" t="s">
        <v>135</v>
      </c>
      <c r="M67" s="20" t="s">
        <v>1217</v>
      </c>
      <c r="N67" s="20" t="s">
        <v>1218</v>
      </c>
    </row>
    <row r="68" spans="1:14">
      <c r="A68" s="7" t="str">
        <f t="shared" si="3"/>
        <v>01</v>
      </c>
      <c r="B68" s="7" t="str">
        <f t="shared" si="4"/>
        <v>001</v>
      </c>
      <c r="C68" s="7" t="str">
        <f t="shared" si="5"/>
        <v>La Plata</v>
      </c>
      <c r="D68" s="18" t="s">
        <v>3023</v>
      </c>
      <c r="E68" s="18">
        <v>1</v>
      </c>
      <c r="F68" s="18">
        <v>13</v>
      </c>
      <c r="G68" s="18">
        <v>1</v>
      </c>
      <c r="H68" s="18" t="s">
        <v>18</v>
      </c>
      <c r="K68" s="20" t="s">
        <v>4616</v>
      </c>
      <c r="L68" s="20" t="s">
        <v>135</v>
      </c>
      <c r="M68" s="20" t="s">
        <v>1325</v>
      </c>
      <c r="N68" s="20" t="s">
        <v>1326</v>
      </c>
    </row>
    <row r="69" spans="1:14">
      <c r="A69" s="7" t="str">
        <f t="shared" si="3"/>
        <v>01</v>
      </c>
      <c r="B69" s="7" t="str">
        <f t="shared" si="4"/>
        <v>001</v>
      </c>
      <c r="C69" s="7" t="str">
        <f t="shared" si="5"/>
        <v>La Plata</v>
      </c>
      <c r="D69" s="18" t="s">
        <v>3024</v>
      </c>
      <c r="E69" s="18">
        <v>2</v>
      </c>
      <c r="F69" s="18">
        <v>32</v>
      </c>
      <c r="G69" s="18">
        <v>1</v>
      </c>
      <c r="H69" s="18" t="s">
        <v>18</v>
      </c>
      <c r="K69" s="20" t="s">
        <v>1331</v>
      </c>
      <c r="L69" s="20" t="s">
        <v>135</v>
      </c>
      <c r="M69" s="20" t="s">
        <v>1330</v>
      </c>
      <c r="N69" s="20" t="s">
        <v>1331</v>
      </c>
    </row>
    <row r="70" spans="1:14">
      <c r="A70" s="7" t="str">
        <f t="shared" si="3"/>
        <v>01</v>
      </c>
      <c r="B70" s="7" t="str">
        <f t="shared" si="4"/>
        <v>001</v>
      </c>
      <c r="C70" s="7" t="str">
        <f t="shared" si="5"/>
        <v>La Plata</v>
      </c>
      <c r="D70" s="18" t="s">
        <v>3025</v>
      </c>
      <c r="E70" s="18">
        <v>1</v>
      </c>
      <c r="F70" s="18">
        <v>30</v>
      </c>
      <c r="G70" s="18">
        <v>1</v>
      </c>
      <c r="H70" s="18" t="s">
        <v>18</v>
      </c>
      <c r="K70" s="20" t="s">
        <v>4624</v>
      </c>
      <c r="L70" s="20" t="s">
        <v>205</v>
      </c>
      <c r="M70" s="20" t="s">
        <v>1946</v>
      </c>
      <c r="N70" s="20" t="s">
        <v>1947</v>
      </c>
    </row>
    <row r="71" spans="1:14">
      <c r="A71" s="7" t="str">
        <f t="shared" si="3"/>
        <v>01</v>
      </c>
      <c r="B71" s="7" t="str">
        <f t="shared" si="4"/>
        <v>001</v>
      </c>
      <c r="C71" s="7" t="str">
        <f t="shared" si="5"/>
        <v>La Plata</v>
      </c>
      <c r="D71" s="18" t="s">
        <v>3026</v>
      </c>
      <c r="E71" s="18">
        <v>1</v>
      </c>
      <c r="F71" s="18">
        <v>12</v>
      </c>
      <c r="G71" s="18">
        <v>1</v>
      </c>
      <c r="H71" s="18" t="s">
        <v>18</v>
      </c>
      <c r="K71" s="20" t="s">
        <v>245</v>
      </c>
      <c r="L71" s="20" t="s">
        <v>205</v>
      </c>
      <c r="M71" s="20" t="s">
        <v>243</v>
      </c>
      <c r="N71" s="20" t="s">
        <v>245</v>
      </c>
    </row>
    <row r="72" spans="1:14">
      <c r="A72" s="7" t="str">
        <f t="shared" si="3"/>
        <v>01</v>
      </c>
      <c r="B72" s="7" t="str">
        <f t="shared" si="4"/>
        <v>001</v>
      </c>
      <c r="C72" s="7" t="str">
        <f t="shared" si="5"/>
        <v>La Plata</v>
      </c>
      <c r="D72" s="18" t="s">
        <v>3027</v>
      </c>
      <c r="E72" s="18">
        <v>1</v>
      </c>
      <c r="F72" s="18">
        <v>33</v>
      </c>
      <c r="G72" s="18">
        <v>1</v>
      </c>
      <c r="H72" s="18" t="s">
        <v>18</v>
      </c>
      <c r="K72" s="20" t="s">
        <v>591</v>
      </c>
      <c r="L72" s="20" t="s">
        <v>205</v>
      </c>
      <c r="M72" s="20" t="s">
        <v>589</v>
      </c>
      <c r="N72" s="20" t="s">
        <v>591</v>
      </c>
    </row>
    <row r="73" spans="1:14">
      <c r="A73" s="7" t="str">
        <f t="shared" si="3"/>
        <v>01</v>
      </c>
      <c r="B73" s="7" t="str">
        <f t="shared" si="4"/>
        <v>001</v>
      </c>
      <c r="C73" s="7" t="str">
        <f t="shared" si="5"/>
        <v>La Plata</v>
      </c>
      <c r="D73" s="18" t="s">
        <v>3028</v>
      </c>
      <c r="E73" s="18">
        <v>1</v>
      </c>
      <c r="F73" s="18">
        <v>17</v>
      </c>
      <c r="G73" s="18">
        <v>1</v>
      </c>
      <c r="H73" s="18" t="s">
        <v>18</v>
      </c>
      <c r="K73" s="20" t="s">
        <v>655</v>
      </c>
      <c r="L73" s="20" t="s">
        <v>205</v>
      </c>
      <c r="M73" s="20" t="s">
        <v>654</v>
      </c>
      <c r="N73" s="20" t="s">
        <v>655</v>
      </c>
    </row>
    <row r="74" spans="1:14">
      <c r="A74" s="7" t="str">
        <f t="shared" si="3"/>
        <v>01</v>
      </c>
      <c r="B74" s="7" t="str">
        <f t="shared" si="4"/>
        <v>001</v>
      </c>
      <c r="C74" s="7" t="str">
        <f t="shared" si="5"/>
        <v>La Plata</v>
      </c>
      <c r="D74" s="18" t="s">
        <v>3029</v>
      </c>
      <c r="E74" s="18">
        <v>1</v>
      </c>
      <c r="F74" s="18">
        <v>8</v>
      </c>
      <c r="G74" s="18">
        <v>1</v>
      </c>
      <c r="H74" s="18" t="s">
        <v>18</v>
      </c>
      <c r="K74" s="20" t="s">
        <v>750</v>
      </c>
      <c r="L74" s="20" t="s">
        <v>205</v>
      </c>
      <c r="M74" s="20" t="s">
        <v>255</v>
      </c>
      <c r="N74" s="20" t="s">
        <v>750</v>
      </c>
    </row>
    <row r="75" spans="1:14">
      <c r="A75" s="7" t="str">
        <f t="shared" si="3"/>
        <v>01</v>
      </c>
      <c r="B75" s="7" t="str">
        <f t="shared" si="4"/>
        <v>001</v>
      </c>
      <c r="C75" s="7" t="str">
        <f t="shared" si="5"/>
        <v>La Plata</v>
      </c>
      <c r="D75" s="18" t="s">
        <v>3030</v>
      </c>
      <c r="E75" s="18">
        <v>1</v>
      </c>
      <c r="F75" s="18">
        <v>21</v>
      </c>
      <c r="G75" s="18">
        <v>1</v>
      </c>
      <c r="H75" s="18" t="s">
        <v>18</v>
      </c>
      <c r="K75" s="20" t="s">
        <v>4647</v>
      </c>
      <c r="L75" s="20" t="s">
        <v>205</v>
      </c>
      <c r="M75" s="20" t="s">
        <v>228</v>
      </c>
      <c r="N75" s="20" t="s">
        <v>2658</v>
      </c>
    </row>
    <row r="76" spans="1:14">
      <c r="A76" s="7" t="str">
        <f t="shared" si="3"/>
        <v>01</v>
      </c>
      <c r="B76" s="7" t="str">
        <f t="shared" si="4"/>
        <v>001</v>
      </c>
      <c r="C76" s="7" t="str">
        <f t="shared" si="5"/>
        <v>La Plata</v>
      </c>
      <c r="D76" s="18" t="s">
        <v>3031</v>
      </c>
      <c r="E76" s="18">
        <v>1</v>
      </c>
      <c r="F76" s="18">
        <v>22</v>
      </c>
      <c r="G76" s="18">
        <v>1</v>
      </c>
      <c r="H76" s="18" t="s">
        <v>18</v>
      </c>
      <c r="K76" s="20" t="s">
        <v>4650</v>
      </c>
      <c r="L76" s="20" t="s">
        <v>205</v>
      </c>
      <c r="M76" s="20" t="s">
        <v>2002</v>
      </c>
      <c r="N76" s="20" t="s">
        <v>2003</v>
      </c>
    </row>
    <row r="77" spans="1:14">
      <c r="A77" s="7" t="str">
        <f t="shared" si="3"/>
        <v>01</v>
      </c>
      <c r="B77" s="7" t="str">
        <f t="shared" si="4"/>
        <v>001</v>
      </c>
      <c r="C77" s="7" t="str">
        <f t="shared" si="5"/>
        <v>La Plata</v>
      </c>
      <c r="D77" s="18" t="s">
        <v>3032</v>
      </c>
      <c r="E77" s="18">
        <v>2</v>
      </c>
      <c r="F77" s="18">
        <v>63</v>
      </c>
      <c r="G77" s="18">
        <v>1</v>
      </c>
      <c r="H77" s="18" t="s">
        <v>18</v>
      </c>
      <c r="K77" s="20" t="s">
        <v>666</v>
      </c>
      <c r="L77" s="20" t="s">
        <v>220</v>
      </c>
      <c r="M77" s="20" t="s">
        <v>665</v>
      </c>
      <c r="N77" s="20" t="s">
        <v>666</v>
      </c>
    </row>
    <row r="78" spans="1:14">
      <c r="A78" s="7" t="str">
        <f t="shared" si="3"/>
        <v>01</v>
      </c>
      <c r="B78" s="7" t="str">
        <f t="shared" si="4"/>
        <v>001</v>
      </c>
      <c r="C78" s="7" t="str">
        <f t="shared" si="5"/>
        <v>La Plata</v>
      </c>
      <c r="D78" s="18" t="s">
        <v>3033</v>
      </c>
      <c r="E78" s="18">
        <v>1</v>
      </c>
      <c r="F78" s="18">
        <v>0</v>
      </c>
      <c r="G78" s="18">
        <v>1</v>
      </c>
      <c r="H78" s="18" t="s">
        <v>18</v>
      </c>
      <c r="K78" s="20" t="s">
        <v>1184</v>
      </c>
      <c r="L78" s="20" t="s">
        <v>220</v>
      </c>
      <c r="M78" s="20" t="s">
        <v>431</v>
      </c>
      <c r="N78" s="20" t="s">
        <v>1184</v>
      </c>
    </row>
    <row r="79" spans="1:14">
      <c r="A79" s="7" t="str">
        <f t="shared" si="3"/>
        <v>01</v>
      </c>
      <c r="B79" s="7" t="str">
        <f t="shared" si="4"/>
        <v>001</v>
      </c>
      <c r="C79" s="7" t="str">
        <f t="shared" si="5"/>
        <v>La Plata</v>
      </c>
      <c r="D79" s="18" t="s">
        <v>3034</v>
      </c>
      <c r="E79" s="18">
        <v>1</v>
      </c>
      <c r="F79" s="18">
        <v>13</v>
      </c>
      <c r="G79" s="18">
        <v>1</v>
      </c>
      <c r="H79" s="18" t="s">
        <v>18</v>
      </c>
      <c r="K79" s="20"/>
      <c r="L79" s="20" t="s">
        <v>220</v>
      </c>
      <c r="M79" s="20" t="s">
        <v>2021</v>
      </c>
      <c r="N79" s="20" t="s">
        <v>2022</v>
      </c>
    </row>
    <row r="80" spans="1:14">
      <c r="A80" s="7" t="str">
        <f t="shared" si="3"/>
        <v>01</v>
      </c>
      <c r="B80" s="7" t="str">
        <f t="shared" si="4"/>
        <v>001</v>
      </c>
      <c r="C80" s="7" t="str">
        <f t="shared" si="5"/>
        <v>La Plata</v>
      </c>
      <c r="D80" s="18" t="s">
        <v>3035</v>
      </c>
      <c r="E80" s="18">
        <v>1</v>
      </c>
      <c r="F80" s="18">
        <v>0</v>
      </c>
      <c r="G80" s="18">
        <v>1</v>
      </c>
      <c r="H80" s="18" t="s">
        <v>18</v>
      </c>
      <c r="K80" s="20" t="s">
        <v>2166</v>
      </c>
      <c r="L80" s="20" t="s">
        <v>220</v>
      </c>
      <c r="M80" s="20" t="s">
        <v>2165</v>
      </c>
      <c r="N80" s="20" t="s">
        <v>2166</v>
      </c>
    </row>
    <row r="81" spans="1:14">
      <c r="A81" s="7" t="str">
        <f t="shared" si="3"/>
        <v>01</v>
      </c>
      <c r="B81" s="7" t="str">
        <f t="shared" si="4"/>
        <v>001</v>
      </c>
      <c r="C81" s="7" t="str">
        <f t="shared" si="5"/>
        <v>La Plata</v>
      </c>
      <c r="D81" s="18" t="s">
        <v>3036</v>
      </c>
      <c r="E81" s="18">
        <v>2</v>
      </c>
      <c r="F81" s="18">
        <v>35</v>
      </c>
      <c r="G81" s="18">
        <v>1</v>
      </c>
      <c r="H81" s="18" t="s">
        <v>18</v>
      </c>
      <c r="K81" s="20" t="s">
        <v>4666</v>
      </c>
      <c r="L81" s="20" t="s">
        <v>220</v>
      </c>
      <c r="M81" s="20" t="s">
        <v>218</v>
      </c>
      <c r="N81" s="20" t="s">
        <v>2711</v>
      </c>
    </row>
    <row r="82" spans="1:14">
      <c r="A82" s="7" t="str">
        <f t="shared" si="3"/>
        <v>01</v>
      </c>
      <c r="B82" s="7" t="str">
        <f t="shared" si="4"/>
        <v>001</v>
      </c>
      <c r="C82" s="7" t="str">
        <f t="shared" si="5"/>
        <v>La Plata</v>
      </c>
      <c r="D82" s="18" t="s">
        <v>3037</v>
      </c>
      <c r="E82" s="18">
        <v>1</v>
      </c>
      <c r="F82" s="18">
        <v>5</v>
      </c>
      <c r="G82" s="18">
        <v>1</v>
      </c>
      <c r="H82" s="18" t="s">
        <v>18</v>
      </c>
      <c r="K82" s="20" t="s">
        <v>2434</v>
      </c>
      <c r="L82" s="20" t="s">
        <v>220</v>
      </c>
      <c r="M82" s="20" t="s">
        <v>726</v>
      </c>
      <c r="N82" s="20" t="s">
        <v>2434</v>
      </c>
    </row>
    <row r="83" spans="1:14">
      <c r="A83" s="7" t="str">
        <f t="shared" si="3"/>
        <v>01</v>
      </c>
      <c r="B83" s="7" t="str">
        <f t="shared" si="4"/>
        <v>001</v>
      </c>
      <c r="C83" s="7" t="str">
        <f t="shared" si="5"/>
        <v>La Plata</v>
      </c>
      <c r="D83" s="18" t="s">
        <v>3038</v>
      </c>
      <c r="E83" s="18">
        <v>1</v>
      </c>
      <c r="F83" s="18">
        <v>24</v>
      </c>
      <c r="G83" s="18">
        <v>1</v>
      </c>
      <c r="H83" s="18" t="s">
        <v>18</v>
      </c>
      <c r="K83" s="20" t="s">
        <v>2749</v>
      </c>
      <c r="L83" s="20" t="s">
        <v>220</v>
      </c>
      <c r="M83" s="20" t="s">
        <v>664</v>
      </c>
      <c r="N83" s="20" t="s">
        <v>2749</v>
      </c>
    </row>
    <row r="84" spans="1:14">
      <c r="A84" s="7" t="str">
        <f t="shared" si="3"/>
        <v>01</v>
      </c>
      <c r="B84" s="7" t="str">
        <f t="shared" si="4"/>
        <v>001</v>
      </c>
      <c r="C84" s="7" t="str">
        <f t="shared" si="5"/>
        <v>La Plata</v>
      </c>
      <c r="D84" s="18" t="s">
        <v>3039</v>
      </c>
      <c r="E84" s="18">
        <v>1</v>
      </c>
      <c r="F84" s="18">
        <v>20</v>
      </c>
      <c r="G84" s="18">
        <v>1</v>
      </c>
      <c r="H84" s="18" t="s">
        <v>18</v>
      </c>
      <c r="K84" s="20" t="s">
        <v>740</v>
      </c>
      <c r="L84" s="20" t="s">
        <v>206</v>
      </c>
      <c r="M84" s="20" t="s">
        <v>739</v>
      </c>
      <c r="N84" s="20" t="s">
        <v>740</v>
      </c>
    </row>
    <row r="85" spans="1:14">
      <c r="A85" s="7" t="str">
        <f t="shared" si="3"/>
        <v>01</v>
      </c>
      <c r="B85" s="7" t="str">
        <f t="shared" si="4"/>
        <v>001</v>
      </c>
      <c r="C85" s="7" t="str">
        <f t="shared" si="5"/>
        <v>La Plata</v>
      </c>
      <c r="D85" s="18" t="s">
        <v>3040</v>
      </c>
      <c r="E85" s="18">
        <v>2</v>
      </c>
      <c r="F85" s="18">
        <v>19</v>
      </c>
      <c r="G85" s="18">
        <v>1</v>
      </c>
      <c r="H85" s="18" t="s">
        <v>18</v>
      </c>
      <c r="K85" s="20" t="s">
        <v>904</v>
      </c>
      <c r="L85" s="20" t="s">
        <v>206</v>
      </c>
      <c r="M85" s="20" t="s">
        <v>903</v>
      </c>
      <c r="N85" s="20" t="s">
        <v>904</v>
      </c>
    </row>
    <row r="86" spans="1:14">
      <c r="A86" s="7" t="str">
        <f t="shared" si="3"/>
        <v>01</v>
      </c>
      <c r="B86" s="7" t="str">
        <f t="shared" si="4"/>
        <v>001</v>
      </c>
      <c r="C86" s="7" t="str">
        <f t="shared" si="5"/>
        <v>La Plata</v>
      </c>
      <c r="D86" s="18" t="s">
        <v>3041</v>
      </c>
      <c r="E86" s="18">
        <v>1</v>
      </c>
      <c r="F86" s="18">
        <v>27</v>
      </c>
      <c r="G86" s="18">
        <v>1</v>
      </c>
      <c r="H86" s="18" t="s">
        <v>18</v>
      </c>
      <c r="K86" s="20" t="s">
        <v>931</v>
      </c>
      <c r="L86" s="20" t="s">
        <v>206</v>
      </c>
      <c r="M86" s="20" t="s">
        <v>930</v>
      </c>
      <c r="N86" s="20" t="s">
        <v>931</v>
      </c>
    </row>
    <row r="87" spans="1:14">
      <c r="A87" s="7" t="str">
        <f t="shared" si="3"/>
        <v>01</v>
      </c>
      <c r="B87" s="7" t="str">
        <f t="shared" si="4"/>
        <v>001</v>
      </c>
      <c r="C87" s="7" t="str">
        <f t="shared" si="5"/>
        <v>La Plata</v>
      </c>
      <c r="D87" s="18" t="s">
        <v>3042</v>
      </c>
      <c r="E87" s="18">
        <v>3</v>
      </c>
      <c r="F87" s="18">
        <v>65</v>
      </c>
      <c r="G87" s="18">
        <v>1</v>
      </c>
      <c r="H87" s="18" t="s">
        <v>18</v>
      </c>
      <c r="K87" s="20" t="s">
        <v>2905</v>
      </c>
      <c r="L87" s="20" t="s">
        <v>206</v>
      </c>
      <c r="M87" s="20" t="s">
        <v>749</v>
      </c>
      <c r="N87" s="20" t="s">
        <v>2905</v>
      </c>
    </row>
    <row r="88" spans="1:14">
      <c r="A88" s="7" t="str">
        <f t="shared" si="3"/>
        <v>01</v>
      </c>
      <c r="B88" s="7" t="str">
        <f t="shared" si="4"/>
        <v>001</v>
      </c>
      <c r="C88" s="7" t="str">
        <f t="shared" si="5"/>
        <v>La Plata</v>
      </c>
      <c r="D88" s="18" t="s">
        <v>3043</v>
      </c>
      <c r="E88" s="18">
        <v>1</v>
      </c>
      <c r="F88" s="18">
        <v>17</v>
      </c>
      <c r="G88" s="18">
        <v>1</v>
      </c>
      <c r="H88" s="18" t="s">
        <v>18</v>
      </c>
      <c r="K88" s="20" t="s">
        <v>1851</v>
      </c>
      <c r="L88" s="20" t="s">
        <v>206</v>
      </c>
      <c r="M88" s="20" t="s">
        <v>1850</v>
      </c>
      <c r="N88" s="20" t="s">
        <v>1851</v>
      </c>
    </row>
    <row r="89" spans="1:14">
      <c r="A89" s="7" t="str">
        <f t="shared" si="3"/>
        <v>01</v>
      </c>
      <c r="B89" s="7" t="str">
        <f t="shared" si="4"/>
        <v>001</v>
      </c>
      <c r="C89" s="7" t="str">
        <f t="shared" si="5"/>
        <v>La Plata</v>
      </c>
      <c r="D89" s="18" t="s">
        <v>3044</v>
      </c>
      <c r="E89" s="18">
        <v>1</v>
      </c>
      <c r="F89" s="18">
        <v>8</v>
      </c>
      <c r="G89" s="18">
        <v>1</v>
      </c>
      <c r="H89" s="18" t="s">
        <v>18</v>
      </c>
      <c r="K89" s="20" t="s">
        <v>2044</v>
      </c>
      <c r="L89" s="20" t="s">
        <v>206</v>
      </c>
      <c r="M89" s="20" t="s">
        <v>2043</v>
      </c>
      <c r="N89" s="20" t="s">
        <v>2044</v>
      </c>
    </row>
    <row r="90" spans="1:14">
      <c r="A90" s="7" t="str">
        <f t="shared" si="3"/>
        <v>01</v>
      </c>
      <c r="B90" s="7" t="str">
        <f t="shared" si="4"/>
        <v>001</v>
      </c>
      <c r="C90" s="7" t="str">
        <f t="shared" si="5"/>
        <v>La Plata</v>
      </c>
      <c r="D90" s="18" t="s">
        <v>3045</v>
      </c>
      <c r="E90" s="18">
        <v>1</v>
      </c>
      <c r="F90" s="18">
        <v>11</v>
      </c>
      <c r="G90" s="18">
        <v>1</v>
      </c>
      <c r="H90" s="18" t="s">
        <v>18</v>
      </c>
      <c r="K90" s="20" t="s">
        <v>2161</v>
      </c>
      <c r="L90" s="20" t="s">
        <v>206</v>
      </c>
      <c r="M90" s="20" t="s">
        <v>2160</v>
      </c>
      <c r="N90" s="20" t="s">
        <v>2161</v>
      </c>
    </row>
    <row r="91" spans="1:14">
      <c r="A91" s="7" t="str">
        <f t="shared" si="3"/>
        <v>01</v>
      </c>
      <c r="B91" s="7" t="str">
        <f t="shared" si="4"/>
        <v>001</v>
      </c>
      <c r="C91" s="7" t="str">
        <f t="shared" si="5"/>
        <v>La Plata</v>
      </c>
      <c r="D91" s="18" t="s">
        <v>3046</v>
      </c>
      <c r="E91" s="18">
        <v>1</v>
      </c>
      <c r="F91" s="18">
        <v>10</v>
      </c>
      <c r="G91" s="18">
        <v>1</v>
      </c>
      <c r="H91" s="18" t="s">
        <v>18</v>
      </c>
      <c r="K91" s="20" t="s">
        <v>425</v>
      </c>
      <c r="L91" s="20" t="s">
        <v>410</v>
      </c>
      <c r="M91" s="20" t="s">
        <v>423</v>
      </c>
      <c r="N91" s="20" t="s">
        <v>425</v>
      </c>
    </row>
    <row r="92" spans="1:14">
      <c r="A92" s="7" t="str">
        <f t="shared" si="3"/>
        <v>01</v>
      </c>
      <c r="B92" s="7" t="str">
        <f t="shared" si="4"/>
        <v>001</v>
      </c>
      <c r="C92" s="7" t="str">
        <f t="shared" si="5"/>
        <v>La Plata</v>
      </c>
      <c r="D92" s="18" t="s">
        <v>3047</v>
      </c>
      <c r="E92" s="18">
        <v>2</v>
      </c>
      <c r="F92" s="18">
        <v>33</v>
      </c>
      <c r="G92" s="18">
        <v>1</v>
      </c>
      <c r="H92" s="18" t="s">
        <v>18</v>
      </c>
      <c r="K92" s="20" t="s">
        <v>689</v>
      </c>
      <c r="L92" s="20" t="s">
        <v>410</v>
      </c>
      <c r="M92" s="20" t="s">
        <v>244</v>
      </c>
      <c r="N92" s="20" t="s">
        <v>689</v>
      </c>
    </row>
    <row r="93" spans="1:14">
      <c r="A93" s="7" t="str">
        <f t="shared" si="3"/>
        <v>01</v>
      </c>
      <c r="B93" s="7" t="str">
        <f t="shared" si="4"/>
        <v>001</v>
      </c>
      <c r="C93" s="7" t="str">
        <f t="shared" si="5"/>
        <v>La Plata</v>
      </c>
      <c r="D93" s="18" t="s">
        <v>3048</v>
      </c>
      <c r="E93" s="18">
        <v>2</v>
      </c>
      <c r="F93" s="18">
        <v>37</v>
      </c>
      <c r="G93" s="18">
        <v>1</v>
      </c>
      <c r="H93" s="18" t="s">
        <v>18</v>
      </c>
      <c r="K93" s="20" t="s">
        <v>761</v>
      </c>
      <c r="L93" s="20" t="s">
        <v>410</v>
      </c>
      <c r="M93" s="20" t="s">
        <v>760</v>
      </c>
      <c r="N93" s="20" t="s">
        <v>761</v>
      </c>
    </row>
    <row r="94" spans="1:14">
      <c r="A94" s="7" t="str">
        <f t="shared" si="3"/>
        <v>01</v>
      </c>
      <c r="B94" s="7" t="str">
        <f t="shared" si="4"/>
        <v>001</v>
      </c>
      <c r="C94" s="7" t="str">
        <f t="shared" si="5"/>
        <v>La Plata</v>
      </c>
      <c r="D94" s="18" t="s">
        <v>3049</v>
      </c>
      <c r="E94" s="18">
        <v>1</v>
      </c>
      <c r="F94" s="18">
        <v>0</v>
      </c>
      <c r="G94" s="18">
        <v>1</v>
      </c>
      <c r="H94" s="18" t="s">
        <v>18</v>
      </c>
      <c r="K94" s="20" t="s">
        <v>4726</v>
      </c>
      <c r="L94" s="20" t="s">
        <v>410</v>
      </c>
      <c r="M94" s="20" t="s">
        <v>908</v>
      </c>
      <c r="N94" s="20" t="s">
        <v>909</v>
      </c>
    </row>
    <row r="95" spans="1:14">
      <c r="A95" s="7" t="str">
        <f t="shared" si="3"/>
        <v>01</v>
      </c>
      <c r="B95" s="7" t="str">
        <f t="shared" si="4"/>
        <v>001</v>
      </c>
      <c r="C95" s="7" t="str">
        <f t="shared" si="5"/>
        <v>La Plata</v>
      </c>
      <c r="D95" s="18" t="s">
        <v>3050</v>
      </c>
      <c r="E95" s="18">
        <v>1</v>
      </c>
      <c r="F95" s="18">
        <v>18</v>
      </c>
      <c r="G95" s="18">
        <v>1</v>
      </c>
      <c r="H95" s="18" t="s">
        <v>18</v>
      </c>
      <c r="K95" s="20" t="s">
        <v>4722</v>
      </c>
      <c r="L95" s="20" t="s">
        <v>410</v>
      </c>
      <c r="M95" s="20" t="s">
        <v>924</v>
      </c>
      <c r="N95" s="20" t="s">
        <v>925</v>
      </c>
    </row>
    <row r="96" spans="1:14">
      <c r="A96" s="7" t="str">
        <f t="shared" si="3"/>
        <v>01</v>
      </c>
      <c r="B96" s="7" t="str">
        <f t="shared" si="4"/>
        <v>001</v>
      </c>
      <c r="C96" s="7" t="str">
        <f t="shared" si="5"/>
        <v>La Plata</v>
      </c>
      <c r="D96" s="18" t="s">
        <v>3051</v>
      </c>
      <c r="E96" s="18">
        <v>1</v>
      </c>
      <c r="F96" s="18">
        <v>0</v>
      </c>
      <c r="G96" s="18">
        <v>1</v>
      </c>
      <c r="H96" s="18" t="s">
        <v>18</v>
      </c>
      <c r="K96" s="20" t="s">
        <v>919</v>
      </c>
      <c r="L96" s="20" t="s">
        <v>410</v>
      </c>
      <c r="M96" s="20" t="s">
        <v>918</v>
      </c>
      <c r="N96" s="20" t="s">
        <v>919</v>
      </c>
    </row>
    <row r="97" spans="1:14">
      <c r="A97" s="7" t="str">
        <f t="shared" si="3"/>
        <v>01</v>
      </c>
      <c r="B97" s="7" t="str">
        <f t="shared" si="4"/>
        <v>001</v>
      </c>
      <c r="C97" s="7" t="str">
        <f t="shared" si="5"/>
        <v>La Plata</v>
      </c>
      <c r="D97" s="18" t="s">
        <v>3052</v>
      </c>
      <c r="E97" s="18">
        <v>3</v>
      </c>
      <c r="F97" s="18">
        <v>65</v>
      </c>
      <c r="G97" s="18">
        <v>1</v>
      </c>
      <c r="H97" s="18" t="s">
        <v>18</v>
      </c>
      <c r="K97" s="20" t="s">
        <v>4732</v>
      </c>
      <c r="L97" s="20" t="s">
        <v>410</v>
      </c>
      <c r="M97" s="20" t="s">
        <v>570</v>
      </c>
      <c r="N97" s="20" t="s">
        <v>2717</v>
      </c>
    </row>
    <row r="98" spans="1:14">
      <c r="A98" s="7" t="str">
        <f t="shared" si="3"/>
        <v>01</v>
      </c>
      <c r="B98" s="7" t="str">
        <f t="shared" si="4"/>
        <v>001</v>
      </c>
      <c r="C98" s="7" t="str">
        <f t="shared" si="5"/>
        <v>La Plata</v>
      </c>
      <c r="D98" s="18" t="s">
        <v>3053</v>
      </c>
      <c r="E98" s="18">
        <v>1</v>
      </c>
      <c r="F98" s="18">
        <v>12</v>
      </c>
      <c r="G98" s="18">
        <v>1</v>
      </c>
      <c r="H98" s="18" t="s">
        <v>18</v>
      </c>
      <c r="K98" s="20" t="s">
        <v>4728</v>
      </c>
      <c r="L98" s="20" t="s">
        <v>410</v>
      </c>
      <c r="M98" s="20" t="s">
        <v>1493</v>
      </c>
      <c r="N98" s="20" t="s">
        <v>1494</v>
      </c>
    </row>
    <row r="99" spans="1:14">
      <c r="A99" s="7" t="str">
        <f t="shared" si="3"/>
        <v>01</v>
      </c>
      <c r="B99" s="7" t="str">
        <f t="shared" si="4"/>
        <v>001</v>
      </c>
      <c r="C99" s="7" t="str">
        <f t="shared" si="5"/>
        <v>La Plata</v>
      </c>
      <c r="D99" s="18" t="s">
        <v>3054</v>
      </c>
      <c r="E99" s="18">
        <v>1</v>
      </c>
      <c r="F99" s="18">
        <v>32</v>
      </c>
      <c r="G99" s="18">
        <v>1</v>
      </c>
      <c r="H99" s="18" t="s">
        <v>18</v>
      </c>
      <c r="K99" s="20" t="s">
        <v>2733</v>
      </c>
      <c r="L99" s="20" t="s">
        <v>410</v>
      </c>
      <c r="M99" s="20" t="s">
        <v>1247</v>
      </c>
      <c r="N99" s="20" t="s">
        <v>2733</v>
      </c>
    </row>
    <row r="100" spans="1:14">
      <c r="A100" s="7" t="str">
        <f t="shared" si="3"/>
        <v>01</v>
      </c>
      <c r="B100" s="7" t="str">
        <f t="shared" si="4"/>
        <v>001</v>
      </c>
      <c r="C100" s="7" t="str">
        <f t="shared" si="5"/>
        <v>La Plata</v>
      </c>
      <c r="D100" s="18" t="s">
        <v>3055</v>
      </c>
      <c r="E100" s="18">
        <v>1</v>
      </c>
      <c r="F100" s="18">
        <v>26</v>
      </c>
      <c r="G100" s="18">
        <v>1</v>
      </c>
      <c r="H100" s="18" t="s">
        <v>18</v>
      </c>
      <c r="K100" s="20" t="s">
        <v>2427</v>
      </c>
      <c r="L100" s="20" t="s">
        <v>410</v>
      </c>
      <c r="M100" s="20" t="s">
        <v>2426</v>
      </c>
      <c r="N100" s="20" t="s">
        <v>2427</v>
      </c>
    </row>
    <row r="101" spans="1:14">
      <c r="A101" s="7" t="str">
        <f t="shared" si="3"/>
        <v>01</v>
      </c>
      <c r="B101" s="7" t="str">
        <f t="shared" si="4"/>
        <v>001</v>
      </c>
      <c r="C101" s="7" t="str">
        <f t="shared" si="5"/>
        <v>La Plata</v>
      </c>
      <c r="D101" s="18" t="s">
        <v>3056</v>
      </c>
      <c r="E101" s="18">
        <v>1</v>
      </c>
      <c r="F101" s="18">
        <v>10</v>
      </c>
      <c r="G101" s="18">
        <v>1</v>
      </c>
      <c r="H101" s="18" t="s">
        <v>18</v>
      </c>
      <c r="K101" s="20" t="s">
        <v>2739</v>
      </c>
      <c r="L101" s="20" t="s">
        <v>410</v>
      </c>
      <c r="M101" s="20" t="s">
        <v>417</v>
      </c>
      <c r="N101" s="20" t="s">
        <v>2739</v>
      </c>
    </row>
    <row r="102" spans="1:14">
      <c r="A102" s="7" t="str">
        <f t="shared" si="3"/>
        <v>01</v>
      </c>
      <c r="B102" s="7" t="str">
        <f t="shared" si="4"/>
        <v>001</v>
      </c>
      <c r="C102" s="7" t="str">
        <f t="shared" si="5"/>
        <v>La Plata</v>
      </c>
      <c r="D102" s="18" t="s">
        <v>3057</v>
      </c>
      <c r="E102" s="18">
        <v>1</v>
      </c>
      <c r="F102" s="18">
        <v>22</v>
      </c>
      <c r="G102" s="18">
        <v>1</v>
      </c>
      <c r="H102" s="18" t="s">
        <v>18</v>
      </c>
      <c r="K102" s="20" t="s">
        <v>877</v>
      </c>
      <c r="L102" s="20" t="s">
        <v>225</v>
      </c>
      <c r="M102" s="20" t="s">
        <v>876</v>
      </c>
      <c r="N102" s="20" t="s">
        <v>877</v>
      </c>
    </row>
    <row r="103" spans="1:14">
      <c r="A103" s="7" t="str">
        <f t="shared" si="3"/>
        <v>01</v>
      </c>
      <c r="B103" s="7" t="str">
        <f t="shared" si="4"/>
        <v>001</v>
      </c>
      <c r="C103" s="7" t="str">
        <f t="shared" si="5"/>
        <v>La Plata</v>
      </c>
      <c r="D103" s="18" t="s">
        <v>3058</v>
      </c>
      <c r="E103" s="18">
        <v>8</v>
      </c>
      <c r="F103" s="18">
        <v>150</v>
      </c>
      <c r="G103" s="18">
        <v>1</v>
      </c>
      <c r="H103" s="18" t="s">
        <v>18</v>
      </c>
      <c r="K103" s="20" t="s">
        <v>4773</v>
      </c>
      <c r="L103" s="20" t="s">
        <v>225</v>
      </c>
      <c r="M103" s="20" t="s">
        <v>942</v>
      </c>
      <c r="N103" s="20" t="s">
        <v>943</v>
      </c>
    </row>
    <row r="104" spans="1:14">
      <c r="A104" s="7" t="str">
        <f t="shared" si="3"/>
        <v>01</v>
      </c>
      <c r="B104" s="7" t="str">
        <f t="shared" si="4"/>
        <v>001</v>
      </c>
      <c r="C104" s="7" t="str">
        <f t="shared" si="5"/>
        <v>La Plata</v>
      </c>
      <c r="D104" s="18" t="s">
        <v>3059</v>
      </c>
      <c r="E104" s="18">
        <v>1</v>
      </c>
      <c r="F104" s="18">
        <v>0</v>
      </c>
      <c r="G104" s="18">
        <v>1</v>
      </c>
      <c r="H104" s="18" t="s">
        <v>18</v>
      </c>
      <c r="K104" s="20" t="s">
        <v>1522</v>
      </c>
      <c r="L104" s="20" t="s">
        <v>225</v>
      </c>
      <c r="M104" s="20" t="s">
        <v>1521</v>
      </c>
      <c r="N104" s="20" t="s">
        <v>1522</v>
      </c>
    </row>
    <row r="105" spans="1:14">
      <c r="A105" s="7" t="str">
        <f t="shared" si="3"/>
        <v>01</v>
      </c>
      <c r="B105" s="7" t="str">
        <f t="shared" si="4"/>
        <v>001</v>
      </c>
      <c r="C105" s="7" t="str">
        <f t="shared" si="5"/>
        <v>La Plata</v>
      </c>
      <c r="D105" s="18" t="s">
        <v>3060</v>
      </c>
      <c r="E105" s="18">
        <v>1</v>
      </c>
      <c r="F105" s="18">
        <v>21</v>
      </c>
      <c r="G105" s="18">
        <v>1</v>
      </c>
      <c r="H105" s="18" t="s">
        <v>18</v>
      </c>
      <c r="K105" s="20" t="s">
        <v>523</v>
      </c>
      <c r="L105" s="20" t="s">
        <v>352</v>
      </c>
      <c r="M105" s="20" t="s">
        <v>521</v>
      </c>
      <c r="N105" s="20" t="s">
        <v>523</v>
      </c>
    </row>
    <row r="106" spans="1:14">
      <c r="A106" s="7" t="str">
        <f t="shared" si="3"/>
        <v>01</v>
      </c>
      <c r="B106" s="7" t="str">
        <f t="shared" si="4"/>
        <v>001</v>
      </c>
      <c r="C106" s="7" t="str">
        <f t="shared" si="5"/>
        <v>La Plata</v>
      </c>
      <c r="D106" s="18" t="s">
        <v>3061</v>
      </c>
      <c r="E106" s="18">
        <v>1</v>
      </c>
      <c r="F106" s="18">
        <v>0</v>
      </c>
      <c r="G106" s="18">
        <v>1</v>
      </c>
      <c r="H106" s="18" t="s">
        <v>18</v>
      </c>
      <c r="K106" s="20" t="s">
        <v>1339</v>
      </c>
      <c r="L106" s="20" t="s">
        <v>352</v>
      </c>
      <c r="M106" s="20" t="s">
        <v>1338</v>
      </c>
      <c r="N106" s="20" t="s">
        <v>1339</v>
      </c>
    </row>
    <row r="107" spans="1:14">
      <c r="A107" s="7" t="str">
        <f t="shared" si="3"/>
        <v>01</v>
      </c>
      <c r="B107" s="7" t="str">
        <f t="shared" si="4"/>
        <v>001</v>
      </c>
      <c r="C107" s="7" t="str">
        <f t="shared" si="5"/>
        <v>La Plata</v>
      </c>
      <c r="D107" s="18" t="s">
        <v>3062</v>
      </c>
      <c r="E107" s="18">
        <v>3</v>
      </c>
      <c r="F107" s="18">
        <v>88</v>
      </c>
      <c r="G107" s="18">
        <v>1</v>
      </c>
      <c r="H107" s="18" t="s">
        <v>18</v>
      </c>
      <c r="K107" s="20" t="s">
        <v>1925</v>
      </c>
      <c r="L107" s="20" t="s">
        <v>352</v>
      </c>
      <c r="M107" s="20" t="s">
        <v>1924</v>
      </c>
      <c r="N107" s="20" t="s">
        <v>1925</v>
      </c>
    </row>
    <row r="108" spans="1:14">
      <c r="A108" s="7" t="str">
        <f t="shared" si="3"/>
        <v>01</v>
      </c>
      <c r="B108" s="7" t="str">
        <f t="shared" si="4"/>
        <v>001</v>
      </c>
      <c r="C108" s="7" t="str">
        <f t="shared" si="5"/>
        <v>La Plata</v>
      </c>
      <c r="D108" s="18" t="s">
        <v>3063</v>
      </c>
      <c r="E108" s="18">
        <v>3</v>
      </c>
      <c r="F108" s="18">
        <v>55</v>
      </c>
      <c r="G108" s="18">
        <v>1</v>
      </c>
      <c r="H108" s="18" t="s">
        <v>18</v>
      </c>
      <c r="K108" s="20" t="s">
        <v>2600</v>
      </c>
      <c r="L108" s="20" t="s">
        <v>352</v>
      </c>
      <c r="M108" s="20" t="s">
        <v>216</v>
      </c>
      <c r="N108" s="20" t="s">
        <v>2600</v>
      </c>
    </row>
    <row r="109" spans="1:14">
      <c r="A109" s="7" t="str">
        <f t="shared" si="3"/>
        <v>01</v>
      </c>
      <c r="B109" s="7" t="str">
        <f t="shared" si="4"/>
        <v>001</v>
      </c>
      <c r="C109" s="7" t="str">
        <f t="shared" si="5"/>
        <v>La Plata</v>
      </c>
      <c r="D109" s="18" t="s">
        <v>3064</v>
      </c>
      <c r="E109" s="18">
        <v>3</v>
      </c>
      <c r="F109" s="18">
        <v>84</v>
      </c>
      <c r="G109" s="18">
        <v>1</v>
      </c>
      <c r="H109" s="18" t="s">
        <v>18</v>
      </c>
      <c r="K109" s="20" t="s">
        <v>2397</v>
      </c>
      <c r="L109" s="20" t="s">
        <v>352</v>
      </c>
      <c r="M109" s="20" t="s">
        <v>349</v>
      </c>
      <c r="N109" s="20" t="s">
        <v>2397</v>
      </c>
    </row>
    <row r="110" spans="1:14">
      <c r="A110" s="7" t="str">
        <f t="shared" si="3"/>
        <v>01</v>
      </c>
      <c r="B110" s="7" t="str">
        <f t="shared" si="4"/>
        <v>001</v>
      </c>
      <c r="C110" s="7" t="str">
        <f t="shared" si="5"/>
        <v>La Plata</v>
      </c>
      <c r="D110" s="18" t="s">
        <v>3065</v>
      </c>
      <c r="E110" s="18">
        <v>2</v>
      </c>
      <c r="F110" s="18">
        <v>42</v>
      </c>
      <c r="G110" s="18">
        <v>1</v>
      </c>
      <c r="H110" s="18" t="s">
        <v>18</v>
      </c>
      <c r="K110" s="20" t="s">
        <v>1191</v>
      </c>
      <c r="L110" s="20" t="s">
        <v>598</v>
      </c>
      <c r="M110" s="20" t="s">
        <v>1190</v>
      </c>
      <c r="N110" s="20" t="s">
        <v>1191</v>
      </c>
    </row>
    <row r="111" spans="1:14">
      <c r="A111" s="7" t="str">
        <f t="shared" si="3"/>
        <v>01</v>
      </c>
      <c r="B111" s="7" t="str">
        <f t="shared" si="4"/>
        <v>001</v>
      </c>
      <c r="C111" s="7" t="str">
        <f t="shared" si="5"/>
        <v>La Plata</v>
      </c>
      <c r="D111" s="18" t="s">
        <v>3066</v>
      </c>
      <c r="E111" s="18">
        <v>3</v>
      </c>
      <c r="F111" s="18">
        <v>45</v>
      </c>
      <c r="G111" s="18">
        <v>1</v>
      </c>
      <c r="H111" s="18" t="s">
        <v>18</v>
      </c>
      <c r="K111" s="20" t="s">
        <v>4957</v>
      </c>
      <c r="L111" s="20" t="s">
        <v>598</v>
      </c>
      <c r="M111" s="20" t="s">
        <v>1204</v>
      </c>
      <c r="N111" s="20" t="s">
        <v>1206</v>
      </c>
    </row>
    <row r="112" spans="1:14">
      <c r="A112" s="7" t="str">
        <f t="shared" si="3"/>
        <v>01</v>
      </c>
      <c r="B112" s="7" t="str">
        <f t="shared" si="4"/>
        <v>001</v>
      </c>
      <c r="C112" s="7" t="str">
        <f t="shared" si="5"/>
        <v>La Plata</v>
      </c>
      <c r="D112" s="18" t="s">
        <v>3067</v>
      </c>
      <c r="E112" s="18">
        <v>1</v>
      </c>
      <c r="F112" s="18">
        <v>30</v>
      </c>
      <c r="G112" s="18">
        <v>1</v>
      </c>
      <c r="H112" s="18" t="s">
        <v>18</v>
      </c>
      <c r="K112" s="20" t="s">
        <v>701</v>
      </c>
      <c r="L112" s="20" t="s">
        <v>598</v>
      </c>
      <c r="M112" s="20" t="s">
        <v>700</v>
      </c>
      <c r="N112" s="20" t="s">
        <v>701</v>
      </c>
    </row>
    <row r="113" spans="1:14">
      <c r="A113" s="7" t="str">
        <f t="shared" si="3"/>
        <v>01</v>
      </c>
      <c r="B113" s="7" t="str">
        <f t="shared" si="4"/>
        <v>001</v>
      </c>
      <c r="C113" s="7" t="str">
        <f t="shared" si="5"/>
        <v>La Plata</v>
      </c>
      <c r="D113" s="18" t="s">
        <v>1265</v>
      </c>
      <c r="E113" s="18">
        <v>1</v>
      </c>
      <c r="F113" s="18">
        <v>21</v>
      </c>
      <c r="G113" s="18">
        <v>1</v>
      </c>
      <c r="H113" s="18" t="s">
        <v>18</v>
      </c>
      <c r="K113" s="20" t="s">
        <v>710</v>
      </c>
      <c r="L113" s="20" t="s">
        <v>598</v>
      </c>
      <c r="M113" s="20" t="s">
        <v>709</v>
      </c>
      <c r="N113" s="20" t="s">
        <v>710</v>
      </c>
    </row>
    <row r="114" spans="1:14">
      <c r="A114" s="7" t="str">
        <f t="shared" si="3"/>
        <v>01</v>
      </c>
      <c r="B114" s="7" t="str">
        <f t="shared" si="4"/>
        <v>001</v>
      </c>
      <c r="C114" s="7" t="str">
        <f t="shared" si="5"/>
        <v>La Plata</v>
      </c>
      <c r="D114" s="18" t="s">
        <v>3068</v>
      </c>
      <c r="E114" s="18">
        <v>1</v>
      </c>
      <c r="F114" s="18">
        <v>11</v>
      </c>
      <c r="G114" s="18">
        <v>1</v>
      </c>
      <c r="H114" s="18" t="s">
        <v>18</v>
      </c>
      <c r="K114" s="20" t="s">
        <v>1250</v>
      </c>
      <c r="L114" s="20" t="s">
        <v>598</v>
      </c>
      <c r="M114" s="20" t="s">
        <v>1249</v>
      </c>
      <c r="N114" s="20" t="s">
        <v>1250</v>
      </c>
    </row>
    <row r="115" spans="1:14">
      <c r="A115" s="7" t="str">
        <f t="shared" si="3"/>
        <v>01</v>
      </c>
      <c r="B115" s="7" t="str">
        <f t="shared" si="4"/>
        <v>001</v>
      </c>
      <c r="C115" s="7" t="str">
        <f t="shared" si="5"/>
        <v>La Plata</v>
      </c>
      <c r="D115" s="18" t="s">
        <v>3069</v>
      </c>
      <c r="E115" s="18">
        <v>1</v>
      </c>
      <c r="F115" s="18">
        <v>0</v>
      </c>
      <c r="G115" s="18">
        <v>1</v>
      </c>
      <c r="H115" s="18" t="s">
        <v>18</v>
      </c>
      <c r="K115" s="20" t="s">
        <v>2452</v>
      </c>
      <c r="L115" s="20" t="s">
        <v>598</v>
      </c>
      <c r="M115" s="20" t="s">
        <v>748</v>
      </c>
      <c r="N115" s="20" t="s">
        <v>2452</v>
      </c>
    </row>
    <row r="116" spans="1:14">
      <c r="A116" s="7" t="str">
        <f t="shared" si="3"/>
        <v>01</v>
      </c>
      <c r="B116" s="7" t="str">
        <f t="shared" si="4"/>
        <v>001</v>
      </c>
      <c r="C116" s="7" t="str">
        <f t="shared" si="5"/>
        <v>La Plata</v>
      </c>
      <c r="D116" s="18" t="s">
        <v>3070</v>
      </c>
      <c r="E116" s="18">
        <v>3</v>
      </c>
      <c r="F116" s="18">
        <v>59</v>
      </c>
      <c r="G116" s="18">
        <v>1</v>
      </c>
      <c r="H116" s="18" t="s">
        <v>18</v>
      </c>
      <c r="K116" s="20" t="s">
        <v>4982</v>
      </c>
      <c r="L116" s="20" t="s">
        <v>203</v>
      </c>
      <c r="M116" s="20" t="s">
        <v>450</v>
      </c>
      <c r="N116" s="20" t="s">
        <v>452</v>
      </c>
    </row>
    <row r="117" spans="1:14">
      <c r="A117" s="7" t="str">
        <f t="shared" si="3"/>
        <v>01</v>
      </c>
      <c r="B117" s="7" t="str">
        <f t="shared" si="4"/>
        <v>001</v>
      </c>
      <c r="C117" s="7" t="str">
        <f t="shared" si="5"/>
        <v>La Plata</v>
      </c>
      <c r="D117" s="18" t="s">
        <v>3071</v>
      </c>
      <c r="E117" s="18">
        <v>3</v>
      </c>
      <c r="F117" s="18">
        <v>68</v>
      </c>
      <c r="G117" s="18">
        <v>1</v>
      </c>
      <c r="H117" s="18" t="s">
        <v>18</v>
      </c>
      <c r="K117" s="20" t="s">
        <v>5009</v>
      </c>
      <c r="L117" s="20" t="s">
        <v>203</v>
      </c>
      <c r="M117" s="20" t="s">
        <v>590</v>
      </c>
      <c r="N117" s="20" t="s">
        <v>2553</v>
      </c>
    </row>
    <row r="118" spans="1:14">
      <c r="A118" s="7" t="str">
        <f t="shared" si="3"/>
        <v>01</v>
      </c>
      <c r="B118" s="7" t="str">
        <f t="shared" si="4"/>
        <v>001</v>
      </c>
      <c r="C118" s="7" t="str">
        <f t="shared" si="5"/>
        <v>La Plata</v>
      </c>
      <c r="D118" s="18" t="s">
        <v>3072</v>
      </c>
      <c r="E118" s="18">
        <v>1</v>
      </c>
      <c r="F118" s="18">
        <v>11</v>
      </c>
      <c r="G118" s="18">
        <v>1</v>
      </c>
      <c r="H118" s="18" t="s">
        <v>18</v>
      </c>
      <c r="K118" s="20"/>
      <c r="L118" s="20" t="s">
        <v>203</v>
      </c>
      <c r="M118" s="20" t="s">
        <v>520</v>
      </c>
      <c r="N118" s="20" t="s">
        <v>2745</v>
      </c>
    </row>
    <row r="119" spans="1:14">
      <c r="A119" s="7" t="str">
        <f t="shared" si="3"/>
        <v>01</v>
      </c>
      <c r="B119" s="7" t="str">
        <f t="shared" si="4"/>
        <v>001</v>
      </c>
      <c r="C119" s="7" t="str">
        <f t="shared" si="5"/>
        <v>La Plata</v>
      </c>
      <c r="D119" s="18" t="s">
        <v>3073</v>
      </c>
      <c r="E119" s="18">
        <v>3</v>
      </c>
      <c r="F119" s="18">
        <v>64</v>
      </c>
      <c r="G119" s="18">
        <v>1</v>
      </c>
      <c r="H119" s="18" t="s">
        <v>18</v>
      </c>
      <c r="K119" s="20" t="s">
        <v>5001</v>
      </c>
      <c r="L119" s="20" t="s">
        <v>203</v>
      </c>
      <c r="M119" s="20" t="s">
        <v>1986</v>
      </c>
      <c r="N119" s="20" t="s">
        <v>1987</v>
      </c>
    </row>
    <row r="120" spans="1:14">
      <c r="A120" s="7" t="str">
        <f t="shared" si="3"/>
        <v>01</v>
      </c>
      <c r="B120" s="7" t="str">
        <f t="shared" si="4"/>
        <v>001</v>
      </c>
      <c r="C120" s="7" t="str">
        <f t="shared" si="5"/>
        <v>La Plata</v>
      </c>
      <c r="D120" s="18" t="s">
        <v>3074</v>
      </c>
      <c r="E120" s="18">
        <v>1</v>
      </c>
      <c r="F120" s="18">
        <v>36</v>
      </c>
      <c r="G120" s="18">
        <v>1</v>
      </c>
      <c r="H120" s="18" t="s">
        <v>18</v>
      </c>
      <c r="K120" s="20" t="s">
        <v>2491</v>
      </c>
      <c r="L120" s="20" t="s">
        <v>203</v>
      </c>
      <c r="M120" s="20" t="s">
        <v>331</v>
      </c>
      <c r="N120" s="20" t="s">
        <v>2491</v>
      </c>
    </row>
    <row r="121" spans="1:14">
      <c r="A121" s="7" t="str">
        <f t="shared" si="3"/>
        <v>01</v>
      </c>
      <c r="B121" s="7" t="str">
        <f t="shared" si="4"/>
        <v>001</v>
      </c>
      <c r="C121" s="7" t="str">
        <f t="shared" si="5"/>
        <v>La Plata</v>
      </c>
      <c r="D121" s="18" t="s">
        <v>3075</v>
      </c>
      <c r="E121" s="18">
        <v>1</v>
      </c>
      <c r="F121" s="18">
        <v>0</v>
      </c>
      <c r="G121" s="18">
        <v>1</v>
      </c>
      <c r="H121" s="18" t="s">
        <v>18</v>
      </c>
      <c r="K121" s="20" t="s">
        <v>231</v>
      </c>
      <c r="L121" s="20" t="s">
        <v>223</v>
      </c>
      <c r="M121" s="20" t="s">
        <v>229</v>
      </c>
      <c r="N121" s="20" t="s">
        <v>231</v>
      </c>
    </row>
    <row r="122" spans="1:14">
      <c r="A122" s="7" t="str">
        <f t="shared" si="3"/>
        <v>01</v>
      </c>
      <c r="B122" s="7" t="str">
        <f t="shared" si="4"/>
        <v>001</v>
      </c>
      <c r="C122" s="7" t="str">
        <f t="shared" si="5"/>
        <v>La Plata</v>
      </c>
      <c r="D122" s="18" t="s">
        <v>3076</v>
      </c>
      <c r="E122" s="18">
        <v>1</v>
      </c>
      <c r="F122" s="18">
        <v>16</v>
      </c>
      <c r="G122" s="18">
        <v>1</v>
      </c>
      <c r="H122" s="18" t="s">
        <v>18</v>
      </c>
      <c r="K122" s="20" t="s">
        <v>5017</v>
      </c>
      <c r="L122" s="20" t="s">
        <v>223</v>
      </c>
      <c r="M122" s="20" t="s">
        <v>714</v>
      </c>
      <c r="N122" s="20" t="s">
        <v>715</v>
      </c>
    </row>
    <row r="123" spans="1:14">
      <c r="A123" s="7" t="str">
        <f t="shared" si="3"/>
        <v>01</v>
      </c>
      <c r="B123" s="7" t="str">
        <f t="shared" si="4"/>
        <v>001</v>
      </c>
      <c r="C123" s="7" t="str">
        <f t="shared" si="5"/>
        <v>La Plata</v>
      </c>
      <c r="D123" s="18" t="s">
        <v>3077</v>
      </c>
      <c r="E123" s="18">
        <v>2</v>
      </c>
      <c r="F123" s="18">
        <v>45</v>
      </c>
      <c r="G123" s="18">
        <v>1</v>
      </c>
      <c r="H123" s="18" t="s">
        <v>18</v>
      </c>
      <c r="K123" s="20" t="s">
        <v>684</v>
      </c>
      <c r="L123" s="20" t="s">
        <v>223</v>
      </c>
      <c r="M123" s="20" t="s">
        <v>683</v>
      </c>
      <c r="N123" s="20" t="s">
        <v>684</v>
      </c>
    </row>
    <row r="124" spans="1:14">
      <c r="A124" s="7" t="str">
        <f t="shared" si="3"/>
        <v>01</v>
      </c>
      <c r="B124" s="7" t="str">
        <f t="shared" si="4"/>
        <v>001</v>
      </c>
      <c r="C124" s="7" t="str">
        <f t="shared" si="5"/>
        <v>La Plata</v>
      </c>
      <c r="D124" s="18" t="s">
        <v>3078</v>
      </c>
      <c r="E124" s="18">
        <v>1</v>
      </c>
      <c r="F124" s="18">
        <v>15</v>
      </c>
      <c r="G124" s="18">
        <v>1</v>
      </c>
      <c r="H124" s="18" t="s">
        <v>18</v>
      </c>
      <c r="K124" s="20" t="s">
        <v>5024</v>
      </c>
      <c r="L124" s="20" t="s">
        <v>223</v>
      </c>
      <c r="M124" s="20" t="s">
        <v>913</v>
      </c>
      <c r="N124" s="20" t="s">
        <v>914</v>
      </c>
    </row>
    <row r="125" spans="1:14">
      <c r="A125" s="7" t="str">
        <f t="shared" si="3"/>
        <v>01</v>
      </c>
      <c r="B125" s="7" t="str">
        <f t="shared" si="4"/>
        <v>001</v>
      </c>
      <c r="C125" s="7" t="str">
        <f t="shared" si="5"/>
        <v>La Plata</v>
      </c>
      <c r="D125" s="18" t="s">
        <v>3079</v>
      </c>
      <c r="E125" s="18">
        <v>1</v>
      </c>
      <c r="F125" s="18">
        <v>16</v>
      </c>
      <c r="G125" s="18">
        <v>1</v>
      </c>
      <c r="H125" s="18" t="s">
        <v>18</v>
      </c>
      <c r="K125" s="20" t="s">
        <v>5027</v>
      </c>
      <c r="L125" s="20" t="s">
        <v>223</v>
      </c>
      <c r="M125" s="20" t="s">
        <v>1195</v>
      </c>
      <c r="N125" s="20" t="s">
        <v>1196</v>
      </c>
    </row>
    <row r="126" spans="1:14">
      <c r="A126" s="7" t="str">
        <f t="shared" si="3"/>
        <v>01</v>
      </c>
      <c r="B126" s="7" t="str">
        <f t="shared" si="4"/>
        <v>001</v>
      </c>
      <c r="C126" s="7" t="str">
        <f t="shared" si="5"/>
        <v>La Plata</v>
      </c>
      <c r="D126" s="18" t="s">
        <v>3080</v>
      </c>
      <c r="E126" s="18">
        <v>3</v>
      </c>
      <c r="F126" s="18">
        <v>62</v>
      </c>
      <c r="G126" s="18">
        <v>1</v>
      </c>
      <c r="H126" s="18" t="s">
        <v>18</v>
      </c>
      <c r="K126" s="20" t="s">
        <v>2075</v>
      </c>
      <c r="L126" s="20" t="s">
        <v>223</v>
      </c>
      <c r="M126" s="20" t="s">
        <v>1205</v>
      </c>
      <c r="N126" s="20" t="s">
        <v>2075</v>
      </c>
    </row>
    <row r="127" spans="1:14">
      <c r="A127" s="7" t="str">
        <f t="shared" si="3"/>
        <v>01</v>
      </c>
      <c r="B127" s="7" t="str">
        <f t="shared" si="4"/>
        <v>001</v>
      </c>
      <c r="C127" s="7" t="str">
        <f t="shared" si="5"/>
        <v>La Plata</v>
      </c>
      <c r="D127" s="18" t="s">
        <v>3081</v>
      </c>
      <c r="E127" s="18">
        <v>1</v>
      </c>
      <c r="F127" s="18">
        <v>14</v>
      </c>
      <c r="G127" s="18">
        <v>1</v>
      </c>
      <c r="H127" s="18" t="s">
        <v>18</v>
      </c>
      <c r="K127" s="20" t="s">
        <v>2185</v>
      </c>
      <c r="L127" s="20" t="s">
        <v>223</v>
      </c>
      <c r="M127" s="20" t="s">
        <v>2184</v>
      </c>
      <c r="N127" s="20" t="s">
        <v>2185</v>
      </c>
    </row>
    <row r="128" spans="1:14">
      <c r="A128" s="7" t="str">
        <f t="shared" si="3"/>
        <v>01</v>
      </c>
      <c r="B128" s="7" t="str">
        <f t="shared" si="4"/>
        <v>001</v>
      </c>
      <c r="C128" s="7" t="str">
        <f t="shared" si="5"/>
        <v>La Plata</v>
      </c>
      <c r="D128" s="18" t="s">
        <v>3082</v>
      </c>
      <c r="E128" s="18">
        <v>1</v>
      </c>
      <c r="F128" s="18">
        <v>21</v>
      </c>
      <c r="G128" s="18">
        <v>1</v>
      </c>
      <c r="H128" s="18" t="s">
        <v>18</v>
      </c>
      <c r="K128" s="20" t="s">
        <v>2430</v>
      </c>
      <c r="L128" s="20" t="s">
        <v>223</v>
      </c>
      <c r="M128" s="20" t="s">
        <v>572</v>
      </c>
      <c r="N128" s="20" t="s">
        <v>2430</v>
      </c>
    </row>
    <row r="129" spans="1:14">
      <c r="A129" s="7" t="str">
        <f t="shared" si="3"/>
        <v>01</v>
      </c>
      <c r="B129" s="7" t="str">
        <f t="shared" si="4"/>
        <v>001</v>
      </c>
      <c r="C129" s="7" t="str">
        <f t="shared" si="5"/>
        <v>La Plata</v>
      </c>
      <c r="D129" s="18" t="s">
        <v>3083</v>
      </c>
      <c r="E129" s="18">
        <v>1</v>
      </c>
      <c r="F129" s="18">
        <v>16</v>
      </c>
      <c r="G129" s="18">
        <v>1</v>
      </c>
      <c r="H129" s="18" t="s">
        <v>18</v>
      </c>
      <c r="K129" s="20" t="s">
        <v>5040</v>
      </c>
      <c r="L129" s="20" t="s">
        <v>516</v>
      </c>
      <c r="M129" s="20" t="s">
        <v>889</v>
      </c>
      <c r="N129" s="20" t="s">
        <v>2458</v>
      </c>
    </row>
    <row r="130" spans="1:14">
      <c r="A130" s="7" t="str">
        <f t="shared" si="3"/>
        <v>01</v>
      </c>
      <c r="B130" s="7" t="str">
        <f t="shared" si="4"/>
        <v>001</v>
      </c>
      <c r="C130" s="7" t="str">
        <f t="shared" si="5"/>
        <v>La Plata</v>
      </c>
      <c r="D130" s="18" t="s">
        <v>3084</v>
      </c>
      <c r="E130" s="18">
        <v>3</v>
      </c>
      <c r="F130" s="18">
        <v>62</v>
      </c>
      <c r="G130" s="18">
        <v>1</v>
      </c>
      <c r="H130" s="18" t="s">
        <v>18</v>
      </c>
      <c r="K130" s="20" t="s">
        <v>891</v>
      </c>
      <c r="L130" s="20" t="s">
        <v>516</v>
      </c>
      <c r="M130" s="20" t="s">
        <v>890</v>
      </c>
      <c r="N130" s="20" t="s">
        <v>891</v>
      </c>
    </row>
    <row r="131" spans="1:14">
      <c r="A131" s="7" t="str">
        <f t="shared" ref="A131:A194" si="6">+VLOOKUP(H131,$K:$N,2,FALSE)</f>
        <v>01</v>
      </c>
      <c r="B131" s="7" t="str">
        <f t="shared" ref="B131:B194" si="7">+VLOOKUP(H131,$K:$N,3,FALSE)</f>
        <v>001</v>
      </c>
      <c r="C131" s="7" t="str">
        <f t="shared" ref="C131:C194" si="8">+VLOOKUP(H131,$K:$N,4,FALSE)</f>
        <v>La Plata</v>
      </c>
      <c r="D131" s="18" t="s">
        <v>3085</v>
      </c>
      <c r="E131" s="18">
        <v>1</v>
      </c>
      <c r="F131" s="18">
        <v>11</v>
      </c>
      <c r="G131" s="18">
        <v>1</v>
      </c>
      <c r="H131" s="18" t="s">
        <v>18</v>
      </c>
      <c r="K131" s="20" t="s">
        <v>1315</v>
      </c>
      <c r="L131" s="20" t="s">
        <v>516</v>
      </c>
      <c r="M131" s="20" t="s">
        <v>451</v>
      </c>
      <c r="N131" s="20" t="s">
        <v>1315</v>
      </c>
    </row>
    <row r="132" spans="1:14">
      <c r="A132" s="7" t="str">
        <f t="shared" si="6"/>
        <v>01</v>
      </c>
      <c r="B132" s="7" t="str">
        <f t="shared" si="7"/>
        <v>001</v>
      </c>
      <c r="C132" s="7" t="str">
        <f t="shared" si="8"/>
        <v>La Plata</v>
      </c>
      <c r="D132" s="18" t="s">
        <v>3086</v>
      </c>
      <c r="E132" s="18">
        <v>1</v>
      </c>
      <c r="F132" s="18">
        <v>16</v>
      </c>
      <c r="G132" s="18">
        <v>1</v>
      </c>
      <c r="H132" s="18" t="s">
        <v>18</v>
      </c>
      <c r="K132" s="20" t="s">
        <v>1349</v>
      </c>
      <c r="L132" s="20" t="s">
        <v>516</v>
      </c>
      <c r="M132" s="20" t="s">
        <v>1348</v>
      </c>
      <c r="N132" s="20" t="s">
        <v>1349</v>
      </c>
    </row>
    <row r="133" spans="1:14">
      <c r="A133" s="7" t="str">
        <f t="shared" si="6"/>
        <v>01</v>
      </c>
      <c r="B133" s="7" t="str">
        <f t="shared" si="7"/>
        <v>001</v>
      </c>
      <c r="C133" s="7" t="str">
        <f t="shared" si="8"/>
        <v>La Plata</v>
      </c>
      <c r="D133" s="18" t="s">
        <v>3087</v>
      </c>
      <c r="E133" s="18">
        <v>1</v>
      </c>
      <c r="F133" s="18">
        <v>0</v>
      </c>
      <c r="G133" s="18">
        <v>1</v>
      </c>
      <c r="H133" s="18" t="s">
        <v>18</v>
      </c>
      <c r="K133" s="20" t="s">
        <v>5056</v>
      </c>
      <c r="L133" s="20" t="s">
        <v>516</v>
      </c>
      <c r="M133" s="20" t="s">
        <v>2179</v>
      </c>
      <c r="N133" s="20" t="s">
        <v>2180</v>
      </c>
    </row>
    <row r="134" spans="1:14">
      <c r="A134" s="7" t="str">
        <f t="shared" si="6"/>
        <v>01</v>
      </c>
      <c r="B134" s="7" t="str">
        <f t="shared" si="7"/>
        <v>001</v>
      </c>
      <c r="C134" s="7" t="str">
        <f t="shared" si="8"/>
        <v>La Plata</v>
      </c>
      <c r="D134" s="18" t="s">
        <v>3088</v>
      </c>
      <c r="E134" s="18">
        <v>1</v>
      </c>
      <c r="F134" s="18">
        <v>27</v>
      </c>
      <c r="G134" s="18">
        <v>1</v>
      </c>
      <c r="H134" s="18" t="s">
        <v>18</v>
      </c>
      <c r="K134" s="20" t="s">
        <v>2196</v>
      </c>
      <c r="L134" s="20" t="s">
        <v>516</v>
      </c>
      <c r="M134" s="20" t="s">
        <v>2195</v>
      </c>
      <c r="N134" s="20" t="s">
        <v>2196</v>
      </c>
    </row>
    <row r="135" spans="1:14">
      <c r="A135" s="7" t="str">
        <f t="shared" si="6"/>
        <v>01</v>
      </c>
      <c r="B135" s="7" t="str">
        <f t="shared" si="7"/>
        <v>001</v>
      </c>
      <c r="C135" s="7" t="str">
        <f t="shared" si="8"/>
        <v>La Plata</v>
      </c>
      <c r="D135" s="18" t="s">
        <v>3089</v>
      </c>
      <c r="E135" s="18">
        <v>3</v>
      </c>
      <c r="F135" s="18">
        <v>61</v>
      </c>
      <c r="G135" s="18">
        <v>1</v>
      </c>
      <c r="H135" s="18" t="s">
        <v>18</v>
      </c>
      <c r="K135" s="20" t="s">
        <v>432</v>
      </c>
      <c r="L135" s="20" t="s">
        <v>221</v>
      </c>
      <c r="M135" s="20" t="s">
        <v>230</v>
      </c>
      <c r="N135" s="20" t="s">
        <v>432</v>
      </c>
    </row>
    <row r="136" spans="1:14">
      <c r="A136" s="7" t="str">
        <f t="shared" si="6"/>
        <v>01</v>
      </c>
      <c r="B136" s="7" t="str">
        <f t="shared" si="7"/>
        <v>001</v>
      </c>
      <c r="C136" s="7" t="str">
        <f t="shared" si="8"/>
        <v>La Plata</v>
      </c>
      <c r="D136" s="18" t="s">
        <v>3090</v>
      </c>
      <c r="E136" s="18">
        <v>1</v>
      </c>
      <c r="F136" s="18">
        <v>19</v>
      </c>
      <c r="G136" s="18">
        <v>1</v>
      </c>
      <c r="H136" s="18" t="s">
        <v>18</v>
      </c>
      <c r="K136" s="20" t="s">
        <v>5076</v>
      </c>
      <c r="L136" s="20" t="s">
        <v>221</v>
      </c>
      <c r="M136" s="20" t="s">
        <v>571</v>
      </c>
      <c r="N136" s="20" t="s">
        <v>573</v>
      </c>
    </row>
    <row r="137" spans="1:14">
      <c r="A137" s="7" t="str">
        <f t="shared" si="6"/>
        <v>01</v>
      </c>
      <c r="B137" s="7" t="str">
        <f t="shared" si="7"/>
        <v>001</v>
      </c>
      <c r="C137" s="7" t="str">
        <f t="shared" si="8"/>
        <v>La Plata</v>
      </c>
      <c r="D137" s="18" t="s">
        <v>3091</v>
      </c>
      <c r="E137" s="18">
        <v>2</v>
      </c>
      <c r="F137" s="18">
        <v>56</v>
      </c>
      <c r="G137" s="18">
        <v>1</v>
      </c>
      <c r="H137" s="18" t="s">
        <v>18</v>
      </c>
      <c r="K137" s="20" t="s">
        <v>5082</v>
      </c>
      <c r="L137" s="20" t="s">
        <v>221</v>
      </c>
      <c r="M137" s="20" t="s">
        <v>558</v>
      </c>
      <c r="N137" s="20" t="s">
        <v>1960</v>
      </c>
    </row>
    <row r="138" spans="1:14">
      <c r="A138" s="7" t="str">
        <f t="shared" si="6"/>
        <v>01</v>
      </c>
      <c r="B138" s="7" t="str">
        <f t="shared" si="7"/>
        <v>001</v>
      </c>
      <c r="C138" s="7" t="str">
        <f t="shared" si="8"/>
        <v>La Plata</v>
      </c>
      <c r="D138" s="18" t="s">
        <v>3092</v>
      </c>
      <c r="E138" s="18">
        <v>2</v>
      </c>
      <c r="F138" s="18">
        <v>54</v>
      </c>
      <c r="G138" s="18">
        <v>1</v>
      </c>
      <c r="H138" s="18" t="s">
        <v>18</v>
      </c>
      <c r="K138" s="20" t="s">
        <v>5096</v>
      </c>
      <c r="L138" s="20" t="s">
        <v>221</v>
      </c>
      <c r="M138" s="20" t="s">
        <v>737</v>
      </c>
      <c r="N138" s="20" t="s">
        <v>2422</v>
      </c>
    </row>
    <row r="139" spans="1:14">
      <c r="A139" s="7" t="str">
        <f t="shared" si="6"/>
        <v>01</v>
      </c>
      <c r="B139" s="7" t="str">
        <f t="shared" si="7"/>
        <v>001</v>
      </c>
      <c r="C139" s="7" t="str">
        <f t="shared" si="8"/>
        <v>La Plata</v>
      </c>
      <c r="D139" s="18" t="s">
        <v>3093</v>
      </c>
      <c r="E139" s="18">
        <v>1</v>
      </c>
      <c r="F139" s="18">
        <v>23</v>
      </c>
      <c r="G139" s="18">
        <v>1</v>
      </c>
      <c r="H139" s="18" t="s">
        <v>18</v>
      </c>
    </row>
    <row r="140" spans="1:14">
      <c r="A140" s="7" t="str">
        <f t="shared" si="6"/>
        <v>01</v>
      </c>
      <c r="B140" s="7" t="str">
        <f t="shared" si="7"/>
        <v>001</v>
      </c>
      <c r="C140" s="7" t="str">
        <f t="shared" si="8"/>
        <v>La Plata</v>
      </c>
      <c r="D140" s="18" t="s">
        <v>3094</v>
      </c>
      <c r="E140" s="18">
        <v>1</v>
      </c>
      <c r="F140" s="18">
        <v>13</v>
      </c>
      <c r="G140" s="18">
        <v>1</v>
      </c>
      <c r="H140" s="18" t="s">
        <v>18</v>
      </c>
    </row>
    <row r="141" spans="1:14">
      <c r="A141" s="7" t="str">
        <f t="shared" si="6"/>
        <v>01</v>
      </c>
      <c r="B141" s="7" t="str">
        <f t="shared" si="7"/>
        <v>001</v>
      </c>
      <c r="C141" s="7" t="str">
        <f t="shared" si="8"/>
        <v>La Plata</v>
      </c>
      <c r="D141" s="18" t="s">
        <v>3095</v>
      </c>
      <c r="E141" s="18">
        <v>1</v>
      </c>
      <c r="F141" s="18">
        <v>9</v>
      </c>
      <c r="G141" s="18">
        <v>1</v>
      </c>
      <c r="H141" s="18" t="s">
        <v>18</v>
      </c>
    </row>
    <row r="142" spans="1:14">
      <c r="A142" s="7" t="str">
        <f t="shared" si="6"/>
        <v>01</v>
      </c>
      <c r="B142" s="7" t="str">
        <f t="shared" si="7"/>
        <v>001</v>
      </c>
      <c r="C142" s="7" t="str">
        <f t="shared" si="8"/>
        <v>La Plata</v>
      </c>
      <c r="D142" s="18" t="s">
        <v>3096</v>
      </c>
      <c r="E142" s="18">
        <v>1</v>
      </c>
      <c r="F142" s="18">
        <v>4</v>
      </c>
      <c r="G142" s="18">
        <v>1</v>
      </c>
      <c r="H142" s="18" t="s">
        <v>18</v>
      </c>
    </row>
    <row r="143" spans="1:14">
      <c r="A143" s="7" t="str">
        <f t="shared" si="6"/>
        <v>01</v>
      </c>
      <c r="B143" s="7" t="str">
        <f t="shared" si="7"/>
        <v>001</v>
      </c>
      <c r="C143" s="7" t="str">
        <f t="shared" si="8"/>
        <v>La Plata</v>
      </c>
      <c r="D143" s="18" t="s">
        <v>3097</v>
      </c>
      <c r="E143" s="18">
        <v>1</v>
      </c>
      <c r="F143" s="18">
        <v>8</v>
      </c>
      <c r="G143" s="18">
        <v>1</v>
      </c>
      <c r="H143" s="18" t="s">
        <v>18</v>
      </c>
    </row>
    <row r="144" spans="1:14">
      <c r="A144" s="7" t="str">
        <f t="shared" si="6"/>
        <v>01</v>
      </c>
      <c r="B144" s="7" t="str">
        <f t="shared" si="7"/>
        <v>001</v>
      </c>
      <c r="C144" s="7" t="str">
        <f t="shared" si="8"/>
        <v>La Plata</v>
      </c>
      <c r="D144" s="18" t="s">
        <v>3098</v>
      </c>
      <c r="E144" s="18">
        <v>1</v>
      </c>
      <c r="F144" s="18">
        <v>9</v>
      </c>
      <c r="G144" s="18">
        <v>1</v>
      </c>
      <c r="H144" s="18" t="s">
        <v>18</v>
      </c>
    </row>
    <row r="145" spans="1:8">
      <c r="A145" s="7" t="str">
        <f t="shared" si="6"/>
        <v>01</v>
      </c>
      <c r="B145" s="7" t="str">
        <f t="shared" si="7"/>
        <v>001</v>
      </c>
      <c r="C145" s="7" t="str">
        <f t="shared" si="8"/>
        <v>La Plata</v>
      </c>
      <c r="D145" s="18" t="s">
        <v>3099</v>
      </c>
      <c r="E145" s="18">
        <v>1</v>
      </c>
      <c r="F145" s="18">
        <v>18</v>
      </c>
      <c r="G145" s="18">
        <v>1</v>
      </c>
      <c r="H145" s="18" t="s">
        <v>18</v>
      </c>
    </row>
    <row r="146" spans="1:8">
      <c r="A146" s="7" t="str">
        <f t="shared" si="6"/>
        <v>01</v>
      </c>
      <c r="B146" s="7" t="str">
        <f t="shared" si="7"/>
        <v>001</v>
      </c>
      <c r="C146" s="7" t="str">
        <f t="shared" si="8"/>
        <v>La Plata</v>
      </c>
      <c r="D146" s="18" t="s">
        <v>3100</v>
      </c>
      <c r="E146" s="18">
        <v>1</v>
      </c>
      <c r="F146" s="18">
        <v>0</v>
      </c>
      <c r="G146" s="18">
        <v>1</v>
      </c>
      <c r="H146" s="18" t="s">
        <v>18</v>
      </c>
    </row>
    <row r="147" spans="1:8">
      <c r="A147" s="7" t="str">
        <f t="shared" si="6"/>
        <v>01</v>
      </c>
      <c r="B147" s="7" t="str">
        <f t="shared" si="7"/>
        <v>001</v>
      </c>
      <c r="C147" s="7" t="str">
        <f t="shared" si="8"/>
        <v>La Plata</v>
      </c>
      <c r="D147" s="18" t="s">
        <v>3101</v>
      </c>
      <c r="E147" s="18">
        <v>3</v>
      </c>
      <c r="F147" s="18">
        <v>33</v>
      </c>
      <c r="G147" s="18">
        <v>1</v>
      </c>
      <c r="H147" s="18" t="s">
        <v>18</v>
      </c>
    </row>
    <row r="148" spans="1:8">
      <c r="A148" s="7" t="str">
        <f t="shared" si="6"/>
        <v>01</v>
      </c>
      <c r="B148" s="7" t="str">
        <f t="shared" si="7"/>
        <v>064</v>
      </c>
      <c r="C148" s="7" t="str">
        <f t="shared" si="8"/>
        <v>Magdalena</v>
      </c>
      <c r="D148" s="18" t="s">
        <v>3102</v>
      </c>
      <c r="E148" s="18">
        <v>1</v>
      </c>
      <c r="F148" s="18">
        <v>15</v>
      </c>
      <c r="G148" s="18">
        <v>1</v>
      </c>
      <c r="H148" s="18" t="s">
        <v>1481</v>
      </c>
    </row>
    <row r="149" spans="1:8">
      <c r="A149" s="7" t="str">
        <f t="shared" si="6"/>
        <v>01</v>
      </c>
      <c r="B149" s="7" t="str">
        <f t="shared" si="7"/>
        <v>064</v>
      </c>
      <c r="C149" s="7" t="str">
        <f t="shared" si="8"/>
        <v>Magdalena</v>
      </c>
      <c r="D149" s="18" t="s">
        <v>3103</v>
      </c>
      <c r="E149" s="18">
        <v>1</v>
      </c>
      <c r="F149" s="18">
        <v>9</v>
      </c>
      <c r="G149" s="18">
        <v>1</v>
      </c>
      <c r="H149" s="18" t="s">
        <v>1481</v>
      </c>
    </row>
    <row r="150" spans="1:8">
      <c r="A150" s="7" t="str">
        <f t="shared" si="6"/>
        <v>01</v>
      </c>
      <c r="B150" s="7" t="str">
        <f t="shared" si="7"/>
        <v>064</v>
      </c>
      <c r="C150" s="7" t="str">
        <f t="shared" si="8"/>
        <v>Magdalena</v>
      </c>
      <c r="D150" s="18" t="s">
        <v>3104</v>
      </c>
      <c r="E150" s="18">
        <v>1</v>
      </c>
      <c r="F150" s="18">
        <v>14</v>
      </c>
      <c r="G150" s="18">
        <v>1</v>
      </c>
      <c r="H150" s="18" t="s">
        <v>1481</v>
      </c>
    </row>
    <row r="151" spans="1:8">
      <c r="A151" s="7" t="str">
        <f t="shared" si="6"/>
        <v>01</v>
      </c>
      <c r="B151" s="7" t="str">
        <f t="shared" si="7"/>
        <v>064</v>
      </c>
      <c r="C151" s="7" t="str">
        <f t="shared" si="8"/>
        <v>Magdalena</v>
      </c>
      <c r="D151" s="18" t="s">
        <v>3105</v>
      </c>
      <c r="E151" s="18">
        <v>2</v>
      </c>
      <c r="F151" s="18">
        <v>27</v>
      </c>
      <c r="G151" s="18">
        <v>1</v>
      </c>
      <c r="H151" s="18" t="s">
        <v>1481</v>
      </c>
    </row>
    <row r="152" spans="1:8">
      <c r="A152" s="7" t="str">
        <f t="shared" si="6"/>
        <v>01</v>
      </c>
      <c r="B152" s="7" t="str">
        <f t="shared" si="7"/>
        <v>064</v>
      </c>
      <c r="C152" s="7" t="str">
        <f t="shared" si="8"/>
        <v>Magdalena</v>
      </c>
      <c r="D152" s="18" t="s">
        <v>3106</v>
      </c>
      <c r="E152" s="18">
        <v>2</v>
      </c>
      <c r="F152" s="18">
        <v>33</v>
      </c>
      <c r="G152" s="18">
        <v>1</v>
      </c>
      <c r="H152" s="18" t="s">
        <v>1481</v>
      </c>
    </row>
    <row r="153" spans="1:8">
      <c r="A153" s="7" t="str">
        <f t="shared" si="6"/>
        <v>01</v>
      </c>
      <c r="B153" s="7" t="str">
        <f t="shared" si="7"/>
        <v>064</v>
      </c>
      <c r="C153" s="7" t="str">
        <f t="shared" si="8"/>
        <v>Magdalena</v>
      </c>
      <c r="D153" s="18" t="s">
        <v>3107</v>
      </c>
      <c r="E153" s="18">
        <v>1</v>
      </c>
      <c r="F153" s="18">
        <v>9</v>
      </c>
      <c r="G153" s="18">
        <v>1</v>
      </c>
      <c r="H153" s="18" t="s">
        <v>1481</v>
      </c>
    </row>
    <row r="154" spans="1:8">
      <c r="A154" s="7" t="str">
        <f t="shared" si="6"/>
        <v>01</v>
      </c>
      <c r="B154" s="7" t="str">
        <f t="shared" si="7"/>
        <v>064</v>
      </c>
      <c r="C154" s="7" t="str">
        <f t="shared" si="8"/>
        <v>Magdalena</v>
      </c>
      <c r="D154" s="18" t="s">
        <v>3108</v>
      </c>
      <c r="E154" s="18">
        <v>1</v>
      </c>
      <c r="F154" s="18">
        <v>13</v>
      </c>
      <c r="G154" s="18">
        <v>1</v>
      </c>
      <c r="H154" s="18" t="s">
        <v>1481</v>
      </c>
    </row>
    <row r="155" spans="1:8">
      <c r="A155" s="7" t="str">
        <f t="shared" si="6"/>
        <v>01</v>
      </c>
      <c r="B155" s="7" t="str">
        <f t="shared" si="7"/>
        <v>064</v>
      </c>
      <c r="C155" s="7" t="str">
        <f t="shared" si="8"/>
        <v>Magdalena</v>
      </c>
      <c r="D155" s="18" t="s">
        <v>3109</v>
      </c>
      <c r="E155" s="18">
        <v>1</v>
      </c>
      <c r="F155" s="18">
        <v>5</v>
      </c>
      <c r="G155" s="18">
        <v>1</v>
      </c>
      <c r="H155" s="18" t="s">
        <v>1481</v>
      </c>
    </row>
    <row r="156" spans="1:8">
      <c r="A156" s="7" t="str">
        <f t="shared" si="6"/>
        <v>01</v>
      </c>
      <c r="B156" s="7" t="str">
        <f t="shared" si="7"/>
        <v>064</v>
      </c>
      <c r="C156" s="7" t="str">
        <f t="shared" si="8"/>
        <v>Magdalena</v>
      </c>
      <c r="D156" s="18" t="s">
        <v>3110</v>
      </c>
      <c r="E156" s="18">
        <v>4</v>
      </c>
      <c r="F156" s="18">
        <v>98</v>
      </c>
      <c r="G156" s="18">
        <v>1</v>
      </c>
      <c r="H156" s="18" t="s">
        <v>1481</v>
      </c>
    </row>
    <row r="157" spans="1:8">
      <c r="A157" s="7" t="str">
        <f t="shared" si="6"/>
        <v>01</v>
      </c>
      <c r="B157" s="7" t="str">
        <f t="shared" si="7"/>
        <v>064</v>
      </c>
      <c r="C157" s="7" t="str">
        <f t="shared" si="8"/>
        <v>Magdalena</v>
      </c>
      <c r="D157" s="18" t="s">
        <v>3111</v>
      </c>
      <c r="E157" s="18">
        <v>1</v>
      </c>
      <c r="F157" s="18">
        <v>12</v>
      </c>
      <c r="G157" s="18">
        <v>1</v>
      </c>
      <c r="H157" s="18" t="s">
        <v>1481</v>
      </c>
    </row>
    <row r="158" spans="1:8">
      <c r="A158" s="7" t="str">
        <f t="shared" si="6"/>
        <v>01</v>
      </c>
      <c r="B158" s="7" t="str">
        <f t="shared" si="7"/>
        <v>064</v>
      </c>
      <c r="C158" s="7" t="str">
        <f t="shared" si="8"/>
        <v>Magdalena</v>
      </c>
      <c r="D158" s="18" t="s">
        <v>3112</v>
      </c>
      <c r="E158" s="18">
        <v>1</v>
      </c>
      <c r="F158" s="18">
        <v>9</v>
      </c>
      <c r="G158" s="18">
        <v>1</v>
      </c>
      <c r="H158" s="18" t="s">
        <v>1481</v>
      </c>
    </row>
    <row r="159" spans="1:8">
      <c r="A159" s="7" t="str">
        <f t="shared" si="6"/>
        <v>01</v>
      </c>
      <c r="B159" s="7" t="str">
        <f t="shared" si="7"/>
        <v>064</v>
      </c>
      <c r="C159" s="7" t="str">
        <f t="shared" si="8"/>
        <v>Magdalena</v>
      </c>
      <c r="D159" s="18" t="s">
        <v>3113</v>
      </c>
      <c r="E159" s="18">
        <v>1</v>
      </c>
      <c r="F159" s="18">
        <v>18</v>
      </c>
      <c r="G159" s="18">
        <v>1</v>
      </c>
      <c r="H159" s="18" t="s">
        <v>1481</v>
      </c>
    </row>
    <row r="160" spans="1:8">
      <c r="A160" s="7" t="str">
        <f t="shared" si="6"/>
        <v>01</v>
      </c>
      <c r="B160" s="7" t="str">
        <f t="shared" si="7"/>
        <v>064</v>
      </c>
      <c r="C160" s="7" t="str">
        <f t="shared" si="8"/>
        <v>Magdalena</v>
      </c>
      <c r="D160" s="18" t="s">
        <v>3114</v>
      </c>
      <c r="E160" s="18">
        <v>1</v>
      </c>
      <c r="F160" s="18">
        <v>10</v>
      </c>
      <c r="G160" s="18">
        <v>1</v>
      </c>
      <c r="H160" s="18" t="s">
        <v>1481</v>
      </c>
    </row>
    <row r="161" spans="1:8">
      <c r="A161" s="7" t="str">
        <f t="shared" si="6"/>
        <v>01</v>
      </c>
      <c r="B161" s="7" t="str">
        <f t="shared" si="7"/>
        <v>064</v>
      </c>
      <c r="C161" s="7" t="str">
        <f t="shared" si="8"/>
        <v>Magdalena</v>
      </c>
      <c r="D161" s="18" t="s">
        <v>3115</v>
      </c>
      <c r="E161" s="18">
        <v>1</v>
      </c>
      <c r="F161" s="18">
        <v>10</v>
      </c>
      <c r="G161" s="18">
        <v>1</v>
      </c>
      <c r="H161" s="18" t="s">
        <v>1481</v>
      </c>
    </row>
    <row r="162" spans="1:8">
      <c r="A162" s="7" t="str">
        <f t="shared" si="6"/>
        <v>01</v>
      </c>
      <c r="B162" s="7" t="str">
        <f t="shared" si="7"/>
        <v>064</v>
      </c>
      <c r="C162" s="7" t="str">
        <f t="shared" si="8"/>
        <v>Magdalena</v>
      </c>
      <c r="D162" s="18" t="s">
        <v>3116</v>
      </c>
      <c r="E162" s="18">
        <v>2</v>
      </c>
      <c r="F162" s="18">
        <v>31</v>
      </c>
      <c r="G162" s="18">
        <v>1</v>
      </c>
      <c r="H162" s="18" t="s">
        <v>1481</v>
      </c>
    </row>
    <row r="163" spans="1:8">
      <c r="A163" s="7" t="str">
        <f t="shared" si="6"/>
        <v>01</v>
      </c>
      <c r="B163" s="7" t="str">
        <f t="shared" si="7"/>
        <v>064</v>
      </c>
      <c r="C163" s="7" t="str">
        <f t="shared" si="8"/>
        <v>Magdalena</v>
      </c>
      <c r="D163" s="18" t="s">
        <v>3117</v>
      </c>
      <c r="E163" s="18">
        <v>2</v>
      </c>
      <c r="F163" s="18">
        <v>17</v>
      </c>
      <c r="G163" s="18">
        <v>1</v>
      </c>
      <c r="H163" s="18" t="s">
        <v>1481</v>
      </c>
    </row>
    <row r="164" spans="1:8">
      <c r="A164" s="7" t="str">
        <f t="shared" si="6"/>
        <v>01</v>
      </c>
      <c r="B164" s="7" t="str">
        <f t="shared" si="7"/>
        <v>064</v>
      </c>
      <c r="C164" s="7" t="str">
        <f t="shared" si="8"/>
        <v>Magdalena</v>
      </c>
      <c r="D164" s="18" t="s">
        <v>3118</v>
      </c>
      <c r="E164" s="18">
        <v>1</v>
      </c>
      <c r="F164" s="18">
        <v>15</v>
      </c>
      <c r="G164" s="18">
        <v>1</v>
      </c>
      <c r="H164" s="18" t="s">
        <v>1481</v>
      </c>
    </row>
    <row r="165" spans="1:8">
      <c r="A165" s="7" t="str">
        <f t="shared" si="6"/>
        <v>01</v>
      </c>
      <c r="B165" s="7" t="str">
        <f t="shared" si="7"/>
        <v>064</v>
      </c>
      <c r="C165" s="7" t="str">
        <f t="shared" si="8"/>
        <v>Magdalena</v>
      </c>
      <c r="D165" s="18" t="s">
        <v>3119</v>
      </c>
      <c r="E165" s="18">
        <v>1</v>
      </c>
      <c r="F165" s="18">
        <v>7</v>
      </c>
      <c r="G165" s="18">
        <v>1</v>
      </c>
      <c r="H165" s="18" t="s">
        <v>1481</v>
      </c>
    </row>
    <row r="166" spans="1:8">
      <c r="A166" s="7" t="str">
        <f t="shared" si="6"/>
        <v>01</v>
      </c>
      <c r="B166" s="7" t="str">
        <f t="shared" si="7"/>
        <v>134</v>
      </c>
      <c r="C166" s="7" t="str">
        <f t="shared" si="8"/>
        <v>Punta Indio</v>
      </c>
      <c r="D166" s="18" t="s">
        <v>3120</v>
      </c>
      <c r="E166" s="18">
        <v>1</v>
      </c>
      <c r="F166" s="18">
        <v>13</v>
      </c>
      <c r="G166" s="18">
        <v>1</v>
      </c>
      <c r="H166" s="18" t="s">
        <v>2862</v>
      </c>
    </row>
    <row r="167" spans="1:8">
      <c r="A167" s="7" t="str">
        <f t="shared" si="6"/>
        <v>01</v>
      </c>
      <c r="B167" s="7" t="str">
        <f t="shared" si="7"/>
        <v>134</v>
      </c>
      <c r="C167" s="7" t="str">
        <f t="shared" si="8"/>
        <v>Punta Indio</v>
      </c>
      <c r="D167" s="18" t="s">
        <v>3121</v>
      </c>
      <c r="E167" s="18">
        <v>1</v>
      </c>
      <c r="F167" s="18">
        <v>11</v>
      </c>
      <c r="G167" s="18">
        <v>1</v>
      </c>
      <c r="H167" s="18" t="s">
        <v>2862</v>
      </c>
    </row>
    <row r="168" spans="1:8">
      <c r="A168" s="7" t="str">
        <f t="shared" si="6"/>
        <v>01</v>
      </c>
      <c r="B168" s="7" t="str">
        <f t="shared" si="7"/>
        <v>134</v>
      </c>
      <c r="C168" s="7" t="str">
        <f t="shared" si="8"/>
        <v>Punta Indio</v>
      </c>
      <c r="D168" s="18" t="s">
        <v>3122</v>
      </c>
      <c r="E168" s="18">
        <v>1</v>
      </c>
      <c r="F168" s="18">
        <v>1</v>
      </c>
      <c r="G168" s="18">
        <v>1</v>
      </c>
      <c r="H168" s="18" t="s">
        <v>2862</v>
      </c>
    </row>
    <row r="169" spans="1:8">
      <c r="A169" s="7" t="str">
        <f t="shared" si="6"/>
        <v>01</v>
      </c>
      <c r="B169" s="7" t="str">
        <f t="shared" si="7"/>
        <v>134</v>
      </c>
      <c r="C169" s="7" t="str">
        <f t="shared" si="8"/>
        <v>Punta Indio</v>
      </c>
      <c r="D169" s="18" t="s">
        <v>3123</v>
      </c>
      <c r="E169" s="18">
        <v>1</v>
      </c>
      <c r="F169" s="18">
        <v>7</v>
      </c>
      <c r="G169" s="18">
        <v>1</v>
      </c>
      <c r="H169" s="18" t="s">
        <v>2862</v>
      </c>
    </row>
    <row r="170" spans="1:8">
      <c r="A170" s="7" t="str">
        <f t="shared" si="6"/>
        <v>01</v>
      </c>
      <c r="B170" s="7" t="str">
        <f t="shared" si="7"/>
        <v>134</v>
      </c>
      <c r="C170" s="7" t="str">
        <f t="shared" si="8"/>
        <v>Punta Indio</v>
      </c>
      <c r="D170" s="18" t="s">
        <v>3124</v>
      </c>
      <c r="E170" s="18">
        <v>1</v>
      </c>
      <c r="F170" s="18">
        <v>1</v>
      </c>
      <c r="G170" s="18">
        <v>1</v>
      </c>
      <c r="H170" s="18" t="s">
        <v>2862</v>
      </c>
    </row>
    <row r="171" spans="1:8">
      <c r="A171" s="7" t="str">
        <f t="shared" si="6"/>
        <v>01</v>
      </c>
      <c r="B171" s="7" t="str">
        <f t="shared" si="7"/>
        <v>134</v>
      </c>
      <c r="C171" s="7" t="str">
        <f t="shared" si="8"/>
        <v>Punta Indio</v>
      </c>
      <c r="D171" s="18" t="s">
        <v>3125</v>
      </c>
      <c r="E171" s="18">
        <v>1</v>
      </c>
      <c r="F171" s="18">
        <v>17</v>
      </c>
      <c r="G171" s="18">
        <v>1</v>
      </c>
      <c r="H171" s="18" t="s">
        <v>2862</v>
      </c>
    </row>
    <row r="172" spans="1:8">
      <c r="A172" s="7" t="str">
        <f t="shared" si="6"/>
        <v>01</v>
      </c>
      <c r="B172" s="7" t="str">
        <f t="shared" si="7"/>
        <v>134</v>
      </c>
      <c r="C172" s="7" t="str">
        <f t="shared" si="8"/>
        <v>Punta Indio</v>
      </c>
      <c r="D172" s="18" t="s">
        <v>3126</v>
      </c>
      <c r="E172" s="18">
        <v>1</v>
      </c>
      <c r="F172" s="18">
        <v>7</v>
      </c>
      <c r="G172" s="18">
        <v>1</v>
      </c>
      <c r="H172" s="18" t="s">
        <v>2862</v>
      </c>
    </row>
    <row r="173" spans="1:8">
      <c r="A173" s="7" t="str">
        <f t="shared" si="6"/>
        <v>01</v>
      </c>
      <c r="B173" s="7" t="str">
        <f t="shared" si="7"/>
        <v>134</v>
      </c>
      <c r="C173" s="7" t="str">
        <f t="shared" si="8"/>
        <v>Punta Indio</v>
      </c>
      <c r="D173" s="18" t="s">
        <v>3127</v>
      </c>
      <c r="E173" s="18">
        <v>1</v>
      </c>
      <c r="F173" s="18">
        <v>1</v>
      </c>
      <c r="G173" s="18">
        <v>1</v>
      </c>
      <c r="H173" s="18" t="s">
        <v>2862</v>
      </c>
    </row>
    <row r="174" spans="1:8">
      <c r="A174" s="7" t="str">
        <f t="shared" si="6"/>
        <v>02</v>
      </c>
      <c r="B174" s="7" t="str">
        <f t="shared" si="7"/>
        <v>005</v>
      </c>
      <c r="C174" s="7" t="str">
        <f t="shared" si="8"/>
        <v>Avellaneda</v>
      </c>
      <c r="D174" s="18">
        <v>46029</v>
      </c>
      <c r="E174" s="18">
        <v>1</v>
      </c>
      <c r="F174" s="18">
        <v>20</v>
      </c>
      <c r="G174" s="18">
        <v>2</v>
      </c>
      <c r="H174" s="18" t="s">
        <v>355</v>
      </c>
    </row>
    <row r="175" spans="1:8">
      <c r="A175" s="7" t="str">
        <f t="shared" si="6"/>
        <v>02</v>
      </c>
      <c r="B175" s="7" t="str">
        <f t="shared" si="7"/>
        <v>005</v>
      </c>
      <c r="C175" s="7" t="str">
        <f t="shared" si="8"/>
        <v>Avellaneda</v>
      </c>
      <c r="D175" s="18" t="s">
        <v>3128</v>
      </c>
      <c r="E175" s="18">
        <v>1</v>
      </c>
      <c r="F175" s="18">
        <v>15</v>
      </c>
      <c r="G175" s="18">
        <v>2</v>
      </c>
      <c r="H175" s="18" t="s">
        <v>355</v>
      </c>
    </row>
    <row r="176" spans="1:8">
      <c r="A176" s="7" t="str">
        <f t="shared" si="6"/>
        <v>02</v>
      </c>
      <c r="B176" s="7" t="str">
        <f t="shared" si="7"/>
        <v>005</v>
      </c>
      <c r="C176" s="7" t="str">
        <f t="shared" si="8"/>
        <v>Avellaneda</v>
      </c>
      <c r="D176" s="18" t="s">
        <v>3129</v>
      </c>
      <c r="E176" s="18">
        <v>1</v>
      </c>
      <c r="F176" s="18">
        <v>0</v>
      </c>
      <c r="G176" s="18">
        <v>2</v>
      </c>
      <c r="H176" s="18" t="s">
        <v>355</v>
      </c>
    </row>
    <row r="177" spans="1:8">
      <c r="A177" s="7" t="str">
        <f t="shared" si="6"/>
        <v>02</v>
      </c>
      <c r="B177" s="7" t="str">
        <f t="shared" si="7"/>
        <v>005</v>
      </c>
      <c r="C177" s="7" t="str">
        <f t="shared" si="8"/>
        <v>Avellaneda</v>
      </c>
      <c r="D177" s="18" t="s">
        <v>3130</v>
      </c>
      <c r="E177" s="18">
        <v>3</v>
      </c>
      <c r="F177" s="18">
        <v>50</v>
      </c>
      <c r="G177" s="18">
        <v>2</v>
      </c>
      <c r="H177" s="18" t="s">
        <v>355</v>
      </c>
    </row>
    <row r="178" spans="1:8">
      <c r="A178" s="7" t="str">
        <f t="shared" si="6"/>
        <v>02</v>
      </c>
      <c r="B178" s="7" t="str">
        <f t="shared" si="7"/>
        <v>005</v>
      </c>
      <c r="C178" s="7" t="str">
        <f t="shared" si="8"/>
        <v>Avellaneda</v>
      </c>
      <c r="D178" s="18" t="s">
        <v>3131</v>
      </c>
      <c r="E178" s="18">
        <v>3</v>
      </c>
      <c r="F178" s="18">
        <v>68</v>
      </c>
      <c r="G178" s="18">
        <v>2</v>
      </c>
      <c r="H178" s="18" t="s">
        <v>355</v>
      </c>
    </row>
    <row r="179" spans="1:8">
      <c r="A179" s="7" t="str">
        <f t="shared" si="6"/>
        <v>02</v>
      </c>
      <c r="B179" s="7" t="str">
        <f t="shared" si="7"/>
        <v>005</v>
      </c>
      <c r="C179" s="7" t="str">
        <f t="shared" si="8"/>
        <v>Avellaneda</v>
      </c>
      <c r="D179" s="18" t="s">
        <v>3132</v>
      </c>
      <c r="E179" s="18">
        <v>1</v>
      </c>
      <c r="F179" s="18">
        <v>21</v>
      </c>
      <c r="G179" s="18">
        <v>2</v>
      </c>
      <c r="H179" s="18" t="s">
        <v>355</v>
      </c>
    </row>
    <row r="180" spans="1:8">
      <c r="A180" s="7" t="str">
        <f t="shared" si="6"/>
        <v>02</v>
      </c>
      <c r="B180" s="7" t="str">
        <f t="shared" si="7"/>
        <v>005</v>
      </c>
      <c r="C180" s="7" t="str">
        <f t="shared" si="8"/>
        <v>Avellaneda</v>
      </c>
      <c r="D180" s="18" t="s">
        <v>3133</v>
      </c>
      <c r="E180" s="18">
        <v>1</v>
      </c>
      <c r="F180" s="18">
        <v>19</v>
      </c>
      <c r="G180" s="18">
        <v>2</v>
      </c>
      <c r="H180" s="18" t="s">
        <v>355</v>
      </c>
    </row>
    <row r="181" spans="1:8">
      <c r="A181" s="7" t="str">
        <f t="shared" si="6"/>
        <v>02</v>
      </c>
      <c r="B181" s="7" t="str">
        <f t="shared" si="7"/>
        <v>005</v>
      </c>
      <c r="C181" s="7" t="str">
        <f t="shared" si="8"/>
        <v>Avellaneda</v>
      </c>
      <c r="D181" s="18" t="s">
        <v>3134</v>
      </c>
      <c r="E181" s="18">
        <v>1</v>
      </c>
      <c r="F181" s="18">
        <v>18</v>
      </c>
      <c r="G181" s="18">
        <v>2</v>
      </c>
      <c r="H181" s="18" t="s">
        <v>355</v>
      </c>
    </row>
    <row r="182" spans="1:8">
      <c r="A182" s="7" t="str">
        <f t="shared" si="6"/>
        <v>02</v>
      </c>
      <c r="B182" s="7" t="str">
        <f t="shared" si="7"/>
        <v>005</v>
      </c>
      <c r="C182" s="7" t="str">
        <f t="shared" si="8"/>
        <v>Avellaneda</v>
      </c>
      <c r="D182" s="18" t="s">
        <v>3135</v>
      </c>
      <c r="E182" s="18">
        <v>1</v>
      </c>
      <c r="F182" s="18">
        <v>24</v>
      </c>
      <c r="G182" s="18">
        <v>2</v>
      </c>
      <c r="H182" s="18" t="s">
        <v>355</v>
      </c>
    </row>
    <row r="183" spans="1:8">
      <c r="A183" s="7" t="str">
        <f t="shared" si="6"/>
        <v>02</v>
      </c>
      <c r="B183" s="7" t="str">
        <f t="shared" si="7"/>
        <v>005</v>
      </c>
      <c r="C183" s="7" t="str">
        <f t="shared" si="8"/>
        <v>Avellaneda</v>
      </c>
      <c r="D183" s="18" t="s">
        <v>3136</v>
      </c>
      <c r="E183" s="18">
        <v>5</v>
      </c>
      <c r="F183" s="18">
        <v>102</v>
      </c>
      <c r="G183" s="18">
        <v>2</v>
      </c>
      <c r="H183" s="18" t="s">
        <v>355</v>
      </c>
    </row>
    <row r="184" spans="1:8">
      <c r="A184" s="7" t="str">
        <f t="shared" si="6"/>
        <v>02</v>
      </c>
      <c r="B184" s="7" t="str">
        <f t="shared" si="7"/>
        <v>005</v>
      </c>
      <c r="C184" s="7" t="str">
        <f t="shared" si="8"/>
        <v>Avellaneda</v>
      </c>
      <c r="D184" s="18" t="s">
        <v>3137</v>
      </c>
      <c r="E184" s="18">
        <v>1</v>
      </c>
      <c r="F184" s="18">
        <v>18</v>
      </c>
      <c r="G184" s="18">
        <v>2</v>
      </c>
      <c r="H184" s="18" t="s">
        <v>355</v>
      </c>
    </row>
    <row r="185" spans="1:8">
      <c r="A185" s="7" t="str">
        <f t="shared" si="6"/>
        <v>02</v>
      </c>
      <c r="B185" s="7" t="str">
        <f t="shared" si="7"/>
        <v>005</v>
      </c>
      <c r="C185" s="7" t="str">
        <f t="shared" si="8"/>
        <v>Avellaneda</v>
      </c>
      <c r="D185" s="18" t="s">
        <v>3138</v>
      </c>
      <c r="E185" s="18">
        <v>1</v>
      </c>
      <c r="F185" s="18">
        <v>22</v>
      </c>
      <c r="G185" s="18">
        <v>2</v>
      </c>
      <c r="H185" s="18" t="s">
        <v>355</v>
      </c>
    </row>
    <row r="186" spans="1:8">
      <c r="A186" s="7" t="str">
        <f t="shared" si="6"/>
        <v>02</v>
      </c>
      <c r="B186" s="7" t="str">
        <f t="shared" si="7"/>
        <v>005</v>
      </c>
      <c r="C186" s="7" t="str">
        <f t="shared" si="8"/>
        <v>Avellaneda</v>
      </c>
      <c r="D186" s="18" t="s">
        <v>3139</v>
      </c>
      <c r="E186" s="18">
        <v>1</v>
      </c>
      <c r="F186" s="18">
        <v>17</v>
      </c>
      <c r="G186" s="18">
        <v>2</v>
      </c>
      <c r="H186" s="18" t="s">
        <v>355</v>
      </c>
    </row>
    <row r="187" spans="1:8">
      <c r="A187" s="7" t="str">
        <f t="shared" si="6"/>
        <v>02</v>
      </c>
      <c r="B187" s="7" t="str">
        <f t="shared" si="7"/>
        <v>005</v>
      </c>
      <c r="C187" s="7" t="str">
        <f t="shared" si="8"/>
        <v>Avellaneda</v>
      </c>
      <c r="D187" s="18" t="s">
        <v>3140</v>
      </c>
      <c r="E187" s="18">
        <v>1</v>
      </c>
      <c r="F187" s="18">
        <v>18</v>
      </c>
      <c r="G187" s="18">
        <v>2</v>
      </c>
      <c r="H187" s="18" t="s">
        <v>355</v>
      </c>
    </row>
    <row r="188" spans="1:8">
      <c r="A188" s="7" t="str">
        <f t="shared" si="6"/>
        <v>02</v>
      </c>
      <c r="B188" s="7" t="str">
        <f t="shared" si="7"/>
        <v>005</v>
      </c>
      <c r="C188" s="7" t="str">
        <f t="shared" si="8"/>
        <v>Avellaneda</v>
      </c>
      <c r="D188" s="18" t="s">
        <v>3141</v>
      </c>
      <c r="E188" s="18">
        <v>1</v>
      </c>
      <c r="F188" s="18">
        <v>18</v>
      </c>
      <c r="G188" s="18">
        <v>2</v>
      </c>
      <c r="H188" s="18" t="s">
        <v>355</v>
      </c>
    </row>
    <row r="189" spans="1:8">
      <c r="A189" s="7" t="str">
        <f t="shared" si="6"/>
        <v>02</v>
      </c>
      <c r="B189" s="7" t="str">
        <f t="shared" si="7"/>
        <v>005</v>
      </c>
      <c r="C189" s="7" t="str">
        <f t="shared" si="8"/>
        <v>Avellaneda</v>
      </c>
      <c r="D189" s="18" t="s">
        <v>3142</v>
      </c>
      <c r="E189" s="18">
        <v>1</v>
      </c>
      <c r="F189" s="18">
        <v>16</v>
      </c>
      <c r="G189" s="18">
        <v>2</v>
      </c>
      <c r="H189" s="18" t="s">
        <v>355</v>
      </c>
    </row>
    <row r="190" spans="1:8">
      <c r="A190" s="7" t="str">
        <f t="shared" si="6"/>
        <v>02</v>
      </c>
      <c r="B190" s="7" t="str">
        <f t="shared" si="7"/>
        <v>005</v>
      </c>
      <c r="C190" s="7" t="str">
        <f t="shared" si="8"/>
        <v>Avellaneda</v>
      </c>
      <c r="D190" s="18" t="s">
        <v>3143</v>
      </c>
      <c r="E190" s="18">
        <v>1</v>
      </c>
      <c r="F190" s="18">
        <v>22</v>
      </c>
      <c r="G190" s="18">
        <v>2</v>
      </c>
      <c r="H190" s="18" t="s">
        <v>355</v>
      </c>
    </row>
    <row r="191" spans="1:8">
      <c r="A191" s="7" t="str">
        <f t="shared" si="6"/>
        <v>02</v>
      </c>
      <c r="B191" s="7" t="str">
        <f t="shared" si="7"/>
        <v>005</v>
      </c>
      <c r="C191" s="7" t="str">
        <f t="shared" si="8"/>
        <v>Avellaneda</v>
      </c>
      <c r="D191" s="18" t="s">
        <v>3144</v>
      </c>
      <c r="E191" s="18">
        <v>3</v>
      </c>
      <c r="F191" s="18">
        <v>52</v>
      </c>
      <c r="G191" s="18">
        <v>2</v>
      </c>
      <c r="H191" s="18" t="s">
        <v>355</v>
      </c>
    </row>
    <row r="192" spans="1:8">
      <c r="A192" s="7" t="str">
        <f t="shared" si="6"/>
        <v>02</v>
      </c>
      <c r="B192" s="7" t="str">
        <f t="shared" si="7"/>
        <v>005</v>
      </c>
      <c r="C192" s="7" t="str">
        <f t="shared" si="8"/>
        <v>Avellaneda</v>
      </c>
      <c r="D192" s="18" t="s">
        <v>3145</v>
      </c>
      <c r="E192" s="18">
        <v>2</v>
      </c>
      <c r="F192" s="18">
        <v>35</v>
      </c>
      <c r="G192" s="18">
        <v>2</v>
      </c>
      <c r="H192" s="18" t="s">
        <v>355</v>
      </c>
    </row>
    <row r="193" spans="1:8">
      <c r="A193" s="7" t="str">
        <f t="shared" si="6"/>
        <v>02</v>
      </c>
      <c r="B193" s="7" t="str">
        <f t="shared" si="7"/>
        <v>005</v>
      </c>
      <c r="C193" s="7" t="str">
        <f t="shared" si="8"/>
        <v>Avellaneda</v>
      </c>
      <c r="D193" s="18" t="s">
        <v>3146</v>
      </c>
      <c r="E193" s="18">
        <v>1</v>
      </c>
      <c r="F193" s="18">
        <v>14</v>
      </c>
      <c r="G193" s="18">
        <v>2</v>
      </c>
      <c r="H193" s="18" t="s">
        <v>355</v>
      </c>
    </row>
    <row r="194" spans="1:8">
      <c r="A194" s="7" t="str">
        <f t="shared" si="6"/>
        <v>02</v>
      </c>
      <c r="B194" s="7" t="str">
        <f t="shared" si="7"/>
        <v>005</v>
      </c>
      <c r="C194" s="7" t="str">
        <f t="shared" si="8"/>
        <v>Avellaneda</v>
      </c>
      <c r="D194" s="18" t="s">
        <v>3147</v>
      </c>
      <c r="E194" s="18">
        <v>1</v>
      </c>
      <c r="F194" s="18">
        <v>16</v>
      </c>
      <c r="G194" s="18">
        <v>2</v>
      </c>
      <c r="H194" s="18" t="s">
        <v>355</v>
      </c>
    </row>
    <row r="195" spans="1:8">
      <c r="A195" s="7" t="str">
        <f t="shared" ref="A195:A258" si="9">+VLOOKUP(H195,$K:$N,2,FALSE)</f>
        <v>02</v>
      </c>
      <c r="B195" s="7" t="str">
        <f t="shared" ref="B195:B258" si="10">+VLOOKUP(H195,$K:$N,3,FALSE)</f>
        <v>005</v>
      </c>
      <c r="C195" s="7" t="str">
        <f t="shared" ref="C195:C258" si="11">+VLOOKUP(H195,$K:$N,4,FALSE)</f>
        <v>Avellaneda</v>
      </c>
      <c r="D195" s="18" t="s">
        <v>3148</v>
      </c>
      <c r="E195" s="18">
        <v>1</v>
      </c>
      <c r="F195" s="18">
        <v>23</v>
      </c>
      <c r="G195" s="18">
        <v>2</v>
      </c>
      <c r="H195" s="18" t="s">
        <v>355</v>
      </c>
    </row>
    <row r="196" spans="1:8">
      <c r="A196" s="7" t="str">
        <f t="shared" si="9"/>
        <v>02</v>
      </c>
      <c r="B196" s="7" t="str">
        <f t="shared" si="10"/>
        <v>005</v>
      </c>
      <c r="C196" s="7" t="str">
        <f t="shared" si="11"/>
        <v>Avellaneda</v>
      </c>
      <c r="D196" s="18" t="s">
        <v>3149</v>
      </c>
      <c r="E196" s="18">
        <v>1</v>
      </c>
      <c r="F196" s="18">
        <v>0</v>
      </c>
      <c r="G196" s="18">
        <v>2</v>
      </c>
      <c r="H196" s="18" t="s">
        <v>355</v>
      </c>
    </row>
    <row r="197" spans="1:8">
      <c r="A197" s="7" t="str">
        <f t="shared" si="9"/>
        <v>02</v>
      </c>
      <c r="B197" s="7" t="str">
        <f t="shared" si="10"/>
        <v>005</v>
      </c>
      <c r="C197" s="7" t="str">
        <f t="shared" si="11"/>
        <v>Avellaneda</v>
      </c>
      <c r="D197" s="18" t="s">
        <v>3150</v>
      </c>
      <c r="E197" s="18">
        <v>1</v>
      </c>
      <c r="F197" s="18">
        <v>28</v>
      </c>
      <c r="G197" s="18">
        <v>2</v>
      </c>
      <c r="H197" s="18" t="s">
        <v>355</v>
      </c>
    </row>
    <row r="198" spans="1:8">
      <c r="A198" s="7" t="str">
        <f t="shared" si="9"/>
        <v>02</v>
      </c>
      <c r="B198" s="7" t="str">
        <f t="shared" si="10"/>
        <v>005</v>
      </c>
      <c r="C198" s="7" t="str">
        <f t="shared" si="11"/>
        <v>Avellaneda</v>
      </c>
      <c r="D198" s="18" t="s">
        <v>3151</v>
      </c>
      <c r="E198" s="18">
        <v>1</v>
      </c>
      <c r="F198" s="18">
        <v>25</v>
      </c>
      <c r="G198" s="18">
        <v>2</v>
      </c>
      <c r="H198" s="18" t="s">
        <v>355</v>
      </c>
    </row>
    <row r="199" spans="1:8">
      <c r="A199" s="7" t="str">
        <f t="shared" si="9"/>
        <v>02</v>
      </c>
      <c r="B199" s="7" t="str">
        <f t="shared" si="10"/>
        <v>005</v>
      </c>
      <c r="C199" s="7" t="str">
        <f t="shared" si="11"/>
        <v>Avellaneda</v>
      </c>
      <c r="D199" s="18" t="s">
        <v>3152</v>
      </c>
      <c r="E199" s="18">
        <v>1</v>
      </c>
      <c r="F199" s="18">
        <v>17</v>
      </c>
      <c r="G199" s="18">
        <v>2</v>
      </c>
      <c r="H199" s="18" t="s">
        <v>355</v>
      </c>
    </row>
    <row r="200" spans="1:8">
      <c r="A200" s="7" t="str">
        <f t="shared" si="9"/>
        <v>02</v>
      </c>
      <c r="B200" s="7" t="str">
        <f t="shared" si="10"/>
        <v>005</v>
      </c>
      <c r="C200" s="7" t="str">
        <f t="shared" si="11"/>
        <v>Avellaneda</v>
      </c>
      <c r="D200" s="18" t="s">
        <v>3153</v>
      </c>
      <c r="E200" s="18">
        <v>1</v>
      </c>
      <c r="F200" s="18">
        <v>21</v>
      </c>
      <c r="G200" s="18">
        <v>2</v>
      </c>
      <c r="H200" s="18" t="s">
        <v>355</v>
      </c>
    </row>
    <row r="201" spans="1:8">
      <c r="A201" s="7" t="str">
        <f t="shared" si="9"/>
        <v>02</v>
      </c>
      <c r="B201" s="7" t="str">
        <f t="shared" si="10"/>
        <v>005</v>
      </c>
      <c r="C201" s="7" t="str">
        <f t="shared" si="11"/>
        <v>Avellaneda</v>
      </c>
      <c r="D201" s="18" t="s">
        <v>3154</v>
      </c>
      <c r="E201" s="18">
        <v>1</v>
      </c>
      <c r="F201" s="18">
        <v>24</v>
      </c>
      <c r="G201" s="18">
        <v>2</v>
      </c>
      <c r="H201" s="18" t="s">
        <v>355</v>
      </c>
    </row>
    <row r="202" spans="1:8">
      <c r="A202" s="7" t="str">
        <f t="shared" si="9"/>
        <v>02</v>
      </c>
      <c r="B202" s="7" t="str">
        <f t="shared" si="10"/>
        <v>005</v>
      </c>
      <c r="C202" s="7" t="str">
        <f t="shared" si="11"/>
        <v>Avellaneda</v>
      </c>
      <c r="D202" s="18" t="s">
        <v>3155</v>
      </c>
      <c r="E202" s="18">
        <v>3</v>
      </c>
      <c r="F202" s="18">
        <v>87</v>
      </c>
      <c r="G202" s="18">
        <v>2</v>
      </c>
      <c r="H202" s="18" t="s">
        <v>355</v>
      </c>
    </row>
    <row r="203" spans="1:8">
      <c r="A203" s="7" t="str">
        <f t="shared" si="9"/>
        <v>02</v>
      </c>
      <c r="B203" s="7" t="str">
        <f t="shared" si="10"/>
        <v>005</v>
      </c>
      <c r="C203" s="7" t="str">
        <f t="shared" si="11"/>
        <v>Avellaneda</v>
      </c>
      <c r="D203" s="18" t="s">
        <v>3156</v>
      </c>
      <c r="E203" s="18">
        <v>6</v>
      </c>
      <c r="F203" s="18">
        <v>121</v>
      </c>
      <c r="G203" s="18">
        <v>2</v>
      </c>
      <c r="H203" s="18" t="s">
        <v>355</v>
      </c>
    </row>
    <row r="204" spans="1:8">
      <c r="A204" s="7" t="str">
        <f t="shared" si="9"/>
        <v>02</v>
      </c>
      <c r="B204" s="7" t="str">
        <f t="shared" si="10"/>
        <v>005</v>
      </c>
      <c r="C204" s="7" t="str">
        <f t="shared" si="11"/>
        <v>Avellaneda</v>
      </c>
      <c r="D204" s="18" t="s">
        <v>3157</v>
      </c>
      <c r="E204" s="18">
        <v>1</v>
      </c>
      <c r="F204" s="18">
        <v>17</v>
      </c>
      <c r="G204" s="18">
        <v>2</v>
      </c>
      <c r="H204" s="18" t="s">
        <v>355</v>
      </c>
    </row>
    <row r="205" spans="1:8">
      <c r="A205" s="7" t="str">
        <f t="shared" si="9"/>
        <v>02</v>
      </c>
      <c r="B205" s="7" t="str">
        <f t="shared" si="10"/>
        <v>005</v>
      </c>
      <c r="C205" s="7" t="str">
        <f t="shared" si="11"/>
        <v>Avellaneda</v>
      </c>
      <c r="D205" s="18" t="s">
        <v>3158</v>
      </c>
      <c r="E205" s="18">
        <v>5</v>
      </c>
      <c r="F205" s="18">
        <v>101</v>
      </c>
      <c r="G205" s="18">
        <v>2</v>
      </c>
      <c r="H205" s="18" t="s">
        <v>355</v>
      </c>
    </row>
    <row r="206" spans="1:8">
      <c r="A206" s="7" t="str">
        <f t="shared" si="9"/>
        <v>02</v>
      </c>
      <c r="B206" s="7" t="str">
        <f t="shared" si="10"/>
        <v>005</v>
      </c>
      <c r="C206" s="7" t="str">
        <f t="shared" si="11"/>
        <v>Avellaneda</v>
      </c>
      <c r="D206" s="18" t="s">
        <v>3159</v>
      </c>
      <c r="E206" s="18">
        <v>2</v>
      </c>
      <c r="F206" s="18">
        <v>46</v>
      </c>
      <c r="G206" s="18">
        <v>2</v>
      </c>
      <c r="H206" s="18" t="s">
        <v>355</v>
      </c>
    </row>
    <row r="207" spans="1:8">
      <c r="A207" s="7" t="str">
        <f t="shared" si="9"/>
        <v>02</v>
      </c>
      <c r="B207" s="7" t="str">
        <f t="shared" si="10"/>
        <v>005</v>
      </c>
      <c r="C207" s="7" t="str">
        <f t="shared" si="11"/>
        <v>Avellaneda</v>
      </c>
      <c r="D207" s="18" t="s">
        <v>3160</v>
      </c>
      <c r="E207" s="18">
        <v>1</v>
      </c>
      <c r="F207" s="18">
        <v>15</v>
      </c>
      <c r="G207" s="18">
        <v>2</v>
      </c>
      <c r="H207" s="18" t="s">
        <v>355</v>
      </c>
    </row>
    <row r="208" spans="1:8">
      <c r="A208" s="7" t="str">
        <f t="shared" si="9"/>
        <v>02</v>
      </c>
      <c r="B208" s="7" t="str">
        <f t="shared" si="10"/>
        <v>005</v>
      </c>
      <c r="C208" s="7" t="str">
        <f t="shared" si="11"/>
        <v>Avellaneda</v>
      </c>
      <c r="D208" s="18" t="s">
        <v>3161</v>
      </c>
      <c r="E208" s="18">
        <v>1</v>
      </c>
      <c r="F208" s="18">
        <v>19</v>
      </c>
      <c r="G208" s="18">
        <v>2</v>
      </c>
      <c r="H208" s="18" t="s">
        <v>355</v>
      </c>
    </row>
    <row r="209" spans="1:8">
      <c r="A209" s="7" t="str">
        <f t="shared" si="9"/>
        <v>02</v>
      </c>
      <c r="B209" s="7" t="str">
        <f t="shared" si="10"/>
        <v>005</v>
      </c>
      <c r="C209" s="7" t="str">
        <f t="shared" si="11"/>
        <v>Avellaneda</v>
      </c>
      <c r="D209" s="18" t="s">
        <v>3162</v>
      </c>
      <c r="E209" s="18">
        <v>1</v>
      </c>
      <c r="F209" s="18">
        <v>17</v>
      </c>
      <c r="G209" s="18">
        <v>2</v>
      </c>
      <c r="H209" s="18" t="s">
        <v>355</v>
      </c>
    </row>
    <row r="210" spans="1:8">
      <c r="A210" s="7" t="str">
        <f t="shared" si="9"/>
        <v>02</v>
      </c>
      <c r="B210" s="7" t="str">
        <f t="shared" si="10"/>
        <v>005</v>
      </c>
      <c r="C210" s="7" t="str">
        <f t="shared" si="11"/>
        <v>Avellaneda</v>
      </c>
      <c r="D210" s="18" t="s">
        <v>3163</v>
      </c>
      <c r="E210" s="18">
        <v>1</v>
      </c>
      <c r="F210" s="18">
        <v>18</v>
      </c>
      <c r="G210" s="18">
        <v>2</v>
      </c>
      <c r="H210" s="18" t="s">
        <v>355</v>
      </c>
    </row>
    <row r="211" spans="1:8">
      <c r="A211" s="7" t="str">
        <f t="shared" si="9"/>
        <v>02</v>
      </c>
      <c r="B211" s="7" t="str">
        <f t="shared" si="10"/>
        <v>005</v>
      </c>
      <c r="C211" s="7" t="str">
        <f t="shared" si="11"/>
        <v>Avellaneda</v>
      </c>
      <c r="D211" s="18" t="s">
        <v>3164</v>
      </c>
      <c r="E211" s="18">
        <v>1</v>
      </c>
      <c r="F211" s="18">
        <v>23</v>
      </c>
      <c r="G211" s="18">
        <v>2</v>
      </c>
      <c r="H211" s="18" t="s">
        <v>355</v>
      </c>
    </row>
    <row r="212" spans="1:8">
      <c r="A212" s="7" t="str">
        <f t="shared" si="9"/>
        <v>02</v>
      </c>
      <c r="B212" s="7" t="str">
        <f t="shared" si="10"/>
        <v>005</v>
      </c>
      <c r="C212" s="7" t="str">
        <f t="shared" si="11"/>
        <v>Avellaneda</v>
      </c>
      <c r="D212" s="18" t="s">
        <v>3165</v>
      </c>
      <c r="E212" s="18">
        <v>1</v>
      </c>
      <c r="F212" s="18">
        <v>18</v>
      </c>
      <c r="G212" s="18">
        <v>2</v>
      </c>
      <c r="H212" s="18" t="s">
        <v>355</v>
      </c>
    </row>
    <row r="213" spans="1:8">
      <c r="A213" s="7" t="str">
        <f t="shared" si="9"/>
        <v>02</v>
      </c>
      <c r="B213" s="7" t="str">
        <f t="shared" si="10"/>
        <v>005</v>
      </c>
      <c r="C213" s="7" t="str">
        <f t="shared" si="11"/>
        <v>Avellaneda</v>
      </c>
      <c r="D213" s="18" t="s">
        <v>3166</v>
      </c>
      <c r="E213" s="18">
        <v>1</v>
      </c>
      <c r="F213" s="18">
        <v>16</v>
      </c>
      <c r="G213" s="18">
        <v>2</v>
      </c>
      <c r="H213" s="18" t="s">
        <v>355</v>
      </c>
    </row>
    <row r="214" spans="1:8">
      <c r="A214" s="7" t="str">
        <f t="shared" si="9"/>
        <v>02</v>
      </c>
      <c r="B214" s="7" t="str">
        <f t="shared" si="10"/>
        <v>005</v>
      </c>
      <c r="C214" s="7" t="str">
        <f t="shared" si="11"/>
        <v>Avellaneda</v>
      </c>
      <c r="D214" s="18" t="s">
        <v>3167</v>
      </c>
      <c r="E214" s="18">
        <v>1</v>
      </c>
      <c r="F214" s="18">
        <v>23</v>
      </c>
      <c r="G214" s="18">
        <v>2</v>
      </c>
      <c r="H214" s="18" t="s">
        <v>355</v>
      </c>
    </row>
    <row r="215" spans="1:8">
      <c r="A215" s="7" t="str">
        <f t="shared" si="9"/>
        <v>02</v>
      </c>
      <c r="B215" s="7" t="str">
        <f t="shared" si="10"/>
        <v>005</v>
      </c>
      <c r="C215" s="7" t="str">
        <f t="shared" si="11"/>
        <v>Avellaneda</v>
      </c>
      <c r="D215" s="18" t="s">
        <v>3168</v>
      </c>
      <c r="E215" s="18">
        <v>1</v>
      </c>
      <c r="F215" s="18">
        <v>15</v>
      </c>
      <c r="G215" s="18">
        <v>2</v>
      </c>
      <c r="H215" s="18" t="s">
        <v>355</v>
      </c>
    </row>
    <row r="216" spans="1:8">
      <c r="A216" s="7" t="str">
        <f t="shared" si="9"/>
        <v>02</v>
      </c>
      <c r="B216" s="7" t="str">
        <f t="shared" si="10"/>
        <v>005</v>
      </c>
      <c r="C216" s="7" t="str">
        <f t="shared" si="11"/>
        <v>Avellaneda</v>
      </c>
      <c r="D216" s="18" t="s">
        <v>3169</v>
      </c>
      <c r="E216" s="18">
        <v>1</v>
      </c>
      <c r="F216" s="18">
        <v>16</v>
      </c>
      <c r="G216" s="18">
        <v>2</v>
      </c>
      <c r="H216" s="18" t="s">
        <v>355</v>
      </c>
    </row>
    <row r="217" spans="1:8">
      <c r="A217" s="7" t="str">
        <f t="shared" si="9"/>
        <v>02</v>
      </c>
      <c r="B217" s="7" t="str">
        <f t="shared" si="10"/>
        <v>005</v>
      </c>
      <c r="C217" s="7" t="str">
        <f t="shared" si="11"/>
        <v>Avellaneda</v>
      </c>
      <c r="D217" s="18" t="s">
        <v>3170</v>
      </c>
      <c r="E217" s="18">
        <v>1</v>
      </c>
      <c r="F217" s="18">
        <v>26</v>
      </c>
      <c r="G217" s="18">
        <v>2</v>
      </c>
      <c r="H217" s="18" t="s">
        <v>355</v>
      </c>
    </row>
    <row r="218" spans="1:8">
      <c r="A218" s="7" t="str">
        <f t="shared" si="9"/>
        <v>02</v>
      </c>
      <c r="B218" s="7" t="str">
        <f t="shared" si="10"/>
        <v>005</v>
      </c>
      <c r="C218" s="7" t="str">
        <f t="shared" si="11"/>
        <v>Avellaneda</v>
      </c>
      <c r="D218" s="18" t="s">
        <v>3171</v>
      </c>
      <c r="E218" s="18">
        <v>3</v>
      </c>
      <c r="F218" s="18">
        <v>69</v>
      </c>
      <c r="G218" s="18">
        <v>2</v>
      </c>
      <c r="H218" s="18" t="s">
        <v>355</v>
      </c>
    </row>
    <row r="219" spans="1:8">
      <c r="A219" s="7" t="str">
        <f t="shared" si="9"/>
        <v>02</v>
      </c>
      <c r="B219" s="7" t="str">
        <f t="shared" si="10"/>
        <v>005</v>
      </c>
      <c r="C219" s="7" t="str">
        <f t="shared" si="11"/>
        <v>Avellaneda</v>
      </c>
      <c r="D219" s="18" t="s">
        <v>3172</v>
      </c>
      <c r="E219" s="18">
        <v>2</v>
      </c>
      <c r="F219" s="18">
        <v>35</v>
      </c>
      <c r="G219" s="18">
        <v>2</v>
      </c>
      <c r="H219" s="18" t="s">
        <v>355</v>
      </c>
    </row>
    <row r="220" spans="1:8">
      <c r="A220" s="7" t="str">
        <f t="shared" si="9"/>
        <v>02</v>
      </c>
      <c r="B220" s="7" t="str">
        <f t="shared" si="10"/>
        <v>005</v>
      </c>
      <c r="C220" s="7" t="str">
        <f t="shared" si="11"/>
        <v>Avellaneda</v>
      </c>
      <c r="D220" s="18" t="s">
        <v>3173</v>
      </c>
      <c r="E220" s="18">
        <v>1</v>
      </c>
      <c r="F220" s="18">
        <v>17</v>
      </c>
      <c r="G220" s="18">
        <v>2</v>
      </c>
      <c r="H220" s="18" t="s">
        <v>355</v>
      </c>
    </row>
    <row r="221" spans="1:8">
      <c r="A221" s="7" t="str">
        <f t="shared" si="9"/>
        <v>02</v>
      </c>
      <c r="B221" s="7" t="str">
        <f t="shared" si="10"/>
        <v>005</v>
      </c>
      <c r="C221" s="7" t="str">
        <f t="shared" si="11"/>
        <v>Avellaneda</v>
      </c>
      <c r="D221" s="18" t="s">
        <v>3174</v>
      </c>
      <c r="E221" s="18">
        <v>2</v>
      </c>
      <c r="F221" s="18">
        <v>67</v>
      </c>
      <c r="G221" s="18">
        <v>2</v>
      </c>
      <c r="H221" s="18" t="s">
        <v>355</v>
      </c>
    </row>
    <row r="222" spans="1:8">
      <c r="A222" s="7" t="str">
        <f t="shared" si="9"/>
        <v>02</v>
      </c>
      <c r="B222" s="7" t="str">
        <f t="shared" si="10"/>
        <v>005</v>
      </c>
      <c r="C222" s="7" t="str">
        <f t="shared" si="11"/>
        <v>Avellaneda</v>
      </c>
      <c r="D222" s="18" t="s">
        <v>3175</v>
      </c>
      <c r="E222" s="18">
        <v>1</v>
      </c>
      <c r="F222" s="18">
        <v>16</v>
      </c>
      <c r="G222" s="18">
        <v>2</v>
      </c>
      <c r="H222" s="18" t="s">
        <v>355</v>
      </c>
    </row>
    <row r="223" spans="1:8">
      <c r="A223" s="7" t="str">
        <f t="shared" si="9"/>
        <v>02</v>
      </c>
      <c r="B223" s="7" t="str">
        <f t="shared" si="10"/>
        <v>005</v>
      </c>
      <c r="C223" s="7" t="str">
        <f t="shared" si="11"/>
        <v>Avellaneda</v>
      </c>
      <c r="D223" s="18" t="s">
        <v>3176</v>
      </c>
      <c r="E223" s="18">
        <v>2</v>
      </c>
      <c r="F223" s="18">
        <v>42</v>
      </c>
      <c r="G223" s="18">
        <v>2</v>
      </c>
      <c r="H223" s="18" t="s">
        <v>355</v>
      </c>
    </row>
    <row r="224" spans="1:8">
      <c r="A224" s="7" t="str">
        <f t="shared" si="9"/>
        <v>02</v>
      </c>
      <c r="B224" s="7" t="str">
        <f t="shared" si="10"/>
        <v>005</v>
      </c>
      <c r="C224" s="7" t="str">
        <f t="shared" si="11"/>
        <v>Avellaneda</v>
      </c>
      <c r="D224" s="18" t="s">
        <v>3177</v>
      </c>
      <c r="E224" s="18">
        <v>1</v>
      </c>
      <c r="F224" s="18">
        <v>30</v>
      </c>
      <c r="G224" s="18">
        <v>2</v>
      </c>
      <c r="H224" s="18" t="s">
        <v>355</v>
      </c>
    </row>
    <row r="225" spans="1:8">
      <c r="A225" s="7" t="str">
        <f t="shared" si="9"/>
        <v>02</v>
      </c>
      <c r="B225" s="7" t="str">
        <f t="shared" si="10"/>
        <v>005</v>
      </c>
      <c r="C225" s="7" t="str">
        <f t="shared" si="11"/>
        <v>Avellaneda</v>
      </c>
      <c r="D225" s="18" t="s">
        <v>3178</v>
      </c>
      <c r="E225" s="18">
        <v>1</v>
      </c>
      <c r="F225" s="18">
        <v>26</v>
      </c>
      <c r="G225" s="18">
        <v>2</v>
      </c>
      <c r="H225" s="18" t="s">
        <v>355</v>
      </c>
    </row>
    <row r="226" spans="1:8">
      <c r="A226" s="7" t="str">
        <f t="shared" si="9"/>
        <v>02</v>
      </c>
      <c r="B226" s="7" t="str">
        <f t="shared" si="10"/>
        <v>005</v>
      </c>
      <c r="C226" s="7" t="str">
        <f t="shared" si="11"/>
        <v>Avellaneda</v>
      </c>
      <c r="D226" s="18" t="s">
        <v>3179</v>
      </c>
      <c r="E226" s="18">
        <v>1</v>
      </c>
      <c r="F226" s="18">
        <v>18</v>
      </c>
      <c r="G226" s="18">
        <v>2</v>
      </c>
      <c r="H226" s="18" t="s">
        <v>355</v>
      </c>
    </row>
    <row r="227" spans="1:8">
      <c r="A227" s="7" t="str">
        <f t="shared" si="9"/>
        <v>02</v>
      </c>
      <c r="B227" s="7" t="str">
        <f t="shared" si="10"/>
        <v>005</v>
      </c>
      <c r="C227" s="7" t="str">
        <f t="shared" si="11"/>
        <v>Avellaneda</v>
      </c>
      <c r="D227" s="18" t="s">
        <v>3180</v>
      </c>
      <c r="E227" s="18">
        <v>1</v>
      </c>
      <c r="F227" s="18">
        <v>29</v>
      </c>
      <c r="G227" s="18">
        <v>2</v>
      </c>
      <c r="H227" s="18" t="s">
        <v>355</v>
      </c>
    </row>
    <row r="228" spans="1:8">
      <c r="A228" s="7" t="str">
        <f t="shared" si="9"/>
        <v>02</v>
      </c>
      <c r="B228" s="7" t="str">
        <f t="shared" si="10"/>
        <v>005</v>
      </c>
      <c r="C228" s="7" t="str">
        <f t="shared" si="11"/>
        <v>Avellaneda</v>
      </c>
      <c r="D228" s="18" t="s">
        <v>3181</v>
      </c>
      <c r="E228" s="18">
        <v>3</v>
      </c>
      <c r="F228" s="18">
        <v>47</v>
      </c>
      <c r="G228" s="18">
        <v>2</v>
      </c>
      <c r="H228" s="18" t="s">
        <v>355</v>
      </c>
    </row>
    <row r="229" spans="1:8">
      <c r="A229" s="7" t="str">
        <f t="shared" si="9"/>
        <v>02</v>
      </c>
      <c r="B229" s="7" t="str">
        <f t="shared" si="10"/>
        <v>005</v>
      </c>
      <c r="C229" s="7" t="str">
        <f t="shared" si="11"/>
        <v>Avellaneda</v>
      </c>
      <c r="D229" s="18" t="s">
        <v>3182</v>
      </c>
      <c r="E229" s="18">
        <v>2</v>
      </c>
      <c r="F229" s="18">
        <v>45</v>
      </c>
      <c r="G229" s="18">
        <v>2</v>
      </c>
      <c r="H229" s="18" t="s">
        <v>355</v>
      </c>
    </row>
    <row r="230" spans="1:8">
      <c r="A230" s="7" t="str">
        <f t="shared" si="9"/>
        <v>02</v>
      </c>
      <c r="B230" s="7" t="str">
        <f t="shared" si="10"/>
        <v>005</v>
      </c>
      <c r="C230" s="7" t="str">
        <f t="shared" si="11"/>
        <v>Avellaneda</v>
      </c>
      <c r="D230" s="18" t="s">
        <v>3183</v>
      </c>
      <c r="E230" s="18">
        <v>1</v>
      </c>
      <c r="F230" s="18">
        <v>19</v>
      </c>
      <c r="G230" s="18">
        <v>2</v>
      </c>
      <c r="H230" s="18" t="s">
        <v>355</v>
      </c>
    </row>
    <row r="231" spans="1:8">
      <c r="A231" s="7" t="str">
        <f t="shared" si="9"/>
        <v>02</v>
      </c>
      <c r="B231" s="7" t="str">
        <f t="shared" si="10"/>
        <v>005</v>
      </c>
      <c r="C231" s="7" t="str">
        <f t="shared" si="11"/>
        <v>Avellaneda</v>
      </c>
      <c r="D231" s="18" t="s">
        <v>3184</v>
      </c>
      <c r="E231" s="18">
        <v>1</v>
      </c>
      <c r="F231" s="18">
        <v>23</v>
      </c>
      <c r="G231" s="18">
        <v>2</v>
      </c>
      <c r="H231" s="18" t="s">
        <v>355</v>
      </c>
    </row>
    <row r="232" spans="1:8">
      <c r="A232" s="7" t="str">
        <f t="shared" si="9"/>
        <v>02</v>
      </c>
      <c r="B232" s="7" t="str">
        <f t="shared" si="10"/>
        <v>005</v>
      </c>
      <c r="C232" s="7" t="str">
        <f t="shared" si="11"/>
        <v>Avellaneda</v>
      </c>
      <c r="D232" s="18" t="s">
        <v>3185</v>
      </c>
      <c r="E232" s="18">
        <v>1</v>
      </c>
      <c r="F232" s="18">
        <v>32</v>
      </c>
      <c r="G232" s="18">
        <v>2</v>
      </c>
      <c r="H232" s="18" t="s">
        <v>355</v>
      </c>
    </row>
    <row r="233" spans="1:8">
      <c r="A233" s="7" t="str">
        <f t="shared" si="9"/>
        <v>02</v>
      </c>
      <c r="B233" s="7" t="str">
        <f t="shared" si="10"/>
        <v>005</v>
      </c>
      <c r="C233" s="7" t="str">
        <f t="shared" si="11"/>
        <v>Avellaneda</v>
      </c>
      <c r="D233" s="18" t="s">
        <v>3186</v>
      </c>
      <c r="E233" s="18">
        <v>1</v>
      </c>
      <c r="F233" s="18">
        <v>22</v>
      </c>
      <c r="G233" s="18">
        <v>2</v>
      </c>
      <c r="H233" s="18" t="s">
        <v>355</v>
      </c>
    </row>
    <row r="234" spans="1:8">
      <c r="A234" s="7" t="str">
        <f t="shared" si="9"/>
        <v>02</v>
      </c>
      <c r="B234" s="7" t="str">
        <f t="shared" si="10"/>
        <v>005</v>
      </c>
      <c r="C234" s="7" t="str">
        <f t="shared" si="11"/>
        <v>Avellaneda</v>
      </c>
      <c r="D234" s="18" t="s">
        <v>3187</v>
      </c>
      <c r="E234" s="18">
        <v>1</v>
      </c>
      <c r="F234" s="18">
        <v>31</v>
      </c>
      <c r="G234" s="18">
        <v>2</v>
      </c>
      <c r="H234" s="18" t="s">
        <v>355</v>
      </c>
    </row>
    <row r="235" spans="1:8">
      <c r="A235" s="7" t="str">
        <f t="shared" si="9"/>
        <v>02</v>
      </c>
      <c r="B235" s="7" t="str">
        <f t="shared" si="10"/>
        <v>005</v>
      </c>
      <c r="C235" s="7" t="str">
        <f t="shared" si="11"/>
        <v>Avellaneda</v>
      </c>
      <c r="D235" s="18" t="s">
        <v>3188</v>
      </c>
      <c r="E235" s="18">
        <v>2</v>
      </c>
      <c r="F235" s="18">
        <v>43</v>
      </c>
      <c r="G235" s="18">
        <v>2</v>
      </c>
      <c r="H235" s="18" t="s">
        <v>355</v>
      </c>
    </row>
    <row r="236" spans="1:8">
      <c r="A236" s="7" t="str">
        <f t="shared" si="9"/>
        <v>02</v>
      </c>
      <c r="B236" s="7" t="str">
        <f t="shared" si="10"/>
        <v>005</v>
      </c>
      <c r="C236" s="7" t="str">
        <f t="shared" si="11"/>
        <v>Avellaneda</v>
      </c>
      <c r="D236" s="18" t="s">
        <v>3189</v>
      </c>
      <c r="E236" s="18">
        <v>1</v>
      </c>
      <c r="F236" s="18">
        <v>31</v>
      </c>
      <c r="G236" s="18">
        <v>2</v>
      </c>
      <c r="H236" s="18" t="s">
        <v>355</v>
      </c>
    </row>
    <row r="237" spans="1:8">
      <c r="A237" s="7" t="str">
        <f t="shared" si="9"/>
        <v>02</v>
      </c>
      <c r="B237" s="7" t="str">
        <f t="shared" si="10"/>
        <v>005</v>
      </c>
      <c r="C237" s="7" t="str">
        <f t="shared" si="11"/>
        <v>Avellaneda</v>
      </c>
      <c r="D237" s="18" t="s">
        <v>3190</v>
      </c>
      <c r="E237" s="18">
        <v>1</v>
      </c>
      <c r="F237" s="18">
        <v>24</v>
      </c>
      <c r="G237" s="18">
        <v>2</v>
      </c>
      <c r="H237" s="18" t="s">
        <v>355</v>
      </c>
    </row>
    <row r="238" spans="1:8">
      <c r="A238" s="7" t="str">
        <f t="shared" si="9"/>
        <v>02</v>
      </c>
      <c r="B238" s="7" t="str">
        <f t="shared" si="10"/>
        <v>005</v>
      </c>
      <c r="C238" s="7" t="str">
        <f t="shared" si="11"/>
        <v>Avellaneda</v>
      </c>
      <c r="D238" s="18" t="s">
        <v>3191</v>
      </c>
      <c r="E238" s="18">
        <v>1</v>
      </c>
      <c r="F238" s="18">
        <v>17</v>
      </c>
      <c r="G238" s="18">
        <v>2</v>
      </c>
      <c r="H238" s="18" t="s">
        <v>355</v>
      </c>
    </row>
    <row r="239" spans="1:8">
      <c r="A239" s="7" t="str">
        <f t="shared" si="9"/>
        <v>02</v>
      </c>
      <c r="B239" s="7" t="str">
        <f t="shared" si="10"/>
        <v>005</v>
      </c>
      <c r="C239" s="7" t="str">
        <f t="shared" si="11"/>
        <v>Avellaneda</v>
      </c>
      <c r="D239" s="18" t="s">
        <v>3192</v>
      </c>
      <c r="E239" s="18">
        <v>1</v>
      </c>
      <c r="F239" s="18">
        <v>32</v>
      </c>
      <c r="G239" s="18">
        <v>2</v>
      </c>
      <c r="H239" s="18" t="s">
        <v>355</v>
      </c>
    </row>
    <row r="240" spans="1:8">
      <c r="A240" s="7" t="str">
        <f t="shared" si="9"/>
        <v>02</v>
      </c>
      <c r="B240" s="7" t="str">
        <f t="shared" si="10"/>
        <v>005</v>
      </c>
      <c r="C240" s="7" t="str">
        <f t="shared" si="11"/>
        <v>Avellaneda</v>
      </c>
      <c r="D240" s="18" t="s">
        <v>3193</v>
      </c>
      <c r="E240" s="18">
        <v>1</v>
      </c>
      <c r="F240" s="18">
        <v>17</v>
      </c>
      <c r="G240" s="18">
        <v>2</v>
      </c>
      <c r="H240" s="18" t="s">
        <v>355</v>
      </c>
    </row>
    <row r="241" spans="1:8">
      <c r="A241" s="7" t="str">
        <f t="shared" si="9"/>
        <v>02</v>
      </c>
      <c r="B241" s="7" t="str">
        <f t="shared" si="10"/>
        <v>111</v>
      </c>
      <c r="C241" s="7" t="str">
        <f t="shared" si="11"/>
        <v>Lanús</v>
      </c>
      <c r="D241" s="18" t="s">
        <v>3194</v>
      </c>
      <c r="E241" s="18">
        <v>2</v>
      </c>
      <c r="F241" s="18">
        <v>19</v>
      </c>
      <c r="G241" s="18">
        <v>2</v>
      </c>
      <c r="H241" s="18" t="s">
        <v>2500</v>
      </c>
    </row>
    <row r="242" spans="1:8">
      <c r="A242" s="7" t="str">
        <f t="shared" si="9"/>
        <v>02</v>
      </c>
      <c r="B242" s="7" t="str">
        <f t="shared" si="10"/>
        <v>111</v>
      </c>
      <c r="C242" s="7" t="str">
        <f t="shared" si="11"/>
        <v>Lanús</v>
      </c>
      <c r="D242" s="18" t="s">
        <v>3195</v>
      </c>
      <c r="E242" s="18">
        <v>1</v>
      </c>
      <c r="F242" s="18">
        <v>18</v>
      </c>
      <c r="G242" s="18">
        <v>2</v>
      </c>
      <c r="H242" s="18" t="s">
        <v>2500</v>
      </c>
    </row>
    <row r="243" spans="1:8">
      <c r="A243" s="7" t="str">
        <f t="shared" si="9"/>
        <v>02</v>
      </c>
      <c r="B243" s="7" t="str">
        <f t="shared" si="10"/>
        <v>111</v>
      </c>
      <c r="C243" s="7" t="str">
        <f t="shared" si="11"/>
        <v>Lanús</v>
      </c>
      <c r="D243" s="18" t="s">
        <v>3196</v>
      </c>
      <c r="E243" s="18">
        <v>1</v>
      </c>
      <c r="F243" s="18">
        <v>15</v>
      </c>
      <c r="G243" s="18">
        <v>2</v>
      </c>
      <c r="H243" s="18" t="s">
        <v>2500</v>
      </c>
    </row>
    <row r="244" spans="1:8">
      <c r="A244" s="7" t="str">
        <f t="shared" si="9"/>
        <v>02</v>
      </c>
      <c r="B244" s="7" t="str">
        <f t="shared" si="10"/>
        <v>111</v>
      </c>
      <c r="C244" s="7" t="str">
        <f t="shared" si="11"/>
        <v>Lanús</v>
      </c>
      <c r="D244" s="18" t="s">
        <v>3197</v>
      </c>
      <c r="E244" s="18">
        <v>1</v>
      </c>
      <c r="F244" s="18">
        <v>15</v>
      </c>
      <c r="G244" s="18">
        <v>2</v>
      </c>
      <c r="H244" s="18" t="s">
        <v>2500</v>
      </c>
    </row>
    <row r="245" spans="1:8">
      <c r="A245" s="7" t="str">
        <f t="shared" si="9"/>
        <v>02</v>
      </c>
      <c r="B245" s="7" t="str">
        <f t="shared" si="10"/>
        <v>111</v>
      </c>
      <c r="C245" s="7" t="str">
        <f t="shared" si="11"/>
        <v>Lanús</v>
      </c>
      <c r="D245" s="18" t="s">
        <v>3198</v>
      </c>
      <c r="E245" s="18">
        <v>2</v>
      </c>
      <c r="F245" s="18">
        <v>32</v>
      </c>
      <c r="G245" s="18">
        <v>2</v>
      </c>
      <c r="H245" s="18" t="s">
        <v>2500</v>
      </c>
    </row>
    <row r="246" spans="1:8">
      <c r="A246" s="7" t="str">
        <f t="shared" si="9"/>
        <v>02</v>
      </c>
      <c r="B246" s="7" t="str">
        <f t="shared" si="10"/>
        <v>111</v>
      </c>
      <c r="C246" s="7" t="str">
        <f t="shared" si="11"/>
        <v>Lanús</v>
      </c>
      <c r="D246" s="18" t="s">
        <v>3199</v>
      </c>
      <c r="E246" s="18">
        <v>1</v>
      </c>
      <c r="F246" s="18">
        <v>19</v>
      </c>
      <c r="G246" s="18">
        <v>2</v>
      </c>
      <c r="H246" s="18" t="s">
        <v>2500</v>
      </c>
    </row>
    <row r="247" spans="1:8">
      <c r="A247" s="7" t="str">
        <f t="shared" si="9"/>
        <v>02</v>
      </c>
      <c r="B247" s="7" t="str">
        <f t="shared" si="10"/>
        <v>111</v>
      </c>
      <c r="C247" s="7" t="str">
        <f t="shared" si="11"/>
        <v>Lanús</v>
      </c>
      <c r="D247" s="18" t="s">
        <v>3200</v>
      </c>
      <c r="E247" s="18">
        <v>2</v>
      </c>
      <c r="F247" s="18">
        <v>30</v>
      </c>
      <c r="G247" s="18">
        <v>2</v>
      </c>
      <c r="H247" s="18" t="s">
        <v>2500</v>
      </c>
    </row>
    <row r="248" spans="1:8">
      <c r="A248" s="7" t="str">
        <f t="shared" si="9"/>
        <v>02</v>
      </c>
      <c r="B248" s="7" t="str">
        <f t="shared" si="10"/>
        <v>111</v>
      </c>
      <c r="C248" s="7" t="str">
        <f t="shared" si="11"/>
        <v>Lanús</v>
      </c>
      <c r="D248" s="18" t="s">
        <v>3201</v>
      </c>
      <c r="E248" s="18">
        <v>1</v>
      </c>
      <c r="F248" s="18">
        <v>28</v>
      </c>
      <c r="G248" s="18">
        <v>2</v>
      </c>
      <c r="H248" s="18" t="s">
        <v>2500</v>
      </c>
    </row>
    <row r="249" spans="1:8">
      <c r="A249" s="7" t="str">
        <f t="shared" si="9"/>
        <v>02</v>
      </c>
      <c r="B249" s="7" t="str">
        <f t="shared" si="10"/>
        <v>111</v>
      </c>
      <c r="C249" s="7" t="str">
        <f t="shared" si="11"/>
        <v>Lanús</v>
      </c>
      <c r="D249" s="18" t="s">
        <v>3002</v>
      </c>
      <c r="E249" s="18">
        <v>1</v>
      </c>
      <c r="F249" s="18">
        <v>12</v>
      </c>
      <c r="G249" s="18">
        <v>2</v>
      </c>
      <c r="H249" s="18" t="s">
        <v>2500</v>
      </c>
    </row>
    <row r="250" spans="1:8">
      <c r="A250" s="7" t="str">
        <f t="shared" si="9"/>
        <v>02</v>
      </c>
      <c r="B250" s="7" t="str">
        <f t="shared" si="10"/>
        <v>111</v>
      </c>
      <c r="C250" s="7" t="str">
        <f t="shared" si="11"/>
        <v>Lanús</v>
      </c>
      <c r="D250" s="18" t="s">
        <v>3202</v>
      </c>
      <c r="E250" s="18">
        <v>1</v>
      </c>
      <c r="F250" s="18">
        <v>21</v>
      </c>
      <c r="G250" s="18">
        <v>2</v>
      </c>
      <c r="H250" s="18" t="s">
        <v>2500</v>
      </c>
    </row>
    <row r="251" spans="1:8">
      <c r="A251" s="7" t="str">
        <f t="shared" si="9"/>
        <v>02</v>
      </c>
      <c r="B251" s="7" t="str">
        <f t="shared" si="10"/>
        <v>111</v>
      </c>
      <c r="C251" s="7" t="str">
        <f t="shared" si="11"/>
        <v>Lanús</v>
      </c>
      <c r="D251" s="18" t="s">
        <v>3203</v>
      </c>
      <c r="E251" s="18">
        <v>1</v>
      </c>
      <c r="F251" s="18">
        <v>19</v>
      </c>
      <c r="G251" s="18">
        <v>2</v>
      </c>
      <c r="H251" s="18" t="s">
        <v>2500</v>
      </c>
    </row>
    <row r="252" spans="1:8">
      <c r="A252" s="7" t="str">
        <f t="shared" si="9"/>
        <v>02</v>
      </c>
      <c r="B252" s="7" t="str">
        <f t="shared" si="10"/>
        <v>111</v>
      </c>
      <c r="C252" s="7" t="str">
        <f t="shared" si="11"/>
        <v>Lanús</v>
      </c>
      <c r="D252" s="18" t="s">
        <v>3204</v>
      </c>
      <c r="E252" s="18">
        <v>10</v>
      </c>
      <c r="F252" s="18">
        <v>265</v>
      </c>
      <c r="G252" s="18">
        <v>2</v>
      </c>
      <c r="H252" s="18" t="s">
        <v>2500</v>
      </c>
    </row>
    <row r="253" spans="1:8">
      <c r="A253" s="7" t="str">
        <f t="shared" si="9"/>
        <v>02</v>
      </c>
      <c r="B253" s="7" t="str">
        <f t="shared" si="10"/>
        <v>111</v>
      </c>
      <c r="C253" s="7" t="str">
        <f t="shared" si="11"/>
        <v>Lanús</v>
      </c>
      <c r="D253" s="18" t="s">
        <v>3205</v>
      </c>
      <c r="E253" s="18">
        <v>1</v>
      </c>
      <c r="F253" s="18">
        <v>20</v>
      </c>
      <c r="G253" s="18">
        <v>2</v>
      </c>
      <c r="H253" s="18" t="s">
        <v>2500</v>
      </c>
    </row>
    <row r="254" spans="1:8">
      <c r="A254" s="7" t="str">
        <f t="shared" si="9"/>
        <v>02</v>
      </c>
      <c r="B254" s="7" t="str">
        <f t="shared" si="10"/>
        <v>111</v>
      </c>
      <c r="C254" s="7" t="str">
        <f t="shared" si="11"/>
        <v>Lanús</v>
      </c>
      <c r="D254" s="18" t="s">
        <v>3206</v>
      </c>
      <c r="E254" s="18">
        <v>3</v>
      </c>
      <c r="F254" s="18">
        <v>51</v>
      </c>
      <c r="G254" s="18">
        <v>2</v>
      </c>
      <c r="H254" s="18" t="s">
        <v>2500</v>
      </c>
    </row>
    <row r="255" spans="1:8">
      <c r="A255" s="7" t="str">
        <f t="shared" si="9"/>
        <v>02</v>
      </c>
      <c r="B255" s="7" t="str">
        <f t="shared" si="10"/>
        <v>111</v>
      </c>
      <c r="C255" s="7" t="str">
        <f t="shared" si="11"/>
        <v>Lanús</v>
      </c>
      <c r="D255" s="18" t="s">
        <v>3207</v>
      </c>
      <c r="E255" s="18">
        <v>4</v>
      </c>
      <c r="F255" s="18">
        <v>118</v>
      </c>
      <c r="G255" s="18">
        <v>2</v>
      </c>
      <c r="H255" s="18" t="s">
        <v>2500</v>
      </c>
    </row>
    <row r="256" spans="1:8">
      <c r="A256" s="7" t="str">
        <f t="shared" si="9"/>
        <v>02</v>
      </c>
      <c r="B256" s="7" t="str">
        <f t="shared" si="10"/>
        <v>111</v>
      </c>
      <c r="C256" s="7" t="str">
        <f t="shared" si="11"/>
        <v>Lanús</v>
      </c>
      <c r="D256" s="18" t="s">
        <v>3208</v>
      </c>
      <c r="E256" s="18">
        <v>2</v>
      </c>
      <c r="F256" s="18">
        <v>34</v>
      </c>
      <c r="G256" s="18">
        <v>2</v>
      </c>
      <c r="H256" s="18" t="s">
        <v>2500</v>
      </c>
    </row>
    <row r="257" spans="1:8">
      <c r="A257" s="7" t="str">
        <f t="shared" si="9"/>
        <v>02</v>
      </c>
      <c r="B257" s="7" t="str">
        <f t="shared" si="10"/>
        <v>111</v>
      </c>
      <c r="C257" s="7" t="str">
        <f t="shared" si="11"/>
        <v>Lanús</v>
      </c>
      <c r="D257" s="18" t="s">
        <v>3209</v>
      </c>
      <c r="E257" s="18">
        <v>2</v>
      </c>
      <c r="F257" s="18">
        <v>20</v>
      </c>
      <c r="G257" s="18">
        <v>2</v>
      </c>
      <c r="H257" s="18" t="s">
        <v>2500</v>
      </c>
    </row>
    <row r="258" spans="1:8">
      <c r="A258" s="7" t="str">
        <f t="shared" si="9"/>
        <v>02</v>
      </c>
      <c r="B258" s="7" t="str">
        <f t="shared" si="10"/>
        <v>111</v>
      </c>
      <c r="C258" s="7" t="str">
        <f t="shared" si="11"/>
        <v>Lanús</v>
      </c>
      <c r="D258" s="18" t="s">
        <v>3210</v>
      </c>
      <c r="E258" s="18">
        <v>3</v>
      </c>
      <c r="F258" s="18">
        <v>57</v>
      </c>
      <c r="G258" s="18">
        <v>2</v>
      </c>
      <c r="H258" s="18" t="s">
        <v>2500</v>
      </c>
    </row>
    <row r="259" spans="1:8">
      <c r="A259" s="7" t="str">
        <f t="shared" ref="A259:A322" si="12">+VLOOKUP(H259,$K:$N,2,FALSE)</f>
        <v>02</v>
      </c>
      <c r="B259" s="7" t="str">
        <f t="shared" ref="B259:B322" si="13">+VLOOKUP(H259,$K:$N,3,FALSE)</f>
        <v>111</v>
      </c>
      <c r="C259" s="7" t="str">
        <f t="shared" ref="C259:C322" si="14">+VLOOKUP(H259,$K:$N,4,FALSE)</f>
        <v>Lanús</v>
      </c>
      <c r="D259" s="18" t="s">
        <v>2552</v>
      </c>
      <c r="E259" s="18">
        <v>1</v>
      </c>
      <c r="F259" s="18">
        <v>14</v>
      </c>
      <c r="G259" s="18">
        <v>2</v>
      </c>
      <c r="H259" s="18" t="s">
        <v>2500</v>
      </c>
    </row>
    <row r="260" spans="1:8">
      <c r="A260" s="7" t="str">
        <f t="shared" si="12"/>
        <v>02</v>
      </c>
      <c r="B260" s="7" t="str">
        <f t="shared" si="13"/>
        <v>111</v>
      </c>
      <c r="C260" s="7" t="str">
        <f t="shared" si="14"/>
        <v>Lanús</v>
      </c>
      <c r="D260" s="18" t="s">
        <v>3211</v>
      </c>
      <c r="E260" s="18">
        <v>2</v>
      </c>
      <c r="F260" s="18">
        <v>37</v>
      </c>
      <c r="G260" s="18">
        <v>2</v>
      </c>
      <c r="H260" s="18" t="s">
        <v>2500</v>
      </c>
    </row>
    <row r="261" spans="1:8">
      <c r="A261" s="7" t="str">
        <f t="shared" si="12"/>
        <v>02</v>
      </c>
      <c r="B261" s="7" t="str">
        <f t="shared" si="13"/>
        <v>111</v>
      </c>
      <c r="C261" s="7" t="str">
        <f t="shared" si="14"/>
        <v>Lanús</v>
      </c>
      <c r="D261" s="18" t="s">
        <v>3212</v>
      </c>
      <c r="E261" s="18">
        <v>1</v>
      </c>
      <c r="F261" s="18">
        <v>18</v>
      </c>
      <c r="G261" s="18">
        <v>2</v>
      </c>
      <c r="H261" s="18" t="s">
        <v>2500</v>
      </c>
    </row>
    <row r="262" spans="1:8">
      <c r="A262" s="7" t="str">
        <f t="shared" si="12"/>
        <v>02</v>
      </c>
      <c r="B262" s="7" t="str">
        <f t="shared" si="13"/>
        <v>111</v>
      </c>
      <c r="C262" s="7" t="str">
        <f t="shared" si="14"/>
        <v>Lanús</v>
      </c>
      <c r="D262" s="18" t="s">
        <v>3213</v>
      </c>
      <c r="E262" s="18">
        <v>1</v>
      </c>
      <c r="F262" s="18">
        <v>21</v>
      </c>
      <c r="G262" s="18">
        <v>2</v>
      </c>
      <c r="H262" s="18" t="s">
        <v>2500</v>
      </c>
    </row>
    <row r="263" spans="1:8">
      <c r="A263" s="7" t="str">
        <f t="shared" si="12"/>
        <v>02</v>
      </c>
      <c r="B263" s="7" t="str">
        <f t="shared" si="13"/>
        <v>111</v>
      </c>
      <c r="C263" s="7" t="str">
        <f t="shared" si="14"/>
        <v>Lanús</v>
      </c>
      <c r="D263" s="18" t="s">
        <v>3214</v>
      </c>
      <c r="E263" s="18">
        <v>3</v>
      </c>
      <c r="F263" s="18">
        <v>65</v>
      </c>
      <c r="G263" s="18">
        <v>2</v>
      </c>
      <c r="H263" s="18" t="s">
        <v>2500</v>
      </c>
    </row>
    <row r="264" spans="1:8">
      <c r="A264" s="7" t="str">
        <f t="shared" si="12"/>
        <v>02</v>
      </c>
      <c r="B264" s="7" t="str">
        <f t="shared" si="13"/>
        <v>111</v>
      </c>
      <c r="C264" s="7" t="str">
        <f t="shared" si="14"/>
        <v>Lanús</v>
      </c>
      <c r="D264" s="18" t="s">
        <v>3215</v>
      </c>
      <c r="E264" s="18">
        <v>1</v>
      </c>
      <c r="F264" s="18">
        <v>30</v>
      </c>
      <c r="G264" s="18">
        <v>2</v>
      </c>
      <c r="H264" s="18" t="s">
        <v>2500</v>
      </c>
    </row>
    <row r="265" spans="1:8">
      <c r="A265" s="7" t="str">
        <f t="shared" si="12"/>
        <v>02</v>
      </c>
      <c r="B265" s="7" t="str">
        <f t="shared" si="13"/>
        <v>111</v>
      </c>
      <c r="C265" s="7" t="str">
        <f t="shared" si="14"/>
        <v>Lanús</v>
      </c>
      <c r="D265" s="18" t="s">
        <v>3216</v>
      </c>
      <c r="E265" s="18">
        <v>2</v>
      </c>
      <c r="F265" s="18">
        <v>33</v>
      </c>
      <c r="G265" s="18">
        <v>2</v>
      </c>
      <c r="H265" s="18" t="s">
        <v>2500</v>
      </c>
    </row>
    <row r="266" spans="1:8">
      <c r="A266" s="7" t="str">
        <f t="shared" si="12"/>
        <v>02</v>
      </c>
      <c r="B266" s="7" t="str">
        <f t="shared" si="13"/>
        <v>111</v>
      </c>
      <c r="C266" s="7" t="str">
        <f t="shared" si="14"/>
        <v>Lanús</v>
      </c>
      <c r="D266" s="18" t="s">
        <v>3217</v>
      </c>
      <c r="E266" s="18">
        <v>1</v>
      </c>
      <c r="F266" s="18">
        <v>17</v>
      </c>
      <c r="G266" s="18">
        <v>2</v>
      </c>
      <c r="H266" s="18" t="s">
        <v>2500</v>
      </c>
    </row>
    <row r="267" spans="1:8">
      <c r="A267" s="7" t="str">
        <f t="shared" si="12"/>
        <v>02</v>
      </c>
      <c r="B267" s="7" t="str">
        <f t="shared" si="13"/>
        <v>111</v>
      </c>
      <c r="C267" s="7" t="str">
        <f t="shared" si="14"/>
        <v>Lanús</v>
      </c>
      <c r="D267" s="18" t="s">
        <v>3218</v>
      </c>
      <c r="E267" s="18">
        <v>1</v>
      </c>
      <c r="F267" s="18">
        <v>16</v>
      </c>
      <c r="G267" s="18">
        <v>2</v>
      </c>
      <c r="H267" s="18" t="s">
        <v>2500</v>
      </c>
    </row>
    <row r="268" spans="1:8">
      <c r="A268" s="7" t="str">
        <f t="shared" si="12"/>
        <v>02</v>
      </c>
      <c r="B268" s="7" t="str">
        <f t="shared" si="13"/>
        <v>111</v>
      </c>
      <c r="C268" s="7" t="str">
        <f t="shared" si="14"/>
        <v>Lanús</v>
      </c>
      <c r="D268" s="18" t="s">
        <v>3219</v>
      </c>
      <c r="E268" s="18">
        <v>3</v>
      </c>
      <c r="F268" s="18">
        <v>53</v>
      </c>
      <c r="G268" s="18">
        <v>2</v>
      </c>
      <c r="H268" s="18" t="s">
        <v>2500</v>
      </c>
    </row>
    <row r="269" spans="1:8">
      <c r="A269" s="7" t="str">
        <f t="shared" si="12"/>
        <v>02</v>
      </c>
      <c r="B269" s="7" t="str">
        <f t="shared" si="13"/>
        <v>111</v>
      </c>
      <c r="C269" s="7" t="str">
        <f t="shared" si="14"/>
        <v>Lanús</v>
      </c>
      <c r="D269" s="18" t="s">
        <v>3220</v>
      </c>
      <c r="E269" s="18">
        <v>1</v>
      </c>
      <c r="F269" s="18">
        <v>18</v>
      </c>
      <c r="G269" s="18">
        <v>2</v>
      </c>
      <c r="H269" s="18" t="s">
        <v>2500</v>
      </c>
    </row>
    <row r="270" spans="1:8">
      <c r="A270" s="7" t="str">
        <f t="shared" si="12"/>
        <v>02</v>
      </c>
      <c r="B270" s="7" t="str">
        <f t="shared" si="13"/>
        <v>111</v>
      </c>
      <c r="C270" s="7" t="str">
        <f t="shared" si="14"/>
        <v>Lanús</v>
      </c>
      <c r="D270" s="18" t="s">
        <v>3221</v>
      </c>
      <c r="E270" s="18">
        <v>1</v>
      </c>
      <c r="F270" s="18">
        <v>11</v>
      </c>
      <c r="G270" s="18">
        <v>2</v>
      </c>
      <c r="H270" s="18" t="s">
        <v>2500</v>
      </c>
    </row>
    <row r="271" spans="1:8">
      <c r="A271" s="7" t="str">
        <f t="shared" si="12"/>
        <v>02</v>
      </c>
      <c r="B271" s="7" t="str">
        <f t="shared" si="13"/>
        <v>111</v>
      </c>
      <c r="C271" s="7" t="str">
        <f t="shared" si="14"/>
        <v>Lanús</v>
      </c>
      <c r="D271" s="18" t="s">
        <v>3222</v>
      </c>
      <c r="E271" s="18">
        <v>1</v>
      </c>
      <c r="F271" s="18">
        <v>7</v>
      </c>
      <c r="G271" s="18">
        <v>2</v>
      </c>
      <c r="H271" s="18" t="s">
        <v>2500</v>
      </c>
    </row>
    <row r="272" spans="1:8">
      <c r="A272" s="7" t="str">
        <f t="shared" si="12"/>
        <v>02</v>
      </c>
      <c r="B272" s="7" t="str">
        <f t="shared" si="13"/>
        <v>111</v>
      </c>
      <c r="C272" s="7" t="str">
        <f t="shared" si="14"/>
        <v>Lanús</v>
      </c>
      <c r="D272" s="18" t="s">
        <v>3223</v>
      </c>
      <c r="E272" s="18">
        <v>1</v>
      </c>
      <c r="F272" s="18">
        <v>15</v>
      </c>
      <c r="G272" s="18">
        <v>2</v>
      </c>
      <c r="H272" s="18" t="s">
        <v>2500</v>
      </c>
    </row>
    <row r="273" spans="1:8">
      <c r="A273" s="7" t="str">
        <f t="shared" si="12"/>
        <v>02</v>
      </c>
      <c r="B273" s="7" t="str">
        <f t="shared" si="13"/>
        <v>111</v>
      </c>
      <c r="C273" s="7" t="str">
        <f t="shared" si="14"/>
        <v>Lanús</v>
      </c>
      <c r="D273" s="18" t="s">
        <v>3224</v>
      </c>
      <c r="E273" s="18">
        <v>1</v>
      </c>
      <c r="F273" s="18">
        <v>12</v>
      </c>
      <c r="G273" s="18">
        <v>2</v>
      </c>
      <c r="H273" s="18" t="s">
        <v>2500</v>
      </c>
    </row>
    <row r="274" spans="1:8">
      <c r="A274" s="7" t="str">
        <f t="shared" si="12"/>
        <v>02</v>
      </c>
      <c r="B274" s="7" t="str">
        <f t="shared" si="13"/>
        <v>111</v>
      </c>
      <c r="C274" s="7" t="str">
        <f t="shared" si="14"/>
        <v>Lanús</v>
      </c>
      <c r="D274" s="18" t="s">
        <v>3225</v>
      </c>
      <c r="E274" s="18">
        <v>3</v>
      </c>
      <c r="F274" s="18">
        <v>68</v>
      </c>
      <c r="G274" s="18">
        <v>2</v>
      </c>
      <c r="H274" s="18" t="s">
        <v>2500</v>
      </c>
    </row>
    <row r="275" spans="1:8">
      <c r="A275" s="7" t="str">
        <f t="shared" si="12"/>
        <v>02</v>
      </c>
      <c r="B275" s="7" t="str">
        <f t="shared" si="13"/>
        <v>111</v>
      </c>
      <c r="C275" s="7" t="str">
        <f t="shared" si="14"/>
        <v>Lanús</v>
      </c>
      <c r="D275" s="18" t="s">
        <v>3226</v>
      </c>
      <c r="E275" s="18">
        <v>1</v>
      </c>
      <c r="F275" s="18">
        <v>16</v>
      </c>
      <c r="G275" s="18">
        <v>2</v>
      </c>
      <c r="H275" s="18" t="s">
        <v>2500</v>
      </c>
    </row>
    <row r="276" spans="1:8">
      <c r="A276" s="7" t="str">
        <f t="shared" si="12"/>
        <v>02</v>
      </c>
      <c r="B276" s="7" t="str">
        <f t="shared" si="13"/>
        <v>062</v>
      </c>
      <c r="C276" s="7" t="str">
        <f t="shared" si="14"/>
        <v>Lomas de Zamora</v>
      </c>
      <c r="D276" s="18" t="s">
        <v>1465</v>
      </c>
      <c r="E276" s="18">
        <v>1</v>
      </c>
      <c r="F276" s="18">
        <v>15</v>
      </c>
      <c r="G276" s="18">
        <v>2</v>
      </c>
      <c r="H276" s="18" t="s">
        <v>1360</v>
      </c>
    </row>
    <row r="277" spans="1:8">
      <c r="A277" s="7" t="str">
        <f t="shared" si="12"/>
        <v>02</v>
      </c>
      <c r="B277" s="7" t="str">
        <f t="shared" si="13"/>
        <v>062</v>
      </c>
      <c r="C277" s="7" t="str">
        <f t="shared" si="14"/>
        <v>Lomas de Zamora</v>
      </c>
      <c r="D277" s="18" t="s">
        <v>3227</v>
      </c>
      <c r="E277" s="18">
        <v>1</v>
      </c>
      <c r="F277" s="18">
        <v>7</v>
      </c>
      <c r="G277" s="18">
        <v>2</v>
      </c>
      <c r="H277" s="18" t="s">
        <v>1360</v>
      </c>
    </row>
    <row r="278" spans="1:8">
      <c r="A278" s="7" t="str">
        <f t="shared" si="12"/>
        <v>02</v>
      </c>
      <c r="B278" s="7" t="str">
        <f t="shared" si="13"/>
        <v>062</v>
      </c>
      <c r="C278" s="7" t="str">
        <f t="shared" si="14"/>
        <v>Lomas de Zamora</v>
      </c>
      <c r="D278" s="18" t="s">
        <v>3228</v>
      </c>
      <c r="E278" s="18">
        <v>5</v>
      </c>
      <c r="F278" s="18">
        <v>62</v>
      </c>
      <c r="G278" s="18">
        <v>2</v>
      </c>
      <c r="H278" s="18" t="s">
        <v>1360</v>
      </c>
    </row>
    <row r="279" spans="1:8">
      <c r="A279" s="7" t="str">
        <f t="shared" si="12"/>
        <v>02</v>
      </c>
      <c r="B279" s="7" t="str">
        <f t="shared" si="13"/>
        <v>062</v>
      </c>
      <c r="C279" s="7" t="str">
        <f t="shared" si="14"/>
        <v>Lomas de Zamora</v>
      </c>
      <c r="D279" s="18" t="s">
        <v>3229</v>
      </c>
      <c r="E279" s="18">
        <v>2</v>
      </c>
      <c r="F279" s="18">
        <v>20</v>
      </c>
      <c r="G279" s="18">
        <v>2</v>
      </c>
      <c r="H279" s="18" t="s">
        <v>1360</v>
      </c>
    </row>
    <row r="280" spans="1:8">
      <c r="A280" s="7" t="str">
        <f t="shared" si="12"/>
        <v>02</v>
      </c>
      <c r="B280" s="7" t="str">
        <f t="shared" si="13"/>
        <v>062</v>
      </c>
      <c r="C280" s="7" t="str">
        <f t="shared" si="14"/>
        <v>Lomas de Zamora</v>
      </c>
      <c r="D280" s="18" t="s">
        <v>3230</v>
      </c>
      <c r="E280" s="18">
        <v>1</v>
      </c>
      <c r="F280" s="18">
        <v>13</v>
      </c>
      <c r="G280" s="18">
        <v>2</v>
      </c>
      <c r="H280" s="18" t="s">
        <v>1360</v>
      </c>
    </row>
    <row r="281" spans="1:8">
      <c r="A281" s="7" t="str">
        <f t="shared" si="12"/>
        <v>02</v>
      </c>
      <c r="B281" s="7" t="str">
        <f t="shared" si="13"/>
        <v>062</v>
      </c>
      <c r="C281" s="7" t="str">
        <f t="shared" si="14"/>
        <v>Lomas de Zamora</v>
      </c>
      <c r="D281" s="18" t="s">
        <v>3231</v>
      </c>
      <c r="E281" s="18">
        <v>1</v>
      </c>
      <c r="F281" s="18">
        <v>21</v>
      </c>
      <c r="G281" s="18">
        <v>2</v>
      </c>
      <c r="H281" s="18" t="s">
        <v>1360</v>
      </c>
    </row>
    <row r="282" spans="1:8">
      <c r="A282" s="7" t="str">
        <f t="shared" si="12"/>
        <v>02</v>
      </c>
      <c r="B282" s="7" t="str">
        <f t="shared" si="13"/>
        <v>062</v>
      </c>
      <c r="C282" s="7" t="str">
        <f t="shared" si="14"/>
        <v>Lomas de Zamora</v>
      </c>
      <c r="D282" s="18" t="s">
        <v>3232</v>
      </c>
      <c r="E282" s="18">
        <v>1</v>
      </c>
      <c r="F282" s="18">
        <v>20</v>
      </c>
      <c r="G282" s="18">
        <v>2</v>
      </c>
      <c r="H282" s="18" t="s">
        <v>1360</v>
      </c>
    </row>
    <row r="283" spans="1:8">
      <c r="A283" s="7" t="str">
        <f t="shared" si="12"/>
        <v>02</v>
      </c>
      <c r="B283" s="7" t="str">
        <f t="shared" si="13"/>
        <v>062</v>
      </c>
      <c r="C283" s="7" t="str">
        <f t="shared" si="14"/>
        <v>Lomas de Zamora</v>
      </c>
      <c r="D283" s="18" t="s">
        <v>3233</v>
      </c>
      <c r="E283" s="18">
        <v>1</v>
      </c>
      <c r="F283" s="18">
        <v>10</v>
      </c>
      <c r="G283" s="18">
        <v>2</v>
      </c>
      <c r="H283" s="18" t="s">
        <v>1360</v>
      </c>
    </row>
    <row r="284" spans="1:8">
      <c r="A284" s="7" t="str">
        <f t="shared" si="12"/>
        <v>02</v>
      </c>
      <c r="B284" s="7" t="str">
        <f t="shared" si="13"/>
        <v>062</v>
      </c>
      <c r="C284" s="7" t="str">
        <f t="shared" si="14"/>
        <v>Lomas de Zamora</v>
      </c>
      <c r="D284" s="18" t="s">
        <v>3234</v>
      </c>
      <c r="E284" s="18">
        <v>1</v>
      </c>
      <c r="F284" s="18">
        <v>6</v>
      </c>
      <c r="G284" s="18">
        <v>2</v>
      </c>
      <c r="H284" s="18" t="s">
        <v>1360</v>
      </c>
    </row>
    <row r="285" spans="1:8">
      <c r="A285" s="7" t="str">
        <f t="shared" si="12"/>
        <v>02</v>
      </c>
      <c r="B285" s="7" t="str">
        <f t="shared" si="13"/>
        <v>062</v>
      </c>
      <c r="C285" s="7" t="str">
        <f t="shared" si="14"/>
        <v>Lomas de Zamora</v>
      </c>
      <c r="D285" s="18" t="s">
        <v>3235</v>
      </c>
      <c r="E285" s="18">
        <v>1</v>
      </c>
      <c r="F285" s="18">
        <v>21</v>
      </c>
      <c r="G285" s="18">
        <v>2</v>
      </c>
      <c r="H285" s="18" t="s">
        <v>1360</v>
      </c>
    </row>
    <row r="286" spans="1:8">
      <c r="A286" s="7" t="str">
        <f t="shared" si="12"/>
        <v>02</v>
      </c>
      <c r="B286" s="7" t="str">
        <f t="shared" si="13"/>
        <v>062</v>
      </c>
      <c r="C286" s="7" t="str">
        <f t="shared" si="14"/>
        <v>Lomas de Zamora</v>
      </c>
      <c r="D286" s="18" t="s">
        <v>3236</v>
      </c>
      <c r="E286" s="18">
        <v>1</v>
      </c>
      <c r="F286" s="18">
        <v>20</v>
      </c>
      <c r="G286" s="18">
        <v>2</v>
      </c>
      <c r="H286" s="18" t="s">
        <v>1360</v>
      </c>
    </row>
    <row r="287" spans="1:8">
      <c r="A287" s="7" t="str">
        <f t="shared" si="12"/>
        <v>02</v>
      </c>
      <c r="B287" s="7" t="str">
        <f t="shared" si="13"/>
        <v>062</v>
      </c>
      <c r="C287" s="7" t="str">
        <f t="shared" si="14"/>
        <v>Lomas de Zamora</v>
      </c>
      <c r="D287" s="18" t="s">
        <v>3237</v>
      </c>
      <c r="E287" s="18">
        <v>2</v>
      </c>
      <c r="F287" s="18">
        <v>27</v>
      </c>
      <c r="G287" s="18">
        <v>2</v>
      </c>
      <c r="H287" s="18" t="s">
        <v>1360</v>
      </c>
    </row>
    <row r="288" spans="1:8">
      <c r="A288" s="7" t="str">
        <f t="shared" si="12"/>
        <v>02</v>
      </c>
      <c r="B288" s="7" t="str">
        <f t="shared" si="13"/>
        <v>062</v>
      </c>
      <c r="C288" s="7" t="str">
        <f t="shared" si="14"/>
        <v>Lomas de Zamora</v>
      </c>
      <c r="D288" s="18" t="s">
        <v>3238</v>
      </c>
      <c r="E288" s="18">
        <v>1</v>
      </c>
      <c r="F288" s="18">
        <v>12</v>
      </c>
      <c r="G288" s="18">
        <v>2</v>
      </c>
      <c r="H288" s="18" t="s">
        <v>1360</v>
      </c>
    </row>
    <row r="289" spans="1:8">
      <c r="A289" s="7" t="str">
        <f t="shared" si="12"/>
        <v>02</v>
      </c>
      <c r="B289" s="7" t="str">
        <f t="shared" si="13"/>
        <v>062</v>
      </c>
      <c r="C289" s="7" t="str">
        <f t="shared" si="14"/>
        <v>Lomas de Zamora</v>
      </c>
      <c r="D289" s="18" t="s">
        <v>3239</v>
      </c>
      <c r="E289" s="18">
        <v>1</v>
      </c>
      <c r="F289" s="18">
        <v>12</v>
      </c>
      <c r="G289" s="18">
        <v>2</v>
      </c>
      <c r="H289" s="18" t="s">
        <v>1360</v>
      </c>
    </row>
    <row r="290" spans="1:8">
      <c r="A290" s="7" t="str">
        <f t="shared" si="12"/>
        <v>02</v>
      </c>
      <c r="B290" s="7" t="str">
        <f t="shared" si="13"/>
        <v>062</v>
      </c>
      <c r="C290" s="7" t="str">
        <f t="shared" si="14"/>
        <v>Lomas de Zamora</v>
      </c>
      <c r="D290" s="18" t="s">
        <v>3240</v>
      </c>
      <c r="E290" s="18">
        <v>1</v>
      </c>
      <c r="F290" s="18">
        <v>18</v>
      </c>
      <c r="G290" s="18">
        <v>2</v>
      </c>
      <c r="H290" s="18" t="s">
        <v>1360</v>
      </c>
    </row>
    <row r="291" spans="1:8">
      <c r="A291" s="7" t="str">
        <f t="shared" si="12"/>
        <v>02</v>
      </c>
      <c r="B291" s="7" t="str">
        <f t="shared" si="13"/>
        <v>062</v>
      </c>
      <c r="C291" s="7" t="str">
        <f t="shared" si="14"/>
        <v>Lomas de Zamora</v>
      </c>
      <c r="D291" s="18" t="s">
        <v>3241</v>
      </c>
      <c r="E291" s="18">
        <v>2</v>
      </c>
      <c r="F291" s="18">
        <v>33</v>
      </c>
      <c r="G291" s="18">
        <v>2</v>
      </c>
      <c r="H291" s="18" t="s">
        <v>1360</v>
      </c>
    </row>
    <row r="292" spans="1:8">
      <c r="A292" s="7" t="str">
        <f t="shared" si="12"/>
        <v>02</v>
      </c>
      <c r="B292" s="7" t="str">
        <f t="shared" si="13"/>
        <v>062</v>
      </c>
      <c r="C292" s="7" t="str">
        <f t="shared" si="14"/>
        <v>Lomas de Zamora</v>
      </c>
      <c r="D292" s="18" t="s">
        <v>3242</v>
      </c>
      <c r="E292" s="18">
        <v>1</v>
      </c>
      <c r="F292" s="18">
        <v>8</v>
      </c>
      <c r="G292" s="18">
        <v>2</v>
      </c>
      <c r="H292" s="18" t="s">
        <v>1360</v>
      </c>
    </row>
    <row r="293" spans="1:8">
      <c r="A293" s="7" t="str">
        <f t="shared" si="12"/>
        <v>02</v>
      </c>
      <c r="B293" s="7" t="str">
        <f t="shared" si="13"/>
        <v>062</v>
      </c>
      <c r="C293" s="7" t="str">
        <f t="shared" si="14"/>
        <v>Lomas de Zamora</v>
      </c>
      <c r="D293" s="18" t="s">
        <v>3243</v>
      </c>
      <c r="E293" s="18">
        <v>3</v>
      </c>
      <c r="F293" s="18">
        <v>62</v>
      </c>
      <c r="G293" s="18">
        <v>2</v>
      </c>
      <c r="H293" s="18" t="s">
        <v>1360</v>
      </c>
    </row>
    <row r="294" spans="1:8">
      <c r="A294" s="7" t="str">
        <f t="shared" si="12"/>
        <v>02</v>
      </c>
      <c r="B294" s="7" t="str">
        <f t="shared" si="13"/>
        <v>062</v>
      </c>
      <c r="C294" s="7" t="str">
        <f t="shared" si="14"/>
        <v>Lomas de Zamora</v>
      </c>
      <c r="D294" s="18" t="s">
        <v>3244</v>
      </c>
      <c r="E294" s="18">
        <v>1</v>
      </c>
      <c r="F294" s="18">
        <v>14</v>
      </c>
      <c r="G294" s="18">
        <v>2</v>
      </c>
      <c r="H294" s="18" t="s">
        <v>1360</v>
      </c>
    </row>
    <row r="295" spans="1:8">
      <c r="A295" s="7" t="str">
        <f t="shared" si="12"/>
        <v>02</v>
      </c>
      <c r="B295" s="7" t="str">
        <f t="shared" si="13"/>
        <v>062</v>
      </c>
      <c r="C295" s="7" t="str">
        <f t="shared" si="14"/>
        <v>Lomas de Zamora</v>
      </c>
      <c r="D295" s="18" t="s">
        <v>3245</v>
      </c>
      <c r="E295" s="18">
        <v>3</v>
      </c>
      <c r="F295" s="18">
        <v>39</v>
      </c>
      <c r="G295" s="18">
        <v>2</v>
      </c>
      <c r="H295" s="18" t="s">
        <v>1360</v>
      </c>
    </row>
    <row r="296" spans="1:8">
      <c r="A296" s="7" t="str">
        <f t="shared" si="12"/>
        <v>02</v>
      </c>
      <c r="B296" s="7" t="str">
        <f t="shared" si="13"/>
        <v>062</v>
      </c>
      <c r="C296" s="7" t="str">
        <f t="shared" si="14"/>
        <v>Lomas de Zamora</v>
      </c>
      <c r="D296" s="18" t="s">
        <v>3246</v>
      </c>
      <c r="E296" s="18">
        <v>1</v>
      </c>
      <c r="F296" s="18">
        <v>8</v>
      </c>
      <c r="G296" s="18">
        <v>2</v>
      </c>
      <c r="H296" s="18" t="s">
        <v>1360</v>
      </c>
    </row>
    <row r="297" spans="1:8">
      <c r="A297" s="7" t="str">
        <f t="shared" si="12"/>
        <v>02</v>
      </c>
      <c r="B297" s="7" t="str">
        <f t="shared" si="13"/>
        <v>062</v>
      </c>
      <c r="C297" s="7" t="str">
        <f t="shared" si="14"/>
        <v>Lomas de Zamora</v>
      </c>
      <c r="D297" s="18" t="s">
        <v>3247</v>
      </c>
      <c r="E297" s="18">
        <v>1</v>
      </c>
      <c r="F297" s="18">
        <v>9</v>
      </c>
      <c r="G297" s="18">
        <v>2</v>
      </c>
      <c r="H297" s="18" t="s">
        <v>1360</v>
      </c>
    </row>
    <row r="298" spans="1:8">
      <c r="A298" s="7" t="str">
        <f t="shared" si="12"/>
        <v>02</v>
      </c>
      <c r="B298" s="7" t="str">
        <f t="shared" si="13"/>
        <v>062</v>
      </c>
      <c r="C298" s="7" t="str">
        <f t="shared" si="14"/>
        <v>Lomas de Zamora</v>
      </c>
      <c r="D298" s="18" t="s">
        <v>3248</v>
      </c>
      <c r="E298" s="18">
        <v>1</v>
      </c>
      <c r="F298" s="18">
        <v>9</v>
      </c>
      <c r="G298" s="18">
        <v>2</v>
      </c>
      <c r="H298" s="18" t="s">
        <v>1360</v>
      </c>
    </row>
    <row r="299" spans="1:8">
      <c r="A299" s="7" t="str">
        <f t="shared" si="12"/>
        <v>02</v>
      </c>
      <c r="B299" s="7" t="str">
        <f t="shared" si="13"/>
        <v>062</v>
      </c>
      <c r="C299" s="7" t="str">
        <f t="shared" si="14"/>
        <v>Lomas de Zamora</v>
      </c>
      <c r="D299" s="18" t="s">
        <v>3249</v>
      </c>
      <c r="E299" s="18">
        <v>2</v>
      </c>
      <c r="F299" s="18">
        <v>35</v>
      </c>
      <c r="G299" s="18">
        <v>2</v>
      </c>
      <c r="H299" s="18" t="s">
        <v>1360</v>
      </c>
    </row>
    <row r="300" spans="1:8">
      <c r="A300" s="7" t="str">
        <f t="shared" si="12"/>
        <v>02</v>
      </c>
      <c r="B300" s="7" t="str">
        <f t="shared" si="13"/>
        <v>062</v>
      </c>
      <c r="C300" s="7" t="str">
        <f t="shared" si="14"/>
        <v>Lomas de Zamora</v>
      </c>
      <c r="D300" s="18" t="s">
        <v>3250</v>
      </c>
      <c r="E300" s="18">
        <v>1</v>
      </c>
      <c r="F300" s="18">
        <v>18</v>
      </c>
      <c r="G300" s="18">
        <v>2</v>
      </c>
      <c r="H300" s="18" t="s">
        <v>1360</v>
      </c>
    </row>
    <row r="301" spans="1:8">
      <c r="A301" s="7" t="str">
        <f t="shared" si="12"/>
        <v>02</v>
      </c>
      <c r="B301" s="7" t="str">
        <f t="shared" si="13"/>
        <v>062</v>
      </c>
      <c r="C301" s="7" t="str">
        <f t="shared" si="14"/>
        <v>Lomas de Zamora</v>
      </c>
      <c r="D301" s="18" t="s">
        <v>3251</v>
      </c>
      <c r="E301" s="18">
        <v>1</v>
      </c>
      <c r="F301" s="18">
        <v>11</v>
      </c>
      <c r="G301" s="18">
        <v>2</v>
      </c>
      <c r="H301" s="18" t="s">
        <v>1360</v>
      </c>
    </row>
    <row r="302" spans="1:8">
      <c r="A302" s="7" t="str">
        <f t="shared" si="12"/>
        <v>02</v>
      </c>
      <c r="B302" s="7" t="str">
        <f t="shared" si="13"/>
        <v>062</v>
      </c>
      <c r="C302" s="7" t="str">
        <f t="shared" si="14"/>
        <v>Lomas de Zamora</v>
      </c>
      <c r="D302" s="18" t="s">
        <v>3252</v>
      </c>
      <c r="E302" s="18">
        <v>3</v>
      </c>
      <c r="F302" s="18">
        <v>46</v>
      </c>
      <c r="G302" s="18">
        <v>2</v>
      </c>
      <c r="H302" s="18" t="s">
        <v>1360</v>
      </c>
    </row>
    <row r="303" spans="1:8">
      <c r="A303" s="7" t="str">
        <f t="shared" si="12"/>
        <v>02</v>
      </c>
      <c r="B303" s="7" t="str">
        <f t="shared" si="13"/>
        <v>062</v>
      </c>
      <c r="C303" s="7" t="str">
        <f t="shared" si="14"/>
        <v>Lomas de Zamora</v>
      </c>
      <c r="D303" s="18" t="s">
        <v>3253</v>
      </c>
      <c r="E303" s="18">
        <v>1</v>
      </c>
      <c r="F303" s="18">
        <v>9</v>
      </c>
      <c r="G303" s="18">
        <v>2</v>
      </c>
      <c r="H303" s="18" t="s">
        <v>1360</v>
      </c>
    </row>
    <row r="304" spans="1:8">
      <c r="A304" s="7" t="str">
        <f t="shared" si="12"/>
        <v>02</v>
      </c>
      <c r="B304" s="7" t="str">
        <f t="shared" si="13"/>
        <v>062</v>
      </c>
      <c r="C304" s="7" t="str">
        <f t="shared" si="14"/>
        <v>Lomas de Zamora</v>
      </c>
      <c r="D304" s="18" t="s">
        <v>3254</v>
      </c>
      <c r="E304" s="18">
        <v>1</v>
      </c>
      <c r="F304" s="18">
        <v>16</v>
      </c>
      <c r="G304" s="18">
        <v>2</v>
      </c>
      <c r="H304" s="18" t="s">
        <v>1360</v>
      </c>
    </row>
    <row r="305" spans="1:8">
      <c r="A305" s="7" t="str">
        <f t="shared" si="12"/>
        <v>02</v>
      </c>
      <c r="B305" s="7" t="str">
        <f t="shared" si="13"/>
        <v>062</v>
      </c>
      <c r="C305" s="7" t="str">
        <f t="shared" si="14"/>
        <v>Lomas de Zamora</v>
      </c>
      <c r="D305" s="18" t="s">
        <v>3255</v>
      </c>
      <c r="E305" s="18">
        <v>1</v>
      </c>
      <c r="F305" s="18">
        <v>27</v>
      </c>
      <c r="G305" s="18">
        <v>2</v>
      </c>
      <c r="H305" s="18" t="s">
        <v>1360</v>
      </c>
    </row>
    <row r="306" spans="1:8">
      <c r="A306" s="7" t="str">
        <f t="shared" si="12"/>
        <v>02</v>
      </c>
      <c r="B306" s="7" t="str">
        <f t="shared" si="13"/>
        <v>062</v>
      </c>
      <c r="C306" s="7" t="str">
        <f t="shared" si="14"/>
        <v>Lomas de Zamora</v>
      </c>
      <c r="D306" s="18" t="s">
        <v>3256</v>
      </c>
      <c r="E306" s="18">
        <v>1</v>
      </c>
      <c r="F306" s="18">
        <v>13</v>
      </c>
      <c r="G306" s="18">
        <v>2</v>
      </c>
      <c r="H306" s="18" t="s">
        <v>1360</v>
      </c>
    </row>
    <row r="307" spans="1:8">
      <c r="A307" s="7" t="str">
        <f t="shared" si="12"/>
        <v>02</v>
      </c>
      <c r="B307" s="7" t="str">
        <f t="shared" si="13"/>
        <v>062</v>
      </c>
      <c r="C307" s="7" t="str">
        <f t="shared" si="14"/>
        <v>Lomas de Zamora</v>
      </c>
      <c r="D307" s="18" t="s">
        <v>3257</v>
      </c>
      <c r="E307" s="18">
        <v>1</v>
      </c>
      <c r="F307" s="18">
        <v>8</v>
      </c>
      <c r="G307" s="18">
        <v>2</v>
      </c>
      <c r="H307" s="18" t="s">
        <v>1360</v>
      </c>
    </row>
    <row r="308" spans="1:8">
      <c r="A308" s="7" t="str">
        <f t="shared" si="12"/>
        <v>02</v>
      </c>
      <c r="B308" s="7" t="str">
        <f t="shared" si="13"/>
        <v>062</v>
      </c>
      <c r="C308" s="7" t="str">
        <f t="shared" si="14"/>
        <v>Lomas de Zamora</v>
      </c>
      <c r="D308" s="18" t="s">
        <v>3258</v>
      </c>
      <c r="E308" s="18">
        <v>1</v>
      </c>
      <c r="F308" s="18">
        <v>26</v>
      </c>
      <c r="G308" s="18">
        <v>2</v>
      </c>
      <c r="H308" s="18" t="s">
        <v>1360</v>
      </c>
    </row>
    <row r="309" spans="1:8">
      <c r="A309" s="7" t="str">
        <f t="shared" si="12"/>
        <v>02</v>
      </c>
      <c r="B309" s="7" t="str">
        <f t="shared" si="13"/>
        <v>062</v>
      </c>
      <c r="C309" s="7" t="str">
        <f t="shared" si="14"/>
        <v>Lomas de Zamora</v>
      </c>
      <c r="D309" s="18" t="s">
        <v>3259</v>
      </c>
      <c r="E309" s="18">
        <v>2</v>
      </c>
      <c r="F309" s="18">
        <v>28</v>
      </c>
      <c r="G309" s="18">
        <v>2</v>
      </c>
      <c r="H309" s="18" t="s">
        <v>1360</v>
      </c>
    </row>
    <row r="310" spans="1:8">
      <c r="A310" s="7" t="str">
        <f t="shared" si="12"/>
        <v>02</v>
      </c>
      <c r="B310" s="7" t="str">
        <f t="shared" si="13"/>
        <v>062</v>
      </c>
      <c r="C310" s="7" t="str">
        <f t="shared" si="14"/>
        <v>Lomas de Zamora</v>
      </c>
      <c r="D310" s="18" t="s">
        <v>3260</v>
      </c>
      <c r="E310" s="18">
        <v>2</v>
      </c>
      <c r="F310" s="18">
        <v>24</v>
      </c>
      <c r="G310" s="18">
        <v>2</v>
      </c>
      <c r="H310" s="18" t="s">
        <v>1360</v>
      </c>
    </row>
    <row r="311" spans="1:8">
      <c r="A311" s="7" t="str">
        <f t="shared" si="12"/>
        <v>02</v>
      </c>
      <c r="B311" s="7" t="str">
        <f t="shared" si="13"/>
        <v>062</v>
      </c>
      <c r="C311" s="7" t="str">
        <f t="shared" si="14"/>
        <v>Lomas de Zamora</v>
      </c>
      <c r="D311" s="18" t="s">
        <v>3261</v>
      </c>
      <c r="E311" s="18">
        <v>1</v>
      </c>
      <c r="F311" s="18">
        <v>16</v>
      </c>
      <c r="G311" s="18">
        <v>2</v>
      </c>
      <c r="H311" s="18" t="s">
        <v>1360</v>
      </c>
    </row>
    <row r="312" spans="1:8">
      <c r="A312" s="7" t="str">
        <f t="shared" si="12"/>
        <v>02</v>
      </c>
      <c r="B312" s="7" t="str">
        <f t="shared" si="13"/>
        <v>062</v>
      </c>
      <c r="C312" s="7" t="str">
        <f t="shared" si="14"/>
        <v>Lomas de Zamora</v>
      </c>
      <c r="D312" s="18" t="s">
        <v>3262</v>
      </c>
      <c r="E312" s="18">
        <v>1</v>
      </c>
      <c r="F312" s="18">
        <v>20</v>
      </c>
      <c r="G312" s="18">
        <v>2</v>
      </c>
      <c r="H312" s="18" t="s">
        <v>1360</v>
      </c>
    </row>
    <row r="313" spans="1:8">
      <c r="A313" s="7" t="str">
        <f t="shared" si="12"/>
        <v>02</v>
      </c>
      <c r="B313" s="7" t="str">
        <f t="shared" si="13"/>
        <v>062</v>
      </c>
      <c r="C313" s="7" t="str">
        <f t="shared" si="14"/>
        <v>Lomas de Zamora</v>
      </c>
      <c r="D313" s="18" t="s">
        <v>3263</v>
      </c>
      <c r="E313" s="18">
        <v>1</v>
      </c>
      <c r="F313" s="18">
        <v>10</v>
      </c>
      <c r="G313" s="18">
        <v>2</v>
      </c>
      <c r="H313" s="18" t="s">
        <v>1360</v>
      </c>
    </row>
    <row r="314" spans="1:8">
      <c r="A314" s="7" t="str">
        <f t="shared" si="12"/>
        <v>02</v>
      </c>
      <c r="B314" s="7" t="str">
        <f t="shared" si="13"/>
        <v>062</v>
      </c>
      <c r="C314" s="7" t="str">
        <f t="shared" si="14"/>
        <v>Lomas de Zamora</v>
      </c>
      <c r="D314" s="18" t="s">
        <v>3264</v>
      </c>
      <c r="E314" s="18">
        <v>1</v>
      </c>
      <c r="F314" s="18">
        <v>15</v>
      </c>
      <c r="G314" s="18">
        <v>2</v>
      </c>
      <c r="H314" s="18" t="s">
        <v>1360</v>
      </c>
    </row>
    <row r="315" spans="1:8">
      <c r="A315" s="7" t="str">
        <f t="shared" si="12"/>
        <v>02</v>
      </c>
      <c r="B315" s="7" t="str">
        <f t="shared" si="13"/>
        <v>062</v>
      </c>
      <c r="C315" s="7" t="str">
        <f t="shared" si="14"/>
        <v>Lomas de Zamora</v>
      </c>
      <c r="D315" s="18" t="s">
        <v>3265</v>
      </c>
      <c r="E315" s="18">
        <v>3</v>
      </c>
      <c r="F315" s="18">
        <v>45</v>
      </c>
      <c r="G315" s="18">
        <v>2</v>
      </c>
      <c r="H315" s="18" t="s">
        <v>1360</v>
      </c>
    </row>
    <row r="316" spans="1:8">
      <c r="A316" s="7" t="str">
        <f t="shared" si="12"/>
        <v>02</v>
      </c>
      <c r="B316" s="7" t="str">
        <f t="shared" si="13"/>
        <v>062</v>
      </c>
      <c r="C316" s="7" t="str">
        <f t="shared" si="14"/>
        <v>Lomas de Zamora</v>
      </c>
      <c r="D316" s="18" t="s">
        <v>3266</v>
      </c>
      <c r="E316" s="18">
        <v>1</v>
      </c>
      <c r="F316" s="18">
        <v>15</v>
      </c>
      <c r="G316" s="18">
        <v>2</v>
      </c>
      <c r="H316" s="18" t="s">
        <v>1360</v>
      </c>
    </row>
    <row r="317" spans="1:8">
      <c r="A317" s="7" t="str">
        <f t="shared" si="12"/>
        <v>02</v>
      </c>
      <c r="B317" s="7" t="str">
        <f t="shared" si="13"/>
        <v>062</v>
      </c>
      <c r="C317" s="7" t="str">
        <f t="shared" si="14"/>
        <v>Lomas de Zamora</v>
      </c>
      <c r="D317" s="18" t="s">
        <v>3267</v>
      </c>
      <c r="E317" s="18">
        <v>1</v>
      </c>
      <c r="F317" s="18">
        <v>21</v>
      </c>
      <c r="G317" s="18">
        <v>2</v>
      </c>
      <c r="H317" s="18" t="s">
        <v>1360</v>
      </c>
    </row>
    <row r="318" spans="1:8">
      <c r="A318" s="7" t="str">
        <f t="shared" si="12"/>
        <v>02</v>
      </c>
      <c r="B318" s="7" t="str">
        <f t="shared" si="13"/>
        <v>062</v>
      </c>
      <c r="C318" s="7" t="str">
        <f t="shared" si="14"/>
        <v>Lomas de Zamora</v>
      </c>
      <c r="D318" s="18" t="s">
        <v>3268</v>
      </c>
      <c r="E318" s="18">
        <v>1</v>
      </c>
      <c r="F318" s="18">
        <v>16</v>
      </c>
      <c r="G318" s="18">
        <v>2</v>
      </c>
      <c r="H318" s="18" t="s">
        <v>1360</v>
      </c>
    </row>
    <row r="319" spans="1:8">
      <c r="A319" s="7" t="str">
        <f t="shared" si="12"/>
        <v>02</v>
      </c>
      <c r="B319" s="7" t="str">
        <f t="shared" si="13"/>
        <v>062</v>
      </c>
      <c r="C319" s="7" t="str">
        <f t="shared" si="14"/>
        <v>Lomas de Zamora</v>
      </c>
      <c r="D319" s="18" t="s">
        <v>3269</v>
      </c>
      <c r="E319" s="18">
        <v>2</v>
      </c>
      <c r="F319" s="18">
        <v>40</v>
      </c>
      <c r="G319" s="18">
        <v>2</v>
      </c>
      <c r="H319" s="18" t="s">
        <v>1360</v>
      </c>
    </row>
    <row r="320" spans="1:8">
      <c r="A320" s="7" t="str">
        <f t="shared" si="12"/>
        <v>02</v>
      </c>
      <c r="B320" s="7" t="str">
        <f t="shared" si="13"/>
        <v>062</v>
      </c>
      <c r="C320" s="7" t="str">
        <f t="shared" si="14"/>
        <v>Lomas de Zamora</v>
      </c>
      <c r="D320" s="18" t="s">
        <v>3270</v>
      </c>
      <c r="E320" s="18">
        <v>3</v>
      </c>
      <c r="F320" s="18">
        <v>64</v>
      </c>
      <c r="G320" s="18">
        <v>2</v>
      </c>
      <c r="H320" s="18" t="s">
        <v>1360</v>
      </c>
    </row>
    <row r="321" spans="1:8">
      <c r="A321" s="7" t="str">
        <f t="shared" si="12"/>
        <v>02</v>
      </c>
      <c r="B321" s="7" t="str">
        <f t="shared" si="13"/>
        <v>062</v>
      </c>
      <c r="C321" s="7" t="str">
        <f t="shared" si="14"/>
        <v>Lomas de Zamora</v>
      </c>
      <c r="D321" s="18" t="s">
        <v>3271</v>
      </c>
      <c r="E321" s="18">
        <v>1</v>
      </c>
      <c r="F321" s="18">
        <v>17</v>
      </c>
      <c r="G321" s="18">
        <v>2</v>
      </c>
      <c r="H321" s="18" t="s">
        <v>1360</v>
      </c>
    </row>
    <row r="322" spans="1:8">
      <c r="A322" s="7" t="str">
        <f t="shared" si="12"/>
        <v>02</v>
      </c>
      <c r="B322" s="7" t="str">
        <f t="shared" si="13"/>
        <v>062</v>
      </c>
      <c r="C322" s="7" t="str">
        <f t="shared" si="14"/>
        <v>Lomas de Zamora</v>
      </c>
      <c r="D322" s="18" t="s">
        <v>3272</v>
      </c>
      <c r="E322" s="18">
        <v>1</v>
      </c>
      <c r="F322" s="18">
        <v>17</v>
      </c>
      <c r="G322" s="18">
        <v>2</v>
      </c>
      <c r="H322" s="18" t="s">
        <v>1360</v>
      </c>
    </row>
    <row r="323" spans="1:8">
      <c r="A323" s="7" t="str">
        <f t="shared" ref="A323:A386" si="15">+VLOOKUP(H323,$K:$N,2,FALSE)</f>
        <v>02</v>
      </c>
      <c r="B323" s="7" t="str">
        <f t="shared" ref="B323:B386" si="16">+VLOOKUP(H323,$K:$N,3,FALSE)</f>
        <v>062</v>
      </c>
      <c r="C323" s="7" t="str">
        <f t="shared" ref="C323:C386" si="17">+VLOOKUP(H323,$K:$N,4,FALSE)</f>
        <v>Lomas de Zamora</v>
      </c>
      <c r="D323" s="18" t="s">
        <v>3273</v>
      </c>
      <c r="E323" s="18">
        <v>2</v>
      </c>
      <c r="F323" s="18">
        <v>30</v>
      </c>
      <c r="G323" s="18">
        <v>2</v>
      </c>
      <c r="H323" s="18" t="s">
        <v>1360</v>
      </c>
    </row>
    <row r="324" spans="1:8">
      <c r="A324" s="7" t="str">
        <f t="shared" si="15"/>
        <v>02</v>
      </c>
      <c r="B324" s="7" t="str">
        <f t="shared" si="16"/>
        <v>062</v>
      </c>
      <c r="C324" s="7" t="str">
        <f t="shared" si="17"/>
        <v>Lomas de Zamora</v>
      </c>
      <c r="D324" s="18" t="s">
        <v>3274</v>
      </c>
      <c r="E324" s="18">
        <v>3</v>
      </c>
      <c r="F324" s="18">
        <v>40</v>
      </c>
      <c r="G324" s="18">
        <v>2</v>
      </c>
      <c r="H324" s="18" t="s">
        <v>1360</v>
      </c>
    </row>
    <row r="325" spans="1:8">
      <c r="A325" s="7" t="str">
        <f t="shared" si="15"/>
        <v>02</v>
      </c>
      <c r="B325" s="7" t="str">
        <f t="shared" si="16"/>
        <v>062</v>
      </c>
      <c r="C325" s="7" t="str">
        <f t="shared" si="17"/>
        <v>Lomas de Zamora</v>
      </c>
      <c r="D325" s="18" t="s">
        <v>3275</v>
      </c>
      <c r="E325" s="18">
        <v>1</v>
      </c>
      <c r="F325" s="18">
        <v>7</v>
      </c>
      <c r="G325" s="18">
        <v>2</v>
      </c>
      <c r="H325" s="18" t="s">
        <v>1360</v>
      </c>
    </row>
    <row r="326" spans="1:8">
      <c r="A326" s="7" t="str">
        <f t="shared" si="15"/>
        <v>02</v>
      </c>
      <c r="B326" s="7" t="str">
        <f t="shared" si="16"/>
        <v>062</v>
      </c>
      <c r="C326" s="7" t="str">
        <f t="shared" si="17"/>
        <v>Lomas de Zamora</v>
      </c>
      <c r="D326" s="18" t="s">
        <v>3276</v>
      </c>
      <c r="E326" s="18">
        <v>4</v>
      </c>
      <c r="F326" s="18">
        <v>87</v>
      </c>
      <c r="G326" s="18">
        <v>2</v>
      </c>
      <c r="H326" s="18" t="s">
        <v>1360</v>
      </c>
    </row>
    <row r="327" spans="1:8">
      <c r="A327" s="7" t="str">
        <f t="shared" si="15"/>
        <v>02</v>
      </c>
      <c r="B327" s="7" t="str">
        <f t="shared" si="16"/>
        <v>062</v>
      </c>
      <c r="C327" s="7" t="str">
        <f t="shared" si="17"/>
        <v>Lomas de Zamora</v>
      </c>
      <c r="D327" s="18" t="s">
        <v>3277</v>
      </c>
      <c r="E327" s="18">
        <v>4</v>
      </c>
      <c r="F327" s="18">
        <v>71</v>
      </c>
      <c r="G327" s="18">
        <v>2</v>
      </c>
      <c r="H327" s="18" t="s">
        <v>1360</v>
      </c>
    </row>
    <row r="328" spans="1:8">
      <c r="A328" s="7" t="str">
        <f t="shared" si="15"/>
        <v>02</v>
      </c>
      <c r="B328" s="7" t="str">
        <f t="shared" si="16"/>
        <v>062</v>
      </c>
      <c r="C328" s="7" t="str">
        <f t="shared" si="17"/>
        <v>Lomas de Zamora</v>
      </c>
      <c r="D328" s="18" t="s">
        <v>3278</v>
      </c>
      <c r="E328" s="18">
        <v>3</v>
      </c>
      <c r="F328" s="18">
        <v>38</v>
      </c>
      <c r="G328" s="18">
        <v>2</v>
      </c>
      <c r="H328" s="18" t="s">
        <v>1360</v>
      </c>
    </row>
    <row r="329" spans="1:8">
      <c r="A329" s="7" t="str">
        <f t="shared" si="15"/>
        <v>02</v>
      </c>
      <c r="B329" s="7" t="str">
        <f t="shared" si="16"/>
        <v>062</v>
      </c>
      <c r="C329" s="7" t="str">
        <f t="shared" si="17"/>
        <v>Lomas de Zamora</v>
      </c>
      <c r="D329" s="18" t="s">
        <v>3279</v>
      </c>
      <c r="E329" s="18">
        <v>1</v>
      </c>
      <c r="F329" s="18">
        <v>21</v>
      </c>
      <c r="G329" s="18">
        <v>2</v>
      </c>
      <c r="H329" s="18" t="s">
        <v>1360</v>
      </c>
    </row>
    <row r="330" spans="1:8">
      <c r="A330" s="7" t="str">
        <f t="shared" si="15"/>
        <v>02</v>
      </c>
      <c r="B330" s="7" t="str">
        <f t="shared" si="16"/>
        <v>062</v>
      </c>
      <c r="C330" s="7" t="str">
        <f t="shared" si="17"/>
        <v>Lomas de Zamora</v>
      </c>
      <c r="D330" s="18" t="s">
        <v>3280</v>
      </c>
      <c r="E330" s="18">
        <v>1</v>
      </c>
      <c r="F330" s="18">
        <v>15</v>
      </c>
      <c r="G330" s="18">
        <v>2</v>
      </c>
      <c r="H330" s="18" t="s">
        <v>1360</v>
      </c>
    </row>
    <row r="331" spans="1:8">
      <c r="A331" s="7" t="str">
        <f t="shared" si="15"/>
        <v>02</v>
      </c>
      <c r="B331" s="7" t="str">
        <f t="shared" si="16"/>
        <v>062</v>
      </c>
      <c r="C331" s="7" t="str">
        <f t="shared" si="17"/>
        <v>Lomas de Zamora</v>
      </c>
      <c r="D331" s="18" t="s">
        <v>3281</v>
      </c>
      <c r="E331" s="18">
        <v>1</v>
      </c>
      <c r="F331" s="18">
        <v>11</v>
      </c>
      <c r="G331" s="18">
        <v>2</v>
      </c>
      <c r="H331" s="18" t="s">
        <v>1360</v>
      </c>
    </row>
    <row r="332" spans="1:8">
      <c r="A332" s="7" t="str">
        <f t="shared" si="15"/>
        <v>02</v>
      </c>
      <c r="B332" s="7" t="str">
        <f t="shared" si="16"/>
        <v>062</v>
      </c>
      <c r="C332" s="7" t="str">
        <f t="shared" si="17"/>
        <v>Lomas de Zamora</v>
      </c>
      <c r="D332" s="18" t="s">
        <v>3282</v>
      </c>
      <c r="E332" s="18">
        <v>1</v>
      </c>
      <c r="F332" s="18">
        <v>17</v>
      </c>
      <c r="G332" s="18">
        <v>2</v>
      </c>
      <c r="H332" s="18" t="s">
        <v>1360</v>
      </c>
    </row>
    <row r="333" spans="1:8">
      <c r="A333" s="7" t="str">
        <f t="shared" si="15"/>
        <v>02</v>
      </c>
      <c r="B333" s="7" t="str">
        <f t="shared" si="16"/>
        <v>062</v>
      </c>
      <c r="C333" s="7" t="str">
        <f t="shared" si="17"/>
        <v>Lomas de Zamora</v>
      </c>
      <c r="D333" s="18" t="s">
        <v>588</v>
      </c>
      <c r="E333" s="18">
        <v>1</v>
      </c>
      <c r="F333" s="18">
        <v>13</v>
      </c>
      <c r="G333" s="18">
        <v>2</v>
      </c>
      <c r="H333" s="18" t="s">
        <v>1360</v>
      </c>
    </row>
    <row r="334" spans="1:8">
      <c r="A334" s="7" t="str">
        <f t="shared" si="15"/>
        <v>02</v>
      </c>
      <c r="B334" s="7" t="str">
        <f t="shared" si="16"/>
        <v>062</v>
      </c>
      <c r="C334" s="7" t="str">
        <f t="shared" si="17"/>
        <v>Lomas de Zamora</v>
      </c>
      <c r="D334" s="18" t="s">
        <v>3283</v>
      </c>
      <c r="E334" s="18">
        <v>1</v>
      </c>
      <c r="F334" s="18">
        <v>6</v>
      </c>
      <c r="G334" s="18">
        <v>2</v>
      </c>
      <c r="H334" s="18" t="s">
        <v>1360</v>
      </c>
    </row>
    <row r="335" spans="1:8">
      <c r="A335" s="7" t="str">
        <f t="shared" si="15"/>
        <v>02</v>
      </c>
      <c r="B335" s="7" t="str">
        <f t="shared" si="16"/>
        <v>062</v>
      </c>
      <c r="C335" s="7" t="str">
        <f t="shared" si="17"/>
        <v>Lomas de Zamora</v>
      </c>
      <c r="D335" s="18" t="s">
        <v>3284</v>
      </c>
      <c r="E335" s="18">
        <v>1</v>
      </c>
      <c r="F335" s="18">
        <v>17</v>
      </c>
      <c r="G335" s="18">
        <v>2</v>
      </c>
      <c r="H335" s="18" t="s">
        <v>1360</v>
      </c>
    </row>
    <row r="336" spans="1:8">
      <c r="A336" s="7" t="str">
        <f t="shared" si="15"/>
        <v>02</v>
      </c>
      <c r="B336" s="7" t="str">
        <f t="shared" si="16"/>
        <v>062</v>
      </c>
      <c r="C336" s="7" t="str">
        <f t="shared" si="17"/>
        <v>Lomas de Zamora</v>
      </c>
      <c r="D336" s="18" t="s">
        <v>3285</v>
      </c>
      <c r="E336" s="18">
        <v>4</v>
      </c>
      <c r="F336" s="18">
        <v>72</v>
      </c>
      <c r="G336" s="18">
        <v>2</v>
      </c>
      <c r="H336" s="18" t="s">
        <v>1360</v>
      </c>
    </row>
    <row r="337" spans="1:8">
      <c r="A337" s="7" t="str">
        <f t="shared" si="15"/>
        <v>02</v>
      </c>
      <c r="B337" s="7" t="str">
        <f t="shared" si="16"/>
        <v>062</v>
      </c>
      <c r="C337" s="7" t="str">
        <f t="shared" si="17"/>
        <v>Lomas de Zamora</v>
      </c>
      <c r="D337" s="18" t="s">
        <v>3286</v>
      </c>
      <c r="E337" s="18">
        <v>1</v>
      </c>
      <c r="F337" s="18">
        <v>14</v>
      </c>
      <c r="G337" s="18">
        <v>2</v>
      </c>
      <c r="H337" s="18" t="s">
        <v>1360</v>
      </c>
    </row>
    <row r="338" spans="1:8">
      <c r="A338" s="7" t="str">
        <f t="shared" si="15"/>
        <v>02</v>
      </c>
      <c r="B338" s="7" t="str">
        <f t="shared" si="16"/>
        <v>062</v>
      </c>
      <c r="C338" s="7" t="str">
        <f t="shared" si="17"/>
        <v>Lomas de Zamora</v>
      </c>
      <c r="D338" s="18" t="s">
        <v>3287</v>
      </c>
      <c r="E338" s="18">
        <v>2</v>
      </c>
      <c r="F338" s="18">
        <v>69</v>
      </c>
      <c r="G338" s="18">
        <v>2</v>
      </c>
      <c r="H338" s="18" t="s">
        <v>1360</v>
      </c>
    </row>
    <row r="339" spans="1:8">
      <c r="A339" s="7" t="str">
        <f t="shared" si="15"/>
        <v>02</v>
      </c>
      <c r="B339" s="7" t="str">
        <f t="shared" si="16"/>
        <v>062</v>
      </c>
      <c r="C339" s="7" t="str">
        <f t="shared" si="17"/>
        <v>Lomas de Zamora</v>
      </c>
      <c r="D339" s="18" t="s">
        <v>3288</v>
      </c>
      <c r="E339" s="18">
        <v>10</v>
      </c>
      <c r="F339" s="18">
        <v>162</v>
      </c>
      <c r="G339" s="18">
        <v>2</v>
      </c>
      <c r="H339" s="18" t="s">
        <v>1360</v>
      </c>
    </row>
    <row r="340" spans="1:8">
      <c r="A340" s="7" t="str">
        <f t="shared" si="15"/>
        <v>02</v>
      </c>
      <c r="B340" s="7" t="str">
        <f t="shared" si="16"/>
        <v>062</v>
      </c>
      <c r="C340" s="7" t="str">
        <f t="shared" si="17"/>
        <v>Lomas de Zamora</v>
      </c>
      <c r="D340" s="18" t="s">
        <v>3289</v>
      </c>
      <c r="E340" s="18">
        <v>1</v>
      </c>
      <c r="F340" s="18">
        <v>30</v>
      </c>
      <c r="G340" s="18">
        <v>2</v>
      </c>
      <c r="H340" s="18" t="s">
        <v>1360</v>
      </c>
    </row>
    <row r="341" spans="1:8">
      <c r="A341" s="7" t="str">
        <f t="shared" si="15"/>
        <v>02</v>
      </c>
      <c r="B341" s="7" t="str">
        <f t="shared" si="16"/>
        <v>062</v>
      </c>
      <c r="C341" s="7" t="str">
        <f t="shared" si="17"/>
        <v>Lomas de Zamora</v>
      </c>
      <c r="D341" s="18" t="s">
        <v>3290</v>
      </c>
      <c r="E341" s="18">
        <v>1</v>
      </c>
      <c r="F341" s="18">
        <v>16</v>
      </c>
      <c r="G341" s="18">
        <v>2</v>
      </c>
      <c r="H341" s="18" t="s">
        <v>1360</v>
      </c>
    </row>
    <row r="342" spans="1:8">
      <c r="A342" s="7" t="str">
        <f t="shared" si="15"/>
        <v>02</v>
      </c>
      <c r="B342" s="7" t="str">
        <f t="shared" si="16"/>
        <v>062</v>
      </c>
      <c r="C342" s="7" t="str">
        <f t="shared" si="17"/>
        <v>Lomas de Zamora</v>
      </c>
      <c r="D342" s="18" t="s">
        <v>3291</v>
      </c>
      <c r="E342" s="18">
        <v>2</v>
      </c>
      <c r="F342" s="18">
        <v>28</v>
      </c>
      <c r="G342" s="18">
        <v>2</v>
      </c>
      <c r="H342" s="18" t="s">
        <v>1360</v>
      </c>
    </row>
    <row r="343" spans="1:8">
      <c r="A343" s="7" t="str">
        <f t="shared" si="15"/>
        <v>02</v>
      </c>
      <c r="B343" s="7" t="str">
        <f t="shared" si="16"/>
        <v>062</v>
      </c>
      <c r="C343" s="7" t="str">
        <f t="shared" si="17"/>
        <v>Lomas de Zamora</v>
      </c>
      <c r="D343" s="18" t="s">
        <v>3292</v>
      </c>
      <c r="E343" s="18">
        <v>1</v>
      </c>
      <c r="F343" s="18">
        <v>13</v>
      </c>
      <c r="G343" s="18">
        <v>2</v>
      </c>
      <c r="H343" s="18" t="s">
        <v>1360</v>
      </c>
    </row>
    <row r="344" spans="1:8">
      <c r="A344" s="7" t="str">
        <f t="shared" si="15"/>
        <v>02</v>
      </c>
      <c r="B344" s="7" t="str">
        <f t="shared" si="16"/>
        <v>062</v>
      </c>
      <c r="C344" s="7" t="str">
        <f t="shared" si="17"/>
        <v>Lomas de Zamora</v>
      </c>
      <c r="D344" s="18" t="s">
        <v>3293</v>
      </c>
      <c r="E344" s="18">
        <v>1</v>
      </c>
      <c r="F344" s="18">
        <v>30</v>
      </c>
      <c r="G344" s="18">
        <v>2</v>
      </c>
      <c r="H344" s="18" t="s">
        <v>1360</v>
      </c>
    </row>
    <row r="345" spans="1:8">
      <c r="A345" s="7" t="str">
        <f t="shared" si="15"/>
        <v>02</v>
      </c>
      <c r="B345" s="7" t="str">
        <f t="shared" si="16"/>
        <v>062</v>
      </c>
      <c r="C345" s="7" t="str">
        <f t="shared" si="17"/>
        <v>Lomas de Zamora</v>
      </c>
      <c r="D345" s="18" t="s">
        <v>3294</v>
      </c>
      <c r="E345" s="18">
        <v>1</v>
      </c>
      <c r="F345" s="18">
        <v>20</v>
      </c>
      <c r="G345" s="18">
        <v>2</v>
      </c>
      <c r="H345" s="18" t="s">
        <v>1360</v>
      </c>
    </row>
    <row r="346" spans="1:8">
      <c r="A346" s="7" t="str">
        <f t="shared" si="15"/>
        <v>02</v>
      </c>
      <c r="B346" s="7" t="str">
        <f t="shared" si="16"/>
        <v>062</v>
      </c>
      <c r="C346" s="7" t="str">
        <f t="shared" si="17"/>
        <v>Lomas de Zamora</v>
      </c>
      <c r="D346" s="18" t="s">
        <v>3295</v>
      </c>
      <c r="E346" s="18">
        <v>1</v>
      </c>
      <c r="F346" s="18">
        <v>32</v>
      </c>
      <c r="G346" s="18">
        <v>2</v>
      </c>
      <c r="H346" s="18" t="s">
        <v>1360</v>
      </c>
    </row>
    <row r="347" spans="1:8">
      <c r="A347" s="7" t="str">
        <f t="shared" si="15"/>
        <v>02</v>
      </c>
      <c r="B347" s="7" t="str">
        <f t="shared" si="16"/>
        <v>062</v>
      </c>
      <c r="C347" s="7" t="str">
        <f t="shared" si="17"/>
        <v>Lomas de Zamora</v>
      </c>
      <c r="D347" s="18" t="s">
        <v>3296</v>
      </c>
      <c r="E347" s="18">
        <v>1</v>
      </c>
      <c r="F347" s="18">
        <v>15</v>
      </c>
      <c r="G347" s="18">
        <v>2</v>
      </c>
      <c r="H347" s="18" t="s">
        <v>1360</v>
      </c>
    </row>
    <row r="348" spans="1:8">
      <c r="A348" s="7" t="str">
        <f t="shared" si="15"/>
        <v>02</v>
      </c>
      <c r="B348" s="7" t="str">
        <f t="shared" si="16"/>
        <v>062</v>
      </c>
      <c r="C348" s="7" t="str">
        <f t="shared" si="17"/>
        <v>Lomas de Zamora</v>
      </c>
      <c r="D348" s="18" t="s">
        <v>3297</v>
      </c>
      <c r="E348" s="18">
        <v>1</v>
      </c>
      <c r="F348" s="18">
        <v>10</v>
      </c>
      <c r="G348" s="18">
        <v>2</v>
      </c>
      <c r="H348" s="18" t="s">
        <v>1360</v>
      </c>
    </row>
    <row r="349" spans="1:8">
      <c r="A349" s="7" t="str">
        <f t="shared" si="15"/>
        <v>02</v>
      </c>
      <c r="B349" s="7" t="str">
        <f t="shared" si="16"/>
        <v>062</v>
      </c>
      <c r="C349" s="7" t="str">
        <f t="shared" si="17"/>
        <v>Lomas de Zamora</v>
      </c>
      <c r="D349" s="18" t="s">
        <v>2836</v>
      </c>
      <c r="E349" s="18">
        <v>1</v>
      </c>
      <c r="F349" s="18">
        <v>13</v>
      </c>
      <c r="G349" s="18">
        <v>2</v>
      </c>
      <c r="H349" s="18" t="s">
        <v>1360</v>
      </c>
    </row>
    <row r="350" spans="1:8">
      <c r="A350" s="7" t="str">
        <f t="shared" si="15"/>
        <v>02</v>
      </c>
      <c r="B350" s="7" t="str">
        <f t="shared" si="16"/>
        <v>062</v>
      </c>
      <c r="C350" s="7" t="str">
        <f t="shared" si="17"/>
        <v>Lomas de Zamora</v>
      </c>
      <c r="D350" s="18" t="s">
        <v>3298</v>
      </c>
      <c r="E350" s="18">
        <v>1</v>
      </c>
      <c r="F350" s="18">
        <v>33</v>
      </c>
      <c r="G350" s="18">
        <v>2</v>
      </c>
      <c r="H350" s="18" t="s">
        <v>1360</v>
      </c>
    </row>
    <row r="351" spans="1:8">
      <c r="A351" s="7" t="str">
        <f t="shared" si="15"/>
        <v>02</v>
      </c>
      <c r="B351" s="7" t="str">
        <f t="shared" si="16"/>
        <v>062</v>
      </c>
      <c r="C351" s="7" t="str">
        <f t="shared" si="17"/>
        <v>Lomas de Zamora</v>
      </c>
      <c r="D351" s="18" t="s">
        <v>3299</v>
      </c>
      <c r="E351" s="18">
        <v>1</v>
      </c>
      <c r="F351" s="18">
        <v>14</v>
      </c>
      <c r="G351" s="18">
        <v>2</v>
      </c>
      <c r="H351" s="18" t="s">
        <v>1360</v>
      </c>
    </row>
    <row r="352" spans="1:8">
      <c r="A352" s="7" t="str">
        <f t="shared" si="15"/>
        <v>02</v>
      </c>
      <c r="B352" s="7" t="str">
        <f t="shared" si="16"/>
        <v>062</v>
      </c>
      <c r="C352" s="7" t="str">
        <f t="shared" si="17"/>
        <v>Lomas de Zamora</v>
      </c>
      <c r="D352" s="18" t="s">
        <v>3300</v>
      </c>
      <c r="E352" s="18">
        <v>1</v>
      </c>
      <c r="F352" s="18">
        <v>10</v>
      </c>
      <c r="G352" s="18">
        <v>2</v>
      </c>
      <c r="H352" s="18" t="s">
        <v>1360</v>
      </c>
    </row>
    <row r="353" spans="1:8">
      <c r="A353" s="7" t="str">
        <f t="shared" si="15"/>
        <v>02</v>
      </c>
      <c r="B353" s="7" t="str">
        <f t="shared" si="16"/>
        <v>062</v>
      </c>
      <c r="C353" s="7" t="str">
        <f t="shared" si="17"/>
        <v>Lomas de Zamora</v>
      </c>
      <c r="D353" s="18" t="s">
        <v>3301</v>
      </c>
      <c r="E353" s="18">
        <v>1</v>
      </c>
      <c r="F353" s="18">
        <v>13</v>
      </c>
      <c r="G353" s="18">
        <v>2</v>
      </c>
      <c r="H353" s="18" t="s">
        <v>1360</v>
      </c>
    </row>
    <row r="354" spans="1:8">
      <c r="A354" s="7" t="str">
        <f t="shared" si="15"/>
        <v>02</v>
      </c>
      <c r="B354" s="7" t="str">
        <f t="shared" si="16"/>
        <v>062</v>
      </c>
      <c r="C354" s="7" t="str">
        <f t="shared" si="17"/>
        <v>Lomas de Zamora</v>
      </c>
      <c r="D354" s="18" t="s">
        <v>3302</v>
      </c>
      <c r="E354" s="18">
        <v>1</v>
      </c>
      <c r="F354" s="18">
        <v>15</v>
      </c>
      <c r="G354" s="18">
        <v>2</v>
      </c>
      <c r="H354" s="18" t="s">
        <v>1360</v>
      </c>
    </row>
    <row r="355" spans="1:8">
      <c r="A355" s="7" t="str">
        <f t="shared" si="15"/>
        <v>02</v>
      </c>
      <c r="B355" s="7" t="str">
        <f t="shared" si="16"/>
        <v>062</v>
      </c>
      <c r="C355" s="7" t="str">
        <f t="shared" si="17"/>
        <v>Lomas de Zamora</v>
      </c>
      <c r="D355" s="18" t="s">
        <v>3303</v>
      </c>
      <c r="E355" s="18">
        <v>2</v>
      </c>
      <c r="F355" s="18">
        <v>22</v>
      </c>
      <c r="G355" s="18">
        <v>2</v>
      </c>
      <c r="H355" s="18" t="s">
        <v>1360</v>
      </c>
    </row>
    <row r="356" spans="1:8">
      <c r="A356" s="7" t="str">
        <f t="shared" si="15"/>
        <v>02</v>
      </c>
      <c r="B356" s="7" t="str">
        <f t="shared" si="16"/>
        <v>062</v>
      </c>
      <c r="C356" s="7" t="str">
        <f t="shared" si="17"/>
        <v>Lomas de Zamora</v>
      </c>
      <c r="D356" s="18" t="s">
        <v>3304</v>
      </c>
      <c r="E356" s="18">
        <v>7</v>
      </c>
      <c r="F356" s="18">
        <v>126</v>
      </c>
      <c r="G356" s="18">
        <v>2</v>
      </c>
      <c r="H356" s="18" t="s">
        <v>1360</v>
      </c>
    </row>
    <row r="357" spans="1:8">
      <c r="A357" s="7" t="str">
        <f t="shared" si="15"/>
        <v>02</v>
      </c>
      <c r="B357" s="7" t="str">
        <f t="shared" si="16"/>
        <v>062</v>
      </c>
      <c r="C357" s="7" t="str">
        <f t="shared" si="17"/>
        <v>Lomas de Zamora</v>
      </c>
      <c r="D357" s="18" t="s">
        <v>3305</v>
      </c>
      <c r="E357" s="18">
        <v>1</v>
      </c>
      <c r="F357" s="18">
        <v>22</v>
      </c>
      <c r="G357" s="18">
        <v>2</v>
      </c>
      <c r="H357" s="18" t="s">
        <v>1360</v>
      </c>
    </row>
    <row r="358" spans="1:8">
      <c r="A358" s="7" t="str">
        <f t="shared" si="15"/>
        <v>02</v>
      </c>
      <c r="B358" s="7" t="str">
        <f t="shared" si="16"/>
        <v>062</v>
      </c>
      <c r="C358" s="7" t="str">
        <f t="shared" si="17"/>
        <v>Lomas de Zamora</v>
      </c>
      <c r="D358" s="18" t="s">
        <v>3306</v>
      </c>
      <c r="E358" s="18">
        <v>1</v>
      </c>
      <c r="F358" s="18">
        <v>23</v>
      </c>
      <c r="G358" s="18">
        <v>2</v>
      </c>
      <c r="H358" s="18" t="s">
        <v>1360</v>
      </c>
    </row>
    <row r="359" spans="1:8">
      <c r="A359" s="7" t="str">
        <f t="shared" si="15"/>
        <v>02</v>
      </c>
      <c r="B359" s="7" t="str">
        <f t="shared" si="16"/>
        <v>062</v>
      </c>
      <c r="C359" s="7" t="str">
        <f t="shared" si="17"/>
        <v>Lomas de Zamora</v>
      </c>
      <c r="D359" s="18" t="s">
        <v>3307</v>
      </c>
      <c r="E359" s="18">
        <v>2</v>
      </c>
      <c r="F359" s="18">
        <v>30</v>
      </c>
      <c r="G359" s="18">
        <v>2</v>
      </c>
      <c r="H359" s="18" t="s">
        <v>1360</v>
      </c>
    </row>
    <row r="360" spans="1:8">
      <c r="A360" s="7" t="str">
        <f t="shared" si="15"/>
        <v>02</v>
      </c>
      <c r="B360" s="7" t="str">
        <f t="shared" si="16"/>
        <v>062</v>
      </c>
      <c r="C360" s="7" t="str">
        <f t="shared" si="17"/>
        <v>Lomas de Zamora</v>
      </c>
      <c r="D360" s="18" t="s">
        <v>3308</v>
      </c>
      <c r="E360" s="18">
        <v>1</v>
      </c>
      <c r="F360" s="18">
        <v>8</v>
      </c>
      <c r="G360" s="18">
        <v>2</v>
      </c>
      <c r="H360" s="18" t="s">
        <v>1360</v>
      </c>
    </row>
    <row r="361" spans="1:8">
      <c r="A361" s="7" t="str">
        <f t="shared" si="15"/>
        <v>02</v>
      </c>
      <c r="B361" s="7" t="str">
        <f t="shared" si="16"/>
        <v>062</v>
      </c>
      <c r="C361" s="7" t="str">
        <f t="shared" si="17"/>
        <v>Lomas de Zamora</v>
      </c>
      <c r="D361" s="18" t="s">
        <v>3309</v>
      </c>
      <c r="E361" s="18">
        <v>1</v>
      </c>
      <c r="F361" s="18">
        <v>19</v>
      </c>
      <c r="G361" s="18">
        <v>2</v>
      </c>
      <c r="H361" s="18" t="s">
        <v>1360</v>
      </c>
    </row>
    <row r="362" spans="1:8">
      <c r="A362" s="7" t="str">
        <f t="shared" si="15"/>
        <v>02</v>
      </c>
      <c r="B362" s="7" t="str">
        <f t="shared" si="16"/>
        <v>062</v>
      </c>
      <c r="C362" s="7" t="str">
        <f t="shared" si="17"/>
        <v>Lomas de Zamora</v>
      </c>
      <c r="D362" s="18" t="s">
        <v>3310</v>
      </c>
      <c r="E362" s="18">
        <v>1</v>
      </c>
      <c r="F362" s="18">
        <v>20</v>
      </c>
      <c r="G362" s="18">
        <v>2</v>
      </c>
      <c r="H362" s="18" t="s">
        <v>1360</v>
      </c>
    </row>
    <row r="363" spans="1:8">
      <c r="A363" s="7" t="str">
        <f t="shared" si="15"/>
        <v>02</v>
      </c>
      <c r="B363" s="7" t="str">
        <f t="shared" si="16"/>
        <v>062</v>
      </c>
      <c r="C363" s="7" t="str">
        <f t="shared" si="17"/>
        <v>Lomas de Zamora</v>
      </c>
      <c r="D363" s="18" t="s">
        <v>3311</v>
      </c>
      <c r="E363" s="18">
        <v>1</v>
      </c>
      <c r="F363" s="18">
        <v>25</v>
      </c>
      <c r="G363" s="18">
        <v>2</v>
      </c>
      <c r="H363" s="18" t="s">
        <v>1360</v>
      </c>
    </row>
    <row r="364" spans="1:8">
      <c r="A364" s="7" t="str">
        <f t="shared" si="15"/>
        <v>02</v>
      </c>
      <c r="B364" s="7" t="str">
        <f t="shared" si="16"/>
        <v>062</v>
      </c>
      <c r="C364" s="7" t="str">
        <f t="shared" si="17"/>
        <v>Lomas de Zamora</v>
      </c>
      <c r="D364" s="18" t="s">
        <v>1066</v>
      </c>
      <c r="E364" s="18">
        <v>3</v>
      </c>
      <c r="F364" s="18">
        <v>35</v>
      </c>
      <c r="G364" s="18">
        <v>2</v>
      </c>
      <c r="H364" s="18" t="s">
        <v>1360</v>
      </c>
    </row>
    <row r="365" spans="1:8">
      <c r="A365" s="7" t="str">
        <f t="shared" si="15"/>
        <v>03</v>
      </c>
      <c r="B365" s="7" t="str">
        <f t="shared" si="16"/>
        <v>069</v>
      </c>
      <c r="C365" s="7" t="str">
        <f t="shared" si="17"/>
        <v>La Matanza</v>
      </c>
      <c r="D365" s="18">
        <v>504</v>
      </c>
      <c r="E365" s="18">
        <v>1</v>
      </c>
      <c r="F365" s="18">
        <v>27</v>
      </c>
      <c r="G365" s="18">
        <v>3</v>
      </c>
      <c r="H365" s="18" t="s">
        <v>3312</v>
      </c>
    </row>
    <row r="366" spans="1:8">
      <c r="A366" s="7" t="str">
        <f t="shared" si="15"/>
        <v>03</v>
      </c>
      <c r="B366" s="7" t="str">
        <f t="shared" si="16"/>
        <v>069</v>
      </c>
      <c r="C366" s="7" t="str">
        <f t="shared" si="17"/>
        <v>La Matanza</v>
      </c>
      <c r="D366" s="18" t="s">
        <v>3313</v>
      </c>
      <c r="E366" s="18">
        <v>1</v>
      </c>
      <c r="F366" s="18">
        <v>19</v>
      </c>
      <c r="G366" s="18">
        <v>3</v>
      </c>
      <c r="H366" s="18" t="s">
        <v>3312</v>
      </c>
    </row>
    <row r="367" spans="1:8">
      <c r="A367" s="7" t="str">
        <f t="shared" si="15"/>
        <v>03</v>
      </c>
      <c r="B367" s="7" t="str">
        <f t="shared" si="16"/>
        <v>069</v>
      </c>
      <c r="C367" s="7" t="str">
        <f t="shared" si="17"/>
        <v>La Matanza</v>
      </c>
      <c r="D367" s="18" t="s">
        <v>3314</v>
      </c>
      <c r="E367" s="18">
        <v>1</v>
      </c>
      <c r="F367" s="18">
        <v>11</v>
      </c>
      <c r="G367" s="18">
        <v>3</v>
      </c>
      <c r="H367" s="18" t="s">
        <v>3312</v>
      </c>
    </row>
    <row r="368" spans="1:8">
      <c r="A368" s="7" t="str">
        <f t="shared" si="15"/>
        <v>03</v>
      </c>
      <c r="B368" s="7" t="str">
        <f t="shared" si="16"/>
        <v>069</v>
      </c>
      <c r="C368" s="7" t="str">
        <f t="shared" si="17"/>
        <v>La Matanza</v>
      </c>
      <c r="D368" s="18" t="s">
        <v>3315</v>
      </c>
      <c r="E368" s="18">
        <v>6</v>
      </c>
      <c r="F368" s="18">
        <v>133</v>
      </c>
      <c r="G368" s="18">
        <v>3</v>
      </c>
      <c r="H368" s="18" t="s">
        <v>3312</v>
      </c>
    </row>
    <row r="369" spans="1:8">
      <c r="A369" s="7" t="str">
        <f t="shared" si="15"/>
        <v>03</v>
      </c>
      <c r="B369" s="7" t="str">
        <f t="shared" si="16"/>
        <v>069</v>
      </c>
      <c r="C369" s="7" t="str">
        <f t="shared" si="17"/>
        <v>La Matanza</v>
      </c>
      <c r="D369" s="18" t="s">
        <v>3316</v>
      </c>
      <c r="E369" s="18">
        <v>1</v>
      </c>
      <c r="F369" s="18">
        <v>13</v>
      </c>
      <c r="G369" s="18">
        <v>3</v>
      </c>
      <c r="H369" s="18" t="s">
        <v>3312</v>
      </c>
    </row>
    <row r="370" spans="1:8">
      <c r="A370" s="7" t="str">
        <f t="shared" si="15"/>
        <v>03</v>
      </c>
      <c r="B370" s="7" t="str">
        <f t="shared" si="16"/>
        <v>069</v>
      </c>
      <c r="C370" s="7" t="str">
        <f t="shared" si="17"/>
        <v>La Matanza</v>
      </c>
      <c r="D370" s="18" t="s">
        <v>3317</v>
      </c>
      <c r="E370" s="18">
        <v>1</v>
      </c>
      <c r="F370" s="18">
        <v>11</v>
      </c>
      <c r="G370" s="18">
        <v>3</v>
      </c>
      <c r="H370" s="18" t="s">
        <v>3312</v>
      </c>
    </row>
    <row r="371" spans="1:8">
      <c r="A371" s="7" t="str">
        <f t="shared" si="15"/>
        <v>03</v>
      </c>
      <c r="B371" s="7" t="str">
        <f t="shared" si="16"/>
        <v>069</v>
      </c>
      <c r="C371" s="7" t="str">
        <f t="shared" si="17"/>
        <v>La Matanza</v>
      </c>
      <c r="D371" s="18" t="s">
        <v>3318</v>
      </c>
      <c r="E371" s="18">
        <v>3</v>
      </c>
      <c r="F371" s="18">
        <v>82</v>
      </c>
      <c r="G371" s="18">
        <v>3</v>
      </c>
      <c r="H371" s="18" t="s">
        <v>3312</v>
      </c>
    </row>
    <row r="372" spans="1:8">
      <c r="A372" s="7" t="str">
        <f t="shared" si="15"/>
        <v>03</v>
      </c>
      <c r="B372" s="7" t="str">
        <f t="shared" si="16"/>
        <v>069</v>
      </c>
      <c r="C372" s="7" t="str">
        <f t="shared" si="17"/>
        <v>La Matanza</v>
      </c>
      <c r="D372" s="18" t="s">
        <v>3319</v>
      </c>
      <c r="E372" s="18">
        <v>2</v>
      </c>
      <c r="F372" s="18">
        <v>55</v>
      </c>
      <c r="G372" s="18">
        <v>3</v>
      </c>
      <c r="H372" s="18" t="s">
        <v>3312</v>
      </c>
    </row>
    <row r="373" spans="1:8">
      <c r="A373" s="7" t="str">
        <f t="shared" si="15"/>
        <v>03</v>
      </c>
      <c r="B373" s="7" t="str">
        <f t="shared" si="16"/>
        <v>069</v>
      </c>
      <c r="C373" s="7" t="str">
        <f t="shared" si="17"/>
        <v>La Matanza</v>
      </c>
      <c r="D373" s="18" t="s">
        <v>3320</v>
      </c>
      <c r="E373" s="18">
        <v>2</v>
      </c>
      <c r="F373" s="18">
        <v>47</v>
      </c>
      <c r="G373" s="18">
        <v>3</v>
      </c>
      <c r="H373" s="18" t="s">
        <v>3312</v>
      </c>
    </row>
    <row r="374" spans="1:8">
      <c r="A374" s="7" t="str">
        <f t="shared" si="15"/>
        <v>03</v>
      </c>
      <c r="B374" s="7" t="str">
        <f t="shared" si="16"/>
        <v>069</v>
      </c>
      <c r="C374" s="7" t="str">
        <f t="shared" si="17"/>
        <v>La Matanza</v>
      </c>
      <c r="D374" s="18" t="s">
        <v>3321</v>
      </c>
      <c r="E374" s="18">
        <v>2</v>
      </c>
      <c r="F374" s="18">
        <v>37</v>
      </c>
      <c r="G374" s="18">
        <v>3</v>
      </c>
      <c r="H374" s="18" t="s">
        <v>3312</v>
      </c>
    </row>
    <row r="375" spans="1:8">
      <c r="A375" s="7" t="str">
        <f t="shared" si="15"/>
        <v>03</v>
      </c>
      <c r="B375" s="7" t="str">
        <f t="shared" si="16"/>
        <v>069</v>
      </c>
      <c r="C375" s="7" t="str">
        <f t="shared" si="17"/>
        <v>La Matanza</v>
      </c>
      <c r="D375" s="18" t="s">
        <v>3322</v>
      </c>
      <c r="E375" s="18">
        <v>2</v>
      </c>
      <c r="F375" s="18">
        <v>40</v>
      </c>
      <c r="G375" s="18">
        <v>3</v>
      </c>
      <c r="H375" s="18" t="s">
        <v>3312</v>
      </c>
    </row>
    <row r="376" spans="1:8">
      <c r="A376" s="7" t="str">
        <f t="shared" si="15"/>
        <v>03</v>
      </c>
      <c r="B376" s="7" t="str">
        <f t="shared" si="16"/>
        <v>069</v>
      </c>
      <c r="C376" s="7" t="str">
        <f t="shared" si="17"/>
        <v>La Matanza</v>
      </c>
      <c r="D376" s="18" t="s">
        <v>3323</v>
      </c>
      <c r="E376" s="18">
        <v>3</v>
      </c>
      <c r="F376" s="18">
        <v>85</v>
      </c>
      <c r="G376" s="18">
        <v>3</v>
      </c>
      <c r="H376" s="18" t="s">
        <v>3312</v>
      </c>
    </row>
    <row r="377" spans="1:8">
      <c r="A377" s="7" t="str">
        <f t="shared" si="15"/>
        <v>03</v>
      </c>
      <c r="B377" s="7" t="str">
        <f t="shared" si="16"/>
        <v>069</v>
      </c>
      <c r="C377" s="7" t="str">
        <f t="shared" si="17"/>
        <v>La Matanza</v>
      </c>
      <c r="D377" s="18" t="s">
        <v>3324</v>
      </c>
      <c r="E377" s="18">
        <v>1</v>
      </c>
      <c r="F377" s="18">
        <v>0</v>
      </c>
      <c r="G377" s="18">
        <v>3</v>
      </c>
      <c r="H377" s="18" t="s">
        <v>3312</v>
      </c>
    </row>
    <row r="378" spans="1:8">
      <c r="A378" s="7" t="str">
        <f t="shared" si="15"/>
        <v>03</v>
      </c>
      <c r="B378" s="7" t="str">
        <f t="shared" si="16"/>
        <v>069</v>
      </c>
      <c r="C378" s="7" t="str">
        <f t="shared" si="17"/>
        <v>La Matanza</v>
      </c>
      <c r="D378" s="18" t="s">
        <v>3325</v>
      </c>
      <c r="E378" s="18">
        <v>2</v>
      </c>
      <c r="F378" s="18">
        <v>33</v>
      </c>
      <c r="G378" s="18">
        <v>3</v>
      </c>
      <c r="H378" s="18" t="s">
        <v>3312</v>
      </c>
    </row>
    <row r="379" spans="1:8">
      <c r="A379" s="7" t="str">
        <f t="shared" si="15"/>
        <v>03</v>
      </c>
      <c r="B379" s="7" t="str">
        <f t="shared" si="16"/>
        <v>069</v>
      </c>
      <c r="C379" s="7" t="str">
        <f t="shared" si="17"/>
        <v>La Matanza</v>
      </c>
      <c r="D379" s="18" t="s">
        <v>3326</v>
      </c>
      <c r="E379" s="18">
        <v>4</v>
      </c>
      <c r="F379" s="18">
        <v>99</v>
      </c>
      <c r="G379" s="18">
        <v>3</v>
      </c>
      <c r="H379" s="18" t="s">
        <v>3312</v>
      </c>
    </row>
    <row r="380" spans="1:8">
      <c r="A380" s="7" t="str">
        <f t="shared" si="15"/>
        <v>03</v>
      </c>
      <c r="B380" s="7" t="str">
        <f t="shared" si="16"/>
        <v>069</v>
      </c>
      <c r="C380" s="7" t="str">
        <f t="shared" si="17"/>
        <v>La Matanza</v>
      </c>
      <c r="D380" s="18" t="s">
        <v>3327</v>
      </c>
      <c r="E380" s="18">
        <v>8</v>
      </c>
      <c r="F380" s="18">
        <v>165</v>
      </c>
      <c r="G380" s="18">
        <v>3</v>
      </c>
      <c r="H380" s="18" t="s">
        <v>3312</v>
      </c>
    </row>
    <row r="381" spans="1:8">
      <c r="A381" s="7" t="str">
        <f t="shared" si="15"/>
        <v>03</v>
      </c>
      <c r="B381" s="7" t="str">
        <f t="shared" si="16"/>
        <v>069</v>
      </c>
      <c r="C381" s="7" t="str">
        <f t="shared" si="17"/>
        <v>La Matanza</v>
      </c>
      <c r="D381" s="18" t="s">
        <v>3328</v>
      </c>
      <c r="E381" s="18">
        <v>4</v>
      </c>
      <c r="F381" s="18">
        <v>120</v>
      </c>
      <c r="G381" s="18">
        <v>3</v>
      </c>
      <c r="H381" s="18" t="s">
        <v>3312</v>
      </c>
    </row>
    <row r="382" spans="1:8">
      <c r="A382" s="7" t="str">
        <f t="shared" si="15"/>
        <v>03</v>
      </c>
      <c r="B382" s="7" t="str">
        <f t="shared" si="16"/>
        <v>069</v>
      </c>
      <c r="C382" s="7" t="str">
        <f t="shared" si="17"/>
        <v>La Matanza</v>
      </c>
      <c r="D382" s="18" t="s">
        <v>3329</v>
      </c>
      <c r="E382" s="18">
        <v>7</v>
      </c>
      <c r="F382" s="18">
        <v>195</v>
      </c>
      <c r="G382" s="18">
        <v>3</v>
      </c>
      <c r="H382" s="18" t="s">
        <v>3312</v>
      </c>
    </row>
    <row r="383" spans="1:8">
      <c r="A383" s="7" t="str">
        <f t="shared" si="15"/>
        <v>03</v>
      </c>
      <c r="B383" s="7" t="str">
        <f t="shared" si="16"/>
        <v>069</v>
      </c>
      <c r="C383" s="7" t="str">
        <f t="shared" si="17"/>
        <v>La Matanza</v>
      </c>
      <c r="D383" s="18" t="s">
        <v>3330</v>
      </c>
      <c r="E383" s="18">
        <v>4</v>
      </c>
      <c r="F383" s="18">
        <v>86</v>
      </c>
      <c r="G383" s="18">
        <v>3</v>
      </c>
      <c r="H383" s="18" t="s">
        <v>3312</v>
      </c>
    </row>
    <row r="384" spans="1:8">
      <c r="A384" s="7" t="str">
        <f t="shared" si="15"/>
        <v>03</v>
      </c>
      <c r="B384" s="7" t="str">
        <f t="shared" si="16"/>
        <v>069</v>
      </c>
      <c r="C384" s="7" t="str">
        <f t="shared" si="17"/>
        <v>La Matanza</v>
      </c>
      <c r="D384" s="18" t="s">
        <v>3331</v>
      </c>
      <c r="E384" s="18">
        <v>6</v>
      </c>
      <c r="F384" s="18">
        <v>167</v>
      </c>
      <c r="G384" s="18">
        <v>3</v>
      </c>
      <c r="H384" s="18" t="s">
        <v>3312</v>
      </c>
    </row>
    <row r="385" spans="1:8">
      <c r="A385" s="7" t="str">
        <f t="shared" si="15"/>
        <v>03</v>
      </c>
      <c r="B385" s="7" t="str">
        <f t="shared" si="16"/>
        <v>069</v>
      </c>
      <c r="C385" s="7" t="str">
        <f t="shared" si="17"/>
        <v>La Matanza</v>
      </c>
      <c r="D385" s="18" t="s">
        <v>3332</v>
      </c>
      <c r="E385" s="18">
        <v>4</v>
      </c>
      <c r="F385" s="18">
        <v>86</v>
      </c>
      <c r="G385" s="18">
        <v>3</v>
      </c>
      <c r="H385" s="18" t="s">
        <v>3312</v>
      </c>
    </row>
    <row r="386" spans="1:8">
      <c r="A386" s="7" t="str">
        <f t="shared" si="15"/>
        <v>03</v>
      </c>
      <c r="B386" s="7" t="str">
        <f t="shared" si="16"/>
        <v>069</v>
      </c>
      <c r="C386" s="7" t="str">
        <f t="shared" si="17"/>
        <v>La Matanza</v>
      </c>
      <c r="D386" s="18" t="s">
        <v>3333</v>
      </c>
      <c r="E386" s="18">
        <v>1</v>
      </c>
      <c r="F386" s="18">
        <v>23</v>
      </c>
      <c r="G386" s="18">
        <v>3</v>
      </c>
      <c r="H386" s="18" t="s">
        <v>3312</v>
      </c>
    </row>
    <row r="387" spans="1:8">
      <c r="A387" s="7" t="str">
        <f t="shared" ref="A387:A450" si="18">+VLOOKUP(H387,$K:$N,2,FALSE)</f>
        <v>03</v>
      </c>
      <c r="B387" s="7" t="str">
        <f t="shared" ref="B387:B450" si="19">+VLOOKUP(H387,$K:$N,3,FALSE)</f>
        <v>069</v>
      </c>
      <c r="C387" s="7" t="str">
        <f t="shared" ref="C387:C450" si="20">+VLOOKUP(H387,$K:$N,4,FALSE)</f>
        <v>La Matanza</v>
      </c>
      <c r="D387" s="18" t="s">
        <v>3334</v>
      </c>
      <c r="E387" s="18">
        <v>1</v>
      </c>
      <c r="F387" s="18">
        <v>19</v>
      </c>
      <c r="G387" s="18">
        <v>3</v>
      </c>
      <c r="H387" s="18" t="s">
        <v>3312</v>
      </c>
    </row>
    <row r="388" spans="1:8">
      <c r="A388" s="7" t="str">
        <f t="shared" si="18"/>
        <v>03</v>
      </c>
      <c r="B388" s="7" t="str">
        <f t="shared" si="19"/>
        <v>069</v>
      </c>
      <c r="C388" s="7" t="str">
        <f t="shared" si="20"/>
        <v>La Matanza</v>
      </c>
      <c r="D388" s="18" t="s">
        <v>3335</v>
      </c>
      <c r="E388" s="18">
        <v>3</v>
      </c>
      <c r="F388" s="18">
        <v>34</v>
      </c>
      <c r="G388" s="18">
        <v>3</v>
      </c>
      <c r="H388" s="18" t="s">
        <v>3312</v>
      </c>
    </row>
    <row r="389" spans="1:8">
      <c r="A389" s="7" t="str">
        <f t="shared" si="18"/>
        <v>03</v>
      </c>
      <c r="B389" s="7" t="str">
        <f t="shared" si="19"/>
        <v>069</v>
      </c>
      <c r="C389" s="7" t="str">
        <f t="shared" si="20"/>
        <v>La Matanza</v>
      </c>
      <c r="D389" s="18" t="s">
        <v>3336</v>
      </c>
      <c r="E389" s="18">
        <v>1</v>
      </c>
      <c r="F389" s="18">
        <v>27</v>
      </c>
      <c r="G389" s="18">
        <v>3</v>
      </c>
      <c r="H389" s="18" t="s">
        <v>3312</v>
      </c>
    </row>
    <row r="390" spans="1:8">
      <c r="A390" s="7" t="str">
        <f t="shared" si="18"/>
        <v>03</v>
      </c>
      <c r="B390" s="7" t="str">
        <f t="shared" si="19"/>
        <v>069</v>
      </c>
      <c r="C390" s="7" t="str">
        <f t="shared" si="20"/>
        <v>La Matanza</v>
      </c>
      <c r="D390" s="18" t="s">
        <v>3337</v>
      </c>
      <c r="E390" s="18">
        <v>1</v>
      </c>
      <c r="F390" s="18">
        <v>20</v>
      </c>
      <c r="G390" s="18">
        <v>3</v>
      </c>
      <c r="H390" s="18" t="s">
        <v>3312</v>
      </c>
    </row>
    <row r="391" spans="1:8">
      <c r="A391" s="7" t="str">
        <f t="shared" si="18"/>
        <v>03</v>
      </c>
      <c r="B391" s="7" t="str">
        <f t="shared" si="19"/>
        <v>069</v>
      </c>
      <c r="C391" s="7" t="str">
        <f t="shared" si="20"/>
        <v>La Matanza</v>
      </c>
      <c r="D391" s="18" t="s">
        <v>3338</v>
      </c>
      <c r="E391" s="18">
        <v>1</v>
      </c>
      <c r="F391" s="18">
        <v>26</v>
      </c>
      <c r="G391" s="18">
        <v>3</v>
      </c>
      <c r="H391" s="18" t="s">
        <v>3312</v>
      </c>
    </row>
    <row r="392" spans="1:8">
      <c r="A392" s="7" t="str">
        <f t="shared" si="18"/>
        <v>03</v>
      </c>
      <c r="B392" s="7" t="str">
        <f t="shared" si="19"/>
        <v>069</v>
      </c>
      <c r="C392" s="7" t="str">
        <f t="shared" si="20"/>
        <v>La Matanza</v>
      </c>
      <c r="D392" s="18" t="s">
        <v>3339</v>
      </c>
      <c r="E392" s="18">
        <v>2</v>
      </c>
      <c r="F392" s="18">
        <v>29</v>
      </c>
      <c r="G392" s="18">
        <v>3</v>
      </c>
      <c r="H392" s="18" t="s">
        <v>3312</v>
      </c>
    </row>
    <row r="393" spans="1:8">
      <c r="A393" s="7" t="str">
        <f t="shared" si="18"/>
        <v>03</v>
      </c>
      <c r="B393" s="7" t="str">
        <f t="shared" si="19"/>
        <v>069</v>
      </c>
      <c r="C393" s="7" t="str">
        <f t="shared" si="20"/>
        <v>La Matanza</v>
      </c>
      <c r="D393" s="18" t="s">
        <v>3340</v>
      </c>
      <c r="E393" s="18">
        <v>3</v>
      </c>
      <c r="F393" s="18">
        <v>56</v>
      </c>
      <c r="G393" s="18">
        <v>3</v>
      </c>
      <c r="H393" s="18" t="s">
        <v>3312</v>
      </c>
    </row>
    <row r="394" spans="1:8">
      <c r="A394" s="7" t="str">
        <f t="shared" si="18"/>
        <v>03</v>
      </c>
      <c r="B394" s="7" t="str">
        <f t="shared" si="19"/>
        <v>069</v>
      </c>
      <c r="C394" s="7" t="str">
        <f t="shared" si="20"/>
        <v>La Matanza</v>
      </c>
      <c r="D394" s="18" t="s">
        <v>3341</v>
      </c>
      <c r="E394" s="18">
        <v>1</v>
      </c>
      <c r="F394" s="18">
        <v>21</v>
      </c>
      <c r="G394" s="18">
        <v>3</v>
      </c>
      <c r="H394" s="18" t="s">
        <v>3312</v>
      </c>
    </row>
    <row r="395" spans="1:8">
      <c r="A395" s="7" t="str">
        <f t="shared" si="18"/>
        <v>03</v>
      </c>
      <c r="B395" s="7" t="str">
        <f t="shared" si="19"/>
        <v>069</v>
      </c>
      <c r="C395" s="7" t="str">
        <f t="shared" si="20"/>
        <v>La Matanza</v>
      </c>
      <c r="D395" s="18" t="s">
        <v>3342</v>
      </c>
      <c r="E395" s="18">
        <v>1</v>
      </c>
      <c r="F395" s="18">
        <v>29</v>
      </c>
      <c r="G395" s="18">
        <v>3</v>
      </c>
      <c r="H395" s="18" t="s">
        <v>3312</v>
      </c>
    </row>
    <row r="396" spans="1:8">
      <c r="A396" s="7" t="str">
        <f t="shared" si="18"/>
        <v>03</v>
      </c>
      <c r="B396" s="7" t="str">
        <f t="shared" si="19"/>
        <v>069</v>
      </c>
      <c r="C396" s="7" t="str">
        <f t="shared" si="20"/>
        <v>La Matanza</v>
      </c>
      <c r="D396" s="18" t="s">
        <v>3343</v>
      </c>
      <c r="E396" s="18">
        <v>3</v>
      </c>
      <c r="F396" s="18">
        <v>77</v>
      </c>
      <c r="G396" s="18">
        <v>3</v>
      </c>
      <c r="H396" s="18" t="s">
        <v>3312</v>
      </c>
    </row>
    <row r="397" spans="1:8">
      <c r="A397" s="7" t="str">
        <f t="shared" si="18"/>
        <v>03</v>
      </c>
      <c r="B397" s="7" t="str">
        <f t="shared" si="19"/>
        <v>069</v>
      </c>
      <c r="C397" s="7" t="str">
        <f t="shared" si="20"/>
        <v>La Matanza</v>
      </c>
      <c r="D397" s="18" t="s">
        <v>3344</v>
      </c>
      <c r="E397" s="18">
        <v>1</v>
      </c>
      <c r="F397" s="18">
        <v>15</v>
      </c>
      <c r="G397" s="18">
        <v>3</v>
      </c>
      <c r="H397" s="18" t="s">
        <v>3312</v>
      </c>
    </row>
    <row r="398" spans="1:8">
      <c r="A398" s="7" t="str">
        <f t="shared" si="18"/>
        <v>03</v>
      </c>
      <c r="B398" s="7" t="str">
        <f t="shared" si="19"/>
        <v>069</v>
      </c>
      <c r="C398" s="7" t="str">
        <f t="shared" si="20"/>
        <v>La Matanza</v>
      </c>
      <c r="D398" s="18" t="s">
        <v>3345</v>
      </c>
      <c r="E398" s="18">
        <v>1</v>
      </c>
      <c r="F398" s="18">
        <v>22</v>
      </c>
      <c r="G398" s="18">
        <v>3</v>
      </c>
      <c r="H398" s="18" t="s">
        <v>3312</v>
      </c>
    </row>
    <row r="399" spans="1:8">
      <c r="A399" s="7" t="str">
        <f t="shared" si="18"/>
        <v>03</v>
      </c>
      <c r="B399" s="7" t="str">
        <f t="shared" si="19"/>
        <v>069</v>
      </c>
      <c r="C399" s="7" t="str">
        <f t="shared" si="20"/>
        <v>La Matanza</v>
      </c>
      <c r="D399" s="18" t="s">
        <v>3346</v>
      </c>
      <c r="E399" s="18">
        <v>4</v>
      </c>
      <c r="F399" s="18">
        <v>96</v>
      </c>
      <c r="G399" s="18">
        <v>3</v>
      </c>
      <c r="H399" s="18" t="s">
        <v>3312</v>
      </c>
    </row>
    <row r="400" spans="1:8">
      <c r="A400" s="7" t="str">
        <f t="shared" si="18"/>
        <v>03</v>
      </c>
      <c r="B400" s="7" t="str">
        <f t="shared" si="19"/>
        <v>069</v>
      </c>
      <c r="C400" s="7" t="str">
        <f t="shared" si="20"/>
        <v>La Matanza</v>
      </c>
      <c r="D400" s="18" t="s">
        <v>3347</v>
      </c>
      <c r="E400" s="18">
        <v>1</v>
      </c>
      <c r="F400" s="18">
        <v>20</v>
      </c>
      <c r="G400" s="18">
        <v>3</v>
      </c>
      <c r="H400" s="18" t="s">
        <v>3312</v>
      </c>
    </row>
    <row r="401" spans="1:8">
      <c r="A401" s="7" t="str">
        <f t="shared" si="18"/>
        <v>03</v>
      </c>
      <c r="B401" s="7" t="str">
        <f t="shared" si="19"/>
        <v>069</v>
      </c>
      <c r="C401" s="7" t="str">
        <f t="shared" si="20"/>
        <v>La Matanza</v>
      </c>
      <c r="D401" s="18" t="s">
        <v>3348</v>
      </c>
      <c r="E401" s="18">
        <v>1</v>
      </c>
      <c r="F401" s="18">
        <v>15</v>
      </c>
      <c r="G401" s="18">
        <v>3</v>
      </c>
      <c r="H401" s="18" t="s">
        <v>3312</v>
      </c>
    </row>
    <row r="402" spans="1:8">
      <c r="A402" s="7" t="str">
        <f t="shared" si="18"/>
        <v>03</v>
      </c>
      <c r="B402" s="7" t="str">
        <f t="shared" si="19"/>
        <v>069</v>
      </c>
      <c r="C402" s="7" t="str">
        <f t="shared" si="20"/>
        <v>La Matanza</v>
      </c>
      <c r="D402" s="18" t="s">
        <v>3349</v>
      </c>
      <c r="E402" s="18">
        <v>1</v>
      </c>
      <c r="F402" s="18">
        <v>25</v>
      </c>
      <c r="G402" s="18">
        <v>3</v>
      </c>
      <c r="H402" s="18" t="s">
        <v>3312</v>
      </c>
    </row>
    <row r="403" spans="1:8">
      <c r="A403" s="7" t="str">
        <f t="shared" si="18"/>
        <v>03</v>
      </c>
      <c r="B403" s="7" t="str">
        <f t="shared" si="19"/>
        <v>069</v>
      </c>
      <c r="C403" s="7" t="str">
        <f t="shared" si="20"/>
        <v>La Matanza</v>
      </c>
      <c r="D403" s="18" t="s">
        <v>3350</v>
      </c>
      <c r="E403" s="18">
        <v>2</v>
      </c>
      <c r="F403" s="18">
        <v>64</v>
      </c>
      <c r="G403" s="18">
        <v>3</v>
      </c>
      <c r="H403" s="18" t="s">
        <v>3312</v>
      </c>
    </row>
    <row r="404" spans="1:8">
      <c r="A404" s="7" t="str">
        <f t="shared" si="18"/>
        <v>03</v>
      </c>
      <c r="B404" s="7" t="str">
        <f t="shared" si="19"/>
        <v>069</v>
      </c>
      <c r="C404" s="7" t="str">
        <f t="shared" si="20"/>
        <v>La Matanza</v>
      </c>
      <c r="D404" s="18" t="s">
        <v>3351</v>
      </c>
      <c r="E404" s="18">
        <v>2</v>
      </c>
      <c r="F404" s="18">
        <v>43</v>
      </c>
      <c r="G404" s="18">
        <v>3</v>
      </c>
      <c r="H404" s="18" t="s">
        <v>3312</v>
      </c>
    </row>
    <row r="405" spans="1:8">
      <c r="A405" s="7" t="str">
        <f t="shared" si="18"/>
        <v>03</v>
      </c>
      <c r="B405" s="7" t="str">
        <f t="shared" si="19"/>
        <v>069</v>
      </c>
      <c r="C405" s="7" t="str">
        <f t="shared" si="20"/>
        <v>La Matanza</v>
      </c>
      <c r="D405" s="18" t="s">
        <v>3352</v>
      </c>
      <c r="E405" s="18">
        <v>2</v>
      </c>
      <c r="F405" s="18">
        <v>58</v>
      </c>
      <c r="G405" s="18">
        <v>3</v>
      </c>
      <c r="H405" s="18" t="s">
        <v>3312</v>
      </c>
    </row>
    <row r="406" spans="1:8">
      <c r="A406" s="7" t="str">
        <f t="shared" si="18"/>
        <v>03</v>
      </c>
      <c r="B406" s="7" t="str">
        <f t="shared" si="19"/>
        <v>069</v>
      </c>
      <c r="C406" s="7" t="str">
        <f t="shared" si="20"/>
        <v>La Matanza</v>
      </c>
      <c r="D406" s="18" t="s">
        <v>3353</v>
      </c>
      <c r="E406" s="18">
        <v>1</v>
      </c>
      <c r="F406" s="18">
        <v>17</v>
      </c>
      <c r="G406" s="18">
        <v>3</v>
      </c>
      <c r="H406" s="18" t="s">
        <v>3312</v>
      </c>
    </row>
    <row r="407" spans="1:8">
      <c r="A407" s="7" t="str">
        <f t="shared" si="18"/>
        <v>03</v>
      </c>
      <c r="B407" s="7" t="str">
        <f t="shared" si="19"/>
        <v>069</v>
      </c>
      <c r="C407" s="7" t="str">
        <f t="shared" si="20"/>
        <v>La Matanza</v>
      </c>
      <c r="D407" s="18" t="s">
        <v>3354</v>
      </c>
      <c r="E407" s="18">
        <v>1</v>
      </c>
      <c r="F407" s="18">
        <v>26</v>
      </c>
      <c r="G407" s="18">
        <v>3</v>
      </c>
      <c r="H407" s="18" t="s">
        <v>3312</v>
      </c>
    </row>
    <row r="408" spans="1:8">
      <c r="A408" s="7" t="str">
        <f t="shared" si="18"/>
        <v>03</v>
      </c>
      <c r="B408" s="7" t="str">
        <f t="shared" si="19"/>
        <v>069</v>
      </c>
      <c r="C408" s="7" t="str">
        <f t="shared" si="20"/>
        <v>La Matanza</v>
      </c>
      <c r="D408" s="18" t="s">
        <v>3355</v>
      </c>
      <c r="E408" s="18">
        <v>1</v>
      </c>
      <c r="F408" s="18">
        <v>24</v>
      </c>
      <c r="G408" s="18">
        <v>3</v>
      </c>
      <c r="H408" s="18" t="s">
        <v>3312</v>
      </c>
    </row>
    <row r="409" spans="1:8">
      <c r="A409" s="7" t="str">
        <f t="shared" si="18"/>
        <v>03</v>
      </c>
      <c r="B409" s="7" t="str">
        <f t="shared" si="19"/>
        <v>069</v>
      </c>
      <c r="C409" s="7" t="str">
        <f t="shared" si="20"/>
        <v>La Matanza</v>
      </c>
      <c r="D409" s="18" t="s">
        <v>3356</v>
      </c>
      <c r="E409" s="18">
        <v>2</v>
      </c>
      <c r="F409" s="18">
        <v>36</v>
      </c>
      <c r="G409" s="18">
        <v>3</v>
      </c>
      <c r="H409" s="18" t="s">
        <v>3312</v>
      </c>
    </row>
    <row r="410" spans="1:8">
      <c r="A410" s="7" t="str">
        <f t="shared" si="18"/>
        <v>03</v>
      </c>
      <c r="B410" s="7" t="str">
        <f t="shared" si="19"/>
        <v>069</v>
      </c>
      <c r="C410" s="7" t="str">
        <f t="shared" si="20"/>
        <v>La Matanza</v>
      </c>
      <c r="D410" s="18" t="s">
        <v>3357</v>
      </c>
      <c r="E410" s="18">
        <v>2</v>
      </c>
      <c r="F410" s="18">
        <v>46</v>
      </c>
      <c r="G410" s="18">
        <v>3</v>
      </c>
      <c r="H410" s="18" t="s">
        <v>3312</v>
      </c>
    </row>
    <row r="411" spans="1:8">
      <c r="A411" s="7" t="str">
        <f t="shared" si="18"/>
        <v>03</v>
      </c>
      <c r="B411" s="7" t="str">
        <f t="shared" si="19"/>
        <v>069</v>
      </c>
      <c r="C411" s="7" t="str">
        <f t="shared" si="20"/>
        <v>La Matanza</v>
      </c>
      <c r="D411" s="18" t="s">
        <v>3358</v>
      </c>
      <c r="E411" s="18">
        <v>2</v>
      </c>
      <c r="F411" s="18">
        <v>38</v>
      </c>
      <c r="G411" s="18">
        <v>3</v>
      </c>
      <c r="H411" s="18" t="s">
        <v>3312</v>
      </c>
    </row>
    <row r="412" spans="1:8">
      <c r="A412" s="7" t="str">
        <f t="shared" si="18"/>
        <v>03</v>
      </c>
      <c r="B412" s="7" t="str">
        <f t="shared" si="19"/>
        <v>069</v>
      </c>
      <c r="C412" s="7" t="str">
        <f t="shared" si="20"/>
        <v>La Matanza</v>
      </c>
      <c r="D412" s="18" t="s">
        <v>3360</v>
      </c>
      <c r="E412" s="18">
        <v>3</v>
      </c>
      <c r="F412" s="18">
        <v>65</v>
      </c>
      <c r="G412" s="18">
        <v>3</v>
      </c>
      <c r="H412" s="18" t="s">
        <v>3359</v>
      </c>
    </row>
    <row r="413" spans="1:8">
      <c r="A413" s="7" t="str">
        <f t="shared" si="18"/>
        <v>03</v>
      </c>
      <c r="B413" s="7" t="str">
        <f t="shared" si="19"/>
        <v>069</v>
      </c>
      <c r="C413" s="7" t="str">
        <f t="shared" si="20"/>
        <v>La Matanza</v>
      </c>
      <c r="D413" s="18" t="s">
        <v>3361</v>
      </c>
      <c r="E413" s="18">
        <v>1</v>
      </c>
      <c r="F413" s="18">
        <v>10</v>
      </c>
      <c r="G413" s="18">
        <v>3</v>
      </c>
      <c r="H413" s="18" t="s">
        <v>3359</v>
      </c>
    </row>
    <row r="414" spans="1:8">
      <c r="A414" s="7" t="str">
        <f t="shared" si="18"/>
        <v>03</v>
      </c>
      <c r="B414" s="7" t="str">
        <f t="shared" si="19"/>
        <v>069</v>
      </c>
      <c r="C414" s="7" t="str">
        <f t="shared" si="20"/>
        <v>La Matanza</v>
      </c>
      <c r="D414" s="18" t="s">
        <v>3362</v>
      </c>
      <c r="E414" s="18">
        <v>1</v>
      </c>
      <c r="F414" s="18">
        <v>21</v>
      </c>
      <c r="G414" s="18">
        <v>3</v>
      </c>
      <c r="H414" s="18" t="s">
        <v>3359</v>
      </c>
    </row>
    <row r="415" spans="1:8">
      <c r="A415" s="7" t="str">
        <f t="shared" si="18"/>
        <v>03</v>
      </c>
      <c r="B415" s="7" t="str">
        <f t="shared" si="19"/>
        <v>069</v>
      </c>
      <c r="C415" s="7" t="str">
        <f t="shared" si="20"/>
        <v>La Matanza</v>
      </c>
      <c r="D415" s="18" t="s">
        <v>3363</v>
      </c>
      <c r="E415" s="18">
        <v>3</v>
      </c>
      <c r="F415" s="18">
        <v>77</v>
      </c>
      <c r="G415" s="18">
        <v>3</v>
      </c>
      <c r="H415" s="18" t="s">
        <v>3359</v>
      </c>
    </row>
    <row r="416" spans="1:8">
      <c r="A416" s="7" t="str">
        <f t="shared" si="18"/>
        <v>03</v>
      </c>
      <c r="B416" s="7" t="str">
        <f t="shared" si="19"/>
        <v>069</v>
      </c>
      <c r="C416" s="7" t="str">
        <f t="shared" si="20"/>
        <v>La Matanza</v>
      </c>
      <c r="D416" s="18" t="s">
        <v>3364</v>
      </c>
      <c r="E416" s="18">
        <v>2</v>
      </c>
      <c r="F416" s="18">
        <v>38</v>
      </c>
      <c r="G416" s="18">
        <v>3</v>
      </c>
      <c r="H416" s="18" t="s">
        <v>3359</v>
      </c>
    </row>
    <row r="417" spans="1:8">
      <c r="A417" s="7" t="str">
        <f t="shared" si="18"/>
        <v>03</v>
      </c>
      <c r="B417" s="7" t="str">
        <f t="shared" si="19"/>
        <v>069</v>
      </c>
      <c r="C417" s="7" t="str">
        <f t="shared" si="20"/>
        <v>La Matanza</v>
      </c>
      <c r="D417" s="18" t="s">
        <v>3365</v>
      </c>
      <c r="E417" s="18">
        <v>3</v>
      </c>
      <c r="F417" s="18">
        <v>58</v>
      </c>
      <c r="G417" s="18">
        <v>3</v>
      </c>
      <c r="H417" s="18" t="s">
        <v>3359</v>
      </c>
    </row>
    <row r="418" spans="1:8">
      <c r="A418" s="7" t="str">
        <f t="shared" si="18"/>
        <v>03</v>
      </c>
      <c r="B418" s="7" t="str">
        <f t="shared" si="19"/>
        <v>069</v>
      </c>
      <c r="C418" s="7" t="str">
        <f t="shared" si="20"/>
        <v>La Matanza</v>
      </c>
      <c r="D418" s="18" t="s">
        <v>3366</v>
      </c>
      <c r="E418" s="18">
        <v>2</v>
      </c>
      <c r="F418" s="18">
        <v>55</v>
      </c>
      <c r="G418" s="18">
        <v>3</v>
      </c>
      <c r="H418" s="18" t="s">
        <v>3359</v>
      </c>
    </row>
    <row r="419" spans="1:8">
      <c r="A419" s="7" t="str">
        <f t="shared" si="18"/>
        <v>03</v>
      </c>
      <c r="B419" s="7" t="str">
        <f t="shared" si="19"/>
        <v>069</v>
      </c>
      <c r="C419" s="7" t="str">
        <f t="shared" si="20"/>
        <v>La Matanza</v>
      </c>
      <c r="D419" s="18" t="s">
        <v>3367</v>
      </c>
      <c r="E419" s="18">
        <v>1</v>
      </c>
      <c r="F419" s="18">
        <v>27</v>
      </c>
      <c r="G419" s="18">
        <v>3</v>
      </c>
      <c r="H419" s="18" t="s">
        <v>3359</v>
      </c>
    </row>
    <row r="420" spans="1:8">
      <c r="A420" s="7" t="str">
        <f t="shared" si="18"/>
        <v>03</v>
      </c>
      <c r="B420" s="7" t="str">
        <f t="shared" si="19"/>
        <v>069</v>
      </c>
      <c r="C420" s="7" t="str">
        <f t="shared" si="20"/>
        <v>La Matanza</v>
      </c>
      <c r="D420" s="18" t="s">
        <v>3368</v>
      </c>
      <c r="E420" s="18">
        <v>1</v>
      </c>
      <c r="F420" s="18">
        <v>26</v>
      </c>
      <c r="G420" s="18">
        <v>3</v>
      </c>
      <c r="H420" s="18" t="s">
        <v>3359</v>
      </c>
    </row>
    <row r="421" spans="1:8">
      <c r="A421" s="7" t="str">
        <f t="shared" si="18"/>
        <v>03</v>
      </c>
      <c r="B421" s="7" t="str">
        <f t="shared" si="19"/>
        <v>069</v>
      </c>
      <c r="C421" s="7" t="str">
        <f t="shared" si="20"/>
        <v>La Matanza</v>
      </c>
      <c r="D421" s="18" t="s">
        <v>3369</v>
      </c>
      <c r="E421" s="18">
        <v>1</v>
      </c>
      <c r="F421" s="18">
        <v>22</v>
      </c>
      <c r="G421" s="18">
        <v>3</v>
      </c>
      <c r="H421" s="18" t="s">
        <v>3359</v>
      </c>
    </row>
    <row r="422" spans="1:8">
      <c r="A422" s="7" t="str">
        <f t="shared" si="18"/>
        <v>03</v>
      </c>
      <c r="B422" s="7" t="str">
        <f t="shared" si="19"/>
        <v>069</v>
      </c>
      <c r="C422" s="7" t="str">
        <f t="shared" si="20"/>
        <v>La Matanza</v>
      </c>
      <c r="D422" s="18" t="s">
        <v>3370</v>
      </c>
      <c r="E422" s="18">
        <v>1</v>
      </c>
      <c r="F422" s="18">
        <v>13</v>
      </c>
      <c r="G422" s="18">
        <v>3</v>
      </c>
      <c r="H422" s="18" t="s">
        <v>3359</v>
      </c>
    </row>
    <row r="423" spans="1:8">
      <c r="A423" s="7" t="str">
        <f t="shared" si="18"/>
        <v>03</v>
      </c>
      <c r="B423" s="7" t="str">
        <f t="shared" si="19"/>
        <v>069</v>
      </c>
      <c r="C423" s="7" t="str">
        <f t="shared" si="20"/>
        <v>La Matanza</v>
      </c>
      <c r="D423" s="18" t="s">
        <v>3371</v>
      </c>
      <c r="E423" s="18">
        <v>1</v>
      </c>
      <c r="F423" s="18">
        <v>25</v>
      </c>
      <c r="G423" s="18">
        <v>3</v>
      </c>
      <c r="H423" s="18" t="s">
        <v>3359</v>
      </c>
    </row>
    <row r="424" spans="1:8">
      <c r="A424" s="7" t="str">
        <f t="shared" si="18"/>
        <v>03</v>
      </c>
      <c r="B424" s="7" t="str">
        <f t="shared" si="19"/>
        <v>069</v>
      </c>
      <c r="C424" s="7" t="str">
        <f t="shared" si="20"/>
        <v>La Matanza</v>
      </c>
      <c r="D424" s="18" t="s">
        <v>3372</v>
      </c>
      <c r="E424" s="18">
        <v>1</v>
      </c>
      <c r="F424" s="18">
        <v>7</v>
      </c>
      <c r="G424" s="18">
        <v>3</v>
      </c>
      <c r="H424" s="18" t="s">
        <v>3359</v>
      </c>
    </row>
    <row r="425" spans="1:8">
      <c r="A425" s="7" t="str">
        <f t="shared" si="18"/>
        <v>03</v>
      </c>
      <c r="B425" s="7" t="str">
        <f t="shared" si="19"/>
        <v>069</v>
      </c>
      <c r="C425" s="7" t="str">
        <f t="shared" si="20"/>
        <v>La Matanza</v>
      </c>
      <c r="D425" s="18" t="s">
        <v>2276</v>
      </c>
      <c r="E425" s="18">
        <v>1</v>
      </c>
      <c r="F425" s="18">
        <v>20</v>
      </c>
      <c r="G425" s="18">
        <v>3</v>
      </c>
      <c r="H425" s="18" t="s">
        <v>3359</v>
      </c>
    </row>
    <row r="426" spans="1:8">
      <c r="A426" s="7" t="str">
        <f t="shared" si="18"/>
        <v>03</v>
      </c>
      <c r="B426" s="7" t="str">
        <f t="shared" si="19"/>
        <v>069</v>
      </c>
      <c r="C426" s="7" t="str">
        <f t="shared" si="20"/>
        <v>La Matanza</v>
      </c>
      <c r="D426" s="18" t="s">
        <v>3373</v>
      </c>
      <c r="E426" s="18">
        <v>2</v>
      </c>
      <c r="F426" s="18">
        <v>49</v>
      </c>
      <c r="G426" s="18">
        <v>3</v>
      </c>
      <c r="H426" s="18" t="s">
        <v>3359</v>
      </c>
    </row>
    <row r="427" spans="1:8">
      <c r="A427" s="7" t="str">
        <f t="shared" si="18"/>
        <v>03</v>
      </c>
      <c r="B427" s="7" t="str">
        <f t="shared" si="19"/>
        <v>069</v>
      </c>
      <c r="C427" s="7" t="str">
        <f t="shared" si="20"/>
        <v>La Matanza</v>
      </c>
      <c r="D427" s="18" t="s">
        <v>3374</v>
      </c>
      <c r="E427" s="18">
        <v>1</v>
      </c>
      <c r="F427" s="18">
        <v>20</v>
      </c>
      <c r="G427" s="18">
        <v>3</v>
      </c>
      <c r="H427" s="18" t="s">
        <v>3359</v>
      </c>
    </row>
    <row r="428" spans="1:8">
      <c r="A428" s="7" t="str">
        <f t="shared" si="18"/>
        <v>03</v>
      </c>
      <c r="B428" s="7" t="str">
        <f t="shared" si="19"/>
        <v>069</v>
      </c>
      <c r="C428" s="7" t="str">
        <f t="shared" si="20"/>
        <v>La Matanza</v>
      </c>
      <c r="D428" s="18" t="s">
        <v>3375</v>
      </c>
      <c r="E428" s="18">
        <v>1</v>
      </c>
      <c r="F428" s="18">
        <v>23</v>
      </c>
      <c r="G428" s="18">
        <v>3</v>
      </c>
      <c r="H428" s="18" t="s">
        <v>3359</v>
      </c>
    </row>
    <row r="429" spans="1:8">
      <c r="A429" s="7" t="str">
        <f t="shared" si="18"/>
        <v>03</v>
      </c>
      <c r="B429" s="7" t="str">
        <f t="shared" si="19"/>
        <v>069</v>
      </c>
      <c r="C429" s="7" t="str">
        <f t="shared" si="20"/>
        <v>La Matanza</v>
      </c>
      <c r="D429" s="18" t="s">
        <v>3376</v>
      </c>
      <c r="E429" s="18">
        <v>2</v>
      </c>
      <c r="F429" s="18">
        <v>47</v>
      </c>
      <c r="G429" s="18">
        <v>3</v>
      </c>
      <c r="H429" s="18" t="s">
        <v>3359</v>
      </c>
    </row>
    <row r="430" spans="1:8">
      <c r="A430" s="7" t="str">
        <f t="shared" si="18"/>
        <v>03</v>
      </c>
      <c r="B430" s="7" t="str">
        <f t="shared" si="19"/>
        <v>069</v>
      </c>
      <c r="C430" s="7" t="str">
        <f t="shared" si="20"/>
        <v>La Matanza</v>
      </c>
      <c r="D430" s="18" t="s">
        <v>3377</v>
      </c>
      <c r="E430" s="18">
        <v>1</v>
      </c>
      <c r="F430" s="18">
        <v>31</v>
      </c>
      <c r="G430" s="18">
        <v>3</v>
      </c>
      <c r="H430" s="18" t="s">
        <v>3359</v>
      </c>
    </row>
    <row r="431" spans="1:8">
      <c r="A431" s="7" t="str">
        <f t="shared" si="18"/>
        <v>03</v>
      </c>
      <c r="B431" s="7" t="str">
        <f t="shared" si="19"/>
        <v>069</v>
      </c>
      <c r="C431" s="7" t="str">
        <f t="shared" si="20"/>
        <v>La Matanza</v>
      </c>
      <c r="D431" s="18" t="s">
        <v>3378</v>
      </c>
      <c r="E431" s="18">
        <v>1</v>
      </c>
      <c r="F431" s="18">
        <v>14</v>
      </c>
      <c r="G431" s="18">
        <v>3</v>
      </c>
      <c r="H431" s="18" t="s">
        <v>3359</v>
      </c>
    </row>
    <row r="432" spans="1:8">
      <c r="A432" s="7" t="str">
        <f t="shared" si="18"/>
        <v>03</v>
      </c>
      <c r="B432" s="7" t="str">
        <f t="shared" si="19"/>
        <v>069</v>
      </c>
      <c r="C432" s="7" t="str">
        <f t="shared" si="20"/>
        <v>La Matanza</v>
      </c>
      <c r="D432" s="18" t="s">
        <v>3379</v>
      </c>
      <c r="E432" s="18">
        <v>1</v>
      </c>
      <c r="F432" s="18">
        <v>16</v>
      </c>
      <c r="G432" s="18">
        <v>3</v>
      </c>
      <c r="H432" s="18" t="s">
        <v>3359</v>
      </c>
    </row>
    <row r="433" spans="1:8">
      <c r="A433" s="7" t="str">
        <f t="shared" si="18"/>
        <v>03</v>
      </c>
      <c r="B433" s="7" t="str">
        <f t="shared" si="19"/>
        <v>069</v>
      </c>
      <c r="C433" s="7" t="str">
        <f t="shared" si="20"/>
        <v>La Matanza</v>
      </c>
      <c r="D433" s="18" t="s">
        <v>3380</v>
      </c>
      <c r="E433" s="18">
        <v>1</v>
      </c>
      <c r="F433" s="18">
        <v>31</v>
      </c>
      <c r="G433" s="18">
        <v>3</v>
      </c>
      <c r="H433" s="18" t="s">
        <v>3359</v>
      </c>
    </row>
    <row r="434" spans="1:8">
      <c r="A434" s="7" t="str">
        <f t="shared" si="18"/>
        <v>03</v>
      </c>
      <c r="B434" s="7" t="str">
        <f t="shared" si="19"/>
        <v>069</v>
      </c>
      <c r="C434" s="7" t="str">
        <f t="shared" si="20"/>
        <v>La Matanza</v>
      </c>
      <c r="D434" s="18" t="s">
        <v>3381</v>
      </c>
      <c r="E434" s="18">
        <v>9</v>
      </c>
      <c r="F434" s="18">
        <v>249</v>
      </c>
      <c r="G434" s="18">
        <v>3</v>
      </c>
      <c r="H434" s="18" t="s">
        <v>3359</v>
      </c>
    </row>
    <row r="435" spans="1:8">
      <c r="A435" s="7" t="str">
        <f t="shared" si="18"/>
        <v>03</v>
      </c>
      <c r="B435" s="7" t="str">
        <f t="shared" si="19"/>
        <v>069</v>
      </c>
      <c r="C435" s="7" t="str">
        <f t="shared" si="20"/>
        <v>La Matanza</v>
      </c>
      <c r="D435" s="18" t="s">
        <v>3382</v>
      </c>
      <c r="E435" s="18">
        <v>1</v>
      </c>
      <c r="F435" s="18">
        <v>0</v>
      </c>
      <c r="G435" s="18">
        <v>3</v>
      </c>
      <c r="H435" s="18" t="s">
        <v>3359</v>
      </c>
    </row>
    <row r="436" spans="1:8">
      <c r="A436" s="7" t="str">
        <f t="shared" si="18"/>
        <v>03</v>
      </c>
      <c r="B436" s="7" t="str">
        <f t="shared" si="19"/>
        <v>069</v>
      </c>
      <c r="C436" s="7" t="str">
        <f t="shared" si="20"/>
        <v>La Matanza</v>
      </c>
      <c r="D436" s="18" t="s">
        <v>3383</v>
      </c>
      <c r="E436" s="18">
        <v>2</v>
      </c>
      <c r="F436" s="18">
        <v>64</v>
      </c>
      <c r="G436" s="18">
        <v>3</v>
      </c>
      <c r="H436" s="18" t="s">
        <v>3359</v>
      </c>
    </row>
    <row r="437" spans="1:8">
      <c r="A437" s="7" t="str">
        <f t="shared" si="18"/>
        <v>03</v>
      </c>
      <c r="B437" s="7" t="str">
        <f t="shared" si="19"/>
        <v>069</v>
      </c>
      <c r="C437" s="7" t="str">
        <f t="shared" si="20"/>
        <v>La Matanza</v>
      </c>
      <c r="D437" s="18" t="s">
        <v>3384</v>
      </c>
      <c r="E437" s="18">
        <v>1</v>
      </c>
      <c r="F437" s="18">
        <v>24</v>
      </c>
      <c r="G437" s="18">
        <v>3</v>
      </c>
      <c r="H437" s="18" t="s">
        <v>3359</v>
      </c>
    </row>
    <row r="438" spans="1:8">
      <c r="A438" s="7" t="str">
        <f t="shared" si="18"/>
        <v>03</v>
      </c>
      <c r="B438" s="7" t="str">
        <f t="shared" si="19"/>
        <v>069</v>
      </c>
      <c r="C438" s="7" t="str">
        <f t="shared" si="20"/>
        <v>La Matanza</v>
      </c>
      <c r="D438" s="18" t="s">
        <v>3385</v>
      </c>
      <c r="E438" s="18">
        <v>3</v>
      </c>
      <c r="F438" s="18">
        <v>56</v>
      </c>
      <c r="G438" s="18">
        <v>3</v>
      </c>
      <c r="H438" s="18" t="s">
        <v>3359</v>
      </c>
    </row>
    <row r="439" spans="1:8">
      <c r="A439" s="7" t="str">
        <f t="shared" si="18"/>
        <v>03</v>
      </c>
      <c r="B439" s="7" t="str">
        <f t="shared" si="19"/>
        <v>069</v>
      </c>
      <c r="C439" s="7" t="str">
        <f t="shared" si="20"/>
        <v>La Matanza</v>
      </c>
      <c r="D439" s="18" t="s">
        <v>3386</v>
      </c>
      <c r="E439" s="18">
        <v>2</v>
      </c>
      <c r="F439" s="18">
        <v>83</v>
      </c>
      <c r="G439" s="18">
        <v>3</v>
      </c>
      <c r="H439" s="18" t="s">
        <v>3359</v>
      </c>
    </row>
    <row r="440" spans="1:8">
      <c r="A440" s="7" t="str">
        <f t="shared" si="18"/>
        <v>03</v>
      </c>
      <c r="B440" s="7" t="str">
        <f t="shared" si="19"/>
        <v>069</v>
      </c>
      <c r="C440" s="7" t="str">
        <f t="shared" si="20"/>
        <v>La Matanza</v>
      </c>
      <c r="D440" s="18" t="s">
        <v>3387</v>
      </c>
      <c r="E440" s="18">
        <v>2</v>
      </c>
      <c r="F440" s="18">
        <v>45</v>
      </c>
      <c r="G440" s="18">
        <v>3</v>
      </c>
      <c r="H440" s="18" t="s">
        <v>3359</v>
      </c>
    </row>
    <row r="441" spans="1:8">
      <c r="A441" s="7" t="str">
        <f t="shared" si="18"/>
        <v>03</v>
      </c>
      <c r="B441" s="7" t="str">
        <f t="shared" si="19"/>
        <v>069</v>
      </c>
      <c r="C441" s="7" t="str">
        <f t="shared" si="20"/>
        <v>La Matanza</v>
      </c>
      <c r="D441" s="18" t="s">
        <v>3388</v>
      </c>
      <c r="E441" s="18">
        <v>2</v>
      </c>
      <c r="F441" s="18">
        <v>46</v>
      </c>
      <c r="G441" s="18">
        <v>3</v>
      </c>
      <c r="H441" s="18" t="s">
        <v>3359</v>
      </c>
    </row>
    <row r="442" spans="1:8">
      <c r="A442" s="7" t="str">
        <f t="shared" si="18"/>
        <v>03</v>
      </c>
      <c r="B442" s="7" t="str">
        <f t="shared" si="19"/>
        <v>069</v>
      </c>
      <c r="C442" s="7" t="str">
        <f t="shared" si="20"/>
        <v>La Matanza</v>
      </c>
      <c r="D442" s="18" t="s">
        <v>3389</v>
      </c>
      <c r="E442" s="18">
        <v>2</v>
      </c>
      <c r="F442" s="18">
        <v>46</v>
      </c>
      <c r="G442" s="18">
        <v>3</v>
      </c>
      <c r="H442" s="18" t="s">
        <v>3359</v>
      </c>
    </row>
    <row r="443" spans="1:8">
      <c r="A443" s="7" t="str">
        <f t="shared" si="18"/>
        <v>03</v>
      </c>
      <c r="B443" s="7" t="str">
        <f t="shared" si="19"/>
        <v>069</v>
      </c>
      <c r="C443" s="7" t="str">
        <f t="shared" si="20"/>
        <v>La Matanza</v>
      </c>
      <c r="D443" s="18" t="s">
        <v>3390</v>
      </c>
      <c r="E443" s="18">
        <v>3</v>
      </c>
      <c r="F443" s="18">
        <v>96</v>
      </c>
      <c r="G443" s="18">
        <v>3</v>
      </c>
      <c r="H443" s="18" t="s">
        <v>3359</v>
      </c>
    </row>
    <row r="444" spans="1:8">
      <c r="A444" s="7" t="str">
        <f t="shared" si="18"/>
        <v>03</v>
      </c>
      <c r="B444" s="7" t="str">
        <f t="shared" si="19"/>
        <v>069</v>
      </c>
      <c r="C444" s="7" t="str">
        <f t="shared" si="20"/>
        <v>La Matanza</v>
      </c>
      <c r="D444" s="18" t="s">
        <v>3391</v>
      </c>
      <c r="E444" s="18">
        <v>2</v>
      </c>
      <c r="F444" s="18">
        <v>44</v>
      </c>
      <c r="G444" s="18">
        <v>3</v>
      </c>
      <c r="H444" s="18" t="s">
        <v>3359</v>
      </c>
    </row>
    <row r="445" spans="1:8">
      <c r="A445" s="7" t="str">
        <f t="shared" si="18"/>
        <v>03</v>
      </c>
      <c r="B445" s="7" t="str">
        <f t="shared" si="19"/>
        <v>069</v>
      </c>
      <c r="C445" s="7" t="str">
        <f t="shared" si="20"/>
        <v>La Matanza</v>
      </c>
      <c r="D445" s="18" t="s">
        <v>3392</v>
      </c>
      <c r="E445" s="18">
        <v>1</v>
      </c>
      <c r="F445" s="18">
        <v>31</v>
      </c>
      <c r="G445" s="18">
        <v>3</v>
      </c>
      <c r="H445" s="18" t="s">
        <v>3359</v>
      </c>
    </row>
    <row r="446" spans="1:8">
      <c r="A446" s="7" t="str">
        <f t="shared" si="18"/>
        <v>03</v>
      </c>
      <c r="B446" s="7" t="str">
        <f t="shared" si="19"/>
        <v>069</v>
      </c>
      <c r="C446" s="7" t="str">
        <f t="shared" si="20"/>
        <v>La Matanza</v>
      </c>
      <c r="D446" s="18" t="s">
        <v>3393</v>
      </c>
      <c r="E446" s="18">
        <v>1</v>
      </c>
      <c r="F446" s="18">
        <v>21</v>
      </c>
      <c r="G446" s="18">
        <v>3</v>
      </c>
      <c r="H446" s="18" t="s">
        <v>3359</v>
      </c>
    </row>
    <row r="447" spans="1:8">
      <c r="A447" s="7" t="str">
        <f t="shared" si="18"/>
        <v>03</v>
      </c>
      <c r="B447" s="7" t="str">
        <f t="shared" si="19"/>
        <v>069</v>
      </c>
      <c r="C447" s="7" t="str">
        <f t="shared" si="20"/>
        <v>La Matanza</v>
      </c>
      <c r="D447" s="18" t="s">
        <v>3394</v>
      </c>
      <c r="E447" s="18">
        <v>1</v>
      </c>
      <c r="F447" s="18">
        <v>22</v>
      </c>
      <c r="G447" s="18">
        <v>3</v>
      </c>
      <c r="H447" s="18" t="s">
        <v>3359</v>
      </c>
    </row>
    <row r="448" spans="1:8">
      <c r="A448" s="7" t="str">
        <f t="shared" si="18"/>
        <v>03</v>
      </c>
      <c r="B448" s="7" t="str">
        <f t="shared" si="19"/>
        <v>069</v>
      </c>
      <c r="C448" s="7" t="str">
        <f t="shared" si="20"/>
        <v>La Matanza</v>
      </c>
      <c r="D448" s="18" t="s">
        <v>3395</v>
      </c>
      <c r="E448" s="18">
        <v>1</v>
      </c>
      <c r="F448" s="18">
        <v>22</v>
      </c>
      <c r="G448" s="18">
        <v>3</v>
      </c>
      <c r="H448" s="18" t="s">
        <v>3359</v>
      </c>
    </row>
    <row r="449" spans="1:8">
      <c r="A449" s="7" t="str">
        <f t="shared" si="18"/>
        <v>03</v>
      </c>
      <c r="B449" s="7" t="str">
        <f t="shared" si="19"/>
        <v>069</v>
      </c>
      <c r="C449" s="7" t="str">
        <f t="shared" si="20"/>
        <v>La Matanza</v>
      </c>
      <c r="D449" s="18" t="s">
        <v>3396</v>
      </c>
      <c r="E449" s="18">
        <v>1</v>
      </c>
      <c r="F449" s="18">
        <v>23</v>
      </c>
      <c r="G449" s="18">
        <v>3</v>
      </c>
      <c r="H449" s="18" t="s">
        <v>3359</v>
      </c>
    </row>
    <row r="450" spans="1:8">
      <c r="A450" s="7" t="str">
        <f t="shared" si="18"/>
        <v>03</v>
      </c>
      <c r="B450" s="7" t="str">
        <f t="shared" si="19"/>
        <v>069</v>
      </c>
      <c r="C450" s="7" t="str">
        <f t="shared" si="20"/>
        <v>La Matanza</v>
      </c>
      <c r="D450" s="18" t="s">
        <v>3397</v>
      </c>
      <c r="E450" s="18">
        <v>1</v>
      </c>
      <c r="F450" s="18">
        <v>21</v>
      </c>
      <c r="G450" s="18">
        <v>3</v>
      </c>
      <c r="H450" s="18" t="s">
        <v>3359</v>
      </c>
    </row>
    <row r="451" spans="1:8">
      <c r="A451" s="7" t="str">
        <f t="shared" ref="A451:A514" si="21">+VLOOKUP(H451,$K:$N,2,FALSE)</f>
        <v>03</v>
      </c>
      <c r="B451" s="7" t="str">
        <f t="shared" ref="B451:B514" si="22">+VLOOKUP(H451,$K:$N,3,FALSE)</f>
        <v>069</v>
      </c>
      <c r="C451" s="7" t="str">
        <f t="shared" ref="C451:C514" si="23">+VLOOKUP(H451,$K:$N,4,FALSE)</f>
        <v>La Matanza</v>
      </c>
      <c r="D451" s="18" t="s">
        <v>3398</v>
      </c>
      <c r="E451" s="18">
        <v>1</v>
      </c>
      <c r="F451" s="18">
        <v>22</v>
      </c>
      <c r="G451" s="18">
        <v>3</v>
      </c>
      <c r="H451" s="18" t="s">
        <v>3359</v>
      </c>
    </row>
    <row r="452" spans="1:8">
      <c r="A452" s="7" t="str">
        <f t="shared" si="21"/>
        <v>03</v>
      </c>
      <c r="B452" s="7" t="str">
        <f t="shared" si="22"/>
        <v>069</v>
      </c>
      <c r="C452" s="7" t="str">
        <f t="shared" si="23"/>
        <v>La Matanza</v>
      </c>
      <c r="D452" s="18" t="s">
        <v>3399</v>
      </c>
      <c r="E452" s="18">
        <v>2</v>
      </c>
      <c r="F452" s="18">
        <v>60</v>
      </c>
      <c r="G452" s="18">
        <v>3</v>
      </c>
      <c r="H452" s="18" t="s">
        <v>3359</v>
      </c>
    </row>
    <row r="453" spans="1:8">
      <c r="A453" s="7" t="str">
        <f t="shared" si="21"/>
        <v>03</v>
      </c>
      <c r="B453" s="7" t="str">
        <f t="shared" si="22"/>
        <v>069</v>
      </c>
      <c r="C453" s="7" t="str">
        <f t="shared" si="23"/>
        <v>La Matanza</v>
      </c>
      <c r="D453" s="18" t="s">
        <v>3400</v>
      </c>
      <c r="E453" s="18">
        <v>2</v>
      </c>
      <c r="F453" s="18">
        <v>77</v>
      </c>
      <c r="G453" s="18">
        <v>3</v>
      </c>
      <c r="H453" s="18" t="s">
        <v>3359</v>
      </c>
    </row>
    <row r="454" spans="1:8">
      <c r="A454" s="7" t="str">
        <f t="shared" si="21"/>
        <v>03</v>
      </c>
      <c r="B454" s="7" t="str">
        <f t="shared" si="22"/>
        <v>069</v>
      </c>
      <c r="C454" s="7" t="str">
        <f t="shared" si="23"/>
        <v>La Matanza</v>
      </c>
      <c r="D454" s="18" t="s">
        <v>3401</v>
      </c>
      <c r="E454" s="18">
        <v>7</v>
      </c>
      <c r="F454" s="18">
        <v>193</v>
      </c>
      <c r="G454" s="18">
        <v>3</v>
      </c>
      <c r="H454" s="18" t="s">
        <v>3359</v>
      </c>
    </row>
    <row r="455" spans="1:8">
      <c r="A455" s="7" t="str">
        <f t="shared" si="21"/>
        <v>03</v>
      </c>
      <c r="B455" s="7" t="str">
        <f t="shared" si="22"/>
        <v>069</v>
      </c>
      <c r="C455" s="7" t="str">
        <f t="shared" si="23"/>
        <v>La Matanza</v>
      </c>
      <c r="D455" s="18" t="s">
        <v>3402</v>
      </c>
      <c r="E455" s="18">
        <v>1</v>
      </c>
      <c r="F455" s="18">
        <v>26</v>
      </c>
      <c r="G455" s="18">
        <v>3</v>
      </c>
      <c r="H455" s="18" t="s">
        <v>3359</v>
      </c>
    </row>
    <row r="456" spans="1:8">
      <c r="A456" s="7" t="str">
        <f t="shared" si="21"/>
        <v>03</v>
      </c>
      <c r="B456" s="7" t="str">
        <f t="shared" si="22"/>
        <v>069</v>
      </c>
      <c r="C456" s="7" t="str">
        <f t="shared" si="23"/>
        <v>La Matanza</v>
      </c>
      <c r="D456" s="18" t="s">
        <v>3403</v>
      </c>
      <c r="E456" s="18">
        <v>2</v>
      </c>
      <c r="F456" s="18">
        <v>79</v>
      </c>
      <c r="G456" s="18">
        <v>3</v>
      </c>
      <c r="H456" s="18" t="s">
        <v>3359</v>
      </c>
    </row>
    <row r="457" spans="1:8">
      <c r="A457" s="7" t="str">
        <f t="shared" si="21"/>
        <v>03</v>
      </c>
      <c r="B457" s="7" t="str">
        <f t="shared" si="22"/>
        <v>069</v>
      </c>
      <c r="C457" s="7" t="str">
        <f t="shared" si="23"/>
        <v>La Matanza</v>
      </c>
      <c r="D457" s="18" t="s">
        <v>3404</v>
      </c>
      <c r="E457" s="18">
        <v>1</v>
      </c>
      <c r="F457" s="18">
        <v>21</v>
      </c>
      <c r="G457" s="18">
        <v>3</v>
      </c>
      <c r="H457" s="18" t="s">
        <v>3359</v>
      </c>
    </row>
    <row r="458" spans="1:8">
      <c r="A458" s="7" t="str">
        <f t="shared" si="21"/>
        <v>03</v>
      </c>
      <c r="B458" s="7" t="str">
        <f t="shared" si="22"/>
        <v>069</v>
      </c>
      <c r="C458" s="7" t="str">
        <f t="shared" si="23"/>
        <v>La Matanza</v>
      </c>
      <c r="D458" s="18" t="s">
        <v>3405</v>
      </c>
      <c r="E458" s="18">
        <v>1</v>
      </c>
      <c r="F458" s="18">
        <v>28</v>
      </c>
      <c r="G458" s="18">
        <v>3</v>
      </c>
      <c r="H458" s="18" t="s">
        <v>3359</v>
      </c>
    </row>
    <row r="459" spans="1:8">
      <c r="A459" s="7" t="str">
        <f t="shared" si="21"/>
        <v>03</v>
      </c>
      <c r="B459" s="7" t="str">
        <f t="shared" si="22"/>
        <v>069</v>
      </c>
      <c r="C459" s="7" t="str">
        <f t="shared" si="23"/>
        <v>La Matanza</v>
      </c>
      <c r="D459" s="18" t="s">
        <v>3406</v>
      </c>
      <c r="E459" s="18">
        <v>1</v>
      </c>
      <c r="F459" s="18">
        <v>32</v>
      </c>
      <c r="G459" s="18">
        <v>3</v>
      </c>
      <c r="H459" s="18" t="s">
        <v>3359</v>
      </c>
    </row>
    <row r="460" spans="1:8">
      <c r="A460" s="7" t="str">
        <f t="shared" si="21"/>
        <v>03</v>
      </c>
      <c r="B460" s="7" t="str">
        <f t="shared" si="22"/>
        <v>069</v>
      </c>
      <c r="C460" s="7" t="str">
        <f t="shared" si="23"/>
        <v>La Matanza</v>
      </c>
      <c r="D460" s="18" t="s">
        <v>3407</v>
      </c>
      <c r="E460" s="18">
        <v>1</v>
      </c>
      <c r="F460" s="18">
        <v>15</v>
      </c>
      <c r="G460" s="18">
        <v>3</v>
      </c>
      <c r="H460" s="18" t="s">
        <v>3359</v>
      </c>
    </row>
    <row r="461" spans="1:8">
      <c r="A461" s="7" t="str">
        <f t="shared" si="21"/>
        <v>03</v>
      </c>
      <c r="B461" s="7" t="str">
        <f t="shared" si="22"/>
        <v>069</v>
      </c>
      <c r="C461" s="7" t="str">
        <f t="shared" si="23"/>
        <v>La Matanza</v>
      </c>
      <c r="D461" s="18" t="s">
        <v>3408</v>
      </c>
      <c r="E461" s="18">
        <v>2</v>
      </c>
      <c r="F461" s="18">
        <v>51</v>
      </c>
      <c r="G461" s="18">
        <v>3</v>
      </c>
      <c r="H461" s="18" t="s">
        <v>3359</v>
      </c>
    </row>
    <row r="462" spans="1:8">
      <c r="A462" s="7" t="str">
        <f t="shared" si="21"/>
        <v>03</v>
      </c>
      <c r="B462" s="7" t="str">
        <f t="shared" si="22"/>
        <v>069</v>
      </c>
      <c r="C462" s="7" t="str">
        <f t="shared" si="23"/>
        <v>La Matanza</v>
      </c>
      <c r="D462" s="18" t="s">
        <v>3409</v>
      </c>
      <c r="E462" s="18">
        <v>1</v>
      </c>
      <c r="F462" s="18">
        <v>21</v>
      </c>
      <c r="G462" s="18">
        <v>3</v>
      </c>
      <c r="H462" s="18" t="s">
        <v>3359</v>
      </c>
    </row>
    <row r="463" spans="1:8">
      <c r="A463" s="7" t="str">
        <f t="shared" si="21"/>
        <v>03</v>
      </c>
      <c r="B463" s="7" t="str">
        <f t="shared" si="22"/>
        <v>069</v>
      </c>
      <c r="C463" s="7" t="str">
        <f t="shared" si="23"/>
        <v>La Matanza</v>
      </c>
      <c r="D463" s="18" t="s">
        <v>3410</v>
      </c>
      <c r="E463" s="18">
        <v>1</v>
      </c>
      <c r="F463" s="18">
        <v>29</v>
      </c>
      <c r="G463" s="18">
        <v>3</v>
      </c>
      <c r="H463" s="18" t="s">
        <v>3359</v>
      </c>
    </row>
    <row r="464" spans="1:8">
      <c r="A464" s="7" t="str">
        <f t="shared" si="21"/>
        <v>03</v>
      </c>
      <c r="B464" s="7" t="str">
        <f t="shared" si="22"/>
        <v>069</v>
      </c>
      <c r="C464" s="7" t="str">
        <f t="shared" si="23"/>
        <v>La Matanza</v>
      </c>
      <c r="D464" s="18" t="s">
        <v>3411</v>
      </c>
      <c r="E464" s="18">
        <v>1</v>
      </c>
      <c r="F464" s="18">
        <v>35</v>
      </c>
      <c r="G464" s="18">
        <v>3</v>
      </c>
      <c r="H464" s="18" t="s">
        <v>3359</v>
      </c>
    </row>
    <row r="465" spans="1:8">
      <c r="A465" s="7" t="str">
        <f t="shared" si="21"/>
        <v>03</v>
      </c>
      <c r="B465" s="7" t="str">
        <f t="shared" si="22"/>
        <v>069</v>
      </c>
      <c r="C465" s="7" t="str">
        <f t="shared" si="23"/>
        <v>La Matanza</v>
      </c>
      <c r="D465" s="18" t="s">
        <v>3412</v>
      </c>
      <c r="E465" s="18">
        <v>1</v>
      </c>
      <c r="F465" s="18">
        <v>26</v>
      </c>
      <c r="G465" s="18">
        <v>3</v>
      </c>
      <c r="H465" s="18" t="s">
        <v>3359</v>
      </c>
    </row>
    <row r="466" spans="1:8">
      <c r="A466" s="7" t="str">
        <f t="shared" si="21"/>
        <v>03</v>
      </c>
      <c r="B466" s="7" t="str">
        <f t="shared" si="22"/>
        <v>069</v>
      </c>
      <c r="C466" s="7" t="str">
        <f t="shared" si="23"/>
        <v>La Matanza</v>
      </c>
      <c r="D466" s="18" t="s">
        <v>3413</v>
      </c>
      <c r="E466" s="18">
        <v>1</v>
      </c>
      <c r="F466" s="18">
        <v>21</v>
      </c>
      <c r="G466" s="18">
        <v>3</v>
      </c>
      <c r="H466" s="18" t="s">
        <v>3359</v>
      </c>
    </row>
    <row r="467" spans="1:8">
      <c r="A467" s="7" t="str">
        <f t="shared" si="21"/>
        <v>03</v>
      </c>
      <c r="B467" s="7" t="str">
        <f t="shared" si="22"/>
        <v>069</v>
      </c>
      <c r="C467" s="7" t="str">
        <f t="shared" si="23"/>
        <v>La Matanza</v>
      </c>
      <c r="D467" s="18" t="s">
        <v>3414</v>
      </c>
      <c r="E467" s="18">
        <v>1</v>
      </c>
      <c r="F467" s="18">
        <v>23</v>
      </c>
      <c r="G467" s="18">
        <v>3</v>
      </c>
      <c r="H467" s="18" t="s">
        <v>3359</v>
      </c>
    </row>
    <row r="468" spans="1:8">
      <c r="A468" s="7" t="str">
        <f t="shared" si="21"/>
        <v>03</v>
      </c>
      <c r="B468" s="7" t="str">
        <f t="shared" si="22"/>
        <v>069</v>
      </c>
      <c r="C468" s="7" t="str">
        <f t="shared" si="23"/>
        <v>La Matanza</v>
      </c>
      <c r="D468" s="18" t="s">
        <v>3415</v>
      </c>
      <c r="E468" s="18">
        <v>4</v>
      </c>
      <c r="F468" s="18">
        <v>106</v>
      </c>
      <c r="G468" s="18">
        <v>3</v>
      </c>
      <c r="H468" s="18" t="s">
        <v>3359</v>
      </c>
    </row>
    <row r="469" spans="1:8">
      <c r="A469" s="7" t="str">
        <f t="shared" si="21"/>
        <v>03</v>
      </c>
      <c r="B469" s="7" t="str">
        <f t="shared" si="22"/>
        <v>069</v>
      </c>
      <c r="C469" s="7" t="str">
        <f t="shared" si="23"/>
        <v>La Matanza</v>
      </c>
      <c r="D469" s="18" t="s">
        <v>3416</v>
      </c>
      <c r="E469" s="18">
        <v>1</v>
      </c>
      <c r="F469" s="18">
        <v>16</v>
      </c>
      <c r="G469" s="18">
        <v>3</v>
      </c>
      <c r="H469" s="18" t="s">
        <v>3359</v>
      </c>
    </row>
    <row r="470" spans="1:8">
      <c r="A470" s="7" t="str">
        <f t="shared" si="21"/>
        <v>03</v>
      </c>
      <c r="B470" s="7" t="str">
        <f t="shared" si="22"/>
        <v>069</v>
      </c>
      <c r="C470" s="7" t="str">
        <f t="shared" si="23"/>
        <v>La Matanza</v>
      </c>
      <c r="D470" s="18" t="s">
        <v>3417</v>
      </c>
      <c r="E470" s="18">
        <v>4</v>
      </c>
      <c r="F470" s="18">
        <v>75</v>
      </c>
      <c r="G470" s="18">
        <v>3</v>
      </c>
      <c r="H470" s="18" t="s">
        <v>3359</v>
      </c>
    </row>
    <row r="471" spans="1:8">
      <c r="A471" s="7" t="str">
        <f t="shared" si="21"/>
        <v>03</v>
      </c>
      <c r="B471" s="7" t="str">
        <f t="shared" si="22"/>
        <v>069</v>
      </c>
      <c r="C471" s="7" t="str">
        <f t="shared" si="23"/>
        <v>La Matanza</v>
      </c>
      <c r="D471" s="18" t="s">
        <v>3418</v>
      </c>
      <c r="E471" s="18">
        <v>3</v>
      </c>
      <c r="F471" s="18">
        <v>63</v>
      </c>
      <c r="G471" s="18">
        <v>3</v>
      </c>
      <c r="H471" s="18" t="s">
        <v>3359</v>
      </c>
    </row>
    <row r="472" spans="1:8">
      <c r="A472" s="7" t="str">
        <f t="shared" si="21"/>
        <v>03</v>
      </c>
      <c r="B472" s="7" t="str">
        <f t="shared" si="22"/>
        <v>069</v>
      </c>
      <c r="C472" s="7" t="str">
        <f t="shared" si="23"/>
        <v>La Matanza</v>
      </c>
      <c r="D472" s="18" t="s">
        <v>3419</v>
      </c>
      <c r="E472" s="18">
        <v>2</v>
      </c>
      <c r="F472" s="18">
        <v>56</v>
      </c>
      <c r="G472" s="18">
        <v>3</v>
      </c>
      <c r="H472" s="18" t="s">
        <v>3359</v>
      </c>
    </row>
    <row r="473" spans="1:8">
      <c r="A473" s="7" t="str">
        <f t="shared" si="21"/>
        <v>03</v>
      </c>
      <c r="B473" s="7" t="str">
        <f t="shared" si="22"/>
        <v>069</v>
      </c>
      <c r="C473" s="7" t="str">
        <f t="shared" si="23"/>
        <v>La Matanza</v>
      </c>
      <c r="D473" s="18" t="s">
        <v>3420</v>
      </c>
      <c r="E473" s="18">
        <v>6</v>
      </c>
      <c r="F473" s="18">
        <v>142</v>
      </c>
      <c r="G473" s="18">
        <v>3</v>
      </c>
      <c r="H473" s="18" t="s">
        <v>3359</v>
      </c>
    </row>
    <row r="474" spans="1:8">
      <c r="A474" s="7" t="str">
        <f t="shared" si="21"/>
        <v>03</v>
      </c>
      <c r="B474" s="7" t="str">
        <f t="shared" si="22"/>
        <v>069</v>
      </c>
      <c r="C474" s="7" t="str">
        <f t="shared" si="23"/>
        <v>La Matanza</v>
      </c>
      <c r="D474" s="18" t="s">
        <v>3421</v>
      </c>
      <c r="E474" s="18">
        <v>1</v>
      </c>
      <c r="F474" s="18">
        <v>22</v>
      </c>
      <c r="G474" s="18">
        <v>3</v>
      </c>
      <c r="H474" s="18" t="s">
        <v>3359</v>
      </c>
    </row>
    <row r="475" spans="1:8">
      <c r="A475" s="7" t="str">
        <f t="shared" si="21"/>
        <v>03</v>
      </c>
      <c r="B475" s="7" t="str">
        <f t="shared" si="22"/>
        <v>069</v>
      </c>
      <c r="C475" s="7" t="str">
        <f t="shared" si="23"/>
        <v>La Matanza</v>
      </c>
      <c r="D475" s="18" t="s">
        <v>3422</v>
      </c>
      <c r="E475" s="18">
        <v>2</v>
      </c>
      <c r="F475" s="18">
        <v>60</v>
      </c>
      <c r="G475" s="18">
        <v>3</v>
      </c>
      <c r="H475" s="18" t="s">
        <v>3359</v>
      </c>
    </row>
    <row r="476" spans="1:8">
      <c r="A476" s="7" t="str">
        <f t="shared" si="21"/>
        <v>03</v>
      </c>
      <c r="B476" s="7" t="str">
        <f t="shared" si="22"/>
        <v>069</v>
      </c>
      <c r="C476" s="7" t="str">
        <f t="shared" si="23"/>
        <v>La Matanza</v>
      </c>
      <c r="D476" s="18" t="s">
        <v>3423</v>
      </c>
      <c r="E476" s="18">
        <v>1</v>
      </c>
      <c r="F476" s="18">
        <v>29</v>
      </c>
      <c r="G476" s="18">
        <v>3</v>
      </c>
      <c r="H476" s="18" t="s">
        <v>3359</v>
      </c>
    </row>
    <row r="477" spans="1:8">
      <c r="A477" s="7" t="str">
        <f t="shared" si="21"/>
        <v>03</v>
      </c>
      <c r="B477" s="7" t="str">
        <f t="shared" si="22"/>
        <v>069</v>
      </c>
      <c r="C477" s="7" t="str">
        <f t="shared" si="23"/>
        <v>La Matanza</v>
      </c>
      <c r="D477" s="18" t="s">
        <v>3424</v>
      </c>
      <c r="E477" s="18">
        <v>3</v>
      </c>
      <c r="F477" s="18">
        <v>71</v>
      </c>
      <c r="G477" s="18">
        <v>3</v>
      </c>
      <c r="H477" s="18" t="s">
        <v>3359</v>
      </c>
    </row>
    <row r="478" spans="1:8">
      <c r="A478" s="7" t="str">
        <f t="shared" si="21"/>
        <v>03</v>
      </c>
      <c r="B478" s="7" t="str">
        <f t="shared" si="22"/>
        <v>069</v>
      </c>
      <c r="C478" s="7" t="str">
        <f t="shared" si="23"/>
        <v>La Matanza</v>
      </c>
      <c r="D478" s="18" t="s">
        <v>3425</v>
      </c>
      <c r="E478" s="18">
        <v>1</v>
      </c>
      <c r="F478" s="18">
        <v>14</v>
      </c>
      <c r="G478" s="18">
        <v>3</v>
      </c>
      <c r="H478" s="18" t="s">
        <v>3359</v>
      </c>
    </row>
    <row r="479" spans="1:8">
      <c r="A479" s="7" t="str">
        <f t="shared" si="21"/>
        <v>03</v>
      </c>
      <c r="B479" s="7" t="str">
        <f t="shared" si="22"/>
        <v>069</v>
      </c>
      <c r="C479" s="7" t="str">
        <f t="shared" si="23"/>
        <v>La Matanza</v>
      </c>
      <c r="D479" s="18" t="s">
        <v>3426</v>
      </c>
      <c r="E479" s="18">
        <v>1</v>
      </c>
      <c r="F479" s="18">
        <v>13</v>
      </c>
      <c r="G479" s="18">
        <v>3</v>
      </c>
      <c r="H479" s="18" t="s">
        <v>3359</v>
      </c>
    </row>
    <row r="480" spans="1:8">
      <c r="A480" s="7" t="str">
        <f t="shared" si="21"/>
        <v>03</v>
      </c>
      <c r="B480" s="7" t="str">
        <f t="shared" si="22"/>
        <v>069</v>
      </c>
      <c r="C480" s="7" t="str">
        <f t="shared" si="23"/>
        <v>La Matanza</v>
      </c>
      <c r="D480" s="18" t="s">
        <v>3427</v>
      </c>
      <c r="E480" s="18">
        <v>1</v>
      </c>
      <c r="F480" s="18">
        <v>26</v>
      </c>
      <c r="G480" s="18">
        <v>3</v>
      </c>
      <c r="H480" s="18" t="s">
        <v>3359</v>
      </c>
    </row>
    <row r="481" spans="1:8">
      <c r="A481" s="7" t="str">
        <f t="shared" si="21"/>
        <v>03</v>
      </c>
      <c r="B481" s="7" t="str">
        <f t="shared" si="22"/>
        <v>069</v>
      </c>
      <c r="C481" s="7" t="str">
        <f t="shared" si="23"/>
        <v>La Matanza</v>
      </c>
      <c r="D481" s="18" t="s">
        <v>3428</v>
      </c>
      <c r="E481" s="18">
        <v>2</v>
      </c>
      <c r="F481" s="18">
        <v>38</v>
      </c>
      <c r="G481" s="18">
        <v>3</v>
      </c>
      <c r="H481" s="18" t="s">
        <v>3359</v>
      </c>
    </row>
    <row r="482" spans="1:8">
      <c r="A482" s="7" t="str">
        <f t="shared" si="21"/>
        <v>03</v>
      </c>
      <c r="B482" s="7" t="str">
        <f t="shared" si="22"/>
        <v>069</v>
      </c>
      <c r="C482" s="7" t="str">
        <f t="shared" si="23"/>
        <v>La Matanza</v>
      </c>
      <c r="D482" s="18" t="s">
        <v>3429</v>
      </c>
      <c r="E482" s="18">
        <v>1</v>
      </c>
      <c r="F482" s="18">
        <v>21</v>
      </c>
      <c r="G482" s="18">
        <v>3</v>
      </c>
      <c r="H482" s="18" t="s">
        <v>3359</v>
      </c>
    </row>
    <row r="483" spans="1:8">
      <c r="A483" s="7" t="str">
        <f t="shared" si="21"/>
        <v>03</v>
      </c>
      <c r="B483" s="7" t="str">
        <f t="shared" si="22"/>
        <v>069</v>
      </c>
      <c r="C483" s="7" t="str">
        <f t="shared" si="23"/>
        <v>La Matanza</v>
      </c>
      <c r="D483" s="18" t="s">
        <v>3430</v>
      </c>
      <c r="E483" s="18">
        <v>2</v>
      </c>
      <c r="F483" s="18">
        <v>56</v>
      </c>
      <c r="G483" s="18">
        <v>3</v>
      </c>
      <c r="H483" s="18" t="s">
        <v>3359</v>
      </c>
    </row>
    <row r="484" spans="1:8">
      <c r="A484" s="7" t="str">
        <f t="shared" si="21"/>
        <v>03</v>
      </c>
      <c r="B484" s="7" t="str">
        <f t="shared" si="22"/>
        <v>069</v>
      </c>
      <c r="C484" s="7" t="str">
        <f t="shared" si="23"/>
        <v>La Matanza</v>
      </c>
      <c r="D484" s="18" t="s">
        <v>3431</v>
      </c>
      <c r="E484" s="18">
        <v>1</v>
      </c>
      <c r="F484" s="18">
        <v>23</v>
      </c>
      <c r="G484" s="18">
        <v>3</v>
      </c>
      <c r="H484" s="18" t="s">
        <v>3359</v>
      </c>
    </row>
    <row r="485" spans="1:8">
      <c r="A485" s="7" t="str">
        <f t="shared" si="21"/>
        <v>03</v>
      </c>
      <c r="B485" s="7" t="str">
        <f t="shared" si="22"/>
        <v>069</v>
      </c>
      <c r="C485" s="7" t="str">
        <f t="shared" si="23"/>
        <v>La Matanza</v>
      </c>
      <c r="D485" s="18" t="s">
        <v>3432</v>
      </c>
      <c r="E485" s="18">
        <v>2</v>
      </c>
      <c r="F485" s="18">
        <v>49</v>
      </c>
      <c r="G485" s="18">
        <v>3</v>
      </c>
      <c r="H485" s="18" t="s">
        <v>3359</v>
      </c>
    </row>
    <row r="486" spans="1:8">
      <c r="A486" s="7" t="str">
        <f t="shared" si="21"/>
        <v>03</v>
      </c>
      <c r="B486" s="7" t="str">
        <f t="shared" si="22"/>
        <v>069</v>
      </c>
      <c r="C486" s="7" t="str">
        <f t="shared" si="23"/>
        <v>La Matanza</v>
      </c>
      <c r="D486" s="18" t="s">
        <v>3433</v>
      </c>
      <c r="E486" s="18">
        <v>1</v>
      </c>
      <c r="F486" s="18">
        <v>19</v>
      </c>
      <c r="G486" s="18">
        <v>3</v>
      </c>
      <c r="H486" s="18" t="s">
        <v>3359</v>
      </c>
    </row>
    <row r="487" spans="1:8">
      <c r="A487" s="7" t="str">
        <f t="shared" si="21"/>
        <v>03</v>
      </c>
      <c r="B487" s="7" t="str">
        <f t="shared" si="22"/>
        <v>069</v>
      </c>
      <c r="C487" s="7" t="str">
        <f t="shared" si="23"/>
        <v>La Matanza</v>
      </c>
      <c r="D487" s="18" t="s">
        <v>3434</v>
      </c>
      <c r="E487" s="18">
        <v>1</v>
      </c>
      <c r="F487" s="18">
        <v>18</v>
      </c>
      <c r="G487" s="18">
        <v>3</v>
      </c>
      <c r="H487" s="18" t="s">
        <v>3359</v>
      </c>
    </row>
    <row r="488" spans="1:8">
      <c r="A488" s="7" t="str">
        <f t="shared" si="21"/>
        <v>03</v>
      </c>
      <c r="B488" s="7" t="str">
        <f t="shared" si="22"/>
        <v>069</v>
      </c>
      <c r="C488" s="7" t="str">
        <f t="shared" si="23"/>
        <v>La Matanza</v>
      </c>
      <c r="D488" s="18" t="s">
        <v>3435</v>
      </c>
      <c r="E488" s="18">
        <v>1</v>
      </c>
      <c r="F488" s="18">
        <v>21</v>
      </c>
      <c r="G488" s="18">
        <v>3</v>
      </c>
      <c r="H488" s="18" t="s">
        <v>3359</v>
      </c>
    </row>
    <row r="489" spans="1:8">
      <c r="A489" s="7" t="str">
        <f t="shared" si="21"/>
        <v>03</v>
      </c>
      <c r="B489" s="7" t="str">
        <f t="shared" si="22"/>
        <v>069</v>
      </c>
      <c r="C489" s="7" t="str">
        <f t="shared" si="23"/>
        <v>La Matanza</v>
      </c>
      <c r="D489" s="18" t="s">
        <v>3436</v>
      </c>
      <c r="E489" s="18">
        <v>1</v>
      </c>
      <c r="F489" s="18">
        <v>20</v>
      </c>
      <c r="G489" s="18">
        <v>3</v>
      </c>
      <c r="H489" s="18" t="s">
        <v>3359</v>
      </c>
    </row>
    <row r="490" spans="1:8">
      <c r="A490" s="7" t="str">
        <f t="shared" si="21"/>
        <v>03</v>
      </c>
      <c r="B490" s="7" t="str">
        <f t="shared" si="22"/>
        <v>069</v>
      </c>
      <c r="C490" s="7" t="str">
        <f t="shared" si="23"/>
        <v>La Matanza</v>
      </c>
      <c r="D490" s="18" t="s">
        <v>3437</v>
      </c>
      <c r="E490" s="18">
        <v>2</v>
      </c>
      <c r="F490" s="18">
        <v>41</v>
      </c>
      <c r="G490" s="18">
        <v>3</v>
      </c>
      <c r="H490" s="18" t="s">
        <v>3359</v>
      </c>
    </row>
    <row r="491" spans="1:8">
      <c r="A491" s="7" t="str">
        <f t="shared" si="21"/>
        <v>03</v>
      </c>
      <c r="B491" s="7" t="str">
        <f t="shared" si="22"/>
        <v>069</v>
      </c>
      <c r="C491" s="7" t="str">
        <f t="shared" si="23"/>
        <v>La Matanza</v>
      </c>
      <c r="D491" s="18" t="s">
        <v>3438</v>
      </c>
      <c r="E491" s="18">
        <v>3</v>
      </c>
      <c r="F491" s="18">
        <v>64</v>
      </c>
      <c r="G491" s="18">
        <v>3</v>
      </c>
      <c r="H491" s="18" t="s">
        <v>3359</v>
      </c>
    </row>
    <row r="492" spans="1:8">
      <c r="A492" s="7" t="str">
        <f t="shared" si="21"/>
        <v>03</v>
      </c>
      <c r="B492" s="7" t="str">
        <f t="shared" si="22"/>
        <v>069</v>
      </c>
      <c r="C492" s="7" t="str">
        <f t="shared" si="23"/>
        <v>La Matanza</v>
      </c>
      <c r="D492" s="18" t="s">
        <v>3439</v>
      </c>
      <c r="E492" s="18">
        <v>1</v>
      </c>
      <c r="F492" s="18">
        <v>24</v>
      </c>
      <c r="G492" s="18">
        <v>3</v>
      </c>
      <c r="H492" s="18" t="s">
        <v>3359</v>
      </c>
    </row>
    <row r="493" spans="1:8">
      <c r="A493" s="7" t="str">
        <f t="shared" si="21"/>
        <v>03</v>
      </c>
      <c r="B493" s="7" t="str">
        <f t="shared" si="22"/>
        <v>069</v>
      </c>
      <c r="C493" s="7" t="str">
        <f t="shared" si="23"/>
        <v>La Matanza</v>
      </c>
      <c r="D493" s="18" t="s">
        <v>3440</v>
      </c>
      <c r="E493" s="18">
        <v>1</v>
      </c>
      <c r="F493" s="18">
        <v>26</v>
      </c>
      <c r="G493" s="18">
        <v>3</v>
      </c>
      <c r="H493" s="18" t="s">
        <v>3359</v>
      </c>
    </row>
    <row r="494" spans="1:8">
      <c r="A494" s="7" t="str">
        <f t="shared" si="21"/>
        <v>03</v>
      </c>
      <c r="B494" s="7" t="str">
        <f t="shared" si="22"/>
        <v>069</v>
      </c>
      <c r="C494" s="7" t="str">
        <f t="shared" si="23"/>
        <v>La Matanza</v>
      </c>
      <c r="D494" s="18" t="s">
        <v>3441</v>
      </c>
      <c r="E494" s="18">
        <v>1</v>
      </c>
      <c r="F494" s="18">
        <v>27</v>
      </c>
      <c r="G494" s="18">
        <v>3</v>
      </c>
      <c r="H494" s="18" t="s">
        <v>3359</v>
      </c>
    </row>
    <row r="495" spans="1:8">
      <c r="A495" s="7" t="str">
        <f t="shared" si="21"/>
        <v>03</v>
      </c>
      <c r="B495" s="7" t="str">
        <f t="shared" si="22"/>
        <v>069</v>
      </c>
      <c r="C495" s="7" t="str">
        <f t="shared" si="23"/>
        <v>La Matanza</v>
      </c>
      <c r="D495" s="18" t="s">
        <v>3442</v>
      </c>
      <c r="E495" s="18">
        <v>1</v>
      </c>
      <c r="F495" s="18">
        <v>16</v>
      </c>
      <c r="G495" s="18">
        <v>3</v>
      </c>
      <c r="H495" s="18" t="s">
        <v>3359</v>
      </c>
    </row>
    <row r="496" spans="1:8">
      <c r="A496" s="7" t="str">
        <f t="shared" si="21"/>
        <v>03</v>
      </c>
      <c r="B496" s="7" t="str">
        <f t="shared" si="22"/>
        <v>069</v>
      </c>
      <c r="C496" s="7" t="str">
        <f t="shared" si="23"/>
        <v>La Matanza</v>
      </c>
      <c r="D496" s="18" t="s">
        <v>3443</v>
      </c>
      <c r="E496" s="18">
        <v>1</v>
      </c>
      <c r="F496" s="18">
        <v>28</v>
      </c>
      <c r="G496" s="18">
        <v>3</v>
      </c>
      <c r="H496" s="18" t="s">
        <v>3359</v>
      </c>
    </row>
    <row r="497" spans="1:8">
      <c r="A497" s="7" t="str">
        <f t="shared" si="21"/>
        <v>03</v>
      </c>
      <c r="B497" s="7" t="str">
        <f t="shared" si="22"/>
        <v>069</v>
      </c>
      <c r="C497" s="7" t="str">
        <f t="shared" si="23"/>
        <v>La Matanza</v>
      </c>
      <c r="D497" s="18" t="s">
        <v>3444</v>
      </c>
      <c r="E497" s="18">
        <v>1</v>
      </c>
      <c r="F497" s="18">
        <v>32</v>
      </c>
      <c r="G497" s="18">
        <v>3</v>
      </c>
      <c r="H497" s="18" t="s">
        <v>3359</v>
      </c>
    </row>
    <row r="498" spans="1:8">
      <c r="A498" s="7" t="str">
        <f t="shared" si="21"/>
        <v>03</v>
      </c>
      <c r="B498" s="7" t="str">
        <f t="shared" si="22"/>
        <v>069</v>
      </c>
      <c r="C498" s="7" t="str">
        <f t="shared" si="23"/>
        <v>La Matanza</v>
      </c>
      <c r="D498" s="18" t="s">
        <v>3445</v>
      </c>
      <c r="E498" s="18">
        <v>1</v>
      </c>
      <c r="F498" s="18">
        <v>17</v>
      </c>
      <c r="G498" s="18">
        <v>3</v>
      </c>
      <c r="H498" s="18" t="s">
        <v>3359</v>
      </c>
    </row>
    <row r="499" spans="1:8">
      <c r="A499" s="7" t="str">
        <f t="shared" si="21"/>
        <v>03</v>
      </c>
      <c r="B499" s="7" t="str">
        <f t="shared" si="22"/>
        <v>069</v>
      </c>
      <c r="C499" s="7" t="str">
        <f t="shared" si="23"/>
        <v>La Matanza</v>
      </c>
      <c r="D499" s="18" t="s">
        <v>3447</v>
      </c>
      <c r="E499" s="18">
        <v>1</v>
      </c>
      <c r="F499" s="18">
        <v>27</v>
      </c>
      <c r="G499" s="18">
        <v>3</v>
      </c>
      <c r="H499" s="18" t="s">
        <v>3446</v>
      </c>
    </row>
    <row r="500" spans="1:8">
      <c r="A500" s="7" t="str">
        <f t="shared" si="21"/>
        <v>03</v>
      </c>
      <c r="B500" s="7" t="str">
        <f t="shared" si="22"/>
        <v>069</v>
      </c>
      <c r="C500" s="7" t="str">
        <f t="shared" si="23"/>
        <v>La Matanza</v>
      </c>
      <c r="D500" s="18" t="s">
        <v>3448</v>
      </c>
      <c r="E500" s="18">
        <v>2</v>
      </c>
      <c r="F500" s="18">
        <v>44</v>
      </c>
      <c r="G500" s="18">
        <v>3</v>
      </c>
      <c r="H500" s="18" t="s">
        <v>3446</v>
      </c>
    </row>
    <row r="501" spans="1:8">
      <c r="A501" s="7" t="str">
        <f t="shared" si="21"/>
        <v>03</v>
      </c>
      <c r="B501" s="7" t="str">
        <f t="shared" si="22"/>
        <v>069</v>
      </c>
      <c r="C501" s="7" t="str">
        <f t="shared" si="23"/>
        <v>La Matanza</v>
      </c>
      <c r="D501" s="18" t="s">
        <v>3449</v>
      </c>
      <c r="E501" s="18">
        <v>1</v>
      </c>
      <c r="F501" s="18">
        <v>17</v>
      </c>
      <c r="G501" s="18">
        <v>3</v>
      </c>
      <c r="H501" s="18" t="s">
        <v>3446</v>
      </c>
    </row>
    <row r="502" spans="1:8">
      <c r="A502" s="7" t="str">
        <f t="shared" si="21"/>
        <v>03</v>
      </c>
      <c r="B502" s="7" t="str">
        <f t="shared" si="22"/>
        <v>069</v>
      </c>
      <c r="C502" s="7" t="str">
        <f t="shared" si="23"/>
        <v>La Matanza</v>
      </c>
      <c r="D502" s="18" t="s">
        <v>3450</v>
      </c>
      <c r="E502" s="18">
        <v>2</v>
      </c>
      <c r="F502" s="18">
        <v>33</v>
      </c>
      <c r="G502" s="18">
        <v>3</v>
      </c>
      <c r="H502" s="18" t="s">
        <v>3446</v>
      </c>
    </row>
    <row r="503" spans="1:8">
      <c r="A503" s="7" t="str">
        <f t="shared" si="21"/>
        <v>03</v>
      </c>
      <c r="B503" s="7" t="str">
        <f t="shared" si="22"/>
        <v>069</v>
      </c>
      <c r="C503" s="7" t="str">
        <f t="shared" si="23"/>
        <v>La Matanza</v>
      </c>
      <c r="D503" s="18" t="s">
        <v>3451</v>
      </c>
      <c r="E503" s="18">
        <v>1</v>
      </c>
      <c r="F503" s="18">
        <v>18</v>
      </c>
      <c r="G503" s="18">
        <v>3</v>
      </c>
      <c r="H503" s="18" t="s">
        <v>3446</v>
      </c>
    </row>
    <row r="504" spans="1:8">
      <c r="A504" s="7" t="str">
        <f t="shared" si="21"/>
        <v>03</v>
      </c>
      <c r="B504" s="7" t="str">
        <f t="shared" si="22"/>
        <v>069</v>
      </c>
      <c r="C504" s="7" t="str">
        <f t="shared" si="23"/>
        <v>La Matanza</v>
      </c>
      <c r="D504" s="18" t="s">
        <v>3452</v>
      </c>
      <c r="E504" s="18">
        <v>1</v>
      </c>
      <c r="F504" s="18">
        <v>23</v>
      </c>
      <c r="G504" s="18">
        <v>3</v>
      </c>
      <c r="H504" s="18" t="s">
        <v>3446</v>
      </c>
    </row>
    <row r="505" spans="1:8">
      <c r="A505" s="7" t="str">
        <f t="shared" si="21"/>
        <v>03</v>
      </c>
      <c r="B505" s="7" t="str">
        <f t="shared" si="22"/>
        <v>069</v>
      </c>
      <c r="C505" s="7" t="str">
        <f t="shared" si="23"/>
        <v>La Matanza</v>
      </c>
      <c r="D505" s="18" t="s">
        <v>3453</v>
      </c>
      <c r="E505" s="18">
        <v>2</v>
      </c>
      <c r="F505" s="18">
        <v>39</v>
      </c>
      <c r="G505" s="18">
        <v>3</v>
      </c>
      <c r="H505" s="18" t="s">
        <v>3446</v>
      </c>
    </row>
    <row r="506" spans="1:8">
      <c r="A506" s="7" t="str">
        <f t="shared" si="21"/>
        <v>03</v>
      </c>
      <c r="B506" s="7" t="str">
        <f t="shared" si="22"/>
        <v>069</v>
      </c>
      <c r="C506" s="7" t="str">
        <f t="shared" si="23"/>
        <v>La Matanza</v>
      </c>
      <c r="D506" s="18" t="s">
        <v>3454</v>
      </c>
      <c r="E506" s="18">
        <v>3</v>
      </c>
      <c r="F506" s="18">
        <v>60</v>
      </c>
      <c r="G506" s="18">
        <v>3</v>
      </c>
      <c r="H506" s="18" t="s">
        <v>3446</v>
      </c>
    </row>
    <row r="507" spans="1:8">
      <c r="A507" s="7" t="str">
        <f t="shared" si="21"/>
        <v>03</v>
      </c>
      <c r="B507" s="7" t="str">
        <f t="shared" si="22"/>
        <v>069</v>
      </c>
      <c r="C507" s="7" t="str">
        <f t="shared" si="23"/>
        <v>La Matanza</v>
      </c>
      <c r="D507" s="18" t="s">
        <v>3455</v>
      </c>
      <c r="E507" s="18">
        <v>5</v>
      </c>
      <c r="F507" s="18">
        <v>100</v>
      </c>
      <c r="G507" s="18">
        <v>3</v>
      </c>
      <c r="H507" s="18" t="s">
        <v>3446</v>
      </c>
    </row>
    <row r="508" spans="1:8">
      <c r="A508" s="7" t="str">
        <f t="shared" si="21"/>
        <v>03</v>
      </c>
      <c r="B508" s="7" t="str">
        <f t="shared" si="22"/>
        <v>069</v>
      </c>
      <c r="C508" s="7" t="str">
        <f t="shared" si="23"/>
        <v>La Matanza</v>
      </c>
      <c r="D508" s="18" t="s">
        <v>3456</v>
      </c>
      <c r="E508" s="18">
        <v>1</v>
      </c>
      <c r="F508" s="18">
        <v>28</v>
      </c>
      <c r="G508" s="18">
        <v>3</v>
      </c>
      <c r="H508" s="18" t="s">
        <v>3446</v>
      </c>
    </row>
    <row r="509" spans="1:8">
      <c r="A509" s="7" t="str">
        <f t="shared" si="21"/>
        <v>03</v>
      </c>
      <c r="B509" s="7" t="str">
        <f t="shared" si="22"/>
        <v>069</v>
      </c>
      <c r="C509" s="7" t="str">
        <f t="shared" si="23"/>
        <v>La Matanza</v>
      </c>
      <c r="D509" s="18" t="s">
        <v>3457</v>
      </c>
      <c r="E509" s="18">
        <v>2</v>
      </c>
      <c r="F509" s="18">
        <v>35</v>
      </c>
      <c r="G509" s="18">
        <v>3</v>
      </c>
      <c r="H509" s="18" t="s">
        <v>3446</v>
      </c>
    </row>
    <row r="510" spans="1:8">
      <c r="A510" s="7" t="str">
        <f t="shared" si="21"/>
        <v>03</v>
      </c>
      <c r="B510" s="7" t="str">
        <f t="shared" si="22"/>
        <v>069</v>
      </c>
      <c r="C510" s="7" t="str">
        <f t="shared" si="23"/>
        <v>La Matanza</v>
      </c>
      <c r="D510" s="18" t="s">
        <v>3458</v>
      </c>
      <c r="E510" s="18">
        <v>4</v>
      </c>
      <c r="F510" s="18">
        <v>79</v>
      </c>
      <c r="G510" s="18">
        <v>3</v>
      </c>
      <c r="H510" s="18" t="s">
        <v>3446</v>
      </c>
    </row>
    <row r="511" spans="1:8">
      <c r="A511" s="7" t="str">
        <f t="shared" si="21"/>
        <v>03</v>
      </c>
      <c r="B511" s="7" t="str">
        <f t="shared" si="22"/>
        <v>069</v>
      </c>
      <c r="C511" s="7" t="str">
        <f t="shared" si="23"/>
        <v>La Matanza</v>
      </c>
      <c r="D511" s="18" t="s">
        <v>3459</v>
      </c>
      <c r="E511" s="18">
        <v>2</v>
      </c>
      <c r="F511" s="18">
        <v>47</v>
      </c>
      <c r="G511" s="18">
        <v>3</v>
      </c>
      <c r="H511" s="18" t="s">
        <v>3446</v>
      </c>
    </row>
    <row r="512" spans="1:8">
      <c r="A512" s="7" t="str">
        <f t="shared" si="21"/>
        <v>03</v>
      </c>
      <c r="B512" s="7" t="str">
        <f t="shared" si="22"/>
        <v>069</v>
      </c>
      <c r="C512" s="7" t="str">
        <f t="shared" si="23"/>
        <v>La Matanza</v>
      </c>
      <c r="D512" s="18" t="s">
        <v>3460</v>
      </c>
      <c r="E512" s="18">
        <v>2</v>
      </c>
      <c r="F512" s="18">
        <v>34</v>
      </c>
      <c r="G512" s="18">
        <v>3</v>
      </c>
      <c r="H512" s="18" t="s">
        <v>3446</v>
      </c>
    </row>
    <row r="513" spans="1:8">
      <c r="A513" s="7" t="str">
        <f t="shared" si="21"/>
        <v>03</v>
      </c>
      <c r="B513" s="7" t="str">
        <f t="shared" si="22"/>
        <v>069</v>
      </c>
      <c r="C513" s="7" t="str">
        <f t="shared" si="23"/>
        <v>La Matanza</v>
      </c>
      <c r="D513" s="18" t="s">
        <v>3461</v>
      </c>
      <c r="E513" s="18">
        <v>3</v>
      </c>
      <c r="F513" s="18">
        <v>68</v>
      </c>
      <c r="G513" s="18">
        <v>3</v>
      </c>
      <c r="H513" s="18" t="s">
        <v>3446</v>
      </c>
    </row>
    <row r="514" spans="1:8">
      <c r="A514" s="7" t="str">
        <f t="shared" si="21"/>
        <v>03</v>
      </c>
      <c r="B514" s="7" t="str">
        <f t="shared" si="22"/>
        <v>069</v>
      </c>
      <c r="C514" s="7" t="str">
        <f t="shared" si="23"/>
        <v>La Matanza</v>
      </c>
      <c r="D514" s="18" t="s">
        <v>3462</v>
      </c>
      <c r="E514" s="18">
        <v>6</v>
      </c>
      <c r="F514" s="18">
        <v>112</v>
      </c>
      <c r="G514" s="18">
        <v>3</v>
      </c>
      <c r="H514" s="18" t="s">
        <v>3446</v>
      </c>
    </row>
    <row r="515" spans="1:8">
      <c r="A515" s="7" t="str">
        <f t="shared" ref="A515:A578" si="24">+VLOOKUP(H515,$K:$N,2,FALSE)</f>
        <v>03</v>
      </c>
      <c r="B515" s="7" t="str">
        <f t="shared" ref="B515:B578" si="25">+VLOOKUP(H515,$K:$N,3,FALSE)</f>
        <v>069</v>
      </c>
      <c r="C515" s="7" t="str">
        <f t="shared" ref="C515:C578" si="26">+VLOOKUP(H515,$K:$N,4,FALSE)</f>
        <v>La Matanza</v>
      </c>
      <c r="D515" s="18" t="s">
        <v>3463</v>
      </c>
      <c r="E515" s="18">
        <v>3</v>
      </c>
      <c r="F515" s="18">
        <v>81</v>
      </c>
      <c r="G515" s="18">
        <v>3</v>
      </c>
      <c r="H515" s="18" t="s">
        <v>3446</v>
      </c>
    </row>
    <row r="516" spans="1:8">
      <c r="A516" s="7" t="str">
        <f t="shared" si="24"/>
        <v>03</v>
      </c>
      <c r="B516" s="7" t="str">
        <f t="shared" si="25"/>
        <v>069</v>
      </c>
      <c r="C516" s="7" t="str">
        <f t="shared" si="26"/>
        <v>La Matanza</v>
      </c>
      <c r="D516" s="18" t="s">
        <v>3464</v>
      </c>
      <c r="E516" s="18">
        <v>3</v>
      </c>
      <c r="F516" s="18">
        <v>73</v>
      </c>
      <c r="G516" s="18">
        <v>3</v>
      </c>
      <c r="H516" s="18" t="s">
        <v>3446</v>
      </c>
    </row>
    <row r="517" spans="1:8">
      <c r="A517" s="7" t="str">
        <f t="shared" si="24"/>
        <v>03</v>
      </c>
      <c r="B517" s="7" t="str">
        <f t="shared" si="25"/>
        <v>069</v>
      </c>
      <c r="C517" s="7" t="str">
        <f t="shared" si="26"/>
        <v>La Matanza</v>
      </c>
      <c r="D517" s="18" t="s">
        <v>3465</v>
      </c>
      <c r="E517" s="18">
        <v>1</v>
      </c>
      <c r="F517" s="18">
        <v>22</v>
      </c>
      <c r="G517" s="18">
        <v>3</v>
      </c>
      <c r="H517" s="18" t="s">
        <v>3446</v>
      </c>
    </row>
    <row r="518" spans="1:8">
      <c r="A518" s="7" t="str">
        <f t="shared" si="24"/>
        <v>03</v>
      </c>
      <c r="B518" s="7" t="str">
        <f t="shared" si="25"/>
        <v>069</v>
      </c>
      <c r="C518" s="7" t="str">
        <f t="shared" si="26"/>
        <v>La Matanza</v>
      </c>
      <c r="D518" s="18" t="s">
        <v>3466</v>
      </c>
      <c r="E518" s="18">
        <v>2</v>
      </c>
      <c r="F518" s="18">
        <v>38</v>
      </c>
      <c r="G518" s="18">
        <v>3</v>
      </c>
      <c r="H518" s="18" t="s">
        <v>3446</v>
      </c>
    </row>
    <row r="519" spans="1:8">
      <c r="A519" s="7" t="str">
        <f t="shared" si="24"/>
        <v>03</v>
      </c>
      <c r="B519" s="7" t="str">
        <f t="shared" si="25"/>
        <v>069</v>
      </c>
      <c r="C519" s="7" t="str">
        <f t="shared" si="26"/>
        <v>La Matanza</v>
      </c>
      <c r="D519" s="18" t="s">
        <v>3467</v>
      </c>
      <c r="E519" s="18">
        <v>2</v>
      </c>
      <c r="F519" s="18">
        <v>44</v>
      </c>
      <c r="G519" s="18">
        <v>3</v>
      </c>
      <c r="H519" s="18" t="s">
        <v>3446</v>
      </c>
    </row>
    <row r="520" spans="1:8">
      <c r="A520" s="7" t="str">
        <f t="shared" si="24"/>
        <v>03</v>
      </c>
      <c r="B520" s="7" t="str">
        <f t="shared" si="25"/>
        <v>069</v>
      </c>
      <c r="C520" s="7" t="str">
        <f t="shared" si="26"/>
        <v>La Matanza</v>
      </c>
      <c r="D520" s="18" t="s">
        <v>3468</v>
      </c>
      <c r="E520" s="18">
        <v>1</v>
      </c>
      <c r="F520" s="18">
        <v>9</v>
      </c>
      <c r="G520" s="18">
        <v>3</v>
      </c>
      <c r="H520" s="18" t="s">
        <v>3446</v>
      </c>
    </row>
    <row r="521" spans="1:8">
      <c r="A521" s="7" t="str">
        <f t="shared" si="24"/>
        <v>03</v>
      </c>
      <c r="B521" s="7" t="str">
        <f t="shared" si="25"/>
        <v>069</v>
      </c>
      <c r="C521" s="7" t="str">
        <f t="shared" si="26"/>
        <v>La Matanza</v>
      </c>
      <c r="D521" s="18" t="s">
        <v>3469</v>
      </c>
      <c r="E521" s="18">
        <v>1</v>
      </c>
      <c r="F521" s="18">
        <v>16</v>
      </c>
      <c r="G521" s="18">
        <v>3</v>
      </c>
      <c r="H521" s="18" t="s">
        <v>3446</v>
      </c>
    </row>
    <row r="522" spans="1:8">
      <c r="A522" s="7" t="str">
        <f t="shared" si="24"/>
        <v>03</v>
      </c>
      <c r="B522" s="7" t="str">
        <f t="shared" si="25"/>
        <v>069</v>
      </c>
      <c r="C522" s="7" t="str">
        <f t="shared" si="26"/>
        <v>La Matanza</v>
      </c>
      <c r="D522" s="18" t="s">
        <v>3470</v>
      </c>
      <c r="E522" s="18">
        <v>2</v>
      </c>
      <c r="F522" s="18">
        <v>41</v>
      </c>
      <c r="G522" s="18">
        <v>3</v>
      </c>
      <c r="H522" s="18" t="s">
        <v>3446</v>
      </c>
    </row>
    <row r="523" spans="1:8">
      <c r="A523" s="7" t="str">
        <f t="shared" si="24"/>
        <v>03</v>
      </c>
      <c r="B523" s="7" t="str">
        <f t="shared" si="25"/>
        <v>069</v>
      </c>
      <c r="C523" s="7" t="str">
        <f t="shared" si="26"/>
        <v>La Matanza</v>
      </c>
      <c r="D523" s="18" t="s">
        <v>3471</v>
      </c>
      <c r="E523" s="18">
        <v>3</v>
      </c>
      <c r="F523" s="18">
        <v>57</v>
      </c>
      <c r="G523" s="18">
        <v>3</v>
      </c>
      <c r="H523" s="18" t="s">
        <v>3446</v>
      </c>
    </row>
    <row r="524" spans="1:8">
      <c r="A524" s="7" t="str">
        <f t="shared" si="24"/>
        <v>03</v>
      </c>
      <c r="B524" s="7" t="str">
        <f t="shared" si="25"/>
        <v>069</v>
      </c>
      <c r="C524" s="7" t="str">
        <f t="shared" si="26"/>
        <v>La Matanza</v>
      </c>
      <c r="D524" s="18" t="s">
        <v>3472</v>
      </c>
      <c r="E524" s="18">
        <v>2</v>
      </c>
      <c r="F524" s="18">
        <v>37</v>
      </c>
      <c r="G524" s="18">
        <v>3</v>
      </c>
      <c r="H524" s="18" t="s">
        <v>3446</v>
      </c>
    </row>
    <row r="525" spans="1:8">
      <c r="A525" s="7" t="str">
        <f t="shared" si="24"/>
        <v>03</v>
      </c>
      <c r="B525" s="7" t="str">
        <f t="shared" si="25"/>
        <v>069</v>
      </c>
      <c r="C525" s="7" t="str">
        <f t="shared" si="26"/>
        <v>La Matanza</v>
      </c>
      <c r="D525" s="18" t="s">
        <v>3473</v>
      </c>
      <c r="E525" s="18">
        <v>1</v>
      </c>
      <c r="F525" s="18">
        <v>12</v>
      </c>
      <c r="G525" s="18">
        <v>3</v>
      </c>
      <c r="H525" s="18" t="s">
        <v>3446</v>
      </c>
    </row>
    <row r="526" spans="1:8">
      <c r="A526" s="7" t="str">
        <f t="shared" si="24"/>
        <v>03</v>
      </c>
      <c r="B526" s="7" t="str">
        <f t="shared" si="25"/>
        <v>069</v>
      </c>
      <c r="C526" s="7" t="str">
        <f t="shared" si="26"/>
        <v>La Matanza</v>
      </c>
      <c r="D526" s="18" t="s">
        <v>3474</v>
      </c>
      <c r="E526" s="18">
        <v>1</v>
      </c>
      <c r="F526" s="18">
        <v>0</v>
      </c>
      <c r="G526" s="18">
        <v>3</v>
      </c>
      <c r="H526" s="18" t="s">
        <v>3446</v>
      </c>
    </row>
    <row r="527" spans="1:8">
      <c r="A527" s="7" t="str">
        <f t="shared" si="24"/>
        <v>03</v>
      </c>
      <c r="B527" s="7" t="str">
        <f t="shared" si="25"/>
        <v>069</v>
      </c>
      <c r="C527" s="7" t="str">
        <f t="shared" si="26"/>
        <v>La Matanza</v>
      </c>
      <c r="D527" s="18" t="s">
        <v>3475</v>
      </c>
      <c r="E527" s="18">
        <v>3</v>
      </c>
      <c r="F527" s="18">
        <v>56</v>
      </c>
      <c r="G527" s="18">
        <v>3</v>
      </c>
      <c r="H527" s="18" t="s">
        <v>3446</v>
      </c>
    </row>
    <row r="528" spans="1:8">
      <c r="A528" s="7" t="str">
        <f t="shared" si="24"/>
        <v>03</v>
      </c>
      <c r="B528" s="7" t="str">
        <f t="shared" si="25"/>
        <v>069</v>
      </c>
      <c r="C528" s="7" t="str">
        <f t="shared" si="26"/>
        <v>La Matanza</v>
      </c>
      <c r="D528" s="18" t="s">
        <v>3476</v>
      </c>
      <c r="E528" s="18">
        <v>6</v>
      </c>
      <c r="F528" s="18">
        <v>125</v>
      </c>
      <c r="G528" s="18">
        <v>3</v>
      </c>
      <c r="H528" s="18" t="s">
        <v>3446</v>
      </c>
    </row>
    <row r="529" spans="1:8">
      <c r="A529" s="7" t="str">
        <f t="shared" si="24"/>
        <v>03</v>
      </c>
      <c r="B529" s="7" t="str">
        <f t="shared" si="25"/>
        <v>069</v>
      </c>
      <c r="C529" s="7" t="str">
        <f t="shared" si="26"/>
        <v>La Matanza</v>
      </c>
      <c r="D529" s="18" t="s">
        <v>3477</v>
      </c>
      <c r="E529" s="18">
        <v>1</v>
      </c>
      <c r="F529" s="18">
        <v>16</v>
      </c>
      <c r="G529" s="18">
        <v>3</v>
      </c>
      <c r="H529" s="18" t="s">
        <v>3446</v>
      </c>
    </row>
    <row r="530" spans="1:8">
      <c r="A530" s="7" t="str">
        <f t="shared" si="24"/>
        <v>03</v>
      </c>
      <c r="B530" s="7" t="str">
        <f t="shared" si="25"/>
        <v>069</v>
      </c>
      <c r="C530" s="7" t="str">
        <f t="shared" si="26"/>
        <v>La Matanza</v>
      </c>
      <c r="D530" s="18" t="s">
        <v>3478</v>
      </c>
      <c r="E530" s="18">
        <v>2</v>
      </c>
      <c r="F530" s="18">
        <v>51</v>
      </c>
      <c r="G530" s="18">
        <v>3</v>
      </c>
      <c r="H530" s="18" t="s">
        <v>3446</v>
      </c>
    </row>
    <row r="531" spans="1:8">
      <c r="A531" s="7" t="str">
        <f t="shared" si="24"/>
        <v>03</v>
      </c>
      <c r="B531" s="7" t="str">
        <f t="shared" si="25"/>
        <v>069</v>
      </c>
      <c r="C531" s="7" t="str">
        <f t="shared" si="26"/>
        <v>La Matanza</v>
      </c>
      <c r="D531" s="18" t="s">
        <v>3479</v>
      </c>
      <c r="E531" s="18">
        <v>1</v>
      </c>
      <c r="F531" s="18">
        <v>25</v>
      </c>
      <c r="G531" s="18">
        <v>3</v>
      </c>
      <c r="H531" s="18" t="s">
        <v>3446</v>
      </c>
    </row>
    <row r="532" spans="1:8">
      <c r="A532" s="7" t="str">
        <f t="shared" si="24"/>
        <v>03</v>
      </c>
      <c r="B532" s="7" t="str">
        <f t="shared" si="25"/>
        <v>069</v>
      </c>
      <c r="C532" s="7" t="str">
        <f t="shared" si="26"/>
        <v>La Matanza</v>
      </c>
      <c r="D532" s="18" t="s">
        <v>3480</v>
      </c>
      <c r="E532" s="18">
        <v>1</v>
      </c>
      <c r="F532" s="18">
        <v>19</v>
      </c>
      <c r="G532" s="18">
        <v>3</v>
      </c>
      <c r="H532" s="18" t="s">
        <v>3446</v>
      </c>
    </row>
    <row r="533" spans="1:8">
      <c r="A533" s="7" t="str">
        <f t="shared" si="24"/>
        <v>03</v>
      </c>
      <c r="B533" s="7" t="str">
        <f t="shared" si="25"/>
        <v>069</v>
      </c>
      <c r="C533" s="7" t="str">
        <f t="shared" si="26"/>
        <v>La Matanza</v>
      </c>
      <c r="D533" s="18" t="s">
        <v>3481</v>
      </c>
      <c r="E533" s="18">
        <v>1</v>
      </c>
      <c r="F533" s="18">
        <v>19</v>
      </c>
      <c r="G533" s="18">
        <v>3</v>
      </c>
      <c r="H533" s="18" t="s">
        <v>3446</v>
      </c>
    </row>
    <row r="534" spans="1:8">
      <c r="A534" s="7" t="str">
        <f t="shared" si="24"/>
        <v>03</v>
      </c>
      <c r="B534" s="7" t="str">
        <f t="shared" si="25"/>
        <v>069</v>
      </c>
      <c r="C534" s="7" t="str">
        <f t="shared" si="26"/>
        <v>La Matanza</v>
      </c>
      <c r="D534" s="18" t="s">
        <v>3482</v>
      </c>
      <c r="E534" s="18">
        <v>1</v>
      </c>
      <c r="F534" s="18">
        <v>27</v>
      </c>
      <c r="G534" s="18">
        <v>3</v>
      </c>
      <c r="H534" s="18" t="s">
        <v>3446</v>
      </c>
    </row>
    <row r="535" spans="1:8">
      <c r="A535" s="7" t="str">
        <f t="shared" si="24"/>
        <v>03</v>
      </c>
      <c r="B535" s="7" t="str">
        <f t="shared" si="25"/>
        <v>069</v>
      </c>
      <c r="C535" s="7" t="str">
        <f t="shared" si="26"/>
        <v>La Matanza</v>
      </c>
      <c r="D535" s="18" t="s">
        <v>3483</v>
      </c>
      <c r="E535" s="18">
        <v>1</v>
      </c>
      <c r="F535" s="18">
        <v>20</v>
      </c>
      <c r="G535" s="18">
        <v>3</v>
      </c>
      <c r="H535" s="18" t="s">
        <v>3446</v>
      </c>
    </row>
    <row r="536" spans="1:8">
      <c r="A536" s="7" t="str">
        <f t="shared" si="24"/>
        <v>03</v>
      </c>
      <c r="B536" s="7" t="str">
        <f t="shared" si="25"/>
        <v>069</v>
      </c>
      <c r="C536" s="7" t="str">
        <f t="shared" si="26"/>
        <v>La Matanza</v>
      </c>
      <c r="D536" s="18" t="s">
        <v>3484</v>
      </c>
      <c r="E536" s="18">
        <v>8</v>
      </c>
      <c r="F536" s="18">
        <v>159</v>
      </c>
      <c r="G536" s="18">
        <v>3</v>
      </c>
      <c r="H536" s="18" t="s">
        <v>3446</v>
      </c>
    </row>
    <row r="537" spans="1:8">
      <c r="A537" s="7" t="str">
        <f t="shared" si="24"/>
        <v>03</v>
      </c>
      <c r="B537" s="7" t="str">
        <f t="shared" si="25"/>
        <v>069</v>
      </c>
      <c r="C537" s="7" t="str">
        <f t="shared" si="26"/>
        <v>La Matanza</v>
      </c>
      <c r="D537" s="18" t="s">
        <v>3485</v>
      </c>
      <c r="E537" s="18">
        <v>4</v>
      </c>
      <c r="F537" s="18">
        <v>117</v>
      </c>
      <c r="G537" s="18">
        <v>3</v>
      </c>
      <c r="H537" s="18" t="s">
        <v>3446</v>
      </c>
    </row>
    <row r="538" spans="1:8">
      <c r="A538" s="7" t="str">
        <f t="shared" si="24"/>
        <v>03</v>
      </c>
      <c r="B538" s="7" t="str">
        <f t="shared" si="25"/>
        <v>069</v>
      </c>
      <c r="C538" s="7" t="str">
        <f t="shared" si="26"/>
        <v>La Matanza</v>
      </c>
      <c r="D538" s="18" t="s">
        <v>3486</v>
      </c>
      <c r="E538" s="18">
        <v>2</v>
      </c>
      <c r="F538" s="18">
        <v>86</v>
      </c>
      <c r="G538" s="18">
        <v>3</v>
      </c>
      <c r="H538" s="18" t="s">
        <v>3446</v>
      </c>
    </row>
    <row r="539" spans="1:8">
      <c r="A539" s="7" t="str">
        <f t="shared" si="24"/>
        <v>03</v>
      </c>
      <c r="B539" s="7" t="str">
        <f t="shared" si="25"/>
        <v>069</v>
      </c>
      <c r="C539" s="7" t="str">
        <f t="shared" si="26"/>
        <v>La Matanza</v>
      </c>
      <c r="D539" s="18" t="s">
        <v>3487</v>
      </c>
      <c r="E539" s="18">
        <v>5</v>
      </c>
      <c r="F539" s="18">
        <v>127</v>
      </c>
      <c r="G539" s="18">
        <v>3</v>
      </c>
      <c r="H539" s="18" t="s">
        <v>3446</v>
      </c>
    </row>
    <row r="540" spans="1:8">
      <c r="A540" s="7" t="str">
        <f t="shared" si="24"/>
        <v>03</v>
      </c>
      <c r="B540" s="7" t="str">
        <f t="shared" si="25"/>
        <v>069</v>
      </c>
      <c r="C540" s="7" t="str">
        <f t="shared" si="26"/>
        <v>La Matanza</v>
      </c>
      <c r="D540" s="18" t="s">
        <v>3488</v>
      </c>
      <c r="E540" s="18">
        <v>5</v>
      </c>
      <c r="F540" s="18">
        <v>132</v>
      </c>
      <c r="G540" s="18">
        <v>3</v>
      </c>
      <c r="H540" s="18" t="s">
        <v>3446</v>
      </c>
    </row>
    <row r="541" spans="1:8">
      <c r="A541" s="7" t="str">
        <f t="shared" si="24"/>
        <v>03</v>
      </c>
      <c r="B541" s="7" t="str">
        <f t="shared" si="25"/>
        <v>069</v>
      </c>
      <c r="C541" s="7" t="str">
        <f t="shared" si="26"/>
        <v>La Matanza</v>
      </c>
      <c r="D541" s="18" t="s">
        <v>3489</v>
      </c>
      <c r="E541" s="18">
        <v>3</v>
      </c>
      <c r="F541" s="18">
        <v>56</v>
      </c>
      <c r="G541" s="18">
        <v>3</v>
      </c>
      <c r="H541" s="18" t="s">
        <v>3446</v>
      </c>
    </row>
    <row r="542" spans="1:8">
      <c r="A542" s="7" t="str">
        <f t="shared" si="24"/>
        <v>03</v>
      </c>
      <c r="B542" s="7" t="str">
        <f t="shared" si="25"/>
        <v>069</v>
      </c>
      <c r="C542" s="7" t="str">
        <f t="shared" si="26"/>
        <v>La Matanza</v>
      </c>
      <c r="D542" s="18" t="s">
        <v>3490</v>
      </c>
      <c r="E542" s="18">
        <v>4</v>
      </c>
      <c r="F542" s="18">
        <v>67</v>
      </c>
      <c r="G542" s="18">
        <v>3</v>
      </c>
      <c r="H542" s="18" t="s">
        <v>3446</v>
      </c>
    </row>
    <row r="543" spans="1:8">
      <c r="A543" s="7" t="str">
        <f t="shared" si="24"/>
        <v>03</v>
      </c>
      <c r="B543" s="7" t="str">
        <f t="shared" si="25"/>
        <v>069</v>
      </c>
      <c r="C543" s="7" t="str">
        <f t="shared" si="26"/>
        <v>La Matanza</v>
      </c>
      <c r="D543" s="18" t="s">
        <v>3491</v>
      </c>
      <c r="E543" s="18">
        <v>3</v>
      </c>
      <c r="F543" s="18">
        <v>86</v>
      </c>
      <c r="G543" s="18">
        <v>3</v>
      </c>
      <c r="H543" s="18" t="s">
        <v>3446</v>
      </c>
    </row>
    <row r="544" spans="1:8">
      <c r="A544" s="7" t="str">
        <f t="shared" si="24"/>
        <v>03</v>
      </c>
      <c r="B544" s="7" t="str">
        <f t="shared" si="25"/>
        <v>069</v>
      </c>
      <c r="C544" s="7" t="str">
        <f t="shared" si="26"/>
        <v>La Matanza</v>
      </c>
      <c r="D544" s="18" t="s">
        <v>3492</v>
      </c>
      <c r="E544" s="18">
        <v>2</v>
      </c>
      <c r="F544" s="18">
        <v>45</v>
      </c>
      <c r="G544" s="18">
        <v>3</v>
      </c>
      <c r="H544" s="18" t="s">
        <v>3446</v>
      </c>
    </row>
    <row r="545" spans="1:8">
      <c r="A545" s="7" t="str">
        <f t="shared" si="24"/>
        <v>03</v>
      </c>
      <c r="B545" s="7" t="str">
        <f t="shared" si="25"/>
        <v>069</v>
      </c>
      <c r="C545" s="7" t="str">
        <f t="shared" si="26"/>
        <v>La Matanza</v>
      </c>
      <c r="D545" s="18" t="s">
        <v>3493</v>
      </c>
      <c r="E545" s="18">
        <v>1</v>
      </c>
      <c r="F545" s="18">
        <v>12</v>
      </c>
      <c r="G545" s="18">
        <v>3</v>
      </c>
      <c r="H545" s="18" t="s">
        <v>3446</v>
      </c>
    </row>
    <row r="546" spans="1:8">
      <c r="A546" s="7" t="str">
        <f t="shared" si="24"/>
        <v>03</v>
      </c>
      <c r="B546" s="7" t="str">
        <f t="shared" si="25"/>
        <v>069</v>
      </c>
      <c r="C546" s="7" t="str">
        <f t="shared" si="26"/>
        <v>La Matanza</v>
      </c>
      <c r="D546" s="18" t="s">
        <v>3494</v>
      </c>
      <c r="E546" s="18">
        <v>1</v>
      </c>
      <c r="F546" s="18">
        <v>16</v>
      </c>
      <c r="G546" s="18">
        <v>3</v>
      </c>
      <c r="H546" s="18" t="s">
        <v>3446</v>
      </c>
    </row>
    <row r="547" spans="1:8">
      <c r="A547" s="7" t="str">
        <f t="shared" si="24"/>
        <v>03</v>
      </c>
      <c r="B547" s="7" t="str">
        <f t="shared" si="25"/>
        <v>069</v>
      </c>
      <c r="C547" s="7" t="str">
        <f t="shared" si="26"/>
        <v>La Matanza</v>
      </c>
      <c r="D547" s="18" t="s">
        <v>3495</v>
      </c>
      <c r="E547" s="18">
        <v>8</v>
      </c>
      <c r="F547" s="18">
        <v>168</v>
      </c>
      <c r="G547" s="18">
        <v>3</v>
      </c>
      <c r="H547" s="18" t="s">
        <v>3446</v>
      </c>
    </row>
    <row r="548" spans="1:8">
      <c r="A548" s="7" t="str">
        <f t="shared" si="24"/>
        <v>03</v>
      </c>
      <c r="B548" s="7" t="str">
        <f t="shared" si="25"/>
        <v>069</v>
      </c>
      <c r="C548" s="7" t="str">
        <f t="shared" si="26"/>
        <v>La Matanza</v>
      </c>
      <c r="D548" s="18" t="s">
        <v>3496</v>
      </c>
      <c r="E548" s="18">
        <v>2</v>
      </c>
      <c r="F548" s="18">
        <v>64</v>
      </c>
      <c r="G548" s="18">
        <v>3</v>
      </c>
      <c r="H548" s="18" t="s">
        <v>3446</v>
      </c>
    </row>
    <row r="549" spans="1:8">
      <c r="A549" s="7" t="str">
        <f t="shared" si="24"/>
        <v>03</v>
      </c>
      <c r="B549" s="7" t="str">
        <f t="shared" si="25"/>
        <v>069</v>
      </c>
      <c r="C549" s="7" t="str">
        <f t="shared" si="26"/>
        <v>La Matanza</v>
      </c>
      <c r="D549" s="18" t="s">
        <v>3497</v>
      </c>
      <c r="E549" s="18">
        <v>5</v>
      </c>
      <c r="F549" s="18">
        <v>90</v>
      </c>
      <c r="G549" s="18">
        <v>3</v>
      </c>
      <c r="H549" s="18" t="s">
        <v>3446</v>
      </c>
    </row>
    <row r="550" spans="1:8">
      <c r="A550" s="7" t="str">
        <f t="shared" si="24"/>
        <v>03</v>
      </c>
      <c r="B550" s="7" t="str">
        <f t="shared" si="25"/>
        <v>069</v>
      </c>
      <c r="C550" s="7" t="str">
        <f t="shared" si="26"/>
        <v>La Matanza</v>
      </c>
      <c r="D550" s="18" t="s">
        <v>3498</v>
      </c>
      <c r="E550" s="18">
        <v>2</v>
      </c>
      <c r="F550" s="18">
        <v>62</v>
      </c>
      <c r="G550" s="18">
        <v>3</v>
      </c>
      <c r="H550" s="18" t="s">
        <v>3446</v>
      </c>
    </row>
    <row r="551" spans="1:8">
      <c r="A551" s="7" t="str">
        <f t="shared" si="24"/>
        <v>03</v>
      </c>
      <c r="B551" s="7" t="str">
        <f t="shared" si="25"/>
        <v>069</v>
      </c>
      <c r="C551" s="7" t="str">
        <f t="shared" si="26"/>
        <v>La Matanza</v>
      </c>
      <c r="D551" s="18" t="s">
        <v>3499</v>
      </c>
      <c r="E551" s="18">
        <v>7</v>
      </c>
      <c r="F551" s="18">
        <v>144</v>
      </c>
      <c r="G551" s="18">
        <v>3</v>
      </c>
      <c r="H551" s="18" t="s">
        <v>3446</v>
      </c>
    </row>
    <row r="552" spans="1:8">
      <c r="A552" s="7" t="str">
        <f t="shared" si="24"/>
        <v>03</v>
      </c>
      <c r="B552" s="7" t="str">
        <f t="shared" si="25"/>
        <v>069</v>
      </c>
      <c r="C552" s="7" t="str">
        <f t="shared" si="26"/>
        <v>La Matanza</v>
      </c>
      <c r="D552" s="18" t="s">
        <v>3500</v>
      </c>
      <c r="E552" s="18">
        <v>2</v>
      </c>
      <c r="F552" s="18">
        <v>62</v>
      </c>
      <c r="G552" s="18">
        <v>3</v>
      </c>
      <c r="H552" s="18" t="s">
        <v>3446</v>
      </c>
    </row>
    <row r="553" spans="1:8">
      <c r="A553" s="7" t="str">
        <f t="shared" si="24"/>
        <v>03</v>
      </c>
      <c r="B553" s="7" t="str">
        <f t="shared" si="25"/>
        <v>069</v>
      </c>
      <c r="C553" s="7" t="str">
        <f t="shared" si="26"/>
        <v>La Matanza</v>
      </c>
      <c r="D553" s="18" t="s">
        <v>3501</v>
      </c>
      <c r="E553" s="18">
        <v>3</v>
      </c>
      <c r="F553" s="18">
        <v>63</v>
      </c>
      <c r="G553" s="18">
        <v>3</v>
      </c>
      <c r="H553" s="18" t="s">
        <v>3446</v>
      </c>
    </row>
    <row r="554" spans="1:8">
      <c r="A554" s="7" t="str">
        <f t="shared" si="24"/>
        <v>03</v>
      </c>
      <c r="B554" s="7" t="str">
        <f t="shared" si="25"/>
        <v>069</v>
      </c>
      <c r="C554" s="7" t="str">
        <f t="shared" si="26"/>
        <v>La Matanza</v>
      </c>
      <c r="D554" s="18" t="s">
        <v>3502</v>
      </c>
      <c r="E554" s="18">
        <v>2</v>
      </c>
      <c r="F554" s="18">
        <v>60</v>
      </c>
      <c r="G554" s="18">
        <v>3</v>
      </c>
      <c r="H554" s="18" t="s">
        <v>3446</v>
      </c>
    </row>
    <row r="555" spans="1:8">
      <c r="A555" s="7" t="str">
        <f t="shared" si="24"/>
        <v>03</v>
      </c>
      <c r="B555" s="7" t="str">
        <f t="shared" si="25"/>
        <v>069</v>
      </c>
      <c r="C555" s="7" t="str">
        <f t="shared" si="26"/>
        <v>La Matanza</v>
      </c>
      <c r="D555" s="18" t="s">
        <v>3503</v>
      </c>
      <c r="E555" s="18">
        <v>1</v>
      </c>
      <c r="F555" s="18">
        <v>21</v>
      </c>
      <c r="G555" s="18">
        <v>3</v>
      </c>
      <c r="H555" s="18" t="s">
        <v>3446</v>
      </c>
    </row>
    <row r="556" spans="1:8">
      <c r="A556" s="7" t="str">
        <f t="shared" si="24"/>
        <v>03</v>
      </c>
      <c r="B556" s="7" t="str">
        <f t="shared" si="25"/>
        <v>069</v>
      </c>
      <c r="C556" s="7" t="str">
        <f t="shared" si="26"/>
        <v>La Matanza</v>
      </c>
      <c r="D556" s="18" t="s">
        <v>3504</v>
      </c>
      <c r="E556" s="18">
        <v>1</v>
      </c>
      <c r="F556" s="18">
        <v>21</v>
      </c>
      <c r="G556" s="18">
        <v>3</v>
      </c>
      <c r="H556" s="18" t="s">
        <v>3446</v>
      </c>
    </row>
    <row r="557" spans="1:8">
      <c r="A557" s="7" t="str">
        <f t="shared" si="24"/>
        <v>03</v>
      </c>
      <c r="B557" s="7" t="str">
        <f t="shared" si="25"/>
        <v>069</v>
      </c>
      <c r="C557" s="7" t="str">
        <f t="shared" si="26"/>
        <v>La Matanza</v>
      </c>
      <c r="D557" s="18" t="s">
        <v>3505</v>
      </c>
      <c r="E557" s="18">
        <v>7</v>
      </c>
      <c r="F557" s="18">
        <v>157</v>
      </c>
      <c r="G557" s="18">
        <v>3</v>
      </c>
      <c r="H557" s="18" t="s">
        <v>3446</v>
      </c>
    </row>
    <row r="558" spans="1:8">
      <c r="A558" s="7" t="str">
        <f t="shared" si="24"/>
        <v>03</v>
      </c>
      <c r="B558" s="7" t="str">
        <f t="shared" si="25"/>
        <v>069</v>
      </c>
      <c r="C558" s="7" t="str">
        <f t="shared" si="26"/>
        <v>La Matanza</v>
      </c>
      <c r="D558" s="18" t="s">
        <v>3506</v>
      </c>
      <c r="E558" s="18">
        <v>2</v>
      </c>
      <c r="F558" s="18">
        <v>33</v>
      </c>
      <c r="G558" s="18">
        <v>3</v>
      </c>
      <c r="H558" s="18" t="s">
        <v>3446</v>
      </c>
    </row>
    <row r="559" spans="1:8">
      <c r="A559" s="7" t="str">
        <f t="shared" si="24"/>
        <v>03</v>
      </c>
      <c r="B559" s="7" t="str">
        <f t="shared" si="25"/>
        <v>069</v>
      </c>
      <c r="C559" s="7" t="str">
        <f t="shared" si="26"/>
        <v>La Matanza</v>
      </c>
      <c r="D559" s="18" t="s">
        <v>3507</v>
      </c>
      <c r="E559" s="18">
        <v>1</v>
      </c>
      <c r="F559" s="18">
        <v>20</v>
      </c>
      <c r="G559" s="18">
        <v>3</v>
      </c>
      <c r="H559" s="18" t="s">
        <v>3446</v>
      </c>
    </row>
    <row r="560" spans="1:8">
      <c r="A560" s="7" t="str">
        <f t="shared" si="24"/>
        <v>03</v>
      </c>
      <c r="B560" s="7" t="str">
        <f t="shared" si="25"/>
        <v>069</v>
      </c>
      <c r="C560" s="7" t="str">
        <f t="shared" si="26"/>
        <v>La Matanza</v>
      </c>
      <c r="D560" s="18" t="s">
        <v>3508</v>
      </c>
      <c r="E560" s="18">
        <v>4</v>
      </c>
      <c r="F560" s="18">
        <v>106</v>
      </c>
      <c r="G560" s="18">
        <v>3</v>
      </c>
      <c r="H560" s="18" t="s">
        <v>3446</v>
      </c>
    </row>
    <row r="561" spans="1:8">
      <c r="A561" s="7" t="str">
        <f t="shared" si="24"/>
        <v>03</v>
      </c>
      <c r="B561" s="7" t="str">
        <f t="shared" si="25"/>
        <v>069</v>
      </c>
      <c r="C561" s="7" t="str">
        <f t="shared" si="26"/>
        <v>La Matanza</v>
      </c>
      <c r="D561" s="18" t="s">
        <v>3509</v>
      </c>
      <c r="E561" s="18">
        <v>3</v>
      </c>
      <c r="F561" s="18">
        <v>56</v>
      </c>
      <c r="G561" s="18">
        <v>3</v>
      </c>
      <c r="H561" s="18" t="s">
        <v>3446</v>
      </c>
    </row>
    <row r="562" spans="1:8">
      <c r="A562" s="7" t="str">
        <f t="shared" si="24"/>
        <v>03</v>
      </c>
      <c r="B562" s="7" t="str">
        <f t="shared" si="25"/>
        <v>069</v>
      </c>
      <c r="C562" s="7" t="str">
        <f t="shared" si="26"/>
        <v>La Matanza</v>
      </c>
      <c r="D562" s="18" t="s">
        <v>3510</v>
      </c>
      <c r="E562" s="18">
        <v>4</v>
      </c>
      <c r="F562" s="18">
        <v>86</v>
      </c>
      <c r="G562" s="18">
        <v>3</v>
      </c>
      <c r="H562" s="18" t="s">
        <v>3446</v>
      </c>
    </row>
    <row r="563" spans="1:8">
      <c r="A563" s="7" t="str">
        <f t="shared" si="24"/>
        <v>03</v>
      </c>
      <c r="B563" s="7" t="str">
        <f t="shared" si="25"/>
        <v>069</v>
      </c>
      <c r="C563" s="7" t="str">
        <f t="shared" si="26"/>
        <v>La Matanza</v>
      </c>
      <c r="D563" s="18" t="s">
        <v>3511</v>
      </c>
      <c r="E563" s="18">
        <v>1</v>
      </c>
      <c r="F563" s="18">
        <v>19</v>
      </c>
      <c r="G563" s="18">
        <v>3</v>
      </c>
      <c r="H563" s="18" t="s">
        <v>3446</v>
      </c>
    </row>
    <row r="564" spans="1:8">
      <c r="A564" s="7" t="str">
        <f t="shared" si="24"/>
        <v>03</v>
      </c>
      <c r="B564" s="7" t="str">
        <f t="shared" si="25"/>
        <v>069</v>
      </c>
      <c r="C564" s="7" t="str">
        <f t="shared" si="26"/>
        <v>La Matanza</v>
      </c>
      <c r="D564" s="18" t="s">
        <v>3512</v>
      </c>
      <c r="E564" s="18">
        <v>1</v>
      </c>
      <c r="F564" s="18">
        <v>19</v>
      </c>
      <c r="G564" s="18">
        <v>3</v>
      </c>
      <c r="H564" s="18" t="s">
        <v>3446</v>
      </c>
    </row>
    <row r="565" spans="1:8">
      <c r="A565" s="7" t="str">
        <f t="shared" si="24"/>
        <v>03</v>
      </c>
      <c r="B565" s="7" t="str">
        <f t="shared" si="25"/>
        <v>069</v>
      </c>
      <c r="C565" s="7" t="str">
        <f t="shared" si="26"/>
        <v>La Matanza</v>
      </c>
      <c r="D565" s="18" t="s">
        <v>3513</v>
      </c>
      <c r="E565" s="18">
        <v>1</v>
      </c>
      <c r="F565" s="18">
        <v>19</v>
      </c>
      <c r="G565" s="18">
        <v>3</v>
      </c>
      <c r="H565" s="18" t="s">
        <v>3446</v>
      </c>
    </row>
    <row r="566" spans="1:8">
      <c r="A566" s="7" t="str">
        <f t="shared" si="24"/>
        <v>03</v>
      </c>
      <c r="B566" s="7" t="str">
        <f t="shared" si="25"/>
        <v>069</v>
      </c>
      <c r="C566" s="7" t="str">
        <f t="shared" si="26"/>
        <v>La Matanza</v>
      </c>
      <c r="D566" s="18" t="s">
        <v>3514</v>
      </c>
      <c r="E566" s="18">
        <v>2</v>
      </c>
      <c r="F566" s="18">
        <v>55</v>
      </c>
      <c r="G566" s="18">
        <v>3</v>
      </c>
      <c r="H566" s="18" t="s">
        <v>3446</v>
      </c>
    </row>
    <row r="567" spans="1:8">
      <c r="A567" s="7" t="str">
        <f t="shared" si="24"/>
        <v>03</v>
      </c>
      <c r="B567" s="7" t="str">
        <f t="shared" si="25"/>
        <v>069</v>
      </c>
      <c r="C567" s="7" t="str">
        <f t="shared" si="26"/>
        <v>La Matanza</v>
      </c>
      <c r="D567" s="18" t="s">
        <v>3515</v>
      </c>
      <c r="E567" s="18">
        <v>2</v>
      </c>
      <c r="F567" s="18">
        <v>32</v>
      </c>
      <c r="G567" s="18">
        <v>3</v>
      </c>
      <c r="H567" s="18" t="s">
        <v>3446</v>
      </c>
    </row>
    <row r="568" spans="1:8">
      <c r="A568" s="7" t="str">
        <f t="shared" si="24"/>
        <v>03</v>
      </c>
      <c r="B568" s="7" t="str">
        <f t="shared" si="25"/>
        <v>069</v>
      </c>
      <c r="C568" s="7" t="str">
        <f t="shared" si="26"/>
        <v>La Matanza</v>
      </c>
      <c r="D568" s="18" t="s">
        <v>3516</v>
      </c>
      <c r="E568" s="18">
        <v>2</v>
      </c>
      <c r="F568" s="18">
        <v>43</v>
      </c>
      <c r="G568" s="18">
        <v>3</v>
      </c>
      <c r="H568" s="18" t="s">
        <v>3446</v>
      </c>
    </row>
    <row r="569" spans="1:8">
      <c r="A569" s="7" t="str">
        <f t="shared" si="24"/>
        <v>03</v>
      </c>
      <c r="B569" s="7" t="str">
        <f t="shared" si="25"/>
        <v>069</v>
      </c>
      <c r="C569" s="7" t="str">
        <f t="shared" si="26"/>
        <v>La Matanza</v>
      </c>
      <c r="D569" s="18" t="s">
        <v>3517</v>
      </c>
      <c r="E569" s="18">
        <v>3</v>
      </c>
      <c r="F569" s="18">
        <v>52</v>
      </c>
      <c r="G569" s="18">
        <v>3</v>
      </c>
      <c r="H569" s="18" t="s">
        <v>3446</v>
      </c>
    </row>
    <row r="570" spans="1:8">
      <c r="A570" s="7" t="str">
        <f t="shared" si="24"/>
        <v>03</v>
      </c>
      <c r="B570" s="7" t="str">
        <f t="shared" si="25"/>
        <v>069</v>
      </c>
      <c r="C570" s="7" t="str">
        <f t="shared" si="26"/>
        <v>La Matanza</v>
      </c>
      <c r="D570" s="18" t="s">
        <v>3518</v>
      </c>
      <c r="E570" s="18">
        <v>1</v>
      </c>
      <c r="F570" s="18">
        <v>20</v>
      </c>
      <c r="G570" s="18">
        <v>3</v>
      </c>
      <c r="H570" s="18" t="s">
        <v>3446</v>
      </c>
    </row>
    <row r="571" spans="1:8">
      <c r="A571" s="7" t="str">
        <f t="shared" si="24"/>
        <v>03</v>
      </c>
      <c r="B571" s="7" t="str">
        <f t="shared" si="25"/>
        <v>069</v>
      </c>
      <c r="C571" s="7" t="str">
        <f t="shared" si="26"/>
        <v>La Matanza</v>
      </c>
      <c r="D571" s="18" t="s">
        <v>3519</v>
      </c>
      <c r="E571" s="18">
        <v>1</v>
      </c>
      <c r="F571" s="18">
        <v>11</v>
      </c>
      <c r="G571" s="18">
        <v>3</v>
      </c>
      <c r="H571" s="18" t="s">
        <v>3446</v>
      </c>
    </row>
    <row r="572" spans="1:8">
      <c r="A572" s="7" t="str">
        <f t="shared" si="24"/>
        <v>03</v>
      </c>
      <c r="B572" s="7" t="str">
        <f t="shared" si="25"/>
        <v>069</v>
      </c>
      <c r="C572" s="7" t="str">
        <f t="shared" si="26"/>
        <v>La Matanza</v>
      </c>
      <c r="D572" s="18" t="s">
        <v>3520</v>
      </c>
      <c r="E572" s="18">
        <v>1</v>
      </c>
      <c r="F572" s="18">
        <v>17</v>
      </c>
      <c r="G572" s="18">
        <v>3</v>
      </c>
      <c r="H572" s="18" t="s">
        <v>3446</v>
      </c>
    </row>
    <row r="573" spans="1:8">
      <c r="A573" s="7" t="str">
        <f t="shared" si="24"/>
        <v>03</v>
      </c>
      <c r="B573" s="7" t="str">
        <f t="shared" si="25"/>
        <v>069</v>
      </c>
      <c r="C573" s="7" t="str">
        <f t="shared" si="26"/>
        <v>La Matanza</v>
      </c>
      <c r="D573" s="18" t="s">
        <v>3521</v>
      </c>
      <c r="E573" s="18">
        <v>2</v>
      </c>
      <c r="F573" s="18">
        <v>44</v>
      </c>
      <c r="G573" s="18">
        <v>3</v>
      </c>
      <c r="H573" s="18" t="s">
        <v>3446</v>
      </c>
    </row>
    <row r="574" spans="1:8">
      <c r="A574" s="7" t="str">
        <f t="shared" si="24"/>
        <v>03</v>
      </c>
      <c r="B574" s="7" t="str">
        <f t="shared" si="25"/>
        <v>069</v>
      </c>
      <c r="C574" s="7" t="str">
        <f t="shared" si="26"/>
        <v>La Matanza</v>
      </c>
      <c r="D574" s="18" t="s">
        <v>2469</v>
      </c>
      <c r="E574" s="18">
        <v>1</v>
      </c>
      <c r="F574" s="18">
        <v>16</v>
      </c>
      <c r="G574" s="18">
        <v>3</v>
      </c>
      <c r="H574" s="18" t="s">
        <v>3446</v>
      </c>
    </row>
    <row r="575" spans="1:8">
      <c r="A575" s="7" t="str">
        <f t="shared" si="24"/>
        <v>03</v>
      </c>
      <c r="B575" s="7" t="str">
        <f t="shared" si="25"/>
        <v>069</v>
      </c>
      <c r="C575" s="7" t="str">
        <f t="shared" si="26"/>
        <v>La Matanza</v>
      </c>
      <c r="D575" s="18" t="s">
        <v>3522</v>
      </c>
      <c r="E575" s="18">
        <v>1</v>
      </c>
      <c r="F575" s="18">
        <v>22</v>
      </c>
      <c r="G575" s="18">
        <v>3</v>
      </c>
      <c r="H575" s="18" t="s">
        <v>3446</v>
      </c>
    </row>
    <row r="576" spans="1:8">
      <c r="A576" s="7" t="str">
        <f t="shared" si="24"/>
        <v>03</v>
      </c>
      <c r="B576" s="7" t="str">
        <f t="shared" si="25"/>
        <v>069</v>
      </c>
      <c r="C576" s="7" t="str">
        <f t="shared" si="26"/>
        <v>La Matanza</v>
      </c>
      <c r="D576" s="18" t="s">
        <v>3523</v>
      </c>
      <c r="E576" s="18">
        <v>2</v>
      </c>
      <c r="F576" s="18">
        <v>48</v>
      </c>
      <c r="G576" s="18">
        <v>3</v>
      </c>
      <c r="H576" s="18" t="s">
        <v>3446</v>
      </c>
    </row>
    <row r="577" spans="1:8">
      <c r="A577" s="7" t="str">
        <f t="shared" si="24"/>
        <v>03</v>
      </c>
      <c r="B577" s="7" t="str">
        <f t="shared" si="25"/>
        <v>069</v>
      </c>
      <c r="C577" s="7" t="str">
        <f t="shared" si="26"/>
        <v>La Matanza</v>
      </c>
      <c r="D577" s="18" t="s">
        <v>3524</v>
      </c>
      <c r="E577" s="18">
        <v>1</v>
      </c>
      <c r="F577" s="18">
        <v>18</v>
      </c>
      <c r="G577" s="18">
        <v>3</v>
      </c>
      <c r="H577" s="18" t="s">
        <v>3446</v>
      </c>
    </row>
    <row r="578" spans="1:8">
      <c r="A578" s="7" t="str">
        <f t="shared" si="24"/>
        <v>03</v>
      </c>
      <c r="B578" s="7" t="str">
        <f t="shared" si="25"/>
        <v>069</v>
      </c>
      <c r="C578" s="7" t="str">
        <f t="shared" si="26"/>
        <v>La Matanza</v>
      </c>
      <c r="D578" s="18" t="s">
        <v>3525</v>
      </c>
      <c r="E578" s="18">
        <v>1</v>
      </c>
      <c r="F578" s="18">
        <v>19</v>
      </c>
      <c r="G578" s="18">
        <v>3</v>
      </c>
      <c r="H578" s="18" t="s">
        <v>3446</v>
      </c>
    </row>
    <row r="579" spans="1:8">
      <c r="A579" s="7" t="str">
        <f t="shared" ref="A579:A642" si="27">+VLOOKUP(H579,$K:$N,2,FALSE)</f>
        <v>03</v>
      </c>
      <c r="B579" s="7" t="str">
        <f t="shared" ref="B579:B642" si="28">+VLOOKUP(H579,$K:$N,3,FALSE)</f>
        <v>069</v>
      </c>
      <c r="C579" s="7" t="str">
        <f t="shared" ref="C579:C642" si="29">+VLOOKUP(H579,$K:$N,4,FALSE)</f>
        <v>La Matanza</v>
      </c>
      <c r="D579" s="18" t="s">
        <v>3526</v>
      </c>
      <c r="E579" s="18">
        <v>1</v>
      </c>
      <c r="F579" s="18">
        <v>17</v>
      </c>
      <c r="G579" s="18">
        <v>3</v>
      </c>
      <c r="H579" s="18" t="s">
        <v>3446</v>
      </c>
    </row>
    <row r="580" spans="1:8">
      <c r="A580" s="7" t="str">
        <f t="shared" si="27"/>
        <v>03</v>
      </c>
      <c r="B580" s="7" t="str">
        <f t="shared" si="28"/>
        <v>069</v>
      </c>
      <c r="C580" s="7" t="str">
        <f t="shared" si="29"/>
        <v>La Matanza</v>
      </c>
      <c r="D580" s="18" t="s">
        <v>3527</v>
      </c>
      <c r="E580" s="18">
        <v>1</v>
      </c>
      <c r="F580" s="18">
        <v>20</v>
      </c>
      <c r="G580" s="18">
        <v>3</v>
      </c>
      <c r="H580" s="18" t="s">
        <v>3446</v>
      </c>
    </row>
    <row r="581" spans="1:8">
      <c r="A581" s="7" t="str">
        <f t="shared" si="27"/>
        <v>03</v>
      </c>
      <c r="B581" s="7" t="str">
        <f t="shared" si="28"/>
        <v>069</v>
      </c>
      <c r="C581" s="7" t="str">
        <f t="shared" si="29"/>
        <v>La Matanza</v>
      </c>
      <c r="D581" s="18" t="s">
        <v>3528</v>
      </c>
      <c r="E581" s="18">
        <v>1</v>
      </c>
      <c r="F581" s="18">
        <v>0</v>
      </c>
      <c r="G581" s="18">
        <v>3</v>
      </c>
      <c r="H581" s="18" t="s">
        <v>3446</v>
      </c>
    </row>
    <row r="582" spans="1:8">
      <c r="A582" s="7" t="str">
        <f t="shared" si="27"/>
        <v>03</v>
      </c>
      <c r="B582" s="7" t="str">
        <f t="shared" si="28"/>
        <v>069</v>
      </c>
      <c r="C582" s="7" t="str">
        <f t="shared" si="29"/>
        <v>La Matanza</v>
      </c>
      <c r="D582" s="18" t="s">
        <v>3529</v>
      </c>
      <c r="E582" s="18">
        <v>4</v>
      </c>
      <c r="F582" s="18">
        <v>116</v>
      </c>
      <c r="G582" s="18">
        <v>3</v>
      </c>
      <c r="H582" s="18" t="s">
        <v>3446</v>
      </c>
    </row>
    <row r="583" spans="1:8">
      <c r="A583" s="7" t="str">
        <f t="shared" si="27"/>
        <v>03</v>
      </c>
      <c r="B583" s="7" t="str">
        <f t="shared" si="28"/>
        <v>069</v>
      </c>
      <c r="C583" s="7" t="str">
        <f t="shared" si="29"/>
        <v>La Matanza</v>
      </c>
      <c r="D583" s="18" t="s">
        <v>3530</v>
      </c>
      <c r="E583" s="18">
        <v>2</v>
      </c>
      <c r="F583" s="18">
        <v>36</v>
      </c>
      <c r="G583" s="18">
        <v>3</v>
      </c>
      <c r="H583" s="18" t="s">
        <v>3446</v>
      </c>
    </row>
    <row r="584" spans="1:8">
      <c r="A584" s="7" t="str">
        <f t="shared" si="27"/>
        <v>03</v>
      </c>
      <c r="B584" s="7" t="str">
        <f t="shared" si="28"/>
        <v>069</v>
      </c>
      <c r="C584" s="7" t="str">
        <f t="shared" si="29"/>
        <v>La Matanza</v>
      </c>
      <c r="D584" s="18" t="s">
        <v>3531</v>
      </c>
      <c r="E584" s="18">
        <v>1</v>
      </c>
      <c r="F584" s="18">
        <v>18</v>
      </c>
      <c r="G584" s="18">
        <v>3</v>
      </c>
      <c r="H584" s="18" t="s">
        <v>3446</v>
      </c>
    </row>
    <row r="585" spans="1:8">
      <c r="A585" s="7" t="str">
        <f t="shared" si="27"/>
        <v>03</v>
      </c>
      <c r="B585" s="7" t="str">
        <f t="shared" si="28"/>
        <v>069</v>
      </c>
      <c r="C585" s="7" t="str">
        <f t="shared" si="29"/>
        <v>La Matanza</v>
      </c>
      <c r="D585" s="18" t="s">
        <v>3532</v>
      </c>
      <c r="E585" s="18">
        <v>4</v>
      </c>
      <c r="F585" s="18">
        <v>92</v>
      </c>
      <c r="G585" s="18">
        <v>3</v>
      </c>
      <c r="H585" s="18" t="s">
        <v>3446</v>
      </c>
    </row>
    <row r="586" spans="1:8">
      <c r="A586" s="7" t="str">
        <f t="shared" si="27"/>
        <v>03</v>
      </c>
      <c r="B586" s="7" t="str">
        <f t="shared" si="28"/>
        <v>069</v>
      </c>
      <c r="C586" s="7" t="str">
        <f t="shared" si="29"/>
        <v>La Matanza</v>
      </c>
      <c r="D586" s="18" t="s">
        <v>3533</v>
      </c>
      <c r="E586" s="18">
        <v>1</v>
      </c>
      <c r="F586" s="18">
        <v>26</v>
      </c>
      <c r="G586" s="18">
        <v>3</v>
      </c>
      <c r="H586" s="18" t="s">
        <v>3446</v>
      </c>
    </row>
    <row r="587" spans="1:8">
      <c r="A587" s="7" t="str">
        <f t="shared" si="27"/>
        <v>03</v>
      </c>
      <c r="B587" s="7" t="str">
        <f t="shared" si="28"/>
        <v>069</v>
      </c>
      <c r="C587" s="7" t="str">
        <f t="shared" si="29"/>
        <v>La Matanza</v>
      </c>
      <c r="D587" s="18" t="s">
        <v>1464</v>
      </c>
      <c r="E587" s="18">
        <v>3</v>
      </c>
      <c r="F587" s="18">
        <v>65</v>
      </c>
      <c r="G587" s="18">
        <v>3</v>
      </c>
      <c r="H587" s="18" t="s">
        <v>3446</v>
      </c>
    </row>
    <row r="588" spans="1:8">
      <c r="A588" s="7" t="str">
        <f t="shared" si="27"/>
        <v>03</v>
      </c>
      <c r="B588" s="7" t="str">
        <f t="shared" si="28"/>
        <v>069</v>
      </c>
      <c r="C588" s="7" t="str">
        <f t="shared" si="29"/>
        <v>La Matanza</v>
      </c>
      <c r="D588" s="18" t="s">
        <v>3534</v>
      </c>
      <c r="E588" s="18">
        <v>2</v>
      </c>
      <c r="F588" s="18">
        <v>52</v>
      </c>
      <c r="G588" s="18">
        <v>3</v>
      </c>
      <c r="H588" s="18" t="s">
        <v>3446</v>
      </c>
    </row>
    <row r="589" spans="1:8">
      <c r="A589" s="7" t="str">
        <f t="shared" si="27"/>
        <v>03</v>
      </c>
      <c r="B589" s="7" t="str">
        <f t="shared" si="28"/>
        <v>069</v>
      </c>
      <c r="C589" s="7" t="str">
        <f t="shared" si="29"/>
        <v>La Matanza</v>
      </c>
      <c r="D589" s="18" t="s">
        <v>3535</v>
      </c>
      <c r="E589" s="18">
        <v>1</v>
      </c>
      <c r="F589" s="18">
        <v>19</v>
      </c>
      <c r="G589" s="18">
        <v>3</v>
      </c>
      <c r="H589" s="18" t="s">
        <v>3446</v>
      </c>
    </row>
    <row r="590" spans="1:8">
      <c r="A590" s="7" t="str">
        <f t="shared" si="27"/>
        <v>03</v>
      </c>
      <c r="B590" s="7" t="str">
        <f t="shared" si="28"/>
        <v>069</v>
      </c>
      <c r="C590" s="7" t="str">
        <f t="shared" si="29"/>
        <v>La Matanza</v>
      </c>
      <c r="D590" s="18" t="s">
        <v>3536</v>
      </c>
      <c r="E590" s="18">
        <v>3</v>
      </c>
      <c r="F590" s="18">
        <v>77</v>
      </c>
      <c r="G590" s="18">
        <v>3</v>
      </c>
      <c r="H590" s="18" t="s">
        <v>3446</v>
      </c>
    </row>
    <row r="591" spans="1:8">
      <c r="A591" s="7" t="str">
        <f t="shared" si="27"/>
        <v>03</v>
      </c>
      <c r="B591" s="7" t="str">
        <f t="shared" si="28"/>
        <v>069</v>
      </c>
      <c r="C591" s="7" t="str">
        <f t="shared" si="29"/>
        <v>La Matanza</v>
      </c>
      <c r="D591" s="18" t="s">
        <v>3537</v>
      </c>
      <c r="E591" s="18">
        <v>1</v>
      </c>
      <c r="F591" s="18">
        <v>17</v>
      </c>
      <c r="G591" s="18">
        <v>3</v>
      </c>
      <c r="H591" s="18" t="s">
        <v>3446</v>
      </c>
    </row>
    <row r="592" spans="1:8">
      <c r="A592" s="7" t="str">
        <f t="shared" si="27"/>
        <v>03</v>
      </c>
      <c r="B592" s="7" t="str">
        <f t="shared" si="28"/>
        <v>069</v>
      </c>
      <c r="C592" s="7" t="str">
        <f t="shared" si="29"/>
        <v>La Matanza</v>
      </c>
      <c r="D592" s="18" t="s">
        <v>3538</v>
      </c>
      <c r="E592" s="18">
        <v>1</v>
      </c>
      <c r="F592" s="18">
        <v>19</v>
      </c>
      <c r="G592" s="18">
        <v>3</v>
      </c>
      <c r="H592" s="18" t="s">
        <v>3446</v>
      </c>
    </row>
    <row r="593" spans="1:8">
      <c r="A593" s="7" t="str">
        <f t="shared" si="27"/>
        <v>03</v>
      </c>
      <c r="B593" s="7" t="str">
        <f t="shared" si="28"/>
        <v>069</v>
      </c>
      <c r="C593" s="7" t="str">
        <f t="shared" si="29"/>
        <v>La Matanza</v>
      </c>
      <c r="D593" s="18" t="s">
        <v>3539</v>
      </c>
      <c r="E593" s="18">
        <v>2</v>
      </c>
      <c r="F593" s="18">
        <v>52</v>
      </c>
      <c r="G593" s="18">
        <v>3</v>
      </c>
      <c r="H593" s="18" t="s">
        <v>3446</v>
      </c>
    </row>
    <row r="594" spans="1:8">
      <c r="A594" s="7" t="str">
        <f t="shared" si="27"/>
        <v>03</v>
      </c>
      <c r="B594" s="7" t="str">
        <f t="shared" si="28"/>
        <v>069</v>
      </c>
      <c r="C594" s="7" t="str">
        <f t="shared" si="29"/>
        <v>La Matanza</v>
      </c>
      <c r="D594" s="18" t="s">
        <v>3540</v>
      </c>
      <c r="E594" s="18">
        <v>2</v>
      </c>
      <c r="F594" s="18">
        <v>30</v>
      </c>
      <c r="G594" s="18">
        <v>3</v>
      </c>
      <c r="H594" s="18" t="s">
        <v>3446</v>
      </c>
    </row>
    <row r="595" spans="1:8">
      <c r="A595" s="7" t="str">
        <f t="shared" si="27"/>
        <v>03</v>
      </c>
      <c r="B595" s="7" t="str">
        <f t="shared" si="28"/>
        <v>069</v>
      </c>
      <c r="C595" s="7" t="str">
        <f t="shared" si="29"/>
        <v>La Matanza</v>
      </c>
      <c r="D595" s="18" t="s">
        <v>3541</v>
      </c>
      <c r="E595" s="18">
        <v>1</v>
      </c>
      <c r="F595" s="18">
        <v>34</v>
      </c>
      <c r="G595" s="18">
        <v>3</v>
      </c>
      <c r="H595" s="18" t="s">
        <v>3446</v>
      </c>
    </row>
    <row r="596" spans="1:8">
      <c r="A596" s="7" t="str">
        <f t="shared" si="27"/>
        <v>03</v>
      </c>
      <c r="B596" s="7" t="str">
        <f t="shared" si="28"/>
        <v>069</v>
      </c>
      <c r="C596" s="7" t="str">
        <f t="shared" si="29"/>
        <v>La Matanza</v>
      </c>
      <c r="D596" s="18" t="s">
        <v>3542</v>
      </c>
      <c r="E596" s="18">
        <v>1</v>
      </c>
      <c r="F596" s="18">
        <v>22</v>
      </c>
      <c r="G596" s="18">
        <v>3</v>
      </c>
      <c r="H596" s="18" t="s">
        <v>3446</v>
      </c>
    </row>
    <row r="597" spans="1:8">
      <c r="A597" s="7" t="str">
        <f t="shared" si="27"/>
        <v>03</v>
      </c>
      <c r="B597" s="7" t="str">
        <f t="shared" si="28"/>
        <v>069</v>
      </c>
      <c r="C597" s="7" t="str">
        <f t="shared" si="29"/>
        <v>La Matanza</v>
      </c>
      <c r="D597" s="18" t="s">
        <v>3543</v>
      </c>
      <c r="E597" s="18">
        <v>1</v>
      </c>
      <c r="F597" s="18">
        <v>20</v>
      </c>
      <c r="G597" s="18">
        <v>3</v>
      </c>
      <c r="H597" s="18" t="s">
        <v>3446</v>
      </c>
    </row>
    <row r="598" spans="1:8">
      <c r="A598" s="7" t="str">
        <f t="shared" si="27"/>
        <v>03</v>
      </c>
      <c r="B598" s="7" t="str">
        <f t="shared" si="28"/>
        <v>069</v>
      </c>
      <c r="C598" s="7" t="str">
        <f t="shared" si="29"/>
        <v>La Matanza</v>
      </c>
      <c r="D598" s="18" t="s">
        <v>3544</v>
      </c>
      <c r="E598" s="18">
        <v>2</v>
      </c>
      <c r="F598" s="18">
        <v>60</v>
      </c>
      <c r="G598" s="18">
        <v>3</v>
      </c>
      <c r="H598" s="18" t="s">
        <v>3446</v>
      </c>
    </row>
    <row r="599" spans="1:8">
      <c r="A599" s="7" t="str">
        <f t="shared" si="27"/>
        <v>04</v>
      </c>
      <c r="B599" s="7" t="str">
        <f t="shared" si="28"/>
        <v>119</v>
      </c>
      <c r="C599" s="7" t="str">
        <f t="shared" si="29"/>
        <v>Berazategui</v>
      </c>
      <c r="D599" s="18" t="s">
        <v>3545</v>
      </c>
      <c r="E599" s="18">
        <v>1</v>
      </c>
      <c r="F599" s="18">
        <v>15</v>
      </c>
      <c r="G599" s="18">
        <v>4</v>
      </c>
      <c r="H599" s="18" t="s">
        <v>2661</v>
      </c>
    </row>
    <row r="600" spans="1:8">
      <c r="A600" s="7" t="str">
        <f t="shared" si="27"/>
        <v>04</v>
      </c>
      <c r="B600" s="7" t="str">
        <f t="shared" si="28"/>
        <v>119</v>
      </c>
      <c r="C600" s="7" t="str">
        <f t="shared" si="29"/>
        <v>Berazategui</v>
      </c>
      <c r="D600" s="18" t="s">
        <v>3546</v>
      </c>
      <c r="E600" s="18">
        <v>2</v>
      </c>
      <c r="F600" s="18">
        <v>42</v>
      </c>
      <c r="G600" s="18">
        <v>4</v>
      </c>
      <c r="H600" s="18" t="s">
        <v>2661</v>
      </c>
    </row>
    <row r="601" spans="1:8">
      <c r="A601" s="7" t="str">
        <f t="shared" si="27"/>
        <v>04</v>
      </c>
      <c r="B601" s="7" t="str">
        <f t="shared" si="28"/>
        <v>119</v>
      </c>
      <c r="C601" s="7" t="str">
        <f t="shared" si="29"/>
        <v>Berazategui</v>
      </c>
      <c r="D601" s="18" t="s">
        <v>3130</v>
      </c>
      <c r="E601" s="18">
        <v>1</v>
      </c>
      <c r="F601" s="18">
        <v>26</v>
      </c>
      <c r="G601" s="18">
        <v>4</v>
      </c>
      <c r="H601" s="18" t="s">
        <v>2661</v>
      </c>
    </row>
    <row r="602" spans="1:8">
      <c r="A602" s="7" t="str">
        <f t="shared" si="27"/>
        <v>04</v>
      </c>
      <c r="B602" s="7" t="str">
        <f t="shared" si="28"/>
        <v>119</v>
      </c>
      <c r="C602" s="7" t="str">
        <f t="shared" si="29"/>
        <v>Berazategui</v>
      </c>
      <c r="D602" s="18" t="s">
        <v>3547</v>
      </c>
      <c r="E602" s="18">
        <v>1</v>
      </c>
      <c r="F602" s="18">
        <v>21</v>
      </c>
      <c r="G602" s="18">
        <v>4</v>
      </c>
      <c r="H602" s="18" t="s">
        <v>2661</v>
      </c>
    </row>
    <row r="603" spans="1:8">
      <c r="A603" s="7" t="str">
        <f t="shared" si="27"/>
        <v>04</v>
      </c>
      <c r="B603" s="7" t="str">
        <f t="shared" si="28"/>
        <v>119</v>
      </c>
      <c r="C603" s="7" t="str">
        <f t="shared" si="29"/>
        <v>Berazategui</v>
      </c>
      <c r="D603" s="18" t="s">
        <v>3548</v>
      </c>
      <c r="E603" s="18">
        <v>1</v>
      </c>
      <c r="F603" s="18">
        <v>23</v>
      </c>
      <c r="G603" s="18">
        <v>4</v>
      </c>
      <c r="H603" s="18" t="s">
        <v>2661</v>
      </c>
    </row>
    <row r="604" spans="1:8">
      <c r="A604" s="7" t="str">
        <f t="shared" si="27"/>
        <v>04</v>
      </c>
      <c r="B604" s="7" t="str">
        <f t="shared" si="28"/>
        <v>119</v>
      </c>
      <c r="C604" s="7" t="str">
        <f t="shared" si="29"/>
        <v>Berazategui</v>
      </c>
      <c r="D604" s="18" t="s">
        <v>3549</v>
      </c>
      <c r="E604" s="18">
        <v>1</v>
      </c>
      <c r="F604" s="18">
        <v>12</v>
      </c>
      <c r="G604" s="18">
        <v>4</v>
      </c>
      <c r="H604" s="18" t="s">
        <v>2661</v>
      </c>
    </row>
    <row r="605" spans="1:8">
      <c r="A605" s="7" t="str">
        <f t="shared" si="27"/>
        <v>04</v>
      </c>
      <c r="B605" s="7" t="str">
        <f t="shared" si="28"/>
        <v>119</v>
      </c>
      <c r="C605" s="7" t="str">
        <f t="shared" si="29"/>
        <v>Berazategui</v>
      </c>
      <c r="D605" s="18" t="s">
        <v>3550</v>
      </c>
      <c r="E605" s="18">
        <v>1</v>
      </c>
      <c r="F605" s="18">
        <v>0</v>
      </c>
      <c r="G605" s="18">
        <v>4</v>
      </c>
      <c r="H605" s="18" t="s">
        <v>2661</v>
      </c>
    </row>
    <row r="606" spans="1:8">
      <c r="A606" s="7" t="str">
        <f t="shared" si="27"/>
        <v>04</v>
      </c>
      <c r="B606" s="7" t="str">
        <f t="shared" si="28"/>
        <v>119</v>
      </c>
      <c r="C606" s="7" t="str">
        <f t="shared" si="29"/>
        <v>Berazategui</v>
      </c>
      <c r="D606" s="18" t="s">
        <v>3551</v>
      </c>
      <c r="E606" s="18">
        <v>1</v>
      </c>
      <c r="F606" s="18">
        <v>32</v>
      </c>
      <c r="G606" s="18">
        <v>4</v>
      </c>
      <c r="H606" s="18" t="s">
        <v>2661</v>
      </c>
    </row>
    <row r="607" spans="1:8">
      <c r="A607" s="7" t="str">
        <f t="shared" si="27"/>
        <v>04</v>
      </c>
      <c r="B607" s="7" t="str">
        <f t="shared" si="28"/>
        <v>119</v>
      </c>
      <c r="C607" s="7" t="str">
        <f t="shared" si="29"/>
        <v>Berazategui</v>
      </c>
      <c r="D607" s="18" t="s">
        <v>3552</v>
      </c>
      <c r="E607" s="18">
        <v>1</v>
      </c>
      <c r="F607" s="18">
        <v>18</v>
      </c>
      <c r="G607" s="18">
        <v>4</v>
      </c>
      <c r="H607" s="18" t="s">
        <v>2661</v>
      </c>
    </row>
    <row r="608" spans="1:8">
      <c r="A608" s="7" t="str">
        <f t="shared" si="27"/>
        <v>04</v>
      </c>
      <c r="B608" s="7" t="str">
        <f t="shared" si="28"/>
        <v>119</v>
      </c>
      <c r="C608" s="7" t="str">
        <f t="shared" si="29"/>
        <v>Berazategui</v>
      </c>
      <c r="D608" s="18" t="s">
        <v>3553</v>
      </c>
      <c r="E608" s="18">
        <v>1</v>
      </c>
      <c r="F608" s="18">
        <v>14</v>
      </c>
      <c r="G608" s="18">
        <v>4</v>
      </c>
      <c r="H608" s="18" t="s">
        <v>2661</v>
      </c>
    </row>
    <row r="609" spans="1:8">
      <c r="A609" s="7" t="str">
        <f t="shared" si="27"/>
        <v>04</v>
      </c>
      <c r="B609" s="7" t="str">
        <f t="shared" si="28"/>
        <v>119</v>
      </c>
      <c r="C609" s="7" t="str">
        <f t="shared" si="29"/>
        <v>Berazategui</v>
      </c>
      <c r="D609" s="18" t="s">
        <v>3554</v>
      </c>
      <c r="E609" s="18">
        <v>2</v>
      </c>
      <c r="F609" s="18">
        <v>0</v>
      </c>
      <c r="G609" s="18">
        <v>4</v>
      </c>
      <c r="H609" s="18" t="s">
        <v>2661</v>
      </c>
    </row>
    <row r="610" spans="1:8">
      <c r="A610" s="7" t="str">
        <f t="shared" si="27"/>
        <v>04</v>
      </c>
      <c r="B610" s="7" t="str">
        <f t="shared" si="28"/>
        <v>119</v>
      </c>
      <c r="C610" s="7" t="str">
        <f t="shared" si="29"/>
        <v>Berazategui</v>
      </c>
      <c r="D610" s="18" t="s">
        <v>3555</v>
      </c>
      <c r="E610" s="18">
        <v>2</v>
      </c>
      <c r="F610" s="18">
        <v>33</v>
      </c>
      <c r="G610" s="18">
        <v>4</v>
      </c>
      <c r="H610" s="18" t="s">
        <v>2661</v>
      </c>
    </row>
    <row r="611" spans="1:8">
      <c r="A611" s="7" t="str">
        <f t="shared" si="27"/>
        <v>04</v>
      </c>
      <c r="B611" s="7" t="str">
        <f t="shared" si="28"/>
        <v>119</v>
      </c>
      <c r="C611" s="7" t="str">
        <f t="shared" si="29"/>
        <v>Berazategui</v>
      </c>
      <c r="D611" s="18" t="s">
        <v>3556</v>
      </c>
      <c r="E611" s="18">
        <v>1</v>
      </c>
      <c r="F611" s="18">
        <v>0</v>
      </c>
      <c r="G611" s="18">
        <v>4</v>
      </c>
      <c r="H611" s="18" t="s">
        <v>2661</v>
      </c>
    </row>
    <row r="612" spans="1:8">
      <c r="A612" s="7" t="str">
        <f t="shared" si="27"/>
        <v>04</v>
      </c>
      <c r="B612" s="7" t="str">
        <f t="shared" si="28"/>
        <v>119</v>
      </c>
      <c r="C612" s="7" t="str">
        <f t="shared" si="29"/>
        <v>Berazategui</v>
      </c>
      <c r="D612" s="18" t="s">
        <v>3557</v>
      </c>
      <c r="E612" s="18">
        <v>1</v>
      </c>
      <c r="F612" s="18">
        <v>29</v>
      </c>
      <c r="G612" s="18">
        <v>4</v>
      </c>
      <c r="H612" s="18" t="s">
        <v>2661</v>
      </c>
    </row>
    <row r="613" spans="1:8">
      <c r="A613" s="7" t="str">
        <f t="shared" si="27"/>
        <v>04</v>
      </c>
      <c r="B613" s="7" t="str">
        <f t="shared" si="28"/>
        <v>119</v>
      </c>
      <c r="C613" s="7" t="str">
        <f t="shared" si="29"/>
        <v>Berazategui</v>
      </c>
      <c r="D613" s="18" t="s">
        <v>3558</v>
      </c>
      <c r="E613" s="18">
        <v>1</v>
      </c>
      <c r="F613" s="18">
        <v>5</v>
      </c>
      <c r="G613" s="18">
        <v>4</v>
      </c>
      <c r="H613" s="18" t="s">
        <v>2661</v>
      </c>
    </row>
    <row r="614" spans="1:8">
      <c r="A614" s="7" t="str">
        <f t="shared" si="27"/>
        <v>04</v>
      </c>
      <c r="B614" s="7" t="str">
        <f t="shared" si="28"/>
        <v>119</v>
      </c>
      <c r="C614" s="7" t="str">
        <f t="shared" si="29"/>
        <v>Berazategui</v>
      </c>
      <c r="D614" s="18" t="s">
        <v>3559</v>
      </c>
      <c r="E614" s="18">
        <v>2</v>
      </c>
      <c r="F614" s="18">
        <v>31</v>
      </c>
      <c r="G614" s="18">
        <v>4</v>
      </c>
      <c r="H614" s="18" t="s">
        <v>2661</v>
      </c>
    </row>
    <row r="615" spans="1:8">
      <c r="A615" s="7" t="str">
        <f t="shared" si="27"/>
        <v>04</v>
      </c>
      <c r="B615" s="7" t="str">
        <f t="shared" si="28"/>
        <v>119</v>
      </c>
      <c r="C615" s="7" t="str">
        <f t="shared" si="29"/>
        <v>Berazategui</v>
      </c>
      <c r="D615" s="18" t="s">
        <v>3560</v>
      </c>
      <c r="E615" s="18">
        <v>1</v>
      </c>
      <c r="F615" s="18">
        <v>20</v>
      </c>
      <c r="G615" s="18">
        <v>4</v>
      </c>
      <c r="H615" s="18" t="s">
        <v>2661</v>
      </c>
    </row>
    <row r="616" spans="1:8">
      <c r="A616" s="7" t="str">
        <f t="shared" si="27"/>
        <v>04</v>
      </c>
      <c r="B616" s="7" t="str">
        <f t="shared" si="28"/>
        <v>119</v>
      </c>
      <c r="C616" s="7" t="str">
        <f t="shared" si="29"/>
        <v>Berazategui</v>
      </c>
      <c r="D616" s="18" t="s">
        <v>3561</v>
      </c>
      <c r="E616" s="18">
        <v>6</v>
      </c>
      <c r="F616" s="18">
        <v>163</v>
      </c>
      <c r="G616" s="18">
        <v>4</v>
      </c>
      <c r="H616" s="18" t="s">
        <v>2661</v>
      </c>
    </row>
    <row r="617" spans="1:8">
      <c r="A617" s="7" t="str">
        <f t="shared" si="27"/>
        <v>04</v>
      </c>
      <c r="B617" s="7" t="str">
        <f t="shared" si="28"/>
        <v>119</v>
      </c>
      <c r="C617" s="7" t="str">
        <f t="shared" si="29"/>
        <v>Berazategui</v>
      </c>
      <c r="D617" s="18" t="s">
        <v>3562</v>
      </c>
      <c r="E617" s="18">
        <v>6</v>
      </c>
      <c r="F617" s="18">
        <v>140</v>
      </c>
      <c r="G617" s="18">
        <v>4</v>
      </c>
      <c r="H617" s="18" t="s">
        <v>2661</v>
      </c>
    </row>
    <row r="618" spans="1:8">
      <c r="A618" s="7" t="str">
        <f t="shared" si="27"/>
        <v>04</v>
      </c>
      <c r="B618" s="7" t="str">
        <f t="shared" si="28"/>
        <v>119</v>
      </c>
      <c r="C618" s="7" t="str">
        <f t="shared" si="29"/>
        <v>Berazategui</v>
      </c>
      <c r="D618" s="18" t="s">
        <v>3563</v>
      </c>
      <c r="E618" s="18">
        <v>1</v>
      </c>
      <c r="F618" s="18">
        <v>30</v>
      </c>
      <c r="G618" s="18">
        <v>4</v>
      </c>
      <c r="H618" s="18" t="s">
        <v>2661</v>
      </c>
    </row>
    <row r="619" spans="1:8">
      <c r="A619" s="7" t="str">
        <f t="shared" si="27"/>
        <v>04</v>
      </c>
      <c r="B619" s="7" t="str">
        <f t="shared" si="28"/>
        <v>119</v>
      </c>
      <c r="C619" s="7" t="str">
        <f t="shared" si="29"/>
        <v>Berazategui</v>
      </c>
      <c r="D619" s="18" t="s">
        <v>3564</v>
      </c>
      <c r="E619" s="18">
        <v>10</v>
      </c>
      <c r="F619" s="18">
        <v>263</v>
      </c>
      <c r="G619" s="18">
        <v>4</v>
      </c>
      <c r="H619" s="18" t="s">
        <v>2661</v>
      </c>
    </row>
    <row r="620" spans="1:8">
      <c r="A620" s="7" t="str">
        <f t="shared" si="27"/>
        <v>04</v>
      </c>
      <c r="B620" s="7" t="str">
        <f t="shared" si="28"/>
        <v>119</v>
      </c>
      <c r="C620" s="7" t="str">
        <f t="shared" si="29"/>
        <v>Berazategui</v>
      </c>
      <c r="D620" s="18" t="s">
        <v>3565</v>
      </c>
      <c r="E620" s="18">
        <v>1</v>
      </c>
      <c r="F620" s="18">
        <v>24</v>
      </c>
      <c r="G620" s="18">
        <v>4</v>
      </c>
      <c r="H620" s="18" t="s">
        <v>2661</v>
      </c>
    </row>
    <row r="621" spans="1:8">
      <c r="A621" s="7" t="str">
        <f t="shared" si="27"/>
        <v>04</v>
      </c>
      <c r="B621" s="7" t="str">
        <f t="shared" si="28"/>
        <v>119</v>
      </c>
      <c r="C621" s="7" t="str">
        <f t="shared" si="29"/>
        <v>Berazategui</v>
      </c>
      <c r="D621" s="18" t="s">
        <v>3566</v>
      </c>
      <c r="E621" s="18">
        <v>3</v>
      </c>
      <c r="F621" s="18">
        <v>83</v>
      </c>
      <c r="G621" s="18">
        <v>4</v>
      </c>
      <c r="H621" s="18" t="s">
        <v>2661</v>
      </c>
    </row>
    <row r="622" spans="1:8">
      <c r="A622" s="7" t="str">
        <f t="shared" si="27"/>
        <v>04</v>
      </c>
      <c r="B622" s="7" t="str">
        <f t="shared" si="28"/>
        <v>119</v>
      </c>
      <c r="C622" s="7" t="str">
        <f t="shared" si="29"/>
        <v>Berazategui</v>
      </c>
      <c r="D622" s="18" t="s">
        <v>3567</v>
      </c>
      <c r="E622" s="18">
        <v>1</v>
      </c>
      <c r="F622" s="18">
        <v>19</v>
      </c>
      <c r="G622" s="18">
        <v>4</v>
      </c>
      <c r="H622" s="18" t="s">
        <v>2661</v>
      </c>
    </row>
    <row r="623" spans="1:8">
      <c r="A623" s="7" t="str">
        <f t="shared" si="27"/>
        <v>04</v>
      </c>
      <c r="B623" s="7" t="str">
        <f t="shared" si="28"/>
        <v>119</v>
      </c>
      <c r="C623" s="7" t="str">
        <f t="shared" si="29"/>
        <v>Berazategui</v>
      </c>
      <c r="D623" s="18" t="s">
        <v>688</v>
      </c>
      <c r="E623" s="18">
        <v>1</v>
      </c>
      <c r="F623" s="18">
        <v>15</v>
      </c>
      <c r="G623" s="18">
        <v>4</v>
      </c>
      <c r="H623" s="18" t="s">
        <v>2661</v>
      </c>
    </row>
    <row r="624" spans="1:8">
      <c r="A624" s="7" t="str">
        <f t="shared" si="27"/>
        <v>04</v>
      </c>
      <c r="B624" s="7" t="str">
        <f t="shared" si="28"/>
        <v>119</v>
      </c>
      <c r="C624" s="7" t="str">
        <f t="shared" si="29"/>
        <v>Berazategui</v>
      </c>
      <c r="D624" s="18" t="s">
        <v>3568</v>
      </c>
      <c r="E624" s="18">
        <v>1</v>
      </c>
      <c r="F624" s="18">
        <v>19</v>
      </c>
      <c r="G624" s="18">
        <v>4</v>
      </c>
      <c r="H624" s="18" t="s">
        <v>2661</v>
      </c>
    </row>
    <row r="625" spans="1:8">
      <c r="A625" s="7" t="str">
        <f t="shared" si="27"/>
        <v>04</v>
      </c>
      <c r="B625" s="7" t="str">
        <f t="shared" si="28"/>
        <v>119</v>
      </c>
      <c r="C625" s="7" t="str">
        <f t="shared" si="29"/>
        <v>Berazategui</v>
      </c>
      <c r="D625" s="18" t="s">
        <v>3569</v>
      </c>
      <c r="E625" s="18">
        <v>2</v>
      </c>
      <c r="F625" s="18">
        <v>66</v>
      </c>
      <c r="G625" s="18">
        <v>4</v>
      </c>
      <c r="H625" s="18" t="s">
        <v>2661</v>
      </c>
    </row>
    <row r="626" spans="1:8">
      <c r="A626" s="7" t="str">
        <f t="shared" si="27"/>
        <v>04</v>
      </c>
      <c r="B626" s="7" t="str">
        <f t="shared" si="28"/>
        <v>119</v>
      </c>
      <c r="C626" s="7" t="str">
        <f t="shared" si="29"/>
        <v>Berazategui</v>
      </c>
      <c r="D626" s="18" t="s">
        <v>3570</v>
      </c>
      <c r="E626" s="18">
        <v>1</v>
      </c>
      <c r="F626" s="18">
        <v>12</v>
      </c>
      <c r="G626" s="18">
        <v>4</v>
      </c>
      <c r="H626" s="18" t="s">
        <v>2661</v>
      </c>
    </row>
    <row r="627" spans="1:8">
      <c r="A627" s="7" t="str">
        <f t="shared" si="27"/>
        <v>04</v>
      </c>
      <c r="B627" s="7" t="str">
        <f t="shared" si="28"/>
        <v>119</v>
      </c>
      <c r="C627" s="7" t="str">
        <f t="shared" si="29"/>
        <v>Berazategui</v>
      </c>
      <c r="D627" s="18" t="s">
        <v>3571</v>
      </c>
      <c r="E627" s="18">
        <v>1</v>
      </c>
      <c r="F627" s="18">
        <v>31</v>
      </c>
      <c r="G627" s="18">
        <v>4</v>
      </c>
      <c r="H627" s="18" t="s">
        <v>2661</v>
      </c>
    </row>
    <row r="628" spans="1:8">
      <c r="A628" s="7" t="str">
        <f t="shared" si="27"/>
        <v>04</v>
      </c>
      <c r="B628" s="7" t="str">
        <f t="shared" si="28"/>
        <v>119</v>
      </c>
      <c r="C628" s="7" t="str">
        <f t="shared" si="29"/>
        <v>Berazategui</v>
      </c>
      <c r="D628" s="18" t="s">
        <v>3572</v>
      </c>
      <c r="E628" s="18">
        <v>1</v>
      </c>
      <c r="F628" s="18">
        <v>6</v>
      </c>
      <c r="G628" s="18">
        <v>4</v>
      </c>
      <c r="H628" s="18" t="s">
        <v>2661</v>
      </c>
    </row>
    <row r="629" spans="1:8">
      <c r="A629" s="7" t="str">
        <f t="shared" si="27"/>
        <v>04</v>
      </c>
      <c r="B629" s="7" t="str">
        <f t="shared" si="28"/>
        <v>119</v>
      </c>
      <c r="C629" s="7" t="str">
        <f t="shared" si="29"/>
        <v>Berazategui</v>
      </c>
      <c r="D629" s="18" t="s">
        <v>3573</v>
      </c>
      <c r="E629" s="18">
        <v>1</v>
      </c>
      <c r="F629" s="18">
        <v>15</v>
      </c>
      <c r="G629" s="18">
        <v>4</v>
      </c>
      <c r="H629" s="18" t="s">
        <v>2661</v>
      </c>
    </row>
    <row r="630" spans="1:8">
      <c r="A630" s="7" t="str">
        <f t="shared" si="27"/>
        <v>04</v>
      </c>
      <c r="B630" s="7" t="str">
        <f t="shared" si="28"/>
        <v>119</v>
      </c>
      <c r="C630" s="7" t="str">
        <f t="shared" si="29"/>
        <v>Berazategui</v>
      </c>
      <c r="D630" s="18" t="s">
        <v>3574</v>
      </c>
      <c r="E630" s="18">
        <v>1</v>
      </c>
      <c r="F630" s="18">
        <v>6</v>
      </c>
      <c r="G630" s="18">
        <v>4</v>
      </c>
      <c r="H630" s="18" t="s">
        <v>2661</v>
      </c>
    </row>
    <row r="631" spans="1:8">
      <c r="A631" s="7" t="str">
        <f t="shared" si="27"/>
        <v>04</v>
      </c>
      <c r="B631" s="7" t="str">
        <f t="shared" si="28"/>
        <v>119</v>
      </c>
      <c r="C631" s="7" t="str">
        <f t="shared" si="29"/>
        <v>Berazategui</v>
      </c>
      <c r="D631" s="18" t="s">
        <v>3575</v>
      </c>
      <c r="E631" s="18">
        <v>2</v>
      </c>
      <c r="F631" s="18">
        <v>66</v>
      </c>
      <c r="G631" s="18">
        <v>4</v>
      </c>
      <c r="H631" s="18" t="s">
        <v>2661</v>
      </c>
    </row>
    <row r="632" spans="1:8">
      <c r="A632" s="7" t="str">
        <f t="shared" si="27"/>
        <v>04</v>
      </c>
      <c r="B632" s="7" t="str">
        <f t="shared" si="28"/>
        <v>119</v>
      </c>
      <c r="C632" s="7" t="str">
        <f t="shared" si="29"/>
        <v>Berazategui</v>
      </c>
      <c r="D632" s="18" t="s">
        <v>3576</v>
      </c>
      <c r="E632" s="18">
        <v>2</v>
      </c>
      <c r="F632" s="18">
        <v>44</v>
      </c>
      <c r="G632" s="18">
        <v>4</v>
      </c>
      <c r="H632" s="18" t="s">
        <v>2661</v>
      </c>
    </row>
    <row r="633" spans="1:8">
      <c r="A633" s="7" t="str">
        <f t="shared" si="27"/>
        <v>04</v>
      </c>
      <c r="B633" s="7" t="str">
        <f t="shared" si="28"/>
        <v>119</v>
      </c>
      <c r="C633" s="7" t="str">
        <f t="shared" si="29"/>
        <v>Berazategui</v>
      </c>
      <c r="D633" s="18" t="s">
        <v>3577</v>
      </c>
      <c r="E633" s="18">
        <v>1</v>
      </c>
      <c r="F633" s="18">
        <v>26</v>
      </c>
      <c r="G633" s="18">
        <v>4</v>
      </c>
      <c r="H633" s="18" t="s">
        <v>2661</v>
      </c>
    </row>
    <row r="634" spans="1:8">
      <c r="A634" s="7" t="str">
        <f t="shared" si="27"/>
        <v>04</v>
      </c>
      <c r="B634" s="7" t="str">
        <f t="shared" si="28"/>
        <v>119</v>
      </c>
      <c r="C634" s="7" t="str">
        <f t="shared" si="29"/>
        <v>Berazategui</v>
      </c>
      <c r="D634" s="18" t="s">
        <v>3578</v>
      </c>
      <c r="E634" s="18">
        <v>1</v>
      </c>
      <c r="F634" s="18">
        <v>24</v>
      </c>
      <c r="G634" s="18">
        <v>4</v>
      </c>
      <c r="H634" s="18" t="s">
        <v>2661</v>
      </c>
    </row>
    <row r="635" spans="1:8">
      <c r="A635" s="7" t="str">
        <f t="shared" si="27"/>
        <v>04</v>
      </c>
      <c r="B635" s="7" t="str">
        <f t="shared" si="28"/>
        <v>119</v>
      </c>
      <c r="C635" s="7" t="str">
        <f t="shared" si="29"/>
        <v>Berazategui</v>
      </c>
      <c r="D635" s="18" t="s">
        <v>3579</v>
      </c>
      <c r="E635" s="18">
        <v>2</v>
      </c>
      <c r="F635" s="18">
        <v>48</v>
      </c>
      <c r="G635" s="18">
        <v>4</v>
      </c>
      <c r="H635" s="18" t="s">
        <v>2661</v>
      </c>
    </row>
    <row r="636" spans="1:8">
      <c r="A636" s="7" t="str">
        <f t="shared" si="27"/>
        <v>04</v>
      </c>
      <c r="B636" s="7" t="str">
        <f t="shared" si="28"/>
        <v>119</v>
      </c>
      <c r="C636" s="7" t="str">
        <f t="shared" si="29"/>
        <v>Berazategui</v>
      </c>
      <c r="D636" s="18" t="s">
        <v>3580</v>
      </c>
      <c r="E636" s="18">
        <v>1</v>
      </c>
      <c r="F636" s="18">
        <v>8</v>
      </c>
      <c r="G636" s="18">
        <v>4</v>
      </c>
      <c r="H636" s="18" t="s">
        <v>2661</v>
      </c>
    </row>
    <row r="637" spans="1:8">
      <c r="A637" s="7" t="str">
        <f t="shared" si="27"/>
        <v>04</v>
      </c>
      <c r="B637" s="7" t="str">
        <f t="shared" si="28"/>
        <v>119</v>
      </c>
      <c r="C637" s="7" t="str">
        <f t="shared" si="29"/>
        <v>Berazategui</v>
      </c>
      <c r="D637" s="18" t="s">
        <v>3581</v>
      </c>
      <c r="E637" s="18">
        <v>1</v>
      </c>
      <c r="F637" s="18">
        <v>8</v>
      </c>
      <c r="G637" s="18">
        <v>4</v>
      </c>
      <c r="H637" s="18" t="s">
        <v>2661</v>
      </c>
    </row>
    <row r="638" spans="1:8">
      <c r="A638" s="7" t="str">
        <f t="shared" si="27"/>
        <v>04</v>
      </c>
      <c r="B638" s="7" t="str">
        <f t="shared" si="28"/>
        <v>119</v>
      </c>
      <c r="C638" s="7" t="str">
        <f t="shared" si="29"/>
        <v>Berazategui</v>
      </c>
      <c r="D638" s="18" t="s">
        <v>3582</v>
      </c>
      <c r="E638" s="18">
        <v>1</v>
      </c>
      <c r="F638" s="18">
        <v>23</v>
      </c>
      <c r="G638" s="18">
        <v>4</v>
      </c>
      <c r="H638" s="18" t="s">
        <v>2661</v>
      </c>
    </row>
    <row r="639" spans="1:8">
      <c r="A639" s="7" t="str">
        <f t="shared" si="27"/>
        <v>04</v>
      </c>
      <c r="B639" s="7" t="str">
        <f t="shared" si="28"/>
        <v>119</v>
      </c>
      <c r="C639" s="7" t="str">
        <f t="shared" si="29"/>
        <v>Berazategui</v>
      </c>
      <c r="D639" s="18" t="s">
        <v>3583</v>
      </c>
      <c r="E639" s="18">
        <v>2</v>
      </c>
      <c r="F639" s="18">
        <v>27</v>
      </c>
      <c r="G639" s="18">
        <v>4</v>
      </c>
      <c r="H639" s="18" t="s">
        <v>2661</v>
      </c>
    </row>
    <row r="640" spans="1:8">
      <c r="A640" s="7" t="str">
        <f t="shared" si="27"/>
        <v>04</v>
      </c>
      <c r="B640" s="7" t="str">
        <f t="shared" si="28"/>
        <v>119</v>
      </c>
      <c r="C640" s="7" t="str">
        <f t="shared" si="29"/>
        <v>Berazategui</v>
      </c>
      <c r="D640" s="18" t="s">
        <v>3584</v>
      </c>
      <c r="E640" s="18">
        <v>1</v>
      </c>
      <c r="F640" s="18">
        <v>17</v>
      </c>
      <c r="G640" s="18">
        <v>4</v>
      </c>
      <c r="H640" s="18" t="s">
        <v>2661</v>
      </c>
    </row>
    <row r="641" spans="1:8">
      <c r="A641" s="7" t="str">
        <f t="shared" si="27"/>
        <v>04</v>
      </c>
      <c r="B641" s="7" t="str">
        <f t="shared" si="28"/>
        <v>119</v>
      </c>
      <c r="C641" s="7" t="str">
        <f t="shared" si="29"/>
        <v>Berazategui</v>
      </c>
      <c r="D641" s="18" t="s">
        <v>3585</v>
      </c>
      <c r="E641" s="18">
        <v>1</v>
      </c>
      <c r="F641" s="18">
        <v>40</v>
      </c>
      <c r="G641" s="18">
        <v>4</v>
      </c>
      <c r="H641" s="18" t="s">
        <v>2661</v>
      </c>
    </row>
    <row r="642" spans="1:8">
      <c r="A642" s="7" t="str">
        <f t="shared" si="27"/>
        <v>04</v>
      </c>
      <c r="B642" s="7" t="str">
        <f t="shared" si="28"/>
        <v>119</v>
      </c>
      <c r="C642" s="7" t="str">
        <f t="shared" si="29"/>
        <v>Berazategui</v>
      </c>
      <c r="D642" s="18" t="s">
        <v>3586</v>
      </c>
      <c r="E642" s="18">
        <v>1</v>
      </c>
      <c r="F642" s="18">
        <v>19</v>
      </c>
      <c r="G642" s="18">
        <v>4</v>
      </c>
      <c r="H642" s="18" t="s">
        <v>2661</v>
      </c>
    </row>
    <row r="643" spans="1:8">
      <c r="A643" s="7" t="str">
        <f t="shared" ref="A643:A706" si="30">+VLOOKUP(H643,$K:$N,2,FALSE)</f>
        <v>04</v>
      </c>
      <c r="B643" s="7" t="str">
        <f t="shared" ref="B643:B706" si="31">+VLOOKUP(H643,$K:$N,3,FALSE)</f>
        <v>119</v>
      </c>
      <c r="C643" s="7" t="str">
        <f t="shared" ref="C643:C706" si="32">+VLOOKUP(H643,$K:$N,4,FALSE)</f>
        <v>Berazategui</v>
      </c>
      <c r="D643" s="18" t="s">
        <v>3587</v>
      </c>
      <c r="E643" s="18">
        <v>1</v>
      </c>
      <c r="F643" s="18">
        <v>20</v>
      </c>
      <c r="G643" s="18">
        <v>4</v>
      </c>
      <c r="H643" s="18" t="s">
        <v>2661</v>
      </c>
    </row>
    <row r="644" spans="1:8">
      <c r="A644" s="7" t="str">
        <f t="shared" si="30"/>
        <v>04</v>
      </c>
      <c r="B644" s="7" t="str">
        <f t="shared" si="31"/>
        <v>119</v>
      </c>
      <c r="C644" s="7" t="str">
        <f t="shared" si="32"/>
        <v>Berazategui</v>
      </c>
      <c r="D644" s="18" t="s">
        <v>3588</v>
      </c>
      <c r="E644" s="18">
        <v>1</v>
      </c>
      <c r="F644" s="18">
        <v>16</v>
      </c>
      <c r="G644" s="18">
        <v>4</v>
      </c>
      <c r="H644" s="18" t="s">
        <v>2661</v>
      </c>
    </row>
    <row r="645" spans="1:8">
      <c r="A645" s="7" t="str">
        <f t="shared" si="30"/>
        <v>04</v>
      </c>
      <c r="B645" s="7" t="str">
        <f t="shared" si="31"/>
        <v>119</v>
      </c>
      <c r="C645" s="7" t="str">
        <f t="shared" si="32"/>
        <v>Berazategui</v>
      </c>
      <c r="D645" s="18" t="s">
        <v>3589</v>
      </c>
      <c r="E645" s="18">
        <v>1</v>
      </c>
      <c r="F645" s="18">
        <v>20</v>
      </c>
      <c r="G645" s="18">
        <v>4</v>
      </c>
      <c r="H645" s="18" t="s">
        <v>2661</v>
      </c>
    </row>
    <row r="646" spans="1:8">
      <c r="A646" s="7" t="str">
        <f t="shared" si="30"/>
        <v>04</v>
      </c>
      <c r="B646" s="7" t="str">
        <f t="shared" si="31"/>
        <v>119</v>
      </c>
      <c r="C646" s="7" t="str">
        <f t="shared" si="32"/>
        <v>Berazategui</v>
      </c>
      <c r="D646" s="18" t="s">
        <v>3590</v>
      </c>
      <c r="E646" s="18">
        <v>1</v>
      </c>
      <c r="F646" s="18">
        <v>34</v>
      </c>
      <c r="G646" s="18">
        <v>4</v>
      </c>
      <c r="H646" s="18" t="s">
        <v>2661</v>
      </c>
    </row>
    <row r="647" spans="1:8">
      <c r="A647" s="7" t="str">
        <f t="shared" si="30"/>
        <v>04</v>
      </c>
      <c r="B647" s="7" t="str">
        <f t="shared" si="31"/>
        <v>119</v>
      </c>
      <c r="C647" s="7" t="str">
        <f t="shared" si="32"/>
        <v>Berazategui</v>
      </c>
      <c r="D647" s="18" t="s">
        <v>3591</v>
      </c>
      <c r="E647" s="18">
        <v>1</v>
      </c>
      <c r="F647" s="18">
        <v>15</v>
      </c>
      <c r="G647" s="18">
        <v>4</v>
      </c>
      <c r="H647" s="18" t="s">
        <v>2661</v>
      </c>
    </row>
    <row r="648" spans="1:8">
      <c r="A648" s="7" t="str">
        <f t="shared" si="30"/>
        <v>04</v>
      </c>
      <c r="B648" s="7" t="str">
        <f t="shared" si="31"/>
        <v>119</v>
      </c>
      <c r="C648" s="7" t="str">
        <f t="shared" si="32"/>
        <v>Berazategui</v>
      </c>
      <c r="D648" s="18" t="s">
        <v>3592</v>
      </c>
      <c r="E648" s="18">
        <v>1</v>
      </c>
      <c r="F648" s="18">
        <v>28</v>
      </c>
      <c r="G648" s="18">
        <v>4</v>
      </c>
      <c r="H648" s="18" t="s">
        <v>2661</v>
      </c>
    </row>
    <row r="649" spans="1:8">
      <c r="A649" s="7" t="str">
        <f t="shared" si="30"/>
        <v>04</v>
      </c>
      <c r="B649" s="7" t="str">
        <f t="shared" si="31"/>
        <v>119</v>
      </c>
      <c r="C649" s="7" t="str">
        <f t="shared" si="32"/>
        <v>Berazategui</v>
      </c>
      <c r="D649" s="18" t="s">
        <v>3593</v>
      </c>
      <c r="E649" s="18">
        <v>1</v>
      </c>
      <c r="F649" s="18">
        <v>14</v>
      </c>
      <c r="G649" s="18">
        <v>4</v>
      </c>
      <c r="H649" s="18" t="s">
        <v>2661</v>
      </c>
    </row>
    <row r="650" spans="1:8">
      <c r="A650" s="7" t="str">
        <f t="shared" si="30"/>
        <v>04</v>
      </c>
      <c r="B650" s="7" t="str">
        <f t="shared" si="31"/>
        <v>119</v>
      </c>
      <c r="C650" s="7" t="str">
        <f t="shared" si="32"/>
        <v>Berazategui</v>
      </c>
      <c r="D650" s="18" t="s">
        <v>3594</v>
      </c>
      <c r="E650" s="18">
        <v>1</v>
      </c>
      <c r="F650" s="18">
        <v>19</v>
      </c>
      <c r="G650" s="18">
        <v>4</v>
      </c>
      <c r="H650" s="18" t="s">
        <v>2661</v>
      </c>
    </row>
    <row r="651" spans="1:8">
      <c r="A651" s="7" t="str">
        <f t="shared" si="30"/>
        <v>04</v>
      </c>
      <c r="B651" s="7" t="str">
        <f t="shared" si="31"/>
        <v>119</v>
      </c>
      <c r="C651" s="7" t="str">
        <f t="shared" si="32"/>
        <v>Berazategui</v>
      </c>
      <c r="D651" s="18" t="s">
        <v>3595</v>
      </c>
      <c r="E651" s="18">
        <v>1</v>
      </c>
      <c r="F651" s="18">
        <v>21</v>
      </c>
      <c r="G651" s="18">
        <v>4</v>
      </c>
      <c r="H651" s="18" t="s">
        <v>2661</v>
      </c>
    </row>
    <row r="652" spans="1:8">
      <c r="A652" s="7" t="str">
        <f t="shared" si="30"/>
        <v>04</v>
      </c>
      <c r="B652" s="7" t="str">
        <f t="shared" si="31"/>
        <v>119</v>
      </c>
      <c r="C652" s="7" t="str">
        <f t="shared" si="32"/>
        <v>Berazategui</v>
      </c>
      <c r="D652" s="18" t="s">
        <v>3596</v>
      </c>
      <c r="E652" s="18">
        <v>1</v>
      </c>
      <c r="F652" s="18">
        <v>23</v>
      </c>
      <c r="G652" s="18">
        <v>4</v>
      </c>
      <c r="H652" s="18" t="s">
        <v>2661</v>
      </c>
    </row>
    <row r="653" spans="1:8">
      <c r="A653" s="7" t="str">
        <f t="shared" si="30"/>
        <v>04</v>
      </c>
      <c r="B653" s="7" t="str">
        <f t="shared" si="31"/>
        <v>119</v>
      </c>
      <c r="C653" s="7" t="str">
        <f t="shared" si="32"/>
        <v>Berazategui</v>
      </c>
      <c r="D653" s="18" t="s">
        <v>3597</v>
      </c>
      <c r="E653" s="18">
        <v>1</v>
      </c>
      <c r="F653" s="18">
        <v>17</v>
      </c>
      <c r="G653" s="18">
        <v>4</v>
      </c>
      <c r="H653" s="18" t="s">
        <v>2661</v>
      </c>
    </row>
    <row r="654" spans="1:8">
      <c r="A654" s="7" t="str">
        <f t="shared" si="30"/>
        <v>04</v>
      </c>
      <c r="B654" s="7" t="str">
        <f t="shared" si="31"/>
        <v>119</v>
      </c>
      <c r="C654" s="7" t="str">
        <f t="shared" si="32"/>
        <v>Berazategui</v>
      </c>
      <c r="D654" s="18" t="s">
        <v>3598</v>
      </c>
      <c r="E654" s="18">
        <v>1</v>
      </c>
      <c r="F654" s="18">
        <v>20</v>
      </c>
      <c r="G654" s="18">
        <v>4</v>
      </c>
      <c r="H654" s="18" t="s">
        <v>2661</v>
      </c>
    </row>
    <row r="655" spans="1:8">
      <c r="A655" s="7" t="str">
        <f t="shared" si="30"/>
        <v>04</v>
      </c>
      <c r="B655" s="7" t="str">
        <f t="shared" si="31"/>
        <v>119</v>
      </c>
      <c r="C655" s="7" t="str">
        <f t="shared" si="32"/>
        <v>Berazategui</v>
      </c>
      <c r="D655" s="18" t="s">
        <v>3599</v>
      </c>
      <c r="E655" s="18">
        <v>1</v>
      </c>
      <c r="F655" s="18">
        <v>24</v>
      </c>
      <c r="G655" s="18">
        <v>4</v>
      </c>
      <c r="H655" s="18" t="s">
        <v>2661</v>
      </c>
    </row>
    <row r="656" spans="1:8">
      <c r="A656" s="7" t="str">
        <f t="shared" si="30"/>
        <v>04</v>
      </c>
      <c r="B656" s="7" t="str">
        <f t="shared" si="31"/>
        <v>119</v>
      </c>
      <c r="C656" s="7" t="str">
        <f t="shared" si="32"/>
        <v>Berazategui</v>
      </c>
      <c r="D656" s="18" t="s">
        <v>3600</v>
      </c>
      <c r="E656" s="18">
        <v>1</v>
      </c>
      <c r="F656" s="18">
        <v>31</v>
      </c>
      <c r="G656" s="18">
        <v>4</v>
      </c>
      <c r="H656" s="18" t="s">
        <v>2661</v>
      </c>
    </row>
    <row r="657" spans="1:8">
      <c r="A657" s="7" t="str">
        <f t="shared" si="30"/>
        <v>04</v>
      </c>
      <c r="B657" s="7" t="str">
        <f t="shared" si="31"/>
        <v>119</v>
      </c>
      <c r="C657" s="7" t="str">
        <f t="shared" si="32"/>
        <v>Berazategui</v>
      </c>
      <c r="D657" s="18" t="s">
        <v>3601</v>
      </c>
      <c r="E657" s="18">
        <v>3</v>
      </c>
      <c r="F657" s="18">
        <v>86</v>
      </c>
      <c r="G657" s="18">
        <v>4</v>
      </c>
      <c r="H657" s="18" t="s">
        <v>2661</v>
      </c>
    </row>
    <row r="658" spans="1:8">
      <c r="A658" s="7" t="str">
        <f t="shared" si="30"/>
        <v>04</v>
      </c>
      <c r="B658" s="7" t="str">
        <f t="shared" si="31"/>
        <v>119</v>
      </c>
      <c r="C658" s="7" t="str">
        <f t="shared" si="32"/>
        <v>Berazategui</v>
      </c>
      <c r="D658" s="18" t="s">
        <v>3602</v>
      </c>
      <c r="E658" s="18">
        <v>1</v>
      </c>
      <c r="F658" s="18">
        <v>20</v>
      </c>
      <c r="G658" s="18">
        <v>4</v>
      </c>
      <c r="H658" s="18" t="s">
        <v>2661</v>
      </c>
    </row>
    <row r="659" spans="1:8">
      <c r="A659" s="7" t="str">
        <f t="shared" si="30"/>
        <v>04</v>
      </c>
      <c r="B659" s="7" t="str">
        <f t="shared" si="31"/>
        <v>119</v>
      </c>
      <c r="C659" s="7" t="str">
        <f t="shared" si="32"/>
        <v>Berazategui</v>
      </c>
      <c r="D659" s="18" t="s">
        <v>3603</v>
      </c>
      <c r="E659" s="18">
        <v>1</v>
      </c>
      <c r="F659" s="18">
        <v>30</v>
      </c>
      <c r="G659" s="18">
        <v>4</v>
      </c>
      <c r="H659" s="18" t="s">
        <v>2661</v>
      </c>
    </row>
    <row r="660" spans="1:8">
      <c r="A660" s="7" t="str">
        <f t="shared" si="30"/>
        <v>04</v>
      </c>
      <c r="B660" s="7" t="str">
        <f t="shared" si="31"/>
        <v>119</v>
      </c>
      <c r="C660" s="7" t="str">
        <f t="shared" si="32"/>
        <v>Berazategui</v>
      </c>
      <c r="D660" s="18" t="s">
        <v>3604</v>
      </c>
      <c r="E660" s="18">
        <v>1</v>
      </c>
      <c r="F660" s="18">
        <v>15</v>
      </c>
      <c r="G660" s="18">
        <v>4</v>
      </c>
      <c r="H660" s="18" t="s">
        <v>2661</v>
      </c>
    </row>
    <row r="661" spans="1:8">
      <c r="A661" s="7" t="str">
        <f t="shared" si="30"/>
        <v>04</v>
      </c>
      <c r="B661" s="7" t="str">
        <f t="shared" si="31"/>
        <v>119</v>
      </c>
      <c r="C661" s="7" t="str">
        <f t="shared" si="32"/>
        <v>Berazategui</v>
      </c>
      <c r="D661" s="18" t="s">
        <v>3605</v>
      </c>
      <c r="E661" s="18">
        <v>1</v>
      </c>
      <c r="F661" s="18">
        <v>12</v>
      </c>
      <c r="G661" s="18">
        <v>4</v>
      </c>
      <c r="H661" s="18" t="s">
        <v>2661</v>
      </c>
    </row>
    <row r="662" spans="1:8">
      <c r="A662" s="7" t="str">
        <f t="shared" si="30"/>
        <v>04</v>
      </c>
      <c r="B662" s="7" t="str">
        <f t="shared" si="31"/>
        <v>032</v>
      </c>
      <c r="C662" s="7" t="str">
        <f t="shared" si="32"/>
        <v>Florencio Varela</v>
      </c>
      <c r="D662" s="18" t="s">
        <v>3606</v>
      </c>
      <c r="E662" s="18">
        <v>1</v>
      </c>
      <c r="F662" s="18">
        <v>17</v>
      </c>
      <c r="G662" s="18">
        <v>4</v>
      </c>
      <c r="H662" s="18" t="s">
        <v>816</v>
      </c>
    </row>
    <row r="663" spans="1:8">
      <c r="A663" s="7" t="str">
        <f t="shared" si="30"/>
        <v>04</v>
      </c>
      <c r="B663" s="7" t="str">
        <f t="shared" si="31"/>
        <v>032</v>
      </c>
      <c r="C663" s="7" t="str">
        <f t="shared" si="32"/>
        <v>Florencio Varela</v>
      </c>
      <c r="D663" s="18" t="s">
        <v>3607</v>
      </c>
      <c r="E663" s="18">
        <v>1</v>
      </c>
      <c r="F663" s="18">
        <v>20</v>
      </c>
      <c r="G663" s="18">
        <v>4</v>
      </c>
      <c r="H663" s="18" t="s">
        <v>816</v>
      </c>
    </row>
    <row r="664" spans="1:8">
      <c r="A664" s="7" t="str">
        <f t="shared" si="30"/>
        <v>04</v>
      </c>
      <c r="B664" s="7" t="str">
        <f t="shared" si="31"/>
        <v>032</v>
      </c>
      <c r="C664" s="7" t="str">
        <f t="shared" si="32"/>
        <v>Florencio Varela</v>
      </c>
      <c r="D664" s="18" t="s">
        <v>3608</v>
      </c>
      <c r="E664" s="18">
        <v>3</v>
      </c>
      <c r="F664" s="18">
        <v>58</v>
      </c>
      <c r="G664" s="18">
        <v>4</v>
      </c>
      <c r="H664" s="18" t="s">
        <v>816</v>
      </c>
    </row>
    <row r="665" spans="1:8">
      <c r="A665" s="7" t="str">
        <f t="shared" si="30"/>
        <v>04</v>
      </c>
      <c r="B665" s="7" t="str">
        <f t="shared" si="31"/>
        <v>032</v>
      </c>
      <c r="C665" s="7" t="str">
        <f t="shared" si="32"/>
        <v>Florencio Varela</v>
      </c>
      <c r="D665" s="18" t="s">
        <v>3609</v>
      </c>
      <c r="E665" s="18">
        <v>3</v>
      </c>
      <c r="F665" s="18">
        <v>58</v>
      </c>
      <c r="G665" s="18">
        <v>4</v>
      </c>
      <c r="H665" s="18" t="s">
        <v>816</v>
      </c>
    </row>
    <row r="666" spans="1:8">
      <c r="A666" s="7" t="str">
        <f t="shared" si="30"/>
        <v>04</v>
      </c>
      <c r="B666" s="7" t="str">
        <f t="shared" si="31"/>
        <v>032</v>
      </c>
      <c r="C666" s="7" t="str">
        <f t="shared" si="32"/>
        <v>Florencio Varela</v>
      </c>
      <c r="D666" s="18" t="s">
        <v>3610</v>
      </c>
      <c r="E666" s="18">
        <v>1</v>
      </c>
      <c r="F666" s="18">
        <v>0</v>
      </c>
      <c r="G666" s="18">
        <v>4</v>
      </c>
      <c r="H666" s="18" t="s">
        <v>816</v>
      </c>
    </row>
    <row r="667" spans="1:8">
      <c r="A667" s="7" t="str">
        <f t="shared" si="30"/>
        <v>04</v>
      </c>
      <c r="B667" s="7" t="str">
        <f t="shared" si="31"/>
        <v>032</v>
      </c>
      <c r="C667" s="7" t="str">
        <f t="shared" si="32"/>
        <v>Florencio Varela</v>
      </c>
      <c r="D667" s="18" t="s">
        <v>3611</v>
      </c>
      <c r="E667" s="18">
        <v>1</v>
      </c>
      <c r="F667" s="18">
        <v>19</v>
      </c>
      <c r="G667" s="18">
        <v>4</v>
      </c>
      <c r="H667" s="18" t="s">
        <v>816</v>
      </c>
    </row>
    <row r="668" spans="1:8">
      <c r="A668" s="7" t="str">
        <f t="shared" si="30"/>
        <v>04</v>
      </c>
      <c r="B668" s="7" t="str">
        <f t="shared" si="31"/>
        <v>032</v>
      </c>
      <c r="C668" s="7" t="str">
        <f t="shared" si="32"/>
        <v>Florencio Varela</v>
      </c>
      <c r="D668" s="18" t="s">
        <v>3612</v>
      </c>
      <c r="E668" s="18">
        <v>1</v>
      </c>
      <c r="F668" s="18">
        <v>19</v>
      </c>
      <c r="G668" s="18">
        <v>4</v>
      </c>
      <c r="H668" s="18" t="s">
        <v>816</v>
      </c>
    </row>
    <row r="669" spans="1:8">
      <c r="A669" s="7" t="str">
        <f t="shared" si="30"/>
        <v>04</v>
      </c>
      <c r="B669" s="7" t="str">
        <f t="shared" si="31"/>
        <v>032</v>
      </c>
      <c r="C669" s="7" t="str">
        <f t="shared" si="32"/>
        <v>Florencio Varela</v>
      </c>
      <c r="D669" s="18" t="s">
        <v>3613</v>
      </c>
      <c r="E669" s="18">
        <v>2</v>
      </c>
      <c r="F669" s="18">
        <v>68</v>
      </c>
      <c r="G669" s="18">
        <v>4</v>
      </c>
      <c r="H669" s="18" t="s">
        <v>816</v>
      </c>
    </row>
    <row r="670" spans="1:8">
      <c r="A670" s="7" t="str">
        <f t="shared" si="30"/>
        <v>04</v>
      </c>
      <c r="B670" s="7" t="str">
        <f t="shared" si="31"/>
        <v>032</v>
      </c>
      <c r="C670" s="7" t="str">
        <f t="shared" si="32"/>
        <v>Florencio Varela</v>
      </c>
      <c r="D670" s="18" t="s">
        <v>3614</v>
      </c>
      <c r="E670" s="18">
        <v>1</v>
      </c>
      <c r="F670" s="18">
        <v>17</v>
      </c>
      <c r="G670" s="18">
        <v>4</v>
      </c>
      <c r="H670" s="18" t="s">
        <v>816</v>
      </c>
    </row>
    <row r="671" spans="1:8">
      <c r="A671" s="7" t="str">
        <f t="shared" si="30"/>
        <v>04</v>
      </c>
      <c r="B671" s="7" t="str">
        <f t="shared" si="31"/>
        <v>032</v>
      </c>
      <c r="C671" s="7" t="str">
        <f t="shared" si="32"/>
        <v>Florencio Varela</v>
      </c>
      <c r="D671" s="18" t="s">
        <v>3615</v>
      </c>
      <c r="E671" s="18">
        <v>2</v>
      </c>
      <c r="F671" s="18">
        <v>45</v>
      </c>
      <c r="G671" s="18">
        <v>4</v>
      </c>
      <c r="H671" s="18" t="s">
        <v>816</v>
      </c>
    </row>
    <row r="672" spans="1:8">
      <c r="A672" s="7" t="str">
        <f t="shared" si="30"/>
        <v>04</v>
      </c>
      <c r="B672" s="7" t="str">
        <f t="shared" si="31"/>
        <v>032</v>
      </c>
      <c r="C672" s="7" t="str">
        <f t="shared" si="32"/>
        <v>Florencio Varela</v>
      </c>
      <c r="D672" s="18" t="s">
        <v>3616</v>
      </c>
      <c r="E672" s="18">
        <v>4</v>
      </c>
      <c r="F672" s="18">
        <v>147</v>
      </c>
      <c r="G672" s="18">
        <v>4</v>
      </c>
      <c r="H672" s="18" t="s">
        <v>816</v>
      </c>
    </row>
    <row r="673" spans="1:8">
      <c r="A673" s="7" t="str">
        <f t="shared" si="30"/>
        <v>04</v>
      </c>
      <c r="B673" s="7" t="str">
        <f t="shared" si="31"/>
        <v>032</v>
      </c>
      <c r="C673" s="7" t="str">
        <f t="shared" si="32"/>
        <v>Florencio Varela</v>
      </c>
      <c r="D673" s="18" t="s">
        <v>3617</v>
      </c>
      <c r="E673" s="18">
        <v>3</v>
      </c>
      <c r="F673" s="18">
        <v>56</v>
      </c>
      <c r="G673" s="18">
        <v>4</v>
      </c>
      <c r="H673" s="18" t="s">
        <v>816</v>
      </c>
    </row>
    <row r="674" spans="1:8">
      <c r="A674" s="7" t="str">
        <f t="shared" si="30"/>
        <v>04</v>
      </c>
      <c r="B674" s="7" t="str">
        <f t="shared" si="31"/>
        <v>032</v>
      </c>
      <c r="C674" s="7" t="str">
        <f t="shared" si="32"/>
        <v>Florencio Varela</v>
      </c>
      <c r="D674" s="18" t="s">
        <v>3618</v>
      </c>
      <c r="E674" s="18">
        <v>1</v>
      </c>
      <c r="F674" s="18">
        <v>16</v>
      </c>
      <c r="G674" s="18">
        <v>4</v>
      </c>
      <c r="H674" s="18" t="s">
        <v>816</v>
      </c>
    </row>
    <row r="675" spans="1:8">
      <c r="A675" s="7" t="str">
        <f t="shared" si="30"/>
        <v>04</v>
      </c>
      <c r="B675" s="7" t="str">
        <f t="shared" si="31"/>
        <v>032</v>
      </c>
      <c r="C675" s="7" t="str">
        <f t="shared" si="32"/>
        <v>Florencio Varela</v>
      </c>
      <c r="D675" s="18" t="s">
        <v>3619</v>
      </c>
      <c r="E675" s="18">
        <v>2</v>
      </c>
      <c r="F675" s="18">
        <v>40</v>
      </c>
      <c r="G675" s="18">
        <v>4</v>
      </c>
      <c r="H675" s="18" t="s">
        <v>816</v>
      </c>
    </row>
    <row r="676" spans="1:8">
      <c r="A676" s="7" t="str">
        <f t="shared" si="30"/>
        <v>04</v>
      </c>
      <c r="B676" s="7" t="str">
        <f t="shared" si="31"/>
        <v>032</v>
      </c>
      <c r="C676" s="7" t="str">
        <f t="shared" si="32"/>
        <v>Florencio Varela</v>
      </c>
      <c r="D676" s="18" t="s">
        <v>3620</v>
      </c>
      <c r="E676" s="18">
        <v>1</v>
      </c>
      <c r="F676" s="18">
        <v>16</v>
      </c>
      <c r="G676" s="18">
        <v>4</v>
      </c>
      <c r="H676" s="18" t="s">
        <v>816</v>
      </c>
    </row>
    <row r="677" spans="1:8">
      <c r="A677" s="7" t="str">
        <f t="shared" si="30"/>
        <v>04</v>
      </c>
      <c r="B677" s="7" t="str">
        <f t="shared" si="31"/>
        <v>032</v>
      </c>
      <c r="C677" s="7" t="str">
        <f t="shared" si="32"/>
        <v>Florencio Varela</v>
      </c>
      <c r="D677" s="18" t="s">
        <v>3621</v>
      </c>
      <c r="E677" s="18">
        <v>1</v>
      </c>
      <c r="F677" s="18">
        <v>22</v>
      </c>
      <c r="G677" s="18">
        <v>4</v>
      </c>
      <c r="H677" s="18" t="s">
        <v>816</v>
      </c>
    </row>
    <row r="678" spans="1:8">
      <c r="A678" s="7" t="str">
        <f t="shared" si="30"/>
        <v>04</v>
      </c>
      <c r="B678" s="7" t="str">
        <f t="shared" si="31"/>
        <v>032</v>
      </c>
      <c r="C678" s="7" t="str">
        <f t="shared" si="32"/>
        <v>Florencio Varela</v>
      </c>
      <c r="D678" s="18" t="s">
        <v>3622</v>
      </c>
      <c r="E678" s="18">
        <v>1</v>
      </c>
      <c r="F678" s="18">
        <v>31</v>
      </c>
      <c r="G678" s="18">
        <v>4</v>
      </c>
      <c r="H678" s="18" t="s">
        <v>816</v>
      </c>
    </row>
    <row r="679" spans="1:8">
      <c r="A679" s="7" t="str">
        <f t="shared" si="30"/>
        <v>04</v>
      </c>
      <c r="B679" s="7" t="str">
        <f t="shared" si="31"/>
        <v>032</v>
      </c>
      <c r="C679" s="7" t="str">
        <f t="shared" si="32"/>
        <v>Florencio Varela</v>
      </c>
      <c r="D679" s="18" t="s">
        <v>3623</v>
      </c>
      <c r="E679" s="18">
        <v>1</v>
      </c>
      <c r="F679" s="18">
        <v>22</v>
      </c>
      <c r="G679" s="18">
        <v>4</v>
      </c>
      <c r="H679" s="18" t="s">
        <v>816</v>
      </c>
    </row>
    <row r="680" spans="1:8">
      <c r="A680" s="7" t="str">
        <f t="shared" si="30"/>
        <v>04</v>
      </c>
      <c r="B680" s="7" t="str">
        <f t="shared" si="31"/>
        <v>032</v>
      </c>
      <c r="C680" s="7" t="str">
        <f t="shared" si="32"/>
        <v>Florencio Varela</v>
      </c>
      <c r="D680" s="18" t="s">
        <v>3624</v>
      </c>
      <c r="E680" s="18">
        <v>2</v>
      </c>
      <c r="F680" s="18">
        <v>43</v>
      </c>
      <c r="G680" s="18">
        <v>4</v>
      </c>
      <c r="H680" s="18" t="s">
        <v>816</v>
      </c>
    </row>
    <row r="681" spans="1:8">
      <c r="A681" s="7" t="str">
        <f t="shared" si="30"/>
        <v>04</v>
      </c>
      <c r="B681" s="7" t="str">
        <f t="shared" si="31"/>
        <v>032</v>
      </c>
      <c r="C681" s="7" t="str">
        <f t="shared" si="32"/>
        <v>Florencio Varela</v>
      </c>
      <c r="D681" s="18" t="s">
        <v>3625</v>
      </c>
      <c r="E681" s="18">
        <v>1</v>
      </c>
      <c r="F681" s="18">
        <v>21</v>
      </c>
      <c r="G681" s="18">
        <v>4</v>
      </c>
      <c r="H681" s="18" t="s">
        <v>816</v>
      </c>
    </row>
    <row r="682" spans="1:8">
      <c r="A682" s="7" t="str">
        <f t="shared" si="30"/>
        <v>04</v>
      </c>
      <c r="B682" s="7" t="str">
        <f t="shared" si="31"/>
        <v>032</v>
      </c>
      <c r="C682" s="7" t="str">
        <f t="shared" si="32"/>
        <v>Florencio Varela</v>
      </c>
      <c r="D682" s="18" t="s">
        <v>3626</v>
      </c>
      <c r="E682" s="18">
        <v>5</v>
      </c>
      <c r="F682" s="18">
        <v>139</v>
      </c>
      <c r="G682" s="18">
        <v>4</v>
      </c>
      <c r="H682" s="18" t="s">
        <v>816</v>
      </c>
    </row>
    <row r="683" spans="1:8">
      <c r="A683" s="7" t="str">
        <f t="shared" si="30"/>
        <v>04</v>
      </c>
      <c r="B683" s="7" t="str">
        <f t="shared" si="31"/>
        <v>032</v>
      </c>
      <c r="C683" s="7" t="str">
        <f t="shared" si="32"/>
        <v>Florencio Varela</v>
      </c>
      <c r="D683" s="18" t="s">
        <v>3627</v>
      </c>
      <c r="E683" s="18">
        <v>1</v>
      </c>
      <c r="F683" s="18">
        <v>10</v>
      </c>
      <c r="G683" s="18">
        <v>4</v>
      </c>
      <c r="H683" s="18" t="s">
        <v>816</v>
      </c>
    </row>
    <row r="684" spans="1:8">
      <c r="A684" s="7" t="str">
        <f t="shared" si="30"/>
        <v>04</v>
      </c>
      <c r="B684" s="7" t="str">
        <f t="shared" si="31"/>
        <v>032</v>
      </c>
      <c r="C684" s="7" t="str">
        <f t="shared" si="32"/>
        <v>Florencio Varela</v>
      </c>
      <c r="D684" s="18" t="s">
        <v>3628</v>
      </c>
      <c r="E684" s="18">
        <v>7</v>
      </c>
      <c r="F684" s="18">
        <v>167</v>
      </c>
      <c r="G684" s="18">
        <v>4</v>
      </c>
      <c r="H684" s="18" t="s">
        <v>816</v>
      </c>
    </row>
    <row r="685" spans="1:8">
      <c r="A685" s="7" t="str">
        <f t="shared" si="30"/>
        <v>04</v>
      </c>
      <c r="B685" s="7" t="str">
        <f t="shared" si="31"/>
        <v>032</v>
      </c>
      <c r="C685" s="7" t="str">
        <f t="shared" si="32"/>
        <v>Florencio Varela</v>
      </c>
      <c r="D685" s="18" t="s">
        <v>3629</v>
      </c>
      <c r="E685" s="18">
        <v>2</v>
      </c>
      <c r="F685" s="18">
        <v>0</v>
      </c>
      <c r="G685" s="18">
        <v>4</v>
      </c>
      <c r="H685" s="18" t="s">
        <v>816</v>
      </c>
    </row>
    <row r="686" spans="1:8">
      <c r="A686" s="7" t="str">
        <f t="shared" si="30"/>
        <v>04</v>
      </c>
      <c r="B686" s="7" t="str">
        <f t="shared" si="31"/>
        <v>032</v>
      </c>
      <c r="C686" s="7" t="str">
        <f t="shared" si="32"/>
        <v>Florencio Varela</v>
      </c>
      <c r="D686" s="18" t="s">
        <v>3630</v>
      </c>
      <c r="E686" s="18">
        <v>1</v>
      </c>
      <c r="F686" s="18">
        <v>19</v>
      </c>
      <c r="G686" s="18">
        <v>4</v>
      </c>
      <c r="H686" s="18" t="s">
        <v>816</v>
      </c>
    </row>
    <row r="687" spans="1:8">
      <c r="A687" s="7" t="str">
        <f t="shared" si="30"/>
        <v>04</v>
      </c>
      <c r="B687" s="7" t="str">
        <f t="shared" si="31"/>
        <v>032</v>
      </c>
      <c r="C687" s="7" t="str">
        <f t="shared" si="32"/>
        <v>Florencio Varela</v>
      </c>
      <c r="D687" s="18" t="s">
        <v>3631</v>
      </c>
      <c r="E687" s="18">
        <v>2</v>
      </c>
      <c r="F687" s="18">
        <v>52</v>
      </c>
      <c r="G687" s="18">
        <v>4</v>
      </c>
      <c r="H687" s="18" t="s">
        <v>816</v>
      </c>
    </row>
    <row r="688" spans="1:8">
      <c r="A688" s="7" t="str">
        <f t="shared" si="30"/>
        <v>04</v>
      </c>
      <c r="B688" s="7" t="str">
        <f t="shared" si="31"/>
        <v>032</v>
      </c>
      <c r="C688" s="7" t="str">
        <f t="shared" si="32"/>
        <v>Florencio Varela</v>
      </c>
      <c r="D688" s="18" t="s">
        <v>3632</v>
      </c>
      <c r="E688" s="18">
        <v>1</v>
      </c>
      <c r="F688" s="18">
        <v>17</v>
      </c>
      <c r="G688" s="18">
        <v>4</v>
      </c>
      <c r="H688" s="18" t="s">
        <v>816</v>
      </c>
    </row>
    <row r="689" spans="1:8">
      <c r="A689" s="7" t="str">
        <f t="shared" si="30"/>
        <v>04</v>
      </c>
      <c r="B689" s="7" t="str">
        <f t="shared" si="31"/>
        <v>032</v>
      </c>
      <c r="C689" s="7" t="str">
        <f t="shared" si="32"/>
        <v>Florencio Varela</v>
      </c>
      <c r="D689" s="18" t="s">
        <v>3633</v>
      </c>
      <c r="E689" s="18">
        <v>2</v>
      </c>
      <c r="F689" s="18">
        <v>40</v>
      </c>
      <c r="G689" s="18">
        <v>4</v>
      </c>
      <c r="H689" s="18" t="s">
        <v>816</v>
      </c>
    </row>
    <row r="690" spans="1:8">
      <c r="A690" s="7" t="str">
        <f t="shared" si="30"/>
        <v>04</v>
      </c>
      <c r="B690" s="7" t="str">
        <f t="shared" si="31"/>
        <v>032</v>
      </c>
      <c r="C690" s="7" t="str">
        <f t="shared" si="32"/>
        <v>Florencio Varela</v>
      </c>
      <c r="D690" s="18" t="s">
        <v>3634</v>
      </c>
      <c r="E690" s="18">
        <v>1</v>
      </c>
      <c r="F690" s="18">
        <v>0</v>
      </c>
      <c r="G690" s="18">
        <v>4</v>
      </c>
      <c r="H690" s="18" t="s">
        <v>816</v>
      </c>
    </row>
    <row r="691" spans="1:8">
      <c r="A691" s="7" t="str">
        <f t="shared" si="30"/>
        <v>04</v>
      </c>
      <c r="B691" s="7" t="str">
        <f t="shared" si="31"/>
        <v>032</v>
      </c>
      <c r="C691" s="7" t="str">
        <f t="shared" si="32"/>
        <v>Florencio Varela</v>
      </c>
      <c r="D691" s="18" t="s">
        <v>3635</v>
      </c>
      <c r="E691" s="18">
        <v>1</v>
      </c>
      <c r="F691" s="18">
        <v>17</v>
      </c>
      <c r="G691" s="18">
        <v>4</v>
      </c>
      <c r="H691" s="18" t="s">
        <v>816</v>
      </c>
    </row>
    <row r="692" spans="1:8">
      <c r="A692" s="7" t="str">
        <f t="shared" si="30"/>
        <v>04</v>
      </c>
      <c r="B692" s="7" t="str">
        <f t="shared" si="31"/>
        <v>032</v>
      </c>
      <c r="C692" s="7" t="str">
        <f t="shared" si="32"/>
        <v>Florencio Varela</v>
      </c>
      <c r="D692" s="18" t="s">
        <v>3636</v>
      </c>
      <c r="E692" s="18">
        <v>1</v>
      </c>
      <c r="F692" s="18">
        <v>0</v>
      </c>
      <c r="G692" s="18">
        <v>4</v>
      </c>
      <c r="H692" s="18" t="s">
        <v>816</v>
      </c>
    </row>
    <row r="693" spans="1:8">
      <c r="A693" s="7" t="str">
        <f t="shared" si="30"/>
        <v>04</v>
      </c>
      <c r="B693" s="7" t="str">
        <f t="shared" si="31"/>
        <v>032</v>
      </c>
      <c r="C693" s="7" t="str">
        <f t="shared" si="32"/>
        <v>Florencio Varela</v>
      </c>
      <c r="D693" s="18" t="s">
        <v>3637</v>
      </c>
      <c r="E693" s="18">
        <v>2</v>
      </c>
      <c r="F693" s="18">
        <v>40</v>
      </c>
      <c r="G693" s="18">
        <v>4</v>
      </c>
      <c r="H693" s="18" t="s">
        <v>816</v>
      </c>
    </row>
    <row r="694" spans="1:8">
      <c r="A694" s="7" t="str">
        <f t="shared" si="30"/>
        <v>04</v>
      </c>
      <c r="B694" s="7" t="str">
        <f t="shared" si="31"/>
        <v>032</v>
      </c>
      <c r="C694" s="7" t="str">
        <f t="shared" si="32"/>
        <v>Florencio Varela</v>
      </c>
      <c r="D694" s="18" t="s">
        <v>3638</v>
      </c>
      <c r="E694" s="18">
        <v>1</v>
      </c>
      <c r="F694" s="18">
        <v>10</v>
      </c>
      <c r="G694" s="18">
        <v>4</v>
      </c>
      <c r="H694" s="18" t="s">
        <v>816</v>
      </c>
    </row>
    <row r="695" spans="1:8">
      <c r="A695" s="7" t="str">
        <f t="shared" si="30"/>
        <v>04</v>
      </c>
      <c r="B695" s="7" t="str">
        <f t="shared" si="31"/>
        <v>032</v>
      </c>
      <c r="C695" s="7" t="str">
        <f t="shared" si="32"/>
        <v>Florencio Varela</v>
      </c>
      <c r="D695" s="18" t="s">
        <v>3639</v>
      </c>
      <c r="E695" s="18">
        <v>4</v>
      </c>
      <c r="F695" s="18">
        <v>109</v>
      </c>
      <c r="G695" s="18">
        <v>4</v>
      </c>
      <c r="H695" s="18" t="s">
        <v>816</v>
      </c>
    </row>
    <row r="696" spans="1:8">
      <c r="A696" s="7" t="str">
        <f t="shared" si="30"/>
        <v>04</v>
      </c>
      <c r="B696" s="7" t="str">
        <f t="shared" si="31"/>
        <v>032</v>
      </c>
      <c r="C696" s="7" t="str">
        <f t="shared" si="32"/>
        <v>Florencio Varela</v>
      </c>
      <c r="D696" s="18" t="s">
        <v>2058</v>
      </c>
      <c r="E696" s="18">
        <v>1</v>
      </c>
      <c r="F696" s="18">
        <v>18</v>
      </c>
      <c r="G696" s="18">
        <v>4</v>
      </c>
      <c r="H696" s="18" t="s">
        <v>816</v>
      </c>
    </row>
    <row r="697" spans="1:8">
      <c r="A697" s="7" t="str">
        <f t="shared" si="30"/>
        <v>04</v>
      </c>
      <c r="B697" s="7" t="str">
        <f t="shared" si="31"/>
        <v>032</v>
      </c>
      <c r="C697" s="7" t="str">
        <f t="shared" si="32"/>
        <v>Florencio Varela</v>
      </c>
      <c r="D697" s="18" t="s">
        <v>3640</v>
      </c>
      <c r="E697" s="18">
        <v>1</v>
      </c>
      <c r="F697" s="18">
        <v>0</v>
      </c>
      <c r="G697" s="18">
        <v>4</v>
      </c>
      <c r="H697" s="18" t="s">
        <v>816</v>
      </c>
    </row>
    <row r="698" spans="1:8">
      <c r="A698" s="7" t="str">
        <f t="shared" si="30"/>
        <v>04</v>
      </c>
      <c r="B698" s="7" t="str">
        <f t="shared" si="31"/>
        <v>032</v>
      </c>
      <c r="C698" s="7" t="str">
        <f t="shared" si="32"/>
        <v>Florencio Varela</v>
      </c>
      <c r="D698" s="18" t="s">
        <v>3641</v>
      </c>
      <c r="E698" s="18">
        <v>1</v>
      </c>
      <c r="F698" s="18">
        <v>17</v>
      </c>
      <c r="G698" s="18">
        <v>4</v>
      </c>
      <c r="H698" s="18" t="s">
        <v>816</v>
      </c>
    </row>
    <row r="699" spans="1:8">
      <c r="A699" s="7" t="str">
        <f t="shared" si="30"/>
        <v>04</v>
      </c>
      <c r="B699" s="7" t="str">
        <f t="shared" si="31"/>
        <v>032</v>
      </c>
      <c r="C699" s="7" t="str">
        <f t="shared" si="32"/>
        <v>Florencio Varela</v>
      </c>
      <c r="D699" s="18" t="s">
        <v>3642</v>
      </c>
      <c r="E699" s="18">
        <v>1</v>
      </c>
      <c r="F699" s="18">
        <v>22</v>
      </c>
      <c r="G699" s="18">
        <v>4</v>
      </c>
      <c r="H699" s="18" t="s">
        <v>816</v>
      </c>
    </row>
    <row r="700" spans="1:8">
      <c r="A700" s="7" t="str">
        <f t="shared" si="30"/>
        <v>04</v>
      </c>
      <c r="B700" s="7" t="str">
        <f t="shared" si="31"/>
        <v>032</v>
      </c>
      <c r="C700" s="7" t="str">
        <f t="shared" si="32"/>
        <v>Florencio Varela</v>
      </c>
      <c r="D700" s="18" t="s">
        <v>3643</v>
      </c>
      <c r="E700" s="18">
        <v>11</v>
      </c>
      <c r="F700" s="18">
        <v>234</v>
      </c>
      <c r="G700" s="18">
        <v>4</v>
      </c>
      <c r="H700" s="18" t="s">
        <v>816</v>
      </c>
    </row>
    <row r="701" spans="1:8">
      <c r="A701" s="7" t="str">
        <f t="shared" si="30"/>
        <v>04</v>
      </c>
      <c r="B701" s="7" t="str">
        <f t="shared" si="31"/>
        <v>032</v>
      </c>
      <c r="C701" s="7" t="str">
        <f t="shared" si="32"/>
        <v>Florencio Varela</v>
      </c>
      <c r="D701" s="18" t="s">
        <v>3644</v>
      </c>
      <c r="E701" s="18">
        <v>1</v>
      </c>
      <c r="F701" s="18">
        <v>12</v>
      </c>
      <c r="G701" s="18">
        <v>4</v>
      </c>
      <c r="H701" s="18" t="s">
        <v>816</v>
      </c>
    </row>
    <row r="702" spans="1:8">
      <c r="A702" s="7" t="str">
        <f t="shared" si="30"/>
        <v>04</v>
      </c>
      <c r="B702" s="7" t="str">
        <f t="shared" si="31"/>
        <v>032</v>
      </c>
      <c r="C702" s="7" t="str">
        <f t="shared" si="32"/>
        <v>Florencio Varela</v>
      </c>
      <c r="D702" s="18" t="s">
        <v>3645</v>
      </c>
      <c r="E702" s="18">
        <v>2</v>
      </c>
      <c r="F702" s="18">
        <v>10</v>
      </c>
      <c r="G702" s="18">
        <v>4</v>
      </c>
      <c r="H702" s="18" t="s">
        <v>816</v>
      </c>
    </row>
    <row r="703" spans="1:8">
      <c r="A703" s="7" t="str">
        <f t="shared" si="30"/>
        <v>04</v>
      </c>
      <c r="B703" s="7" t="str">
        <f t="shared" si="31"/>
        <v>032</v>
      </c>
      <c r="C703" s="7" t="str">
        <f t="shared" si="32"/>
        <v>Florencio Varela</v>
      </c>
      <c r="D703" s="18" t="s">
        <v>3646</v>
      </c>
      <c r="E703" s="18">
        <v>2</v>
      </c>
      <c r="F703" s="18">
        <v>37</v>
      </c>
      <c r="G703" s="18">
        <v>4</v>
      </c>
      <c r="H703" s="18" t="s">
        <v>816</v>
      </c>
    </row>
    <row r="704" spans="1:8">
      <c r="A704" s="7" t="str">
        <f t="shared" si="30"/>
        <v>04</v>
      </c>
      <c r="B704" s="7" t="str">
        <f t="shared" si="31"/>
        <v>032</v>
      </c>
      <c r="C704" s="7" t="str">
        <f t="shared" si="32"/>
        <v>Florencio Varela</v>
      </c>
      <c r="D704" s="18" t="s">
        <v>3647</v>
      </c>
      <c r="E704" s="18">
        <v>1</v>
      </c>
      <c r="F704" s="18">
        <v>15</v>
      </c>
      <c r="G704" s="18">
        <v>4</v>
      </c>
      <c r="H704" s="18" t="s">
        <v>816</v>
      </c>
    </row>
    <row r="705" spans="1:8">
      <c r="A705" s="7" t="str">
        <f t="shared" si="30"/>
        <v>04</v>
      </c>
      <c r="B705" s="7" t="str">
        <f t="shared" si="31"/>
        <v>032</v>
      </c>
      <c r="C705" s="7" t="str">
        <f t="shared" si="32"/>
        <v>Florencio Varela</v>
      </c>
      <c r="D705" s="18" t="s">
        <v>3648</v>
      </c>
      <c r="E705" s="18">
        <v>2</v>
      </c>
      <c r="F705" s="18">
        <v>36</v>
      </c>
      <c r="G705" s="18">
        <v>4</v>
      </c>
      <c r="H705" s="18" t="s">
        <v>816</v>
      </c>
    </row>
    <row r="706" spans="1:8">
      <c r="A706" s="7" t="str">
        <f t="shared" si="30"/>
        <v>04</v>
      </c>
      <c r="B706" s="7" t="str">
        <f t="shared" si="31"/>
        <v>032</v>
      </c>
      <c r="C706" s="7" t="str">
        <f t="shared" si="32"/>
        <v>Florencio Varela</v>
      </c>
      <c r="D706" s="18" t="s">
        <v>3649</v>
      </c>
      <c r="E706" s="18">
        <v>3</v>
      </c>
      <c r="F706" s="18">
        <v>68</v>
      </c>
      <c r="G706" s="18">
        <v>4</v>
      </c>
      <c r="H706" s="18" t="s">
        <v>816</v>
      </c>
    </row>
    <row r="707" spans="1:8">
      <c r="A707" s="7" t="str">
        <f t="shared" ref="A707:A770" si="33">+VLOOKUP(H707,$K:$N,2,FALSE)</f>
        <v>04</v>
      </c>
      <c r="B707" s="7" t="str">
        <f t="shared" ref="B707:B770" si="34">+VLOOKUP(H707,$K:$N,3,FALSE)</f>
        <v>032</v>
      </c>
      <c r="C707" s="7" t="str">
        <f t="shared" ref="C707:C770" si="35">+VLOOKUP(H707,$K:$N,4,FALSE)</f>
        <v>Florencio Varela</v>
      </c>
      <c r="D707" s="18" t="s">
        <v>3650</v>
      </c>
      <c r="E707" s="18">
        <v>2</v>
      </c>
      <c r="F707" s="18">
        <v>40</v>
      </c>
      <c r="G707" s="18">
        <v>4</v>
      </c>
      <c r="H707" s="18" t="s">
        <v>816</v>
      </c>
    </row>
    <row r="708" spans="1:8">
      <c r="A708" s="7" t="str">
        <f t="shared" si="33"/>
        <v>04</v>
      </c>
      <c r="B708" s="7" t="str">
        <f t="shared" si="34"/>
        <v>032</v>
      </c>
      <c r="C708" s="7" t="str">
        <f t="shared" si="35"/>
        <v>Florencio Varela</v>
      </c>
      <c r="D708" s="18" t="s">
        <v>3651</v>
      </c>
      <c r="E708" s="18">
        <v>1</v>
      </c>
      <c r="F708" s="18">
        <v>11</v>
      </c>
      <c r="G708" s="18">
        <v>4</v>
      </c>
      <c r="H708" s="18" t="s">
        <v>816</v>
      </c>
    </row>
    <row r="709" spans="1:8">
      <c r="A709" s="7" t="str">
        <f t="shared" si="33"/>
        <v>04</v>
      </c>
      <c r="B709" s="7" t="str">
        <f t="shared" si="34"/>
        <v>032</v>
      </c>
      <c r="C709" s="7" t="str">
        <f t="shared" si="35"/>
        <v>Florencio Varela</v>
      </c>
      <c r="D709" s="18" t="s">
        <v>3652</v>
      </c>
      <c r="E709" s="18">
        <v>2</v>
      </c>
      <c r="F709" s="18">
        <v>30</v>
      </c>
      <c r="G709" s="18">
        <v>4</v>
      </c>
      <c r="H709" s="18" t="s">
        <v>816</v>
      </c>
    </row>
    <row r="710" spans="1:8">
      <c r="A710" s="7" t="str">
        <f t="shared" si="33"/>
        <v>04</v>
      </c>
      <c r="B710" s="7" t="str">
        <f t="shared" si="34"/>
        <v>032</v>
      </c>
      <c r="C710" s="7" t="str">
        <f t="shared" si="35"/>
        <v>Florencio Varela</v>
      </c>
      <c r="D710" s="18" t="s">
        <v>3653</v>
      </c>
      <c r="E710" s="18">
        <v>2</v>
      </c>
      <c r="F710" s="18">
        <v>69</v>
      </c>
      <c r="G710" s="18">
        <v>4</v>
      </c>
      <c r="H710" s="18" t="s">
        <v>816</v>
      </c>
    </row>
    <row r="711" spans="1:8">
      <c r="A711" s="7" t="str">
        <f t="shared" si="33"/>
        <v>04</v>
      </c>
      <c r="B711" s="7" t="str">
        <f t="shared" si="34"/>
        <v>032</v>
      </c>
      <c r="C711" s="7" t="str">
        <f t="shared" si="35"/>
        <v>Florencio Varela</v>
      </c>
      <c r="D711" s="18" t="s">
        <v>3654</v>
      </c>
      <c r="E711" s="18">
        <v>1</v>
      </c>
      <c r="F711" s="18">
        <v>21</v>
      </c>
      <c r="G711" s="18">
        <v>4</v>
      </c>
      <c r="H711" s="18" t="s">
        <v>816</v>
      </c>
    </row>
    <row r="712" spans="1:8">
      <c r="A712" s="7" t="str">
        <f t="shared" si="33"/>
        <v>04</v>
      </c>
      <c r="B712" s="7" t="str">
        <f t="shared" si="34"/>
        <v>032</v>
      </c>
      <c r="C712" s="7" t="str">
        <f t="shared" si="35"/>
        <v>Florencio Varela</v>
      </c>
      <c r="D712" s="18" t="s">
        <v>3655</v>
      </c>
      <c r="E712" s="18">
        <v>1</v>
      </c>
      <c r="F712" s="18">
        <v>17</v>
      </c>
      <c r="G712" s="18">
        <v>4</v>
      </c>
      <c r="H712" s="18" t="s">
        <v>816</v>
      </c>
    </row>
    <row r="713" spans="1:8">
      <c r="A713" s="7" t="str">
        <f t="shared" si="33"/>
        <v>04</v>
      </c>
      <c r="B713" s="7" t="str">
        <f t="shared" si="34"/>
        <v>032</v>
      </c>
      <c r="C713" s="7" t="str">
        <f t="shared" si="35"/>
        <v>Florencio Varela</v>
      </c>
      <c r="D713" s="18" t="s">
        <v>874</v>
      </c>
      <c r="E713" s="18">
        <v>1</v>
      </c>
      <c r="F713" s="18">
        <v>22</v>
      </c>
      <c r="G713" s="18">
        <v>4</v>
      </c>
      <c r="H713" s="18" t="s">
        <v>816</v>
      </c>
    </row>
    <row r="714" spans="1:8">
      <c r="A714" s="7" t="str">
        <f t="shared" si="33"/>
        <v>04</v>
      </c>
      <c r="B714" s="7" t="str">
        <f t="shared" si="34"/>
        <v>032</v>
      </c>
      <c r="C714" s="7" t="str">
        <f t="shared" si="35"/>
        <v>Florencio Varela</v>
      </c>
      <c r="D714" s="18" t="s">
        <v>3656</v>
      </c>
      <c r="E714" s="18">
        <v>1</v>
      </c>
      <c r="F714" s="18">
        <v>22</v>
      </c>
      <c r="G714" s="18">
        <v>4</v>
      </c>
      <c r="H714" s="18" t="s">
        <v>816</v>
      </c>
    </row>
    <row r="715" spans="1:8">
      <c r="A715" s="7" t="str">
        <f t="shared" si="33"/>
        <v>04</v>
      </c>
      <c r="B715" s="7" t="str">
        <f t="shared" si="34"/>
        <v>032</v>
      </c>
      <c r="C715" s="7" t="str">
        <f t="shared" si="35"/>
        <v>Florencio Varela</v>
      </c>
      <c r="D715" s="18" t="s">
        <v>3657</v>
      </c>
      <c r="E715" s="18">
        <v>1</v>
      </c>
      <c r="F715" s="18">
        <v>19</v>
      </c>
      <c r="G715" s="18">
        <v>4</v>
      </c>
      <c r="H715" s="18" t="s">
        <v>816</v>
      </c>
    </row>
    <row r="716" spans="1:8">
      <c r="A716" s="7" t="str">
        <f t="shared" si="33"/>
        <v>04</v>
      </c>
      <c r="B716" s="7" t="str">
        <f t="shared" si="34"/>
        <v>032</v>
      </c>
      <c r="C716" s="7" t="str">
        <f t="shared" si="35"/>
        <v>Florencio Varela</v>
      </c>
      <c r="D716" s="18" t="s">
        <v>3658</v>
      </c>
      <c r="E716" s="18">
        <v>1</v>
      </c>
      <c r="F716" s="18">
        <v>14</v>
      </c>
      <c r="G716" s="18">
        <v>4</v>
      </c>
      <c r="H716" s="18" t="s">
        <v>816</v>
      </c>
    </row>
    <row r="717" spans="1:8">
      <c r="A717" s="7" t="str">
        <f t="shared" si="33"/>
        <v>04</v>
      </c>
      <c r="B717" s="7" t="str">
        <f t="shared" si="34"/>
        <v>032</v>
      </c>
      <c r="C717" s="7" t="str">
        <f t="shared" si="35"/>
        <v>Florencio Varela</v>
      </c>
      <c r="D717" s="18" t="s">
        <v>3659</v>
      </c>
      <c r="E717" s="18">
        <v>1</v>
      </c>
      <c r="F717" s="18">
        <v>0</v>
      </c>
      <c r="G717" s="18">
        <v>4</v>
      </c>
      <c r="H717" s="18" t="s">
        <v>816</v>
      </c>
    </row>
    <row r="718" spans="1:8">
      <c r="A718" s="7" t="str">
        <f t="shared" si="33"/>
        <v>04</v>
      </c>
      <c r="B718" s="7" t="str">
        <f t="shared" si="34"/>
        <v>032</v>
      </c>
      <c r="C718" s="7" t="str">
        <f t="shared" si="35"/>
        <v>Florencio Varela</v>
      </c>
      <c r="D718" s="18" t="s">
        <v>3660</v>
      </c>
      <c r="E718" s="18">
        <v>3</v>
      </c>
      <c r="F718" s="18">
        <v>81</v>
      </c>
      <c r="G718" s="18">
        <v>4</v>
      </c>
      <c r="H718" s="18" t="s">
        <v>816</v>
      </c>
    </row>
    <row r="719" spans="1:8">
      <c r="A719" s="7" t="str">
        <f t="shared" si="33"/>
        <v>04</v>
      </c>
      <c r="B719" s="7" t="str">
        <f t="shared" si="34"/>
        <v>032</v>
      </c>
      <c r="C719" s="7" t="str">
        <f t="shared" si="35"/>
        <v>Florencio Varela</v>
      </c>
      <c r="D719" s="18" t="s">
        <v>3661</v>
      </c>
      <c r="E719" s="18">
        <v>1</v>
      </c>
      <c r="F719" s="18">
        <v>0</v>
      </c>
      <c r="G719" s="18">
        <v>4</v>
      </c>
      <c r="H719" s="18" t="s">
        <v>816</v>
      </c>
    </row>
    <row r="720" spans="1:8">
      <c r="A720" s="7" t="str">
        <f t="shared" si="33"/>
        <v>04</v>
      </c>
      <c r="B720" s="7" t="str">
        <f t="shared" si="34"/>
        <v>032</v>
      </c>
      <c r="C720" s="7" t="str">
        <f t="shared" si="35"/>
        <v>Florencio Varela</v>
      </c>
      <c r="D720" s="18" t="s">
        <v>3662</v>
      </c>
      <c r="E720" s="18">
        <v>6</v>
      </c>
      <c r="F720" s="18">
        <v>258</v>
      </c>
      <c r="G720" s="18">
        <v>4</v>
      </c>
      <c r="H720" s="18" t="s">
        <v>816</v>
      </c>
    </row>
    <row r="721" spans="1:8">
      <c r="A721" s="7" t="str">
        <f t="shared" si="33"/>
        <v>04</v>
      </c>
      <c r="B721" s="7" t="str">
        <f t="shared" si="34"/>
        <v>032</v>
      </c>
      <c r="C721" s="7" t="str">
        <f t="shared" si="35"/>
        <v>Florencio Varela</v>
      </c>
      <c r="D721" s="18" t="s">
        <v>3663</v>
      </c>
      <c r="E721" s="18">
        <v>1</v>
      </c>
      <c r="F721" s="18">
        <v>14</v>
      </c>
      <c r="G721" s="18">
        <v>4</v>
      </c>
      <c r="H721" s="18" t="s">
        <v>816</v>
      </c>
    </row>
    <row r="722" spans="1:8">
      <c r="A722" s="7" t="str">
        <f t="shared" si="33"/>
        <v>04</v>
      </c>
      <c r="B722" s="7" t="str">
        <f t="shared" si="34"/>
        <v>032</v>
      </c>
      <c r="C722" s="7" t="str">
        <f t="shared" si="35"/>
        <v>Florencio Varela</v>
      </c>
      <c r="D722" s="18" t="s">
        <v>3664</v>
      </c>
      <c r="E722" s="18">
        <v>1</v>
      </c>
      <c r="F722" s="18">
        <v>0</v>
      </c>
      <c r="G722" s="18">
        <v>4</v>
      </c>
      <c r="H722" s="18" t="s">
        <v>816</v>
      </c>
    </row>
    <row r="723" spans="1:8">
      <c r="A723" s="7" t="str">
        <f t="shared" si="33"/>
        <v>04</v>
      </c>
      <c r="B723" s="7" t="str">
        <f t="shared" si="34"/>
        <v>032</v>
      </c>
      <c r="C723" s="7" t="str">
        <f t="shared" si="35"/>
        <v>Florencio Varela</v>
      </c>
      <c r="D723" s="18" t="s">
        <v>3665</v>
      </c>
      <c r="E723" s="18">
        <v>1</v>
      </c>
      <c r="F723" s="18">
        <v>18</v>
      </c>
      <c r="G723" s="18">
        <v>4</v>
      </c>
      <c r="H723" s="18" t="s">
        <v>816</v>
      </c>
    </row>
    <row r="724" spans="1:8">
      <c r="A724" s="7" t="str">
        <f t="shared" si="33"/>
        <v>04</v>
      </c>
      <c r="B724" s="7" t="str">
        <f t="shared" si="34"/>
        <v>032</v>
      </c>
      <c r="C724" s="7" t="str">
        <f t="shared" si="35"/>
        <v>Florencio Varela</v>
      </c>
      <c r="D724" s="18" t="s">
        <v>3666</v>
      </c>
      <c r="E724" s="18">
        <v>1</v>
      </c>
      <c r="F724" s="18">
        <v>20</v>
      </c>
      <c r="G724" s="18">
        <v>4</v>
      </c>
      <c r="H724" s="18" t="s">
        <v>816</v>
      </c>
    </row>
    <row r="725" spans="1:8">
      <c r="A725" s="7" t="str">
        <f t="shared" si="33"/>
        <v>04</v>
      </c>
      <c r="B725" s="7" t="str">
        <f t="shared" si="34"/>
        <v>085</v>
      </c>
      <c r="C725" s="7" t="str">
        <f t="shared" si="35"/>
        <v>Quilmes</v>
      </c>
      <c r="D725" s="18" t="s">
        <v>3667</v>
      </c>
      <c r="E725" s="18">
        <v>2</v>
      </c>
      <c r="F725" s="18">
        <v>27</v>
      </c>
      <c r="G725" s="18">
        <v>4</v>
      </c>
      <c r="H725" s="18" t="s">
        <v>2081</v>
      </c>
    </row>
    <row r="726" spans="1:8">
      <c r="A726" s="7" t="str">
        <f t="shared" si="33"/>
        <v>04</v>
      </c>
      <c r="B726" s="7" t="str">
        <f t="shared" si="34"/>
        <v>085</v>
      </c>
      <c r="C726" s="7" t="str">
        <f t="shared" si="35"/>
        <v>Quilmes</v>
      </c>
      <c r="D726" s="18" t="s">
        <v>3668</v>
      </c>
      <c r="E726" s="18">
        <v>2</v>
      </c>
      <c r="F726" s="18">
        <v>42</v>
      </c>
      <c r="G726" s="18">
        <v>4</v>
      </c>
      <c r="H726" s="18" t="s">
        <v>2081</v>
      </c>
    </row>
    <row r="727" spans="1:8">
      <c r="A727" s="7" t="str">
        <f t="shared" si="33"/>
        <v>04</v>
      </c>
      <c r="B727" s="7" t="str">
        <f t="shared" si="34"/>
        <v>085</v>
      </c>
      <c r="C727" s="7" t="str">
        <f t="shared" si="35"/>
        <v>Quilmes</v>
      </c>
      <c r="D727" s="18" t="s">
        <v>3669</v>
      </c>
      <c r="E727" s="18">
        <v>1</v>
      </c>
      <c r="F727" s="18">
        <v>16</v>
      </c>
      <c r="G727" s="18">
        <v>4</v>
      </c>
      <c r="H727" s="18" t="s">
        <v>2081</v>
      </c>
    </row>
    <row r="728" spans="1:8">
      <c r="A728" s="7" t="str">
        <f t="shared" si="33"/>
        <v>04</v>
      </c>
      <c r="B728" s="7" t="str">
        <f t="shared" si="34"/>
        <v>085</v>
      </c>
      <c r="C728" s="7" t="str">
        <f t="shared" si="35"/>
        <v>Quilmes</v>
      </c>
      <c r="D728" s="18" t="s">
        <v>3670</v>
      </c>
      <c r="E728" s="18">
        <v>2</v>
      </c>
      <c r="F728" s="18">
        <v>24</v>
      </c>
      <c r="G728" s="18">
        <v>4</v>
      </c>
      <c r="H728" s="18" t="s">
        <v>2081</v>
      </c>
    </row>
    <row r="729" spans="1:8">
      <c r="A729" s="7" t="str">
        <f t="shared" si="33"/>
        <v>04</v>
      </c>
      <c r="B729" s="7" t="str">
        <f t="shared" si="34"/>
        <v>085</v>
      </c>
      <c r="C729" s="7" t="str">
        <f t="shared" si="35"/>
        <v>Quilmes</v>
      </c>
      <c r="D729" s="18" t="s">
        <v>3671</v>
      </c>
      <c r="E729" s="18">
        <v>1</v>
      </c>
      <c r="F729" s="18">
        <v>20</v>
      </c>
      <c r="G729" s="18">
        <v>4</v>
      </c>
      <c r="H729" s="18" t="s">
        <v>2081</v>
      </c>
    </row>
    <row r="730" spans="1:8">
      <c r="A730" s="7" t="str">
        <f t="shared" si="33"/>
        <v>04</v>
      </c>
      <c r="B730" s="7" t="str">
        <f t="shared" si="34"/>
        <v>085</v>
      </c>
      <c r="C730" s="7" t="str">
        <f t="shared" si="35"/>
        <v>Quilmes</v>
      </c>
      <c r="D730" s="18" t="s">
        <v>3672</v>
      </c>
      <c r="E730" s="18">
        <v>1</v>
      </c>
      <c r="F730" s="18">
        <v>29</v>
      </c>
      <c r="G730" s="18">
        <v>4</v>
      </c>
      <c r="H730" s="18" t="s">
        <v>2081</v>
      </c>
    </row>
    <row r="731" spans="1:8">
      <c r="A731" s="7" t="str">
        <f t="shared" si="33"/>
        <v>04</v>
      </c>
      <c r="B731" s="7" t="str">
        <f t="shared" si="34"/>
        <v>085</v>
      </c>
      <c r="C731" s="7" t="str">
        <f t="shared" si="35"/>
        <v>Quilmes</v>
      </c>
      <c r="D731" s="18" t="s">
        <v>3673</v>
      </c>
      <c r="E731" s="18">
        <v>2</v>
      </c>
      <c r="F731" s="18">
        <v>28</v>
      </c>
      <c r="G731" s="18">
        <v>4</v>
      </c>
      <c r="H731" s="18" t="s">
        <v>2081</v>
      </c>
    </row>
    <row r="732" spans="1:8">
      <c r="A732" s="7" t="str">
        <f t="shared" si="33"/>
        <v>04</v>
      </c>
      <c r="B732" s="7" t="str">
        <f t="shared" si="34"/>
        <v>085</v>
      </c>
      <c r="C732" s="7" t="str">
        <f t="shared" si="35"/>
        <v>Quilmes</v>
      </c>
      <c r="D732" s="18" t="s">
        <v>3674</v>
      </c>
      <c r="E732" s="18">
        <v>3</v>
      </c>
      <c r="F732" s="18">
        <v>48</v>
      </c>
      <c r="G732" s="18">
        <v>4</v>
      </c>
      <c r="H732" s="18" t="s">
        <v>2081</v>
      </c>
    </row>
    <row r="733" spans="1:8">
      <c r="A733" s="7" t="str">
        <f t="shared" si="33"/>
        <v>04</v>
      </c>
      <c r="B733" s="7" t="str">
        <f t="shared" si="34"/>
        <v>085</v>
      </c>
      <c r="C733" s="7" t="str">
        <f t="shared" si="35"/>
        <v>Quilmes</v>
      </c>
      <c r="D733" s="18" t="s">
        <v>3675</v>
      </c>
      <c r="E733" s="18">
        <v>1</v>
      </c>
      <c r="F733" s="18">
        <v>19</v>
      </c>
      <c r="G733" s="18">
        <v>4</v>
      </c>
      <c r="H733" s="18" t="s">
        <v>2081</v>
      </c>
    </row>
    <row r="734" spans="1:8">
      <c r="A734" s="7" t="str">
        <f t="shared" si="33"/>
        <v>04</v>
      </c>
      <c r="B734" s="7" t="str">
        <f t="shared" si="34"/>
        <v>085</v>
      </c>
      <c r="C734" s="7" t="str">
        <f t="shared" si="35"/>
        <v>Quilmes</v>
      </c>
      <c r="D734" s="18" t="s">
        <v>3676</v>
      </c>
      <c r="E734" s="18">
        <v>1</v>
      </c>
      <c r="F734" s="18">
        <v>0</v>
      </c>
      <c r="G734" s="18">
        <v>4</v>
      </c>
      <c r="H734" s="18" t="s">
        <v>2081</v>
      </c>
    </row>
    <row r="735" spans="1:8">
      <c r="A735" s="7" t="str">
        <f t="shared" si="33"/>
        <v>04</v>
      </c>
      <c r="B735" s="7" t="str">
        <f t="shared" si="34"/>
        <v>085</v>
      </c>
      <c r="C735" s="7" t="str">
        <f t="shared" si="35"/>
        <v>Quilmes</v>
      </c>
      <c r="D735" s="18" t="s">
        <v>3677</v>
      </c>
      <c r="E735" s="18">
        <v>2</v>
      </c>
      <c r="F735" s="18">
        <v>33</v>
      </c>
      <c r="G735" s="18">
        <v>4</v>
      </c>
      <c r="H735" s="18" t="s">
        <v>2081</v>
      </c>
    </row>
    <row r="736" spans="1:8">
      <c r="A736" s="7" t="str">
        <f t="shared" si="33"/>
        <v>04</v>
      </c>
      <c r="B736" s="7" t="str">
        <f t="shared" si="34"/>
        <v>085</v>
      </c>
      <c r="C736" s="7" t="str">
        <f t="shared" si="35"/>
        <v>Quilmes</v>
      </c>
      <c r="D736" s="18" t="s">
        <v>3678</v>
      </c>
      <c r="E736" s="18">
        <v>1</v>
      </c>
      <c r="F736" s="18">
        <v>0</v>
      </c>
      <c r="G736" s="18">
        <v>4</v>
      </c>
      <c r="H736" s="18" t="s">
        <v>2081</v>
      </c>
    </row>
    <row r="737" spans="1:8">
      <c r="A737" s="7" t="str">
        <f t="shared" si="33"/>
        <v>04</v>
      </c>
      <c r="B737" s="7" t="str">
        <f t="shared" si="34"/>
        <v>085</v>
      </c>
      <c r="C737" s="7" t="str">
        <f t="shared" si="35"/>
        <v>Quilmes</v>
      </c>
      <c r="D737" s="18" t="s">
        <v>3679</v>
      </c>
      <c r="E737" s="18">
        <v>1</v>
      </c>
      <c r="F737" s="18">
        <v>26</v>
      </c>
      <c r="G737" s="18">
        <v>4</v>
      </c>
      <c r="H737" s="18" t="s">
        <v>2081</v>
      </c>
    </row>
    <row r="738" spans="1:8">
      <c r="A738" s="7" t="str">
        <f t="shared" si="33"/>
        <v>04</v>
      </c>
      <c r="B738" s="7" t="str">
        <f t="shared" si="34"/>
        <v>085</v>
      </c>
      <c r="C738" s="7" t="str">
        <f t="shared" si="35"/>
        <v>Quilmes</v>
      </c>
      <c r="D738" s="18" t="s">
        <v>3680</v>
      </c>
      <c r="E738" s="18">
        <v>1</v>
      </c>
      <c r="F738" s="18">
        <v>23</v>
      </c>
      <c r="G738" s="18">
        <v>4</v>
      </c>
      <c r="H738" s="18" t="s">
        <v>2081</v>
      </c>
    </row>
    <row r="739" spans="1:8">
      <c r="A739" s="7" t="str">
        <f t="shared" si="33"/>
        <v>04</v>
      </c>
      <c r="B739" s="7" t="str">
        <f t="shared" si="34"/>
        <v>085</v>
      </c>
      <c r="C739" s="7" t="str">
        <f t="shared" si="35"/>
        <v>Quilmes</v>
      </c>
      <c r="D739" s="18" t="s">
        <v>3681</v>
      </c>
      <c r="E739" s="18">
        <v>1</v>
      </c>
      <c r="F739" s="18">
        <v>7</v>
      </c>
      <c r="G739" s="18">
        <v>4</v>
      </c>
      <c r="H739" s="18" t="s">
        <v>2081</v>
      </c>
    </row>
    <row r="740" spans="1:8">
      <c r="A740" s="7" t="str">
        <f t="shared" si="33"/>
        <v>04</v>
      </c>
      <c r="B740" s="7" t="str">
        <f t="shared" si="34"/>
        <v>085</v>
      </c>
      <c r="C740" s="7" t="str">
        <f t="shared" si="35"/>
        <v>Quilmes</v>
      </c>
      <c r="D740" s="18" t="s">
        <v>3682</v>
      </c>
      <c r="E740" s="18">
        <v>1</v>
      </c>
      <c r="F740" s="18">
        <v>0</v>
      </c>
      <c r="G740" s="18">
        <v>4</v>
      </c>
      <c r="H740" s="18" t="s">
        <v>2081</v>
      </c>
    </row>
    <row r="741" spans="1:8">
      <c r="A741" s="7" t="str">
        <f t="shared" si="33"/>
        <v>04</v>
      </c>
      <c r="B741" s="7" t="str">
        <f t="shared" si="34"/>
        <v>085</v>
      </c>
      <c r="C741" s="7" t="str">
        <f t="shared" si="35"/>
        <v>Quilmes</v>
      </c>
      <c r="D741" s="18" t="s">
        <v>3683</v>
      </c>
      <c r="E741" s="18">
        <v>1</v>
      </c>
      <c r="F741" s="18">
        <v>18</v>
      </c>
      <c r="G741" s="18">
        <v>4</v>
      </c>
      <c r="H741" s="18" t="s">
        <v>2081</v>
      </c>
    </row>
    <row r="742" spans="1:8">
      <c r="A742" s="7" t="str">
        <f t="shared" si="33"/>
        <v>04</v>
      </c>
      <c r="B742" s="7" t="str">
        <f t="shared" si="34"/>
        <v>085</v>
      </c>
      <c r="C742" s="7" t="str">
        <f t="shared" si="35"/>
        <v>Quilmes</v>
      </c>
      <c r="D742" s="18" t="s">
        <v>3684</v>
      </c>
      <c r="E742" s="18">
        <v>1</v>
      </c>
      <c r="F742" s="18">
        <v>17</v>
      </c>
      <c r="G742" s="18">
        <v>4</v>
      </c>
      <c r="H742" s="18" t="s">
        <v>2081</v>
      </c>
    </row>
    <row r="743" spans="1:8">
      <c r="A743" s="7" t="str">
        <f t="shared" si="33"/>
        <v>04</v>
      </c>
      <c r="B743" s="7" t="str">
        <f t="shared" si="34"/>
        <v>085</v>
      </c>
      <c r="C743" s="7" t="str">
        <f t="shared" si="35"/>
        <v>Quilmes</v>
      </c>
      <c r="D743" s="18" t="s">
        <v>3685</v>
      </c>
      <c r="E743" s="18">
        <v>1</v>
      </c>
      <c r="F743" s="18">
        <v>21</v>
      </c>
      <c r="G743" s="18">
        <v>4</v>
      </c>
      <c r="H743" s="18" t="s">
        <v>2081</v>
      </c>
    </row>
    <row r="744" spans="1:8">
      <c r="A744" s="7" t="str">
        <f t="shared" si="33"/>
        <v>04</v>
      </c>
      <c r="B744" s="7" t="str">
        <f t="shared" si="34"/>
        <v>085</v>
      </c>
      <c r="C744" s="7" t="str">
        <f t="shared" si="35"/>
        <v>Quilmes</v>
      </c>
      <c r="D744" s="18" t="s">
        <v>3686</v>
      </c>
      <c r="E744" s="18">
        <v>1</v>
      </c>
      <c r="F744" s="18">
        <v>19</v>
      </c>
      <c r="G744" s="18">
        <v>4</v>
      </c>
      <c r="H744" s="18" t="s">
        <v>2081</v>
      </c>
    </row>
    <row r="745" spans="1:8">
      <c r="A745" s="7" t="str">
        <f t="shared" si="33"/>
        <v>04</v>
      </c>
      <c r="B745" s="7" t="str">
        <f t="shared" si="34"/>
        <v>085</v>
      </c>
      <c r="C745" s="7" t="str">
        <f t="shared" si="35"/>
        <v>Quilmes</v>
      </c>
      <c r="D745" s="18" t="s">
        <v>3687</v>
      </c>
      <c r="E745" s="18">
        <v>1</v>
      </c>
      <c r="F745" s="18">
        <v>0</v>
      </c>
      <c r="G745" s="18">
        <v>4</v>
      </c>
      <c r="H745" s="18" t="s">
        <v>2081</v>
      </c>
    </row>
    <row r="746" spans="1:8">
      <c r="A746" s="7" t="str">
        <f t="shared" si="33"/>
        <v>04</v>
      </c>
      <c r="B746" s="7" t="str">
        <f t="shared" si="34"/>
        <v>085</v>
      </c>
      <c r="C746" s="7" t="str">
        <f t="shared" si="35"/>
        <v>Quilmes</v>
      </c>
      <c r="D746" s="18" t="s">
        <v>3688</v>
      </c>
      <c r="E746" s="18">
        <v>3</v>
      </c>
      <c r="F746" s="18">
        <v>80</v>
      </c>
      <c r="G746" s="18">
        <v>4</v>
      </c>
      <c r="H746" s="18" t="s">
        <v>2081</v>
      </c>
    </row>
    <row r="747" spans="1:8">
      <c r="A747" s="7" t="str">
        <f t="shared" si="33"/>
        <v>04</v>
      </c>
      <c r="B747" s="7" t="str">
        <f t="shared" si="34"/>
        <v>085</v>
      </c>
      <c r="C747" s="7" t="str">
        <f t="shared" si="35"/>
        <v>Quilmes</v>
      </c>
      <c r="D747" s="18" t="s">
        <v>3689</v>
      </c>
      <c r="E747" s="18">
        <v>3</v>
      </c>
      <c r="F747" s="18">
        <v>119</v>
      </c>
      <c r="G747" s="18">
        <v>4</v>
      </c>
      <c r="H747" s="18" t="s">
        <v>2081</v>
      </c>
    </row>
    <row r="748" spans="1:8">
      <c r="A748" s="7" t="str">
        <f t="shared" si="33"/>
        <v>04</v>
      </c>
      <c r="B748" s="7" t="str">
        <f t="shared" si="34"/>
        <v>085</v>
      </c>
      <c r="C748" s="7" t="str">
        <f t="shared" si="35"/>
        <v>Quilmes</v>
      </c>
      <c r="D748" s="18" t="s">
        <v>3690</v>
      </c>
      <c r="E748" s="18">
        <v>6</v>
      </c>
      <c r="F748" s="18">
        <v>141</v>
      </c>
      <c r="G748" s="18">
        <v>4</v>
      </c>
      <c r="H748" s="18" t="s">
        <v>2081</v>
      </c>
    </row>
    <row r="749" spans="1:8">
      <c r="A749" s="7" t="str">
        <f t="shared" si="33"/>
        <v>04</v>
      </c>
      <c r="B749" s="7" t="str">
        <f t="shared" si="34"/>
        <v>085</v>
      </c>
      <c r="C749" s="7" t="str">
        <f t="shared" si="35"/>
        <v>Quilmes</v>
      </c>
      <c r="D749" s="18" t="s">
        <v>3691</v>
      </c>
      <c r="E749" s="18">
        <v>4</v>
      </c>
      <c r="F749" s="18">
        <v>124</v>
      </c>
      <c r="G749" s="18">
        <v>4</v>
      </c>
      <c r="H749" s="18" t="s">
        <v>2081</v>
      </c>
    </row>
    <row r="750" spans="1:8">
      <c r="A750" s="7" t="str">
        <f t="shared" si="33"/>
        <v>04</v>
      </c>
      <c r="B750" s="7" t="str">
        <f t="shared" si="34"/>
        <v>085</v>
      </c>
      <c r="C750" s="7" t="str">
        <f t="shared" si="35"/>
        <v>Quilmes</v>
      </c>
      <c r="D750" s="18" t="s">
        <v>3692</v>
      </c>
      <c r="E750" s="18">
        <v>6</v>
      </c>
      <c r="F750" s="18">
        <v>191</v>
      </c>
      <c r="G750" s="18">
        <v>4</v>
      </c>
      <c r="H750" s="18" t="s">
        <v>2081</v>
      </c>
    </row>
    <row r="751" spans="1:8">
      <c r="A751" s="7" t="str">
        <f t="shared" si="33"/>
        <v>04</v>
      </c>
      <c r="B751" s="7" t="str">
        <f t="shared" si="34"/>
        <v>085</v>
      </c>
      <c r="C751" s="7" t="str">
        <f t="shared" si="35"/>
        <v>Quilmes</v>
      </c>
      <c r="D751" s="18" t="s">
        <v>3693</v>
      </c>
      <c r="E751" s="18">
        <v>5</v>
      </c>
      <c r="F751" s="18">
        <v>113</v>
      </c>
      <c r="G751" s="18">
        <v>4</v>
      </c>
      <c r="H751" s="18" t="s">
        <v>2081</v>
      </c>
    </row>
    <row r="752" spans="1:8">
      <c r="A752" s="7" t="str">
        <f t="shared" si="33"/>
        <v>04</v>
      </c>
      <c r="B752" s="7" t="str">
        <f t="shared" si="34"/>
        <v>085</v>
      </c>
      <c r="C752" s="7" t="str">
        <f t="shared" si="35"/>
        <v>Quilmes</v>
      </c>
      <c r="D752" s="18" t="s">
        <v>3694</v>
      </c>
      <c r="E752" s="18">
        <v>3</v>
      </c>
      <c r="F752" s="18">
        <v>90</v>
      </c>
      <c r="G752" s="18">
        <v>4</v>
      </c>
      <c r="H752" s="18" t="s">
        <v>2081</v>
      </c>
    </row>
    <row r="753" spans="1:8">
      <c r="A753" s="7" t="str">
        <f t="shared" si="33"/>
        <v>04</v>
      </c>
      <c r="B753" s="7" t="str">
        <f t="shared" si="34"/>
        <v>085</v>
      </c>
      <c r="C753" s="7" t="str">
        <f t="shared" si="35"/>
        <v>Quilmes</v>
      </c>
      <c r="D753" s="18" t="s">
        <v>3695</v>
      </c>
      <c r="E753" s="18">
        <v>1</v>
      </c>
      <c r="F753" s="18">
        <v>18</v>
      </c>
      <c r="G753" s="18">
        <v>4</v>
      </c>
      <c r="H753" s="18" t="s">
        <v>2081</v>
      </c>
    </row>
    <row r="754" spans="1:8">
      <c r="A754" s="7" t="str">
        <f t="shared" si="33"/>
        <v>04</v>
      </c>
      <c r="B754" s="7" t="str">
        <f t="shared" si="34"/>
        <v>085</v>
      </c>
      <c r="C754" s="7" t="str">
        <f t="shared" si="35"/>
        <v>Quilmes</v>
      </c>
      <c r="D754" s="18" t="s">
        <v>3696</v>
      </c>
      <c r="E754" s="18">
        <v>1</v>
      </c>
      <c r="F754" s="18">
        <v>17</v>
      </c>
      <c r="G754" s="18">
        <v>4</v>
      </c>
      <c r="H754" s="18" t="s">
        <v>2081</v>
      </c>
    </row>
    <row r="755" spans="1:8">
      <c r="A755" s="7" t="str">
        <f t="shared" si="33"/>
        <v>04</v>
      </c>
      <c r="B755" s="7" t="str">
        <f t="shared" si="34"/>
        <v>085</v>
      </c>
      <c r="C755" s="7" t="str">
        <f t="shared" si="35"/>
        <v>Quilmes</v>
      </c>
      <c r="D755" s="18" t="s">
        <v>3697</v>
      </c>
      <c r="E755" s="18">
        <v>3</v>
      </c>
      <c r="F755" s="18">
        <v>86</v>
      </c>
      <c r="G755" s="18">
        <v>4</v>
      </c>
      <c r="H755" s="18" t="s">
        <v>2081</v>
      </c>
    </row>
    <row r="756" spans="1:8">
      <c r="A756" s="7" t="str">
        <f t="shared" si="33"/>
        <v>04</v>
      </c>
      <c r="B756" s="7" t="str">
        <f t="shared" si="34"/>
        <v>085</v>
      </c>
      <c r="C756" s="7" t="str">
        <f t="shared" si="35"/>
        <v>Quilmes</v>
      </c>
      <c r="D756" s="18" t="s">
        <v>3698</v>
      </c>
      <c r="E756" s="18">
        <v>1</v>
      </c>
      <c r="F756" s="18">
        <v>16</v>
      </c>
      <c r="G756" s="18">
        <v>4</v>
      </c>
      <c r="H756" s="18" t="s">
        <v>2081</v>
      </c>
    </row>
    <row r="757" spans="1:8">
      <c r="A757" s="7" t="str">
        <f t="shared" si="33"/>
        <v>04</v>
      </c>
      <c r="B757" s="7" t="str">
        <f t="shared" si="34"/>
        <v>085</v>
      </c>
      <c r="C757" s="7" t="str">
        <f t="shared" si="35"/>
        <v>Quilmes</v>
      </c>
      <c r="D757" s="18" t="s">
        <v>3699</v>
      </c>
      <c r="E757" s="18">
        <v>3</v>
      </c>
      <c r="F757" s="18">
        <v>56</v>
      </c>
      <c r="G757" s="18">
        <v>4</v>
      </c>
      <c r="H757" s="18" t="s">
        <v>2081</v>
      </c>
    </row>
    <row r="758" spans="1:8">
      <c r="A758" s="7" t="str">
        <f t="shared" si="33"/>
        <v>04</v>
      </c>
      <c r="B758" s="7" t="str">
        <f t="shared" si="34"/>
        <v>085</v>
      </c>
      <c r="C758" s="7" t="str">
        <f t="shared" si="35"/>
        <v>Quilmes</v>
      </c>
      <c r="D758" s="18" t="s">
        <v>3700</v>
      </c>
      <c r="E758" s="18">
        <v>6</v>
      </c>
      <c r="F758" s="18">
        <v>183</v>
      </c>
      <c r="G758" s="18">
        <v>4</v>
      </c>
      <c r="H758" s="18" t="s">
        <v>2081</v>
      </c>
    </row>
    <row r="759" spans="1:8">
      <c r="A759" s="7" t="str">
        <f t="shared" si="33"/>
        <v>04</v>
      </c>
      <c r="B759" s="7" t="str">
        <f t="shared" si="34"/>
        <v>085</v>
      </c>
      <c r="C759" s="7" t="str">
        <f t="shared" si="35"/>
        <v>Quilmes</v>
      </c>
      <c r="D759" s="18" t="s">
        <v>3701</v>
      </c>
      <c r="E759" s="18">
        <v>1</v>
      </c>
      <c r="F759" s="18">
        <v>19</v>
      </c>
      <c r="G759" s="18">
        <v>4</v>
      </c>
      <c r="H759" s="18" t="s">
        <v>2081</v>
      </c>
    </row>
    <row r="760" spans="1:8">
      <c r="A760" s="7" t="str">
        <f t="shared" si="33"/>
        <v>04</v>
      </c>
      <c r="B760" s="7" t="str">
        <f t="shared" si="34"/>
        <v>085</v>
      </c>
      <c r="C760" s="7" t="str">
        <f t="shared" si="35"/>
        <v>Quilmes</v>
      </c>
      <c r="D760" s="18" t="s">
        <v>3702</v>
      </c>
      <c r="E760" s="18">
        <v>1</v>
      </c>
      <c r="F760" s="18">
        <v>12</v>
      </c>
      <c r="G760" s="18">
        <v>4</v>
      </c>
      <c r="H760" s="18" t="s">
        <v>2081</v>
      </c>
    </row>
    <row r="761" spans="1:8">
      <c r="A761" s="7" t="str">
        <f t="shared" si="33"/>
        <v>04</v>
      </c>
      <c r="B761" s="7" t="str">
        <f t="shared" si="34"/>
        <v>085</v>
      </c>
      <c r="C761" s="7" t="str">
        <f t="shared" si="35"/>
        <v>Quilmes</v>
      </c>
      <c r="D761" s="18" t="s">
        <v>3703</v>
      </c>
      <c r="E761" s="18">
        <v>1</v>
      </c>
      <c r="F761" s="18">
        <v>19</v>
      </c>
      <c r="G761" s="18">
        <v>4</v>
      </c>
      <c r="H761" s="18" t="s">
        <v>2081</v>
      </c>
    </row>
    <row r="762" spans="1:8">
      <c r="A762" s="7" t="str">
        <f t="shared" si="33"/>
        <v>04</v>
      </c>
      <c r="B762" s="7" t="str">
        <f t="shared" si="34"/>
        <v>085</v>
      </c>
      <c r="C762" s="7" t="str">
        <f t="shared" si="35"/>
        <v>Quilmes</v>
      </c>
      <c r="D762" s="18" t="s">
        <v>3704</v>
      </c>
      <c r="E762" s="18">
        <v>3</v>
      </c>
      <c r="F762" s="18">
        <v>114</v>
      </c>
      <c r="G762" s="18">
        <v>4</v>
      </c>
      <c r="H762" s="18" t="s">
        <v>2081</v>
      </c>
    </row>
    <row r="763" spans="1:8">
      <c r="A763" s="7" t="str">
        <f t="shared" si="33"/>
        <v>04</v>
      </c>
      <c r="B763" s="7" t="str">
        <f t="shared" si="34"/>
        <v>085</v>
      </c>
      <c r="C763" s="7" t="str">
        <f t="shared" si="35"/>
        <v>Quilmes</v>
      </c>
      <c r="D763" s="18" t="s">
        <v>3705</v>
      </c>
      <c r="E763" s="18">
        <v>1</v>
      </c>
      <c r="F763" s="18">
        <v>15</v>
      </c>
      <c r="G763" s="18">
        <v>4</v>
      </c>
      <c r="H763" s="18" t="s">
        <v>2081</v>
      </c>
    </row>
    <row r="764" spans="1:8">
      <c r="A764" s="7" t="str">
        <f t="shared" si="33"/>
        <v>04</v>
      </c>
      <c r="B764" s="7" t="str">
        <f t="shared" si="34"/>
        <v>085</v>
      </c>
      <c r="C764" s="7" t="str">
        <f t="shared" si="35"/>
        <v>Quilmes</v>
      </c>
      <c r="D764" s="18" t="s">
        <v>3706</v>
      </c>
      <c r="E764" s="18">
        <v>1</v>
      </c>
      <c r="F764" s="18">
        <v>17</v>
      </c>
      <c r="G764" s="18">
        <v>4</v>
      </c>
      <c r="H764" s="18" t="s">
        <v>2081</v>
      </c>
    </row>
    <row r="765" spans="1:8">
      <c r="A765" s="7" t="str">
        <f t="shared" si="33"/>
        <v>04</v>
      </c>
      <c r="B765" s="7" t="str">
        <f t="shared" si="34"/>
        <v>085</v>
      </c>
      <c r="C765" s="7" t="str">
        <f t="shared" si="35"/>
        <v>Quilmes</v>
      </c>
      <c r="D765" s="18" t="s">
        <v>3707</v>
      </c>
      <c r="E765" s="18">
        <v>1</v>
      </c>
      <c r="F765" s="18">
        <v>26</v>
      </c>
      <c r="G765" s="18">
        <v>4</v>
      </c>
      <c r="H765" s="18" t="s">
        <v>2081</v>
      </c>
    </row>
    <row r="766" spans="1:8">
      <c r="A766" s="7" t="str">
        <f t="shared" si="33"/>
        <v>04</v>
      </c>
      <c r="B766" s="7" t="str">
        <f t="shared" si="34"/>
        <v>085</v>
      </c>
      <c r="C766" s="7" t="str">
        <f t="shared" si="35"/>
        <v>Quilmes</v>
      </c>
      <c r="D766" s="18" t="s">
        <v>3708</v>
      </c>
      <c r="E766" s="18">
        <v>1</v>
      </c>
      <c r="F766" s="18">
        <v>25</v>
      </c>
      <c r="G766" s="18">
        <v>4</v>
      </c>
      <c r="H766" s="18" t="s">
        <v>2081</v>
      </c>
    </row>
    <row r="767" spans="1:8">
      <c r="A767" s="7" t="str">
        <f t="shared" si="33"/>
        <v>04</v>
      </c>
      <c r="B767" s="7" t="str">
        <f t="shared" si="34"/>
        <v>085</v>
      </c>
      <c r="C767" s="7" t="str">
        <f t="shared" si="35"/>
        <v>Quilmes</v>
      </c>
      <c r="D767" s="18" t="s">
        <v>3709</v>
      </c>
      <c r="E767" s="18">
        <v>1</v>
      </c>
      <c r="F767" s="18">
        <v>24</v>
      </c>
      <c r="G767" s="18">
        <v>4</v>
      </c>
      <c r="H767" s="18" t="s">
        <v>2081</v>
      </c>
    </row>
    <row r="768" spans="1:8">
      <c r="A768" s="7" t="str">
        <f t="shared" si="33"/>
        <v>04</v>
      </c>
      <c r="B768" s="7" t="str">
        <f t="shared" si="34"/>
        <v>085</v>
      </c>
      <c r="C768" s="7" t="str">
        <f t="shared" si="35"/>
        <v>Quilmes</v>
      </c>
      <c r="D768" s="18" t="s">
        <v>3710</v>
      </c>
      <c r="E768" s="18">
        <v>1</v>
      </c>
      <c r="F768" s="18">
        <v>20</v>
      </c>
      <c r="G768" s="18">
        <v>4</v>
      </c>
      <c r="H768" s="18" t="s">
        <v>2081</v>
      </c>
    </row>
    <row r="769" spans="1:8">
      <c r="A769" s="7" t="str">
        <f t="shared" si="33"/>
        <v>04</v>
      </c>
      <c r="B769" s="7" t="str">
        <f t="shared" si="34"/>
        <v>085</v>
      </c>
      <c r="C769" s="7" t="str">
        <f t="shared" si="35"/>
        <v>Quilmes</v>
      </c>
      <c r="D769" s="18" t="s">
        <v>3711</v>
      </c>
      <c r="E769" s="18">
        <v>4</v>
      </c>
      <c r="F769" s="18">
        <v>103</v>
      </c>
      <c r="G769" s="18">
        <v>4</v>
      </c>
      <c r="H769" s="18" t="s">
        <v>2081</v>
      </c>
    </row>
    <row r="770" spans="1:8">
      <c r="A770" s="7" t="str">
        <f t="shared" si="33"/>
        <v>04</v>
      </c>
      <c r="B770" s="7" t="str">
        <f t="shared" si="34"/>
        <v>085</v>
      </c>
      <c r="C770" s="7" t="str">
        <f t="shared" si="35"/>
        <v>Quilmes</v>
      </c>
      <c r="D770" s="18" t="s">
        <v>3712</v>
      </c>
      <c r="E770" s="18">
        <v>2</v>
      </c>
      <c r="F770" s="18">
        <v>48</v>
      </c>
      <c r="G770" s="18">
        <v>4</v>
      </c>
      <c r="H770" s="18" t="s">
        <v>2081</v>
      </c>
    </row>
    <row r="771" spans="1:8">
      <c r="A771" s="7" t="str">
        <f t="shared" ref="A771:A834" si="36">+VLOOKUP(H771,$K:$N,2,FALSE)</f>
        <v>04</v>
      </c>
      <c r="B771" s="7" t="str">
        <f t="shared" ref="B771:B834" si="37">+VLOOKUP(H771,$K:$N,3,FALSE)</f>
        <v>085</v>
      </c>
      <c r="C771" s="7" t="str">
        <f t="shared" ref="C771:C834" si="38">+VLOOKUP(H771,$K:$N,4,FALSE)</f>
        <v>Quilmes</v>
      </c>
      <c r="D771" s="18" t="s">
        <v>3713</v>
      </c>
      <c r="E771" s="18">
        <v>1</v>
      </c>
      <c r="F771" s="18">
        <v>20</v>
      </c>
      <c r="G771" s="18">
        <v>4</v>
      </c>
      <c r="H771" s="18" t="s">
        <v>2081</v>
      </c>
    </row>
    <row r="772" spans="1:8">
      <c r="A772" s="7" t="str">
        <f t="shared" si="36"/>
        <v>04</v>
      </c>
      <c r="B772" s="7" t="str">
        <f t="shared" si="37"/>
        <v>085</v>
      </c>
      <c r="C772" s="7" t="str">
        <f t="shared" si="38"/>
        <v>Quilmes</v>
      </c>
      <c r="D772" s="18" t="s">
        <v>3714</v>
      </c>
      <c r="E772" s="18">
        <v>2</v>
      </c>
      <c r="F772" s="18">
        <v>39</v>
      </c>
      <c r="G772" s="18">
        <v>4</v>
      </c>
      <c r="H772" s="18" t="s">
        <v>2081</v>
      </c>
    </row>
    <row r="773" spans="1:8">
      <c r="A773" s="7" t="str">
        <f t="shared" si="36"/>
        <v>04</v>
      </c>
      <c r="B773" s="7" t="str">
        <f t="shared" si="37"/>
        <v>085</v>
      </c>
      <c r="C773" s="7" t="str">
        <f t="shared" si="38"/>
        <v>Quilmes</v>
      </c>
      <c r="D773" s="18" t="s">
        <v>3715</v>
      </c>
      <c r="E773" s="18">
        <v>2</v>
      </c>
      <c r="F773" s="18">
        <v>40</v>
      </c>
      <c r="G773" s="18">
        <v>4</v>
      </c>
      <c r="H773" s="18" t="s">
        <v>2081</v>
      </c>
    </row>
    <row r="774" spans="1:8">
      <c r="A774" s="7" t="str">
        <f t="shared" si="36"/>
        <v>04</v>
      </c>
      <c r="B774" s="7" t="str">
        <f t="shared" si="37"/>
        <v>085</v>
      </c>
      <c r="C774" s="7" t="str">
        <f t="shared" si="38"/>
        <v>Quilmes</v>
      </c>
      <c r="D774" s="18" t="s">
        <v>3716</v>
      </c>
      <c r="E774" s="18">
        <v>1</v>
      </c>
      <c r="F774" s="18">
        <v>18</v>
      </c>
      <c r="G774" s="18">
        <v>4</v>
      </c>
      <c r="H774" s="18" t="s">
        <v>2081</v>
      </c>
    </row>
    <row r="775" spans="1:8">
      <c r="A775" s="7" t="str">
        <f t="shared" si="36"/>
        <v>04</v>
      </c>
      <c r="B775" s="7" t="str">
        <f t="shared" si="37"/>
        <v>085</v>
      </c>
      <c r="C775" s="7" t="str">
        <f t="shared" si="38"/>
        <v>Quilmes</v>
      </c>
      <c r="D775" s="18" t="s">
        <v>3717</v>
      </c>
      <c r="E775" s="18">
        <v>1</v>
      </c>
      <c r="F775" s="18">
        <v>24</v>
      </c>
      <c r="G775" s="18">
        <v>4</v>
      </c>
      <c r="H775" s="18" t="s">
        <v>2081</v>
      </c>
    </row>
    <row r="776" spans="1:8">
      <c r="A776" s="7" t="str">
        <f t="shared" si="36"/>
        <v>04</v>
      </c>
      <c r="B776" s="7" t="str">
        <f t="shared" si="37"/>
        <v>085</v>
      </c>
      <c r="C776" s="7" t="str">
        <f t="shared" si="38"/>
        <v>Quilmes</v>
      </c>
      <c r="D776" s="18" t="s">
        <v>3718</v>
      </c>
      <c r="E776" s="18">
        <v>1</v>
      </c>
      <c r="F776" s="18">
        <v>0</v>
      </c>
      <c r="G776" s="18">
        <v>4</v>
      </c>
      <c r="H776" s="18" t="s">
        <v>2081</v>
      </c>
    </row>
    <row r="777" spans="1:8">
      <c r="A777" s="7" t="str">
        <f t="shared" si="36"/>
        <v>04</v>
      </c>
      <c r="B777" s="7" t="str">
        <f t="shared" si="37"/>
        <v>085</v>
      </c>
      <c r="C777" s="7" t="str">
        <f t="shared" si="38"/>
        <v>Quilmes</v>
      </c>
      <c r="D777" s="18" t="s">
        <v>3719</v>
      </c>
      <c r="E777" s="18">
        <v>1</v>
      </c>
      <c r="F777" s="18">
        <v>16</v>
      </c>
      <c r="G777" s="18">
        <v>4</v>
      </c>
      <c r="H777" s="18" t="s">
        <v>2081</v>
      </c>
    </row>
    <row r="778" spans="1:8">
      <c r="A778" s="7" t="str">
        <f t="shared" si="36"/>
        <v>04</v>
      </c>
      <c r="B778" s="7" t="str">
        <f t="shared" si="37"/>
        <v>085</v>
      </c>
      <c r="C778" s="7" t="str">
        <f t="shared" si="38"/>
        <v>Quilmes</v>
      </c>
      <c r="D778" s="18" t="s">
        <v>3720</v>
      </c>
      <c r="E778" s="18">
        <v>3</v>
      </c>
      <c r="F778" s="18">
        <v>59</v>
      </c>
      <c r="G778" s="18">
        <v>4</v>
      </c>
      <c r="H778" s="18" t="s">
        <v>2081</v>
      </c>
    </row>
    <row r="779" spans="1:8">
      <c r="A779" s="7" t="str">
        <f t="shared" si="36"/>
        <v>04</v>
      </c>
      <c r="B779" s="7" t="str">
        <f t="shared" si="37"/>
        <v>085</v>
      </c>
      <c r="C779" s="7" t="str">
        <f t="shared" si="38"/>
        <v>Quilmes</v>
      </c>
      <c r="D779" s="18" t="s">
        <v>3721</v>
      </c>
      <c r="E779" s="18">
        <v>1</v>
      </c>
      <c r="F779" s="18">
        <v>11</v>
      </c>
      <c r="G779" s="18">
        <v>4</v>
      </c>
      <c r="H779" s="18" t="s">
        <v>2081</v>
      </c>
    </row>
    <row r="780" spans="1:8">
      <c r="A780" s="7" t="str">
        <f t="shared" si="36"/>
        <v>05</v>
      </c>
      <c r="B780" s="7" t="str">
        <f t="shared" si="37"/>
        <v>004</v>
      </c>
      <c r="C780" s="7" t="str">
        <f t="shared" si="38"/>
        <v>Almirante Brown</v>
      </c>
      <c r="D780" s="18" t="s">
        <v>3722</v>
      </c>
      <c r="E780" s="18">
        <v>3</v>
      </c>
      <c r="F780" s="18">
        <v>65</v>
      </c>
      <c r="G780" s="18">
        <v>5</v>
      </c>
      <c r="H780" s="18" t="s">
        <v>256</v>
      </c>
    </row>
    <row r="781" spans="1:8">
      <c r="A781" s="7" t="str">
        <f t="shared" si="36"/>
        <v>05</v>
      </c>
      <c r="B781" s="7" t="str">
        <f t="shared" si="37"/>
        <v>004</v>
      </c>
      <c r="C781" s="7" t="str">
        <f t="shared" si="38"/>
        <v>Almirante Brown</v>
      </c>
      <c r="D781" s="18" t="s">
        <v>3723</v>
      </c>
      <c r="E781" s="18">
        <v>1</v>
      </c>
      <c r="F781" s="18">
        <v>21</v>
      </c>
      <c r="G781" s="18">
        <v>5</v>
      </c>
      <c r="H781" s="18" t="s">
        <v>256</v>
      </c>
    </row>
    <row r="782" spans="1:8">
      <c r="A782" s="7" t="str">
        <f t="shared" si="36"/>
        <v>05</v>
      </c>
      <c r="B782" s="7" t="str">
        <f t="shared" si="37"/>
        <v>004</v>
      </c>
      <c r="C782" s="7" t="str">
        <f t="shared" si="38"/>
        <v>Almirante Brown</v>
      </c>
      <c r="D782" s="18" t="s">
        <v>3724</v>
      </c>
      <c r="E782" s="18">
        <v>1</v>
      </c>
      <c r="F782" s="18">
        <v>0</v>
      </c>
      <c r="G782" s="18">
        <v>5</v>
      </c>
      <c r="H782" s="18" t="s">
        <v>256</v>
      </c>
    </row>
    <row r="783" spans="1:8">
      <c r="A783" s="7" t="str">
        <f t="shared" si="36"/>
        <v>05</v>
      </c>
      <c r="B783" s="7" t="str">
        <f t="shared" si="37"/>
        <v>004</v>
      </c>
      <c r="C783" s="7" t="str">
        <f t="shared" si="38"/>
        <v>Almirante Brown</v>
      </c>
      <c r="D783" s="18" t="s">
        <v>3725</v>
      </c>
      <c r="E783" s="18">
        <v>1</v>
      </c>
      <c r="F783" s="18">
        <v>0</v>
      </c>
      <c r="G783" s="18">
        <v>5</v>
      </c>
      <c r="H783" s="18" t="s">
        <v>256</v>
      </c>
    </row>
    <row r="784" spans="1:8">
      <c r="A784" s="7" t="str">
        <f t="shared" si="36"/>
        <v>05</v>
      </c>
      <c r="B784" s="7" t="str">
        <f t="shared" si="37"/>
        <v>004</v>
      </c>
      <c r="C784" s="7" t="str">
        <f t="shared" si="38"/>
        <v>Almirante Brown</v>
      </c>
      <c r="D784" s="18" t="s">
        <v>3726</v>
      </c>
      <c r="E784" s="18">
        <v>1</v>
      </c>
      <c r="F784" s="18">
        <v>14</v>
      </c>
      <c r="G784" s="18">
        <v>5</v>
      </c>
      <c r="H784" s="18" t="s">
        <v>256</v>
      </c>
    </row>
    <row r="785" spans="1:8">
      <c r="A785" s="7" t="str">
        <f t="shared" si="36"/>
        <v>05</v>
      </c>
      <c r="B785" s="7" t="str">
        <f t="shared" si="37"/>
        <v>004</v>
      </c>
      <c r="C785" s="7" t="str">
        <f t="shared" si="38"/>
        <v>Almirante Brown</v>
      </c>
      <c r="D785" s="18" t="s">
        <v>3727</v>
      </c>
      <c r="E785" s="18">
        <v>6</v>
      </c>
      <c r="F785" s="18">
        <v>113</v>
      </c>
      <c r="G785" s="18">
        <v>5</v>
      </c>
      <c r="H785" s="18" t="s">
        <v>256</v>
      </c>
    </row>
    <row r="786" spans="1:8">
      <c r="A786" s="7" t="str">
        <f t="shared" si="36"/>
        <v>05</v>
      </c>
      <c r="B786" s="7" t="str">
        <f t="shared" si="37"/>
        <v>004</v>
      </c>
      <c r="C786" s="7" t="str">
        <f t="shared" si="38"/>
        <v>Almirante Brown</v>
      </c>
      <c r="D786" s="18" t="s">
        <v>3728</v>
      </c>
      <c r="E786" s="18">
        <v>1</v>
      </c>
      <c r="F786" s="18">
        <v>14</v>
      </c>
      <c r="G786" s="18">
        <v>5</v>
      </c>
      <c r="H786" s="18" t="s">
        <v>256</v>
      </c>
    </row>
    <row r="787" spans="1:8">
      <c r="A787" s="7" t="str">
        <f t="shared" si="36"/>
        <v>05</v>
      </c>
      <c r="B787" s="7" t="str">
        <f t="shared" si="37"/>
        <v>004</v>
      </c>
      <c r="C787" s="7" t="str">
        <f t="shared" si="38"/>
        <v>Almirante Brown</v>
      </c>
      <c r="D787" s="18" t="s">
        <v>3729</v>
      </c>
      <c r="E787" s="18">
        <v>1</v>
      </c>
      <c r="F787" s="18">
        <v>9</v>
      </c>
      <c r="G787" s="18">
        <v>5</v>
      </c>
      <c r="H787" s="18" t="s">
        <v>256</v>
      </c>
    </row>
    <row r="788" spans="1:8">
      <c r="A788" s="7" t="str">
        <f t="shared" si="36"/>
        <v>05</v>
      </c>
      <c r="B788" s="7" t="str">
        <f t="shared" si="37"/>
        <v>004</v>
      </c>
      <c r="C788" s="7" t="str">
        <f t="shared" si="38"/>
        <v>Almirante Brown</v>
      </c>
      <c r="D788" s="18" t="s">
        <v>3730</v>
      </c>
      <c r="E788" s="18">
        <v>3</v>
      </c>
      <c r="F788" s="18">
        <v>71</v>
      </c>
      <c r="G788" s="18">
        <v>5</v>
      </c>
      <c r="H788" s="18" t="s">
        <v>256</v>
      </c>
    </row>
    <row r="789" spans="1:8">
      <c r="A789" s="7" t="str">
        <f t="shared" si="36"/>
        <v>05</v>
      </c>
      <c r="B789" s="7" t="str">
        <f t="shared" si="37"/>
        <v>004</v>
      </c>
      <c r="C789" s="7" t="str">
        <f t="shared" si="38"/>
        <v>Almirante Brown</v>
      </c>
      <c r="D789" s="18" t="s">
        <v>3731</v>
      </c>
      <c r="E789" s="18">
        <v>2</v>
      </c>
      <c r="F789" s="18">
        <v>46</v>
      </c>
      <c r="G789" s="18">
        <v>5</v>
      </c>
      <c r="H789" s="18" t="s">
        <v>256</v>
      </c>
    </row>
    <row r="790" spans="1:8">
      <c r="A790" s="7" t="str">
        <f t="shared" si="36"/>
        <v>05</v>
      </c>
      <c r="B790" s="7" t="str">
        <f t="shared" si="37"/>
        <v>004</v>
      </c>
      <c r="C790" s="7" t="str">
        <f t="shared" si="38"/>
        <v>Almirante Brown</v>
      </c>
      <c r="D790" s="18" t="s">
        <v>3732</v>
      </c>
      <c r="E790" s="18">
        <v>1</v>
      </c>
      <c r="F790" s="18">
        <v>16</v>
      </c>
      <c r="G790" s="18">
        <v>5</v>
      </c>
      <c r="H790" s="18" t="s">
        <v>256</v>
      </c>
    </row>
    <row r="791" spans="1:8">
      <c r="A791" s="7" t="str">
        <f t="shared" si="36"/>
        <v>05</v>
      </c>
      <c r="B791" s="7" t="str">
        <f t="shared" si="37"/>
        <v>004</v>
      </c>
      <c r="C791" s="7" t="str">
        <f t="shared" si="38"/>
        <v>Almirante Brown</v>
      </c>
      <c r="D791" s="18" t="s">
        <v>3733</v>
      </c>
      <c r="E791" s="18">
        <v>1</v>
      </c>
      <c r="F791" s="18">
        <v>18</v>
      </c>
      <c r="G791" s="18">
        <v>5</v>
      </c>
      <c r="H791" s="18" t="s">
        <v>256</v>
      </c>
    </row>
    <row r="792" spans="1:8">
      <c r="A792" s="7" t="str">
        <f t="shared" si="36"/>
        <v>05</v>
      </c>
      <c r="B792" s="7" t="str">
        <f t="shared" si="37"/>
        <v>004</v>
      </c>
      <c r="C792" s="7" t="str">
        <f t="shared" si="38"/>
        <v>Almirante Brown</v>
      </c>
      <c r="D792" s="18" t="s">
        <v>3734</v>
      </c>
      <c r="E792" s="18">
        <v>7</v>
      </c>
      <c r="F792" s="18">
        <v>156</v>
      </c>
      <c r="G792" s="18">
        <v>5</v>
      </c>
      <c r="H792" s="18" t="s">
        <v>256</v>
      </c>
    </row>
    <row r="793" spans="1:8">
      <c r="A793" s="7" t="str">
        <f t="shared" si="36"/>
        <v>05</v>
      </c>
      <c r="B793" s="7" t="str">
        <f t="shared" si="37"/>
        <v>004</v>
      </c>
      <c r="C793" s="7" t="str">
        <f t="shared" si="38"/>
        <v>Almirante Brown</v>
      </c>
      <c r="D793" s="18" t="s">
        <v>3735</v>
      </c>
      <c r="E793" s="18">
        <v>2</v>
      </c>
      <c r="F793" s="18">
        <v>43</v>
      </c>
      <c r="G793" s="18">
        <v>5</v>
      </c>
      <c r="H793" s="18" t="s">
        <v>256</v>
      </c>
    </row>
    <row r="794" spans="1:8">
      <c r="A794" s="7" t="str">
        <f t="shared" si="36"/>
        <v>05</v>
      </c>
      <c r="B794" s="7" t="str">
        <f t="shared" si="37"/>
        <v>004</v>
      </c>
      <c r="C794" s="7" t="str">
        <f t="shared" si="38"/>
        <v>Almirante Brown</v>
      </c>
      <c r="D794" s="18" t="s">
        <v>3736</v>
      </c>
      <c r="E794" s="18">
        <v>1</v>
      </c>
      <c r="F794" s="18">
        <v>26</v>
      </c>
      <c r="G794" s="18">
        <v>5</v>
      </c>
      <c r="H794" s="18" t="s">
        <v>256</v>
      </c>
    </row>
    <row r="795" spans="1:8">
      <c r="A795" s="7" t="str">
        <f t="shared" si="36"/>
        <v>05</v>
      </c>
      <c r="B795" s="7" t="str">
        <f t="shared" si="37"/>
        <v>004</v>
      </c>
      <c r="C795" s="7" t="str">
        <f t="shared" si="38"/>
        <v>Almirante Brown</v>
      </c>
      <c r="D795" s="18" t="s">
        <v>3737</v>
      </c>
      <c r="E795" s="18">
        <v>1</v>
      </c>
      <c r="F795" s="18">
        <v>17</v>
      </c>
      <c r="G795" s="18">
        <v>5</v>
      </c>
      <c r="H795" s="18" t="s">
        <v>256</v>
      </c>
    </row>
    <row r="796" spans="1:8">
      <c r="A796" s="7" t="str">
        <f t="shared" si="36"/>
        <v>05</v>
      </c>
      <c r="B796" s="7" t="str">
        <f t="shared" si="37"/>
        <v>004</v>
      </c>
      <c r="C796" s="7" t="str">
        <f t="shared" si="38"/>
        <v>Almirante Brown</v>
      </c>
      <c r="D796" s="18" t="s">
        <v>3738</v>
      </c>
      <c r="E796" s="18">
        <v>1</v>
      </c>
      <c r="F796" s="18">
        <v>16</v>
      </c>
      <c r="G796" s="18">
        <v>5</v>
      </c>
      <c r="H796" s="18" t="s">
        <v>256</v>
      </c>
    </row>
    <row r="797" spans="1:8">
      <c r="A797" s="7" t="str">
        <f t="shared" si="36"/>
        <v>05</v>
      </c>
      <c r="B797" s="7" t="str">
        <f t="shared" si="37"/>
        <v>004</v>
      </c>
      <c r="C797" s="7" t="str">
        <f t="shared" si="38"/>
        <v>Almirante Brown</v>
      </c>
      <c r="D797" s="18" t="s">
        <v>3739</v>
      </c>
      <c r="E797" s="18">
        <v>2</v>
      </c>
      <c r="F797" s="18">
        <v>47</v>
      </c>
      <c r="G797" s="18">
        <v>5</v>
      </c>
      <c r="H797" s="18" t="s">
        <v>256</v>
      </c>
    </row>
    <row r="798" spans="1:8">
      <c r="A798" s="7" t="str">
        <f t="shared" si="36"/>
        <v>05</v>
      </c>
      <c r="B798" s="7" t="str">
        <f t="shared" si="37"/>
        <v>004</v>
      </c>
      <c r="C798" s="7" t="str">
        <f t="shared" si="38"/>
        <v>Almirante Brown</v>
      </c>
      <c r="D798" s="18" t="s">
        <v>3740</v>
      </c>
      <c r="E798" s="18">
        <v>1</v>
      </c>
      <c r="F798" s="18">
        <v>16</v>
      </c>
      <c r="G798" s="18">
        <v>5</v>
      </c>
      <c r="H798" s="18" t="s">
        <v>256</v>
      </c>
    </row>
    <row r="799" spans="1:8">
      <c r="A799" s="7" t="str">
        <f t="shared" si="36"/>
        <v>05</v>
      </c>
      <c r="B799" s="7" t="str">
        <f t="shared" si="37"/>
        <v>004</v>
      </c>
      <c r="C799" s="7" t="str">
        <f t="shared" si="38"/>
        <v>Almirante Brown</v>
      </c>
      <c r="D799" s="18" t="s">
        <v>3741</v>
      </c>
      <c r="E799" s="18">
        <v>1</v>
      </c>
      <c r="F799" s="18">
        <v>0</v>
      </c>
      <c r="G799" s="18">
        <v>5</v>
      </c>
      <c r="H799" s="18" t="s">
        <v>256</v>
      </c>
    </row>
    <row r="800" spans="1:8">
      <c r="A800" s="7" t="str">
        <f t="shared" si="36"/>
        <v>05</v>
      </c>
      <c r="B800" s="7" t="str">
        <f t="shared" si="37"/>
        <v>004</v>
      </c>
      <c r="C800" s="7" t="str">
        <f t="shared" si="38"/>
        <v>Almirante Brown</v>
      </c>
      <c r="D800" s="18" t="s">
        <v>3742</v>
      </c>
      <c r="E800" s="18">
        <v>1</v>
      </c>
      <c r="F800" s="18">
        <v>21</v>
      </c>
      <c r="G800" s="18">
        <v>5</v>
      </c>
      <c r="H800" s="18" t="s">
        <v>256</v>
      </c>
    </row>
    <row r="801" spans="1:8">
      <c r="A801" s="7" t="str">
        <f t="shared" si="36"/>
        <v>05</v>
      </c>
      <c r="B801" s="7" t="str">
        <f t="shared" si="37"/>
        <v>004</v>
      </c>
      <c r="C801" s="7" t="str">
        <f t="shared" si="38"/>
        <v>Almirante Brown</v>
      </c>
      <c r="D801" s="18" t="s">
        <v>3743</v>
      </c>
      <c r="E801" s="18">
        <v>1</v>
      </c>
      <c r="F801" s="18">
        <v>15</v>
      </c>
      <c r="G801" s="18">
        <v>5</v>
      </c>
      <c r="H801" s="18" t="s">
        <v>256</v>
      </c>
    </row>
    <row r="802" spans="1:8">
      <c r="A802" s="7" t="str">
        <f t="shared" si="36"/>
        <v>05</v>
      </c>
      <c r="B802" s="7" t="str">
        <f t="shared" si="37"/>
        <v>004</v>
      </c>
      <c r="C802" s="7" t="str">
        <f t="shared" si="38"/>
        <v>Almirante Brown</v>
      </c>
      <c r="D802" s="18" t="s">
        <v>3744</v>
      </c>
      <c r="E802" s="18">
        <v>1</v>
      </c>
      <c r="F802" s="18">
        <v>18</v>
      </c>
      <c r="G802" s="18">
        <v>5</v>
      </c>
      <c r="H802" s="18" t="s">
        <v>256</v>
      </c>
    </row>
    <row r="803" spans="1:8">
      <c r="A803" s="7" t="str">
        <f t="shared" si="36"/>
        <v>05</v>
      </c>
      <c r="B803" s="7" t="str">
        <f t="shared" si="37"/>
        <v>004</v>
      </c>
      <c r="C803" s="7" t="str">
        <f t="shared" si="38"/>
        <v>Almirante Brown</v>
      </c>
      <c r="D803" s="18" t="s">
        <v>3745</v>
      </c>
      <c r="E803" s="18">
        <v>1</v>
      </c>
      <c r="F803" s="18">
        <v>17</v>
      </c>
      <c r="G803" s="18">
        <v>5</v>
      </c>
      <c r="H803" s="18" t="s">
        <v>256</v>
      </c>
    </row>
    <row r="804" spans="1:8">
      <c r="A804" s="7" t="str">
        <f t="shared" si="36"/>
        <v>05</v>
      </c>
      <c r="B804" s="7" t="str">
        <f t="shared" si="37"/>
        <v>004</v>
      </c>
      <c r="C804" s="7" t="str">
        <f t="shared" si="38"/>
        <v>Almirante Brown</v>
      </c>
      <c r="D804" s="18" t="s">
        <v>3746</v>
      </c>
      <c r="E804" s="18">
        <v>2</v>
      </c>
      <c r="F804" s="18">
        <v>51</v>
      </c>
      <c r="G804" s="18">
        <v>5</v>
      </c>
      <c r="H804" s="18" t="s">
        <v>256</v>
      </c>
    </row>
    <row r="805" spans="1:8">
      <c r="A805" s="7" t="str">
        <f t="shared" si="36"/>
        <v>05</v>
      </c>
      <c r="B805" s="7" t="str">
        <f t="shared" si="37"/>
        <v>004</v>
      </c>
      <c r="C805" s="7" t="str">
        <f t="shared" si="38"/>
        <v>Almirante Brown</v>
      </c>
      <c r="D805" s="18" t="s">
        <v>3747</v>
      </c>
      <c r="E805" s="18">
        <v>1</v>
      </c>
      <c r="F805" s="18">
        <v>23</v>
      </c>
      <c r="G805" s="18">
        <v>5</v>
      </c>
      <c r="H805" s="18" t="s">
        <v>256</v>
      </c>
    </row>
    <row r="806" spans="1:8">
      <c r="A806" s="7" t="str">
        <f t="shared" si="36"/>
        <v>05</v>
      </c>
      <c r="B806" s="7" t="str">
        <f t="shared" si="37"/>
        <v>004</v>
      </c>
      <c r="C806" s="7" t="str">
        <f t="shared" si="38"/>
        <v>Almirante Brown</v>
      </c>
      <c r="D806" s="18" t="s">
        <v>3748</v>
      </c>
      <c r="E806" s="18">
        <v>1</v>
      </c>
      <c r="F806" s="18">
        <v>19</v>
      </c>
      <c r="G806" s="18">
        <v>5</v>
      </c>
      <c r="H806" s="18" t="s">
        <v>256</v>
      </c>
    </row>
    <row r="807" spans="1:8">
      <c r="A807" s="7" t="str">
        <f t="shared" si="36"/>
        <v>05</v>
      </c>
      <c r="B807" s="7" t="str">
        <f t="shared" si="37"/>
        <v>004</v>
      </c>
      <c r="C807" s="7" t="str">
        <f t="shared" si="38"/>
        <v>Almirante Brown</v>
      </c>
      <c r="D807" s="18" t="s">
        <v>3749</v>
      </c>
      <c r="E807" s="18">
        <v>1</v>
      </c>
      <c r="F807" s="18">
        <v>26</v>
      </c>
      <c r="G807" s="18">
        <v>5</v>
      </c>
      <c r="H807" s="18" t="s">
        <v>256</v>
      </c>
    </row>
    <row r="808" spans="1:8">
      <c r="A808" s="7" t="str">
        <f t="shared" si="36"/>
        <v>05</v>
      </c>
      <c r="B808" s="7" t="str">
        <f t="shared" si="37"/>
        <v>004</v>
      </c>
      <c r="C808" s="7" t="str">
        <f t="shared" si="38"/>
        <v>Almirante Brown</v>
      </c>
      <c r="D808" s="18" t="s">
        <v>3750</v>
      </c>
      <c r="E808" s="18">
        <v>2</v>
      </c>
      <c r="F808" s="18">
        <v>32</v>
      </c>
      <c r="G808" s="18">
        <v>5</v>
      </c>
      <c r="H808" s="18" t="s">
        <v>256</v>
      </c>
    </row>
    <row r="809" spans="1:8">
      <c r="A809" s="7" t="str">
        <f t="shared" si="36"/>
        <v>05</v>
      </c>
      <c r="B809" s="7" t="str">
        <f t="shared" si="37"/>
        <v>004</v>
      </c>
      <c r="C809" s="7" t="str">
        <f t="shared" si="38"/>
        <v>Almirante Brown</v>
      </c>
      <c r="D809" s="18" t="s">
        <v>3751</v>
      </c>
      <c r="E809" s="18">
        <v>1</v>
      </c>
      <c r="F809" s="18">
        <v>10</v>
      </c>
      <c r="G809" s="18">
        <v>5</v>
      </c>
      <c r="H809" s="18" t="s">
        <v>256</v>
      </c>
    </row>
    <row r="810" spans="1:8">
      <c r="A810" s="7" t="str">
        <f t="shared" si="36"/>
        <v>05</v>
      </c>
      <c r="B810" s="7" t="str">
        <f t="shared" si="37"/>
        <v>004</v>
      </c>
      <c r="C810" s="7" t="str">
        <f t="shared" si="38"/>
        <v>Almirante Brown</v>
      </c>
      <c r="D810" s="18" t="s">
        <v>3752</v>
      </c>
      <c r="E810" s="18">
        <v>3</v>
      </c>
      <c r="F810" s="18">
        <v>59</v>
      </c>
      <c r="G810" s="18">
        <v>5</v>
      </c>
      <c r="H810" s="18" t="s">
        <v>256</v>
      </c>
    </row>
    <row r="811" spans="1:8">
      <c r="A811" s="7" t="str">
        <f t="shared" si="36"/>
        <v>05</v>
      </c>
      <c r="B811" s="7" t="str">
        <f t="shared" si="37"/>
        <v>004</v>
      </c>
      <c r="C811" s="7" t="str">
        <f t="shared" si="38"/>
        <v>Almirante Brown</v>
      </c>
      <c r="D811" s="18" t="s">
        <v>3753</v>
      </c>
      <c r="E811" s="18">
        <v>2</v>
      </c>
      <c r="F811" s="18">
        <v>8</v>
      </c>
      <c r="G811" s="18">
        <v>5</v>
      </c>
      <c r="H811" s="18" t="s">
        <v>256</v>
      </c>
    </row>
    <row r="812" spans="1:8">
      <c r="A812" s="7" t="str">
        <f t="shared" si="36"/>
        <v>05</v>
      </c>
      <c r="B812" s="7" t="str">
        <f t="shared" si="37"/>
        <v>004</v>
      </c>
      <c r="C812" s="7" t="str">
        <f t="shared" si="38"/>
        <v>Almirante Brown</v>
      </c>
      <c r="D812" s="18" t="s">
        <v>3754</v>
      </c>
      <c r="E812" s="18">
        <v>1</v>
      </c>
      <c r="F812" s="18">
        <v>17</v>
      </c>
      <c r="G812" s="18">
        <v>5</v>
      </c>
      <c r="H812" s="18" t="s">
        <v>256</v>
      </c>
    </row>
    <row r="813" spans="1:8">
      <c r="A813" s="7" t="str">
        <f t="shared" si="36"/>
        <v>05</v>
      </c>
      <c r="B813" s="7" t="str">
        <f t="shared" si="37"/>
        <v>004</v>
      </c>
      <c r="C813" s="7" t="str">
        <f t="shared" si="38"/>
        <v>Almirante Brown</v>
      </c>
      <c r="D813" s="18" t="s">
        <v>3755</v>
      </c>
      <c r="E813" s="18">
        <v>1</v>
      </c>
      <c r="F813" s="18">
        <v>12</v>
      </c>
      <c r="G813" s="18">
        <v>5</v>
      </c>
      <c r="H813" s="18" t="s">
        <v>256</v>
      </c>
    </row>
    <row r="814" spans="1:8">
      <c r="A814" s="7" t="str">
        <f t="shared" si="36"/>
        <v>05</v>
      </c>
      <c r="B814" s="7" t="str">
        <f t="shared" si="37"/>
        <v>004</v>
      </c>
      <c r="C814" s="7" t="str">
        <f t="shared" si="38"/>
        <v>Almirante Brown</v>
      </c>
      <c r="D814" s="18" t="s">
        <v>3756</v>
      </c>
      <c r="E814" s="18">
        <v>1</v>
      </c>
      <c r="F814" s="18">
        <v>19</v>
      </c>
      <c r="G814" s="18">
        <v>5</v>
      </c>
      <c r="H814" s="18" t="s">
        <v>256</v>
      </c>
    </row>
    <row r="815" spans="1:8">
      <c r="A815" s="7" t="str">
        <f t="shared" si="36"/>
        <v>05</v>
      </c>
      <c r="B815" s="7" t="str">
        <f t="shared" si="37"/>
        <v>004</v>
      </c>
      <c r="C815" s="7" t="str">
        <f t="shared" si="38"/>
        <v>Almirante Brown</v>
      </c>
      <c r="D815" s="18" t="s">
        <v>3757</v>
      </c>
      <c r="E815" s="18">
        <v>1</v>
      </c>
      <c r="F815" s="18">
        <v>21</v>
      </c>
      <c r="G815" s="18">
        <v>5</v>
      </c>
      <c r="H815" s="18" t="s">
        <v>256</v>
      </c>
    </row>
    <row r="816" spans="1:8">
      <c r="A816" s="7" t="str">
        <f t="shared" si="36"/>
        <v>05</v>
      </c>
      <c r="B816" s="7" t="str">
        <f t="shared" si="37"/>
        <v>004</v>
      </c>
      <c r="C816" s="7" t="str">
        <f t="shared" si="38"/>
        <v>Almirante Brown</v>
      </c>
      <c r="D816" s="18" t="s">
        <v>3758</v>
      </c>
      <c r="E816" s="18">
        <v>3</v>
      </c>
      <c r="F816" s="18">
        <v>102</v>
      </c>
      <c r="G816" s="18">
        <v>5</v>
      </c>
      <c r="H816" s="18" t="s">
        <v>256</v>
      </c>
    </row>
    <row r="817" spans="1:8">
      <c r="A817" s="7" t="str">
        <f t="shared" si="36"/>
        <v>05</v>
      </c>
      <c r="B817" s="7" t="str">
        <f t="shared" si="37"/>
        <v>004</v>
      </c>
      <c r="C817" s="7" t="str">
        <f t="shared" si="38"/>
        <v>Almirante Brown</v>
      </c>
      <c r="D817" s="18" t="s">
        <v>3759</v>
      </c>
      <c r="E817" s="18">
        <v>3</v>
      </c>
      <c r="F817" s="18">
        <v>65</v>
      </c>
      <c r="G817" s="18">
        <v>5</v>
      </c>
      <c r="H817" s="18" t="s">
        <v>256</v>
      </c>
    </row>
    <row r="818" spans="1:8">
      <c r="A818" s="7" t="str">
        <f t="shared" si="36"/>
        <v>05</v>
      </c>
      <c r="B818" s="7" t="str">
        <f t="shared" si="37"/>
        <v>004</v>
      </c>
      <c r="C818" s="7" t="str">
        <f t="shared" si="38"/>
        <v>Almirante Brown</v>
      </c>
      <c r="D818" s="18" t="s">
        <v>3760</v>
      </c>
      <c r="E818" s="18">
        <v>1</v>
      </c>
      <c r="F818" s="18">
        <v>19</v>
      </c>
      <c r="G818" s="18">
        <v>5</v>
      </c>
      <c r="H818" s="18" t="s">
        <v>256</v>
      </c>
    </row>
    <row r="819" spans="1:8">
      <c r="A819" s="7" t="str">
        <f t="shared" si="36"/>
        <v>05</v>
      </c>
      <c r="B819" s="7" t="str">
        <f t="shared" si="37"/>
        <v>004</v>
      </c>
      <c r="C819" s="7" t="str">
        <f t="shared" si="38"/>
        <v>Almirante Brown</v>
      </c>
      <c r="D819" s="18" t="s">
        <v>3761</v>
      </c>
      <c r="E819" s="18">
        <v>1</v>
      </c>
      <c r="F819" s="18">
        <v>0</v>
      </c>
      <c r="G819" s="18">
        <v>5</v>
      </c>
      <c r="H819" s="18" t="s">
        <v>256</v>
      </c>
    </row>
    <row r="820" spans="1:8">
      <c r="A820" s="7" t="str">
        <f t="shared" si="36"/>
        <v>05</v>
      </c>
      <c r="B820" s="7" t="str">
        <f t="shared" si="37"/>
        <v>004</v>
      </c>
      <c r="C820" s="7" t="str">
        <f t="shared" si="38"/>
        <v>Almirante Brown</v>
      </c>
      <c r="D820" s="18" t="s">
        <v>3762</v>
      </c>
      <c r="E820" s="18">
        <v>4</v>
      </c>
      <c r="F820" s="18">
        <v>93</v>
      </c>
      <c r="G820" s="18">
        <v>5</v>
      </c>
      <c r="H820" s="18" t="s">
        <v>256</v>
      </c>
    </row>
    <row r="821" spans="1:8">
      <c r="A821" s="7" t="str">
        <f t="shared" si="36"/>
        <v>05</v>
      </c>
      <c r="B821" s="7" t="str">
        <f t="shared" si="37"/>
        <v>004</v>
      </c>
      <c r="C821" s="7" t="str">
        <f t="shared" si="38"/>
        <v>Almirante Brown</v>
      </c>
      <c r="D821" s="18" t="s">
        <v>3763</v>
      </c>
      <c r="E821" s="18">
        <v>3</v>
      </c>
      <c r="F821" s="18">
        <v>93</v>
      </c>
      <c r="G821" s="18">
        <v>5</v>
      </c>
      <c r="H821" s="18" t="s">
        <v>256</v>
      </c>
    </row>
    <row r="822" spans="1:8">
      <c r="A822" s="7" t="str">
        <f t="shared" si="36"/>
        <v>05</v>
      </c>
      <c r="B822" s="7" t="str">
        <f t="shared" si="37"/>
        <v>004</v>
      </c>
      <c r="C822" s="7" t="str">
        <f t="shared" si="38"/>
        <v>Almirante Brown</v>
      </c>
      <c r="D822" s="18" t="s">
        <v>3764</v>
      </c>
      <c r="E822" s="18">
        <v>2</v>
      </c>
      <c r="F822" s="18">
        <v>30</v>
      </c>
      <c r="G822" s="18">
        <v>5</v>
      </c>
      <c r="H822" s="18" t="s">
        <v>256</v>
      </c>
    </row>
    <row r="823" spans="1:8">
      <c r="A823" s="7" t="str">
        <f t="shared" si="36"/>
        <v>05</v>
      </c>
      <c r="B823" s="7" t="str">
        <f t="shared" si="37"/>
        <v>004</v>
      </c>
      <c r="C823" s="7" t="str">
        <f t="shared" si="38"/>
        <v>Almirante Brown</v>
      </c>
      <c r="D823" s="18" t="s">
        <v>3765</v>
      </c>
      <c r="E823" s="18">
        <v>1</v>
      </c>
      <c r="F823" s="18">
        <v>26</v>
      </c>
      <c r="G823" s="18">
        <v>5</v>
      </c>
      <c r="H823" s="18" t="s">
        <v>256</v>
      </c>
    </row>
    <row r="824" spans="1:8">
      <c r="A824" s="7" t="str">
        <f t="shared" si="36"/>
        <v>05</v>
      </c>
      <c r="B824" s="7" t="str">
        <f t="shared" si="37"/>
        <v>004</v>
      </c>
      <c r="C824" s="7" t="str">
        <f t="shared" si="38"/>
        <v>Almirante Brown</v>
      </c>
      <c r="D824" s="18" t="s">
        <v>3766</v>
      </c>
      <c r="E824" s="18">
        <v>2</v>
      </c>
      <c r="F824" s="18">
        <v>54</v>
      </c>
      <c r="G824" s="18">
        <v>5</v>
      </c>
      <c r="H824" s="18" t="s">
        <v>256</v>
      </c>
    </row>
    <row r="825" spans="1:8">
      <c r="A825" s="7" t="str">
        <f t="shared" si="36"/>
        <v>05</v>
      </c>
      <c r="B825" s="7" t="str">
        <f t="shared" si="37"/>
        <v>004</v>
      </c>
      <c r="C825" s="7" t="str">
        <f t="shared" si="38"/>
        <v>Almirante Brown</v>
      </c>
      <c r="D825" s="18" t="s">
        <v>3767</v>
      </c>
      <c r="E825" s="18">
        <v>5</v>
      </c>
      <c r="F825" s="18">
        <v>114</v>
      </c>
      <c r="G825" s="18">
        <v>5</v>
      </c>
      <c r="H825" s="18" t="s">
        <v>256</v>
      </c>
    </row>
    <row r="826" spans="1:8">
      <c r="A826" s="7" t="str">
        <f t="shared" si="36"/>
        <v>05</v>
      </c>
      <c r="B826" s="7" t="str">
        <f t="shared" si="37"/>
        <v>004</v>
      </c>
      <c r="C826" s="7" t="str">
        <f t="shared" si="38"/>
        <v>Almirante Brown</v>
      </c>
      <c r="D826" s="18" t="s">
        <v>3326</v>
      </c>
      <c r="E826" s="18">
        <v>3</v>
      </c>
      <c r="F826" s="18">
        <v>59</v>
      </c>
      <c r="G826" s="18">
        <v>5</v>
      </c>
      <c r="H826" s="18" t="s">
        <v>256</v>
      </c>
    </row>
    <row r="827" spans="1:8">
      <c r="A827" s="7" t="str">
        <f t="shared" si="36"/>
        <v>05</v>
      </c>
      <c r="B827" s="7" t="str">
        <f t="shared" si="37"/>
        <v>004</v>
      </c>
      <c r="C827" s="7" t="str">
        <f t="shared" si="38"/>
        <v>Almirante Brown</v>
      </c>
      <c r="D827" s="18" t="s">
        <v>3768</v>
      </c>
      <c r="E827" s="18">
        <v>4</v>
      </c>
      <c r="F827" s="18">
        <v>98</v>
      </c>
      <c r="G827" s="18">
        <v>5</v>
      </c>
      <c r="H827" s="18" t="s">
        <v>256</v>
      </c>
    </row>
    <row r="828" spans="1:8">
      <c r="A828" s="7" t="str">
        <f t="shared" si="36"/>
        <v>05</v>
      </c>
      <c r="B828" s="7" t="str">
        <f t="shared" si="37"/>
        <v>004</v>
      </c>
      <c r="C828" s="7" t="str">
        <f t="shared" si="38"/>
        <v>Almirante Brown</v>
      </c>
      <c r="D828" s="18" t="s">
        <v>3769</v>
      </c>
      <c r="E828" s="18">
        <v>6</v>
      </c>
      <c r="F828" s="18">
        <v>168</v>
      </c>
      <c r="G828" s="18">
        <v>5</v>
      </c>
      <c r="H828" s="18" t="s">
        <v>256</v>
      </c>
    </row>
    <row r="829" spans="1:8">
      <c r="A829" s="7" t="str">
        <f t="shared" si="36"/>
        <v>05</v>
      </c>
      <c r="B829" s="7" t="str">
        <f t="shared" si="37"/>
        <v>004</v>
      </c>
      <c r="C829" s="7" t="str">
        <f t="shared" si="38"/>
        <v>Almirante Brown</v>
      </c>
      <c r="D829" s="18" t="s">
        <v>3770</v>
      </c>
      <c r="E829" s="18">
        <v>2</v>
      </c>
      <c r="F829" s="18">
        <v>41</v>
      </c>
      <c r="G829" s="18">
        <v>5</v>
      </c>
      <c r="H829" s="18" t="s">
        <v>256</v>
      </c>
    </row>
    <row r="830" spans="1:8">
      <c r="A830" s="7" t="str">
        <f t="shared" si="36"/>
        <v>05</v>
      </c>
      <c r="B830" s="7" t="str">
        <f t="shared" si="37"/>
        <v>004</v>
      </c>
      <c r="C830" s="7" t="str">
        <f t="shared" si="38"/>
        <v>Almirante Brown</v>
      </c>
      <c r="D830" s="18" t="s">
        <v>3771</v>
      </c>
      <c r="E830" s="18">
        <v>7</v>
      </c>
      <c r="F830" s="18">
        <v>169</v>
      </c>
      <c r="G830" s="18">
        <v>5</v>
      </c>
      <c r="H830" s="18" t="s">
        <v>256</v>
      </c>
    </row>
    <row r="831" spans="1:8">
      <c r="A831" s="7" t="str">
        <f t="shared" si="36"/>
        <v>05</v>
      </c>
      <c r="B831" s="7" t="str">
        <f t="shared" si="37"/>
        <v>004</v>
      </c>
      <c r="C831" s="7" t="str">
        <f t="shared" si="38"/>
        <v>Almirante Brown</v>
      </c>
      <c r="D831" s="18" t="s">
        <v>3772</v>
      </c>
      <c r="E831" s="18">
        <v>3</v>
      </c>
      <c r="F831" s="18">
        <v>57</v>
      </c>
      <c r="G831" s="18">
        <v>5</v>
      </c>
      <c r="H831" s="18" t="s">
        <v>256</v>
      </c>
    </row>
    <row r="832" spans="1:8">
      <c r="A832" s="7" t="str">
        <f t="shared" si="36"/>
        <v>05</v>
      </c>
      <c r="B832" s="7" t="str">
        <f t="shared" si="37"/>
        <v>004</v>
      </c>
      <c r="C832" s="7" t="str">
        <f t="shared" si="38"/>
        <v>Almirante Brown</v>
      </c>
      <c r="D832" s="18" t="s">
        <v>3773</v>
      </c>
      <c r="E832" s="18">
        <v>2</v>
      </c>
      <c r="F832" s="18">
        <v>42</v>
      </c>
      <c r="G832" s="18">
        <v>5</v>
      </c>
      <c r="H832" s="18" t="s">
        <v>256</v>
      </c>
    </row>
    <row r="833" spans="1:8">
      <c r="A833" s="7" t="str">
        <f t="shared" si="36"/>
        <v>05</v>
      </c>
      <c r="B833" s="7" t="str">
        <f t="shared" si="37"/>
        <v>004</v>
      </c>
      <c r="C833" s="7" t="str">
        <f t="shared" si="38"/>
        <v>Almirante Brown</v>
      </c>
      <c r="D833" s="18" t="s">
        <v>3774</v>
      </c>
      <c r="E833" s="18">
        <v>7</v>
      </c>
      <c r="F833" s="18">
        <v>186</v>
      </c>
      <c r="G833" s="18">
        <v>5</v>
      </c>
      <c r="H833" s="18" t="s">
        <v>256</v>
      </c>
    </row>
    <row r="834" spans="1:8">
      <c r="A834" s="7" t="str">
        <f t="shared" si="36"/>
        <v>05</v>
      </c>
      <c r="B834" s="7" t="str">
        <f t="shared" si="37"/>
        <v>004</v>
      </c>
      <c r="C834" s="7" t="str">
        <f t="shared" si="38"/>
        <v>Almirante Brown</v>
      </c>
      <c r="D834" s="18" t="s">
        <v>3775</v>
      </c>
      <c r="E834" s="18">
        <v>1</v>
      </c>
      <c r="F834" s="18">
        <v>26</v>
      </c>
      <c r="G834" s="18">
        <v>5</v>
      </c>
      <c r="H834" s="18" t="s">
        <v>256</v>
      </c>
    </row>
    <row r="835" spans="1:8">
      <c r="A835" s="7" t="str">
        <f t="shared" ref="A835:A898" si="39">+VLOOKUP(H835,$K:$N,2,FALSE)</f>
        <v>05</v>
      </c>
      <c r="B835" s="7" t="str">
        <f t="shared" ref="B835:B898" si="40">+VLOOKUP(H835,$K:$N,3,FALSE)</f>
        <v>004</v>
      </c>
      <c r="C835" s="7" t="str">
        <f t="shared" ref="C835:C898" si="41">+VLOOKUP(H835,$K:$N,4,FALSE)</f>
        <v>Almirante Brown</v>
      </c>
      <c r="D835" s="18" t="s">
        <v>3776</v>
      </c>
      <c r="E835" s="18">
        <v>2</v>
      </c>
      <c r="F835" s="18">
        <v>56</v>
      </c>
      <c r="G835" s="18">
        <v>5</v>
      </c>
      <c r="H835" s="18" t="s">
        <v>256</v>
      </c>
    </row>
    <row r="836" spans="1:8">
      <c r="A836" s="7" t="str">
        <f t="shared" si="39"/>
        <v>05</v>
      </c>
      <c r="B836" s="7" t="str">
        <f t="shared" si="40"/>
        <v>004</v>
      </c>
      <c r="C836" s="7" t="str">
        <f t="shared" si="41"/>
        <v>Almirante Brown</v>
      </c>
      <c r="D836" s="18" t="s">
        <v>3777</v>
      </c>
      <c r="E836" s="18">
        <v>4</v>
      </c>
      <c r="F836" s="18">
        <v>83</v>
      </c>
      <c r="G836" s="18">
        <v>5</v>
      </c>
      <c r="H836" s="18" t="s">
        <v>256</v>
      </c>
    </row>
    <row r="837" spans="1:8">
      <c r="A837" s="7" t="str">
        <f t="shared" si="39"/>
        <v>05</v>
      </c>
      <c r="B837" s="7" t="str">
        <f t="shared" si="40"/>
        <v>004</v>
      </c>
      <c r="C837" s="7" t="str">
        <f t="shared" si="41"/>
        <v>Almirante Brown</v>
      </c>
      <c r="D837" s="18" t="s">
        <v>3778</v>
      </c>
      <c r="E837" s="18">
        <v>3</v>
      </c>
      <c r="F837" s="18">
        <v>90</v>
      </c>
      <c r="G837" s="18">
        <v>5</v>
      </c>
      <c r="H837" s="18" t="s">
        <v>256</v>
      </c>
    </row>
    <row r="838" spans="1:8">
      <c r="A838" s="7" t="str">
        <f t="shared" si="39"/>
        <v>05</v>
      </c>
      <c r="B838" s="7" t="str">
        <f t="shared" si="40"/>
        <v>004</v>
      </c>
      <c r="C838" s="7" t="str">
        <f t="shared" si="41"/>
        <v>Almirante Brown</v>
      </c>
      <c r="D838" s="18" t="s">
        <v>3779</v>
      </c>
      <c r="E838" s="18">
        <v>2</v>
      </c>
      <c r="F838" s="18">
        <v>43</v>
      </c>
      <c r="G838" s="18">
        <v>5</v>
      </c>
      <c r="H838" s="18" t="s">
        <v>256</v>
      </c>
    </row>
    <row r="839" spans="1:8">
      <c r="A839" s="7" t="str">
        <f t="shared" si="39"/>
        <v>05</v>
      </c>
      <c r="B839" s="7" t="str">
        <f t="shared" si="40"/>
        <v>004</v>
      </c>
      <c r="C839" s="7" t="str">
        <f t="shared" si="41"/>
        <v>Almirante Brown</v>
      </c>
      <c r="D839" s="18" t="s">
        <v>3780</v>
      </c>
      <c r="E839" s="18">
        <v>1</v>
      </c>
      <c r="F839" s="18">
        <v>37</v>
      </c>
      <c r="G839" s="18">
        <v>5</v>
      </c>
      <c r="H839" s="18" t="s">
        <v>256</v>
      </c>
    </row>
    <row r="840" spans="1:8">
      <c r="A840" s="7" t="str">
        <f t="shared" si="39"/>
        <v>05</v>
      </c>
      <c r="B840" s="7" t="str">
        <f t="shared" si="40"/>
        <v>004</v>
      </c>
      <c r="C840" s="7" t="str">
        <f t="shared" si="41"/>
        <v>Almirante Brown</v>
      </c>
      <c r="D840" s="18" t="s">
        <v>3781</v>
      </c>
      <c r="E840" s="18">
        <v>1</v>
      </c>
      <c r="F840" s="18">
        <v>15</v>
      </c>
      <c r="G840" s="18">
        <v>5</v>
      </c>
      <c r="H840" s="18" t="s">
        <v>256</v>
      </c>
    </row>
    <row r="841" spans="1:8">
      <c r="A841" s="7" t="str">
        <f t="shared" si="39"/>
        <v>05</v>
      </c>
      <c r="B841" s="7" t="str">
        <f t="shared" si="40"/>
        <v>004</v>
      </c>
      <c r="C841" s="7" t="str">
        <f t="shared" si="41"/>
        <v>Almirante Brown</v>
      </c>
      <c r="D841" s="18" t="s">
        <v>3782</v>
      </c>
      <c r="E841" s="18">
        <v>1</v>
      </c>
      <c r="F841" s="18">
        <v>22</v>
      </c>
      <c r="G841" s="18">
        <v>5</v>
      </c>
      <c r="H841" s="18" t="s">
        <v>256</v>
      </c>
    </row>
    <row r="842" spans="1:8">
      <c r="A842" s="7" t="str">
        <f t="shared" si="39"/>
        <v>05</v>
      </c>
      <c r="B842" s="7" t="str">
        <f t="shared" si="40"/>
        <v>004</v>
      </c>
      <c r="C842" s="7" t="str">
        <f t="shared" si="41"/>
        <v>Almirante Brown</v>
      </c>
      <c r="D842" s="18" t="s">
        <v>3783</v>
      </c>
      <c r="E842" s="18">
        <v>1</v>
      </c>
      <c r="F842" s="18">
        <v>33</v>
      </c>
      <c r="G842" s="18">
        <v>5</v>
      </c>
      <c r="H842" s="18" t="s">
        <v>256</v>
      </c>
    </row>
    <row r="843" spans="1:8">
      <c r="A843" s="7" t="str">
        <f t="shared" si="39"/>
        <v>05</v>
      </c>
      <c r="B843" s="7" t="str">
        <f t="shared" si="40"/>
        <v>004</v>
      </c>
      <c r="C843" s="7" t="str">
        <f t="shared" si="41"/>
        <v>Almirante Brown</v>
      </c>
      <c r="D843" s="18" t="s">
        <v>3784</v>
      </c>
      <c r="E843" s="18">
        <v>3</v>
      </c>
      <c r="F843" s="18">
        <v>67</v>
      </c>
      <c r="G843" s="18">
        <v>5</v>
      </c>
      <c r="H843" s="18" t="s">
        <v>256</v>
      </c>
    </row>
    <row r="844" spans="1:8">
      <c r="A844" s="7" t="str">
        <f t="shared" si="39"/>
        <v>05</v>
      </c>
      <c r="B844" s="7" t="str">
        <f t="shared" si="40"/>
        <v>004</v>
      </c>
      <c r="C844" s="7" t="str">
        <f t="shared" si="41"/>
        <v>Almirante Brown</v>
      </c>
      <c r="D844" s="18" t="s">
        <v>3785</v>
      </c>
      <c r="E844" s="18">
        <v>1</v>
      </c>
      <c r="F844" s="18">
        <v>24</v>
      </c>
      <c r="G844" s="18">
        <v>5</v>
      </c>
      <c r="H844" s="18" t="s">
        <v>256</v>
      </c>
    </row>
    <row r="845" spans="1:8">
      <c r="A845" s="7" t="str">
        <f t="shared" si="39"/>
        <v>05</v>
      </c>
      <c r="B845" s="7" t="str">
        <f t="shared" si="40"/>
        <v>004</v>
      </c>
      <c r="C845" s="7" t="str">
        <f t="shared" si="41"/>
        <v>Almirante Brown</v>
      </c>
      <c r="D845" s="18" t="s">
        <v>3786</v>
      </c>
      <c r="E845" s="18">
        <v>1</v>
      </c>
      <c r="F845" s="18">
        <v>19</v>
      </c>
      <c r="G845" s="18">
        <v>5</v>
      </c>
      <c r="H845" s="18" t="s">
        <v>256</v>
      </c>
    </row>
    <row r="846" spans="1:8">
      <c r="A846" s="7" t="str">
        <f t="shared" si="39"/>
        <v>05</v>
      </c>
      <c r="B846" s="7" t="str">
        <f t="shared" si="40"/>
        <v>004</v>
      </c>
      <c r="C846" s="7" t="str">
        <f t="shared" si="41"/>
        <v>Almirante Brown</v>
      </c>
      <c r="D846" s="18" t="s">
        <v>3787</v>
      </c>
      <c r="E846" s="18">
        <v>3</v>
      </c>
      <c r="F846" s="18">
        <v>68</v>
      </c>
      <c r="G846" s="18">
        <v>5</v>
      </c>
      <c r="H846" s="18" t="s">
        <v>256</v>
      </c>
    </row>
    <row r="847" spans="1:8">
      <c r="A847" s="7" t="str">
        <f t="shared" si="39"/>
        <v>05</v>
      </c>
      <c r="B847" s="7" t="str">
        <f t="shared" si="40"/>
        <v>004</v>
      </c>
      <c r="C847" s="7" t="str">
        <f t="shared" si="41"/>
        <v>Almirante Brown</v>
      </c>
      <c r="D847" s="18" t="s">
        <v>3788</v>
      </c>
      <c r="E847" s="18">
        <v>1</v>
      </c>
      <c r="F847" s="18">
        <v>28</v>
      </c>
      <c r="G847" s="18">
        <v>5</v>
      </c>
      <c r="H847" s="18" t="s">
        <v>256</v>
      </c>
    </row>
    <row r="848" spans="1:8">
      <c r="A848" s="7" t="str">
        <f t="shared" si="39"/>
        <v>05</v>
      </c>
      <c r="B848" s="7" t="str">
        <f t="shared" si="40"/>
        <v>004</v>
      </c>
      <c r="C848" s="7" t="str">
        <f t="shared" si="41"/>
        <v>Almirante Brown</v>
      </c>
      <c r="D848" s="18" t="s">
        <v>3789</v>
      </c>
      <c r="E848" s="18">
        <v>1</v>
      </c>
      <c r="F848" s="18">
        <v>3</v>
      </c>
      <c r="G848" s="18">
        <v>5</v>
      </c>
      <c r="H848" s="18" t="s">
        <v>256</v>
      </c>
    </row>
    <row r="849" spans="1:8">
      <c r="A849" s="7" t="str">
        <f t="shared" si="39"/>
        <v>05</v>
      </c>
      <c r="B849" s="7" t="str">
        <f t="shared" si="40"/>
        <v>004</v>
      </c>
      <c r="C849" s="7" t="str">
        <f t="shared" si="41"/>
        <v>Almirante Brown</v>
      </c>
      <c r="D849" s="18" t="s">
        <v>3790</v>
      </c>
      <c r="E849" s="18">
        <v>2</v>
      </c>
      <c r="F849" s="18">
        <v>61</v>
      </c>
      <c r="G849" s="18">
        <v>5</v>
      </c>
      <c r="H849" s="18" t="s">
        <v>256</v>
      </c>
    </row>
    <row r="850" spans="1:8">
      <c r="A850" s="7" t="str">
        <f t="shared" si="39"/>
        <v>05</v>
      </c>
      <c r="B850" s="7" t="str">
        <f t="shared" si="40"/>
        <v>004</v>
      </c>
      <c r="C850" s="7" t="str">
        <f t="shared" si="41"/>
        <v>Almirante Brown</v>
      </c>
      <c r="D850" s="18" t="s">
        <v>3791</v>
      </c>
      <c r="E850" s="18">
        <v>1</v>
      </c>
      <c r="F850" s="18">
        <v>33</v>
      </c>
      <c r="G850" s="18">
        <v>5</v>
      </c>
      <c r="H850" s="18" t="s">
        <v>256</v>
      </c>
    </row>
    <row r="851" spans="1:8">
      <c r="A851" s="7" t="str">
        <f t="shared" si="39"/>
        <v>05</v>
      </c>
      <c r="B851" s="7" t="str">
        <f t="shared" si="40"/>
        <v>004</v>
      </c>
      <c r="C851" s="7" t="str">
        <f t="shared" si="41"/>
        <v>Almirante Brown</v>
      </c>
      <c r="D851" s="18" t="s">
        <v>3792</v>
      </c>
      <c r="E851" s="18">
        <v>1</v>
      </c>
      <c r="F851" s="18">
        <v>26</v>
      </c>
      <c r="G851" s="18">
        <v>5</v>
      </c>
      <c r="H851" s="18" t="s">
        <v>256</v>
      </c>
    </row>
    <row r="852" spans="1:8">
      <c r="A852" s="7" t="str">
        <f t="shared" si="39"/>
        <v>05</v>
      </c>
      <c r="B852" s="7" t="str">
        <f t="shared" si="40"/>
        <v>004</v>
      </c>
      <c r="C852" s="7" t="str">
        <f t="shared" si="41"/>
        <v>Almirante Brown</v>
      </c>
      <c r="D852" s="18" t="s">
        <v>3793</v>
      </c>
      <c r="E852" s="18">
        <v>1</v>
      </c>
      <c r="F852" s="18">
        <v>21</v>
      </c>
      <c r="G852" s="18">
        <v>5</v>
      </c>
      <c r="H852" s="18" t="s">
        <v>256</v>
      </c>
    </row>
    <row r="853" spans="1:8">
      <c r="A853" s="7" t="str">
        <f t="shared" si="39"/>
        <v>05</v>
      </c>
      <c r="B853" s="7" t="str">
        <f t="shared" si="40"/>
        <v>004</v>
      </c>
      <c r="C853" s="7" t="str">
        <f t="shared" si="41"/>
        <v>Almirante Brown</v>
      </c>
      <c r="D853" s="18" t="s">
        <v>3794</v>
      </c>
      <c r="E853" s="18">
        <v>1</v>
      </c>
      <c r="F853" s="18">
        <v>28</v>
      </c>
      <c r="G853" s="18">
        <v>5</v>
      </c>
      <c r="H853" s="18" t="s">
        <v>256</v>
      </c>
    </row>
    <row r="854" spans="1:8">
      <c r="A854" s="7" t="str">
        <f t="shared" si="39"/>
        <v>05</v>
      </c>
      <c r="B854" s="7" t="str">
        <f t="shared" si="40"/>
        <v>004</v>
      </c>
      <c r="C854" s="7" t="str">
        <f t="shared" si="41"/>
        <v>Almirante Brown</v>
      </c>
      <c r="D854" s="18" t="s">
        <v>3795</v>
      </c>
      <c r="E854" s="18">
        <v>1</v>
      </c>
      <c r="F854" s="18">
        <v>16</v>
      </c>
      <c r="G854" s="18">
        <v>5</v>
      </c>
      <c r="H854" s="18" t="s">
        <v>256</v>
      </c>
    </row>
    <row r="855" spans="1:8">
      <c r="A855" s="7" t="str">
        <f t="shared" si="39"/>
        <v>05</v>
      </c>
      <c r="B855" s="7" t="str">
        <f t="shared" si="40"/>
        <v>004</v>
      </c>
      <c r="C855" s="7" t="str">
        <f t="shared" si="41"/>
        <v>Almirante Brown</v>
      </c>
      <c r="D855" s="18" t="s">
        <v>3796</v>
      </c>
      <c r="E855" s="18">
        <v>1</v>
      </c>
      <c r="F855" s="18">
        <v>16</v>
      </c>
      <c r="G855" s="18">
        <v>5</v>
      </c>
      <c r="H855" s="18" t="s">
        <v>256</v>
      </c>
    </row>
    <row r="856" spans="1:8">
      <c r="A856" s="7" t="str">
        <f t="shared" si="39"/>
        <v>05</v>
      </c>
      <c r="B856" s="7" t="str">
        <f t="shared" si="40"/>
        <v>004</v>
      </c>
      <c r="C856" s="7" t="str">
        <f t="shared" si="41"/>
        <v>Almirante Brown</v>
      </c>
      <c r="D856" s="18" t="s">
        <v>3797</v>
      </c>
      <c r="E856" s="18">
        <v>1</v>
      </c>
      <c r="F856" s="18">
        <v>22</v>
      </c>
      <c r="G856" s="18">
        <v>5</v>
      </c>
      <c r="H856" s="18" t="s">
        <v>256</v>
      </c>
    </row>
    <row r="857" spans="1:8">
      <c r="A857" s="7" t="str">
        <f t="shared" si="39"/>
        <v>05</v>
      </c>
      <c r="B857" s="7" t="str">
        <f t="shared" si="40"/>
        <v>004</v>
      </c>
      <c r="C857" s="7" t="str">
        <f t="shared" si="41"/>
        <v>Almirante Brown</v>
      </c>
      <c r="D857" s="18" t="s">
        <v>3798</v>
      </c>
      <c r="E857" s="18">
        <v>1</v>
      </c>
      <c r="F857" s="18">
        <v>26</v>
      </c>
      <c r="G857" s="18">
        <v>5</v>
      </c>
      <c r="H857" s="18" t="s">
        <v>256</v>
      </c>
    </row>
    <row r="858" spans="1:8">
      <c r="A858" s="7" t="str">
        <f t="shared" si="39"/>
        <v>05</v>
      </c>
      <c r="B858" s="7" t="str">
        <f t="shared" si="40"/>
        <v>004</v>
      </c>
      <c r="C858" s="7" t="str">
        <f t="shared" si="41"/>
        <v>Almirante Brown</v>
      </c>
      <c r="D858" s="18" t="s">
        <v>3799</v>
      </c>
      <c r="E858" s="18">
        <v>1</v>
      </c>
      <c r="F858" s="18">
        <v>29</v>
      </c>
      <c r="G858" s="18">
        <v>5</v>
      </c>
      <c r="H858" s="18" t="s">
        <v>256</v>
      </c>
    </row>
    <row r="859" spans="1:8">
      <c r="A859" s="7" t="str">
        <f t="shared" si="39"/>
        <v>05</v>
      </c>
      <c r="B859" s="7" t="str">
        <f t="shared" si="40"/>
        <v>004</v>
      </c>
      <c r="C859" s="7" t="str">
        <f t="shared" si="41"/>
        <v>Almirante Brown</v>
      </c>
      <c r="D859" s="18" t="s">
        <v>3800</v>
      </c>
      <c r="E859" s="18">
        <v>1</v>
      </c>
      <c r="F859" s="18">
        <v>17</v>
      </c>
      <c r="G859" s="18">
        <v>5</v>
      </c>
      <c r="H859" s="18" t="s">
        <v>256</v>
      </c>
    </row>
    <row r="860" spans="1:8">
      <c r="A860" s="7" t="str">
        <f t="shared" si="39"/>
        <v>05</v>
      </c>
      <c r="B860" s="7" t="str">
        <f t="shared" si="40"/>
        <v>004</v>
      </c>
      <c r="C860" s="7" t="str">
        <f t="shared" si="41"/>
        <v>Almirante Brown</v>
      </c>
      <c r="D860" s="18" t="s">
        <v>3801</v>
      </c>
      <c r="E860" s="18">
        <v>1</v>
      </c>
      <c r="F860" s="18">
        <v>22</v>
      </c>
      <c r="G860" s="18">
        <v>5</v>
      </c>
      <c r="H860" s="18" t="s">
        <v>256</v>
      </c>
    </row>
    <row r="861" spans="1:8">
      <c r="A861" s="7" t="str">
        <f t="shared" si="39"/>
        <v>05</v>
      </c>
      <c r="B861" s="7" t="str">
        <f t="shared" si="40"/>
        <v>004</v>
      </c>
      <c r="C861" s="7" t="str">
        <f t="shared" si="41"/>
        <v>Almirante Brown</v>
      </c>
      <c r="D861" s="18" t="s">
        <v>3802</v>
      </c>
      <c r="E861" s="18">
        <v>2</v>
      </c>
      <c r="F861" s="18">
        <v>52</v>
      </c>
      <c r="G861" s="18">
        <v>5</v>
      </c>
      <c r="H861" s="18" t="s">
        <v>256</v>
      </c>
    </row>
    <row r="862" spans="1:8">
      <c r="A862" s="7" t="str">
        <f t="shared" si="39"/>
        <v>05</v>
      </c>
      <c r="B862" s="7" t="str">
        <f t="shared" si="40"/>
        <v>004</v>
      </c>
      <c r="C862" s="7" t="str">
        <f t="shared" si="41"/>
        <v>Almirante Brown</v>
      </c>
      <c r="D862" s="18" t="s">
        <v>3803</v>
      </c>
      <c r="E862" s="18">
        <v>1</v>
      </c>
      <c r="F862" s="18">
        <v>25</v>
      </c>
      <c r="G862" s="18">
        <v>5</v>
      </c>
      <c r="H862" s="18" t="s">
        <v>256</v>
      </c>
    </row>
    <row r="863" spans="1:8">
      <c r="A863" s="7" t="str">
        <f t="shared" si="39"/>
        <v>05</v>
      </c>
      <c r="B863" s="7" t="str">
        <f t="shared" si="40"/>
        <v>004</v>
      </c>
      <c r="C863" s="7" t="str">
        <f t="shared" si="41"/>
        <v>Almirante Brown</v>
      </c>
      <c r="D863" s="18" t="s">
        <v>3804</v>
      </c>
      <c r="E863" s="18">
        <v>3</v>
      </c>
      <c r="F863" s="18">
        <v>67</v>
      </c>
      <c r="G863" s="18">
        <v>5</v>
      </c>
      <c r="H863" s="18" t="s">
        <v>256</v>
      </c>
    </row>
    <row r="864" spans="1:8">
      <c r="A864" s="7" t="str">
        <f t="shared" si="39"/>
        <v>05</v>
      </c>
      <c r="B864" s="7" t="str">
        <f t="shared" si="40"/>
        <v>004</v>
      </c>
      <c r="C864" s="7" t="str">
        <f t="shared" si="41"/>
        <v>Almirante Brown</v>
      </c>
      <c r="D864" s="18" t="s">
        <v>3805</v>
      </c>
      <c r="E864" s="18">
        <v>2</v>
      </c>
      <c r="F864" s="18">
        <v>36</v>
      </c>
      <c r="G864" s="18">
        <v>5</v>
      </c>
      <c r="H864" s="18" t="s">
        <v>256</v>
      </c>
    </row>
    <row r="865" spans="1:8">
      <c r="A865" s="7" t="str">
        <f t="shared" si="39"/>
        <v>05</v>
      </c>
      <c r="B865" s="7" t="str">
        <f t="shared" si="40"/>
        <v>004</v>
      </c>
      <c r="C865" s="7" t="str">
        <f t="shared" si="41"/>
        <v>Almirante Brown</v>
      </c>
      <c r="D865" s="18" t="s">
        <v>3806</v>
      </c>
      <c r="E865" s="18">
        <v>1</v>
      </c>
      <c r="F865" s="18">
        <v>15</v>
      </c>
      <c r="G865" s="18">
        <v>5</v>
      </c>
      <c r="H865" s="18" t="s">
        <v>256</v>
      </c>
    </row>
    <row r="866" spans="1:8">
      <c r="A866" s="7" t="str">
        <f t="shared" si="39"/>
        <v>05</v>
      </c>
      <c r="B866" s="7" t="str">
        <f t="shared" si="40"/>
        <v>004</v>
      </c>
      <c r="C866" s="7" t="str">
        <f t="shared" si="41"/>
        <v>Almirante Brown</v>
      </c>
      <c r="D866" s="18" t="s">
        <v>3807</v>
      </c>
      <c r="E866" s="18">
        <v>2</v>
      </c>
      <c r="F866" s="18">
        <v>31</v>
      </c>
      <c r="G866" s="18">
        <v>5</v>
      </c>
      <c r="H866" s="18" t="s">
        <v>256</v>
      </c>
    </row>
    <row r="867" spans="1:8">
      <c r="A867" s="7" t="str">
        <f t="shared" si="39"/>
        <v>05</v>
      </c>
      <c r="B867" s="7" t="str">
        <f t="shared" si="40"/>
        <v>004</v>
      </c>
      <c r="C867" s="7" t="str">
        <f t="shared" si="41"/>
        <v>Almirante Brown</v>
      </c>
      <c r="D867" s="18" t="s">
        <v>3808</v>
      </c>
      <c r="E867" s="18">
        <v>2</v>
      </c>
      <c r="F867" s="18">
        <v>39</v>
      </c>
      <c r="G867" s="18">
        <v>5</v>
      </c>
      <c r="H867" s="18" t="s">
        <v>256</v>
      </c>
    </row>
    <row r="868" spans="1:8">
      <c r="A868" s="7" t="str">
        <f t="shared" si="39"/>
        <v>05</v>
      </c>
      <c r="B868" s="7" t="str">
        <f t="shared" si="40"/>
        <v>004</v>
      </c>
      <c r="C868" s="7" t="str">
        <f t="shared" si="41"/>
        <v>Almirante Brown</v>
      </c>
      <c r="D868" s="18" t="s">
        <v>3809</v>
      </c>
      <c r="E868" s="18">
        <v>8</v>
      </c>
      <c r="F868" s="18">
        <v>215</v>
      </c>
      <c r="G868" s="18">
        <v>5</v>
      </c>
      <c r="H868" s="18" t="s">
        <v>256</v>
      </c>
    </row>
    <row r="869" spans="1:8">
      <c r="A869" s="7" t="str">
        <f t="shared" si="39"/>
        <v>05</v>
      </c>
      <c r="B869" s="7" t="str">
        <f t="shared" si="40"/>
        <v>004</v>
      </c>
      <c r="C869" s="7" t="str">
        <f t="shared" si="41"/>
        <v>Almirante Brown</v>
      </c>
      <c r="D869" s="18" t="s">
        <v>3810</v>
      </c>
      <c r="E869" s="18">
        <v>1</v>
      </c>
      <c r="F869" s="18">
        <v>17</v>
      </c>
      <c r="G869" s="18">
        <v>5</v>
      </c>
      <c r="H869" s="18" t="s">
        <v>256</v>
      </c>
    </row>
    <row r="870" spans="1:8">
      <c r="A870" s="7" t="str">
        <f t="shared" si="39"/>
        <v>05</v>
      </c>
      <c r="B870" s="7" t="str">
        <f t="shared" si="40"/>
        <v>004</v>
      </c>
      <c r="C870" s="7" t="str">
        <f t="shared" si="41"/>
        <v>Almirante Brown</v>
      </c>
      <c r="D870" s="18" t="s">
        <v>3811</v>
      </c>
      <c r="E870" s="18">
        <v>10</v>
      </c>
      <c r="F870" s="18">
        <v>216</v>
      </c>
      <c r="G870" s="18">
        <v>5</v>
      </c>
      <c r="H870" s="18" t="s">
        <v>256</v>
      </c>
    </row>
    <row r="871" spans="1:8">
      <c r="A871" s="7" t="str">
        <f t="shared" si="39"/>
        <v>05</v>
      </c>
      <c r="B871" s="7" t="str">
        <f t="shared" si="40"/>
        <v>004</v>
      </c>
      <c r="C871" s="7" t="str">
        <f t="shared" si="41"/>
        <v>Almirante Brown</v>
      </c>
      <c r="D871" s="18" t="s">
        <v>3812</v>
      </c>
      <c r="E871" s="18">
        <v>1</v>
      </c>
      <c r="F871" s="18">
        <v>22</v>
      </c>
      <c r="G871" s="18">
        <v>5</v>
      </c>
      <c r="H871" s="18" t="s">
        <v>256</v>
      </c>
    </row>
    <row r="872" spans="1:8">
      <c r="A872" s="7" t="str">
        <f t="shared" si="39"/>
        <v>05</v>
      </c>
      <c r="B872" s="7" t="str">
        <f t="shared" si="40"/>
        <v>004</v>
      </c>
      <c r="C872" s="7" t="str">
        <f t="shared" si="41"/>
        <v>Almirante Brown</v>
      </c>
      <c r="D872" s="18" t="s">
        <v>3813</v>
      </c>
      <c r="E872" s="18">
        <v>2</v>
      </c>
      <c r="F872" s="18">
        <v>51</v>
      </c>
      <c r="G872" s="18">
        <v>5</v>
      </c>
      <c r="H872" s="18" t="s">
        <v>256</v>
      </c>
    </row>
    <row r="873" spans="1:8">
      <c r="A873" s="7" t="str">
        <f t="shared" si="39"/>
        <v>05</v>
      </c>
      <c r="B873" s="7" t="str">
        <f t="shared" si="40"/>
        <v>004</v>
      </c>
      <c r="C873" s="7" t="str">
        <f t="shared" si="41"/>
        <v>Almirante Brown</v>
      </c>
      <c r="D873" s="18" t="s">
        <v>806</v>
      </c>
      <c r="E873" s="18">
        <v>1</v>
      </c>
      <c r="F873" s="18">
        <v>13</v>
      </c>
      <c r="G873" s="18">
        <v>5</v>
      </c>
      <c r="H873" s="18" t="s">
        <v>256</v>
      </c>
    </row>
    <row r="874" spans="1:8">
      <c r="A874" s="7" t="str">
        <f t="shared" si="39"/>
        <v>05</v>
      </c>
      <c r="B874" s="7" t="str">
        <f t="shared" si="40"/>
        <v>004</v>
      </c>
      <c r="C874" s="7" t="str">
        <f t="shared" si="41"/>
        <v>Almirante Brown</v>
      </c>
      <c r="D874" s="18" t="s">
        <v>3814</v>
      </c>
      <c r="E874" s="18">
        <v>4</v>
      </c>
      <c r="F874" s="18">
        <v>90</v>
      </c>
      <c r="G874" s="18">
        <v>5</v>
      </c>
      <c r="H874" s="18" t="s">
        <v>256</v>
      </c>
    </row>
    <row r="875" spans="1:8">
      <c r="A875" s="7" t="str">
        <f t="shared" si="39"/>
        <v>05</v>
      </c>
      <c r="B875" s="7" t="str">
        <f t="shared" si="40"/>
        <v>004</v>
      </c>
      <c r="C875" s="7" t="str">
        <f t="shared" si="41"/>
        <v>Almirante Brown</v>
      </c>
      <c r="D875" s="18" t="s">
        <v>3815</v>
      </c>
      <c r="E875" s="18">
        <v>1</v>
      </c>
      <c r="F875" s="18">
        <v>16</v>
      </c>
      <c r="G875" s="18">
        <v>5</v>
      </c>
      <c r="H875" s="18" t="s">
        <v>256</v>
      </c>
    </row>
    <row r="876" spans="1:8">
      <c r="A876" s="7" t="str">
        <f t="shared" si="39"/>
        <v>05</v>
      </c>
      <c r="B876" s="7" t="str">
        <f t="shared" si="40"/>
        <v>004</v>
      </c>
      <c r="C876" s="7" t="str">
        <f t="shared" si="41"/>
        <v>Almirante Brown</v>
      </c>
      <c r="D876" s="18" t="s">
        <v>3816</v>
      </c>
      <c r="E876" s="18">
        <v>5</v>
      </c>
      <c r="F876" s="18">
        <v>118</v>
      </c>
      <c r="G876" s="18">
        <v>5</v>
      </c>
      <c r="H876" s="18" t="s">
        <v>256</v>
      </c>
    </row>
    <row r="877" spans="1:8">
      <c r="A877" s="7" t="str">
        <f t="shared" si="39"/>
        <v>05</v>
      </c>
      <c r="B877" s="7" t="str">
        <f t="shared" si="40"/>
        <v>004</v>
      </c>
      <c r="C877" s="7" t="str">
        <f t="shared" si="41"/>
        <v>Almirante Brown</v>
      </c>
      <c r="D877" s="18" t="s">
        <v>3817</v>
      </c>
      <c r="E877" s="18">
        <v>1</v>
      </c>
      <c r="F877" s="18">
        <v>8</v>
      </c>
      <c r="G877" s="18">
        <v>5</v>
      </c>
      <c r="H877" s="18" t="s">
        <v>256</v>
      </c>
    </row>
    <row r="878" spans="1:8">
      <c r="A878" s="7" t="str">
        <f t="shared" si="39"/>
        <v>05</v>
      </c>
      <c r="B878" s="7" t="str">
        <f t="shared" si="40"/>
        <v>004</v>
      </c>
      <c r="C878" s="7" t="str">
        <f t="shared" si="41"/>
        <v>Almirante Brown</v>
      </c>
      <c r="D878" s="18" t="s">
        <v>3818</v>
      </c>
      <c r="E878" s="18">
        <v>5</v>
      </c>
      <c r="F878" s="18">
        <v>131</v>
      </c>
      <c r="G878" s="18">
        <v>5</v>
      </c>
      <c r="H878" s="18" t="s">
        <v>256</v>
      </c>
    </row>
    <row r="879" spans="1:8">
      <c r="A879" s="7" t="str">
        <f t="shared" si="39"/>
        <v>05</v>
      </c>
      <c r="B879" s="7" t="str">
        <f t="shared" si="40"/>
        <v>004</v>
      </c>
      <c r="C879" s="7" t="str">
        <f t="shared" si="41"/>
        <v>Almirante Brown</v>
      </c>
      <c r="D879" s="18" t="s">
        <v>3819</v>
      </c>
      <c r="E879" s="18">
        <v>1</v>
      </c>
      <c r="F879" s="18">
        <v>12</v>
      </c>
      <c r="G879" s="18">
        <v>5</v>
      </c>
      <c r="H879" s="18" t="s">
        <v>256</v>
      </c>
    </row>
    <row r="880" spans="1:8">
      <c r="A880" s="7" t="str">
        <f t="shared" si="39"/>
        <v>05</v>
      </c>
      <c r="B880" s="7" t="str">
        <f t="shared" si="40"/>
        <v>004</v>
      </c>
      <c r="C880" s="7" t="str">
        <f t="shared" si="41"/>
        <v>Almirante Brown</v>
      </c>
      <c r="D880" s="18" t="s">
        <v>3820</v>
      </c>
      <c r="E880" s="18">
        <v>1</v>
      </c>
      <c r="F880" s="18">
        <v>38</v>
      </c>
      <c r="G880" s="18">
        <v>5</v>
      </c>
      <c r="H880" s="18" t="s">
        <v>256</v>
      </c>
    </row>
    <row r="881" spans="1:8">
      <c r="A881" s="7" t="str">
        <f t="shared" si="39"/>
        <v>05</v>
      </c>
      <c r="B881" s="7" t="str">
        <f t="shared" si="40"/>
        <v>004</v>
      </c>
      <c r="C881" s="7" t="str">
        <f t="shared" si="41"/>
        <v>Almirante Brown</v>
      </c>
      <c r="D881" s="18" t="s">
        <v>3821</v>
      </c>
      <c r="E881" s="18">
        <v>2</v>
      </c>
      <c r="F881" s="18">
        <v>29</v>
      </c>
      <c r="G881" s="18">
        <v>5</v>
      </c>
      <c r="H881" s="18" t="s">
        <v>256</v>
      </c>
    </row>
    <row r="882" spans="1:8">
      <c r="A882" s="7" t="str">
        <f t="shared" si="39"/>
        <v>05</v>
      </c>
      <c r="B882" s="7" t="str">
        <f t="shared" si="40"/>
        <v>004</v>
      </c>
      <c r="C882" s="7" t="str">
        <f t="shared" si="41"/>
        <v>Almirante Brown</v>
      </c>
      <c r="D882" s="18" t="s">
        <v>3822</v>
      </c>
      <c r="E882" s="18">
        <v>1</v>
      </c>
      <c r="F882" s="18">
        <v>21</v>
      </c>
      <c r="G882" s="18">
        <v>5</v>
      </c>
      <c r="H882" s="18" t="s">
        <v>256</v>
      </c>
    </row>
    <row r="883" spans="1:8">
      <c r="A883" s="7" t="str">
        <f t="shared" si="39"/>
        <v>05</v>
      </c>
      <c r="B883" s="7" t="str">
        <f t="shared" si="40"/>
        <v>004</v>
      </c>
      <c r="C883" s="7" t="str">
        <f t="shared" si="41"/>
        <v>Almirante Brown</v>
      </c>
      <c r="D883" s="18" t="s">
        <v>3823</v>
      </c>
      <c r="E883" s="18">
        <v>2</v>
      </c>
      <c r="F883" s="18">
        <v>45</v>
      </c>
      <c r="G883" s="18">
        <v>5</v>
      </c>
      <c r="H883" s="18" t="s">
        <v>256</v>
      </c>
    </row>
    <row r="884" spans="1:8">
      <c r="A884" s="7" t="str">
        <f t="shared" si="39"/>
        <v>05</v>
      </c>
      <c r="B884" s="7" t="str">
        <f t="shared" si="40"/>
        <v>004</v>
      </c>
      <c r="C884" s="7" t="str">
        <f t="shared" si="41"/>
        <v>Almirante Brown</v>
      </c>
      <c r="D884" s="18" t="s">
        <v>3824</v>
      </c>
      <c r="E884" s="18">
        <v>1</v>
      </c>
      <c r="F884" s="18">
        <v>20</v>
      </c>
      <c r="G884" s="18">
        <v>5</v>
      </c>
      <c r="H884" s="18" t="s">
        <v>256</v>
      </c>
    </row>
    <row r="885" spans="1:8">
      <c r="A885" s="7" t="str">
        <f t="shared" si="39"/>
        <v>05</v>
      </c>
      <c r="B885" s="7" t="str">
        <f t="shared" si="40"/>
        <v>004</v>
      </c>
      <c r="C885" s="7" t="str">
        <f t="shared" si="41"/>
        <v>Almirante Brown</v>
      </c>
      <c r="D885" s="18" t="s">
        <v>3825</v>
      </c>
      <c r="E885" s="18">
        <v>1</v>
      </c>
      <c r="F885" s="18">
        <v>15</v>
      </c>
      <c r="G885" s="18">
        <v>5</v>
      </c>
      <c r="H885" s="18" t="s">
        <v>256</v>
      </c>
    </row>
    <row r="886" spans="1:8">
      <c r="A886" s="7" t="str">
        <f t="shared" si="39"/>
        <v>05</v>
      </c>
      <c r="B886" s="7" t="str">
        <f t="shared" si="40"/>
        <v>004</v>
      </c>
      <c r="C886" s="7" t="str">
        <f t="shared" si="41"/>
        <v>Almirante Brown</v>
      </c>
      <c r="D886" s="18" t="s">
        <v>3826</v>
      </c>
      <c r="E886" s="18">
        <v>1</v>
      </c>
      <c r="F886" s="18">
        <v>49</v>
      </c>
      <c r="G886" s="18">
        <v>5</v>
      </c>
      <c r="H886" s="18" t="s">
        <v>256</v>
      </c>
    </row>
    <row r="887" spans="1:8">
      <c r="A887" s="7" t="str">
        <f t="shared" si="39"/>
        <v>05</v>
      </c>
      <c r="B887" s="7" t="str">
        <f t="shared" si="40"/>
        <v>004</v>
      </c>
      <c r="C887" s="7" t="str">
        <f t="shared" si="41"/>
        <v>Almirante Brown</v>
      </c>
      <c r="D887" s="18" t="s">
        <v>3827</v>
      </c>
      <c r="E887" s="18">
        <v>1</v>
      </c>
      <c r="F887" s="18">
        <v>14</v>
      </c>
      <c r="G887" s="18">
        <v>5</v>
      </c>
      <c r="H887" s="18" t="s">
        <v>256</v>
      </c>
    </row>
    <row r="888" spans="1:8">
      <c r="A888" s="7" t="str">
        <f t="shared" si="39"/>
        <v>05</v>
      </c>
      <c r="B888" s="7" t="str">
        <f t="shared" si="40"/>
        <v>030</v>
      </c>
      <c r="C888" s="7" t="str">
        <f t="shared" si="41"/>
        <v>Esteban Echeverría</v>
      </c>
      <c r="D888" s="18" t="s">
        <v>3828</v>
      </c>
      <c r="E888" s="18">
        <v>1</v>
      </c>
      <c r="F888" s="18">
        <v>14</v>
      </c>
      <c r="G888" s="18">
        <v>5</v>
      </c>
      <c r="H888" s="18" t="s">
        <v>773</v>
      </c>
    </row>
    <row r="889" spans="1:8">
      <c r="A889" s="7" t="str">
        <f t="shared" si="39"/>
        <v>05</v>
      </c>
      <c r="B889" s="7" t="str">
        <f t="shared" si="40"/>
        <v>030</v>
      </c>
      <c r="C889" s="7" t="str">
        <f t="shared" si="41"/>
        <v>Esteban Echeverría</v>
      </c>
      <c r="D889" s="18" t="s">
        <v>3829</v>
      </c>
      <c r="E889" s="18">
        <v>6</v>
      </c>
      <c r="F889" s="18">
        <v>186</v>
      </c>
      <c r="G889" s="18">
        <v>5</v>
      </c>
      <c r="H889" s="18" t="s">
        <v>773</v>
      </c>
    </row>
    <row r="890" spans="1:8">
      <c r="A890" s="7" t="str">
        <f t="shared" si="39"/>
        <v>05</v>
      </c>
      <c r="B890" s="7" t="str">
        <f t="shared" si="40"/>
        <v>030</v>
      </c>
      <c r="C890" s="7" t="str">
        <f t="shared" si="41"/>
        <v>Esteban Echeverría</v>
      </c>
      <c r="D890" s="18" t="s">
        <v>3830</v>
      </c>
      <c r="E890" s="18">
        <v>1</v>
      </c>
      <c r="F890" s="18">
        <v>21</v>
      </c>
      <c r="G890" s="18">
        <v>5</v>
      </c>
      <c r="H890" s="18" t="s">
        <v>773</v>
      </c>
    </row>
    <row r="891" spans="1:8">
      <c r="A891" s="7" t="str">
        <f t="shared" si="39"/>
        <v>05</v>
      </c>
      <c r="B891" s="7" t="str">
        <f t="shared" si="40"/>
        <v>030</v>
      </c>
      <c r="C891" s="7" t="str">
        <f t="shared" si="41"/>
        <v>Esteban Echeverría</v>
      </c>
      <c r="D891" s="18" t="s">
        <v>3831</v>
      </c>
      <c r="E891" s="18">
        <v>1</v>
      </c>
      <c r="F891" s="18">
        <v>22</v>
      </c>
      <c r="G891" s="18">
        <v>5</v>
      </c>
      <c r="H891" s="18" t="s">
        <v>773</v>
      </c>
    </row>
    <row r="892" spans="1:8">
      <c r="A892" s="7" t="str">
        <f t="shared" si="39"/>
        <v>05</v>
      </c>
      <c r="B892" s="7" t="str">
        <f t="shared" si="40"/>
        <v>030</v>
      </c>
      <c r="C892" s="7" t="str">
        <f t="shared" si="41"/>
        <v>Esteban Echeverría</v>
      </c>
      <c r="D892" s="18" t="s">
        <v>3832</v>
      </c>
      <c r="E892" s="18">
        <v>1</v>
      </c>
      <c r="F892" s="18">
        <v>30</v>
      </c>
      <c r="G892" s="18">
        <v>5</v>
      </c>
      <c r="H892" s="18" t="s">
        <v>773</v>
      </c>
    </row>
    <row r="893" spans="1:8">
      <c r="A893" s="7" t="str">
        <f t="shared" si="39"/>
        <v>05</v>
      </c>
      <c r="B893" s="7" t="str">
        <f t="shared" si="40"/>
        <v>030</v>
      </c>
      <c r="C893" s="7" t="str">
        <f t="shared" si="41"/>
        <v>Esteban Echeverría</v>
      </c>
      <c r="D893" s="18" t="s">
        <v>3833</v>
      </c>
      <c r="E893" s="18">
        <v>1</v>
      </c>
      <c r="F893" s="18">
        <v>35</v>
      </c>
      <c r="G893" s="18">
        <v>5</v>
      </c>
      <c r="H893" s="18" t="s">
        <v>773</v>
      </c>
    </row>
    <row r="894" spans="1:8">
      <c r="A894" s="7" t="str">
        <f t="shared" si="39"/>
        <v>05</v>
      </c>
      <c r="B894" s="7" t="str">
        <f t="shared" si="40"/>
        <v>030</v>
      </c>
      <c r="C894" s="7" t="str">
        <f t="shared" si="41"/>
        <v>Esteban Echeverría</v>
      </c>
      <c r="D894" s="18" t="s">
        <v>3834</v>
      </c>
      <c r="E894" s="18">
        <v>1</v>
      </c>
      <c r="F894" s="18">
        <v>16</v>
      </c>
      <c r="G894" s="18">
        <v>5</v>
      </c>
      <c r="H894" s="18" t="s">
        <v>773</v>
      </c>
    </row>
    <row r="895" spans="1:8">
      <c r="A895" s="7" t="str">
        <f t="shared" si="39"/>
        <v>05</v>
      </c>
      <c r="B895" s="7" t="str">
        <f t="shared" si="40"/>
        <v>030</v>
      </c>
      <c r="C895" s="7" t="str">
        <f t="shared" si="41"/>
        <v>Esteban Echeverría</v>
      </c>
      <c r="D895" s="18" t="s">
        <v>3835</v>
      </c>
      <c r="E895" s="18">
        <v>1</v>
      </c>
      <c r="F895" s="18">
        <v>26</v>
      </c>
      <c r="G895" s="18">
        <v>5</v>
      </c>
      <c r="H895" s="18" t="s">
        <v>773</v>
      </c>
    </row>
    <row r="896" spans="1:8">
      <c r="A896" s="7" t="str">
        <f t="shared" si="39"/>
        <v>05</v>
      </c>
      <c r="B896" s="7" t="str">
        <f t="shared" si="40"/>
        <v>030</v>
      </c>
      <c r="C896" s="7" t="str">
        <f t="shared" si="41"/>
        <v>Esteban Echeverría</v>
      </c>
      <c r="D896" s="18" t="s">
        <v>3836</v>
      </c>
      <c r="E896" s="18">
        <v>1</v>
      </c>
      <c r="F896" s="18">
        <v>20</v>
      </c>
      <c r="G896" s="18">
        <v>5</v>
      </c>
      <c r="H896" s="18" t="s">
        <v>773</v>
      </c>
    </row>
    <row r="897" spans="1:8">
      <c r="A897" s="7" t="str">
        <f t="shared" si="39"/>
        <v>05</v>
      </c>
      <c r="B897" s="7" t="str">
        <f t="shared" si="40"/>
        <v>030</v>
      </c>
      <c r="C897" s="7" t="str">
        <f t="shared" si="41"/>
        <v>Esteban Echeverría</v>
      </c>
      <c r="D897" s="18" t="s">
        <v>3837</v>
      </c>
      <c r="E897" s="18">
        <v>1</v>
      </c>
      <c r="F897" s="18">
        <v>15</v>
      </c>
      <c r="G897" s="18">
        <v>5</v>
      </c>
      <c r="H897" s="18" t="s">
        <v>773</v>
      </c>
    </row>
    <row r="898" spans="1:8">
      <c r="A898" s="7" t="str">
        <f t="shared" si="39"/>
        <v>05</v>
      </c>
      <c r="B898" s="7" t="str">
        <f t="shared" si="40"/>
        <v>030</v>
      </c>
      <c r="C898" s="7" t="str">
        <f t="shared" si="41"/>
        <v>Esteban Echeverría</v>
      </c>
      <c r="D898" s="18" t="s">
        <v>3838</v>
      </c>
      <c r="E898" s="18">
        <v>2</v>
      </c>
      <c r="F898" s="18">
        <v>54</v>
      </c>
      <c r="G898" s="18">
        <v>5</v>
      </c>
      <c r="H898" s="18" t="s">
        <v>773</v>
      </c>
    </row>
    <row r="899" spans="1:8">
      <c r="A899" s="7" t="str">
        <f t="shared" ref="A899:A962" si="42">+VLOOKUP(H899,$K:$N,2,FALSE)</f>
        <v>05</v>
      </c>
      <c r="B899" s="7" t="str">
        <f t="shared" ref="B899:B962" si="43">+VLOOKUP(H899,$K:$N,3,FALSE)</f>
        <v>030</v>
      </c>
      <c r="C899" s="7" t="str">
        <f t="shared" ref="C899:C962" si="44">+VLOOKUP(H899,$K:$N,4,FALSE)</f>
        <v>Esteban Echeverría</v>
      </c>
      <c r="D899" s="18" t="s">
        <v>3839</v>
      </c>
      <c r="E899" s="18">
        <v>5</v>
      </c>
      <c r="F899" s="18">
        <v>126</v>
      </c>
      <c r="G899" s="18">
        <v>5</v>
      </c>
      <c r="H899" s="18" t="s">
        <v>773</v>
      </c>
    </row>
    <row r="900" spans="1:8">
      <c r="A900" s="7" t="str">
        <f t="shared" si="42"/>
        <v>05</v>
      </c>
      <c r="B900" s="7" t="str">
        <f t="shared" si="43"/>
        <v>030</v>
      </c>
      <c r="C900" s="7" t="str">
        <f t="shared" si="44"/>
        <v>Esteban Echeverría</v>
      </c>
      <c r="D900" s="18" t="s">
        <v>3840</v>
      </c>
      <c r="E900" s="18">
        <v>9</v>
      </c>
      <c r="F900" s="18">
        <v>270</v>
      </c>
      <c r="G900" s="18">
        <v>5</v>
      </c>
      <c r="H900" s="18" t="s">
        <v>773</v>
      </c>
    </row>
    <row r="901" spans="1:8">
      <c r="A901" s="7" t="str">
        <f t="shared" si="42"/>
        <v>05</v>
      </c>
      <c r="B901" s="7" t="str">
        <f t="shared" si="43"/>
        <v>030</v>
      </c>
      <c r="C901" s="7" t="str">
        <f t="shared" si="44"/>
        <v>Esteban Echeverría</v>
      </c>
      <c r="D901" s="18" t="s">
        <v>3841</v>
      </c>
      <c r="E901" s="18">
        <v>2</v>
      </c>
      <c r="F901" s="18">
        <v>48</v>
      </c>
      <c r="G901" s="18">
        <v>5</v>
      </c>
      <c r="H901" s="18" t="s">
        <v>773</v>
      </c>
    </row>
    <row r="902" spans="1:8">
      <c r="A902" s="7" t="str">
        <f t="shared" si="42"/>
        <v>05</v>
      </c>
      <c r="B902" s="7" t="str">
        <f t="shared" si="43"/>
        <v>030</v>
      </c>
      <c r="C902" s="7" t="str">
        <f t="shared" si="44"/>
        <v>Esteban Echeverría</v>
      </c>
      <c r="D902" s="18" t="s">
        <v>3842</v>
      </c>
      <c r="E902" s="18">
        <v>9</v>
      </c>
      <c r="F902" s="18">
        <v>222</v>
      </c>
      <c r="G902" s="18">
        <v>5</v>
      </c>
      <c r="H902" s="18" t="s">
        <v>773</v>
      </c>
    </row>
    <row r="903" spans="1:8">
      <c r="A903" s="7" t="str">
        <f t="shared" si="42"/>
        <v>05</v>
      </c>
      <c r="B903" s="7" t="str">
        <f t="shared" si="43"/>
        <v>030</v>
      </c>
      <c r="C903" s="7" t="str">
        <f t="shared" si="44"/>
        <v>Esteban Echeverría</v>
      </c>
      <c r="D903" s="18" t="s">
        <v>3843</v>
      </c>
      <c r="E903" s="18">
        <v>2</v>
      </c>
      <c r="F903" s="18">
        <v>55</v>
      </c>
      <c r="G903" s="18">
        <v>5</v>
      </c>
      <c r="H903" s="18" t="s">
        <v>773</v>
      </c>
    </row>
    <row r="904" spans="1:8">
      <c r="A904" s="7" t="str">
        <f t="shared" si="42"/>
        <v>05</v>
      </c>
      <c r="B904" s="7" t="str">
        <f t="shared" si="43"/>
        <v>030</v>
      </c>
      <c r="C904" s="7" t="str">
        <f t="shared" si="44"/>
        <v>Esteban Echeverría</v>
      </c>
      <c r="D904" s="18" t="s">
        <v>3844</v>
      </c>
      <c r="E904" s="18">
        <v>2</v>
      </c>
      <c r="F904" s="18">
        <v>76</v>
      </c>
      <c r="G904" s="18">
        <v>5</v>
      </c>
      <c r="H904" s="18" t="s">
        <v>773</v>
      </c>
    </row>
    <row r="905" spans="1:8">
      <c r="A905" s="7" t="str">
        <f t="shared" si="42"/>
        <v>05</v>
      </c>
      <c r="B905" s="7" t="str">
        <f t="shared" si="43"/>
        <v>030</v>
      </c>
      <c r="C905" s="7" t="str">
        <f t="shared" si="44"/>
        <v>Esteban Echeverría</v>
      </c>
      <c r="D905" s="18" t="s">
        <v>3845</v>
      </c>
      <c r="E905" s="18">
        <v>1</v>
      </c>
      <c r="F905" s="18">
        <v>22</v>
      </c>
      <c r="G905" s="18">
        <v>5</v>
      </c>
      <c r="H905" s="18" t="s">
        <v>773</v>
      </c>
    </row>
    <row r="906" spans="1:8">
      <c r="A906" s="7" t="str">
        <f t="shared" si="42"/>
        <v>05</v>
      </c>
      <c r="B906" s="7" t="str">
        <f t="shared" si="43"/>
        <v>030</v>
      </c>
      <c r="C906" s="7" t="str">
        <f t="shared" si="44"/>
        <v>Esteban Echeverría</v>
      </c>
      <c r="D906" s="18" t="s">
        <v>3846</v>
      </c>
      <c r="E906" s="18">
        <v>4</v>
      </c>
      <c r="F906" s="18">
        <v>111</v>
      </c>
      <c r="G906" s="18">
        <v>5</v>
      </c>
      <c r="H906" s="18" t="s">
        <v>773</v>
      </c>
    </row>
    <row r="907" spans="1:8">
      <c r="A907" s="7" t="str">
        <f t="shared" si="42"/>
        <v>05</v>
      </c>
      <c r="B907" s="7" t="str">
        <f t="shared" si="43"/>
        <v>030</v>
      </c>
      <c r="C907" s="7" t="str">
        <f t="shared" si="44"/>
        <v>Esteban Echeverría</v>
      </c>
      <c r="D907" s="18" t="s">
        <v>3847</v>
      </c>
      <c r="E907" s="18">
        <v>1</v>
      </c>
      <c r="F907" s="18">
        <v>18</v>
      </c>
      <c r="G907" s="18">
        <v>5</v>
      </c>
      <c r="H907" s="18" t="s">
        <v>773</v>
      </c>
    </row>
    <row r="908" spans="1:8">
      <c r="A908" s="7" t="str">
        <f t="shared" si="42"/>
        <v>05</v>
      </c>
      <c r="B908" s="7" t="str">
        <f t="shared" si="43"/>
        <v>030</v>
      </c>
      <c r="C908" s="7" t="str">
        <f t="shared" si="44"/>
        <v>Esteban Echeverría</v>
      </c>
      <c r="D908" s="18" t="s">
        <v>3848</v>
      </c>
      <c r="E908" s="18">
        <v>1</v>
      </c>
      <c r="F908" s="18">
        <v>29</v>
      </c>
      <c r="G908" s="18">
        <v>5</v>
      </c>
      <c r="H908" s="18" t="s">
        <v>773</v>
      </c>
    </row>
    <row r="909" spans="1:8">
      <c r="A909" s="7" t="str">
        <f t="shared" si="42"/>
        <v>05</v>
      </c>
      <c r="B909" s="7" t="str">
        <f t="shared" si="43"/>
        <v>030</v>
      </c>
      <c r="C909" s="7" t="str">
        <f t="shared" si="44"/>
        <v>Esteban Echeverría</v>
      </c>
      <c r="D909" s="18" t="s">
        <v>923</v>
      </c>
      <c r="E909" s="18">
        <v>1</v>
      </c>
      <c r="F909" s="18">
        <v>11</v>
      </c>
      <c r="G909" s="18">
        <v>5</v>
      </c>
      <c r="H909" s="18" t="s">
        <v>773</v>
      </c>
    </row>
    <row r="910" spans="1:8">
      <c r="A910" s="7" t="str">
        <f t="shared" si="42"/>
        <v>05</v>
      </c>
      <c r="B910" s="7" t="str">
        <f t="shared" si="43"/>
        <v>030</v>
      </c>
      <c r="C910" s="7" t="str">
        <f t="shared" si="44"/>
        <v>Esteban Echeverría</v>
      </c>
      <c r="D910" s="18" t="s">
        <v>3849</v>
      </c>
      <c r="E910" s="18">
        <v>1</v>
      </c>
      <c r="F910" s="18">
        <v>19</v>
      </c>
      <c r="G910" s="18">
        <v>5</v>
      </c>
      <c r="H910" s="18" t="s">
        <v>773</v>
      </c>
    </row>
    <row r="911" spans="1:8">
      <c r="A911" s="7" t="str">
        <f t="shared" si="42"/>
        <v>05</v>
      </c>
      <c r="B911" s="7" t="str">
        <f t="shared" si="43"/>
        <v>030</v>
      </c>
      <c r="C911" s="7" t="str">
        <f t="shared" si="44"/>
        <v>Esteban Echeverría</v>
      </c>
      <c r="D911" s="18" t="s">
        <v>3850</v>
      </c>
      <c r="E911" s="18">
        <v>1</v>
      </c>
      <c r="F911" s="18">
        <v>17</v>
      </c>
      <c r="G911" s="18">
        <v>5</v>
      </c>
      <c r="H911" s="18" t="s">
        <v>773</v>
      </c>
    </row>
    <row r="912" spans="1:8">
      <c r="A912" s="7" t="str">
        <f t="shared" si="42"/>
        <v>05</v>
      </c>
      <c r="B912" s="7" t="str">
        <f t="shared" si="43"/>
        <v>030</v>
      </c>
      <c r="C912" s="7" t="str">
        <f t="shared" si="44"/>
        <v>Esteban Echeverría</v>
      </c>
      <c r="D912" s="18" t="s">
        <v>3851</v>
      </c>
      <c r="E912" s="18">
        <v>1</v>
      </c>
      <c r="F912" s="18">
        <v>14</v>
      </c>
      <c r="G912" s="18">
        <v>5</v>
      </c>
      <c r="H912" s="18" t="s">
        <v>773</v>
      </c>
    </row>
    <row r="913" spans="1:8">
      <c r="A913" s="7" t="str">
        <f t="shared" si="42"/>
        <v>05</v>
      </c>
      <c r="B913" s="7" t="str">
        <f t="shared" si="43"/>
        <v>030</v>
      </c>
      <c r="C913" s="7" t="str">
        <f t="shared" si="44"/>
        <v>Esteban Echeverría</v>
      </c>
      <c r="D913" s="18" t="s">
        <v>3852</v>
      </c>
      <c r="E913" s="18">
        <v>1</v>
      </c>
      <c r="F913" s="18">
        <v>13</v>
      </c>
      <c r="G913" s="18">
        <v>5</v>
      </c>
      <c r="H913" s="18" t="s">
        <v>773</v>
      </c>
    </row>
    <row r="914" spans="1:8">
      <c r="A914" s="7" t="str">
        <f t="shared" si="42"/>
        <v>05</v>
      </c>
      <c r="B914" s="7" t="str">
        <f t="shared" si="43"/>
        <v>030</v>
      </c>
      <c r="C914" s="7" t="str">
        <f t="shared" si="44"/>
        <v>Esteban Echeverría</v>
      </c>
      <c r="D914" s="18" t="s">
        <v>3853</v>
      </c>
      <c r="E914" s="18">
        <v>1</v>
      </c>
      <c r="F914" s="18">
        <v>25</v>
      </c>
      <c r="G914" s="18">
        <v>5</v>
      </c>
      <c r="H914" s="18" t="s">
        <v>773</v>
      </c>
    </row>
    <row r="915" spans="1:8">
      <c r="A915" s="7" t="str">
        <f t="shared" si="42"/>
        <v>05</v>
      </c>
      <c r="B915" s="7" t="str">
        <f t="shared" si="43"/>
        <v>030</v>
      </c>
      <c r="C915" s="7" t="str">
        <f t="shared" si="44"/>
        <v>Esteban Echeverría</v>
      </c>
      <c r="D915" s="18" t="s">
        <v>3854</v>
      </c>
      <c r="E915" s="18">
        <v>1</v>
      </c>
      <c r="F915" s="18">
        <v>26</v>
      </c>
      <c r="G915" s="18">
        <v>5</v>
      </c>
      <c r="H915" s="18" t="s">
        <v>773</v>
      </c>
    </row>
    <row r="916" spans="1:8">
      <c r="A916" s="7" t="str">
        <f t="shared" si="42"/>
        <v>05</v>
      </c>
      <c r="B916" s="7" t="str">
        <f t="shared" si="43"/>
        <v>030</v>
      </c>
      <c r="C916" s="7" t="str">
        <f t="shared" si="44"/>
        <v>Esteban Echeverría</v>
      </c>
      <c r="D916" s="18" t="s">
        <v>738</v>
      </c>
      <c r="E916" s="18">
        <v>1</v>
      </c>
      <c r="F916" s="18">
        <v>22</v>
      </c>
      <c r="G916" s="18">
        <v>5</v>
      </c>
      <c r="H916" s="18" t="s">
        <v>773</v>
      </c>
    </row>
    <row r="917" spans="1:8">
      <c r="A917" s="7" t="str">
        <f t="shared" si="42"/>
        <v>05</v>
      </c>
      <c r="B917" s="7" t="str">
        <f t="shared" si="43"/>
        <v>030</v>
      </c>
      <c r="C917" s="7" t="str">
        <f t="shared" si="44"/>
        <v>Esteban Echeverría</v>
      </c>
      <c r="D917" s="18" t="s">
        <v>3855</v>
      </c>
      <c r="E917" s="18">
        <v>1</v>
      </c>
      <c r="F917" s="18">
        <v>30</v>
      </c>
      <c r="G917" s="18">
        <v>5</v>
      </c>
      <c r="H917" s="18" t="s">
        <v>773</v>
      </c>
    </row>
    <row r="918" spans="1:8">
      <c r="A918" s="7" t="str">
        <f t="shared" si="42"/>
        <v>05</v>
      </c>
      <c r="B918" s="7" t="str">
        <f t="shared" si="43"/>
        <v>030</v>
      </c>
      <c r="C918" s="7" t="str">
        <f t="shared" si="44"/>
        <v>Esteban Echeverría</v>
      </c>
      <c r="D918" s="18" t="s">
        <v>3856</v>
      </c>
      <c r="E918" s="18">
        <v>1</v>
      </c>
      <c r="F918" s="18">
        <v>31</v>
      </c>
      <c r="G918" s="18">
        <v>5</v>
      </c>
      <c r="H918" s="18" t="s">
        <v>773</v>
      </c>
    </row>
    <row r="919" spans="1:8">
      <c r="A919" s="7" t="str">
        <f t="shared" si="42"/>
        <v>05</v>
      </c>
      <c r="B919" s="7" t="str">
        <f t="shared" si="43"/>
        <v>030</v>
      </c>
      <c r="C919" s="7" t="str">
        <f t="shared" si="44"/>
        <v>Esteban Echeverría</v>
      </c>
      <c r="D919" s="18" t="s">
        <v>226</v>
      </c>
      <c r="E919" s="18">
        <v>1</v>
      </c>
      <c r="F919" s="18">
        <v>25</v>
      </c>
      <c r="G919" s="18">
        <v>5</v>
      </c>
      <c r="H919" s="18" t="s">
        <v>773</v>
      </c>
    </row>
    <row r="920" spans="1:8">
      <c r="A920" s="7" t="str">
        <f t="shared" si="42"/>
        <v>05</v>
      </c>
      <c r="B920" s="7" t="str">
        <f t="shared" si="43"/>
        <v>030</v>
      </c>
      <c r="C920" s="7" t="str">
        <f t="shared" si="44"/>
        <v>Esteban Echeverría</v>
      </c>
      <c r="D920" s="18" t="s">
        <v>3857</v>
      </c>
      <c r="E920" s="18">
        <v>1</v>
      </c>
      <c r="F920" s="18">
        <v>34</v>
      </c>
      <c r="G920" s="18">
        <v>5</v>
      </c>
      <c r="H920" s="18" t="s">
        <v>773</v>
      </c>
    </row>
    <row r="921" spans="1:8">
      <c r="A921" s="7" t="str">
        <f t="shared" si="42"/>
        <v>05</v>
      </c>
      <c r="B921" s="7" t="str">
        <f t="shared" si="43"/>
        <v>030</v>
      </c>
      <c r="C921" s="7" t="str">
        <f t="shared" si="44"/>
        <v>Esteban Echeverría</v>
      </c>
      <c r="D921" s="18" t="s">
        <v>3858</v>
      </c>
      <c r="E921" s="18">
        <v>2</v>
      </c>
      <c r="F921" s="18">
        <v>27</v>
      </c>
      <c r="G921" s="18">
        <v>5</v>
      </c>
      <c r="H921" s="18" t="s">
        <v>773</v>
      </c>
    </row>
    <row r="922" spans="1:8">
      <c r="A922" s="7" t="str">
        <f t="shared" si="42"/>
        <v>05</v>
      </c>
      <c r="B922" s="7" t="str">
        <f t="shared" si="43"/>
        <v>030</v>
      </c>
      <c r="C922" s="7" t="str">
        <f t="shared" si="44"/>
        <v>Esteban Echeverría</v>
      </c>
      <c r="D922" s="18" t="s">
        <v>3859</v>
      </c>
      <c r="E922" s="18">
        <v>1</v>
      </c>
      <c r="F922" s="18">
        <v>15</v>
      </c>
      <c r="G922" s="18">
        <v>5</v>
      </c>
      <c r="H922" s="18" t="s">
        <v>773</v>
      </c>
    </row>
    <row r="923" spans="1:8">
      <c r="A923" s="7" t="str">
        <f t="shared" si="42"/>
        <v>05</v>
      </c>
      <c r="B923" s="7" t="str">
        <f t="shared" si="43"/>
        <v>030</v>
      </c>
      <c r="C923" s="7" t="str">
        <f t="shared" si="44"/>
        <v>Esteban Echeverría</v>
      </c>
      <c r="D923" s="18" t="s">
        <v>3860</v>
      </c>
      <c r="E923" s="18">
        <v>1</v>
      </c>
      <c r="F923" s="18">
        <v>23</v>
      </c>
      <c r="G923" s="18">
        <v>5</v>
      </c>
      <c r="H923" s="18" t="s">
        <v>773</v>
      </c>
    </row>
    <row r="924" spans="1:8">
      <c r="A924" s="7" t="str">
        <f t="shared" si="42"/>
        <v>05</v>
      </c>
      <c r="B924" s="7" t="str">
        <f t="shared" si="43"/>
        <v>030</v>
      </c>
      <c r="C924" s="7" t="str">
        <f t="shared" si="44"/>
        <v>Esteban Echeverría</v>
      </c>
      <c r="D924" s="18" t="s">
        <v>3861</v>
      </c>
      <c r="E924" s="18">
        <v>1</v>
      </c>
      <c r="F924" s="18">
        <v>27</v>
      </c>
      <c r="G924" s="18">
        <v>5</v>
      </c>
      <c r="H924" s="18" t="s">
        <v>773</v>
      </c>
    </row>
    <row r="925" spans="1:8">
      <c r="A925" s="7" t="str">
        <f t="shared" si="42"/>
        <v>05</v>
      </c>
      <c r="B925" s="7" t="str">
        <f t="shared" si="43"/>
        <v>030</v>
      </c>
      <c r="C925" s="7" t="str">
        <f t="shared" si="44"/>
        <v>Esteban Echeverría</v>
      </c>
      <c r="D925" s="18" t="s">
        <v>3862</v>
      </c>
      <c r="E925" s="18">
        <v>1</v>
      </c>
      <c r="F925" s="18">
        <v>35</v>
      </c>
      <c r="G925" s="18">
        <v>5</v>
      </c>
      <c r="H925" s="18" t="s">
        <v>773</v>
      </c>
    </row>
    <row r="926" spans="1:8">
      <c r="A926" s="7" t="str">
        <f t="shared" si="42"/>
        <v>05</v>
      </c>
      <c r="B926" s="7" t="str">
        <f t="shared" si="43"/>
        <v>030</v>
      </c>
      <c r="C926" s="7" t="str">
        <f t="shared" si="44"/>
        <v>Esteban Echeverría</v>
      </c>
      <c r="D926" s="18" t="s">
        <v>3863</v>
      </c>
      <c r="E926" s="18">
        <v>4</v>
      </c>
      <c r="F926" s="18">
        <v>108</v>
      </c>
      <c r="G926" s="18">
        <v>5</v>
      </c>
      <c r="H926" s="18" t="s">
        <v>773</v>
      </c>
    </row>
    <row r="927" spans="1:8">
      <c r="A927" s="7" t="str">
        <f t="shared" si="42"/>
        <v>05</v>
      </c>
      <c r="B927" s="7" t="str">
        <f t="shared" si="43"/>
        <v>030</v>
      </c>
      <c r="C927" s="7" t="str">
        <f t="shared" si="44"/>
        <v>Esteban Echeverría</v>
      </c>
      <c r="D927" s="18" t="s">
        <v>3864</v>
      </c>
      <c r="E927" s="18">
        <v>1</v>
      </c>
      <c r="F927" s="18">
        <v>23</v>
      </c>
      <c r="G927" s="18">
        <v>5</v>
      </c>
      <c r="H927" s="18" t="s">
        <v>773</v>
      </c>
    </row>
    <row r="928" spans="1:8">
      <c r="A928" s="7" t="str">
        <f t="shared" si="42"/>
        <v>05</v>
      </c>
      <c r="B928" s="7" t="str">
        <f t="shared" si="43"/>
        <v>030</v>
      </c>
      <c r="C928" s="7" t="str">
        <f t="shared" si="44"/>
        <v>Esteban Echeverría</v>
      </c>
      <c r="D928" s="18" t="s">
        <v>3865</v>
      </c>
      <c r="E928" s="18">
        <v>2</v>
      </c>
      <c r="F928" s="18">
        <v>33</v>
      </c>
      <c r="G928" s="18">
        <v>5</v>
      </c>
      <c r="H928" s="18" t="s">
        <v>773</v>
      </c>
    </row>
    <row r="929" spans="1:8">
      <c r="A929" s="7" t="str">
        <f t="shared" si="42"/>
        <v>05</v>
      </c>
      <c r="B929" s="7" t="str">
        <f t="shared" si="43"/>
        <v>030</v>
      </c>
      <c r="C929" s="7" t="str">
        <f t="shared" si="44"/>
        <v>Esteban Echeverría</v>
      </c>
      <c r="D929" s="18" t="s">
        <v>3866</v>
      </c>
      <c r="E929" s="18">
        <v>1</v>
      </c>
      <c r="F929" s="18">
        <v>22</v>
      </c>
      <c r="G929" s="18">
        <v>5</v>
      </c>
      <c r="H929" s="18" t="s">
        <v>773</v>
      </c>
    </row>
    <row r="930" spans="1:8">
      <c r="A930" s="7" t="str">
        <f t="shared" si="42"/>
        <v>05</v>
      </c>
      <c r="B930" s="7" t="str">
        <f t="shared" si="43"/>
        <v>130</v>
      </c>
      <c r="C930" s="7" t="str">
        <f t="shared" si="44"/>
        <v>Ezeiza</v>
      </c>
      <c r="D930" s="18" t="s">
        <v>3867</v>
      </c>
      <c r="E930" s="18">
        <v>1</v>
      </c>
      <c r="F930" s="18">
        <v>7</v>
      </c>
      <c r="G930" s="18">
        <v>5</v>
      </c>
      <c r="H930" s="18" t="s">
        <v>2770</v>
      </c>
    </row>
    <row r="931" spans="1:8">
      <c r="A931" s="7" t="str">
        <f t="shared" si="42"/>
        <v>05</v>
      </c>
      <c r="B931" s="7" t="str">
        <f t="shared" si="43"/>
        <v>130</v>
      </c>
      <c r="C931" s="7" t="str">
        <f t="shared" si="44"/>
        <v>Ezeiza</v>
      </c>
      <c r="D931" s="18" t="s">
        <v>3868</v>
      </c>
      <c r="E931" s="18">
        <v>3</v>
      </c>
      <c r="F931" s="18">
        <v>58</v>
      </c>
      <c r="G931" s="18">
        <v>5</v>
      </c>
      <c r="H931" s="18" t="s">
        <v>2770</v>
      </c>
    </row>
    <row r="932" spans="1:8">
      <c r="A932" s="7" t="str">
        <f t="shared" si="42"/>
        <v>05</v>
      </c>
      <c r="B932" s="7" t="str">
        <f t="shared" si="43"/>
        <v>130</v>
      </c>
      <c r="C932" s="7" t="str">
        <f t="shared" si="44"/>
        <v>Ezeiza</v>
      </c>
      <c r="D932" s="18" t="s">
        <v>3869</v>
      </c>
      <c r="E932" s="18">
        <v>1</v>
      </c>
      <c r="F932" s="18">
        <v>16</v>
      </c>
      <c r="G932" s="18">
        <v>5</v>
      </c>
      <c r="H932" s="18" t="s">
        <v>2770</v>
      </c>
    </row>
    <row r="933" spans="1:8">
      <c r="A933" s="7" t="str">
        <f t="shared" si="42"/>
        <v>05</v>
      </c>
      <c r="B933" s="7" t="str">
        <f t="shared" si="43"/>
        <v>130</v>
      </c>
      <c r="C933" s="7" t="str">
        <f t="shared" si="44"/>
        <v>Ezeiza</v>
      </c>
      <c r="D933" s="18" t="s">
        <v>3870</v>
      </c>
      <c r="E933" s="18">
        <v>1</v>
      </c>
      <c r="F933" s="18">
        <v>30</v>
      </c>
      <c r="G933" s="18">
        <v>5</v>
      </c>
      <c r="H933" s="18" t="s">
        <v>2770</v>
      </c>
    </row>
    <row r="934" spans="1:8">
      <c r="A934" s="7" t="str">
        <f t="shared" si="42"/>
        <v>05</v>
      </c>
      <c r="B934" s="7" t="str">
        <f t="shared" si="43"/>
        <v>130</v>
      </c>
      <c r="C934" s="7" t="str">
        <f t="shared" si="44"/>
        <v>Ezeiza</v>
      </c>
      <c r="D934" s="18" t="s">
        <v>3871</v>
      </c>
      <c r="E934" s="18">
        <v>1</v>
      </c>
      <c r="F934" s="18">
        <v>16</v>
      </c>
      <c r="G934" s="18">
        <v>5</v>
      </c>
      <c r="H934" s="18" t="s">
        <v>2770</v>
      </c>
    </row>
    <row r="935" spans="1:8">
      <c r="A935" s="7" t="str">
        <f t="shared" si="42"/>
        <v>05</v>
      </c>
      <c r="B935" s="7" t="str">
        <f t="shared" si="43"/>
        <v>130</v>
      </c>
      <c r="C935" s="7" t="str">
        <f t="shared" si="44"/>
        <v>Ezeiza</v>
      </c>
      <c r="D935" s="18" t="s">
        <v>3872</v>
      </c>
      <c r="E935" s="18">
        <v>1</v>
      </c>
      <c r="F935" s="18">
        <v>17</v>
      </c>
      <c r="G935" s="18">
        <v>5</v>
      </c>
      <c r="H935" s="18" t="s">
        <v>2770</v>
      </c>
    </row>
    <row r="936" spans="1:8">
      <c r="A936" s="7" t="str">
        <f t="shared" si="42"/>
        <v>05</v>
      </c>
      <c r="B936" s="7" t="str">
        <f t="shared" si="43"/>
        <v>130</v>
      </c>
      <c r="C936" s="7" t="str">
        <f t="shared" si="44"/>
        <v>Ezeiza</v>
      </c>
      <c r="D936" s="18" t="s">
        <v>3873</v>
      </c>
      <c r="E936" s="18">
        <v>4</v>
      </c>
      <c r="F936" s="18">
        <v>79</v>
      </c>
      <c r="G936" s="18">
        <v>5</v>
      </c>
      <c r="H936" s="18" t="s">
        <v>2770</v>
      </c>
    </row>
    <row r="937" spans="1:8">
      <c r="A937" s="7" t="str">
        <f t="shared" si="42"/>
        <v>05</v>
      </c>
      <c r="B937" s="7" t="str">
        <f t="shared" si="43"/>
        <v>130</v>
      </c>
      <c r="C937" s="7" t="str">
        <f t="shared" si="44"/>
        <v>Ezeiza</v>
      </c>
      <c r="D937" s="18" t="s">
        <v>3874</v>
      </c>
      <c r="E937" s="18">
        <v>2</v>
      </c>
      <c r="F937" s="18">
        <v>43</v>
      </c>
      <c r="G937" s="18">
        <v>5</v>
      </c>
      <c r="H937" s="18" t="s">
        <v>2770</v>
      </c>
    </row>
    <row r="938" spans="1:8">
      <c r="A938" s="7" t="str">
        <f t="shared" si="42"/>
        <v>05</v>
      </c>
      <c r="B938" s="7" t="str">
        <f t="shared" si="43"/>
        <v>130</v>
      </c>
      <c r="C938" s="7" t="str">
        <f t="shared" si="44"/>
        <v>Ezeiza</v>
      </c>
      <c r="D938" s="18" t="s">
        <v>3875</v>
      </c>
      <c r="E938" s="18">
        <v>1</v>
      </c>
      <c r="F938" s="18">
        <v>19</v>
      </c>
      <c r="G938" s="18">
        <v>5</v>
      </c>
      <c r="H938" s="18" t="s">
        <v>2770</v>
      </c>
    </row>
    <row r="939" spans="1:8">
      <c r="A939" s="7" t="str">
        <f t="shared" si="42"/>
        <v>05</v>
      </c>
      <c r="B939" s="7" t="str">
        <f t="shared" si="43"/>
        <v>130</v>
      </c>
      <c r="C939" s="7" t="str">
        <f t="shared" si="44"/>
        <v>Ezeiza</v>
      </c>
      <c r="D939" s="18" t="s">
        <v>3876</v>
      </c>
      <c r="E939" s="18">
        <v>1</v>
      </c>
      <c r="F939" s="18">
        <v>16</v>
      </c>
      <c r="G939" s="18">
        <v>5</v>
      </c>
      <c r="H939" s="18" t="s">
        <v>2770</v>
      </c>
    </row>
    <row r="940" spans="1:8">
      <c r="A940" s="7" t="str">
        <f t="shared" si="42"/>
        <v>05</v>
      </c>
      <c r="B940" s="7" t="str">
        <f t="shared" si="43"/>
        <v>130</v>
      </c>
      <c r="C940" s="7" t="str">
        <f t="shared" si="44"/>
        <v>Ezeiza</v>
      </c>
      <c r="D940" s="18" t="s">
        <v>1216</v>
      </c>
      <c r="E940" s="18">
        <v>1</v>
      </c>
      <c r="F940" s="18">
        <v>7</v>
      </c>
      <c r="G940" s="18">
        <v>5</v>
      </c>
      <c r="H940" s="18" t="s">
        <v>2770</v>
      </c>
    </row>
    <row r="941" spans="1:8">
      <c r="A941" s="7" t="str">
        <f t="shared" si="42"/>
        <v>05</v>
      </c>
      <c r="B941" s="7" t="str">
        <f t="shared" si="43"/>
        <v>130</v>
      </c>
      <c r="C941" s="7" t="str">
        <f t="shared" si="44"/>
        <v>Ezeiza</v>
      </c>
      <c r="D941" s="18" t="s">
        <v>3877</v>
      </c>
      <c r="E941" s="18">
        <v>1</v>
      </c>
      <c r="F941" s="18">
        <v>15</v>
      </c>
      <c r="G941" s="18">
        <v>5</v>
      </c>
      <c r="H941" s="18" t="s">
        <v>2770</v>
      </c>
    </row>
    <row r="942" spans="1:8">
      <c r="A942" s="7" t="str">
        <f t="shared" si="42"/>
        <v>05</v>
      </c>
      <c r="B942" s="7" t="str">
        <f t="shared" si="43"/>
        <v>130</v>
      </c>
      <c r="C942" s="7" t="str">
        <f t="shared" si="44"/>
        <v>Ezeiza</v>
      </c>
      <c r="D942" s="18" t="s">
        <v>3878</v>
      </c>
      <c r="E942" s="18">
        <v>3</v>
      </c>
      <c r="F942" s="18">
        <v>84</v>
      </c>
      <c r="G942" s="18">
        <v>5</v>
      </c>
      <c r="H942" s="18" t="s">
        <v>2770</v>
      </c>
    </row>
    <row r="943" spans="1:8">
      <c r="A943" s="7" t="str">
        <f t="shared" si="42"/>
        <v>05</v>
      </c>
      <c r="B943" s="7" t="str">
        <f t="shared" si="43"/>
        <v>130</v>
      </c>
      <c r="C943" s="7" t="str">
        <f t="shared" si="44"/>
        <v>Ezeiza</v>
      </c>
      <c r="D943" s="18" t="s">
        <v>3879</v>
      </c>
      <c r="E943" s="18">
        <v>2</v>
      </c>
      <c r="F943" s="18">
        <v>39</v>
      </c>
      <c r="G943" s="18">
        <v>5</v>
      </c>
      <c r="H943" s="18" t="s">
        <v>2770</v>
      </c>
    </row>
    <row r="944" spans="1:8">
      <c r="A944" s="7" t="str">
        <f t="shared" si="42"/>
        <v>05</v>
      </c>
      <c r="B944" s="7" t="str">
        <f t="shared" si="43"/>
        <v>130</v>
      </c>
      <c r="C944" s="7" t="str">
        <f t="shared" si="44"/>
        <v>Ezeiza</v>
      </c>
      <c r="D944" s="18" t="s">
        <v>3880</v>
      </c>
      <c r="E944" s="18">
        <v>4</v>
      </c>
      <c r="F944" s="18">
        <v>111</v>
      </c>
      <c r="G944" s="18">
        <v>5</v>
      </c>
      <c r="H944" s="18" t="s">
        <v>2770</v>
      </c>
    </row>
    <row r="945" spans="1:8">
      <c r="A945" s="7" t="str">
        <f t="shared" si="42"/>
        <v>05</v>
      </c>
      <c r="B945" s="7" t="str">
        <f t="shared" si="43"/>
        <v>130</v>
      </c>
      <c r="C945" s="7" t="str">
        <f t="shared" si="44"/>
        <v>Ezeiza</v>
      </c>
      <c r="D945" s="18" t="s">
        <v>3881</v>
      </c>
      <c r="E945" s="18">
        <v>3</v>
      </c>
      <c r="F945" s="18">
        <v>51</v>
      </c>
      <c r="G945" s="18">
        <v>5</v>
      </c>
      <c r="H945" s="18" t="s">
        <v>2770</v>
      </c>
    </row>
    <row r="946" spans="1:8">
      <c r="A946" s="7" t="str">
        <f t="shared" si="42"/>
        <v>05</v>
      </c>
      <c r="B946" s="7" t="str">
        <f t="shared" si="43"/>
        <v>130</v>
      </c>
      <c r="C946" s="7" t="str">
        <f t="shared" si="44"/>
        <v>Ezeiza</v>
      </c>
      <c r="D946" s="18" t="s">
        <v>3882</v>
      </c>
      <c r="E946" s="18">
        <v>3</v>
      </c>
      <c r="F946" s="18">
        <v>90</v>
      </c>
      <c r="G946" s="18">
        <v>5</v>
      </c>
      <c r="H946" s="18" t="s">
        <v>2770</v>
      </c>
    </row>
    <row r="947" spans="1:8">
      <c r="A947" s="7" t="str">
        <f t="shared" si="42"/>
        <v>05</v>
      </c>
      <c r="B947" s="7" t="str">
        <f t="shared" si="43"/>
        <v>130</v>
      </c>
      <c r="C947" s="7" t="str">
        <f t="shared" si="44"/>
        <v>Ezeiza</v>
      </c>
      <c r="D947" s="18" t="s">
        <v>3883</v>
      </c>
      <c r="E947" s="18">
        <v>5</v>
      </c>
      <c r="F947" s="18">
        <v>139</v>
      </c>
      <c r="G947" s="18">
        <v>5</v>
      </c>
      <c r="H947" s="18" t="s">
        <v>2770</v>
      </c>
    </row>
    <row r="948" spans="1:8">
      <c r="A948" s="7" t="str">
        <f t="shared" si="42"/>
        <v>05</v>
      </c>
      <c r="B948" s="7" t="str">
        <f t="shared" si="43"/>
        <v>130</v>
      </c>
      <c r="C948" s="7" t="str">
        <f t="shared" si="44"/>
        <v>Ezeiza</v>
      </c>
      <c r="D948" s="18" t="s">
        <v>3884</v>
      </c>
      <c r="E948" s="18">
        <v>4</v>
      </c>
      <c r="F948" s="18">
        <v>147</v>
      </c>
      <c r="G948" s="18">
        <v>5</v>
      </c>
      <c r="H948" s="18" t="s">
        <v>2770</v>
      </c>
    </row>
    <row r="949" spans="1:8">
      <c r="A949" s="7" t="str">
        <f t="shared" si="42"/>
        <v>05</v>
      </c>
      <c r="B949" s="7" t="str">
        <f t="shared" si="43"/>
        <v>130</v>
      </c>
      <c r="C949" s="7" t="str">
        <f t="shared" si="44"/>
        <v>Ezeiza</v>
      </c>
      <c r="D949" s="18" t="s">
        <v>3885</v>
      </c>
      <c r="E949" s="18">
        <v>6</v>
      </c>
      <c r="F949" s="18">
        <v>187</v>
      </c>
      <c r="G949" s="18">
        <v>5</v>
      </c>
      <c r="H949" s="18" t="s">
        <v>2770</v>
      </c>
    </row>
    <row r="950" spans="1:8">
      <c r="A950" s="7" t="str">
        <f t="shared" si="42"/>
        <v>05</v>
      </c>
      <c r="B950" s="7" t="str">
        <f t="shared" si="43"/>
        <v>130</v>
      </c>
      <c r="C950" s="7" t="str">
        <f t="shared" si="44"/>
        <v>Ezeiza</v>
      </c>
      <c r="D950" s="18" t="s">
        <v>3886</v>
      </c>
      <c r="E950" s="18">
        <v>5</v>
      </c>
      <c r="F950" s="18">
        <v>134</v>
      </c>
      <c r="G950" s="18">
        <v>5</v>
      </c>
      <c r="H950" s="18" t="s">
        <v>2770</v>
      </c>
    </row>
    <row r="951" spans="1:8">
      <c r="A951" s="7" t="str">
        <f t="shared" si="42"/>
        <v>05</v>
      </c>
      <c r="B951" s="7" t="str">
        <f t="shared" si="43"/>
        <v>130</v>
      </c>
      <c r="C951" s="7" t="str">
        <f t="shared" si="44"/>
        <v>Ezeiza</v>
      </c>
      <c r="D951" s="18" t="s">
        <v>3887</v>
      </c>
      <c r="E951" s="18">
        <v>1</v>
      </c>
      <c r="F951" s="18">
        <v>25</v>
      </c>
      <c r="G951" s="18">
        <v>5</v>
      </c>
      <c r="H951" s="18" t="s">
        <v>2770</v>
      </c>
    </row>
    <row r="952" spans="1:8">
      <c r="A952" s="7" t="str">
        <f t="shared" si="42"/>
        <v>05</v>
      </c>
      <c r="B952" s="7" t="str">
        <f t="shared" si="43"/>
        <v>130</v>
      </c>
      <c r="C952" s="7" t="str">
        <f t="shared" si="44"/>
        <v>Ezeiza</v>
      </c>
      <c r="D952" s="18" t="s">
        <v>3888</v>
      </c>
      <c r="E952" s="18">
        <v>2</v>
      </c>
      <c r="F952" s="18">
        <v>47</v>
      </c>
      <c r="G952" s="18">
        <v>5</v>
      </c>
      <c r="H952" s="18" t="s">
        <v>2770</v>
      </c>
    </row>
    <row r="953" spans="1:8">
      <c r="A953" s="7" t="str">
        <f t="shared" si="42"/>
        <v>05</v>
      </c>
      <c r="B953" s="7" t="str">
        <f t="shared" si="43"/>
        <v>130</v>
      </c>
      <c r="C953" s="7" t="str">
        <f t="shared" si="44"/>
        <v>Ezeiza</v>
      </c>
      <c r="D953" s="18" t="s">
        <v>3889</v>
      </c>
      <c r="E953" s="18">
        <v>1</v>
      </c>
      <c r="F953" s="18">
        <v>19</v>
      </c>
      <c r="G953" s="18">
        <v>5</v>
      </c>
      <c r="H953" s="18" t="s">
        <v>2770</v>
      </c>
    </row>
    <row r="954" spans="1:8">
      <c r="A954" s="7" t="str">
        <f t="shared" si="42"/>
        <v>05</v>
      </c>
      <c r="B954" s="7" t="str">
        <f t="shared" si="43"/>
        <v>130</v>
      </c>
      <c r="C954" s="7" t="str">
        <f t="shared" si="44"/>
        <v>Ezeiza</v>
      </c>
      <c r="D954" s="18" t="s">
        <v>3890</v>
      </c>
      <c r="E954" s="18">
        <v>1</v>
      </c>
      <c r="F954" s="18">
        <v>12</v>
      </c>
      <c r="G954" s="18">
        <v>5</v>
      </c>
      <c r="H954" s="18" t="s">
        <v>2770</v>
      </c>
    </row>
    <row r="955" spans="1:8">
      <c r="A955" s="7" t="str">
        <f t="shared" si="42"/>
        <v>05</v>
      </c>
      <c r="B955" s="7" t="str">
        <f t="shared" si="43"/>
        <v>130</v>
      </c>
      <c r="C955" s="7" t="str">
        <f t="shared" si="44"/>
        <v>Ezeiza</v>
      </c>
      <c r="D955" s="18" t="s">
        <v>3891</v>
      </c>
      <c r="E955" s="18">
        <v>1</v>
      </c>
      <c r="F955" s="18">
        <v>29</v>
      </c>
      <c r="G955" s="18">
        <v>5</v>
      </c>
      <c r="H955" s="18" t="s">
        <v>2770</v>
      </c>
    </row>
    <row r="956" spans="1:8">
      <c r="A956" s="7" t="str">
        <f t="shared" si="42"/>
        <v>05</v>
      </c>
      <c r="B956" s="7" t="str">
        <f t="shared" si="43"/>
        <v>130</v>
      </c>
      <c r="C956" s="7" t="str">
        <f t="shared" si="44"/>
        <v>Ezeiza</v>
      </c>
      <c r="D956" s="18" t="s">
        <v>3892</v>
      </c>
      <c r="E956" s="18">
        <v>1</v>
      </c>
      <c r="F956" s="18">
        <v>26</v>
      </c>
      <c r="G956" s="18">
        <v>5</v>
      </c>
      <c r="H956" s="18" t="s">
        <v>2770</v>
      </c>
    </row>
    <row r="957" spans="1:8">
      <c r="A957" s="7" t="str">
        <f t="shared" si="42"/>
        <v>05</v>
      </c>
      <c r="B957" s="7" t="str">
        <f t="shared" si="43"/>
        <v>129</v>
      </c>
      <c r="C957" s="7" t="str">
        <f t="shared" si="44"/>
        <v>Presidente Perón</v>
      </c>
      <c r="D957" s="18" t="s">
        <v>3893</v>
      </c>
      <c r="E957" s="18">
        <v>2</v>
      </c>
      <c r="F957" s="18">
        <v>41</v>
      </c>
      <c r="G957" s="18">
        <v>5</v>
      </c>
      <c r="H957" s="18" t="s">
        <v>2759</v>
      </c>
    </row>
    <row r="958" spans="1:8">
      <c r="A958" s="7" t="str">
        <f t="shared" si="42"/>
        <v>05</v>
      </c>
      <c r="B958" s="7" t="str">
        <f t="shared" si="43"/>
        <v>129</v>
      </c>
      <c r="C958" s="7" t="str">
        <f t="shared" si="44"/>
        <v>Presidente Perón</v>
      </c>
      <c r="D958" s="18" t="s">
        <v>3894</v>
      </c>
      <c r="E958" s="18">
        <v>2</v>
      </c>
      <c r="F958" s="18">
        <v>38</v>
      </c>
      <c r="G958" s="18">
        <v>5</v>
      </c>
      <c r="H958" s="18" t="s">
        <v>2759</v>
      </c>
    </row>
    <row r="959" spans="1:8">
      <c r="A959" s="7" t="str">
        <f t="shared" si="42"/>
        <v>05</v>
      </c>
      <c r="B959" s="7" t="str">
        <f t="shared" si="43"/>
        <v>129</v>
      </c>
      <c r="C959" s="7" t="str">
        <f t="shared" si="44"/>
        <v>Presidente Perón</v>
      </c>
      <c r="D959" s="18" t="s">
        <v>3895</v>
      </c>
      <c r="E959" s="18">
        <v>5</v>
      </c>
      <c r="F959" s="18">
        <v>93</v>
      </c>
      <c r="G959" s="18">
        <v>5</v>
      </c>
      <c r="H959" s="18" t="s">
        <v>2759</v>
      </c>
    </row>
    <row r="960" spans="1:8">
      <c r="A960" s="7" t="str">
        <f t="shared" si="42"/>
        <v>05</v>
      </c>
      <c r="B960" s="7" t="str">
        <f t="shared" si="43"/>
        <v>129</v>
      </c>
      <c r="C960" s="7" t="str">
        <f t="shared" si="44"/>
        <v>Presidente Perón</v>
      </c>
      <c r="D960" s="18" t="s">
        <v>3896</v>
      </c>
      <c r="E960" s="18">
        <v>2</v>
      </c>
      <c r="F960" s="18">
        <v>40</v>
      </c>
      <c r="G960" s="18">
        <v>5</v>
      </c>
      <c r="H960" s="18" t="s">
        <v>2759</v>
      </c>
    </row>
    <row r="961" spans="1:8">
      <c r="A961" s="7" t="str">
        <f t="shared" si="42"/>
        <v>05</v>
      </c>
      <c r="B961" s="7" t="str">
        <f t="shared" si="43"/>
        <v>129</v>
      </c>
      <c r="C961" s="7" t="str">
        <f t="shared" si="44"/>
        <v>Presidente Perón</v>
      </c>
      <c r="D961" s="18" t="s">
        <v>3897</v>
      </c>
      <c r="E961" s="18">
        <v>1</v>
      </c>
      <c r="F961" s="18">
        <v>21</v>
      </c>
      <c r="G961" s="18">
        <v>5</v>
      </c>
      <c r="H961" s="18" t="s">
        <v>2759</v>
      </c>
    </row>
    <row r="962" spans="1:8">
      <c r="A962" s="7" t="str">
        <f t="shared" si="42"/>
        <v>05</v>
      </c>
      <c r="B962" s="7" t="str">
        <f t="shared" si="43"/>
        <v>129</v>
      </c>
      <c r="C962" s="7" t="str">
        <f t="shared" si="44"/>
        <v>Presidente Perón</v>
      </c>
      <c r="D962" s="18" t="s">
        <v>3898</v>
      </c>
      <c r="E962" s="18">
        <v>5</v>
      </c>
      <c r="F962" s="18">
        <v>126</v>
      </c>
      <c r="G962" s="18">
        <v>5</v>
      </c>
      <c r="H962" s="18" t="s">
        <v>2759</v>
      </c>
    </row>
    <row r="963" spans="1:8">
      <c r="A963" s="7" t="str">
        <f t="shared" ref="A963:A1026" si="45">+VLOOKUP(H963,$K:$N,2,FALSE)</f>
        <v>05</v>
      </c>
      <c r="B963" s="7" t="str">
        <f t="shared" ref="B963:B1026" si="46">+VLOOKUP(H963,$K:$N,3,FALSE)</f>
        <v>129</v>
      </c>
      <c r="C963" s="7" t="str">
        <f t="shared" ref="C963:C1026" si="47">+VLOOKUP(H963,$K:$N,4,FALSE)</f>
        <v>Presidente Perón</v>
      </c>
      <c r="D963" s="18" t="s">
        <v>3899</v>
      </c>
      <c r="E963" s="18">
        <v>5</v>
      </c>
      <c r="F963" s="18">
        <v>155</v>
      </c>
      <c r="G963" s="18">
        <v>5</v>
      </c>
      <c r="H963" s="18" t="s">
        <v>2759</v>
      </c>
    </row>
    <row r="964" spans="1:8">
      <c r="A964" s="7" t="str">
        <f t="shared" si="45"/>
        <v>05</v>
      </c>
      <c r="B964" s="7" t="str">
        <f t="shared" si="46"/>
        <v>129</v>
      </c>
      <c r="C964" s="7" t="str">
        <f t="shared" si="47"/>
        <v>Presidente Perón</v>
      </c>
      <c r="D964" s="18" t="s">
        <v>3900</v>
      </c>
      <c r="E964" s="18">
        <v>5</v>
      </c>
      <c r="F964" s="18">
        <v>118</v>
      </c>
      <c r="G964" s="18">
        <v>5</v>
      </c>
      <c r="H964" s="18" t="s">
        <v>2759</v>
      </c>
    </row>
    <row r="965" spans="1:8">
      <c r="A965" s="7" t="str">
        <f t="shared" si="45"/>
        <v>05</v>
      </c>
      <c r="B965" s="7" t="str">
        <f t="shared" si="46"/>
        <v>129</v>
      </c>
      <c r="C965" s="7" t="str">
        <f t="shared" si="47"/>
        <v>Presidente Perón</v>
      </c>
      <c r="D965" s="18" t="s">
        <v>3901</v>
      </c>
      <c r="E965" s="18">
        <v>3</v>
      </c>
      <c r="F965" s="18">
        <v>69</v>
      </c>
      <c r="G965" s="18">
        <v>5</v>
      </c>
      <c r="H965" s="18" t="s">
        <v>2759</v>
      </c>
    </row>
    <row r="966" spans="1:8">
      <c r="A966" s="7" t="str">
        <f t="shared" si="45"/>
        <v>05</v>
      </c>
      <c r="B966" s="7" t="str">
        <f t="shared" si="46"/>
        <v>129</v>
      </c>
      <c r="C966" s="7" t="str">
        <f t="shared" si="47"/>
        <v>Presidente Perón</v>
      </c>
      <c r="D966" s="18" t="s">
        <v>3902</v>
      </c>
      <c r="E966" s="18">
        <v>4</v>
      </c>
      <c r="F966" s="18">
        <v>86</v>
      </c>
      <c r="G966" s="18">
        <v>5</v>
      </c>
      <c r="H966" s="18" t="s">
        <v>2759</v>
      </c>
    </row>
    <row r="967" spans="1:8">
      <c r="A967" s="7" t="str">
        <f t="shared" si="45"/>
        <v>05</v>
      </c>
      <c r="B967" s="7" t="str">
        <f t="shared" si="46"/>
        <v>129</v>
      </c>
      <c r="C967" s="7" t="str">
        <f t="shared" si="47"/>
        <v>Presidente Perón</v>
      </c>
      <c r="D967" s="18" t="s">
        <v>3903</v>
      </c>
      <c r="E967" s="18">
        <v>5</v>
      </c>
      <c r="F967" s="18">
        <v>100</v>
      </c>
      <c r="G967" s="18">
        <v>5</v>
      </c>
      <c r="H967" s="18" t="s">
        <v>2759</v>
      </c>
    </row>
    <row r="968" spans="1:8">
      <c r="A968" s="7" t="str">
        <f t="shared" si="45"/>
        <v>05</v>
      </c>
      <c r="B968" s="7" t="str">
        <f t="shared" si="46"/>
        <v>129</v>
      </c>
      <c r="C968" s="7" t="str">
        <f t="shared" si="47"/>
        <v>Presidente Perón</v>
      </c>
      <c r="D968" s="18" t="s">
        <v>3904</v>
      </c>
      <c r="E968" s="18">
        <v>5</v>
      </c>
      <c r="F968" s="18">
        <v>77</v>
      </c>
      <c r="G968" s="18">
        <v>5</v>
      </c>
      <c r="H968" s="18" t="s">
        <v>2759</v>
      </c>
    </row>
    <row r="969" spans="1:8">
      <c r="A969" s="7" t="str">
        <f t="shared" si="45"/>
        <v>05</v>
      </c>
      <c r="B969" s="7" t="str">
        <f t="shared" si="46"/>
        <v>129</v>
      </c>
      <c r="C969" s="7" t="str">
        <f t="shared" si="47"/>
        <v>Presidente Perón</v>
      </c>
      <c r="D969" s="18" t="s">
        <v>3905</v>
      </c>
      <c r="E969" s="18">
        <v>6</v>
      </c>
      <c r="F969" s="18">
        <v>186</v>
      </c>
      <c r="G969" s="18">
        <v>5</v>
      </c>
      <c r="H969" s="18" t="s">
        <v>2759</v>
      </c>
    </row>
    <row r="970" spans="1:8">
      <c r="A970" s="7" t="str">
        <f t="shared" si="45"/>
        <v>05</v>
      </c>
      <c r="B970" s="7" t="str">
        <f t="shared" si="46"/>
        <v>129</v>
      </c>
      <c r="C970" s="7" t="str">
        <f t="shared" si="47"/>
        <v>Presidente Perón</v>
      </c>
      <c r="D970" s="18" t="s">
        <v>3906</v>
      </c>
      <c r="E970" s="18">
        <v>2</v>
      </c>
      <c r="F970" s="18">
        <v>35</v>
      </c>
      <c r="G970" s="18">
        <v>5</v>
      </c>
      <c r="H970" s="18" t="s">
        <v>2759</v>
      </c>
    </row>
    <row r="971" spans="1:8">
      <c r="A971" s="7" t="str">
        <f t="shared" si="45"/>
        <v>05</v>
      </c>
      <c r="B971" s="7" t="str">
        <f t="shared" si="46"/>
        <v>129</v>
      </c>
      <c r="C971" s="7" t="str">
        <f t="shared" si="47"/>
        <v>Presidente Perón</v>
      </c>
      <c r="D971" s="18" t="s">
        <v>3907</v>
      </c>
      <c r="E971" s="18">
        <v>1</v>
      </c>
      <c r="F971" s="18">
        <v>19</v>
      </c>
      <c r="G971" s="18">
        <v>5</v>
      </c>
      <c r="H971" s="18" t="s">
        <v>2759</v>
      </c>
    </row>
    <row r="972" spans="1:8">
      <c r="A972" s="7" t="str">
        <f t="shared" si="45"/>
        <v>05</v>
      </c>
      <c r="B972" s="7" t="str">
        <f t="shared" si="46"/>
        <v>129</v>
      </c>
      <c r="C972" s="7" t="str">
        <f t="shared" si="47"/>
        <v>Presidente Perón</v>
      </c>
      <c r="D972" s="18" t="s">
        <v>3908</v>
      </c>
      <c r="E972" s="18">
        <v>2</v>
      </c>
      <c r="F972" s="18">
        <v>33</v>
      </c>
      <c r="G972" s="18">
        <v>5</v>
      </c>
      <c r="H972" s="18" t="s">
        <v>2759</v>
      </c>
    </row>
    <row r="973" spans="1:8">
      <c r="A973" s="7" t="str">
        <f t="shared" si="45"/>
        <v>05</v>
      </c>
      <c r="B973" s="7" t="str">
        <f t="shared" si="46"/>
        <v>129</v>
      </c>
      <c r="C973" s="7" t="str">
        <f t="shared" si="47"/>
        <v>Presidente Perón</v>
      </c>
      <c r="D973" s="18" t="s">
        <v>3909</v>
      </c>
      <c r="E973" s="18">
        <v>1</v>
      </c>
      <c r="F973" s="18">
        <v>17</v>
      </c>
      <c r="G973" s="18">
        <v>5</v>
      </c>
      <c r="H973" s="18" t="s">
        <v>2759</v>
      </c>
    </row>
    <row r="974" spans="1:8">
      <c r="A974" s="7" t="str">
        <f t="shared" si="45"/>
        <v>05</v>
      </c>
      <c r="B974" s="7" t="str">
        <f t="shared" si="46"/>
        <v>129</v>
      </c>
      <c r="C974" s="7" t="str">
        <f t="shared" si="47"/>
        <v>Presidente Perón</v>
      </c>
      <c r="D974" s="18" t="s">
        <v>3910</v>
      </c>
      <c r="E974" s="18">
        <v>4</v>
      </c>
      <c r="F974" s="18">
        <v>72</v>
      </c>
      <c r="G974" s="18">
        <v>5</v>
      </c>
      <c r="H974" s="18" t="s">
        <v>2759</v>
      </c>
    </row>
    <row r="975" spans="1:8">
      <c r="A975" s="7" t="str">
        <f t="shared" si="45"/>
        <v>05</v>
      </c>
      <c r="B975" s="7" t="str">
        <f t="shared" si="46"/>
        <v>129</v>
      </c>
      <c r="C975" s="7" t="str">
        <f t="shared" si="47"/>
        <v>Presidente Perón</v>
      </c>
      <c r="D975" s="18" t="s">
        <v>3911</v>
      </c>
      <c r="E975" s="18">
        <v>1</v>
      </c>
      <c r="F975" s="18">
        <v>15</v>
      </c>
      <c r="G975" s="18">
        <v>5</v>
      </c>
      <c r="H975" s="18" t="s">
        <v>2759</v>
      </c>
    </row>
    <row r="976" spans="1:8">
      <c r="A976" s="7" t="str">
        <f t="shared" si="45"/>
        <v>05</v>
      </c>
      <c r="B976" s="7" t="str">
        <f t="shared" si="46"/>
        <v>099</v>
      </c>
      <c r="C976" s="7" t="str">
        <f t="shared" si="47"/>
        <v>San Vicente</v>
      </c>
      <c r="D976" s="18" t="s">
        <v>3912</v>
      </c>
      <c r="E976" s="18">
        <v>1</v>
      </c>
      <c r="F976" s="18">
        <v>17</v>
      </c>
      <c r="G976" s="18">
        <v>5</v>
      </c>
      <c r="H976" s="18" t="s">
        <v>2338</v>
      </c>
    </row>
    <row r="977" spans="1:8">
      <c r="A977" s="7" t="str">
        <f t="shared" si="45"/>
        <v>05</v>
      </c>
      <c r="B977" s="7" t="str">
        <f t="shared" si="46"/>
        <v>099</v>
      </c>
      <c r="C977" s="7" t="str">
        <f t="shared" si="47"/>
        <v>San Vicente</v>
      </c>
      <c r="D977" s="18" t="s">
        <v>3893</v>
      </c>
      <c r="E977" s="18">
        <v>1</v>
      </c>
      <c r="F977" s="18">
        <v>25</v>
      </c>
      <c r="G977" s="18">
        <v>5</v>
      </c>
      <c r="H977" s="18" t="s">
        <v>2338</v>
      </c>
    </row>
    <row r="978" spans="1:8">
      <c r="A978" s="7" t="str">
        <f t="shared" si="45"/>
        <v>05</v>
      </c>
      <c r="B978" s="7" t="str">
        <f t="shared" si="46"/>
        <v>099</v>
      </c>
      <c r="C978" s="7" t="str">
        <f t="shared" si="47"/>
        <v>San Vicente</v>
      </c>
      <c r="D978" s="18" t="s">
        <v>3913</v>
      </c>
      <c r="E978" s="18">
        <v>1</v>
      </c>
      <c r="F978" s="18">
        <v>31</v>
      </c>
      <c r="G978" s="18">
        <v>5</v>
      </c>
      <c r="H978" s="18" t="s">
        <v>2338</v>
      </c>
    </row>
    <row r="979" spans="1:8">
      <c r="A979" s="7" t="str">
        <f t="shared" si="45"/>
        <v>05</v>
      </c>
      <c r="B979" s="7" t="str">
        <f t="shared" si="46"/>
        <v>099</v>
      </c>
      <c r="C979" s="7" t="str">
        <f t="shared" si="47"/>
        <v>San Vicente</v>
      </c>
      <c r="D979" s="18" t="s">
        <v>3914</v>
      </c>
      <c r="E979" s="18">
        <v>2</v>
      </c>
      <c r="F979" s="18">
        <v>39</v>
      </c>
      <c r="G979" s="18">
        <v>5</v>
      </c>
      <c r="H979" s="18" t="s">
        <v>2338</v>
      </c>
    </row>
    <row r="980" spans="1:8">
      <c r="A980" s="7" t="str">
        <f t="shared" si="45"/>
        <v>05</v>
      </c>
      <c r="B980" s="7" t="str">
        <f t="shared" si="46"/>
        <v>099</v>
      </c>
      <c r="C980" s="7" t="str">
        <f t="shared" si="47"/>
        <v>San Vicente</v>
      </c>
      <c r="D980" s="18" t="s">
        <v>3915</v>
      </c>
      <c r="E980" s="18">
        <v>2</v>
      </c>
      <c r="F980" s="18">
        <v>45</v>
      </c>
      <c r="G980" s="18">
        <v>5</v>
      </c>
      <c r="H980" s="18" t="s">
        <v>2338</v>
      </c>
    </row>
    <row r="981" spans="1:8">
      <c r="A981" s="7" t="str">
        <f t="shared" si="45"/>
        <v>05</v>
      </c>
      <c r="B981" s="7" t="str">
        <f t="shared" si="46"/>
        <v>099</v>
      </c>
      <c r="C981" s="7" t="str">
        <f t="shared" si="47"/>
        <v>San Vicente</v>
      </c>
      <c r="D981" s="18" t="s">
        <v>3916</v>
      </c>
      <c r="E981" s="18">
        <v>7</v>
      </c>
      <c r="F981" s="18">
        <v>181</v>
      </c>
      <c r="G981" s="18">
        <v>5</v>
      </c>
      <c r="H981" s="18" t="s">
        <v>2338</v>
      </c>
    </row>
    <row r="982" spans="1:8">
      <c r="A982" s="7" t="str">
        <f t="shared" si="45"/>
        <v>05</v>
      </c>
      <c r="B982" s="7" t="str">
        <f t="shared" si="46"/>
        <v>099</v>
      </c>
      <c r="C982" s="7" t="str">
        <f t="shared" si="47"/>
        <v>San Vicente</v>
      </c>
      <c r="D982" s="18" t="s">
        <v>3917</v>
      </c>
      <c r="E982" s="18">
        <v>2</v>
      </c>
      <c r="F982" s="18">
        <v>61</v>
      </c>
      <c r="G982" s="18">
        <v>5</v>
      </c>
      <c r="H982" s="18" t="s">
        <v>2338</v>
      </c>
    </row>
    <row r="983" spans="1:8">
      <c r="A983" s="7" t="str">
        <f t="shared" si="45"/>
        <v>05</v>
      </c>
      <c r="B983" s="7" t="str">
        <f t="shared" si="46"/>
        <v>099</v>
      </c>
      <c r="C983" s="7" t="str">
        <f t="shared" si="47"/>
        <v>San Vicente</v>
      </c>
      <c r="D983" s="18" t="s">
        <v>3918</v>
      </c>
      <c r="E983" s="18">
        <v>4</v>
      </c>
      <c r="F983" s="18">
        <v>91</v>
      </c>
      <c r="G983" s="18">
        <v>5</v>
      </c>
      <c r="H983" s="18" t="s">
        <v>2338</v>
      </c>
    </row>
    <row r="984" spans="1:8">
      <c r="A984" s="7" t="str">
        <f t="shared" si="45"/>
        <v>05</v>
      </c>
      <c r="B984" s="7" t="str">
        <f t="shared" si="46"/>
        <v>099</v>
      </c>
      <c r="C984" s="7" t="str">
        <f t="shared" si="47"/>
        <v>San Vicente</v>
      </c>
      <c r="D984" s="18" t="s">
        <v>3919</v>
      </c>
      <c r="E984" s="18">
        <v>9</v>
      </c>
      <c r="F984" s="18">
        <v>266</v>
      </c>
      <c r="G984" s="18">
        <v>5</v>
      </c>
      <c r="H984" s="18" t="s">
        <v>2338</v>
      </c>
    </row>
    <row r="985" spans="1:8">
      <c r="A985" s="7" t="str">
        <f t="shared" si="45"/>
        <v>05</v>
      </c>
      <c r="B985" s="7" t="str">
        <f t="shared" si="46"/>
        <v>099</v>
      </c>
      <c r="C985" s="7" t="str">
        <f t="shared" si="47"/>
        <v>San Vicente</v>
      </c>
      <c r="D985" s="18" t="s">
        <v>3920</v>
      </c>
      <c r="E985" s="18">
        <v>8</v>
      </c>
      <c r="F985" s="18">
        <v>221</v>
      </c>
      <c r="G985" s="18">
        <v>5</v>
      </c>
      <c r="H985" s="18" t="s">
        <v>2338</v>
      </c>
    </row>
    <row r="986" spans="1:8">
      <c r="A986" s="7" t="str">
        <f t="shared" si="45"/>
        <v>05</v>
      </c>
      <c r="B986" s="7" t="str">
        <f t="shared" si="46"/>
        <v>099</v>
      </c>
      <c r="C986" s="7" t="str">
        <f t="shared" si="47"/>
        <v>San Vicente</v>
      </c>
      <c r="D986" s="18" t="s">
        <v>3921</v>
      </c>
      <c r="E986" s="18">
        <v>3</v>
      </c>
      <c r="F986" s="18">
        <v>64</v>
      </c>
      <c r="G986" s="18">
        <v>5</v>
      </c>
      <c r="H986" s="18" t="s">
        <v>2338</v>
      </c>
    </row>
    <row r="987" spans="1:8">
      <c r="A987" s="7" t="str">
        <f t="shared" si="45"/>
        <v>05</v>
      </c>
      <c r="B987" s="7" t="str">
        <f t="shared" si="46"/>
        <v>099</v>
      </c>
      <c r="C987" s="7" t="str">
        <f t="shared" si="47"/>
        <v>San Vicente</v>
      </c>
      <c r="D987" s="18" t="s">
        <v>3922</v>
      </c>
      <c r="E987" s="18">
        <v>1</v>
      </c>
      <c r="F987" s="18">
        <v>14</v>
      </c>
      <c r="G987" s="18">
        <v>5</v>
      </c>
      <c r="H987" s="18" t="s">
        <v>2338</v>
      </c>
    </row>
    <row r="988" spans="1:8">
      <c r="A988" s="7" t="str">
        <f t="shared" si="45"/>
        <v>05</v>
      </c>
      <c r="B988" s="7" t="str">
        <f t="shared" si="46"/>
        <v>099</v>
      </c>
      <c r="C988" s="7" t="str">
        <f t="shared" si="47"/>
        <v>San Vicente</v>
      </c>
      <c r="D988" s="18" t="s">
        <v>3923</v>
      </c>
      <c r="E988" s="18">
        <v>1</v>
      </c>
      <c r="F988" s="18">
        <v>15</v>
      </c>
      <c r="G988" s="18">
        <v>5</v>
      </c>
      <c r="H988" s="18" t="s">
        <v>2338</v>
      </c>
    </row>
    <row r="989" spans="1:8">
      <c r="A989" s="7" t="str">
        <f t="shared" si="45"/>
        <v>05</v>
      </c>
      <c r="B989" s="7" t="str">
        <f t="shared" si="46"/>
        <v>099</v>
      </c>
      <c r="C989" s="7" t="str">
        <f t="shared" si="47"/>
        <v>San Vicente</v>
      </c>
      <c r="D989" s="18" t="s">
        <v>3924</v>
      </c>
      <c r="E989" s="18">
        <v>2</v>
      </c>
      <c r="F989" s="18">
        <v>40</v>
      </c>
      <c r="G989" s="18">
        <v>5</v>
      </c>
      <c r="H989" s="18" t="s">
        <v>2338</v>
      </c>
    </row>
    <row r="990" spans="1:8">
      <c r="A990" s="7" t="str">
        <f t="shared" si="45"/>
        <v>05</v>
      </c>
      <c r="B990" s="7" t="str">
        <f t="shared" si="46"/>
        <v>099</v>
      </c>
      <c r="C990" s="7" t="str">
        <f t="shared" si="47"/>
        <v>San Vicente</v>
      </c>
      <c r="D990" s="18" t="s">
        <v>3925</v>
      </c>
      <c r="E990" s="18">
        <v>1</v>
      </c>
      <c r="F990" s="18">
        <v>14</v>
      </c>
      <c r="G990" s="18">
        <v>5</v>
      </c>
      <c r="H990" s="18" t="s">
        <v>2338</v>
      </c>
    </row>
    <row r="991" spans="1:8">
      <c r="A991" s="7" t="str">
        <f t="shared" si="45"/>
        <v>05</v>
      </c>
      <c r="B991" s="7" t="str">
        <f t="shared" si="46"/>
        <v>099</v>
      </c>
      <c r="C991" s="7" t="str">
        <f t="shared" si="47"/>
        <v>San Vicente</v>
      </c>
      <c r="D991" s="18" t="s">
        <v>3926</v>
      </c>
      <c r="E991" s="18">
        <v>1</v>
      </c>
      <c r="F991" s="18">
        <v>22</v>
      </c>
      <c r="G991" s="18">
        <v>5</v>
      </c>
      <c r="H991" s="18" t="s">
        <v>2338</v>
      </c>
    </row>
    <row r="992" spans="1:8">
      <c r="A992" s="7" t="str">
        <f t="shared" si="45"/>
        <v>05</v>
      </c>
      <c r="B992" s="7" t="str">
        <f t="shared" si="46"/>
        <v>099</v>
      </c>
      <c r="C992" s="7" t="str">
        <f t="shared" si="47"/>
        <v>San Vicente</v>
      </c>
      <c r="D992" s="18" t="s">
        <v>3927</v>
      </c>
      <c r="E992" s="18">
        <v>1</v>
      </c>
      <c r="F992" s="18">
        <v>20</v>
      </c>
      <c r="G992" s="18">
        <v>5</v>
      </c>
      <c r="H992" s="18" t="s">
        <v>2338</v>
      </c>
    </row>
    <row r="993" spans="1:8">
      <c r="A993" s="7" t="str">
        <f t="shared" si="45"/>
        <v>05</v>
      </c>
      <c r="B993" s="7" t="str">
        <f t="shared" si="46"/>
        <v>099</v>
      </c>
      <c r="C993" s="7" t="str">
        <f t="shared" si="47"/>
        <v>San Vicente</v>
      </c>
      <c r="D993" s="18" t="s">
        <v>3928</v>
      </c>
      <c r="E993" s="18">
        <v>1</v>
      </c>
      <c r="F993" s="18">
        <v>23</v>
      </c>
      <c r="G993" s="18">
        <v>5</v>
      </c>
      <c r="H993" s="18" t="s">
        <v>2338</v>
      </c>
    </row>
    <row r="994" spans="1:8">
      <c r="A994" s="7" t="str">
        <f t="shared" si="45"/>
        <v>05</v>
      </c>
      <c r="B994" s="7" t="str">
        <f t="shared" si="46"/>
        <v>099</v>
      </c>
      <c r="C994" s="7" t="str">
        <f t="shared" si="47"/>
        <v>San Vicente</v>
      </c>
      <c r="D994" s="18" t="s">
        <v>3929</v>
      </c>
      <c r="E994" s="18">
        <v>3</v>
      </c>
      <c r="F994" s="18">
        <v>64</v>
      </c>
      <c r="G994" s="18">
        <v>5</v>
      </c>
      <c r="H994" s="18" t="s">
        <v>2338</v>
      </c>
    </row>
    <row r="995" spans="1:8">
      <c r="A995" s="7" t="str">
        <f t="shared" si="45"/>
        <v>06</v>
      </c>
      <c r="B995" s="7" t="str">
        <f t="shared" si="46"/>
        <v>095</v>
      </c>
      <c r="C995" s="7" t="str">
        <f t="shared" si="47"/>
        <v>San Fernando</v>
      </c>
      <c r="D995" s="18" t="s">
        <v>3930</v>
      </c>
      <c r="E995" s="18">
        <v>1</v>
      </c>
      <c r="F995" s="18">
        <v>15</v>
      </c>
      <c r="G995" s="18">
        <v>6</v>
      </c>
      <c r="H995" s="18" t="s">
        <v>2214</v>
      </c>
    </row>
    <row r="996" spans="1:8">
      <c r="A996" s="7" t="str">
        <f t="shared" si="45"/>
        <v>06</v>
      </c>
      <c r="B996" s="7" t="str">
        <f t="shared" si="46"/>
        <v>095</v>
      </c>
      <c r="C996" s="7" t="str">
        <f t="shared" si="47"/>
        <v>San Fernando</v>
      </c>
      <c r="D996" s="18" t="s">
        <v>3931</v>
      </c>
      <c r="E996" s="18">
        <v>1</v>
      </c>
      <c r="F996" s="18">
        <v>12</v>
      </c>
      <c r="G996" s="18">
        <v>6</v>
      </c>
      <c r="H996" s="18" t="s">
        <v>2214</v>
      </c>
    </row>
    <row r="997" spans="1:8">
      <c r="A997" s="7" t="str">
        <f t="shared" si="45"/>
        <v>06</v>
      </c>
      <c r="B997" s="7" t="str">
        <f t="shared" si="46"/>
        <v>095</v>
      </c>
      <c r="C997" s="7" t="str">
        <f t="shared" si="47"/>
        <v>San Fernando</v>
      </c>
      <c r="D997" s="18" t="s">
        <v>3932</v>
      </c>
      <c r="E997" s="18">
        <v>1</v>
      </c>
      <c r="F997" s="18">
        <v>13</v>
      </c>
      <c r="G997" s="18">
        <v>6</v>
      </c>
      <c r="H997" s="18" t="s">
        <v>2214</v>
      </c>
    </row>
    <row r="998" spans="1:8">
      <c r="A998" s="7" t="str">
        <f t="shared" si="45"/>
        <v>06</v>
      </c>
      <c r="B998" s="7" t="str">
        <f t="shared" si="46"/>
        <v>095</v>
      </c>
      <c r="C998" s="7" t="str">
        <f t="shared" si="47"/>
        <v>San Fernando</v>
      </c>
      <c r="D998" s="18" t="s">
        <v>3933</v>
      </c>
      <c r="E998" s="18">
        <v>1</v>
      </c>
      <c r="F998" s="18">
        <v>11</v>
      </c>
      <c r="G998" s="18">
        <v>6</v>
      </c>
      <c r="H998" s="18" t="s">
        <v>2214</v>
      </c>
    </row>
    <row r="999" spans="1:8">
      <c r="A999" s="7" t="str">
        <f t="shared" si="45"/>
        <v>06</v>
      </c>
      <c r="B999" s="7" t="str">
        <f t="shared" si="46"/>
        <v>095</v>
      </c>
      <c r="C999" s="7" t="str">
        <f t="shared" si="47"/>
        <v>San Fernando</v>
      </c>
      <c r="D999" s="18" t="s">
        <v>3934</v>
      </c>
      <c r="E999" s="18">
        <v>1</v>
      </c>
      <c r="F999" s="18">
        <v>4</v>
      </c>
      <c r="G999" s="18">
        <v>6</v>
      </c>
      <c r="H999" s="18" t="s">
        <v>2214</v>
      </c>
    </row>
    <row r="1000" spans="1:8">
      <c r="A1000" s="7" t="str">
        <f t="shared" si="45"/>
        <v>06</v>
      </c>
      <c r="B1000" s="7" t="str">
        <f t="shared" si="46"/>
        <v>095</v>
      </c>
      <c r="C1000" s="7" t="str">
        <f t="shared" si="47"/>
        <v>San Fernando</v>
      </c>
      <c r="D1000" s="18" t="s">
        <v>3935</v>
      </c>
      <c r="E1000" s="18">
        <v>1</v>
      </c>
      <c r="F1000" s="18">
        <v>8</v>
      </c>
      <c r="G1000" s="18">
        <v>6</v>
      </c>
      <c r="H1000" s="18" t="s">
        <v>2214</v>
      </c>
    </row>
    <row r="1001" spans="1:8">
      <c r="A1001" s="7" t="str">
        <f t="shared" si="45"/>
        <v>06</v>
      </c>
      <c r="B1001" s="7" t="str">
        <f t="shared" si="46"/>
        <v>095</v>
      </c>
      <c r="C1001" s="7" t="str">
        <f t="shared" si="47"/>
        <v>San Fernando</v>
      </c>
      <c r="D1001" s="18" t="s">
        <v>3936</v>
      </c>
      <c r="E1001" s="18">
        <v>1</v>
      </c>
      <c r="F1001" s="18">
        <v>12</v>
      </c>
      <c r="G1001" s="18">
        <v>6</v>
      </c>
      <c r="H1001" s="18" t="s">
        <v>2214</v>
      </c>
    </row>
    <row r="1002" spans="1:8">
      <c r="A1002" s="7" t="str">
        <f t="shared" si="45"/>
        <v>06</v>
      </c>
      <c r="B1002" s="7" t="str">
        <f t="shared" si="46"/>
        <v>095</v>
      </c>
      <c r="C1002" s="7" t="str">
        <f t="shared" si="47"/>
        <v>San Fernando</v>
      </c>
      <c r="D1002" s="18" t="s">
        <v>3937</v>
      </c>
      <c r="E1002" s="18">
        <v>1</v>
      </c>
      <c r="F1002" s="18">
        <v>0</v>
      </c>
      <c r="G1002" s="18">
        <v>6</v>
      </c>
      <c r="H1002" s="18" t="s">
        <v>2214</v>
      </c>
    </row>
    <row r="1003" spans="1:8">
      <c r="A1003" s="7" t="str">
        <f t="shared" si="45"/>
        <v>06</v>
      </c>
      <c r="B1003" s="7" t="str">
        <f t="shared" si="46"/>
        <v>095</v>
      </c>
      <c r="C1003" s="7" t="str">
        <f t="shared" si="47"/>
        <v>San Fernando</v>
      </c>
      <c r="D1003" s="18" t="s">
        <v>3938</v>
      </c>
      <c r="E1003" s="18">
        <v>1</v>
      </c>
      <c r="F1003" s="18">
        <v>24</v>
      </c>
      <c r="G1003" s="18">
        <v>6</v>
      </c>
      <c r="H1003" s="18" t="s">
        <v>2214</v>
      </c>
    </row>
    <row r="1004" spans="1:8">
      <c r="A1004" s="7" t="str">
        <f t="shared" si="45"/>
        <v>06</v>
      </c>
      <c r="B1004" s="7" t="str">
        <f t="shared" si="46"/>
        <v>095</v>
      </c>
      <c r="C1004" s="7" t="str">
        <f t="shared" si="47"/>
        <v>San Fernando</v>
      </c>
      <c r="D1004" s="18" t="s">
        <v>3939</v>
      </c>
      <c r="E1004" s="18">
        <v>1</v>
      </c>
      <c r="F1004" s="18">
        <v>9</v>
      </c>
      <c r="G1004" s="18">
        <v>6</v>
      </c>
      <c r="H1004" s="18" t="s">
        <v>2214</v>
      </c>
    </row>
    <row r="1005" spans="1:8">
      <c r="A1005" s="7" t="str">
        <f t="shared" si="45"/>
        <v>06</v>
      </c>
      <c r="B1005" s="7" t="str">
        <f t="shared" si="46"/>
        <v>095</v>
      </c>
      <c r="C1005" s="7" t="str">
        <f t="shared" si="47"/>
        <v>San Fernando</v>
      </c>
      <c r="D1005" s="18" t="s">
        <v>3940</v>
      </c>
      <c r="E1005" s="18">
        <v>1</v>
      </c>
      <c r="F1005" s="18">
        <v>11</v>
      </c>
      <c r="G1005" s="18">
        <v>6</v>
      </c>
      <c r="H1005" s="18" t="s">
        <v>2214</v>
      </c>
    </row>
    <row r="1006" spans="1:8">
      <c r="A1006" s="7" t="str">
        <f t="shared" si="45"/>
        <v>06</v>
      </c>
      <c r="B1006" s="7" t="str">
        <f t="shared" si="46"/>
        <v>095</v>
      </c>
      <c r="C1006" s="7" t="str">
        <f t="shared" si="47"/>
        <v>San Fernando</v>
      </c>
      <c r="D1006" s="18" t="s">
        <v>3941</v>
      </c>
      <c r="E1006" s="18">
        <v>1</v>
      </c>
      <c r="F1006" s="18">
        <v>26</v>
      </c>
      <c r="G1006" s="18">
        <v>6</v>
      </c>
      <c r="H1006" s="18" t="s">
        <v>2214</v>
      </c>
    </row>
    <row r="1007" spans="1:8">
      <c r="A1007" s="7" t="str">
        <f t="shared" si="45"/>
        <v>06</v>
      </c>
      <c r="B1007" s="7" t="str">
        <f t="shared" si="46"/>
        <v>095</v>
      </c>
      <c r="C1007" s="7" t="str">
        <f t="shared" si="47"/>
        <v>San Fernando</v>
      </c>
      <c r="D1007" s="18" t="s">
        <v>3942</v>
      </c>
      <c r="E1007" s="18">
        <v>1</v>
      </c>
      <c r="F1007" s="18">
        <v>32</v>
      </c>
      <c r="G1007" s="18">
        <v>6</v>
      </c>
      <c r="H1007" s="18" t="s">
        <v>2214</v>
      </c>
    </row>
    <row r="1008" spans="1:8">
      <c r="A1008" s="7" t="str">
        <f t="shared" si="45"/>
        <v>06</v>
      </c>
      <c r="B1008" s="7" t="str">
        <f t="shared" si="46"/>
        <v>095</v>
      </c>
      <c r="C1008" s="7" t="str">
        <f t="shared" si="47"/>
        <v>San Fernando</v>
      </c>
      <c r="D1008" s="18" t="s">
        <v>3943</v>
      </c>
      <c r="E1008" s="18">
        <v>1</v>
      </c>
      <c r="F1008" s="18">
        <v>9</v>
      </c>
      <c r="G1008" s="18">
        <v>6</v>
      </c>
      <c r="H1008" s="18" t="s">
        <v>2214</v>
      </c>
    </row>
    <row r="1009" spans="1:8">
      <c r="A1009" s="7" t="str">
        <f t="shared" si="45"/>
        <v>06</v>
      </c>
      <c r="B1009" s="7" t="str">
        <f t="shared" si="46"/>
        <v>095</v>
      </c>
      <c r="C1009" s="7" t="str">
        <f t="shared" si="47"/>
        <v>San Fernando</v>
      </c>
      <c r="D1009" s="18" t="s">
        <v>3944</v>
      </c>
      <c r="E1009" s="18">
        <v>1</v>
      </c>
      <c r="F1009" s="18">
        <v>16</v>
      </c>
      <c r="G1009" s="18">
        <v>6</v>
      </c>
      <c r="H1009" s="18" t="s">
        <v>2214</v>
      </c>
    </row>
    <row r="1010" spans="1:8">
      <c r="A1010" s="7" t="str">
        <f t="shared" si="45"/>
        <v>06</v>
      </c>
      <c r="B1010" s="7" t="str">
        <f t="shared" si="46"/>
        <v>096</v>
      </c>
      <c r="C1010" s="7" t="str">
        <f t="shared" si="47"/>
        <v>San Isidro</v>
      </c>
      <c r="D1010" s="18" t="s">
        <v>3945</v>
      </c>
      <c r="E1010" s="18">
        <v>1</v>
      </c>
      <c r="F1010" s="18">
        <v>6</v>
      </c>
      <c r="G1010" s="18">
        <v>6</v>
      </c>
      <c r="H1010" s="18" t="s">
        <v>2238</v>
      </c>
    </row>
    <row r="1011" spans="1:8">
      <c r="A1011" s="7" t="str">
        <f t="shared" si="45"/>
        <v>06</v>
      </c>
      <c r="B1011" s="7" t="str">
        <f t="shared" si="46"/>
        <v>096</v>
      </c>
      <c r="C1011" s="7" t="str">
        <f t="shared" si="47"/>
        <v>San Isidro</v>
      </c>
      <c r="D1011" s="18" t="s">
        <v>3946</v>
      </c>
      <c r="E1011" s="18">
        <v>1</v>
      </c>
      <c r="F1011" s="18">
        <v>16</v>
      </c>
      <c r="G1011" s="18">
        <v>6</v>
      </c>
      <c r="H1011" s="18" t="s">
        <v>2238</v>
      </c>
    </row>
    <row r="1012" spans="1:8">
      <c r="A1012" s="7" t="str">
        <f t="shared" si="45"/>
        <v>06</v>
      </c>
      <c r="B1012" s="7" t="str">
        <f t="shared" si="46"/>
        <v>096</v>
      </c>
      <c r="C1012" s="7" t="str">
        <f t="shared" si="47"/>
        <v>San Isidro</v>
      </c>
      <c r="D1012" s="18" t="s">
        <v>3947</v>
      </c>
      <c r="E1012" s="18">
        <v>3</v>
      </c>
      <c r="F1012" s="18">
        <v>38</v>
      </c>
      <c r="G1012" s="18">
        <v>6</v>
      </c>
      <c r="H1012" s="18" t="s">
        <v>2238</v>
      </c>
    </row>
    <row r="1013" spans="1:8">
      <c r="A1013" s="7" t="str">
        <f t="shared" si="45"/>
        <v>06</v>
      </c>
      <c r="B1013" s="7" t="str">
        <f t="shared" si="46"/>
        <v>096</v>
      </c>
      <c r="C1013" s="7" t="str">
        <f t="shared" si="47"/>
        <v>San Isidro</v>
      </c>
      <c r="D1013" s="18" t="s">
        <v>3948</v>
      </c>
      <c r="E1013" s="18">
        <v>2</v>
      </c>
      <c r="F1013" s="18">
        <v>38</v>
      </c>
      <c r="G1013" s="18">
        <v>6</v>
      </c>
      <c r="H1013" s="18" t="s">
        <v>2238</v>
      </c>
    </row>
    <row r="1014" spans="1:8">
      <c r="A1014" s="7" t="str">
        <f t="shared" si="45"/>
        <v>06</v>
      </c>
      <c r="B1014" s="7" t="str">
        <f t="shared" si="46"/>
        <v>096</v>
      </c>
      <c r="C1014" s="7" t="str">
        <f t="shared" si="47"/>
        <v>San Isidro</v>
      </c>
      <c r="D1014" s="18" t="s">
        <v>3949</v>
      </c>
      <c r="E1014" s="18">
        <v>1</v>
      </c>
      <c r="F1014" s="18">
        <v>15</v>
      </c>
      <c r="G1014" s="18">
        <v>6</v>
      </c>
      <c r="H1014" s="18" t="s">
        <v>2238</v>
      </c>
    </row>
    <row r="1015" spans="1:8">
      <c r="A1015" s="7" t="str">
        <f t="shared" si="45"/>
        <v>06</v>
      </c>
      <c r="B1015" s="7" t="str">
        <f t="shared" si="46"/>
        <v>096</v>
      </c>
      <c r="C1015" s="7" t="str">
        <f t="shared" si="47"/>
        <v>San Isidro</v>
      </c>
      <c r="D1015" s="18" t="s">
        <v>3950</v>
      </c>
      <c r="E1015" s="18">
        <v>1</v>
      </c>
      <c r="F1015" s="18">
        <v>16</v>
      </c>
      <c r="G1015" s="18">
        <v>6</v>
      </c>
      <c r="H1015" s="18" t="s">
        <v>2238</v>
      </c>
    </row>
    <row r="1016" spans="1:8">
      <c r="A1016" s="7" t="str">
        <f t="shared" si="45"/>
        <v>06</v>
      </c>
      <c r="B1016" s="7" t="str">
        <f t="shared" si="46"/>
        <v>096</v>
      </c>
      <c r="C1016" s="7" t="str">
        <f t="shared" si="47"/>
        <v>San Isidro</v>
      </c>
      <c r="D1016" s="18" t="s">
        <v>3951</v>
      </c>
      <c r="E1016" s="18">
        <v>1</v>
      </c>
      <c r="F1016" s="18">
        <v>15</v>
      </c>
      <c r="G1016" s="18">
        <v>6</v>
      </c>
      <c r="H1016" s="18" t="s">
        <v>2238</v>
      </c>
    </row>
    <row r="1017" spans="1:8">
      <c r="A1017" s="7" t="str">
        <f t="shared" si="45"/>
        <v>06</v>
      </c>
      <c r="B1017" s="7" t="str">
        <f t="shared" si="46"/>
        <v>096</v>
      </c>
      <c r="C1017" s="7" t="str">
        <f t="shared" si="47"/>
        <v>San Isidro</v>
      </c>
      <c r="D1017" s="18" t="s">
        <v>3952</v>
      </c>
      <c r="E1017" s="18">
        <v>1</v>
      </c>
      <c r="F1017" s="18">
        <v>23</v>
      </c>
      <c r="G1017" s="18">
        <v>6</v>
      </c>
      <c r="H1017" s="18" t="s">
        <v>2238</v>
      </c>
    </row>
    <row r="1018" spans="1:8">
      <c r="A1018" s="7" t="str">
        <f t="shared" si="45"/>
        <v>06</v>
      </c>
      <c r="B1018" s="7" t="str">
        <f t="shared" si="46"/>
        <v>096</v>
      </c>
      <c r="C1018" s="7" t="str">
        <f t="shared" si="47"/>
        <v>San Isidro</v>
      </c>
      <c r="D1018" s="18" t="s">
        <v>3953</v>
      </c>
      <c r="E1018" s="18">
        <v>2</v>
      </c>
      <c r="F1018" s="18">
        <v>33</v>
      </c>
      <c r="G1018" s="18">
        <v>6</v>
      </c>
      <c r="H1018" s="18" t="s">
        <v>2238</v>
      </c>
    </row>
    <row r="1019" spans="1:8">
      <c r="A1019" s="7" t="str">
        <f t="shared" si="45"/>
        <v>06</v>
      </c>
      <c r="B1019" s="7" t="str">
        <f t="shared" si="46"/>
        <v>096</v>
      </c>
      <c r="C1019" s="7" t="str">
        <f t="shared" si="47"/>
        <v>San Isidro</v>
      </c>
      <c r="D1019" s="18" t="s">
        <v>3954</v>
      </c>
      <c r="E1019" s="18">
        <v>1</v>
      </c>
      <c r="F1019" s="18">
        <v>18</v>
      </c>
      <c r="G1019" s="18">
        <v>6</v>
      </c>
      <c r="H1019" s="18" t="s">
        <v>2238</v>
      </c>
    </row>
    <row r="1020" spans="1:8">
      <c r="A1020" s="7" t="str">
        <f t="shared" si="45"/>
        <v>06</v>
      </c>
      <c r="B1020" s="7" t="str">
        <f t="shared" si="46"/>
        <v>096</v>
      </c>
      <c r="C1020" s="7" t="str">
        <f t="shared" si="47"/>
        <v>San Isidro</v>
      </c>
      <c r="D1020" s="18" t="s">
        <v>3955</v>
      </c>
      <c r="E1020" s="18">
        <v>1</v>
      </c>
      <c r="F1020" s="18">
        <v>16</v>
      </c>
      <c r="G1020" s="18">
        <v>6</v>
      </c>
      <c r="H1020" s="18" t="s">
        <v>2238</v>
      </c>
    </row>
    <row r="1021" spans="1:8">
      <c r="A1021" s="7" t="str">
        <f t="shared" si="45"/>
        <v>06</v>
      </c>
      <c r="B1021" s="7" t="str">
        <f t="shared" si="46"/>
        <v>055</v>
      </c>
      <c r="C1021" s="7" t="str">
        <f t="shared" si="47"/>
        <v>Tigre</v>
      </c>
      <c r="D1021" s="18" t="s">
        <v>3956</v>
      </c>
      <c r="E1021" s="18">
        <v>1</v>
      </c>
      <c r="F1021" s="18">
        <v>0</v>
      </c>
      <c r="G1021" s="18">
        <v>6</v>
      </c>
      <c r="H1021" s="18" t="s">
        <v>1256</v>
      </c>
    </row>
    <row r="1022" spans="1:8">
      <c r="A1022" s="7" t="str">
        <f t="shared" si="45"/>
        <v>06</v>
      </c>
      <c r="B1022" s="7" t="str">
        <f t="shared" si="46"/>
        <v>055</v>
      </c>
      <c r="C1022" s="7" t="str">
        <f t="shared" si="47"/>
        <v>Tigre</v>
      </c>
      <c r="D1022" s="18" t="s">
        <v>3957</v>
      </c>
      <c r="E1022" s="18">
        <v>1</v>
      </c>
      <c r="F1022" s="18">
        <v>0</v>
      </c>
      <c r="G1022" s="18">
        <v>6</v>
      </c>
      <c r="H1022" s="18" t="s">
        <v>1256</v>
      </c>
    </row>
    <row r="1023" spans="1:8">
      <c r="A1023" s="7" t="str">
        <f t="shared" si="45"/>
        <v>06</v>
      </c>
      <c r="B1023" s="7" t="str">
        <f t="shared" si="46"/>
        <v>055</v>
      </c>
      <c r="C1023" s="7" t="str">
        <f t="shared" si="47"/>
        <v>Tigre</v>
      </c>
      <c r="D1023" s="18" t="s">
        <v>3958</v>
      </c>
      <c r="E1023" s="18">
        <v>3</v>
      </c>
      <c r="F1023" s="18">
        <v>62</v>
      </c>
      <c r="G1023" s="18">
        <v>6</v>
      </c>
      <c r="H1023" s="18" t="s">
        <v>1256</v>
      </c>
    </row>
    <row r="1024" spans="1:8">
      <c r="A1024" s="7" t="str">
        <f t="shared" si="45"/>
        <v>06</v>
      </c>
      <c r="B1024" s="7" t="str">
        <f t="shared" si="46"/>
        <v>055</v>
      </c>
      <c r="C1024" s="7" t="str">
        <f t="shared" si="47"/>
        <v>Tigre</v>
      </c>
      <c r="D1024" s="18" t="s">
        <v>3959</v>
      </c>
      <c r="E1024" s="18">
        <v>1</v>
      </c>
      <c r="F1024" s="18">
        <v>1</v>
      </c>
      <c r="G1024" s="18">
        <v>6</v>
      </c>
      <c r="H1024" s="18" t="s">
        <v>1256</v>
      </c>
    </row>
    <row r="1025" spans="1:8">
      <c r="A1025" s="7" t="str">
        <f t="shared" si="45"/>
        <v>06</v>
      </c>
      <c r="B1025" s="7" t="str">
        <f t="shared" si="46"/>
        <v>055</v>
      </c>
      <c r="C1025" s="7" t="str">
        <f t="shared" si="47"/>
        <v>Tigre</v>
      </c>
      <c r="D1025" s="18" t="s">
        <v>3960</v>
      </c>
      <c r="E1025" s="18">
        <v>1</v>
      </c>
      <c r="F1025" s="18">
        <v>0</v>
      </c>
      <c r="G1025" s="18">
        <v>6</v>
      </c>
      <c r="H1025" s="18" t="s">
        <v>1256</v>
      </c>
    </row>
    <row r="1026" spans="1:8">
      <c r="A1026" s="7" t="str">
        <f t="shared" si="45"/>
        <v>06</v>
      </c>
      <c r="B1026" s="7" t="str">
        <f t="shared" si="46"/>
        <v>055</v>
      </c>
      <c r="C1026" s="7" t="str">
        <f t="shared" si="47"/>
        <v>Tigre</v>
      </c>
      <c r="D1026" s="18" t="s">
        <v>3961</v>
      </c>
      <c r="E1026" s="18">
        <v>1</v>
      </c>
      <c r="F1026" s="18">
        <v>0</v>
      </c>
      <c r="G1026" s="18">
        <v>6</v>
      </c>
      <c r="H1026" s="18" t="s">
        <v>1256</v>
      </c>
    </row>
    <row r="1027" spans="1:8">
      <c r="A1027" s="7" t="str">
        <f t="shared" ref="A1027:A1090" si="48">+VLOOKUP(H1027,$K:$N,2,FALSE)</f>
        <v>06</v>
      </c>
      <c r="B1027" s="7" t="str">
        <f t="shared" ref="B1027:B1090" si="49">+VLOOKUP(H1027,$K:$N,3,FALSE)</f>
        <v>055</v>
      </c>
      <c r="C1027" s="7" t="str">
        <f t="shared" ref="C1027:C1090" si="50">+VLOOKUP(H1027,$K:$N,4,FALSE)</f>
        <v>Tigre</v>
      </c>
      <c r="D1027" s="18" t="s">
        <v>3962</v>
      </c>
      <c r="E1027" s="18">
        <v>2</v>
      </c>
      <c r="F1027" s="18">
        <v>38</v>
      </c>
      <c r="G1027" s="18">
        <v>6</v>
      </c>
      <c r="H1027" s="18" t="s">
        <v>1256</v>
      </c>
    </row>
    <row r="1028" spans="1:8">
      <c r="A1028" s="7" t="str">
        <f t="shared" si="48"/>
        <v>06</v>
      </c>
      <c r="B1028" s="7" t="str">
        <f t="shared" si="49"/>
        <v>055</v>
      </c>
      <c r="C1028" s="7" t="str">
        <f t="shared" si="50"/>
        <v>Tigre</v>
      </c>
      <c r="D1028" s="18" t="s">
        <v>3963</v>
      </c>
      <c r="E1028" s="18">
        <v>2</v>
      </c>
      <c r="F1028" s="18">
        <v>0</v>
      </c>
      <c r="G1028" s="18">
        <v>6</v>
      </c>
      <c r="H1028" s="18" t="s">
        <v>1256</v>
      </c>
    </row>
    <row r="1029" spans="1:8">
      <c r="A1029" s="7" t="str">
        <f t="shared" si="48"/>
        <v>06</v>
      </c>
      <c r="B1029" s="7" t="str">
        <f t="shared" si="49"/>
        <v>055</v>
      </c>
      <c r="C1029" s="7" t="str">
        <f t="shared" si="50"/>
        <v>Tigre</v>
      </c>
      <c r="D1029" s="18" t="s">
        <v>3964</v>
      </c>
      <c r="E1029" s="18">
        <v>1</v>
      </c>
      <c r="F1029" s="18">
        <v>13</v>
      </c>
      <c r="G1029" s="18">
        <v>6</v>
      </c>
      <c r="H1029" s="18" t="s">
        <v>1256</v>
      </c>
    </row>
    <row r="1030" spans="1:8">
      <c r="A1030" s="7" t="str">
        <f t="shared" si="48"/>
        <v>06</v>
      </c>
      <c r="B1030" s="7" t="str">
        <f t="shared" si="49"/>
        <v>055</v>
      </c>
      <c r="C1030" s="7" t="str">
        <f t="shared" si="50"/>
        <v>Tigre</v>
      </c>
      <c r="D1030" s="18" t="s">
        <v>3965</v>
      </c>
      <c r="E1030" s="18">
        <v>1</v>
      </c>
      <c r="F1030" s="18">
        <v>17</v>
      </c>
      <c r="G1030" s="18">
        <v>6</v>
      </c>
      <c r="H1030" s="18" t="s">
        <v>1256</v>
      </c>
    </row>
    <row r="1031" spans="1:8">
      <c r="A1031" s="7" t="str">
        <f t="shared" si="48"/>
        <v>06</v>
      </c>
      <c r="B1031" s="7" t="str">
        <f t="shared" si="49"/>
        <v>055</v>
      </c>
      <c r="C1031" s="7" t="str">
        <f t="shared" si="50"/>
        <v>Tigre</v>
      </c>
      <c r="D1031" s="18" t="s">
        <v>3966</v>
      </c>
      <c r="E1031" s="18">
        <v>1</v>
      </c>
      <c r="F1031" s="18">
        <v>24</v>
      </c>
      <c r="G1031" s="18">
        <v>6</v>
      </c>
      <c r="H1031" s="18" t="s">
        <v>1256</v>
      </c>
    </row>
    <row r="1032" spans="1:8">
      <c r="A1032" s="7" t="str">
        <f t="shared" si="48"/>
        <v>06</v>
      </c>
      <c r="B1032" s="7" t="str">
        <f t="shared" si="49"/>
        <v>055</v>
      </c>
      <c r="C1032" s="7" t="str">
        <f t="shared" si="50"/>
        <v>Tigre</v>
      </c>
      <c r="D1032" s="18" t="s">
        <v>3967</v>
      </c>
      <c r="E1032" s="18">
        <v>2</v>
      </c>
      <c r="F1032" s="18">
        <v>10</v>
      </c>
      <c r="G1032" s="18">
        <v>6</v>
      </c>
      <c r="H1032" s="18" t="s">
        <v>1256</v>
      </c>
    </row>
    <row r="1033" spans="1:8">
      <c r="A1033" s="7" t="str">
        <f t="shared" si="48"/>
        <v>06</v>
      </c>
      <c r="B1033" s="7" t="str">
        <f t="shared" si="49"/>
        <v>055</v>
      </c>
      <c r="C1033" s="7" t="str">
        <f t="shared" si="50"/>
        <v>Tigre</v>
      </c>
      <c r="D1033" s="18" t="s">
        <v>3968</v>
      </c>
      <c r="E1033" s="18">
        <v>1</v>
      </c>
      <c r="F1033" s="18">
        <v>1</v>
      </c>
      <c r="G1033" s="18">
        <v>6</v>
      </c>
      <c r="H1033" s="18" t="s">
        <v>1256</v>
      </c>
    </row>
    <row r="1034" spans="1:8">
      <c r="A1034" s="7" t="str">
        <f t="shared" si="48"/>
        <v>06</v>
      </c>
      <c r="B1034" s="7" t="str">
        <f t="shared" si="49"/>
        <v>055</v>
      </c>
      <c r="C1034" s="7" t="str">
        <f t="shared" si="50"/>
        <v>Tigre</v>
      </c>
      <c r="D1034" s="18" t="s">
        <v>3969</v>
      </c>
      <c r="E1034" s="18">
        <v>2</v>
      </c>
      <c r="F1034" s="18">
        <v>18</v>
      </c>
      <c r="G1034" s="18">
        <v>6</v>
      </c>
      <c r="H1034" s="18" t="s">
        <v>1256</v>
      </c>
    </row>
    <row r="1035" spans="1:8">
      <c r="A1035" s="7" t="str">
        <f t="shared" si="48"/>
        <v>06</v>
      </c>
      <c r="B1035" s="7" t="str">
        <f t="shared" si="49"/>
        <v>055</v>
      </c>
      <c r="C1035" s="7" t="str">
        <f t="shared" si="50"/>
        <v>Tigre</v>
      </c>
      <c r="D1035" s="18" t="s">
        <v>3970</v>
      </c>
      <c r="E1035" s="18">
        <v>3</v>
      </c>
      <c r="F1035" s="18">
        <v>77</v>
      </c>
      <c r="G1035" s="18">
        <v>6</v>
      </c>
      <c r="H1035" s="18" t="s">
        <v>1256</v>
      </c>
    </row>
    <row r="1036" spans="1:8">
      <c r="A1036" s="7" t="str">
        <f t="shared" si="48"/>
        <v>06</v>
      </c>
      <c r="B1036" s="7" t="str">
        <f t="shared" si="49"/>
        <v>109</v>
      </c>
      <c r="C1036" s="7" t="str">
        <f t="shared" si="50"/>
        <v>Vicente López</v>
      </c>
      <c r="D1036" s="18" t="s">
        <v>3971</v>
      </c>
      <c r="E1036" s="18">
        <v>3</v>
      </c>
      <c r="F1036" s="18">
        <v>56</v>
      </c>
      <c r="G1036" s="18">
        <v>6</v>
      </c>
      <c r="H1036" s="18" t="s">
        <v>2470</v>
      </c>
    </row>
    <row r="1037" spans="1:8">
      <c r="A1037" s="7" t="str">
        <f t="shared" si="48"/>
        <v>06</v>
      </c>
      <c r="B1037" s="7" t="str">
        <f t="shared" si="49"/>
        <v>109</v>
      </c>
      <c r="C1037" s="7" t="str">
        <f t="shared" si="50"/>
        <v>Vicente López</v>
      </c>
      <c r="D1037" s="18" t="s">
        <v>3972</v>
      </c>
      <c r="E1037" s="18">
        <v>3</v>
      </c>
      <c r="F1037" s="18">
        <v>59</v>
      </c>
      <c r="G1037" s="18">
        <v>6</v>
      </c>
      <c r="H1037" s="18" t="s">
        <v>2470</v>
      </c>
    </row>
    <row r="1038" spans="1:8">
      <c r="A1038" s="7" t="str">
        <f t="shared" si="48"/>
        <v>06</v>
      </c>
      <c r="B1038" s="7" t="str">
        <f t="shared" si="49"/>
        <v>109</v>
      </c>
      <c r="C1038" s="7" t="str">
        <f t="shared" si="50"/>
        <v>Vicente López</v>
      </c>
      <c r="D1038" s="18" t="s">
        <v>3973</v>
      </c>
      <c r="E1038" s="18">
        <v>1</v>
      </c>
      <c r="F1038" s="18">
        <v>13</v>
      </c>
      <c r="G1038" s="18">
        <v>6</v>
      </c>
      <c r="H1038" s="18" t="s">
        <v>2470</v>
      </c>
    </row>
    <row r="1039" spans="1:8">
      <c r="A1039" s="7" t="str">
        <f t="shared" si="48"/>
        <v>06</v>
      </c>
      <c r="B1039" s="7" t="str">
        <f t="shared" si="49"/>
        <v>109</v>
      </c>
      <c r="C1039" s="7" t="str">
        <f t="shared" si="50"/>
        <v>Vicente López</v>
      </c>
      <c r="D1039" s="18" t="s">
        <v>3974</v>
      </c>
      <c r="E1039" s="18">
        <v>1</v>
      </c>
      <c r="F1039" s="18">
        <v>6</v>
      </c>
      <c r="G1039" s="18">
        <v>6</v>
      </c>
      <c r="H1039" s="18" t="s">
        <v>2470</v>
      </c>
    </row>
    <row r="1040" spans="1:8">
      <c r="A1040" s="7" t="str">
        <f t="shared" si="48"/>
        <v>06</v>
      </c>
      <c r="B1040" s="7" t="str">
        <f t="shared" si="49"/>
        <v>109</v>
      </c>
      <c r="C1040" s="7" t="str">
        <f t="shared" si="50"/>
        <v>Vicente López</v>
      </c>
      <c r="D1040" s="18" t="s">
        <v>3975</v>
      </c>
      <c r="E1040" s="18">
        <v>1</v>
      </c>
      <c r="F1040" s="18">
        <v>23</v>
      </c>
      <c r="G1040" s="18">
        <v>6</v>
      </c>
      <c r="H1040" s="18" t="s">
        <v>2470</v>
      </c>
    </row>
    <row r="1041" spans="1:8">
      <c r="A1041" s="7" t="str">
        <f t="shared" si="48"/>
        <v>06</v>
      </c>
      <c r="B1041" s="7" t="str">
        <f t="shared" si="49"/>
        <v>109</v>
      </c>
      <c r="C1041" s="7" t="str">
        <f t="shared" si="50"/>
        <v>Vicente López</v>
      </c>
      <c r="D1041" s="18" t="s">
        <v>3976</v>
      </c>
      <c r="E1041" s="18">
        <v>1</v>
      </c>
      <c r="F1041" s="18">
        <v>15</v>
      </c>
      <c r="G1041" s="18">
        <v>6</v>
      </c>
      <c r="H1041" s="18" t="s">
        <v>2470</v>
      </c>
    </row>
    <row r="1042" spans="1:8">
      <c r="A1042" s="7" t="str">
        <f t="shared" si="48"/>
        <v>06</v>
      </c>
      <c r="B1042" s="7" t="str">
        <f t="shared" si="49"/>
        <v>109</v>
      </c>
      <c r="C1042" s="7" t="str">
        <f t="shared" si="50"/>
        <v>Vicente López</v>
      </c>
      <c r="D1042" s="18" t="s">
        <v>3977</v>
      </c>
      <c r="E1042" s="18">
        <v>1</v>
      </c>
      <c r="F1042" s="18">
        <v>6</v>
      </c>
      <c r="G1042" s="18">
        <v>6</v>
      </c>
      <c r="H1042" s="18" t="s">
        <v>2470</v>
      </c>
    </row>
    <row r="1043" spans="1:8">
      <c r="A1043" s="7" t="str">
        <f t="shared" si="48"/>
        <v>06</v>
      </c>
      <c r="B1043" s="7" t="str">
        <f t="shared" si="49"/>
        <v>109</v>
      </c>
      <c r="C1043" s="7" t="str">
        <f t="shared" si="50"/>
        <v>Vicente López</v>
      </c>
      <c r="D1043" s="18" t="s">
        <v>3978</v>
      </c>
      <c r="E1043" s="18">
        <v>2</v>
      </c>
      <c r="F1043" s="18">
        <v>42</v>
      </c>
      <c r="G1043" s="18">
        <v>6</v>
      </c>
      <c r="H1043" s="18" t="s">
        <v>2470</v>
      </c>
    </row>
    <row r="1044" spans="1:8">
      <c r="A1044" s="7" t="str">
        <f t="shared" si="48"/>
        <v>06</v>
      </c>
      <c r="B1044" s="7" t="str">
        <f t="shared" si="49"/>
        <v>109</v>
      </c>
      <c r="C1044" s="7" t="str">
        <f t="shared" si="50"/>
        <v>Vicente López</v>
      </c>
      <c r="D1044" s="18" t="s">
        <v>3979</v>
      </c>
      <c r="E1044" s="18">
        <v>1</v>
      </c>
      <c r="F1044" s="18">
        <v>20</v>
      </c>
      <c r="G1044" s="18">
        <v>6</v>
      </c>
      <c r="H1044" s="18" t="s">
        <v>2470</v>
      </c>
    </row>
    <row r="1045" spans="1:8">
      <c r="A1045" s="7" t="str">
        <f t="shared" si="48"/>
        <v>06</v>
      </c>
      <c r="B1045" s="7" t="str">
        <f t="shared" si="49"/>
        <v>109</v>
      </c>
      <c r="C1045" s="7" t="str">
        <f t="shared" si="50"/>
        <v>Vicente López</v>
      </c>
      <c r="D1045" s="18" t="s">
        <v>3980</v>
      </c>
      <c r="E1045" s="18">
        <v>1</v>
      </c>
      <c r="F1045" s="18">
        <v>38</v>
      </c>
      <c r="G1045" s="18">
        <v>6</v>
      </c>
      <c r="H1045" s="18" t="s">
        <v>2470</v>
      </c>
    </row>
    <row r="1046" spans="1:8">
      <c r="A1046" s="7" t="str">
        <f t="shared" si="48"/>
        <v>06</v>
      </c>
      <c r="B1046" s="7" t="str">
        <f t="shared" si="49"/>
        <v>109</v>
      </c>
      <c r="C1046" s="7" t="str">
        <f t="shared" si="50"/>
        <v>Vicente López</v>
      </c>
      <c r="D1046" s="18" t="s">
        <v>3981</v>
      </c>
      <c r="E1046" s="18">
        <v>1</v>
      </c>
      <c r="F1046" s="18">
        <v>24</v>
      </c>
      <c r="G1046" s="18">
        <v>6</v>
      </c>
      <c r="H1046" s="18" t="s">
        <v>2470</v>
      </c>
    </row>
    <row r="1047" spans="1:8">
      <c r="A1047" s="7" t="str">
        <f t="shared" si="48"/>
        <v>06</v>
      </c>
      <c r="B1047" s="7" t="str">
        <f t="shared" si="49"/>
        <v>109</v>
      </c>
      <c r="C1047" s="7" t="str">
        <f t="shared" si="50"/>
        <v>Vicente López</v>
      </c>
      <c r="D1047" s="18" t="s">
        <v>3982</v>
      </c>
      <c r="E1047" s="18">
        <v>3</v>
      </c>
      <c r="F1047" s="18">
        <v>66</v>
      </c>
      <c r="G1047" s="18">
        <v>6</v>
      </c>
      <c r="H1047" s="18" t="s">
        <v>2470</v>
      </c>
    </row>
    <row r="1048" spans="1:8">
      <c r="A1048" s="7" t="str">
        <f t="shared" si="48"/>
        <v>06</v>
      </c>
      <c r="B1048" s="7" t="str">
        <f t="shared" si="49"/>
        <v>109</v>
      </c>
      <c r="C1048" s="7" t="str">
        <f t="shared" si="50"/>
        <v>Vicente López</v>
      </c>
      <c r="D1048" s="18" t="s">
        <v>3983</v>
      </c>
      <c r="E1048" s="18">
        <v>1</v>
      </c>
      <c r="F1048" s="18">
        <v>19</v>
      </c>
      <c r="G1048" s="18">
        <v>6</v>
      </c>
      <c r="H1048" s="18" t="s">
        <v>2470</v>
      </c>
    </row>
    <row r="1049" spans="1:8">
      <c r="A1049" s="7" t="str">
        <f t="shared" si="48"/>
        <v>06</v>
      </c>
      <c r="B1049" s="7" t="str">
        <f t="shared" si="49"/>
        <v>109</v>
      </c>
      <c r="C1049" s="7" t="str">
        <f t="shared" si="50"/>
        <v>Vicente López</v>
      </c>
      <c r="D1049" s="18" t="s">
        <v>3984</v>
      </c>
      <c r="E1049" s="18">
        <v>3</v>
      </c>
      <c r="F1049" s="18">
        <v>26</v>
      </c>
      <c r="G1049" s="18">
        <v>6</v>
      </c>
      <c r="H1049" s="18" t="s">
        <v>2470</v>
      </c>
    </row>
    <row r="1050" spans="1:8">
      <c r="A1050" s="7" t="str">
        <f t="shared" si="48"/>
        <v>06</v>
      </c>
      <c r="B1050" s="7" t="str">
        <f t="shared" si="49"/>
        <v>109</v>
      </c>
      <c r="C1050" s="7" t="str">
        <f t="shared" si="50"/>
        <v>Vicente López</v>
      </c>
      <c r="D1050" s="18" t="s">
        <v>3985</v>
      </c>
      <c r="E1050" s="18">
        <v>1</v>
      </c>
      <c r="F1050" s="18">
        <v>29</v>
      </c>
      <c r="G1050" s="18">
        <v>6</v>
      </c>
      <c r="H1050" s="18" t="s">
        <v>2470</v>
      </c>
    </row>
    <row r="1051" spans="1:8">
      <c r="A1051" s="7" t="str">
        <f t="shared" si="48"/>
        <v>06</v>
      </c>
      <c r="B1051" s="7" t="str">
        <f t="shared" si="49"/>
        <v>109</v>
      </c>
      <c r="C1051" s="7" t="str">
        <f t="shared" si="50"/>
        <v>Vicente López</v>
      </c>
      <c r="D1051" s="18" t="s">
        <v>2490</v>
      </c>
      <c r="E1051" s="18">
        <v>3</v>
      </c>
      <c r="F1051" s="18">
        <v>73</v>
      </c>
      <c r="G1051" s="18">
        <v>6</v>
      </c>
      <c r="H1051" s="18" t="s">
        <v>2470</v>
      </c>
    </row>
    <row r="1052" spans="1:8">
      <c r="A1052" s="7" t="str">
        <f t="shared" si="48"/>
        <v>07</v>
      </c>
      <c r="B1052" s="7" t="str">
        <f t="shared" si="49"/>
        <v>045</v>
      </c>
      <c r="C1052" s="7" t="str">
        <f t="shared" si="50"/>
        <v>General San Martín</v>
      </c>
      <c r="D1052" s="18" t="s">
        <v>3986</v>
      </c>
      <c r="E1052" s="18">
        <v>1</v>
      </c>
      <c r="F1052" s="18">
        <v>9</v>
      </c>
      <c r="G1052" s="18">
        <v>7</v>
      </c>
      <c r="H1052" s="18" t="s">
        <v>1085</v>
      </c>
    </row>
    <row r="1053" spans="1:8">
      <c r="A1053" s="7" t="str">
        <f t="shared" si="48"/>
        <v>07</v>
      </c>
      <c r="B1053" s="7" t="str">
        <f t="shared" si="49"/>
        <v>045</v>
      </c>
      <c r="C1053" s="7" t="str">
        <f t="shared" si="50"/>
        <v>General San Martín</v>
      </c>
      <c r="D1053" s="18" t="s">
        <v>3987</v>
      </c>
      <c r="E1053" s="18">
        <v>2</v>
      </c>
      <c r="F1053" s="18">
        <v>22</v>
      </c>
      <c r="G1053" s="18">
        <v>7</v>
      </c>
      <c r="H1053" s="18" t="s">
        <v>1085</v>
      </c>
    </row>
    <row r="1054" spans="1:8">
      <c r="A1054" s="7" t="str">
        <f t="shared" si="48"/>
        <v>07</v>
      </c>
      <c r="B1054" s="7" t="str">
        <f t="shared" si="49"/>
        <v>045</v>
      </c>
      <c r="C1054" s="7" t="str">
        <f t="shared" si="50"/>
        <v>General San Martín</v>
      </c>
      <c r="D1054" s="18" t="s">
        <v>3988</v>
      </c>
      <c r="E1054" s="18">
        <v>1</v>
      </c>
      <c r="F1054" s="18">
        <v>0</v>
      </c>
      <c r="G1054" s="18">
        <v>7</v>
      </c>
      <c r="H1054" s="18" t="s">
        <v>1085</v>
      </c>
    </row>
    <row r="1055" spans="1:8">
      <c r="A1055" s="7" t="str">
        <f t="shared" si="48"/>
        <v>07</v>
      </c>
      <c r="B1055" s="7" t="str">
        <f t="shared" si="49"/>
        <v>045</v>
      </c>
      <c r="C1055" s="7" t="str">
        <f t="shared" si="50"/>
        <v>General San Martín</v>
      </c>
      <c r="D1055" s="18" t="s">
        <v>3989</v>
      </c>
      <c r="E1055" s="18">
        <v>1</v>
      </c>
      <c r="F1055" s="18">
        <v>24</v>
      </c>
      <c r="G1055" s="18">
        <v>7</v>
      </c>
      <c r="H1055" s="18" t="s">
        <v>1085</v>
      </c>
    </row>
    <row r="1056" spans="1:8">
      <c r="A1056" s="7" t="str">
        <f t="shared" si="48"/>
        <v>07</v>
      </c>
      <c r="B1056" s="7" t="str">
        <f t="shared" si="49"/>
        <v>045</v>
      </c>
      <c r="C1056" s="7" t="str">
        <f t="shared" si="50"/>
        <v>General San Martín</v>
      </c>
      <c r="D1056" s="18" t="s">
        <v>3990</v>
      </c>
      <c r="E1056" s="18">
        <v>1</v>
      </c>
      <c r="F1056" s="18">
        <v>6</v>
      </c>
      <c r="G1056" s="18">
        <v>7</v>
      </c>
      <c r="H1056" s="18" t="s">
        <v>1085</v>
      </c>
    </row>
    <row r="1057" spans="1:8">
      <c r="A1057" s="7" t="str">
        <f t="shared" si="48"/>
        <v>07</v>
      </c>
      <c r="B1057" s="7" t="str">
        <f t="shared" si="49"/>
        <v>045</v>
      </c>
      <c r="C1057" s="7" t="str">
        <f t="shared" si="50"/>
        <v>General San Martín</v>
      </c>
      <c r="D1057" s="18" t="s">
        <v>3991</v>
      </c>
      <c r="E1057" s="18">
        <v>1</v>
      </c>
      <c r="F1057" s="18">
        <v>7</v>
      </c>
      <c r="G1057" s="18">
        <v>7</v>
      </c>
      <c r="H1057" s="18" t="s">
        <v>1085</v>
      </c>
    </row>
    <row r="1058" spans="1:8">
      <c r="A1058" s="7" t="str">
        <f t="shared" si="48"/>
        <v>07</v>
      </c>
      <c r="B1058" s="7" t="str">
        <f t="shared" si="49"/>
        <v>045</v>
      </c>
      <c r="C1058" s="7" t="str">
        <f t="shared" si="50"/>
        <v>General San Martín</v>
      </c>
      <c r="D1058" s="18" t="s">
        <v>3992</v>
      </c>
      <c r="E1058" s="18">
        <v>1</v>
      </c>
      <c r="F1058" s="18">
        <v>0</v>
      </c>
      <c r="G1058" s="18">
        <v>7</v>
      </c>
      <c r="H1058" s="18" t="s">
        <v>1085</v>
      </c>
    </row>
    <row r="1059" spans="1:8">
      <c r="A1059" s="7" t="str">
        <f t="shared" si="48"/>
        <v>07</v>
      </c>
      <c r="B1059" s="7" t="str">
        <f t="shared" si="49"/>
        <v>045</v>
      </c>
      <c r="C1059" s="7" t="str">
        <f t="shared" si="50"/>
        <v>General San Martín</v>
      </c>
      <c r="D1059" s="18" t="s">
        <v>3993</v>
      </c>
      <c r="E1059" s="18">
        <v>1</v>
      </c>
      <c r="F1059" s="18">
        <v>17</v>
      </c>
      <c r="G1059" s="18">
        <v>7</v>
      </c>
      <c r="H1059" s="18" t="s">
        <v>1085</v>
      </c>
    </row>
    <row r="1060" spans="1:8">
      <c r="A1060" s="7" t="str">
        <f t="shared" si="48"/>
        <v>07</v>
      </c>
      <c r="B1060" s="7" t="str">
        <f t="shared" si="49"/>
        <v>045</v>
      </c>
      <c r="C1060" s="7" t="str">
        <f t="shared" si="50"/>
        <v>General San Martín</v>
      </c>
      <c r="D1060" s="18" t="s">
        <v>3994</v>
      </c>
      <c r="E1060" s="18">
        <v>1</v>
      </c>
      <c r="F1060" s="18">
        <v>27</v>
      </c>
      <c r="G1060" s="18">
        <v>7</v>
      </c>
      <c r="H1060" s="18" t="s">
        <v>1085</v>
      </c>
    </row>
    <row r="1061" spans="1:8">
      <c r="A1061" s="7" t="str">
        <f t="shared" si="48"/>
        <v>07</v>
      </c>
      <c r="B1061" s="7" t="str">
        <f t="shared" si="49"/>
        <v>045</v>
      </c>
      <c r="C1061" s="7" t="str">
        <f t="shared" si="50"/>
        <v>General San Martín</v>
      </c>
      <c r="D1061" s="18" t="s">
        <v>3995</v>
      </c>
      <c r="E1061" s="18">
        <v>1</v>
      </c>
      <c r="F1061" s="18">
        <v>32</v>
      </c>
      <c r="G1061" s="18">
        <v>7</v>
      </c>
      <c r="H1061" s="18" t="s">
        <v>1085</v>
      </c>
    </row>
    <row r="1062" spans="1:8">
      <c r="A1062" s="7" t="str">
        <f t="shared" si="48"/>
        <v>07</v>
      </c>
      <c r="B1062" s="7" t="str">
        <f t="shared" si="49"/>
        <v>045</v>
      </c>
      <c r="C1062" s="7" t="str">
        <f t="shared" si="50"/>
        <v>General San Martín</v>
      </c>
      <c r="D1062" s="18" t="s">
        <v>3996</v>
      </c>
      <c r="E1062" s="18">
        <v>1</v>
      </c>
      <c r="F1062" s="18">
        <v>0</v>
      </c>
      <c r="G1062" s="18">
        <v>7</v>
      </c>
      <c r="H1062" s="18" t="s">
        <v>1085</v>
      </c>
    </row>
    <row r="1063" spans="1:8">
      <c r="A1063" s="7" t="str">
        <f t="shared" si="48"/>
        <v>07</v>
      </c>
      <c r="B1063" s="7" t="str">
        <f t="shared" si="49"/>
        <v>045</v>
      </c>
      <c r="C1063" s="7" t="str">
        <f t="shared" si="50"/>
        <v>General San Martín</v>
      </c>
      <c r="D1063" s="18" t="s">
        <v>3997</v>
      </c>
      <c r="E1063" s="18">
        <v>1</v>
      </c>
      <c r="F1063" s="18">
        <v>14</v>
      </c>
      <c r="G1063" s="18">
        <v>7</v>
      </c>
      <c r="H1063" s="18" t="s">
        <v>1085</v>
      </c>
    </row>
    <row r="1064" spans="1:8">
      <c r="A1064" s="7" t="str">
        <f t="shared" si="48"/>
        <v>07</v>
      </c>
      <c r="B1064" s="7" t="str">
        <f t="shared" si="49"/>
        <v>045</v>
      </c>
      <c r="C1064" s="7" t="str">
        <f t="shared" si="50"/>
        <v>General San Martín</v>
      </c>
      <c r="D1064" s="18" t="s">
        <v>3998</v>
      </c>
      <c r="E1064" s="18">
        <v>2</v>
      </c>
      <c r="F1064" s="18">
        <v>39</v>
      </c>
      <c r="G1064" s="18">
        <v>7</v>
      </c>
      <c r="H1064" s="18" t="s">
        <v>1085</v>
      </c>
    </row>
    <row r="1065" spans="1:8">
      <c r="A1065" s="7" t="str">
        <f t="shared" si="48"/>
        <v>07</v>
      </c>
      <c r="B1065" s="7" t="str">
        <f t="shared" si="49"/>
        <v>045</v>
      </c>
      <c r="C1065" s="7" t="str">
        <f t="shared" si="50"/>
        <v>General San Martín</v>
      </c>
      <c r="D1065" s="18" t="s">
        <v>3999</v>
      </c>
      <c r="E1065" s="18">
        <v>2</v>
      </c>
      <c r="F1065" s="18">
        <v>29</v>
      </c>
      <c r="G1065" s="18">
        <v>7</v>
      </c>
      <c r="H1065" s="18" t="s">
        <v>1085</v>
      </c>
    </row>
    <row r="1066" spans="1:8">
      <c r="A1066" s="7" t="str">
        <f t="shared" si="48"/>
        <v>07</v>
      </c>
      <c r="B1066" s="7" t="str">
        <f t="shared" si="49"/>
        <v>045</v>
      </c>
      <c r="C1066" s="7" t="str">
        <f t="shared" si="50"/>
        <v>General San Martín</v>
      </c>
      <c r="D1066" s="18" t="s">
        <v>4000</v>
      </c>
      <c r="E1066" s="18">
        <v>1</v>
      </c>
      <c r="F1066" s="18">
        <v>20</v>
      </c>
      <c r="G1066" s="18">
        <v>7</v>
      </c>
      <c r="H1066" s="18" t="s">
        <v>1085</v>
      </c>
    </row>
    <row r="1067" spans="1:8">
      <c r="A1067" s="7" t="str">
        <f t="shared" si="48"/>
        <v>07</v>
      </c>
      <c r="B1067" s="7" t="str">
        <f t="shared" si="49"/>
        <v>045</v>
      </c>
      <c r="C1067" s="7" t="str">
        <f t="shared" si="50"/>
        <v>General San Martín</v>
      </c>
      <c r="D1067" s="18" t="s">
        <v>4001</v>
      </c>
      <c r="E1067" s="18">
        <v>1</v>
      </c>
      <c r="F1067" s="18">
        <v>0</v>
      </c>
      <c r="G1067" s="18">
        <v>7</v>
      </c>
      <c r="H1067" s="18" t="s">
        <v>1085</v>
      </c>
    </row>
    <row r="1068" spans="1:8">
      <c r="A1068" s="7" t="str">
        <f t="shared" si="48"/>
        <v>07</v>
      </c>
      <c r="B1068" s="7" t="str">
        <f t="shared" si="49"/>
        <v>045</v>
      </c>
      <c r="C1068" s="7" t="str">
        <f t="shared" si="50"/>
        <v>General San Martín</v>
      </c>
      <c r="D1068" s="18" t="s">
        <v>4002</v>
      </c>
      <c r="E1068" s="18">
        <v>1</v>
      </c>
      <c r="F1068" s="18">
        <v>0</v>
      </c>
      <c r="G1068" s="18">
        <v>7</v>
      </c>
      <c r="H1068" s="18" t="s">
        <v>1085</v>
      </c>
    </row>
    <row r="1069" spans="1:8">
      <c r="A1069" s="7" t="str">
        <f t="shared" si="48"/>
        <v>07</v>
      </c>
      <c r="B1069" s="7" t="str">
        <f t="shared" si="49"/>
        <v>045</v>
      </c>
      <c r="C1069" s="7" t="str">
        <f t="shared" si="50"/>
        <v>General San Martín</v>
      </c>
      <c r="D1069" s="18" t="s">
        <v>4003</v>
      </c>
      <c r="E1069" s="18">
        <v>1</v>
      </c>
      <c r="F1069" s="18">
        <v>0</v>
      </c>
      <c r="G1069" s="18">
        <v>7</v>
      </c>
      <c r="H1069" s="18" t="s">
        <v>1085</v>
      </c>
    </row>
    <row r="1070" spans="1:8">
      <c r="A1070" s="7" t="str">
        <f t="shared" si="48"/>
        <v>07</v>
      </c>
      <c r="B1070" s="7" t="str">
        <f t="shared" si="49"/>
        <v>045</v>
      </c>
      <c r="C1070" s="7" t="str">
        <f t="shared" si="50"/>
        <v>General San Martín</v>
      </c>
      <c r="D1070" s="18" t="s">
        <v>4004</v>
      </c>
      <c r="E1070" s="18">
        <v>1</v>
      </c>
      <c r="F1070" s="18">
        <v>0</v>
      </c>
      <c r="G1070" s="18">
        <v>7</v>
      </c>
      <c r="H1070" s="18" t="s">
        <v>1085</v>
      </c>
    </row>
    <row r="1071" spans="1:8">
      <c r="A1071" s="7" t="str">
        <f t="shared" si="48"/>
        <v>07</v>
      </c>
      <c r="B1071" s="7" t="str">
        <f t="shared" si="49"/>
        <v>045</v>
      </c>
      <c r="C1071" s="7" t="str">
        <f t="shared" si="50"/>
        <v>General San Martín</v>
      </c>
      <c r="D1071" s="18" t="s">
        <v>4005</v>
      </c>
      <c r="E1071" s="18">
        <v>1</v>
      </c>
      <c r="F1071" s="18">
        <v>16</v>
      </c>
      <c r="G1071" s="18">
        <v>7</v>
      </c>
      <c r="H1071" s="18" t="s">
        <v>1085</v>
      </c>
    </row>
    <row r="1072" spans="1:8">
      <c r="A1072" s="7" t="str">
        <f t="shared" si="48"/>
        <v>07</v>
      </c>
      <c r="B1072" s="7" t="str">
        <f t="shared" si="49"/>
        <v>045</v>
      </c>
      <c r="C1072" s="7" t="str">
        <f t="shared" si="50"/>
        <v>General San Martín</v>
      </c>
      <c r="D1072" s="18" t="s">
        <v>4006</v>
      </c>
      <c r="E1072" s="18">
        <v>1</v>
      </c>
      <c r="F1072" s="18">
        <v>12</v>
      </c>
      <c r="G1072" s="18">
        <v>7</v>
      </c>
      <c r="H1072" s="18" t="s">
        <v>1085</v>
      </c>
    </row>
    <row r="1073" spans="1:8">
      <c r="A1073" s="7" t="str">
        <f t="shared" si="48"/>
        <v>07</v>
      </c>
      <c r="B1073" s="7" t="str">
        <f t="shared" si="49"/>
        <v>045</v>
      </c>
      <c r="C1073" s="7" t="str">
        <f t="shared" si="50"/>
        <v>General San Martín</v>
      </c>
      <c r="D1073" s="18" t="s">
        <v>4007</v>
      </c>
      <c r="E1073" s="18">
        <v>1</v>
      </c>
      <c r="F1073" s="18">
        <v>10</v>
      </c>
      <c r="G1073" s="18">
        <v>7</v>
      </c>
      <c r="H1073" s="18" t="s">
        <v>1085</v>
      </c>
    </row>
    <row r="1074" spans="1:8">
      <c r="A1074" s="7" t="str">
        <f t="shared" si="48"/>
        <v>07</v>
      </c>
      <c r="B1074" s="7" t="str">
        <f t="shared" si="49"/>
        <v>045</v>
      </c>
      <c r="C1074" s="7" t="str">
        <f t="shared" si="50"/>
        <v>General San Martín</v>
      </c>
      <c r="D1074" s="18" t="s">
        <v>4008</v>
      </c>
      <c r="E1074" s="18">
        <v>1</v>
      </c>
      <c r="F1074" s="18">
        <v>0</v>
      </c>
      <c r="G1074" s="18">
        <v>7</v>
      </c>
      <c r="H1074" s="18" t="s">
        <v>1085</v>
      </c>
    </row>
    <row r="1075" spans="1:8">
      <c r="A1075" s="7" t="str">
        <f t="shared" si="48"/>
        <v>07</v>
      </c>
      <c r="B1075" s="7" t="str">
        <f t="shared" si="49"/>
        <v>045</v>
      </c>
      <c r="C1075" s="7" t="str">
        <f t="shared" si="50"/>
        <v>General San Martín</v>
      </c>
      <c r="D1075" s="18" t="s">
        <v>4009</v>
      </c>
      <c r="E1075" s="18">
        <v>1</v>
      </c>
      <c r="F1075" s="18">
        <v>23</v>
      </c>
      <c r="G1075" s="18">
        <v>7</v>
      </c>
      <c r="H1075" s="18" t="s">
        <v>1085</v>
      </c>
    </row>
    <row r="1076" spans="1:8">
      <c r="A1076" s="7" t="str">
        <f t="shared" si="48"/>
        <v>07</v>
      </c>
      <c r="B1076" s="7" t="str">
        <f t="shared" si="49"/>
        <v>045</v>
      </c>
      <c r="C1076" s="7" t="str">
        <f t="shared" si="50"/>
        <v>General San Martín</v>
      </c>
      <c r="D1076" s="18" t="s">
        <v>4010</v>
      </c>
      <c r="E1076" s="18">
        <v>3</v>
      </c>
      <c r="F1076" s="18">
        <v>21</v>
      </c>
      <c r="G1076" s="18">
        <v>7</v>
      </c>
      <c r="H1076" s="18" t="s">
        <v>1085</v>
      </c>
    </row>
    <row r="1077" spans="1:8">
      <c r="A1077" s="7" t="str">
        <f t="shared" si="48"/>
        <v>07</v>
      </c>
      <c r="B1077" s="7" t="str">
        <f t="shared" si="49"/>
        <v>045</v>
      </c>
      <c r="C1077" s="7" t="str">
        <f t="shared" si="50"/>
        <v>General San Martín</v>
      </c>
      <c r="D1077" s="18" t="s">
        <v>4011</v>
      </c>
      <c r="E1077" s="18">
        <v>1</v>
      </c>
      <c r="F1077" s="18">
        <v>15</v>
      </c>
      <c r="G1077" s="18">
        <v>7</v>
      </c>
      <c r="H1077" s="18" t="s">
        <v>1085</v>
      </c>
    </row>
    <row r="1078" spans="1:8">
      <c r="A1078" s="7" t="str">
        <f t="shared" si="48"/>
        <v>07</v>
      </c>
      <c r="B1078" s="7" t="str">
        <f t="shared" si="49"/>
        <v>045</v>
      </c>
      <c r="C1078" s="7" t="str">
        <f t="shared" si="50"/>
        <v>General San Martín</v>
      </c>
      <c r="D1078" s="18" t="s">
        <v>4012</v>
      </c>
      <c r="E1078" s="18">
        <v>1</v>
      </c>
      <c r="F1078" s="18">
        <v>14</v>
      </c>
      <c r="G1078" s="18">
        <v>7</v>
      </c>
      <c r="H1078" s="18" t="s">
        <v>1085</v>
      </c>
    </row>
    <row r="1079" spans="1:8">
      <c r="A1079" s="7" t="str">
        <f t="shared" si="48"/>
        <v>07</v>
      </c>
      <c r="B1079" s="7" t="str">
        <f t="shared" si="49"/>
        <v>045</v>
      </c>
      <c r="C1079" s="7" t="str">
        <f t="shared" si="50"/>
        <v>General San Martín</v>
      </c>
      <c r="D1079" s="18" t="s">
        <v>4013</v>
      </c>
      <c r="E1079" s="18">
        <v>1</v>
      </c>
      <c r="F1079" s="18">
        <v>0</v>
      </c>
      <c r="G1079" s="18">
        <v>7</v>
      </c>
      <c r="H1079" s="18" t="s">
        <v>1085</v>
      </c>
    </row>
    <row r="1080" spans="1:8">
      <c r="A1080" s="7" t="str">
        <f t="shared" si="48"/>
        <v>07</v>
      </c>
      <c r="B1080" s="7" t="str">
        <f t="shared" si="49"/>
        <v>045</v>
      </c>
      <c r="C1080" s="7" t="str">
        <f t="shared" si="50"/>
        <v>General San Martín</v>
      </c>
      <c r="D1080" s="18" t="s">
        <v>4014</v>
      </c>
      <c r="E1080" s="18">
        <v>1</v>
      </c>
      <c r="F1080" s="18">
        <v>0</v>
      </c>
      <c r="G1080" s="18">
        <v>7</v>
      </c>
      <c r="H1080" s="18" t="s">
        <v>1085</v>
      </c>
    </row>
    <row r="1081" spans="1:8">
      <c r="A1081" s="7" t="str">
        <f t="shared" si="48"/>
        <v>07</v>
      </c>
      <c r="B1081" s="7" t="str">
        <f t="shared" si="49"/>
        <v>045</v>
      </c>
      <c r="C1081" s="7" t="str">
        <f t="shared" si="50"/>
        <v>General San Martín</v>
      </c>
      <c r="D1081" s="18" t="s">
        <v>4015</v>
      </c>
      <c r="E1081" s="18">
        <v>1</v>
      </c>
      <c r="F1081" s="18">
        <v>0</v>
      </c>
      <c r="G1081" s="18">
        <v>7</v>
      </c>
      <c r="H1081" s="18" t="s">
        <v>1085</v>
      </c>
    </row>
    <row r="1082" spans="1:8">
      <c r="A1082" s="7" t="str">
        <f t="shared" si="48"/>
        <v>07</v>
      </c>
      <c r="B1082" s="7" t="str">
        <f t="shared" si="49"/>
        <v>045</v>
      </c>
      <c r="C1082" s="7" t="str">
        <f t="shared" si="50"/>
        <v>General San Martín</v>
      </c>
      <c r="D1082" s="18" t="s">
        <v>4016</v>
      </c>
      <c r="E1082" s="18">
        <v>1</v>
      </c>
      <c r="F1082" s="18">
        <v>7</v>
      </c>
      <c r="G1082" s="18">
        <v>7</v>
      </c>
      <c r="H1082" s="18" t="s">
        <v>1085</v>
      </c>
    </row>
    <row r="1083" spans="1:8">
      <c r="A1083" s="7" t="str">
        <f t="shared" si="48"/>
        <v>07</v>
      </c>
      <c r="B1083" s="7" t="str">
        <f t="shared" si="49"/>
        <v>045</v>
      </c>
      <c r="C1083" s="7" t="str">
        <f t="shared" si="50"/>
        <v>General San Martín</v>
      </c>
      <c r="D1083" s="18" t="s">
        <v>4017</v>
      </c>
      <c r="E1083" s="18">
        <v>1</v>
      </c>
      <c r="F1083" s="18">
        <v>9</v>
      </c>
      <c r="G1083" s="18">
        <v>7</v>
      </c>
      <c r="H1083" s="18" t="s">
        <v>1085</v>
      </c>
    </row>
    <row r="1084" spans="1:8">
      <c r="A1084" s="7" t="str">
        <f t="shared" si="48"/>
        <v>07</v>
      </c>
      <c r="B1084" s="7" t="str">
        <f t="shared" si="49"/>
        <v>045</v>
      </c>
      <c r="C1084" s="7" t="str">
        <f t="shared" si="50"/>
        <v>General San Martín</v>
      </c>
      <c r="D1084" s="18" t="s">
        <v>4018</v>
      </c>
      <c r="E1084" s="18">
        <v>1</v>
      </c>
      <c r="F1084" s="18">
        <v>15</v>
      </c>
      <c r="G1084" s="18">
        <v>7</v>
      </c>
      <c r="H1084" s="18" t="s">
        <v>1085</v>
      </c>
    </row>
    <row r="1085" spans="1:8">
      <c r="A1085" s="7" t="str">
        <f t="shared" si="48"/>
        <v>07</v>
      </c>
      <c r="B1085" s="7" t="str">
        <f t="shared" si="49"/>
        <v>045</v>
      </c>
      <c r="C1085" s="7" t="str">
        <f t="shared" si="50"/>
        <v>General San Martín</v>
      </c>
      <c r="D1085" s="18" t="s">
        <v>4019</v>
      </c>
      <c r="E1085" s="18">
        <v>1</v>
      </c>
      <c r="F1085" s="18">
        <v>0</v>
      </c>
      <c r="G1085" s="18">
        <v>7</v>
      </c>
      <c r="H1085" s="18" t="s">
        <v>1085</v>
      </c>
    </row>
    <row r="1086" spans="1:8">
      <c r="A1086" s="7" t="str">
        <f t="shared" si="48"/>
        <v>07</v>
      </c>
      <c r="B1086" s="7" t="str">
        <f t="shared" si="49"/>
        <v>045</v>
      </c>
      <c r="C1086" s="7" t="str">
        <f t="shared" si="50"/>
        <v>General San Martín</v>
      </c>
      <c r="D1086" s="18" t="s">
        <v>4020</v>
      </c>
      <c r="E1086" s="18">
        <v>2</v>
      </c>
      <c r="F1086" s="18">
        <v>21</v>
      </c>
      <c r="G1086" s="18">
        <v>7</v>
      </c>
      <c r="H1086" s="18" t="s">
        <v>1085</v>
      </c>
    </row>
    <row r="1087" spans="1:8">
      <c r="A1087" s="7" t="str">
        <f t="shared" si="48"/>
        <v>07</v>
      </c>
      <c r="B1087" s="7" t="str">
        <f t="shared" si="49"/>
        <v>045</v>
      </c>
      <c r="C1087" s="7" t="str">
        <f t="shared" si="50"/>
        <v>General San Martín</v>
      </c>
      <c r="D1087" s="18" t="s">
        <v>4021</v>
      </c>
      <c r="E1087" s="18">
        <v>1</v>
      </c>
      <c r="F1087" s="18">
        <v>16</v>
      </c>
      <c r="G1087" s="18">
        <v>7</v>
      </c>
      <c r="H1087" s="18" t="s">
        <v>1085</v>
      </c>
    </row>
    <row r="1088" spans="1:8">
      <c r="A1088" s="7" t="str">
        <f t="shared" si="48"/>
        <v>07</v>
      </c>
      <c r="B1088" s="7" t="str">
        <f t="shared" si="49"/>
        <v>045</v>
      </c>
      <c r="C1088" s="7" t="str">
        <f t="shared" si="50"/>
        <v>General San Martín</v>
      </c>
      <c r="D1088" s="18" t="s">
        <v>4022</v>
      </c>
      <c r="E1088" s="18">
        <v>1</v>
      </c>
      <c r="F1088" s="18">
        <v>20</v>
      </c>
      <c r="G1088" s="18">
        <v>7</v>
      </c>
      <c r="H1088" s="18" t="s">
        <v>1085</v>
      </c>
    </row>
    <row r="1089" spans="1:8">
      <c r="A1089" s="7" t="str">
        <f t="shared" si="48"/>
        <v>07</v>
      </c>
      <c r="B1089" s="7" t="str">
        <f t="shared" si="49"/>
        <v>045</v>
      </c>
      <c r="C1089" s="7" t="str">
        <f t="shared" si="50"/>
        <v>General San Martín</v>
      </c>
      <c r="D1089" s="18" t="s">
        <v>4023</v>
      </c>
      <c r="E1089" s="18">
        <v>1</v>
      </c>
      <c r="F1089" s="18">
        <v>0</v>
      </c>
      <c r="G1089" s="18">
        <v>7</v>
      </c>
      <c r="H1089" s="18" t="s">
        <v>1085</v>
      </c>
    </row>
    <row r="1090" spans="1:8">
      <c r="A1090" s="7" t="str">
        <f t="shared" si="48"/>
        <v>07</v>
      </c>
      <c r="B1090" s="7" t="str">
        <f t="shared" si="49"/>
        <v>045</v>
      </c>
      <c r="C1090" s="7" t="str">
        <f t="shared" si="50"/>
        <v>General San Martín</v>
      </c>
      <c r="D1090" s="18" t="s">
        <v>4024</v>
      </c>
      <c r="E1090" s="18">
        <v>5</v>
      </c>
      <c r="F1090" s="18">
        <v>141</v>
      </c>
      <c r="G1090" s="18">
        <v>7</v>
      </c>
      <c r="H1090" s="18" t="s">
        <v>1085</v>
      </c>
    </row>
    <row r="1091" spans="1:8">
      <c r="A1091" s="7" t="str">
        <f t="shared" ref="A1091:A1154" si="51">+VLOOKUP(H1091,$K:$N,2,FALSE)</f>
        <v>07</v>
      </c>
      <c r="B1091" s="7" t="str">
        <f t="shared" ref="B1091:B1154" si="52">+VLOOKUP(H1091,$K:$N,3,FALSE)</f>
        <v>045</v>
      </c>
      <c r="C1091" s="7" t="str">
        <f t="shared" ref="C1091:C1154" si="53">+VLOOKUP(H1091,$K:$N,4,FALSE)</f>
        <v>General San Martín</v>
      </c>
      <c r="D1091" s="18" t="s">
        <v>4025</v>
      </c>
      <c r="E1091" s="18">
        <v>1</v>
      </c>
      <c r="F1091" s="18">
        <v>0</v>
      </c>
      <c r="G1091" s="18">
        <v>7</v>
      </c>
      <c r="H1091" s="18" t="s">
        <v>1085</v>
      </c>
    </row>
    <row r="1092" spans="1:8">
      <c r="A1092" s="7" t="str">
        <f t="shared" si="51"/>
        <v>07</v>
      </c>
      <c r="B1092" s="7" t="str">
        <f t="shared" si="52"/>
        <v>135</v>
      </c>
      <c r="C1092" s="7" t="str">
        <f t="shared" si="53"/>
        <v>Hurlingham</v>
      </c>
      <c r="D1092" s="18">
        <v>46255</v>
      </c>
      <c r="E1092" s="18">
        <v>1</v>
      </c>
      <c r="F1092" s="18">
        <v>12</v>
      </c>
      <c r="G1092" s="18">
        <v>7</v>
      </c>
      <c r="H1092" s="18" t="s">
        <v>2865</v>
      </c>
    </row>
    <row r="1093" spans="1:8">
      <c r="A1093" s="7" t="str">
        <f t="shared" si="51"/>
        <v>07</v>
      </c>
      <c r="B1093" s="7" t="str">
        <f t="shared" si="52"/>
        <v>135</v>
      </c>
      <c r="C1093" s="7" t="str">
        <f t="shared" si="53"/>
        <v>Hurlingham</v>
      </c>
      <c r="D1093" s="18" t="s">
        <v>4026</v>
      </c>
      <c r="E1093" s="18">
        <v>2</v>
      </c>
      <c r="F1093" s="18">
        <v>56</v>
      </c>
      <c r="G1093" s="18">
        <v>7</v>
      </c>
      <c r="H1093" s="18" t="s">
        <v>2865</v>
      </c>
    </row>
    <row r="1094" spans="1:8">
      <c r="A1094" s="7" t="str">
        <f t="shared" si="51"/>
        <v>07</v>
      </c>
      <c r="B1094" s="7" t="str">
        <f t="shared" si="52"/>
        <v>135</v>
      </c>
      <c r="C1094" s="7" t="str">
        <f t="shared" si="53"/>
        <v>Hurlingham</v>
      </c>
      <c r="D1094" s="18" t="s">
        <v>4027</v>
      </c>
      <c r="E1094" s="18">
        <v>1</v>
      </c>
      <c r="F1094" s="18">
        <v>13</v>
      </c>
      <c r="G1094" s="18">
        <v>7</v>
      </c>
      <c r="H1094" s="18" t="s">
        <v>2865</v>
      </c>
    </row>
    <row r="1095" spans="1:8">
      <c r="A1095" s="7" t="str">
        <f t="shared" si="51"/>
        <v>07</v>
      </c>
      <c r="B1095" s="7" t="str">
        <f t="shared" si="52"/>
        <v>135</v>
      </c>
      <c r="C1095" s="7" t="str">
        <f t="shared" si="53"/>
        <v>Hurlingham</v>
      </c>
      <c r="D1095" s="18" t="s">
        <v>4028</v>
      </c>
      <c r="E1095" s="18">
        <v>1</v>
      </c>
      <c r="F1095" s="18">
        <v>22</v>
      </c>
      <c r="G1095" s="18">
        <v>7</v>
      </c>
      <c r="H1095" s="18" t="s">
        <v>2865</v>
      </c>
    </row>
    <row r="1096" spans="1:8">
      <c r="A1096" s="7" t="str">
        <f t="shared" si="51"/>
        <v>07</v>
      </c>
      <c r="B1096" s="7" t="str">
        <f t="shared" si="52"/>
        <v>135</v>
      </c>
      <c r="C1096" s="7" t="str">
        <f t="shared" si="53"/>
        <v>Hurlingham</v>
      </c>
      <c r="D1096" s="18" t="s">
        <v>4029</v>
      </c>
      <c r="E1096" s="18">
        <v>2</v>
      </c>
      <c r="F1096" s="18">
        <v>43</v>
      </c>
      <c r="G1096" s="18">
        <v>7</v>
      </c>
      <c r="H1096" s="18" t="s">
        <v>2865</v>
      </c>
    </row>
    <row r="1097" spans="1:8">
      <c r="A1097" s="7" t="str">
        <f t="shared" si="51"/>
        <v>07</v>
      </c>
      <c r="B1097" s="7" t="str">
        <f t="shared" si="52"/>
        <v>135</v>
      </c>
      <c r="C1097" s="7" t="str">
        <f t="shared" si="53"/>
        <v>Hurlingham</v>
      </c>
      <c r="D1097" s="18" t="s">
        <v>4030</v>
      </c>
      <c r="E1097" s="18">
        <v>1</v>
      </c>
      <c r="F1097" s="18">
        <v>19</v>
      </c>
      <c r="G1097" s="18">
        <v>7</v>
      </c>
      <c r="H1097" s="18" t="s">
        <v>2865</v>
      </c>
    </row>
    <row r="1098" spans="1:8">
      <c r="A1098" s="7" t="str">
        <f t="shared" si="51"/>
        <v>07</v>
      </c>
      <c r="B1098" s="7" t="str">
        <f t="shared" si="52"/>
        <v>135</v>
      </c>
      <c r="C1098" s="7" t="str">
        <f t="shared" si="53"/>
        <v>Hurlingham</v>
      </c>
      <c r="D1098" s="18" t="s">
        <v>4031</v>
      </c>
      <c r="E1098" s="18">
        <v>1</v>
      </c>
      <c r="F1098" s="18">
        <v>21</v>
      </c>
      <c r="G1098" s="18">
        <v>7</v>
      </c>
      <c r="H1098" s="18" t="s">
        <v>2865</v>
      </c>
    </row>
    <row r="1099" spans="1:8">
      <c r="A1099" s="7" t="str">
        <f t="shared" si="51"/>
        <v>07</v>
      </c>
      <c r="B1099" s="7" t="str">
        <f t="shared" si="52"/>
        <v>135</v>
      </c>
      <c r="C1099" s="7" t="str">
        <f t="shared" si="53"/>
        <v>Hurlingham</v>
      </c>
      <c r="D1099" s="18" t="s">
        <v>4032</v>
      </c>
      <c r="E1099" s="18">
        <v>3</v>
      </c>
      <c r="F1099" s="18">
        <v>54</v>
      </c>
      <c r="G1099" s="18">
        <v>7</v>
      </c>
      <c r="H1099" s="18" t="s">
        <v>2865</v>
      </c>
    </row>
    <row r="1100" spans="1:8">
      <c r="A1100" s="7" t="str">
        <f t="shared" si="51"/>
        <v>07</v>
      </c>
      <c r="B1100" s="7" t="str">
        <f t="shared" si="52"/>
        <v>135</v>
      </c>
      <c r="C1100" s="7" t="str">
        <f t="shared" si="53"/>
        <v>Hurlingham</v>
      </c>
      <c r="D1100" s="18" t="s">
        <v>4033</v>
      </c>
      <c r="E1100" s="18">
        <v>2</v>
      </c>
      <c r="F1100" s="18">
        <v>55</v>
      </c>
      <c r="G1100" s="18">
        <v>7</v>
      </c>
      <c r="H1100" s="18" t="s">
        <v>2865</v>
      </c>
    </row>
    <row r="1101" spans="1:8">
      <c r="A1101" s="7" t="str">
        <f t="shared" si="51"/>
        <v>07</v>
      </c>
      <c r="B1101" s="7" t="str">
        <f t="shared" si="52"/>
        <v>135</v>
      </c>
      <c r="C1101" s="7" t="str">
        <f t="shared" si="53"/>
        <v>Hurlingham</v>
      </c>
      <c r="D1101" s="18" t="s">
        <v>4034</v>
      </c>
      <c r="E1101" s="18">
        <v>1</v>
      </c>
      <c r="F1101" s="18">
        <v>23</v>
      </c>
      <c r="G1101" s="18">
        <v>7</v>
      </c>
      <c r="H1101" s="18" t="s">
        <v>2865</v>
      </c>
    </row>
    <row r="1102" spans="1:8">
      <c r="A1102" s="7" t="str">
        <f t="shared" si="51"/>
        <v>07</v>
      </c>
      <c r="B1102" s="7" t="str">
        <f t="shared" si="52"/>
        <v>135</v>
      </c>
      <c r="C1102" s="7" t="str">
        <f t="shared" si="53"/>
        <v>Hurlingham</v>
      </c>
      <c r="D1102" s="18" t="s">
        <v>4035</v>
      </c>
      <c r="E1102" s="18">
        <v>1</v>
      </c>
      <c r="F1102" s="18">
        <v>11</v>
      </c>
      <c r="G1102" s="18">
        <v>7</v>
      </c>
      <c r="H1102" s="18" t="s">
        <v>2865</v>
      </c>
    </row>
    <row r="1103" spans="1:8">
      <c r="A1103" s="7" t="str">
        <f t="shared" si="51"/>
        <v>07</v>
      </c>
      <c r="B1103" s="7" t="str">
        <f t="shared" si="52"/>
        <v>135</v>
      </c>
      <c r="C1103" s="7" t="str">
        <f t="shared" si="53"/>
        <v>Hurlingham</v>
      </c>
      <c r="D1103" s="18" t="s">
        <v>4036</v>
      </c>
      <c r="E1103" s="18">
        <v>2</v>
      </c>
      <c r="F1103" s="18">
        <v>48</v>
      </c>
      <c r="G1103" s="18">
        <v>7</v>
      </c>
      <c r="H1103" s="18" t="s">
        <v>2865</v>
      </c>
    </row>
    <row r="1104" spans="1:8">
      <c r="A1104" s="7" t="str">
        <f t="shared" si="51"/>
        <v>07</v>
      </c>
      <c r="B1104" s="7" t="str">
        <f t="shared" si="52"/>
        <v>135</v>
      </c>
      <c r="C1104" s="7" t="str">
        <f t="shared" si="53"/>
        <v>Hurlingham</v>
      </c>
      <c r="D1104" s="18" t="s">
        <v>4037</v>
      </c>
      <c r="E1104" s="18">
        <v>1</v>
      </c>
      <c r="F1104" s="18">
        <v>2</v>
      </c>
      <c r="G1104" s="18">
        <v>7</v>
      </c>
      <c r="H1104" s="18" t="s">
        <v>2865</v>
      </c>
    </row>
    <row r="1105" spans="1:8">
      <c r="A1105" s="7" t="str">
        <f t="shared" si="51"/>
        <v>07</v>
      </c>
      <c r="B1105" s="7" t="str">
        <f t="shared" si="52"/>
        <v>135</v>
      </c>
      <c r="C1105" s="7" t="str">
        <f t="shared" si="53"/>
        <v>Hurlingham</v>
      </c>
      <c r="D1105" s="18" t="s">
        <v>4038</v>
      </c>
      <c r="E1105" s="18">
        <v>1</v>
      </c>
      <c r="F1105" s="18">
        <v>13</v>
      </c>
      <c r="G1105" s="18">
        <v>7</v>
      </c>
      <c r="H1105" s="18" t="s">
        <v>2865</v>
      </c>
    </row>
    <row r="1106" spans="1:8">
      <c r="A1106" s="7" t="str">
        <f t="shared" si="51"/>
        <v>07</v>
      </c>
      <c r="B1106" s="7" t="str">
        <f t="shared" si="52"/>
        <v>135</v>
      </c>
      <c r="C1106" s="7" t="str">
        <f t="shared" si="53"/>
        <v>Hurlingham</v>
      </c>
      <c r="D1106" s="18" t="s">
        <v>4039</v>
      </c>
      <c r="E1106" s="18">
        <v>1</v>
      </c>
      <c r="F1106" s="18">
        <v>24</v>
      </c>
      <c r="G1106" s="18">
        <v>7</v>
      </c>
      <c r="H1106" s="18" t="s">
        <v>2865</v>
      </c>
    </row>
    <row r="1107" spans="1:8">
      <c r="A1107" s="7" t="str">
        <f t="shared" si="51"/>
        <v>07</v>
      </c>
      <c r="B1107" s="7" t="str">
        <f t="shared" si="52"/>
        <v>135</v>
      </c>
      <c r="C1107" s="7" t="str">
        <f t="shared" si="53"/>
        <v>Hurlingham</v>
      </c>
      <c r="D1107" s="18" t="s">
        <v>4040</v>
      </c>
      <c r="E1107" s="18">
        <v>1</v>
      </c>
      <c r="F1107" s="18">
        <v>30</v>
      </c>
      <c r="G1107" s="18">
        <v>7</v>
      </c>
      <c r="H1107" s="18" t="s">
        <v>2865</v>
      </c>
    </row>
    <row r="1108" spans="1:8">
      <c r="A1108" s="7" t="str">
        <f t="shared" si="51"/>
        <v>07</v>
      </c>
      <c r="B1108" s="7" t="str">
        <f t="shared" si="52"/>
        <v>135</v>
      </c>
      <c r="C1108" s="7" t="str">
        <f t="shared" si="53"/>
        <v>Hurlingham</v>
      </c>
      <c r="D1108" s="18" t="s">
        <v>4041</v>
      </c>
      <c r="E1108" s="18">
        <v>1</v>
      </c>
      <c r="F1108" s="18">
        <v>13</v>
      </c>
      <c r="G1108" s="18">
        <v>7</v>
      </c>
      <c r="H1108" s="18" t="s">
        <v>2865</v>
      </c>
    </row>
    <row r="1109" spans="1:8">
      <c r="A1109" s="7" t="str">
        <f t="shared" si="51"/>
        <v>07</v>
      </c>
      <c r="B1109" s="7" t="str">
        <f t="shared" si="52"/>
        <v>135</v>
      </c>
      <c r="C1109" s="7" t="str">
        <f t="shared" si="53"/>
        <v>Hurlingham</v>
      </c>
      <c r="D1109" s="18" t="s">
        <v>4042</v>
      </c>
      <c r="E1109" s="18">
        <v>1</v>
      </c>
      <c r="F1109" s="18">
        <v>18</v>
      </c>
      <c r="G1109" s="18">
        <v>7</v>
      </c>
      <c r="H1109" s="18" t="s">
        <v>2865</v>
      </c>
    </row>
    <row r="1110" spans="1:8">
      <c r="A1110" s="7" t="str">
        <f t="shared" si="51"/>
        <v>07</v>
      </c>
      <c r="B1110" s="7" t="str">
        <f t="shared" si="52"/>
        <v>135</v>
      </c>
      <c r="C1110" s="7" t="str">
        <f t="shared" si="53"/>
        <v>Hurlingham</v>
      </c>
      <c r="D1110" s="18" t="s">
        <v>3863</v>
      </c>
      <c r="E1110" s="18">
        <v>1</v>
      </c>
      <c r="F1110" s="18">
        <v>14</v>
      </c>
      <c r="G1110" s="18">
        <v>7</v>
      </c>
      <c r="H1110" s="18" t="s">
        <v>2865</v>
      </c>
    </row>
    <row r="1111" spans="1:8">
      <c r="A1111" s="7" t="str">
        <f t="shared" si="51"/>
        <v>07</v>
      </c>
      <c r="B1111" s="7" t="str">
        <f t="shared" si="52"/>
        <v>117</v>
      </c>
      <c r="C1111" s="7" t="str">
        <f t="shared" si="53"/>
        <v>Tres de Febrero</v>
      </c>
      <c r="D1111" s="18" t="s">
        <v>4043</v>
      </c>
      <c r="E1111" s="18">
        <v>4</v>
      </c>
      <c r="F1111" s="18">
        <v>99</v>
      </c>
      <c r="G1111" s="18">
        <v>7</v>
      </c>
      <c r="H1111" s="18" t="s">
        <v>2629</v>
      </c>
    </row>
    <row r="1112" spans="1:8">
      <c r="A1112" s="7" t="str">
        <f t="shared" si="51"/>
        <v>07</v>
      </c>
      <c r="B1112" s="7" t="str">
        <f t="shared" si="52"/>
        <v>117</v>
      </c>
      <c r="C1112" s="7" t="str">
        <f t="shared" si="53"/>
        <v>Tres de Febrero</v>
      </c>
      <c r="D1112" s="18" t="s">
        <v>4044</v>
      </c>
      <c r="E1112" s="18">
        <v>1</v>
      </c>
      <c r="F1112" s="18">
        <v>0</v>
      </c>
      <c r="G1112" s="18">
        <v>7</v>
      </c>
      <c r="H1112" s="18" t="s">
        <v>2629</v>
      </c>
    </row>
    <row r="1113" spans="1:8">
      <c r="A1113" s="7" t="str">
        <f t="shared" si="51"/>
        <v>07</v>
      </c>
      <c r="B1113" s="7" t="str">
        <f t="shared" si="52"/>
        <v>117</v>
      </c>
      <c r="C1113" s="7" t="str">
        <f t="shared" si="53"/>
        <v>Tres de Febrero</v>
      </c>
      <c r="D1113" s="18" t="s">
        <v>4045</v>
      </c>
      <c r="E1113" s="18">
        <v>1</v>
      </c>
      <c r="F1113" s="18">
        <v>24</v>
      </c>
      <c r="G1113" s="18">
        <v>7</v>
      </c>
      <c r="H1113" s="18" t="s">
        <v>2629</v>
      </c>
    </row>
    <row r="1114" spans="1:8">
      <c r="A1114" s="7" t="str">
        <f t="shared" si="51"/>
        <v>07</v>
      </c>
      <c r="B1114" s="7" t="str">
        <f t="shared" si="52"/>
        <v>117</v>
      </c>
      <c r="C1114" s="7" t="str">
        <f t="shared" si="53"/>
        <v>Tres de Febrero</v>
      </c>
      <c r="D1114" s="18" t="s">
        <v>4046</v>
      </c>
      <c r="E1114" s="18">
        <v>2</v>
      </c>
      <c r="F1114" s="18">
        <v>0</v>
      </c>
      <c r="G1114" s="18">
        <v>7</v>
      </c>
      <c r="H1114" s="18" t="s">
        <v>2629</v>
      </c>
    </row>
    <row r="1115" spans="1:8">
      <c r="A1115" s="7" t="str">
        <f t="shared" si="51"/>
        <v>07</v>
      </c>
      <c r="B1115" s="7" t="str">
        <f t="shared" si="52"/>
        <v>117</v>
      </c>
      <c r="C1115" s="7" t="str">
        <f t="shared" si="53"/>
        <v>Tres de Febrero</v>
      </c>
      <c r="D1115" s="18" t="s">
        <v>4047</v>
      </c>
      <c r="E1115" s="18">
        <v>2</v>
      </c>
      <c r="F1115" s="18">
        <v>36</v>
      </c>
      <c r="G1115" s="18">
        <v>7</v>
      </c>
      <c r="H1115" s="18" t="s">
        <v>2629</v>
      </c>
    </row>
    <row r="1116" spans="1:8">
      <c r="A1116" s="7" t="str">
        <f t="shared" si="51"/>
        <v>07</v>
      </c>
      <c r="B1116" s="7" t="str">
        <f t="shared" si="52"/>
        <v>117</v>
      </c>
      <c r="C1116" s="7" t="str">
        <f t="shared" si="53"/>
        <v>Tres de Febrero</v>
      </c>
      <c r="D1116" s="18" t="s">
        <v>4048</v>
      </c>
      <c r="E1116" s="18">
        <v>3</v>
      </c>
      <c r="F1116" s="18">
        <v>112</v>
      </c>
      <c r="G1116" s="18">
        <v>7</v>
      </c>
      <c r="H1116" s="18" t="s">
        <v>2629</v>
      </c>
    </row>
    <row r="1117" spans="1:8">
      <c r="A1117" s="7" t="str">
        <f t="shared" si="51"/>
        <v>07</v>
      </c>
      <c r="B1117" s="7" t="str">
        <f t="shared" si="52"/>
        <v>117</v>
      </c>
      <c r="C1117" s="7" t="str">
        <f t="shared" si="53"/>
        <v>Tres de Febrero</v>
      </c>
      <c r="D1117" s="18" t="s">
        <v>4049</v>
      </c>
      <c r="E1117" s="18">
        <v>1</v>
      </c>
      <c r="F1117" s="18">
        <v>0</v>
      </c>
      <c r="G1117" s="18">
        <v>7</v>
      </c>
      <c r="H1117" s="18" t="s">
        <v>2629</v>
      </c>
    </row>
    <row r="1118" spans="1:8">
      <c r="A1118" s="7" t="str">
        <f t="shared" si="51"/>
        <v>07</v>
      </c>
      <c r="B1118" s="7" t="str">
        <f t="shared" si="52"/>
        <v>117</v>
      </c>
      <c r="C1118" s="7" t="str">
        <f t="shared" si="53"/>
        <v>Tres de Febrero</v>
      </c>
      <c r="D1118" s="18" t="s">
        <v>4050</v>
      </c>
      <c r="E1118" s="18">
        <v>2</v>
      </c>
      <c r="F1118" s="18">
        <v>24</v>
      </c>
      <c r="G1118" s="18">
        <v>7</v>
      </c>
      <c r="H1118" s="18" t="s">
        <v>2629</v>
      </c>
    </row>
    <row r="1119" spans="1:8">
      <c r="A1119" s="7" t="str">
        <f t="shared" si="51"/>
        <v>07</v>
      </c>
      <c r="B1119" s="7" t="str">
        <f t="shared" si="52"/>
        <v>117</v>
      </c>
      <c r="C1119" s="7" t="str">
        <f t="shared" si="53"/>
        <v>Tres de Febrero</v>
      </c>
      <c r="D1119" s="18" t="s">
        <v>4051</v>
      </c>
      <c r="E1119" s="18">
        <v>1</v>
      </c>
      <c r="F1119" s="18">
        <v>21</v>
      </c>
      <c r="G1119" s="18">
        <v>7</v>
      </c>
      <c r="H1119" s="18" t="s">
        <v>2629</v>
      </c>
    </row>
    <row r="1120" spans="1:8">
      <c r="A1120" s="7" t="str">
        <f t="shared" si="51"/>
        <v>07</v>
      </c>
      <c r="B1120" s="7" t="str">
        <f t="shared" si="52"/>
        <v>117</v>
      </c>
      <c r="C1120" s="7" t="str">
        <f t="shared" si="53"/>
        <v>Tres de Febrero</v>
      </c>
      <c r="D1120" s="18" t="s">
        <v>4052</v>
      </c>
      <c r="E1120" s="18">
        <v>1</v>
      </c>
      <c r="F1120" s="18">
        <v>0</v>
      </c>
      <c r="G1120" s="18">
        <v>7</v>
      </c>
      <c r="H1120" s="18" t="s">
        <v>2629</v>
      </c>
    </row>
    <row r="1121" spans="1:8">
      <c r="A1121" s="7" t="str">
        <f t="shared" si="51"/>
        <v>07</v>
      </c>
      <c r="B1121" s="7" t="str">
        <f t="shared" si="52"/>
        <v>117</v>
      </c>
      <c r="C1121" s="7" t="str">
        <f t="shared" si="53"/>
        <v>Tres de Febrero</v>
      </c>
      <c r="D1121" s="18" t="s">
        <v>4053</v>
      </c>
      <c r="E1121" s="18">
        <v>2</v>
      </c>
      <c r="F1121" s="18">
        <v>22</v>
      </c>
      <c r="G1121" s="18">
        <v>7</v>
      </c>
      <c r="H1121" s="18" t="s">
        <v>2629</v>
      </c>
    </row>
    <row r="1122" spans="1:8">
      <c r="A1122" s="7" t="str">
        <f t="shared" si="51"/>
        <v>07</v>
      </c>
      <c r="B1122" s="7" t="str">
        <f t="shared" si="52"/>
        <v>117</v>
      </c>
      <c r="C1122" s="7" t="str">
        <f t="shared" si="53"/>
        <v>Tres de Febrero</v>
      </c>
      <c r="D1122" s="18" t="s">
        <v>4054</v>
      </c>
      <c r="E1122" s="18">
        <v>1</v>
      </c>
      <c r="F1122" s="18">
        <v>32</v>
      </c>
      <c r="G1122" s="18">
        <v>7</v>
      </c>
      <c r="H1122" s="18" t="s">
        <v>2629</v>
      </c>
    </row>
    <row r="1123" spans="1:8">
      <c r="A1123" s="7" t="str">
        <f t="shared" si="51"/>
        <v>07</v>
      </c>
      <c r="B1123" s="7" t="str">
        <f t="shared" si="52"/>
        <v>117</v>
      </c>
      <c r="C1123" s="7" t="str">
        <f t="shared" si="53"/>
        <v>Tres de Febrero</v>
      </c>
      <c r="D1123" s="18" t="s">
        <v>4055</v>
      </c>
      <c r="E1123" s="18">
        <v>1</v>
      </c>
      <c r="F1123" s="18">
        <v>0</v>
      </c>
      <c r="G1123" s="18">
        <v>7</v>
      </c>
      <c r="H1123" s="18" t="s">
        <v>2629</v>
      </c>
    </row>
    <row r="1124" spans="1:8">
      <c r="A1124" s="7" t="str">
        <f t="shared" si="51"/>
        <v>07</v>
      </c>
      <c r="B1124" s="7" t="str">
        <f t="shared" si="52"/>
        <v>117</v>
      </c>
      <c r="C1124" s="7" t="str">
        <f t="shared" si="53"/>
        <v>Tres de Febrero</v>
      </c>
      <c r="D1124" s="18" t="s">
        <v>4056</v>
      </c>
      <c r="E1124" s="18">
        <v>1</v>
      </c>
      <c r="F1124" s="18">
        <v>0</v>
      </c>
      <c r="G1124" s="18">
        <v>7</v>
      </c>
      <c r="H1124" s="18" t="s">
        <v>2629</v>
      </c>
    </row>
    <row r="1125" spans="1:8">
      <c r="A1125" s="7" t="str">
        <f t="shared" si="51"/>
        <v>07</v>
      </c>
      <c r="B1125" s="7" t="str">
        <f t="shared" si="52"/>
        <v>117</v>
      </c>
      <c r="C1125" s="7" t="str">
        <f t="shared" si="53"/>
        <v>Tres de Febrero</v>
      </c>
      <c r="D1125" s="18" t="s">
        <v>4057</v>
      </c>
      <c r="E1125" s="18">
        <v>1</v>
      </c>
      <c r="F1125" s="18">
        <v>0</v>
      </c>
      <c r="G1125" s="18">
        <v>7</v>
      </c>
      <c r="H1125" s="18" t="s">
        <v>2629</v>
      </c>
    </row>
    <row r="1126" spans="1:8">
      <c r="A1126" s="7" t="str">
        <f t="shared" si="51"/>
        <v>07</v>
      </c>
      <c r="B1126" s="7" t="str">
        <f t="shared" si="52"/>
        <v>117</v>
      </c>
      <c r="C1126" s="7" t="str">
        <f t="shared" si="53"/>
        <v>Tres de Febrero</v>
      </c>
      <c r="D1126" s="18" t="s">
        <v>4058</v>
      </c>
      <c r="E1126" s="18">
        <v>1</v>
      </c>
      <c r="F1126" s="18">
        <v>32</v>
      </c>
      <c r="G1126" s="18">
        <v>7</v>
      </c>
      <c r="H1126" s="18" t="s">
        <v>2629</v>
      </c>
    </row>
    <row r="1127" spans="1:8">
      <c r="A1127" s="7" t="str">
        <f t="shared" si="51"/>
        <v>07</v>
      </c>
      <c r="B1127" s="7" t="str">
        <f t="shared" si="52"/>
        <v>117</v>
      </c>
      <c r="C1127" s="7" t="str">
        <f t="shared" si="53"/>
        <v>Tres de Febrero</v>
      </c>
      <c r="D1127" s="18" t="s">
        <v>4059</v>
      </c>
      <c r="E1127" s="18">
        <v>1</v>
      </c>
      <c r="F1127" s="18">
        <v>12</v>
      </c>
      <c r="G1127" s="18">
        <v>7</v>
      </c>
      <c r="H1127" s="18" t="s">
        <v>2629</v>
      </c>
    </row>
    <row r="1128" spans="1:8">
      <c r="A1128" s="7" t="str">
        <f t="shared" si="51"/>
        <v>07</v>
      </c>
      <c r="B1128" s="7" t="str">
        <f t="shared" si="52"/>
        <v>117</v>
      </c>
      <c r="C1128" s="7" t="str">
        <f t="shared" si="53"/>
        <v>Tres de Febrero</v>
      </c>
      <c r="D1128" s="18" t="s">
        <v>4060</v>
      </c>
      <c r="E1128" s="18">
        <v>3</v>
      </c>
      <c r="F1128" s="18">
        <v>74</v>
      </c>
      <c r="G1128" s="18">
        <v>7</v>
      </c>
      <c r="H1128" s="18" t="s">
        <v>2629</v>
      </c>
    </row>
    <row r="1129" spans="1:8">
      <c r="A1129" s="7" t="str">
        <f t="shared" si="51"/>
        <v>07</v>
      </c>
      <c r="B1129" s="7" t="str">
        <f t="shared" si="52"/>
        <v>117</v>
      </c>
      <c r="C1129" s="7" t="str">
        <f t="shared" si="53"/>
        <v>Tres de Febrero</v>
      </c>
      <c r="D1129" s="18" t="s">
        <v>4061</v>
      </c>
      <c r="E1129" s="18">
        <v>1</v>
      </c>
      <c r="F1129" s="18">
        <v>0</v>
      </c>
      <c r="G1129" s="18">
        <v>7</v>
      </c>
      <c r="H1129" s="18" t="s">
        <v>2629</v>
      </c>
    </row>
    <row r="1130" spans="1:8">
      <c r="A1130" s="7" t="str">
        <f t="shared" si="51"/>
        <v>07</v>
      </c>
      <c r="B1130" s="7" t="str">
        <f t="shared" si="52"/>
        <v>117</v>
      </c>
      <c r="C1130" s="7" t="str">
        <f t="shared" si="53"/>
        <v>Tres de Febrero</v>
      </c>
      <c r="D1130" s="18" t="s">
        <v>4062</v>
      </c>
      <c r="E1130" s="18">
        <v>3</v>
      </c>
      <c r="F1130" s="18">
        <v>60</v>
      </c>
      <c r="G1130" s="18">
        <v>7</v>
      </c>
      <c r="H1130" s="18" t="s">
        <v>2629</v>
      </c>
    </row>
    <row r="1131" spans="1:8">
      <c r="A1131" s="7" t="str">
        <f t="shared" si="51"/>
        <v>07</v>
      </c>
      <c r="B1131" s="7" t="str">
        <f t="shared" si="52"/>
        <v>117</v>
      </c>
      <c r="C1131" s="7" t="str">
        <f t="shared" si="53"/>
        <v>Tres de Febrero</v>
      </c>
      <c r="D1131" s="18" t="s">
        <v>4063</v>
      </c>
      <c r="E1131" s="18">
        <v>2</v>
      </c>
      <c r="F1131" s="18">
        <v>51</v>
      </c>
      <c r="G1131" s="18">
        <v>7</v>
      </c>
      <c r="H1131" s="18" t="s">
        <v>2629</v>
      </c>
    </row>
    <row r="1132" spans="1:8">
      <c r="A1132" s="7" t="str">
        <f t="shared" si="51"/>
        <v>07</v>
      </c>
      <c r="B1132" s="7" t="str">
        <f t="shared" si="52"/>
        <v>117</v>
      </c>
      <c r="C1132" s="7" t="str">
        <f t="shared" si="53"/>
        <v>Tres de Febrero</v>
      </c>
      <c r="D1132" s="18" t="s">
        <v>4064</v>
      </c>
      <c r="E1132" s="18">
        <v>1</v>
      </c>
      <c r="F1132" s="18">
        <v>0</v>
      </c>
      <c r="G1132" s="18">
        <v>7</v>
      </c>
      <c r="H1132" s="18" t="s">
        <v>2629</v>
      </c>
    </row>
    <row r="1133" spans="1:8">
      <c r="A1133" s="7" t="str">
        <f t="shared" si="51"/>
        <v>07</v>
      </c>
      <c r="B1133" s="7" t="str">
        <f t="shared" si="52"/>
        <v>117</v>
      </c>
      <c r="C1133" s="7" t="str">
        <f t="shared" si="53"/>
        <v>Tres de Febrero</v>
      </c>
      <c r="D1133" s="18" t="s">
        <v>4065</v>
      </c>
      <c r="E1133" s="18">
        <v>2</v>
      </c>
      <c r="F1133" s="18">
        <v>59</v>
      </c>
      <c r="G1133" s="18">
        <v>7</v>
      </c>
      <c r="H1133" s="18" t="s">
        <v>2629</v>
      </c>
    </row>
    <row r="1134" spans="1:8">
      <c r="A1134" s="7" t="str">
        <f t="shared" si="51"/>
        <v>07</v>
      </c>
      <c r="B1134" s="7" t="str">
        <f t="shared" si="52"/>
        <v>117</v>
      </c>
      <c r="C1134" s="7" t="str">
        <f t="shared" si="53"/>
        <v>Tres de Febrero</v>
      </c>
      <c r="D1134" s="18" t="s">
        <v>4066</v>
      </c>
      <c r="E1134" s="18">
        <v>2</v>
      </c>
      <c r="F1134" s="18">
        <v>20</v>
      </c>
      <c r="G1134" s="18">
        <v>7</v>
      </c>
      <c r="H1134" s="18" t="s">
        <v>2629</v>
      </c>
    </row>
    <row r="1135" spans="1:8">
      <c r="A1135" s="7" t="str">
        <f t="shared" si="51"/>
        <v>07</v>
      </c>
      <c r="B1135" s="7" t="str">
        <f t="shared" si="52"/>
        <v>117</v>
      </c>
      <c r="C1135" s="7" t="str">
        <f t="shared" si="53"/>
        <v>Tres de Febrero</v>
      </c>
      <c r="D1135" s="18" t="s">
        <v>4067</v>
      </c>
      <c r="E1135" s="18">
        <v>1</v>
      </c>
      <c r="F1135" s="18">
        <v>39</v>
      </c>
      <c r="G1135" s="18">
        <v>7</v>
      </c>
      <c r="H1135" s="18" t="s">
        <v>2629</v>
      </c>
    </row>
    <row r="1136" spans="1:8">
      <c r="A1136" s="7" t="str">
        <f t="shared" si="51"/>
        <v>07</v>
      </c>
      <c r="B1136" s="7" t="str">
        <f t="shared" si="52"/>
        <v>117</v>
      </c>
      <c r="C1136" s="7" t="str">
        <f t="shared" si="53"/>
        <v>Tres de Febrero</v>
      </c>
      <c r="D1136" s="18" t="s">
        <v>4068</v>
      </c>
      <c r="E1136" s="18">
        <v>1</v>
      </c>
      <c r="F1136" s="18">
        <v>35</v>
      </c>
      <c r="G1136" s="18">
        <v>7</v>
      </c>
      <c r="H1136" s="18" t="s">
        <v>2629</v>
      </c>
    </row>
    <row r="1137" spans="1:8">
      <c r="A1137" s="7" t="str">
        <f t="shared" si="51"/>
        <v>07</v>
      </c>
      <c r="B1137" s="7" t="str">
        <f t="shared" si="52"/>
        <v>117</v>
      </c>
      <c r="C1137" s="7" t="str">
        <f t="shared" si="53"/>
        <v>Tres de Febrero</v>
      </c>
      <c r="D1137" s="18" t="s">
        <v>4069</v>
      </c>
      <c r="E1137" s="18">
        <v>1</v>
      </c>
      <c r="F1137" s="18">
        <v>0</v>
      </c>
      <c r="G1137" s="18">
        <v>7</v>
      </c>
      <c r="H1137" s="18" t="s">
        <v>2629</v>
      </c>
    </row>
    <row r="1138" spans="1:8">
      <c r="A1138" s="7" t="str">
        <f t="shared" si="51"/>
        <v>07</v>
      </c>
      <c r="B1138" s="7" t="str">
        <f t="shared" si="52"/>
        <v>117</v>
      </c>
      <c r="C1138" s="7" t="str">
        <f t="shared" si="53"/>
        <v>Tres de Febrero</v>
      </c>
      <c r="D1138" s="18" t="s">
        <v>4070</v>
      </c>
      <c r="E1138" s="18">
        <v>1</v>
      </c>
      <c r="F1138" s="18">
        <v>38</v>
      </c>
      <c r="G1138" s="18">
        <v>7</v>
      </c>
      <c r="H1138" s="18" t="s">
        <v>2629</v>
      </c>
    </row>
    <row r="1139" spans="1:8">
      <c r="A1139" s="7" t="str">
        <f t="shared" si="51"/>
        <v>08</v>
      </c>
      <c r="B1139" s="7" t="str">
        <f t="shared" si="52"/>
        <v>136</v>
      </c>
      <c r="C1139" s="7" t="str">
        <f t="shared" si="53"/>
        <v>Ituzaingó</v>
      </c>
      <c r="D1139" s="18" t="s">
        <v>4072</v>
      </c>
      <c r="E1139" s="18">
        <v>3</v>
      </c>
      <c r="F1139" s="18">
        <v>58</v>
      </c>
      <c r="G1139" s="18">
        <v>8</v>
      </c>
      <c r="H1139" s="18" t="s">
        <v>4071</v>
      </c>
    </row>
    <row r="1140" spans="1:8">
      <c r="A1140" s="7" t="str">
        <f t="shared" si="51"/>
        <v>08</v>
      </c>
      <c r="B1140" s="7" t="str">
        <f t="shared" si="52"/>
        <v>136</v>
      </c>
      <c r="C1140" s="7" t="str">
        <f t="shared" si="53"/>
        <v>Ituzaingó</v>
      </c>
      <c r="D1140" s="18" t="s">
        <v>4073</v>
      </c>
      <c r="E1140" s="18">
        <v>1</v>
      </c>
      <c r="F1140" s="18">
        <v>0</v>
      </c>
      <c r="G1140" s="18">
        <v>8</v>
      </c>
      <c r="H1140" s="18" t="s">
        <v>4071</v>
      </c>
    </row>
    <row r="1141" spans="1:8">
      <c r="A1141" s="7" t="str">
        <f t="shared" si="51"/>
        <v>08</v>
      </c>
      <c r="B1141" s="7" t="str">
        <f t="shared" si="52"/>
        <v>136</v>
      </c>
      <c r="C1141" s="7" t="str">
        <f t="shared" si="53"/>
        <v>Ituzaingó</v>
      </c>
      <c r="D1141" s="18" t="s">
        <v>4074</v>
      </c>
      <c r="E1141" s="18">
        <v>2</v>
      </c>
      <c r="F1141" s="18">
        <v>31</v>
      </c>
      <c r="G1141" s="18">
        <v>8</v>
      </c>
      <c r="H1141" s="18" t="s">
        <v>4071</v>
      </c>
    </row>
    <row r="1142" spans="1:8">
      <c r="A1142" s="7" t="str">
        <f t="shared" si="51"/>
        <v>08</v>
      </c>
      <c r="B1142" s="7" t="str">
        <f t="shared" si="52"/>
        <v>136</v>
      </c>
      <c r="C1142" s="7" t="str">
        <f t="shared" si="53"/>
        <v>Ituzaingó</v>
      </c>
      <c r="D1142" s="18" t="s">
        <v>4075</v>
      </c>
      <c r="E1142" s="18">
        <v>1</v>
      </c>
      <c r="F1142" s="18">
        <v>19</v>
      </c>
      <c r="G1142" s="18">
        <v>8</v>
      </c>
      <c r="H1142" s="18" t="s">
        <v>4071</v>
      </c>
    </row>
    <row r="1143" spans="1:8">
      <c r="A1143" s="7" t="str">
        <f t="shared" si="51"/>
        <v>08</v>
      </c>
      <c r="B1143" s="7" t="str">
        <f t="shared" si="52"/>
        <v>136</v>
      </c>
      <c r="C1143" s="7" t="str">
        <f t="shared" si="53"/>
        <v>Ituzaingó</v>
      </c>
      <c r="D1143" s="18" t="s">
        <v>4076</v>
      </c>
      <c r="E1143" s="18">
        <v>1</v>
      </c>
      <c r="F1143" s="18">
        <v>22</v>
      </c>
      <c r="G1143" s="18">
        <v>8</v>
      </c>
      <c r="H1143" s="18" t="s">
        <v>4071</v>
      </c>
    </row>
    <row r="1144" spans="1:8">
      <c r="A1144" s="7" t="str">
        <f t="shared" si="51"/>
        <v>08</v>
      </c>
      <c r="B1144" s="7" t="str">
        <f t="shared" si="52"/>
        <v>136</v>
      </c>
      <c r="C1144" s="7" t="str">
        <f t="shared" si="53"/>
        <v>Ituzaingó</v>
      </c>
      <c r="D1144" s="18" t="s">
        <v>4077</v>
      </c>
      <c r="E1144" s="18">
        <v>1</v>
      </c>
      <c r="F1144" s="18">
        <v>20</v>
      </c>
      <c r="G1144" s="18">
        <v>8</v>
      </c>
      <c r="H1144" s="18" t="s">
        <v>4071</v>
      </c>
    </row>
    <row r="1145" spans="1:8">
      <c r="A1145" s="7" t="str">
        <f t="shared" si="51"/>
        <v>08</v>
      </c>
      <c r="B1145" s="7" t="str">
        <f t="shared" si="52"/>
        <v>136</v>
      </c>
      <c r="C1145" s="7" t="str">
        <f t="shared" si="53"/>
        <v>Ituzaingó</v>
      </c>
      <c r="D1145" s="18" t="s">
        <v>4078</v>
      </c>
      <c r="E1145" s="18">
        <v>2</v>
      </c>
      <c r="F1145" s="18">
        <v>23</v>
      </c>
      <c r="G1145" s="18">
        <v>8</v>
      </c>
      <c r="H1145" s="18" t="s">
        <v>4071</v>
      </c>
    </row>
    <row r="1146" spans="1:8">
      <c r="A1146" s="7" t="str">
        <f t="shared" si="51"/>
        <v>08</v>
      </c>
      <c r="B1146" s="7" t="str">
        <f t="shared" si="52"/>
        <v>136</v>
      </c>
      <c r="C1146" s="7" t="str">
        <f t="shared" si="53"/>
        <v>Ituzaingó</v>
      </c>
      <c r="D1146" s="18" t="s">
        <v>4079</v>
      </c>
      <c r="E1146" s="18">
        <v>1</v>
      </c>
      <c r="F1146" s="18">
        <v>10</v>
      </c>
      <c r="G1146" s="18">
        <v>8</v>
      </c>
      <c r="H1146" s="18" t="s">
        <v>4071</v>
      </c>
    </row>
    <row r="1147" spans="1:8">
      <c r="A1147" s="7" t="str">
        <f t="shared" si="51"/>
        <v>08</v>
      </c>
      <c r="B1147" s="7" t="str">
        <f t="shared" si="52"/>
        <v>136</v>
      </c>
      <c r="C1147" s="7" t="str">
        <f t="shared" si="53"/>
        <v>Ituzaingó</v>
      </c>
      <c r="D1147" s="18" t="s">
        <v>4080</v>
      </c>
      <c r="E1147" s="18">
        <v>3</v>
      </c>
      <c r="F1147" s="18">
        <v>38</v>
      </c>
      <c r="G1147" s="18">
        <v>8</v>
      </c>
      <c r="H1147" s="18" t="s">
        <v>4071</v>
      </c>
    </row>
    <row r="1148" spans="1:8">
      <c r="A1148" s="7" t="str">
        <f t="shared" si="51"/>
        <v>08</v>
      </c>
      <c r="B1148" s="7" t="str">
        <f t="shared" si="52"/>
        <v>136</v>
      </c>
      <c r="C1148" s="7" t="str">
        <f t="shared" si="53"/>
        <v>Ituzaingó</v>
      </c>
      <c r="D1148" s="18" t="s">
        <v>4081</v>
      </c>
      <c r="E1148" s="18">
        <v>1</v>
      </c>
      <c r="F1148" s="18">
        <v>15</v>
      </c>
      <c r="G1148" s="18">
        <v>8</v>
      </c>
      <c r="H1148" s="18" t="s">
        <v>4071</v>
      </c>
    </row>
    <row r="1149" spans="1:8">
      <c r="A1149" s="7" t="str">
        <f t="shared" si="51"/>
        <v>08</v>
      </c>
      <c r="B1149" s="7" t="str">
        <f t="shared" si="52"/>
        <v>136</v>
      </c>
      <c r="C1149" s="7" t="str">
        <f t="shared" si="53"/>
        <v>Ituzaingó</v>
      </c>
      <c r="D1149" s="18" t="s">
        <v>4082</v>
      </c>
      <c r="E1149" s="18">
        <v>2</v>
      </c>
      <c r="F1149" s="18">
        <v>55</v>
      </c>
      <c r="G1149" s="18">
        <v>8</v>
      </c>
      <c r="H1149" s="18" t="s">
        <v>4071</v>
      </c>
    </row>
    <row r="1150" spans="1:8">
      <c r="A1150" s="7" t="str">
        <f t="shared" si="51"/>
        <v>08</v>
      </c>
      <c r="B1150" s="7" t="str">
        <f t="shared" si="52"/>
        <v>136</v>
      </c>
      <c r="C1150" s="7" t="str">
        <f t="shared" si="53"/>
        <v>Ituzaingó</v>
      </c>
      <c r="D1150" s="18" t="s">
        <v>4083</v>
      </c>
      <c r="E1150" s="18">
        <v>1</v>
      </c>
      <c r="F1150" s="18">
        <v>0</v>
      </c>
      <c r="G1150" s="18">
        <v>8</v>
      </c>
      <c r="H1150" s="18" t="s">
        <v>4071</v>
      </c>
    </row>
    <row r="1151" spans="1:8">
      <c r="A1151" s="7" t="str">
        <f t="shared" si="51"/>
        <v>08</v>
      </c>
      <c r="B1151" s="7" t="str">
        <f t="shared" si="52"/>
        <v>136</v>
      </c>
      <c r="C1151" s="7" t="str">
        <f t="shared" si="53"/>
        <v>Ituzaingó</v>
      </c>
      <c r="D1151" s="18" t="s">
        <v>4084</v>
      </c>
      <c r="E1151" s="18">
        <v>1</v>
      </c>
      <c r="F1151" s="18">
        <v>0</v>
      </c>
      <c r="G1151" s="18">
        <v>8</v>
      </c>
      <c r="H1151" s="18" t="s">
        <v>4071</v>
      </c>
    </row>
    <row r="1152" spans="1:8">
      <c r="A1152" s="7" t="str">
        <f t="shared" si="51"/>
        <v>08</v>
      </c>
      <c r="B1152" s="7" t="str">
        <f t="shared" si="52"/>
        <v>136</v>
      </c>
      <c r="C1152" s="7" t="str">
        <f t="shared" si="53"/>
        <v>Ituzaingó</v>
      </c>
      <c r="D1152" s="18" t="s">
        <v>4085</v>
      </c>
      <c r="E1152" s="18">
        <v>1</v>
      </c>
      <c r="F1152" s="18">
        <v>24</v>
      </c>
      <c r="G1152" s="18">
        <v>8</v>
      </c>
      <c r="H1152" s="18" t="s">
        <v>4071</v>
      </c>
    </row>
    <row r="1153" spans="1:8">
      <c r="A1153" s="7" t="str">
        <f t="shared" si="51"/>
        <v>08</v>
      </c>
      <c r="B1153" s="7" t="str">
        <f t="shared" si="52"/>
        <v>136</v>
      </c>
      <c r="C1153" s="7" t="str">
        <f t="shared" si="53"/>
        <v>Ituzaingó</v>
      </c>
      <c r="D1153" s="18" t="s">
        <v>4086</v>
      </c>
      <c r="E1153" s="18">
        <v>1</v>
      </c>
      <c r="F1153" s="18">
        <v>21</v>
      </c>
      <c r="G1153" s="18">
        <v>8</v>
      </c>
      <c r="H1153" s="18" t="s">
        <v>4071</v>
      </c>
    </row>
    <row r="1154" spans="1:8">
      <c r="A1154" s="7" t="str">
        <f t="shared" si="51"/>
        <v>08</v>
      </c>
      <c r="B1154" s="7" t="str">
        <f t="shared" si="52"/>
        <v>136</v>
      </c>
      <c r="C1154" s="7" t="str">
        <f t="shared" si="53"/>
        <v>Ituzaingó</v>
      </c>
      <c r="D1154" s="18" t="s">
        <v>4087</v>
      </c>
      <c r="E1154" s="18">
        <v>1</v>
      </c>
      <c r="F1154" s="18">
        <v>14</v>
      </c>
      <c r="G1154" s="18">
        <v>8</v>
      </c>
      <c r="H1154" s="18" t="s">
        <v>4071</v>
      </c>
    </row>
    <row r="1155" spans="1:8">
      <c r="A1155" s="7" t="str">
        <f t="shared" ref="A1155:A1218" si="54">+VLOOKUP(H1155,$K:$N,2,FALSE)</f>
        <v>08</v>
      </c>
      <c r="B1155" s="7" t="str">
        <f t="shared" ref="B1155:B1218" si="55">+VLOOKUP(H1155,$K:$N,3,FALSE)</f>
        <v>136</v>
      </c>
      <c r="C1155" s="7" t="str">
        <f t="shared" ref="C1155:C1218" si="56">+VLOOKUP(H1155,$K:$N,4,FALSE)</f>
        <v>Ituzaingó</v>
      </c>
      <c r="D1155" s="18" t="s">
        <v>4088</v>
      </c>
      <c r="E1155" s="18">
        <v>1</v>
      </c>
      <c r="F1155" s="18">
        <v>18</v>
      </c>
      <c r="G1155" s="18">
        <v>8</v>
      </c>
      <c r="H1155" s="18" t="s">
        <v>4071</v>
      </c>
    </row>
    <row r="1156" spans="1:8">
      <c r="A1156" s="7" t="str">
        <f t="shared" si="54"/>
        <v>08</v>
      </c>
      <c r="B1156" s="7" t="str">
        <f t="shared" si="55"/>
        <v>136</v>
      </c>
      <c r="C1156" s="7" t="str">
        <f t="shared" si="56"/>
        <v>Ituzaingó</v>
      </c>
      <c r="D1156" s="18" t="s">
        <v>4089</v>
      </c>
      <c r="E1156" s="18">
        <v>1</v>
      </c>
      <c r="F1156" s="18">
        <v>18</v>
      </c>
      <c r="G1156" s="18">
        <v>8</v>
      </c>
      <c r="H1156" s="18" t="s">
        <v>4071</v>
      </c>
    </row>
    <row r="1157" spans="1:8">
      <c r="A1157" s="7" t="str">
        <f t="shared" si="54"/>
        <v>08</v>
      </c>
      <c r="B1157" s="7" t="str">
        <f t="shared" si="55"/>
        <v>136</v>
      </c>
      <c r="C1157" s="7" t="str">
        <f t="shared" si="56"/>
        <v>Ituzaingó</v>
      </c>
      <c r="D1157" s="18" t="s">
        <v>4090</v>
      </c>
      <c r="E1157" s="18">
        <v>1</v>
      </c>
      <c r="F1157" s="18">
        <v>21</v>
      </c>
      <c r="G1157" s="18">
        <v>8</v>
      </c>
      <c r="H1157" s="18" t="s">
        <v>4071</v>
      </c>
    </row>
    <row r="1158" spans="1:8">
      <c r="A1158" s="7" t="str">
        <f t="shared" si="54"/>
        <v>08</v>
      </c>
      <c r="B1158" s="7" t="str">
        <f t="shared" si="55"/>
        <v>136</v>
      </c>
      <c r="C1158" s="7" t="str">
        <f t="shared" si="56"/>
        <v>Ituzaingó</v>
      </c>
      <c r="D1158" s="18" t="s">
        <v>4091</v>
      </c>
      <c r="E1158" s="18">
        <v>1</v>
      </c>
      <c r="F1158" s="18">
        <v>15</v>
      </c>
      <c r="G1158" s="18">
        <v>8</v>
      </c>
      <c r="H1158" s="18" t="s">
        <v>4071</v>
      </c>
    </row>
    <row r="1159" spans="1:8">
      <c r="A1159" s="7" t="str">
        <f t="shared" si="54"/>
        <v>08</v>
      </c>
      <c r="B1159" s="7" t="str">
        <f t="shared" si="55"/>
        <v>136</v>
      </c>
      <c r="C1159" s="7" t="str">
        <f t="shared" si="56"/>
        <v>Ituzaingó</v>
      </c>
      <c r="D1159" s="18" t="s">
        <v>4092</v>
      </c>
      <c r="E1159" s="18">
        <v>1</v>
      </c>
      <c r="F1159" s="18">
        <v>18</v>
      </c>
      <c r="G1159" s="18">
        <v>8</v>
      </c>
      <c r="H1159" s="18" t="s">
        <v>4071</v>
      </c>
    </row>
    <row r="1160" spans="1:8">
      <c r="A1160" s="7" t="str">
        <f t="shared" si="54"/>
        <v>08</v>
      </c>
      <c r="B1160" s="7" t="str">
        <f t="shared" si="55"/>
        <v>136</v>
      </c>
      <c r="C1160" s="7" t="str">
        <f t="shared" si="56"/>
        <v>Ituzaingó</v>
      </c>
      <c r="D1160" s="18" t="s">
        <v>4093</v>
      </c>
      <c r="E1160" s="18">
        <v>1</v>
      </c>
      <c r="F1160" s="18">
        <v>20</v>
      </c>
      <c r="G1160" s="18">
        <v>8</v>
      </c>
      <c r="H1160" s="18" t="s">
        <v>4071</v>
      </c>
    </row>
    <row r="1161" spans="1:8">
      <c r="A1161" s="7" t="str">
        <f t="shared" si="54"/>
        <v>08</v>
      </c>
      <c r="B1161" s="7" t="str">
        <f t="shared" si="55"/>
        <v>071</v>
      </c>
      <c r="C1161" s="7" t="str">
        <f t="shared" si="56"/>
        <v>Merlo</v>
      </c>
      <c r="D1161" s="18" t="s">
        <v>4094</v>
      </c>
      <c r="E1161" s="18">
        <v>2</v>
      </c>
      <c r="F1161" s="18">
        <v>49</v>
      </c>
      <c r="G1161" s="18">
        <v>8</v>
      </c>
      <c r="H1161" s="18" t="s">
        <v>1779</v>
      </c>
    </row>
    <row r="1162" spans="1:8">
      <c r="A1162" s="7" t="str">
        <f t="shared" si="54"/>
        <v>08</v>
      </c>
      <c r="B1162" s="7" t="str">
        <f t="shared" si="55"/>
        <v>071</v>
      </c>
      <c r="C1162" s="7" t="str">
        <f t="shared" si="56"/>
        <v>Merlo</v>
      </c>
      <c r="D1162" s="18" t="s">
        <v>4095</v>
      </c>
      <c r="E1162" s="18">
        <v>1</v>
      </c>
      <c r="F1162" s="18">
        <v>33</v>
      </c>
      <c r="G1162" s="18">
        <v>8</v>
      </c>
      <c r="H1162" s="18" t="s">
        <v>1779</v>
      </c>
    </row>
    <row r="1163" spans="1:8">
      <c r="A1163" s="7" t="str">
        <f t="shared" si="54"/>
        <v>08</v>
      </c>
      <c r="B1163" s="7" t="str">
        <f t="shared" si="55"/>
        <v>071</v>
      </c>
      <c r="C1163" s="7" t="str">
        <f t="shared" si="56"/>
        <v>Merlo</v>
      </c>
      <c r="D1163" s="18" t="s">
        <v>4096</v>
      </c>
      <c r="E1163" s="18">
        <v>2</v>
      </c>
      <c r="F1163" s="18">
        <v>51</v>
      </c>
      <c r="G1163" s="18">
        <v>8</v>
      </c>
      <c r="H1163" s="18" t="s">
        <v>1779</v>
      </c>
    </row>
    <row r="1164" spans="1:8">
      <c r="A1164" s="7" t="str">
        <f t="shared" si="54"/>
        <v>08</v>
      </c>
      <c r="B1164" s="7" t="str">
        <f t="shared" si="55"/>
        <v>071</v>
      </c>
      <c r="C1164" s="7" t="str">
        <f t="shared" si="56"/>
        <v>Merlo</v>
      </c>
      <c r="D1164" s="18" t="s">
        <v>4097</v>
      </c>
      <c r="E1164" s="18">
        <v>1</v>
      </c>
      <c r="F1164" s="18">
        <v>0</v>
      </c>
      <c r="G1164" s="18">
        <v>8</v>
      </c>
      <c r="H1164" s="18" t="s">
        <v>1779</v>
      </c>
    </row>
    <row r="1165" spans="1:8">
      <c r="A1165" s="7" t="str">
        <f t="shared" si="54"/>
        <v>08</v>
      </c>
      <c r="B1165" s="7" t="str">
        <f t="shared" si="55"/>
        <v>071</v>
      </c>
      <c r="C1165" s="7" t="str">
        <f t="shared" si="56"/>
        <v>Merlo</v>
      </c>
      <c r="D1165" s="18" t="s">
        <v>4098</v>
      </c>
      <c r="E1165" s="18">
        <v>1</v>
      </c>
      <c r="F1165" s="18">
        <v>22</v>
      </c>
      <c r="G1165" s="18">
        <v>8</v>
      </c>
      <c r="H1165" s="18" t="s">
        <v>1779</v>
      </c>
    </row>
    <row r="1166" spans="1:8">
      <c r="A1166" s="7" t="str">
        <f t="shared" si="54"/>
        <v>08</v>
      </c>
      <c r="B1166" s="7" t="str">
        <f t="shared" si="55"/>
        <v>071</v>
      </c>
      <c r="C1166" s="7" t="str">
        <f t="shared" si="56"/>
        <v>Merlo</v>
      </c>
      <c r="D1166" s="18" t="s">
        <v>4099</v>
      </c>
      <c r="E1166" s="18">
        <v>2</v>
      </c>
      <c r="F1166" s="18">
        <v>45</v>
      </c>
      <c r="G1166" s="18">
        <v>8</v>
      </c>
      <c r="H1166" s="18" t="s">
        <v>1779</v>
      </c>
    </row>
    <row r="1167" spans="1:8">
      <c r="A1167" s="7" t="str">
        <f t="shared" si="54"/>
        <v>08</v>
      </c>
      <c r="B1167" s="7" t="str">
        <f t="shared" si="55"/>
        <v>071</v>
      </c>
      <c r="C1167" s="7" t="str">
        <f t="shared" si="56"/>
        <v>Merlo</v>
      </c>
      <c r="D1167" s="18" t="s">
        <v>4100</v>
      </c>
      <c r="E1167" s="18">
        <v>1</v>
      </c>
      <c r="F1167" s="18">
        <v>24</v>
      </c>
      <c r="G1167" s="18">
        <v>8</v>
      </c>
      <c r="H1167" s="18" t="s">
        <v>1779</v>
      </c>
    </row>
    <row r="1168" spans="1:8">
      <c r="A1168" s="7" t="str">
        <f t="shared" si="54"/>
        <v>08</v>
      </c>
      <c r="B1168" s="7" t="str">
        <f t="shared" si="55"/>
        <v>071</v>
      </c>
      <c r="C1168" s="7" t="str">
        <f t="shared" si="56"/>
        <v>Merlo</v>
      </c>
      <c r="D1168" s="18" t="s">
        <v>4101</v>
      </c>
      <c r="E1168" s="18">
        <v>1</v>
      </c>
      <c r="F1168" s="18">
        <v>13</v>
      </c>
      <c r="G1168" s="18">
        <v>8</v>
      </c>
      <c r="H1168" s="18" t="s">
        <v>1779</v>
      </c>
    </row>
    <row r="1169" spans="1:8">
      <c r="A1169" s="7" t="str">
        <f t="shared" si="54"/>
        <v>08</v>
      </c>
      <c r="B1169" s="7" t="str">
        <f t="shared" si="55"/>
        <v>071</v>
      </c>
      <c r="C1169" s="7" t="str">
        <f t="shared" si="56"/>
        <v>Merlo</v>
      </c>
      <c r="D1169" s="18" t="s">
        <v>4102</v>
      </c>
      <c r="E1169" s="18">
        <v>3</v>
      </c>
      <c r="F1169" s="18">
        <v>88</v>
      </c>
      <c r="G1169" s="18">
        <v>8</v>
      </c>
      <c r="H1169" s="18" t="s">
        <v>1779</v>
      </c>
    </row>
    <row r="1170" spans="1:8">
      <c r="A1170" s="7" t="str">
        <f t="shared" si="54"/>
        <v>08</v>
      </c>
      <c r="B1170" s="7" t="str">
        <f t="shared" si="55"/>
        <v>071</v>
      </c>
      <c r="C1170" s="7" t="str">
        <f t="shared" si="56"/>
        <v>Merlo</v>
      </c>
      <c r="D1170" s="18" t="s">
        <v>2321</v>
      </c>
      <c r="E1170" s="18">
        <v>2</v>
      </c>
      <c r="F1170" s="18">
        <v>49</v>
      </c>
      <c r="G1170" s="18">
        <v>8</v>
      </c>
      <c r="H1170" s="18" t="s">
        <v>1779</v>
      </c>
    </row>
    <row r="1171" spans="1:8">
      <c r="A1171" s="7" t="str">
        <f t="shared" si="54"/>
        <v>08</v>
      </c>
      <c r="B1171" s="7" t="str">
        <f t="shared" si="55"/>
        <v>071</v>
      </c>
      <c r="C1171" s="7" t="str">
        <f t="shared" si="56"/>
        <v>Merlo</v>
      </c>
      <c r="D1171" s="18" t="s">
        <v>4103</v>
      </c>
      <c r="E1171" s="18">
        <v>2</v>
      </c>
      <c r="F1171" s="18">
        <v>42</v>
      </c>
      <c r="G1171" s="18">
        <v>8</v>
      </c>
      <c r="H1171" s="18" t="s">
        <v>1779</v>
      </c>
    </row>
    <row r="1172" spans="1:8">
      <c r="A1172" s="7" t="str">
        <f t="shared" si="54"/>
        <v>08</v>
      </c>
      <c r="B1172" s="7" t="str">
        <f t="shared" si="55"/>
        <v>071</v>
      </c>
      <c r="C1172" s="7" t="str">
        <f t="shared" si="56"/>
        <v>Merlo</v>
      </c>
      <c r="D1172" s="18" t="s">
        <v>4104</v>
      </c>
      <c r="E1172" s="18">
        <v>2</v>
      </c>
      <c r="F1172" s="18">
        <v>65</v>
      </c>
      <c r="G1172" s="18">
        <v>8</v>
      </c>
      <c r="H1172" s="18" t="s">
        <v>1779</v>
      </c>
    </row>
    <row r="1173" spans="1:8">
      <c r="A1173" s="7" t="str">
        <f t="shared" si="54"/>
        <v>08</v>
      </c>
      <c r="B1173" s="7" t="str">
        <f t="shared" si="55"/>
        <v>071</v>
      </c>
      <c r="C1173" s="7" t="str">
        <f t="shared" si="56"/>
        <v>Merlo</v>
      </c>
      <c r="D1173" s="18" t="s">
        <v>4105</v>
      </c>
      <c r="E1173" s="18">
        <v>3</v>
      </c>
      <c r="F1173" s="18">
        <v>56</v>
      </c>
      <c r="G1173" s="18">
        <v>8</v>
      </c>
      <c r="H1173" s="18" t="s">
        <v>1779</v>
      </c>
    </row>
    <row r="1174" spans="1:8">
      <c r="A1174" s="7" t="str">
        <f t="shared" si="54"/>
        <v>08</v>
      </c>
      <c r="B1174" s="7" t="str">
        <f t="shared" si="55"/>
        <v>071</v>
      </c>
      <c r="C1174" s="7" t="str">
        <f t="shared" si="56"/>
        <v>Merlo</v>
      </c>
      <c r="D1174" s="18" t="s">
        <v>4106</v>
      </c>
      <c r="E1174" s="18">
        <v>5</v>
      </c>
      <c r="F1174" s="18">
        <v>103</v>
      </c>
      <c r="G1174" s="18">
        <v>8</v>
      </c>
      <c r="H1174" s="18" t="s">
        <v>1779</v>
      </c>
    </row>
    <row r="1175" spans="1:8">
      <c r="A1175" s="7" t="str">
        <f t="shared" si="54"/>
        <v>08</v>
      </c>
      <c r="B1175" s="7" t="str">
        <f t="shared" si="55"/>
        <v>071</v>
      </c>
      <c r="C1175" s="7" t="str">
        <f t="shared" si="56"/>
        <v>Merlo</v>
      </c>
      <c r="D1175" s="18" t="s">
        <v>4107</v>
      </c>
      <c r="E1175" s="18">
        <v>2</v>
      </c>
      <c r="F1175" s="18">
        <v>44</v>
      </c>
      <c r="G1175" s="18">
        <v>8</v>
      </c>
      <c r="H1175" s="18" t="s">
        <v>1779</v>
      </c>
    </row>
    <row r="1176" spans="1:8">
      <c r="A1176" s="7" t="str">
        <f t="shared" si="54"/>
        <v>08</v>
      </c>
      <c r="B1176" s="7" t="str">
        <f t="shared" si="55"/>
        <v>071</v>
      </c>
      <c r="C1176" s="7" t="str">
        <f t="shared" si="56"/>
        <v>Merlo</v>
      </c>
      <c r="D1176" s="18" t="s">
        <v>4108</v>
      </c>
      <c r="E1176" s="18">
        <v>5</v>
      </c>
      <c r="F1176" s="18">
        <v>129</v>
      </c>
      <c r="G1176" s="18">
        <v>8</v>
      </c>
      <c r="H1176" s="18" t="s">
        <v>1779</v>
      </c>
    </row>
    <row r="1177" spans="1:8">
      <c r="A1177" s="7" t="str">
        <f t="shared" si="54"/>
        <v>08</v>
      </c>
      <c r="B1177" s="7" t="str">
        <f t="shared" si="55"/>
        <v>071</v>
      </c>
      <c r="C1177" s="7" t="str">
        <f t="shared" si="56"/>
        <v>Merlo</v>
      </c>
      <c r="D1177" s="18" t="s">
        <v>4109</v>
      </c>
      <c r="E1177" s="18">
        <v>4</v>
      </c>
      <c r="F1177" s="18">
        <v>92</v>
      </c>
      <c r="G1177" s="18">
        <v>8</v>
      </c>
      <c r="H1177" s="18" t="s">
        <v>1779</v>
      </c>
    </row>
    <row r="1178" spans="1:8">
      <c r="A1178" s="7" t="str">
        <f t="shared" si="54"/>
        <v>08</v>
      </c>
      <c r="B1178" s="7" t="str">
        <f t="shared" si="55"/>
        <v>071</v>
      </c>
      <c r="C1178" s="7" t="str">
        <f t="shared" si="56"/>
        <v>Merlo</v>
      </c>
      <c r="D1178" s="18" t="s">
        <v>4110</v>
      </c>
      <c r="E1178" s="18">
        <v>1</v>
      </c>
      <c r="F1178" s="18">
        <v>23</v>
      </c>
      <c r="G1178" s="18">
        <v>8</v>
      </c>
      <c r="H1178" s="18" t="s">
        <v>1779</v>
      </c>
    </row>
    <row r="1179" spans="1:8">
      <c r="A1179" s="7" t="str">
        <f t="shared" si="54"/>
        <v>08</v>
      </c>
      <c r="B1179" s="7" t="str">
        <f t="shared" si="55"/>
        <v>071</v>
      </c>
      <c r="C1179" s="7" t="str">
        <f t="shared" si="56"/>
        <v>Merlo</v>
      </c>
      <c r="D1179" s="18" t="s">
        <v>4111</v>
      </c>
      <c r="E1179" s="18">
        <v>1</v>
      </c>
      <c r="F1179" s="18">
        <v>14</v>
      </c>
      <c r="G1179" s="18">
        <v>8</v>
      </c>
      <c r="H1179" s="18" t="s">
        <v>1779</v>
      </c>
    </row>
    <row r="1180" spans="1:8">
      <c r="A1180" s="7" t="str">
        <f t="shared" si="54"/>
        <v>08</v>
      </c>
      <c r="B1180" s="7" t="str">
        <f t="shared" si="55"/>
        <v>071</v>
      </c>
      <c r="C1180" s="7" t="str">
        <f t="shared" si="56"/>
        <v>Merlo</v>
      </c>
      <c r="D1180" s="18" t="s">
        <v>4112</v>
      </c>
      <c r="E1180" s="18">
        <v>6</v>
      </c>
      <c r="F1180" s="18">
        <v>113</v>
      </c>
      <c r="G1180" s="18">
        <v>8</v>
      </c>
      <c r="H1180" s="18" t="s">
        <v>1779</v>
      </c>
    </row>
    <row r="1181" spans="1:8">
      <c r="A1181" s="7" t="str">
        <f t="shared" si="54"/>
        <v>08</v>
      </c>
      <c r="B1181" s="7" t="str">
        <f t="shared" si="55"/>
        <v>071</v>
      </c>
      <c r="C1181" s="7" t="str">
        <f t="shared" si="56"/>
        <v>Merlo</v>
      </c>
      <c r="D1181" s="18" t="s">
        <v>4113</v>
      </c>
      <c r="E1181" s="18">
        <v>4</v>
      </c>
      <c r="F1181" s="18">
        <v>84</v>
      </c>
      <c r="G1181" s="18">
        <v>8</v>
      </c>
      <c r="H1181" s="18" t="s">
        <v>1779</v>
      </c>
    </row>
    <row r="1182" spans="1:8">
      <c r="A1182" s="7" t="str">
        <f t="shared" si="54"/>
        <v>08</v>
      </c>
      <c r="B1182" s="7" t="str">
        <f t="shared" si="55"/>
        <v>071</v>
      </c>
      <c r="C1182" s="7" t="str">
        <f t="shared" si="56"/>
        <v>Merlo</v>
      </c>
      <c r="D1182" s="18" t="s">
        <v>4114</v>
      </c>
      <c r="E1182" s="18">
        <v>2</v>
      </c>
      <c r="F1182" s="18">
        <v>41</v>
      </c>
      <c r="G1182" s="18">
        <v>8</v>
      </c>
      <c r="H1182" s="18" t="s">
        <v>1779</v>
      </c>
    </row>
    <row r="1183" spans="1:8">
      <c r="A1183" s="7" t="str">
        <f t="shared" si="54"/>
        <v>08</v>
      </c>
      <c r="B1183" s="7" t="str">
        <f t="shared" si="55"/>
        <v>071</v>
      </c>
      <c r="C1183" s="7" t="str">
        <f t="shared" si="56"/>
        <v>Merlo</v>
      </c>
      <c r="D1183" s="18" t="s">
        <v>4115</v>
      </c>
      <c r="E1183" s="18">
        <v>4</v>
      </c>
      <c r="F1183" s="18">
        <v>109</v>
      </c>
      <c r="G1183" s="18">
        <v>8</v>
      </c>
      <c r="H1183" s="18" t="s">
        <v>1779</v>
      </c>
    </row>
    <row r="1184" spans="1:8">
      <c r="A1184" s="7" t="str">
        <f t="shared" si="54"/>
        <v>08</v>
      </c>
      <c r="B1184" s="7" t="str">
        <f t="shared" si="55"/>
        <v>071</v>
      </c>
      <c r="C1184" s="7" t="str">
        <f t="shared" si="56"/>
        <v>Merlo</v>
      </c>
      <c r="D1184" s="18" t="s">
        <v>4116</v>
      </c>
      <c r="E1184" s="18">
        <v>4</v>
      </c>
      <c r="F1184" s="18">
        <v>45</v>
      </c>
      <c r="G1184" s="18">
        <v>8</v>
      </c>
      <c r="H1184" s="18" t="s">
        <v>1779</v>
      </c>
    </row>
    <row r="1185" spans="1:8">
      <c r="A1185" s="7" t="str">
        <f t="shared" si="54"/>
        <v>08</v>
      </c>
      <c r="B1185" s="7" t="str">
        <f t="shared" si="55"/>
        <v>071</v>
      </c>
      <c r="C1185" s="7" t="str">
        <f t="shared" si="56"/>
        <v>Merlo</v>
      </c>
      <c r="D1185" s="18" t="s">
        <v>4117</v>
      </c>
      <c r="E1185" s="18">
        <v>2</v>
      </c>
      <c r="F1185" s="18">
        <v>36</v>
      </c>
      <c r="G1185" s="18">
        <v>8</v>
      </c>
      <c r="H1185" s="18" t="s">
        <v>1779</v>
      </c>
    </row>
    <row r="1186" spans="1:8">
      <c r="A1186" s="7" t="str">
        <f t="shared" si="54"/>
        <v>08</v>
      </c>
      <c r="B1186" s="7" t="str">
        <f t="shared" si="55"/>
        <v>071</v>
      </c>
      <c r="C1186" s="7" t="str">
        <f t="shared" si="56"/>
        <v>Merlo</v>
      </c>
      <c r="D1186" s="18" t="s">
        <v>4118</v>
      </c>
      <c r="E1186" s="18">
        <v>2</v>
      </c>
      <c r="F1186" s="18">
        <v>49</v>
      </c>
      <c r="G1186" s="18">
        <v>8</v>
      </c>
      <c r="H1186" s="18" t="s">
        <v>1779</v>
      </c>
    </row>
    <row r="1187" spans="1:8">
      <c r="A1187" s="7" t="str">
        <f t="shared" si="54"/>
        <v>08</v>
      </c>
      <c r="B1187" s="7" t="str">
        <f t="shared" si="55"/>
        <v>071</v>
      </c>
      <c r="C1187" s="7" t="str">
        <f t="shared" si="56"/>
        <v>Merlo</v>
      </c>
      <c r="D1187" s="18" t="s">
        <v>4119</v>
      </c>
      <c r="E1187" s="18">
        <v>4</v>
      </c>
      <c r="F1187" s="18">
        <v>96</v>
      </c>
      <c r="G1187" s="18">
        <v>8</v>
      </c>
      <c r="H1187" s="18" t="s">
        <v>1779</v>
      </c>
    </row>
    <row r="1188" spans="1:8">
      <c r="A1188" s="7" t="str">
        <f t="shared" si="54"/>
        <v>08</v>
      </c>
      <c r="B1188" s="7" t="str">
        <f t="shared" si="55"/>
        <v>071</v>
      </c>
      <c r="C1188" s="7" t="str">
        <f t="shared" si="56"/>
        <v>Merlo</v>
      </c>
      <c r="D1188" s="18" t="s">
        <v>4120</v>
      </c>
      <c r="E1188" s="18">
        <v>5</v>
      </c>
      <c r="F1188" s="18">
        <v>91</v>
      </c>
      <c r="G1188" s="18">
        <v>8</v>
      </c>
      <c r="H1188" s="18" t="s">
        <v>1779</v>
      </c>
    </row>
    <row r="1189" spans="1:8">
      <c r="A1189" s="7" t="str">
        <f t="shared" si="54"/>
        <v>08</v>
      </c>
      <c r="B1189" s="7" t="str">
        <f t="shared" si="55"/>
        <v>071</v>
      </c>
      <c r="C1189" s="7" t="str">
        <f t="shared" si="56"/>
        <v>Merlo</v>
      </c>
      <c r="D1189" s="18" t="s">
        <v>4121</v>
      </c>
      <c r="E1189" s="18">
        <v>1</v>
      </c>
      <c r="F1189" s="18">
        <v>17</v>
      </c>
      <c r="G1189" s="18">
        <v>8</v>
      </c>
      <c r="H1189" s="18" t="s">
        <v>1779</v>
      </c>
    </row>
    <row r="1190" spans="1:8">
      <c r="A1190" s="7" t="str">
        <f t="shared" si="54"/>
        <v>08</v>
      </c>
      <c r="B1190" s="7" t="str">
        <f t="shared" si="55"/>
        <v>071</v>
      </c>
      <c r="C1190" s="7" t="str">
        <f t="shared" si="56"/>
        <v>Merlo</v>
      </c>
      <c r="D1190" s="18" t="s">
        <v>4122</v>
      </c>
      <c r="E1190" s="18">
        <v>5</v>
      </c>
      <c r="F1190" s="18">
        <v>78</v>
      </c>
      <c r="G1190" s="18">
        <v>8</v>
      </c>
      <c r="H1190" s="18" t="s">
        <v>1779</v>
      </c>
    </row>
    <row r="1191" spans="1:8">
      <c r="A1191" s="7" t="str">
        <f t="shared" si="54"/>
        <v>08</v>
      </c>
      <c r="B1191" s="7" t="str">
        <f t="shared" si="55"/>
        <v>071</v>
      </c>
      <c r="C1191" s="7" t="str">
        <f t="shared" si="56"/>
        <v>Merlo</v>
      </c>
      <c r="D1191" s="18" t="s">
        <v>4123</v>
      </c>
      <c r="E1191" s="18">
        <v>3</v>
      </c>
      <c r="F1191" s="18">
        <v>58</v>
      </c>
      <c r="G1191" s="18">
        <v>8</v>
      </c>
      <c r="H1191" s="18" t="s">
        <v>1779</v>
      </c>
    </row>
    <row r="1192" spans="1:8">
      <c r="A1192" s="7" t="str">
        <f t="shared" si="54"/>
        <v>08</v>
      </c>
      <c r="B1192" s="7" t="str">
        <f t="shared" si="55"/>
        <v>071</v>
      </c>
      <c r="C1192" s="7" t="str">
        <f t="shared" si="56"/>
        <v>Merlo</v>
      </c>
      <c r="D1192" s="18" t="s">
        <v>4124</v>
      </c>
      <c r="E1192" s="18">
        <v>1</v>
      </c>
      <c r="F1192" s="18">
        <v>21</v>
      </c>
      <c r="G1192" s="18">
        <v>8</v>
      </c>
      <c r="H1192" s="18" t="s">
        <v>1779</v>
      </c>
    </row>
    <row r="1193" spans="1:8">
      <c r="A1193" s="7" t="str">
        <f t="shared" si="54"/>
        <v>08</v>
      </c>
      <c r="B1193" s="7" t="str">
        <f t="shared" si="55"/>
        <v>071</v>
      </c>
      <c r="C1193" s="7" t="str">
        <f t="shared" si="56"/>
        <v>Merlo</v>
      </c>
      <c r="D1193" s="18" t="s">
        <v>4125</v>
      </c>
      <c r="E1193" s="18">
        <v>1</v>
      </c>
      <c r="F1193" s="18">
        <v>17</v>
      </c>
      <c r="G1193" s="18">
        <v>8</v>
      </c>
      <c r="H1193" s="18" t="s">
        <v>1779</v>
      </c>
    </row>
    <row r="1194" spans="1:8">
      <c r="A1194" s="7" t="str">
        <f t="shared" si="54"/>
        <v>08</v>
      </c>
      <c r="B1194" s="7" t="str">
        <f t="shared" si="55"/>
        <v>071</v>
      </c>
      <c r="C1194" s="7" t="str">
        <f t="shared" si="56"/>
        <v>Merlo</v>
      </c>
      <c r="D1194" s="18" t="s">
        <v>4126</v>
      </c>
      <c r="E1194" s="18">
        <v>4</v>
      </c>
      <c r="F1194" s="18">
        <v>88</v>
      </c>
      <c r="G1194" s="18">
        <v>8</v>
      </c>
      <c r="H1194" s="18" t="s">
        <v>1779</v>
      </c>
    </row>
    <row r="1195" spans="1:8">
      <c r="A1195" s="7" t="str">
        <f t="shared" si="54"/>
        <v>08</v>
      </c>
      <c r="B1195" s="7" t="str">
        <f t="shared" si="55"/>
        <v>071</v>
      </c>
      <c r="C1195" s="7" t="str">
        <f t="shared" si="56"/>
        <v>Merlo</v>
      </c>
      <c r="D1195" s="18" t="s">
        <v>4127</v>
      </c>
      <c r="E1195" s="18">
        <v>4</v>
      </c>
      <c r="F1195" s="18">
        <v>106</v>
      </c>
      <c r="G1195" s="18">
        <v>8</v>
      </c>
      <c r="H1195" s="18" t="s">
        <v>1779</v>
      </c>
    </row>
    <row r="1196" spans="1:8">
      <c r="A1196" s="7" t="str">
        <f t="shared" si="54"/>
        <v>08</v>
      </c>
      <c r="B1196" s="7" t="str">
        <f t="shared" si="55"/>
        <v>071</v>
      </c>
      <c r="C1196" s="7" t="str">
        <f t="shared" si="56"/>
        <v>Merlo</v>
      </c>
      <c r="D1196" s="18" t="s">
        <v>4128</v>
      </c>
      <c r="E1196" s="18">
        <v>3</v>
      </c>
      <c r="F1196" s="18">
        <v>87</v>
      </c>
      <c r="G1196" s="18">
        <v>8</v>
      </c>
      <c r="H1196" s="18" t="s">
        <v>1779</v>
      </c>
    </row>
    <row r="1197" spans="1:8">
      <c r="A1197" s="7" t="str">
        <f t="shared" si="54"/>
        <v>08</v>
      </c>
      <c r="B1197" s="7" t="str">
        <f t="shared" si="55"/>
        <v>071</v>
      </c>
      <c r="C1197" s="7" t="str">
        <f t="shared" si="56"/>
        <v>Merlo</v>
      </c>
      <c r="D1197" s="18" t="s">
        <v>4129</v>
      </c>
      <c r="E1197" s="18">
        <v>6</v>
      </c>
      <c r="F1197" s="18">
        <v>137</v>
      </c>
      <c r="G1197" s="18">
        <v>8</v>
      </c>
      <c r="H1197" s="18" t="s">
        <v>1779</v>
      </c>
    </row>
    <row r="1198" spans="1:8">
      <c r="A1198" s="7" t="str">
        <f t="shared" si="54"/>
        <v>08</v>
      </c>
      <c r="B1198" s="7" t="str">
        <f t="shared" si="55"/>
        <v>071</v>
      </c>
      <c r="C1198" s="7" t="str">
        <f t="shared" si="56"/>
        <v>Merlo</v>
      </c>
      <c r="D1198" s="18" t="s">
        <v>4130</v>
      </c>
      <c r="E1198" s="18">
        <v>4</v>
      </c>
      <c r="F1198" s="18">
        <v>106</v>
      </c>
      <c r="G1198" s="18">
        <v>8</v>
      </c>
      <c r="H1198" s="18" t="s">
        <v>1779</v>
      </c>
    </row>
    <row r="1199" spans="1:8">
      <c r="A1199" s="7" t="str">
        <f t="shared" si="54"/>
        <v>08</v>
      </c>
      <c r="B1199" s="7" t="str">
        <f t="shared" si="55"/>
        <v>071</v>
      </c>
      <c r="C1199" s="7" t="str">
        <f t="shared" si="56"/>
        <v>Merlo</v>
      </c>
      <c r="D1199" s="18" t="s">
        <v>4131</v>
      </c>
      <c r="E1199" s="18">
        <v>4</v>
      </c>
      <c r="F1199" s="18">
        <v>68</v>
      </c>
      <c r="G1199" s="18">
        <v>8</v>
      </c>
      <c r="H1199" s="18" t="s">
        <v>1779</v>
      </c>
    </row>
    <row r="1200" spans="1:8">
      <c r="A1200" s="7" t="str">
        <f t="shared" si="54"/>
        <v>08</v>
      </c>
      <c r="B1200" s="7" t="str">
        <f t="shared" si="55"/>
        <v>071</v>
      </c>
      <c r="C1200" s="7" t="str">
        <f t="shared" si="56"/>
        <v>Merlo</v>
      </c>
      <c r="D1200" s="18" t="s">
        <v>4132</v>
      </c>
      <c r="E1200" s="18">
        <v>4</v>
      </c>
      <c r="F1200" s="18">
        <v>122</v>
      </c>
      <c r="G1200" s="18">
        <v>8</v>
      </c>
      <c r="H1200" s="18" t="s">
        <v>1779</v>
      </c>
    </row>
    <row r="1201" spans="1:8">
      <c r="A1201" s="7" t="str">
        <f t="shared" si="54"/>
        <v>08</v>
      </c>
      <c r="B1201" s="7" t="str">
        <f t="shared" si="55"/>
        <v>071</v>
      </c>
      <c r="C1201" s="7" t="str">
        <f t="shared" si="56"/>
        <v>Merlo</v>
      </c>
      <c r="D1201" s="18" t="s">
        <v>4133</v>
      </c>
      <c r="E1201" s="18">
        <v>3</v>
      </c>
      <c r="F1201" s="18">
        <v>64</v>
      </c>
      <c r="G1201" s="18">
        <v>8</v>
      </c>
      <c r="H1201" s="18" t="s">
        <v>1779</v>
      </c>
    </row>
    <row r="1202" spans="1:8">
      <c r="A1202" s="7" t="str">
        <f t="shared" si="54"/>
        <v>08</v>
      </c>
      <c r="B1202" s="7" t="str">
        <f t="shared" si="55"/>
        <v>071</v>
      </c>
      <c r="C1202" s="7" t="str">
        <f t="shared" si="56"/>
        <v>Merlo</v>
      </c>
      <c r="D1202" s="18" t="s">
        <v>4134</v>
      </c>
      <c r="E1202" s="18">
        <v>4</v>
      </c>
      <c r="F1202" s="18">
        <v>106</v>
      </c>
      <c r="G1202" s="18">
        <v>8</v>
      </c>
      <c r="H1202" s="18" t="s">
        <v>1779</v>
      </c>
    </row>
    <row r="1203" spans="1:8">
      <c r="A1203" s="7" t="str">
        <f t="shared" si="54"/>
        <v>08</v>
      </c>
      <c r="B1203" s="7" t="str">
        <f t="shared" si="55"/>
        <v>071</v>
      </c>
      <c r="C1203" s="7" t="str">
        <f t="shared" si="56"/>
        <v>Merlo</v>
      </c>
      <c r="D1203" s="18" t="s">
        <v>4135</v>
      </c>
      <c r="E1203" s="18">
        <v>7</v>
      </c>
      <c r="F1203" s="18">
        <v>151</v>
      </c>
      <c r="G1203" s="18">
        <v>8</v>
      </c>
      <c r="H1203" s="18" t="s">
        <v>1779</v>
      </c>
    </row>
    <row r="1204" spans="1:8">
      <c r="A1204" s="7" t="str">
        <f t="shared" si="54"/>
        <v>08</v>
      </c>
      <c r="B1204" s="7" t="str">
        <f t="shared" si="55"/>
        <v>071</v>
      </c>
      <c r="C1204" s="7" t="str">
        <f t="shared" si="56"/>
        <v>Merlo</v>
      </c>
      <c r="D1204" s="18" t="s">
        <v>4136</v>
      </c>
      <c r="E1204" s="18">
        <v>7</v>
      </c>
      <c r="F1204" s="18">
        <v>186</v>
      </c>
      <c r="G1204" s="18">
        <v>8</v>
      </c>
      <c r="H1204" s="18" t="s">
        <v>1779</v>
      </c>
    </row>
    <row r="1205" spans="1:8">
      <c r="A1205" s="7" t="str">
        <f t="shared" si="54"/>
        <v>08</v>
      </c>
      <c r="B1205" s="7" t="str">
        <f t="shared" si="55"/>
        <v>071</v>
      </c>
      <c r="C1205" s="7" t="str">
        <f t="shared" si="56"/>
        <v>Merlo</v>
      </c>
      <c r="D1205" s="18" t="s">
        <v>4137</v>
      </c>
      <c r="E1205" s="18">
        <v>1</v>
      </c>
      <c r="F1205" s="18">
        <v>27</v>
      </c>
      <c r="G1205" s="18">
        <v>8</v>
      </c>
      <c r="H1205" s="18" t="s">
        <v>1779</v>
      </c>
    </row>
    <row r="1206" spans="1:8">
      <c r="A1206" s="7" t="str">
        <f t="shared" si="54"/>
        <v>08</v>
      </c>
      <c r="B1206" s="7" t="str">
        <f t="shared" si="55"/>
        <v>071</v>
      </c>
      <c r="C1206" s="7" t="str">
        <f t="shared" si="56"/>
        <v>Merlo</v>
      </c>
      <c r="D1206" s="18" t="s">
        <v>4138</v>
      </c>
      <c r="E1206" s="18">
        <v>1</v>
      </c>
      <c r="F1206" s="18">
        <v>35</v>
      </c>
      <c r="G1206" s="18">
        <v>8</v>
      </c>
      <c r="H1206" s="18" t="s">
        <v>1779</v>
      </c>
    </row>
    <row r="1207" spans="1:8">
      <c r="A1207" s="7" t="str">
        <f t="shared" si="54"/>
        <v>08</v>
      </c>
      <c r="B1207" s="7" t="str">
        <f t="shared" si="55"/>
        <v>071</v>
      </c>
      <c r="C1207" s="7" t="str">
        <f t="shared" si="56"/>
        <v>Merlo</v>
      </c>
      <c r="D1207" s="18" t="s">
        <v>4139</v>
      </c>
      <c r="E1207" s="18">
        <v>1</v>
      </c>
      <c r="F1207" s="18">
        <v>23</v>
      </c>
      <c r="G1207" s="18">
        <v>8</v>
      </c>
      <c r="H1207" s="18" t="s">
        <v>1779</v>
      </c>
    </row>
    <row r="1208" spans="1:8">
      <c r="A1208" s="7" t="str">
        <f t="shared" si="54"/>
        <v>08</v>
      </c>
      <c r="B1208" s="7" t="str">
        <f t="shared" si="55"/>
        <v>071</v>
      </c>
      <c r="C1208" s="7" t="str">
        <f t="shared" si="56"/>
        <v>Merlo</v>
      </c>
      <c r="D1208" s="18" t="s">
        <v>4140</v>
      </c>
      <c r="E1208" s="18">
        <v>1</v>
      </c>
      <c r="F1208" s="18">
        <v>18</v>
      </c>
      <c r="G1208" s="18">
        <v>8</v>
      </c>
      <c r="H1208" s="18" t="s">
        <v>1779</v>
      </c>
    </row>
    <row r="1209" spans="1:8">
      <c r="A1209" s="7" t="str">
        <f t="shared" si="54"/>
        <v>08</v>
      </c>
      <c r="B1209" s="7" t="str">
        <f t="shared" si="55"/>
        <v>071</v>
      </c>
      <c r="C1209" s="7" t="str">
        <f t="shared" si="56"/>
        <v>Merlo</v>
      </c>
      <c r="D1209" s="18" t="s">
        <v>4141</v>
      </c>
      <c r="E1209" s="18">
        <v>1</v>
      </c>
      <c r="F1209" s="18">
        <v>19</v>
      </c>
      <c r="G1209" s="18">
        <v>8</v>
      </c>
      <c r="H1209" s="18" t="s">
        <v>1779</v>
      </c>
    </row>
    <row r="1210" spans="1:8">
      <c r="A1210" s="7" t="str">
        <f t="shared" si="54"/>
        <v>08</v>
      </c>
      <c r="B1210" s="7" t="str">
        <f t="shared" si="55"/>
        <v>071</v>
      </c>
      <c r="C1210" s="7" t="str">
        <f t="shared" si="56"/>
        <v>Merlo</v>
      </c>
      <c r="D1210" s="18" t="s">
        <v>4142</v>
      </c>
      <c r="E1210" s="18">
        <v>2</v>
      </c>
      <c r="F1210" s="18">
        <v>42</v>
      </c>
      <c r="G1210" s="18">
        <v>8</v>
      </c>
      <c r="H1210" s="18" t="s">
        <v>1779</v>
      </c>
    </row>
    <row r="1211" spans="1:8">
      <c r="A1211" s="7" t="str">
        <f t="shared" si="54"/>
        <v>08</v>
      </c>
      <c r="B1211" s="7" t="str">
        <f t="shared" si="55"/>
        <v>071</v>
      </c>
      <c r="C1211" s="7" t="str">
        <f t="shared" si="56"/>
        <v>Merlo</v>
      </c>
      <c r="D1211" s="18" t="s">
        <v>4143</v>
      </c>
      <c r="E1211" s="18">
        <v>1</v>
      </c>
      <c r="F1211" s="18">
        <v>25</v>
      </c>
      <c r="G1211" s="18">
        <v>8</v>
      </c>
      <c r="H1211" s="18" t="s">
        <v>1779</v>
      </c>
    </row>
    <row r="1212" spans="1:8">
      <c r="A1212" s="7" t="str">
        <f t="shared" si="54"/>
        <v>08</v>
      </c>
      <c r="B1212" s="7" t="str">
        <f t="shared" si="55"/>
        <v>071</v>
      </c>
      <c r="C1212" s="7" t="str">
        <f t="shared" si="56"/>
        <v>Merlo</v>
      </c>
      <c r="D1212" s="18" t="s">
        <v>4144</v>
      </c>
      <c r="E1212" s="18">
        <v>4</v>
      </c>
      <c r="F1212" s="18">
        <v>66</v>
      </c>
      <c r="G1212" s="18">
        <v>8</v>
      </c>
      <c r="H1212" s="18" t="s">
        <v>1779</v>
      </c>
    </row>
    <row r="1213" spans="1:8">
      <c r="A1213" s="7" t="str">
        <f t="shared" si="54"/>
        <v>08</v>
      </c>
      <c r="B1213" s="7" t="str">
        <f t="shared" si="55"/>
        <v>071</v>
      </c>
      <c r="C1213" s="7" t="str">
        <f t="shared" si="56"/>
        <v>Merlo</v>
      </c>
      <c r="D1213" s="18" t="s">
        <v>4145</v>
      </c>
      <c r="E1213" s="18">
        <v>2</v>
      </c>
      <c r="F1213" s="18">
        <v>67</v>
      </c>
      <c r="G1213" s="18">
        <v>8</v>
      </c>
      <c r="H1213" s="18" t="s">
        <v>1779</v>
      </c>
    </row>
    <row r="1214" spans="1:8">
      <c r="A1214" s="7" t="str">
        <f t="shared" si="54"/>
        <v>08</v>
      </c>
      <c r="B1214" s="7" t="str">
        <f t="shared" si="55"/>
        <v>071</v>
      </c>
      <c r="C1214" s="7" t="str">
        <f t="shared" si="56"/>
        <v>Merlo</v>
      </c>
      <c r="D1214" s="18" t="s">
        <v>4146</v>
      </c>
      <c r="E1214" s="18">
        <v>1</v>
      </c>
      <c r="F1214" s="18">
        <v>15</v>
      </c>
      <c r="G1214" s="18">
        <v>8</v>
      </c>
      <c r="H1214" s="18" t="s">
        <v>1779</v>
      </c>
    </row>
    <row r="1215" spans="1:8">
      <c r="A1215" s="7" t="str">
        <f t="shared" si="54"/>
        <v>08</v>
      </c>
      <c r="B1215" s="7" t="str">
        <f t="shared" si="55"/>
        <v>071</v>
      </c>
      <c r="C1215" s="7" t="str">
        <f t="shared" si="56"/>
        <v>Merlo</v>
      </c>
      <c r="D1215" s="18" t="s">
        <v>4147</v>
      </c>
      <c r="E1215" s="18">
        <v>1</v>
      </c>
      <c r="F1215" s="18">
        <v>22</v>
      </c>
      <c r="G1215" s="18">
        <v>8</v>
      </c>
      <c r="H1215" s="18" t="s">
        <v>1779</v>
      </c>
    </row>
    <row r="1216" spans="1:8">
      <c r="A1216" s="7" t="str">
        <f t="shared" si="54"/>
        <v>08</v>
      </c>
      <c r="B1216" s="7" t="str">
        <f t="shared" si="55"/>
        <v>071</v>
      </c>
      <c r="C1216" s="7" t="str">
        <f t="shared" si="56"/>
        <v>Merlo</v>
      </c>
      <c r="D1216" s="18" t="s">
        <v>4148</v>
      </c>
      <c r="E1216" s="18">
        <v>1</v>
      </c>
      <c r="F1216" s="18">
        <v>18</v>
      </c>
      <c r="G1216" s="18">
        <v>8</v>
      </c>
      <c r="H1216" s="18" t="s">
        <v>1779</v>
      </c>
    </row>
    <row r="1217" spans="1:8">
      <c r="A1217" s="7" t="str">
        <f t="shared" si="54"/>
        <v>08</v>
      </c>
      <c r="B1217" s="7" t="str">
        <f t="shared" si="55"/>
        <v>071</v>
      </c>
      <c r="C1217" s="7" t="str">
        <f t="shared" si="56"/>
        <v>Merlo</v>
      </c>
      <c r="D1217" s="18" t="s">
        <v>4149</v>
      </c>
      <c r="E1217" s="18">
        <v>1</v>
      </c>
      <c r="F1217" s="18">
        <v>14</v>
      </c>
      <c r="G1217" s="18">
        <v>8</v>
      </c>
      <c r="H1217" s="18" t="s">
        <v>1779</v>
      </c>
    </row>
    <row r="1218" spans="1:8">
      <c r="A1218" s="7" t="str">
        <f t="shared" si="54"/>
        <v>08</v>
      </c>
      <c r="B1218" s="7" t="str">
        <f t="shared" si="55"/>
        <v>071</v>
      </c>
      <c r="C1218" s="7" t="str">
        <f t="shared" si="56"/>
        <v>Merlo</v>
      </c>
      <c r="D1218" s="18" t="s">
        <v>4150</v>
      </c>
      <c r="E1218" s="18">
        <v>2</v>
      </c>
      <c r="F1218" s="18">
        <v>35</v>
      </c>
      <c r="G1218" s="18">
        <v>8</v>
      </c>
      <c r="H1218" s="18" t="s">
        <v>1779</v>
      </c>
    </row>
    <row r="1219" spans="1:8">
      <c r="A1219" s="7" t="str">
        <f t="shared" ref="A1219:A1282" si="57">+VLOOKUP(H1219,$K:$N,2,FALSE)</f>
        <v>08</v>
      </c>
      <c r="B1219" s="7" t="str">
        <f t="shared" ref="B1219:B1282" si="58">+VLOOKUP(H1219,$K:$N,3,FALSE)</f>
        <v>071</v>
      </c>
      <c r="C1219" s="7" t="str">
        <f t="shared" ref="C1219:C1282" si="59">+VLOOKUP(H1219,$K:$N,4,FALSE)</f>
        <v>Merlo</v>
      </c>
      <c r="D1219" s="18" t="s">
        <v>4151</v>
      </c>
      <c r="E1219" s="18">
        <v>1</v>
      </c>
      <c r="F1219" s="18">
        <v>14</v>
      </c>
      <c r="G1219" s="18">
        <v>8</v>
      </c>
      <c r="H1219" s="18" t="s">
        <v>1779</v>
      </c>
    </row>
    <row r="1220" spans="1:8">
      <c r="A1220" s="7" t="str">
        <f t="shared" si="57"/>
        <v>08</v>
      </c>
      <c r="B1220" s="7" t="str">
        <f t="shared" si="58"/>
        <v>071</v>
      </c>
      <c r="C1220" s="7" t="str">
        <f t="shared" si="59"/>
        <v>Merlo</v>
      </c>
      <c r="D1220" s="18" t="s">
        <v>4152</v>
      </c>
      <c r="E1220" s="18">
        <v>7</v>
      </c>
      <c r="F1220" s="18">
        <v>159</v>
      </c>
      <c r="G1220" s="18">
        <v>8</v>
      </c>
      <c r="H1220" s="18" t="s">
        <v>1779</v>
      </c>
    </row>
    <row r="1221" spans="1:8">
      <c r="A1221" s="7" t="str">
        <f t="shared" si="57"/>
        <v>08</v>
      </c>
      <c r="B1221" s="7" t="str">
        <f t="shared" si="58"/>
        <v>071</v>
      </c>
      <c r="C1221" s="7" t="str">
        <f t="shared" si="59"/>
        <v>Merlo</v>
      </c>
      <c r="D1221" s="18" t="s">
        <v>4153</v>
      </c>
      <c r="E1221" s="18">
        <v>1</v>
      </c>
      <c r="F1221" s="18">
        <v>25</v>
      </c>
      <c r="G1221" s="18">
        <v>8</v>
      </c>
      <c r="H1221" s="18" t="s">
        <v>1779</v>
      </c>
    </row>
    <row r="1222" spans="1:8">
      <c r="A1222" s="7" t="str">
        <f t="shared" si="57"/>
        <v>08</v>
      </c>
      <c r="B1222" s="7" t="str">
        <f t="shared" si="58"/>
        <v>100</v>
      </c>
      <c r="C1222" s="7" t="str">
        <f t="shared" si="59"/>
        <v>Morón</v>
      </c>
      <c r="D1222" s="18" t="s">
        <v>4154</v>
      </c>
      <c r="E1222" s="18">
        <v>1</v>
      </c>
      <c r="F1222" s="18">
        <v>13</v>
      </c>
      <c r="G1222" s="18">
        <v>8</v>
      </c>
      <c r="H1222" s="18" t="s">
        <v>2348</v>
      </c>
    </row>
    <row r="1223" spans="1:8">
      <c r="A1223" s="7" t="str">
        <f t="shared" si="57"/>
        <v>08</v>
      </c>
      <c r="B1223" s="7" t="str">
        <f t="shared" si="58"/>
        <v>100</v>
      </c>
      <c r="C1223" s="7" t="str">
        <f t="shared" si="59"/>
        <v>Morón</v>
      </c>
      <c r="D1223" s="18" t="s">
        <v>4155</v>
      </c>
      <c r="E1223" s="18">
        <v>1</v>
      </c>
      <c r="F1223" s="18">
        <v>32</v>
      </c>
      <c r="G1223" s="18">
        <v>8</v>
      </c>
      <c r="H1223" s="18" t="s">
        <v>2348</v>
      </c>
    </row>
    <row r="1224" spans="1:8">
      <c r="A1224" s="7" t="str">
        <f t="shared" si="57"/>
        <v>08</v>
      </c>
      <c r="B1224" s="7" t="str">
        <f t="shared" si="58"/>
        <v>100</v>
      </c>
      <c r="C1224" s="7" t="str">
        <f t="shared" si="59"/>
        <v>Morón</v>
      </c>
      <c r="D1224" s="18" t="s">
        <v>4156</v>
      </c>
      <c r="E1224" s="18">
        <v>1</v>
      </c>
      <c r="F1224" s="18">
        <v>15</v>
      </c>
      <c r="G1224" s="18">
        <v>8</v>
      </c>
      <c r="H1224" s="18" t="s">
        <v>2348</v>
      </c>
    </row>
    <row r="1225" spans="1:8">
      <c r="A1225" s="7" t="str">
        <f t="shared" si="57"/>
        <v>08</v>
      </c>
      <c r="B1225" s="7" t="str">
        <f t="shared" si="58"/>
        <v>100</v>
      </c>
      <c r="C1225" s="7" t="str">
        <f t="shared" si="59"/>
        <v>Morón</v>
      </c>
      <c r="D1225" s="18" t="s">
        <v>4157</v>
      </c>
      <c r="E1225" s="18">
        <v>2</v>
      </c>
      <c r="F1225" s="18">
        <v>28</v>
      </c>
      <c r="G1225" s="18">
        <v>8</v>
      </c>
      <c r="H1225" s="18" t="s">
        <v>2348</v>
      </c>
    </row>
    <row r="1226" spans="1:8">
      <c r="A1226" s="7" t="str">
        <f t="shared" si="57"/>
        <v>08</v>
      </c>
      <c r="B1226" s="7" t="str">
        <f t="shared" si="58"/>
        <v>100</v>
      </c>
      <c r="C1226" s="7" t="str">
        <f t="shared" si="59"/>
        <v>Morón</v>
      </c>
      <c r="D1226" s="18" t="s">
        <v>4158</v>
      </c>
      <c r="E1226" s="18">
        <v>1</v>
      </c>
      <c r="F1226" s="18">
        <v>0</v>
      </c>
      <c r="G1226" s="18">
        <v>8</v>
      </c>
      <c r="H1226" s="18" t="s">
        <v>2348</v>
      </c>
    </row>
    <row r="1227" spans="1:8">
      <c r="A1227" s="7" t="str">
        <f t="shared" si="57"/>
        <v>08</v>
      </c>
      <c r="B1227" s="7" t="str">
        <f t="shared" si="58"/>
        <v>100</v>
      </c>
      <c r="C1227" s="7" t="str">
        <f t="shared" si="59"/>
        <v>Morón</v>
      </c>
      <c r="D1227" s="18" t="s">
        <v>4159</v>
      </c>
      <c r="E1227" s="18">
        <v>1</v>
      </c>
      <c r="F1227" s="18">
        <v>0</v>
      </c>
      <c r="G1227" s="18">
        <v>8</v>
      </c>
      <c r="H1227" s="18" t="s">
        <v>2348</v>
      </c>
    </row>
    <row r="1228" spans="1:8">
      <c r="A1228" s="7" t="str">
        <f t="shared" si="57"/>
        <v>08</v>
      </c>
      <c r="B1228" s="7" t="str">
        <f t="shared" si="58"/>
        <v>100</v>
      </c>
      <c r="C1228" s="7" t="str">
        <f t="shared" si="59"/>
        <v>Morón</v>
      </c>
      <c r="D1228" s="18" t="s">
        <v>4160</v>
      </c>
      <c r="E1228" s="18">
        <v>3</v>
      </c>
      <c r="F1228" s="18">
        <v>56</v>
      </c>
      <c r="G1228" s="18">
        <v>8</v>
      </c>
      <c r="H1228" s="18" t="s">
        <v>2348</v>
      </c>
    </row>
    <row r="1229" spans="1:8">
      <c r="A1229" s="7" t="str">
        <f t="shared" si="57"/>
        <v>08</v>
      </c>
      <c r="B1229" s="7" t="str">
        <f t="shared" si="58"/>
        <v>100</v>
      </c>
      <c r="C1229" s="7" t="str">
        <f t="shared" si="59"/>
        <v>Morón</v>
      </c>
      <c r="D1229" s="18" t="s">
        <v>4161</v>
      </c>
      <c r="E1229" s="18">
        <v>1</v>
      </c>
      <c r="F1229" s="18">
        <v>15</v>
      </c>
      <c r="G1229" s="18">
        <v>8</v>
      </c>
      <c r="H1229" s="18" t="s">
        <v>2348</v>
      </c>
    </row>
    <row r="1230" spans="1:8">
      <c r="A1230" s="7" t="str">
        <f t="shared" si="57"/>
        <v>08</v>
      </c>
      <c r="B1230" s="7" t="str">
        <f t="shared" si="58"/>
        <v>100</v>
      </c>
      <c r="C1230" s="7" t="str">
        <f t="shared" si="59"/>
        <v>Morón</v>
      </c>
      <c r="D1230" s="18" t="s">
        <v>4162</v>
      </c>
      <c r="E1230" s="18">
        <v>1</v>
      </c>
      <c r="F1230" s="18">
        <v>11</v>
      </c>
      <c r="G1230" s="18">
        <v>8</v>
      </c>
      <c r="H1230" s="18" t="s">
        <v>2348</v>
      </c>
    </row>
    <row r="1231" spans="1:8">
      <c r="A1231" s="7" t="str">
        <f t="shared" si="57"/>
        <v>08</v>
      </c>
      <c r="B1231" s="7" t="str">
        <f t="shared" si="58"/>
        <v>100</v>
      </c>
      <c r="C1231" s="7" t="str">
        <f t="shared" si="59"/>
        <v>Morón</v>
      </c>
      <c r="D1231" s="18" t="s">
        <v>4163</v>
      </c>
      <c r="E1231" s="18">
        <v>1</v>
      </c>
      <c r="F1231" s="18">
        <v>16</v>
      </c>
      <c r="G1231" s="18">
        <v>8</v>
      </c>
      <c r="H1231" s="18" t="s">
        <v>2348</v>
      </c>
    </row>
    <row r="1232" spans="1:8">
      <c r="A1232" s="7" t="str">
        <f t="shared" si="57"/>
        <v>08</v>
      </c>
      <c r="B1232" s="7" t="str">
        <f t="shared" si="58"/>
        <v>100</v>
      </c>
      <c r="C1232" s="7" t="str">
        <f t="shared" si="59"/>
        <v>Morón</v>
      </c>
      <c r="D1232" s="18" t="s">
        <v>4164</v>
      </c>
      <c r="E1232" s="18">
        <v>1</v>
      </c>
      <c r="F1232" s="18">
        <v>15</v>
      </c>
      <c r="G1232" s="18">
        <v>8</v>
      </c>
      <c r="H1232" s="18" t="s">
        <v>2348</v>
      </c>
    </row>
    <row r="1233" spans="1:8">
      <c r="A1233" s="7" t="str">
        <f t="shared" si="57"/>
        <v>08</v>
      </c>
      <c r="B1233" s="7" t="str">
        <f t="shared" si="58"/>
        <v>100</v>
      </c>
      <c r="C1233" s="7" t="str">
        <f t="shared" si="59"/>
        <v>Morón</v>
      </c>
      <c r="D1233" s="18" t="s">
        <v>4165</v>
      </c>
      <c r="E1233" s="18">
        <v>4</v>
      </c>
      <c r="F1233" s="18">
        <v>78</v>
      </c>
      <c r="G1233" s="18">
        <v>8</v>
      </c>
      <c r="H1233" s="18" t="s">
        <v>2348</v>
      </c>
    </row>
    <row r="1234" spans="1:8">
      <c r="A1234" s="7" t="str">
        <f t="shared" si="57"/>
        <v>08</v>
      </c>
      <c r="B1234" s="7" t="str">
        <f t="shared" si="58"/>
        <v>100</v>
      </c>
      <c r="C1234" s="7" t="str">
        <f t="shared" si="59"/>
        <v>Morón</v>
      </c>
      <c r="D1234" s="18" t="s">
        <v>4166</v>
      </c>
      <c r="E1234" s="18">
        <v>2</v>
      </c>
      <c r="F1234" s="18">
        <v>29</v>
      </c>
      <c r="G1234" s="18">
        <v>8</v>
      </c>
      <c r="H1234" s="18" t="s">
        <v>2348</v>
      </c>
    </row>
    <row r="1235" spans="1:8">
      <c r="A1235" s="7" t="str">
        <f t="shared" si="57"/>
        <v>08</v>
      </c>
      <c r="B1235" s="7" t="str">
        <f t="shared" si="58"/>
        <v>100</v>
      </c>
      <c r="C1235" s="7" t="str">
        <f t="shared" si="59"/>
        <v>Morón</v>
      </c>
      <c r="D1235" s="18" t="s">
        <v>4167</v>
      </c>
      <c r="E1235" s="18">
        <v>3</v>
      </c>
      <c r="F1235" s="18">
        <v>66</v>
      </c>
      <c r="G1235" s="18">
        <v>8</v>
      </c>
      <c r="H1235" s="18" t="s">
        <v>2348</v>
      </c>
    </row>
    <row r="1236" spans="1:8">
      <c r="A1236" s="7" t="str">
        <f t="shared" si="57"/>
        <v>08</v>
      </c>
      <c r="B1236" s="7" t="str">
        <f t="shared" si="58"/>
        <v>100</v>
      </c>
      <c r="C1236" s="7" t="str">
        <f t="shared" si="59"/>
        <v>Morón</v>
      </c>
      <c r="D1236" s="18" t="s">
        <v>4168</v>
      </c>
      <c r="E1236" s="18">
        <v>1</v>
      </c>
      <c r="F1236" s="18">
        <v>10</v>
      </c>
      <c r="G1236" s="18">
        <v>8</v>
      </c>
      <c r="H1236" s="18" t="s">
        <v>2348</v>
      </c>
    </row>
    <row r="1237" spans="1:8">
      <c r="A1237" s="7" t="str">
        <f t="shared" si="57"/>
        <v>08</v>
      </c>
      <c r="B1237" s="7" t="str">
        <f t="shared" si="58"/>
        <v>100</v>
      </c>
      <c r="C1237" s="7" t="str">
        <f t="shared" si="59"/>
        <v>Morón</v>
      </c>
      <c r="D1237" s="18" t="s">
        <v>4169</v>
      </c>
      <c r="E1237" s="18">
        <v>1</v>
      </c>
      <c r="F1237" s="18">
        <v>15</v>
      </c>
      <c r="G1237" s="18">
        <v>8</v>
      </c>
      <c r="H1237" s="18" t="s">
        <v>2348</v>
      </c>
    </row>
    <row r="1238" spans="1:8">
      <c r="A1238" s="7" t="str">
        <f t="shared" si="57"/>
        <v>08</v>
      </c>
      <c r="B1238" s="7" t="str">
        <f t="shared" si="58"/>
        <v>100</v>
      </c>
      <c r="C1238" s="7" t="str">
        <f t="shared" si="59"/>
        <v>Morón</v>
      </c>
      <c r="D1238" s="18" t="s">
        <v>4170</v>
      </c>
      <c r="E1238" s="18">
        <v>1</v>
      </c>
      <c r="F1238" s="18">
        <v>0</v>
      </c>
      <c r="G1238" s="18">
        <v>8</v>
      </c>
      <c r="H1238" s="18" t="s">
        <v>2348</v>
      </c>
    </row>
    <row r="1239" spans="1:8">
      <c r="A1239" s="7" t="str">
        <f t="shared" si="57"/>
        <v>08</v>
      </c>
      <c r="B1239" s="7" t="str">
        <f t="shared" si="58"/>
        <v>100</v>
      </c>
      <c r="C1239" s="7" t="str">
        <f t="shared" si="59"/>
        <v>Morón</v>
      </c>
      <c r="D1239" s="18" t="s">
        <v>4171</v>
      </c>
      <c r="E1239" s="18">
        <v>1</v>
      </c>
      <c r="F1239" s="18">
        <v>11</v>
      </c>
      <c r="G1239" s="18">
        <v>8</v>
      </c>
      <c r="H1239" s="18" t="s">
        <v>2348</v>
      </c>
    </row>
    <row r="1240" spans="1:8">
      <c r="A1240" s="7" t="str">
        <f t="shared" si="57"/>
        <v>08</v>
      </c>
      <c r="B1240" s="7" t="str">
        <f t="shared" si="58"/>
        <v>100</v>
      </c>
      <c r="C1240" s="7" t="str">
        <f t="shared" si="59"/>
        <v>Morón</v>
      </c>
      <c r="D1240" s="18" t="s">
        <v>4172</v>
      </c>
      <c r="E1240" s="18">
        <v>1</v>
      </c>
      <c r="F1240" s="18">
        <v>0</v>
      </c>
      <c r="G1240" s="18">
        <v>8</v>
      </c>
      <c r="H1240" s="18" t="s">
        <v>2348</v>
      </c>
    </row>
    <row r="1241" spans="1:8">
      <c r="A1241" s="7" t="str">
        <f t="shared" si="57"/>
        <v>09</v>
      </c>
      <c r="B1241" s="7" t="str">
        <f t="shared" si="58"/>
        <v>132</v>
      </c>
      <c r="C1241" s="7" t="str">
        <f t="shared" si="59"/>
        <v>José C. Paz</v>
      </c>
      <c r="D1241" s="18">
        <v>159</v>
      </c>
      <c r="E1241" s="18">
        <v>1</v>
      </c>
      <c r="F1241" s="18">
        <v>23</v>
      </c>
      <c r="G1241" s="18">
        <v>9</v>
      </c>
      <c r="H1241" s="18" t="s">
        <v>4173</v>
      </c>
    </row>
    <row r="1242" spans="1:8">
      <c r="A1242" s="7" t="str">
        <f t="shared" si="57"/>
        <v>09</v>
      </c>
      <c r="B1242" s="7" t="str">
        <f t="shared" si="58"/>
        <v>132</v>
      </c>
      <c r="C1242" s="7" t="str">
        <f t="shared" si="59"/>
        <v>José C. Paz</v>
      </c>
      <c r="D1242" s="18" t="s">
        <v>4174</v>
      </c>
      <c r="E1242" s="18">
        <v>3</v>
      </c>
      <c r="F1242" s="18">
        <v>49</v>
      </c>
      <c r="G1242" s="18">
        <v>9</v>
      </c>
      <c r="H1242" s="18" t="s">
        <v>4173</v>
      </c>
    </row>
    <row r="1243" spans="1:8">
      <c r="A1243" s="7" t="str">
        <f t="shared" si="57"/>
        <v>09</v>
      </c>
      <c r="B1243" s="7" t="str">
        <f t="shared" si="58"/>
        <v>132</v>
      </c>
      <c r="C1243" s="7" t="str">
        <f t="shared" si="59"/>
        <v>José C. Paz</v>
      </c>
      <c r="D1243" s="18" t="s">
        <v>4175</v>
      </c>
      <c r="E1243" s="18">
        <v>1</v>
      </c>
      <c r="F1243" s="18">
        <v>0</v>
      </c>
      <c r="G1243" s="18">
        <v>9</v>
      </c>
      <c r="H1243" s="18" t="s">
        <v>4173</v>
      </c>
    </row>
    <row r="1244" spans="1:8">
      <c r="A1244" s="7" t="str">
        <f t="shared" si="57"/>
        <v>09</v>
      </c>
      <c r="B1244" s="7" t="str">
        <f t="shared" si="58"/>
        <v>132</v>
      </c>
      <c r="C1244" s="7" t="str">
        <f t="shared" si="59"/>
        <v>José C. Paz</v>
      </c>
      <c r="D1244" s="18" t="s">
        <v>4176</v>
      </c>
      <c r="E1244" s="18">
        <v>1</v>
      </c>
      <c r="F1244" s="18">
        <v>17</v>
      </c>
      <c r="G1244" s="18">
        <v>9</v>
      </c>
      <c r="H1244" s="18" t="s">
        <v>4173</v>
      </c>
    </row>
    <row r="1245" spans="1:8">
      <c r="A1245" s="7" t="str">
        <f t="shared" si="57"/>
        <v>09</v>
      </c>
      <c r="B1245" s="7" t="str">
        <f t="shared" si="58"/>
        <v>132</v>
      </c>
      <c r="C1245" s="7" t="str">
        <f t="shared" si="59"/>
        <v>José C. Paz</v>
      </c>
      <c r="D1245" s="18" t="s">
        <v>4177</v>
      </c>
      <c r="E1245" s="18">
        <v>1</v>
      </c>
      <c r="F1245" s="18">
        <v>18</v>
      </c>
      <c r="G1245" s="18">
        <v>9</v>
      </c>
      <c r="H1245" s="18" t="s">
        <v>4173</v>
      </c>
    </row>
    <row r="1246" spans="1:8">
      <c r="A1246" s="7" t="str">
        <f t="shared" si="57"/>
        <v>09</v>
      </c>
      <c r="B1246" s="7" t="str">
        <f t="shared" si="58"/>
        <v>132</v>
      </c>
      <c r="C1246" s="7" t="str">
        <f t="shared" si="59"/>
        <v>José C. Paz</v>
      </c>
      <c r="D1246" s="18" t="s">
        <v>4178</v>
      </c>
      <c r="E1246" s="18">
        <v>1</v>
      </c>
      <c r="F1246" s="18">
        <v>15</v>
      </c>
      <c r="G1246" s="18">
        <v>9</v>
      </c>
      <c r="H1246" s="18" t="s">
        <v>4173</v>
      </c>
    </row>
    <row r="1247" spans="1:8">
      <c r="A1247" s="7" t="str">
        <f t="shared" si="57"/>
        <v>09</v>
      </c>
      <c r="B1247" s="7" t="str">
        <f t="shared" si="58"/>
        <v>132</v>
      </c>
      <c r="C1247" s="7" t="str">
        <f t="shared" si="59"/>
        <v>José C. Paz</v>
      </c>
      <c r="D1247" s="18" t="s">
        <v>4179</v>
      </c>
      <c r="E1247" s="18">
        <v>1</v>
      </c>
      <c r="F1247" s="18">
        <v>15</v>
      </c>
      <c r="G1247" s="18">
        <v>9</v>
      </c>
      <c r="H1247" s="18" t="s">
        <v>4173</v>
      </c>
    </row>
    <row r="1248" spans="1:8">
      <c r="A1248" s="7" t="str">
        <f t="shared" si="57"/>
        <v>09</v>
      </c>
      <c r="B1248" s="7" t="str">
        <f t="shared" si="58"/>
        <v>132</v>
      </c>
      <c r="C1248" s="7" t="str">
        <f t="shared" si="59"/>
        <v>José C. Paz</v>
      </c>
      <c r="D1248" s="18" t="s">
        <v>4180</v>
      </c>
      <c r="E1248" s="18">
        <v>1</v>
      </c>
      <c r="F1248" s="18">
        <v>24</v>
      </c>
      <c r="G1248" s="18">
        <v>9</v>
      </c>
      <c r="H1248" s="18" t="s">
        <v>4173</v>
      </c>
    </row>
    <row r="1249" spans="1:8">
      <c r="A1249" s="7" t="str">
        <f t="shared" si="57"/>
        <v>09</v>
      </c>
      <c r="B1249" s="7" t="str">
        <f t="shared" si="58"/>
        <v>132</v>
      </c>
      <c r="C1249" s="7" t="str">
        <f t="shared" si="59"/>
        <v>José C. Paz</v>
      </c>
      <c r="D1249" s="18" t="s">
        <v>4181</v>
      </c>
      <c r="E1249" s="18">
        <v>1</v>
      </c>
      <c r="F1249" s="18">
        <v>10</v>
      </c>
      <c r="G1249" s="18">
        <v>9</v>
      </c>
      <c r="H1249" s="18" t="s">
        <v>4173</v>
      </c>
    </row>
    <row r="1250" spans="1:8">
      <c r="A1250" s="7" t="str">
        <f t="shared" si="57"/>
        <v>09</v>
      </c>
      <c r="B1250" s="7" t="str">
        <f t="shared" si="58"/>
        <v>132</v>
      </c>
      <c r="C1250" s="7" t="str">
        <f t="shared" si="59"/>
        <v>José C. Paz</v>
      </c>
      <c r="D1250" s="18" t="s">
        <v>4182</v>
      </c>
      <c r="E1250" s="18">
        <v>1</v>
      </c>
      <c r="F1250" s="18">
        <v>21</v>
      </c>
      <c r="G1250" s="18">
        <v>9</v>
      </c>
      <c r="H1250" s="18" t="s">
        <v>4173</v>
      </c>
    </row>
    <row r="1251" spans="1:8">
      <c r="A1251" s="7" t="str">
        <f t="shared" si="57"/>
        <v>09</v>
      </c>
      <c r="B1251" s="7" t="str">
        <f t="shared" si="58"/>
        <v>132</v>
      </c>
      <c r="C1251" s="7" t="str">
        <f t="shared" si="59"/>
        <v>José C. Paz</v>
      </c>
      <c r="D1251" s="18" t="s">
        <v>4183</v>
      </c>
      <c r="E1251" s="18">
        <v>1</v>
      </c>
      <c r="F1251" s="18">
        <v>31</v>
      </c>
      <c r="G1251" s="18">
        <v>9</v>
      </c>
      <c r="H1251" s="18" t="s">
        <v>4173</v>
      </c>
    </row>
    <row r="1252" spans="1:8">
      <c r="A1252" s="7" t="str">
        <f t="shared" si="57"/>
        <v>09</v>
      </c>
      <c r="B1252" s="7" t="str">
        <f t="shared" si="58"/>
        <v>132</v>
      </c>
      <c r="C1252" s="7" t="str">
        <f t="shared" si="59"/>
        <v>José C. Paz</v>
      </c>
      <c r="D1252" s="18" t="s">
        <v>4184</v>
      </c>
      <c r="E1252" s="18">
        <v>1</v>
      </c>
      <c r="F1252" s="18">
        <v>0</v>
      </c>
      <c r="G1252" s="18">
        <v>9</v>
      </c>
      <c r="H1252" s="18" t="s">
        <v>4173</v>
      </c>
    </row>
    <row r="1253" spans="1:8">
      <c r="A1253" s="7" t="str">
        <f t="shared" si="57"/>
        <v>09</v>
      </c>
      <c r="B1253" s="7" t="str">
        <f t="shared" si="58"/>
        <v>132</v>
      </c>
      <c r="C1253" s="7" t="str">
        <f t="shared" si="59"/>
        <v>José C. Paz</v>
      </c>
      <c r="D1253" s="18" t="s">
        <v>4185</v>
      </c>
      <c r="E1253" s="18">
        <v>1</v>
      </c>
      <c r="F1253" s="18">
        <v>8</v>
      </c>
      <c r="G1253" s="18">
        <v>9</v>
      </c>
      <c r="H1253" s="18" t="s">
        <v>4173</v>
      </c>
    </row>
    <row r="1254" spans="1:8">
      <c r="A1254" s="7" t="str">
        <f t="shared" si="57"/>
        <v>09</v>
      </c>
      <c r="B1254" s="7" t="str">
        <f t="shared" si="58"/>
        <v>132</v>
      </c>
      <c r="C1254" s="7" t="str">
        <f t="shared" si="59"/>
        <v>José C. Paz</v>
      </c>
      <c r="D1254" s="18" t="s">
        <v>4186</v>
      </c>
      <c r="E1254" s="18">
        <v>1</v>
      </c>
      <c r="F1254" s="18">
        <v>16</v>
      </c>
      <c r="G1254" s="18">
        <v>9</v>
      </c>
      <c r="H1254" s="18" t="s">
        <v>4173</v>
      </c>
    </row>
    <row r="1255" spans="1:8">
      <c r="A1255" s="7" t="str">
        <f t="shared" si="57"/>
        <v>09</v>
      </c>
      <c r="B1255" s="7" t="str">
        <f t="shared" si="58"/>
        <v>132</v>
      </c>
      <c r="C1255" s="7" t="str">
        <f t="shared" si="59"/>
        <v>José C. Paz</v>
      </c>
      <c r="D1255" s="18" t="s">
        <v>4187</v>
      </c>
      <c r="E1255" s="18">
        <v>1</v>
      </c>
      <c r="F1255" s="18">
        <v>12</v>
      </c>
      <c r="G1255" s="18">
        <v>9</v>
      </c>
      <c r="H1255" s="18" t="s">
        <v>4173</v>
      </c>
    </row>
    <row r="1256" spans="1:8">
      <c r="A1256" s="7" t="str">
        <f t="shared" si="57"/>
        <v>09</v>
      </c>
      <c r="B1256" s="7" t="str">
        <f t="shared" si="58"/>
        <v>132</v>
      </c>
      <c r="C1256" s="7" t="str">
        <f t="shared" si="59"/>
        <v>José C. Paz</v>
      </c>
      <c r="D1256" s="18" t="s">
        <v>4188</v>
      </c>
      <c r="E1256" s="18">
        <v>2</v>
      </c>
      <c r="F1256" s="18">
        <v>29</v>
      </c>
      <c r="G1256" s="18">
        <v>9</v>
      </c>
      <c r="H1256" s="18" t="s">
        <v>4173</v>
      </c>
    </row>
    <row r="1257" spans="1:8">
      <c r="A1257" s="7" t="str">
        <f t="shared" si="57"/>
        <v>09</v>
      </c>
      <c r="B1257" s="7" t="str">
        <f t="shared" si="58"/>
        <v>132</v>
      </c>
      <c r="C1257" s="7" t="str">
        <f t="shared" si="59"/>
        <v>José C. Paz</v>
      </c>
      <c r="D1257" s="18" t="s">
        <v>4189</v>
      </c>
      <c r="E1257" s="18">
        <v>1</v>
      </c>
      <c r="F1257" s="18">
        <v>0</v>
      </c>
      <c r="G1257" s="18">
        <v>9</v>
      </c>
      <c r="H1257" s="18" t="s">
        <v>4173</v>
      </c>
    </row>
    <row r="1258" spans="1:8">
      <c r="A1258" s="7" t="str">
        <f t="shared" si="57"/>
        <v>09</v>
      </c>
      <c r="B1258" s="7" t="str">
        <f t="shared" si="58"/>
        <v>132</v>
      </c>
      <c r="C1258" s="7" t="str">
        <f t="shared" si="59"/>
        <v>José C. Paz</v>
      </c>
      <c r="D1258" s="18" t="s">
        <v>4190</v>
      </c>
      <c r="E1258" s="18">
        <v>1</v>
      </c>
      <c r="F1258" s="18">
        <v>12</v>
      </c>
      <c r="G1258" s="18">
        <v>9</v>
      </c>
      <c r="H1258" s="18" t="s">
        <v>4173</v>
      </c>
    </row>
    <row r="1259" spans="1:8">
      <c r="A1259" s="7" t="str">
        <f t="shared" si="57"/>
        <v>09</v>
      </c>
      <c r="B1259" s="7" t="str">
        <f t="shared" si="58"/>
        <v>132</v>
      </c>
      <c r="C1259" s="7" t="str">
        <f t="shared" si="59"/>
        <v>José C. Paz</v>
      </c>
      <c r="D1259" s="18" t="s">
        <v>4191</v>
      </c>
      <c r="E1259" s="18">
        <v>1</v>
      </c>
      <c r="F1259" s="18">
        <v>0</v>
      </c>
      <c r="G1259" s="18">
        <v>9</v>
      </c>
      <c r="H1259" s="18" t="s">
        <v>4173</v>
      </c>
    </row>
    <row r="1260" spans="1:8">
      <c r="A1260" s="7" t="str">
        <f t="shared" si="57"/>
        <v>09</v>
      </c>
      <c r="B1260" s="7" t="str">
        <f t="shared" si="58"/>
        <v>132</v>
      </c>
      <c r="C1260" s="7" t="str">
        <f t="shared" si="59"/>
        <v>José C. Paz</v>
      </c>
      <c r="D1260" s="18" t="s">
        <v>4192</v>
      </c>
      <c r="E1260" s="18">
        <v>1</v>
      </c>
      <c r="F1260" s="18">
        <v>68</v>
      </c>
      <c r="G1260" s="18">
        <v>9</v>
      </c>
      <c r="H1260" s="18" t="s">
        <v>4173</v>
      </c>
    </row>
    <row r="1261" spans="1:8">
      <c r="A1261" s="7" t="str">
        <f t="shared" si="57"/>
        <v>09</v>
      </c>
      <c r="B1261" s="7" t="str">
        <f t="shared" si="58"/>
        <v>132</v>
      </c>
      <c r="C1261" s="7" t="str">
        <f t="shared" si="59"/>
        <v>José C. Paz</v>
      </c>
      <c r="D1261" s="18" t="s">
        <v>4193</v>
      </c>
      <c r="E1261" s="18">
        <v>1</v>
      </c>
      <c r="F1261" s="18">
        <v>25</v>
      </c>
      <c r="G1261" s="18">
        <v>9</v>
      </c>
      <c r="H1261" s="18" t="s">
        <v>4173</v>
      </c>
    </row>
    <row r="1262" spans="1:8">
      <c r="A1262" s="7" t="str">
        <f t="shared" si="57"/>
        <v>09</v>
      </c>
      <c r="B1262" s="7" t="str">
        <f t="shared" si="58"/>
        <v>132</v>
      </c>
      <c r="C1262" s="7" t="str">
        <f t="shared" si="59"/>
        <v>José C. Paz</v>
      </c>
      <c r="D1262" s="18" t="s">
        <v>4194</v>
      </c>
      <c r="E1262" s="18">
        <v>1</v>
      </c>
      <c r="F1262" s="18">
        <v>34</v>
      </c>
      <c r="G1262" s="18">
        <v>9</v>
      </c>
      <c r="H1262" s="18" t="s">
        <v>4173</v>
      </c>
    </row>
    <row r="1263" spans="1:8">
      <c r="A1263" s="7" t="str">
        <f t="shared" si="57"/>
        <v>09</v>
      </c>
      <c r="B1263" s="7" t="str">
        <f t="shared" si="58"/>
        <v>132</v>
      </c>
      <c r="C1263" s="7" t="str">
        <f t="shared" si="59"/>
        <v>José C. Paz</v>
      </c>
      <c r="D1263" s="18" t="s">
        <v>4195</v>
      </c>
      <c r="E1263" s="18">
        <v>1</v>
      </c>
      <c r="F1263" s="18">
        <v>10</v>
      </c>
      <c r="G1263" s="18">
        <v>9</v>
      </c>
      <c r="H1263" s="18" t="s">
        <v>4173</v>
      </c>
    </row>
    <row r="1264" spans="1:8">
      <c r="A1264" s="7" t="str">
        <f t="shared" si="57"/>
        <v>09</v>
      </c>
      <c r="B1264" s="7" t="str">
        <f t="shared" si="58"/>
        <v>132</v>
      </c>
      <c r="C1264" s="7" t="str">
        <f t="shared" si="59"/>
        <v>José C. Paz</v>
      </c>
      <c r="D1264" s="18" t="s">
        <v>4196</v>
      </c>
      <c r="E1264" s="18">
        <v>1</v>
      </c>
      <c r="F1264" s="18">
        <v>0</v>
      </c>
      <c r="G1264" s="18">
        <v>9</v>
      </c>
      <c r="H1264" s="18" t="s">
        <v>4173</v>
      </c>
    </row>
    <row r="1265" spans="1:8">
      <c r="A1265" s="7" t="str">
        <f t="shared" si="57"/>
        <v>09</v>
      </c>
      <c r="B1265" s="7" t="str">
        <f t="shared" si="58"/>
        <v>133</v>
      </c>
      <c r="C1265" s="7" t="str">
        <f t="shared" si="59"/>
        <v>Malvinas Argentinas</v>
      </c>
      <c r="D1265" s="18" t="s">
        <v>3130</v>
      </c>
      <c r="E1265" s="18">
        <v>1</v>
      </c>
      <c r="F1265" s="18">
        <v>27</v>
      </c>
      <c r="G1265" s="18">
        <v>9</v>
      </c>
      <c r="H1265" s="18" t="s">
        <v>2837</v>
      </c>
    </row>
    <row r="1266" spans="1:8">
      <c r="A1266" s="7" t="str">
        <f t="shared" si="57"/>
        <v>09</v>
      </c>
      <c r="B1266" s="7" t="str">
        <f t="shared" si="58"/>
        <v>133</v>
      </c>
      <c r="C1266" s="7" t="str">
        <f t="shared" si="59"/>
        <v>Malvinas Argentinas</v>
      </c>
      <c r="D1266" s="18" t="s">
        <v>4197</v>
      </c>
      <c r="E1266" s="18">
        <v>1</v>
      </c>
      <c r="F1266" s="18">
        <v>18</v>
      </c>
      <c r="G1266" s="18">
        <v>9</v>
      </c>
      <c r="H1266" s="18" t="s">
        <v>2837</v>
      </c>
    </row>
    <row r="1267" spans="1:8">
      <c r="A1267" s="7" t="str">
        <f t="shared" si="57"/>
        <v>09</v>
      </c>
      <c r="B1267" s="7" t="str">
        <f t="shared" si="58"/>
        <v>133</v>
      </c>
      <c r="C1267" s="7" t="str">
        <f t="shared" si="59"/>
        <v>Malvinas Argentinas</v>
      </c>
      <c r="D1267" s="18" t="s">
        <v>4198</v>
      </c>
      <c r="E1267" s="18">
        <v>2</v>
      </c>
      <c r="F1267" s="18">
        <v>71</v>
      </c>
      <c r="G1267" s="18">
        <v>9</v>
      </c>
      <c r="H1267" s="18" t="s">
        <v>2837</v>
      </c>
    </row>
    <row r="1268" spans="1:8">
      <c r="A1268" s="7" t="str">
        <f t="shared" si="57"/>
        <v>09</v>
      </c>
      <c r="B1268" s="7" t="str">
        <f t="shared" si="58"/>
        <v>133</v>
      </c>
      <c r="C1268" s="7" t="str">
        <f t="shared" si="59"/>
        <v>Malvinas Argentinas</v>
      </c>
      <c r="D1268" s="18" t="s">
        <v>4199</v>
      </c>
      <c r="E1268" s="18">
        <v>1</v>
      </c>
      <c r="F1268" s="18">
        <v>27</v>
      </c>
      <c r="G1268" s="18">
        <v>9</v>
      </c>
      <c r="H1268" s="18" t="s">
        <v>2837</v>
      </c>
    </row>
    <row r="1269" spans="1:8">
      <c r="A1269" s="7" t="str">
        <f t="shared" si="57"/>
        <v>09</v>
      </c>
      <c r="B1269" s="7" t="str">
        <f t="shared" si="58"/>
        <v>133</v>
      </c>
      <c r="C1269" s="7" t="str">
        <f t="shared" si="59"/>
        <v>Malvinas Argentinas</v>
      </c>
      <c r="D1269" s="18" t="s">
        <v>4200</v>
      </c>
      <c r="E1269" s="18">
        <v>1</v>
      </c>
      <c r="F1269" s="18">
        <v>28</v>
      </c>
      <c r="G1269" s="18">
        <v>9</v>
      </c>
      <c r="H1269" s="18" t="s">
        <v>2837</v>
      </c>
    </row>
    <row r="1270" spans="1:8">
      <c r="A1270" s="7" t="str">
        <f t="shared" si="57"/>
        <v>09</v>
      </c>
      <c r="B1270" s="7" t="str">
        <f t="shared" si="58"/>
        <v>133</v>
      </c>
      <c r="C1270" s="7" t="str">
        <f t="shared" si="59"/>
        <v>Malvinas Argentinas</v>
      </c>
      <c r="D1270" s="18" t="s">
        <v>4201</v>
      </c>
      <c r="E1270" s="18">
        <v>1</v>
      </c>
      <c r="F1270" s="18">
        <v>18</v>
      </c>
      <c r="G1270" s="18">
        <v>9</v>
      </c>
      <c r="H1270" s="18" t="s">
        <v>2837</v>
      </c>
    </row>
    <row r="1271" spans="1:8">
      <c r="A1271" s="7" t="str">
        <f t="shared" si="57"/>
        <v>09</v>
      </c>
      <c r="B1271" s="7" t="str">
        <f t="shared" si="58"/>
        <v>133</v>
      </c>
      <c r="C1271" s="7" t="str">
        <f t="shared" si="59"/>
        <v>Malvinas Argentinas</v>
      </c>
      <c r="D1271" s="18" t="s">
        <v>4202</v>
      </c>
      <c r="E1271" s="18">
        <v>1</v>
      </c>
      <c r="F1271" s="18">
        <v>28</v>
      </c>
      <c r="G1271" s="18">
        <v>9</v>
      </c>
      <c r="H1271" s="18" t="s">
        <v>2837</v>
      </c>
    </row>
    <row r="1272" spans="1:8">
      <c r="A1272" s="7" t="str">
        <f t="shared" si="57"/>
        <v>09</v>
      </c>
      <c r="B1272" s="7" t="str">
        <f t="shared" si="58"/>
        <v>133</v>
      </c>
      <c r="C1272" s="7" t="str">
        <f t="shared" si="59"/>
        <v>Malvinas Argentinas</v>
      </c>
      <c r="D1272" s="18" t="s">
        <v>4203</v>
      </c>
      <c r="E1272" s="18">
        <v>1</v>
      </c>
      <c r="F1272" s="18">
        <v>35</v>
      </c>
      <c r="G1272" s="18">
        <v>9</v>
      </c>
      <c r="H1272" s="18" t="s">
        <v>2837</v>
      </c>
    </row>
    <row r="1273" spans="1:8">
      <c r="A1273" s="7" t="str">
        <f t="shared" si="57"/>
        <v>09</v>
      </c>
      <c r="B1273" s="7" t="str">
        <f t="shared" si="58"/>
        <v>133</v>
      </c>
      <c r="C1273" s="7" t="str">
        <f t="shared" si="59"/>
        <v>Malvinas Argentinas</v>
      </c>
      <c r="D1273" s="18" t="s">
        <v>4204</v>
      </c>
      <c r="E1273" s="18">
        <v>1</v>
      </c>
      <c r="F1273" s="18">
        <v>28</v>
      </c>
      <c r="G1273" s="18">
        <v>9</v>
      </c>
      <c r="H1273" s="18" t="s">
        <v>2837</v>
      </c>
    </row>
    <row r="1274" spans="1:8">
      <c r="A1274" s="7" t="str">
        <f t="shared" si="57"/>
        <v>09</v>
      </c>
      <c r="B1274" s="7" t="str">
        <f t="shared" si="58"/>
        <v>133</v>
      </c>
      <c r="C1274" s="7" t="str">
        <f t="shared" si="59"/>
        <v>Malvinas Argentinas</v>
      </c>
      <c r="D1274" s="18" t="s">
        <v>4205</v>
      </c>
      <c r="E1274" s="18">
        <v>2</v>
      </c>
      <c r="F1274" s="18">
        <v>50</v>
      </c>
      <c r="G1274" s="18">
        <v>9</v>
      </c>
      <c r="H1274" s="18" t="s">
        <v>2837</v>
      </c>
    </row>
    <row r="1275" spans="1:8">
      <c r="A1275" s="7" t="str">
        <f t="shared" si="57"/>
        <v>09</v>
      </c>
      <c r="B1275" s="7" t="str">
        <f t="shared" si="58"/>
        <v>133</v>
      </c>
      <c r="C1275" s="7" t="str">
        <f t="shared" si="59"/>
        <v>Malvinas Argentinas</v>
      </c>
      <c r="D1275" s="18" t="s">
        <v>4206</v>
      </c>
      <c r="E1275" s="18">
        <v>3</v>
      </c>
      <c r="F1275" s="18">
        <v>116</v>
      </c>
      <c r="G1275" s="18">
        <v>9</v>
      </c>
      <c r="H1275" s="18" t="s">
        <v>2837</v>
      </c>
    </row>
    <row r="1276" spans="1:8">
      <c r="A1276" s="7" t="str">
        <f t="shared" si="57"/>
        <v>09</v>
      </c>
      <c r="B1276" s="7" t="str">
        <f t="shared" si="58"/>
        <v>133</v>
      </c>
      <c r="C1276" s="7" t="str">
        <f t="shared" si="59"/>
        <v>Malvinas Argentinas</v>
      </c>
      <c r="D1276" s="18" t="s">
        <v>4207</v>
      </c>
      <c r="E1276" s="18">
        <v>1</v>
      </c>
      <c r="F1276" s="18">
        <v>40</v>
      </c>
      <c r="G1276" s="18">
        <v>9</v>
      </c>
      <c r="H1276" s="18" t="s">
        <v>2837</v>
      </c>
    </row>
    <row r="1277" spans="1:8">
      <c r="A1277" s="7" t="str">
        <f t="shared" si="57"/>
        <v>09</v>
      </c>
      <c r="B1277" s="7" t="str">
        <f t="shared" si="58"/>
        <v>133</v>
      </c>
      <c r="C1277" s="7" t="str">
        <f t="shared" si="59"/>
        <v>Malvinas Argentinas</v>
      </c>
      <c r="D1277" s="18" t="s">
        <v>4208</v>
      </c>
      <c r="E1277" s="18">
        <v>1</v>
      </c>
      <c r="F1277" s="18">
        <v>19</v>
      </c>
      <c r="G1277" s="18">
        <v>9</v>
      </c>
      <c r="H1277" s="18" t="s">
        <v>2837</v>
      </c>
    </row>
    <row r="1278" spans="1:8">
      <c r="A1278" s="7" t="str">
        <f t="shared" si="57"/>
        <v>09</v>
      </c>
      <c r="B1278" s="7" t="str">
        <f t="shared" si="58"/>
        <v>133</v>
      </c>
      <c r="C1278" s="7" t="str">
        <f t="shared" si="59"/>
        <v>Malvinas Argentinas</v>
      </c>
      <c r="D1278" s="18" t="s">
        <v>4209</v>
      </c>
      <c r="E1278" s="18">
        <v>1</v>
      </c>
      <c r="F1278" s="18">
        <v>24</v>
      </c>
      <c r="G1278" s="18">
        <v>9</v>
      </c>
      <c r="H1278" s="18" t="s">
        <v>2837</v>
      </c>
    </row>
    <row r="1279" spans="1:8">
      <c r="A1279" s="7" t="str">
        <f t="shared" si="57"/>
        <v>09</v>
      </c>
      <c r="B1279" s="7" t="str">
        <f t="shared" si="58"/>
        <v>133</v>
      </c>
      <c r="C1279" s="7" t="str">
        <f t="shared" si="59"/>
        <v>Malvinas Argentinas</v>
      </c>
      <c r="D1279" s="18" t="s">
        <v>4210</v>
      </c>
      <c r="E1279" s="18">
        <v>1</v>
      </c>
      <c r="F1279" s="18">
        <v>17</v>
      </c>
      <c r="G1279" s="18">
        <v>9</v>
      </c>
      <c r="H1279" s="18" t="s">
        <v>2837</v>
      </c>
    </row>
    <row r="1280" spans="1:8">
      <c r="A1280" s="7" t="str">
        <f t="shared" si="57"/>
        <v>09</v>
      </c>
      <c r="B1280" s="7" t="str">
        <f t="shared" si="58"/>
        <v>133</v>
      </c>
      <c r="C1280" s="7" t="str">
        <f t="shared" si="59"/>
        <v>Malvinas Argentinas</v>
      </c>
      <c r="D1280" s="18" t="s">
        <v>4211</v>
      </c>
      <c r="E1280" s="18">
        <v>1</v>
      </c>
      <c r="F1280" s="18">
        <v>26</v>
      </c>
      <c r="G1280" s="18">
        <v>9</v>
      </c>
      <c r="H1280" s="18" t="s">
        <v>2837</v>
      </c>
    </row>
    <row r="1281" spans="1:8">
      <c r="A1281" s="7" t="str">
        <f t="shared" si="57"/>
        <v>09</v>
      </c>
      <c r="B1281" s="7" t="str">
        <f t="shared" si="58"/>
        <v>133</v>
      </c>
      <c r="C1281" s="7" t="str">
        <f t="shared" si="59"/>
        <v>Malvinas Argentinas</v>
      </c>
      <c r="D1281" s="18" t="s">
        <v>4212</v>
      </c>
      <c r="E1281" s="18">
        <v>2</v>
      </c>
      <c r="F1281" s="18">
        <v>38</v>
      </c>
      <c r="G1281" s="18">
        <v>9</v>
      </c>
      <c r="H1281" s="18" t="s">
        <v>2837</v>
      </c>
    </row>
    <row r="1282" spans="1:8">
      <c r="A1282" s="7" t="str">
        <f t="shared" si="57"/>
        <v>09</v>
      </c>
      <c r="B1282" s="7" t="str">
        <f t="shared" si="58"/>
        <v>133</v>
      </c>
      <c r="C1282" s="7" t="str">
        <f t="shared" si="59"/>
        <v>Malvinas Argentinas</v>
      </c>
      <c r="D1282" s="18" t="s">
        <v>4213</v>
      </c>
      <c r="E1282" s="18">
        <v>1</v>
      </c>
      <c r="F1282" s="18">
        <v>18</v>
      </c>
      <c r="G1282" s="18">
        <v>9</v>
      </c>
      <c r="H1282" s="18" t="s">
        <v>2837</v>
      </c>
    </row>
    <row r="1283" spans="1:8">
      <c r="A1283" s="7" t="str">
        <f t="shared" ref="A1283:A1346" si="60">+VLOOKUP(H1283,$K:$N,2,FALSE)</f>
        <v>09</v>
      </c>
      <c r="B1283" s="7" t="str">
        <f t="shared" ref="B1283:B1346" si="61">+VLOOKUP(H1283,$K:$N,3,FALSE)</f>
        <v>133</v>
      </c>
      <c r="C1283" s="7" t="str">
        <f t="shared" ref="C1283:C1346" si="62">+VLOOKUP(H1283,$K:$N,4,FALSE)</f>
        <v>Malvinas Argentinas</v>
      </c>
      <c r="D1283" s="18" t="s">
        <v>4214</v>
      </c>
      <c r="E1283" s="18">
        <v>1</v>
      </c>
      <c r="F1283" s="18">
        <v>16</v>
      </c>
      <c r="G1283" s="18">
        <v>9</v>
      </c>
      <c r="H1283" s="18" t="s">
        <v>2837</v>
      </c>
    </row>
    <row r="1284" spans="1:8">
      <c r="A1284" s="7" t="str">
        <f t="shared" si="60"/>
        <v>09</v>
      </c>
      <c r="B1284" s="7" t="str">
        <f t="shared" si="61"/>
        <v>073</v>
      </c>
      <c r="C1284" s="7" t="str">
        <f t="shared" si="62"/>
        <v>Moreno</v>
      </c>
      <c r="D1284" s="18" t="s">
        <v>4215</v>
      </c>
      <c r="E1284" s="18">
        <v>1</v>
      </c>
      <c r="F1284" s="18">
        <v>32</v>
      </c>
      <c r="G1284" s="18">
        <v>9</v>
      </c>
      <c r="H1284" s="18" t="s">
        <v>1859</v>
      </c>
    </row>
    <row r="1285" spans="1:8">
      <c r="A1285" s="7" t="str">
        <f t="shared" si="60"/>
        <v>09</v>
      </c>
      <c r="B1285" s="7" t="str">
        <f t="shared" si="61"/>
        <v>073</v>
      </c>
      <c r="C1285" s="7" t="str">
        <f t="shared" si="62"/>
        <v>Moreno</v>
      </c>
      <c r="D1285" s="18" t="s">
        <v>4216</v>
      </c>
      <c r="E1285" s="18">
        <v>1</v>
      </c>
      <c r="F1285" s="18">
        <v>42</v>
      </c>
      <c r="G1285" s="18">
        <v>9</v>
      </c>
      <c r="H1285" s="18" t="s">
        <v>1859</v>
      </c>
    </row>
    <row r="1286" spans="1:8">
      <c r="A1286" s="7" t="str">
        <f t="shared" si="60"/>
        <v>09</v>
      </c>
      <c r="B1286" s="7" t="str">
        <f t="shared" si="61"/>
        <v>073</v>
      </c>
      <c r="C1286" s="7" t="str">
        <f t="shared" si="62"/>
        <v>Moreno</v>
      </c>
      <c r="D1286" s="18" t="s">
        <v>4217</v>
      </c>
      <c r="E1286" s="18">
        <v>1</v>
      </c>
      <c r="F1286" s="18">
        <v>16</v>
      </c>
      <c r="G1286" s="18">
        <v>9</v>
      </c>
      <c r="H1286" s="18" t="s">
        <v>1859</v>
      </c>
    </row>
    <row r="1287" spans="1:8">
      <c r="A1287" s="7" t="str">
        <f t="shared" si="60"/>
        <v>09</v>
      </c>
      <c r="B1287" s="7" t="str">
        <f t="shared" si="61"/>
        <v>073</v>
      </c>
      <c r="C1287" s="7" t="str">
        <f t="shared" si="62"/>
        <v>Moreno</v>
      </c>
      <c r="D1287" s="18" t="s">
        <v>4218</v>
      </c>
      <c r="E1287" s="18">
        <v>3</v>
      </c>
      <c r="F1287" s="18">
        <v>75</v>
      </c>
      <c r="G1287" s="18">
        <v>9</v>
      </c>
      <c r="H1287" s="18" t="s">
        <v>1859</v>
      </c>
    </row>
    <row r="1288" spans="1:8">
      <c r="A1288" s="7" t="str">
        <f t="shared" si="60"/>
        <v>09</v>
      </c>
      <c r="B1288" s="7" t="str">
        <f t="shared" si="61"/>
        <v>073</v>
      </c>
      <c r="C1288" s="7" t="str">
        <f t="shared" si="62"/>
        <v>Moreno</v>
      </c>
      <c r="D1288" s="18" t="s">
        <v>4219</v>
      </c>
      <c r="E1288" s="18">
        <v>2</v>
      </c>
      <c r="F1288" s="18">
        <v>42</v>
      </c>
      <c r="G1288" s="18">
        <v>9</v>
      </c>
      <c r="H1288" s="18" t="s">
        <v>1859</v>
      </c>
    </row>
    <row r="1289" spans="1:8">
      <c r="A1289" s="7" t="str">
        <f t="shared" si="60"/>
        <v>09</v>
      </c>
      <c r="B1289" s="7" t="str">
        <f t="shared" si="61"/>
        <v>073</v>
      </c>
      <c r="C1289" s="7" t="str">
        <f t="shared" si="62"/>
        <v>Moreno</v>
      </c>
      <c r="D1289" s="18" t="s">
        <v>4220</v>
      </c>
      <c r="E1289" s="18">
        <v>3</v>
      </c>
      <c r="F1289" s="18">
        <v>103</v>
      </c>
      <c r="G1289" s="18">
        <v>9</v>
      </c>
      <c r="H1289" s="18" t="s">
        <v>1859</v>
      </c>
    </row>
    <row r="1290" spans="1:8">
      <c r="A1290" s="7" t="str">
        <f t="shared" si="60"/>
        <v>09</v>
      </c>
      <c r="B1290" s="7" t="str">
        <f t="shared" si="61"/>
        <v>073</v>
      </c>
      <c r="C1290" s="7" t="str">
        <f t="shared" si="62"/>
        <v>Moreno</v>
      </c>
      <c r="D1290" s="18" t="s">
        <v>4221</v>
      </c>
      <c r="E1290" s="18">
        <v>1</v>
      </c>
      <c r="F1290" s="18">
        <v>31</v>
      </c>
      <c r="G1290" s="18">
        <v>9</v>
      </c>
      <c r="H1290" s="18" t="s">
        <v>1859</v>
      </c>
    </row>
    <row r="1291" spans="1:8">
      <c r="A1291" s="7" t="str">
        <f t="shared" si="60"/>
        <v>09</v>
      </c>
      <c r="B1291" s="7" t="str">
        <f t="shared" si="61"/>
        <v>073</v>
      </c>
      <c r="C1291" s="7" t="str">
        <f t="shared" si="62"/>
        <v>Moreno</v>
      </c>
      <c r="D1291" s="18" t="s">
        <v>4222</v>
      </c>
      <c r="E1291" s="18">
        <v>1</v>
      </c>
      <c r="F1291" s="18">
        <v>21</v>
      </c>
      <c r="G1291" s="18">
        <v>9</v>
      </c>
      <c r="H1291" s="18" t="s">
        <v>1859</v>
      </c>
    </row>
    <row r="1292" spans="1:8">
      <c r="A1292" s="7" t="str">
        <f t="shared" si="60"/>
        <v>09</v>
      </c>
      <c r="B1292" s="7" t="str">
        <f t="shared" si="61"/>
        <v>073</v>
      </c>
      <c r="C1292" s="7" t="str">
        <f t="shared" si="62"/>
        <v>Moreno</v>
      </c>
      <c r="D1292" s="18" t="s">
        <v>4223</v>
      </c>
      <c r="E1292" s="18">
        <v>2</v>
      </c>
      <c r="F1292" s="18">
        <v>63</v>
      </c>
      <c r="G1292" s="18">
        <v>9</v>
      </c>
      <c r="H1292" s="18" t="s">
        <v>1859</v>
      </c>
    </row>
    <row r="1293" spans="1:8">
      <c r="A1293" s="7" t="str">
        <f t="shared" si="60"/>
        <v>09</v>
      </c>
      <c r="B1293" s="7" t="str">
        <f t="shared" si="61"/>
        <v>073</v>
      </c>
      <c r="C1293" s="7" t="str">
        <f t="shared" si="62"/>
        <v>Moreno</v>
      </c>
      <c r="D1293" s="18" t="s">
        <v>4224</v>
      </c>
      <c r="E1293" s="18">
        <v>3</v>
      </c>
      <c r="F1293" s="18">
        <v>52</v>
      </c>
      <c r="G1293" s="18">
        <v>9</v>
      </c>
      <c r="H1293" s="18" t="s">
        <v>1859</v>
      </c>
    </row>
    <row r="1294" spans="1:8">
      <c r="A1294" s="7" t="str">
        <f t="shared" si="60"/>
        <v>09</v>
      </c>
      <c r="B1294" s="7" t="str">
        <f t="shared" si="61"/>
        <v>073</v>
      </c>
      <c r="C1294" s="7" t="str">
        <f t="shared" si="62"/>
        <v>Moreno</v>
      </c>
      <c r="D1294" s="18" t="s">
        <v>4225</v>
      </c>
      <c r="E1294" s="18">
        <v>1</v>
      </c>
      <c r="F1294" s="18">
        <v>31</v>
      </c>
      <c r="G1294" s="18">
        <v>9</v>
      </c>
      <c r="H1294" s="18" t="s">
        <v>1859</v>
      </c>
    </row>
    <row r="1295" spans="1:8">
      <c r="A1295" s="7" t="str">
        <f t="shared" si="60"/>
        <v>09</v>
      </c>
      <c r="B1295" s="7" t="str">
        <f t="shared" si="61"/>
        <v>073</v>
      </c>
      <c r="C1295" s="7" t="str">
        <f t="shared" si="62"/>
        <v>Moreno</v>
      </c>
      <c r="D1295" s="18" t="s">
        <v>4226</v>
      </c>
      <c r="E1295" s="18">
        <v>1</v>
      </c>
      <c r="F1295" s="18">
        <v>18</v>
      </c>
      <c r="G1295" s="18">
        <v>9</v>
      </c>
      <c r="H1295" s="18" t="s">
        <v>1859</v>
      </c>
    </row>
    <row r="1296" spans="1:8">
      <c r="A1296" s="7" t="str">
        <f t="shared" si="60"/>
        <v>09</v>
      </c>
      <c r="B1296" s="7" t="str">
        <f t="shared" si="61"/>
        <v>073</v>
      </c>
      <c r="C1296" s="7" t="str">
        <f t="shared" si="62"/>
        <v>Moreno</v>
      </c>
      <c r="D1296" s="18" t="s">
        <v>4227</v>
      </c>
      <c r="E1296" s="18">
        <v>1</v>
      </c>
      <c r="F1296" s="18">
        <v>22</v>
      </c>
      <c r="G1296" s="18">
        <v>9</v>
      </c>
      <c r="H1296" s="18" t="s">
        <v>1859</v>
      </c>
    </row>
    <row r="1297" spans="1:8">
      <c r="A1297" s="7" t="str">
        <f t="shared" si="60"/>
        <v>09</v>
      </c>
      <c r="B1297" s="7" t="str">
        <f t="shared" si="61"/>
        <v>073</v>
      </c>
      <c r="C1297" s="7" t="str">
        <f t="shared" si="62"/>
        <v>Moreno</v>
      </c>
      <c r="D1297" s="18" t="s">
        <v>4228</v>
      </c>
      <c r="E1297" s="18">
        <v>1</v>
      </c>
      <c r="F1297" s="18">
        <v>34</v>
      </c>
      <c r="G1297" s="18">
        <v>9</v>
      </c>
      <c r="H1297" s="18" t="s">
        <v>1859</v>
      </c>
    </row>
    <row r="1298" spans="1:8">
      <c r="A1298" s="7" t="str">
        <f t="shared" si="60"/>
        <v>09</v>
      </c>
      <c r="B1298" s="7" t="str">
        <f t="shared" si="61"/>
        <v>073</v>
      </c>
      <c r="C1298" s="7" t="str">
        <f t="shared" si="62"/>
        <v>Moreno</v>
      </c>
      <c r="D1298" s="18" t="s">
        <v>4229</v>
      </c>
      <c r="E1298" s="18">
        <v>1</v>
      </c>
      <c r="F1298" s="18">
        <v>29</v>
      </c>
      <c r="G1298" s="18">
        <v>9</v>
      </c>
      <c r="H1298" s="18" t="s">
        <v>1859</v>
      </c>
    </row>
    <row r="1299" spans="1:8">
      <c r="A1299" s="7" t="str">
        <f t="shared" si="60"/>
        <v>09</v>
      </c>
      <c r="B1299" s="7" t="str">
        <f t="shared" si="61"/>
        <v>073</v>
      </c>
      <c r="C1299" s="7" t="str">
        <f t="shared" si="62"/>
        <v>Moreno</v>
      </c>
      <c r="D1299" s="18" t="s">
        <v>4230</v>
      </c>
      <c r="E1299" s="18">
        <v>1</v>
      </c>
      <c r="F1299" s="18">
        <v>21</v>
      </c>
      <c r="G1299" s="18">
        <v>9</v>
      </c>
      <c r="H1299" s="18" t="s">
        <v>1859</v>
      </c>
    </row>
    <row r="1300" spans="1:8">
      <c r="A1300" s="7" t="str">
        <f t="shared" si="60"/>
        <v>09</v>
      </c>
      <c r="B1300" s="7" t="str">
        <f t="shared" si="61"/>
        <v>073</v>
      </c>
      <c r="C1300" s="7" t="str">
        <f t="shared" si="62"/>
        <v>Moreno</v>
      </c>
      <c r="D1300" s="18" t="s">
        <v>4231</v>
      </c>
      <c r="E1300" s="18">
        <v>1</v>
      </c>
      <c r="F1300" s="18">
        <v>22</v>
      </c>
      <c r="G1300" s="18">
        <v>9</v>
      </c>
      <c r="H1300" s="18" t="s">
        <v>1859</v>
      </c>
    </row>
    <row r="1301" spans="1:8">
      <c r="A1301" s="7" t="str">
        <f t="shared" si="60"/>
        <v>09</v>
      </c>
      <c r="B1301" s="7" t="str">
        <f t="shared" si="61"/>
        <v>073</v>
      </c>
      <c r="C1301" s="7" t="str">
        <f t="shared" si="62"/>
        <v>Moreno</v>
      </c>
      <c r="D1301" s="18" t="s">
        <v>4232</v>
      </c>
      <c r="E1301" s="18">
        <v>1</v>
      </c>
      <c r="F1301" s="18">
        <v>22</v>
      </c>
      <c r="G1301" s="18">
        <v>9</v>
      </c>
      <c r="H1301" s="18" t="s">
        <v>1859</v>
      </c>
    </row>
    <row r="1302" spans="1:8">
      <c r="A1302" s="7" t="str">
        <f t="shared" si="60"/>
        <v>09</v>
      </c>
      <c r="B1302" s="7" t="str">
        <f t="shared" si="61"/>
        <v>073</v>
      </c>
      <c r="C1302" s="7" t="str">
        <f t="shared" si="62"/>
        <v>Moreno</v>
      </c>
      <c r="D1302" s="18" t="s">
        <v>4233</v>
      </c>
      <c r="E1302" s="18">
        <v>4</v>
      </c>
      <c r="F1302" s="18">
        <v>144</v>
      </c>
      <c r="G1302" s="18">
        <v>9</v>
      </c>
      <c r="H1302" s="18" t="s">
        <v>1859</v>
      </c>
    </row>
    <row r="1303" spans="1:8">
      <c r="A1303" s="7" t="str">
        <f t="shared" si="60"/>
        <v>09</v>
      </c>
      <c r="B1303" s="7" t="str">
        <f t="shared" si="61"/>
        <v>073</v>
      </c>
      <c r="C1303" s="7" t="str">
        <f t="shared" si="62"/>
        <v>Moreno</v>
      </c>
      <c r="D1303" s="18" t="s">
        <v>4234</v>
      </c>
      <c r="E1303" s="18">
        <v>3</v>
      </c>
      <c r="F1303" s="18">
        <v>67</v>
      </c>
      <c r="G1303" s="18">
        <v>9</v>
      </c>
      <c r="H1303" s="18" t="s">
        <v>1859</v>
      </c>
    </row>
    <row r="1304" spans="1:8">
      <c r="A1304" s="7" t="str">
        <f t="shared" si="60"/>
        <v>09</v>
      </c>
      <c r="B1304" s="7" t="str">
        <f t="shared" si="61"/>
        <v>073</v>
      </c>
      <c r="C1304" s="7" t="str">
        <f t="shared" si="62"/>
        <v>Moreno</v>
      </c>
      <c r="D1304" s="18" t="s">
        <v>4235</v>
      </c>
      <c r="E1304" s="18">
        <v>1</v>
      </c>
      <c r="F1304" s="18">
        <v>33</v>
      </c>
      <c r="G1304" s="18">
        <v>9</v>
      </c>
      <c r="H1304" s="18" t="s">
        <v>1859</v>
      </c>
    </row>
    <row r="1305" spans="1:8">
      <c r="A1305" s="7" t="str">
        <f t="shared" si="60"/>
        <v>09</v>
      </c>
      <c r="B1305" s="7" t="str">
        <f t="shared" si="61"/>
        <v>073</v>
      </c>
      <c r="C1305" s="7" t="str">
        <f t="shared" si="62"/>
        <v>Moreno</v>
      </c>
      <c r="D1305" s="18" t="s">
        <v>4236</v>
      </c>
      <c r="E1305" s="18">
        <v>3</v>
      </c>
      <c r="F1305" s="18">
        <v>132</v>
      </c>
      <c r="G1305" s="18">
        <v>9</v>
      </c>
      <c r="H1305" s="18" t="s">
        <v>1859</v>
      </c>
    </row>
    <row r="1306" spans="1:8">
      <c r="A1306" s="7" t="str">
        <f t="shared" si="60"/>
        <v>09</v>
      </c>
      <c r="B1306" s="7" t="str">
        <f t="shared" si="61"/>
        <v>073</v>
      </c>
      <c r="C1306" s="7" t="str">
        <f t="shared" si="62"/>
        <v>Moreno</v>
      </c>
      <c r="D1306" s="18" t="s">
        <v>4237</v>
      </c>
      <c r="E1306" s="18">
        <v>3</v>
      </c>
      <c r="F1306" s="18">
        <v>95</v>
      </c>
      <c r="G1306" s="18">
        <v>9</v>
      </c>
      <c r="H1306" s="18" t="s">
        <v>1859</v>
      </c>
    </row>
    <row r="1307" spans="1:8">
      <c r="A1307" s="7" t="str">
        <f t="shared" si="60"/>
        <v>09</v>
      </c>
      <c r="B1307" s="7" t="str">
        <f t="shared" si="61"/>
        <v>073</v>
      </c>
      <c r="C1307" s="7" t="str">
        <f t="shared" si="62"/>
        <v>Moreno</v>
      </c>
      <c r="D1307" s="18" t="s">
        <v>4238</v>
      </c>
      <c r="E1307" s="18">
        <v>3</v>
      </c>
      <c r="F1307" s="18">
        <v>117</v>
      </c>
      <c r="G1307" s="18">
        <v>9</v>
      </c>
      <c r="H1307" s="18" t="s">
        <v>1859</v>
      </c>
    </row>
    <row r="1308" spans="1:8">
      <c r="A1308" s="7" t="str">
        <f t="shared" si="60"/>
        <v>09</v>
      </c>
      <c r="B1308" s="7" t="str">
        <f t="shared" si="61"/>
        <v>073</v>
      </c>
      <c r="C1308" s="7" t="str">
        <f t="shared" si="62"/>
        <v>Moreno</v>
      </c>
      <c r="D1308" s="18" t="s">
        <v>4239</v>
      </c>
      <c r="E1308" s="18">
        <v>1</v>
      </c>
      <c r="F1308" s="18">
        <v>26</v>
      </c>
      <c r="G1308" s="18">
        <v>9</v>
      </c>
      <c r="H1308" s="18" t="s">
        <v>1859</v>
      </c>
    </row>
    <row r="1309" spans="1:8">
      <c r="A1309" s="7" t="str">
        <f t="shared" si="60"/>
        <v>09</v>
      </c>
      <c r="B1309" s="7" t="str">
        <f t="shared" si="61"/>
        <v>073</v>
      </c>
      <c r="C1309" s="7" t="str">
        <f t="shared" si="62"/>
        <v>Moreno</v>
      </c>
      <c r="D1309" s="18" t="s">
        <v>4240</v>
      </c>
      <c r="E1309" s="18">
        <v>2</v>
      </c>
      <c r="F1309" s="18">
        <v>63</v>
      </c>
      <c r="G1309" s="18">
        <v>9</v>
      </c>
      <c r="H1309" s="18" t="s">
        <v>1859</v>
      </c>
    </row>
    <row r="1310" spans="1:8">
      <c r="A1310" s="7" t="str">
        <f t="shared" si="60"/>
        <v>09</v>
      </c>
      <c r="B1310" s="7" t="str">
        <f t="shared" si="61"/>
        <v>073</v>
      </c>
      <c r="C1310" s="7" t="str">
        <f t="shared" si="62"/>
        <v>Moreno</v>
      </c>
      <c r="D1310" s="18" t="s">
        <v>4241</v>
      </c>
      <c r="E1310" s="18">
        <v>2</v>
      </c>
      <c r="F1310" s="18">
        <v>67</v>
      </c>
      <c r="G1310" s="18">
        <v>9</v>
      </c>
      <c r="H1310" s="18" t="s">
        <v>1859</v>
      </c>
    </row>
    <row r="1311" spans="1:8">
      <c r="A1311" s="7" t="str">
        <f t="shared" si="60"/>
        <v>09</v>
      </c>
      <c r="B1311" s="7" t="str">
        <f t="shared" si="61"/>
        <v>073</v>
      </c>
      <c r="C1311" s="7" t="str">
        <f t="shared" si="62"/>
        <v>Moreno</v>
      </c>
      <c r="D1311" s="18" t="s">
        <v>4242</v>
      </c>
      <c r="E1311" s="18">
        <v>4</v>
      </c>
      <c r="F1311" s="18">
        <v>75</v>
      </c>
      <c r="G1311" s="18">
        <v>9</v>
      </c>
      <c r="H1311" s="18" t="s">
        <v>1859</v>
      </c>
    </row>
    <row r="1312" spans="1:8">
      <c r="A1312" s="7" t="str">
        <f t="shared" si="60"/>
        <v>09</v>
      </c>
      <c r="B1312" s="7" t="str">
        <f t="shared" si="61"/>
        <v>073</v>
      </c>
      <c r="C1312" s="7" t="str">
        <f t="shared" si="62"/>
        <v>Moreno</v>
      </c>
      <c r="D1312" s="18" t="s">
        <v>4243</v>
      </c>
      <c r="E1312" s="18">
        <v>3</v>
      </c>
      <c r="F1312" s="18">
        <v>74</v>
      </c>
      <c r="G1312" s="18">
        <v>9</v>
      </c>
      <c r="H1312" s="18" t="s">
        <v>1859</v>
      </c>
    </row>
    <row r="1313" spans="1:8">
      <c r="A1313" s="7" t="str">
        <f t="shared" si="60"/>
        <v>09</v>
      </c>
      <c r="B1313" s="7" t="str">
        <f t="shared" si="61"/>
        <v>073</v>
      </c>
      <c r="C1313" s="7" t="str">
        <f t="shared" si="62"/>
        <v>Moreno</v>
      </c>
      <c r="D1313" s="18" t="s">
        <v>4244</v>
      </c>
      <c r="E1313" s="18">
        <v>4</v>
      </c>
      <c r="F1313" s="18">
        <v>100</v>
      </c>
      <c r="G1313" s="18">
        <v>9</v>
      </c>
      <c r="H1313" s="18" t="s">
        <v>1859</v>
      </c>
    </row>
    <row r="1314" spans="1:8">
      <c r="A1314" s="7" t="str">
        <f t="shared" si="60"/>
        <v>09</v>
      </c>
      <c r="B1314" s="7" t="str">
        <f t="shared" si="61"/>
        <v>073</v>
      </c>
      <c r="C1314" s="7" t="str">
        <f t="shared" si="62"/>
        <v>Moreno</v>
      </c>
      <c r="D1314" s="18" t="s">
        <v>4245</v>
      </c>
      <c r="E1314" s="18">
        <v>4</v>
      </c>
      <c r="F1314" s="18">
        <v>112</v>
      </c>
      <c r="G1314" s="18">
        <v>9</v>
      </c>
      <c r="H1314" s="18" t="s">
        <v>1859</v>
      </c>
    </row>
    <row r="1315" spans="1:8">
      <c r="A1315" s="7" t="str">
        <f t="shared" si="60"/>
        <v>09</v>
      </c>
      <c r="B1315" s="7" t="str">
        <f t="shared" si="61"/>
        <v>073</v>
      </c>
      <c r="C1315" s="7" t="str">
        <f t="shared" si="62"/>
        <v>Moreno</v>
      </c>
      <c r="D1315" s="18" t="s">
        <v>4246</v>
      </c>
      <c r="E1315" s="18">
        <v>2</v>
      </c>
      <c r="F1315" s="18">
        <v>58</v>
      </c>
      <c r="G1315" s="18">
        <v>9</v>
      </c>
      <c r="H1315" s="18" t="s">
        <v>1859</v>
      </c>
    </row>
    <row r="1316" spans="1:8">
      <c r="A1316" s="7" t="str">
        <f t="shared" si="60"/>
        <v>09</v>
      </c>
      <c r="B1316" s="7" t="str">
        <f t="shared" si="61"/>
        <v>073</v>
      </c>
      <c r="C1316" s="7" t="str">
        <f t="shared" si="62"/>
        <v>Moreno</v>
      </c>
      <c r="D1316" s="18" t="s">
        <v>4247</v>
      </c>
      <c r="E1316" s="18">
        <v>2</v>
      </c>
      <c r="F1316" s="18">
        <v>67</v>
      </c>
      <c r="G1316" s="18">
        <v>9</v>
      </c>
      <c r="H1316" s="18" t="s">
        <v>1859</v>
      </c>
    </row>
    <row r="1317" spans="1:8">
      <c r="A1317" s="7" t="str">
        <f t="shared" si="60"/>
        <v>09</v>
      </c>
      <c r="B1317" s="7" t="str">
        <f t="shared" si="61"/>
        <v>073</v>
      </c>
      <c r="C1317" s="7" t="str">
        <f t="shared" si="62"/>
        <v>Moreno</v>
      </c>
      <c r="D1317" s="18" t="s">
        <v>4248</v>
      </c>
      <c r="E1317" s="18">
        <v>11</v>
      </c>
      <c r="F1317" s="18">
        <v>322</v>
      </c>
      <c r="G1317" s="18">
        <v>9</v>
      </c>
      <c r="H1317" s="18" t="s">
        <v>1859</v>
      </c>
    </row>
    <row r="1318" spans="1:8">
      <c r="A1318" s="7" t="str">
        <f t="shared" si="60"/>
        <v>09</v>
      </c>
      <c r="B1318" s="7" t="str">
        <f t="shared" si="61"/>
        <v>073</v>
      </c>
      <c r="C1318" s="7" t="str">
        <f t="shared" si="62"/>
        <v>Moreno</v>
      </c>
      <c r="D1318" s="18" t="s">
        <v>4249</v>
      </c>
      <c r="E1318" s="18">
        <v>1</v>
      </c>
      <c r="F1318" s="18">
        <v>20</v>
      </c>
      <c r="G1318" s="18">
        <v>9</v>
      </c>
      <c r="H1318" s="18" t="s">
        <v>1859</v>
      </c>
    </row>
    <row r="1319" spans="1:8">
      <c r="A1319" s="7" t="str">
        <f t="shared" si="60"/>
        <v>09</v>
      </c>
      <c r="B1319" s="7" t="str">
        <f t="shared" si="61"/>
        <v>073</v>
      </c>
      <c r="C1319" s="7" t="str">
        <f t="shared" si="62"/>
        <v>Moreno</v>
      </c>
      <c r="D1319" s="18" t="s">
        <v>4250</v>
      </c>
      <c r="E1319" s="18">
        <v>1</v>
      </c>
      <c r="F1319" s="18">
        <v>52</v>
      </c>
      <c r="G1319" s="18">
        <v>9</v>
      </c>
      <c r="H1319" s="18" t="s">
        <v>1859</v>
      </c>
    </row>
    <row r="1320" spans="1:8">
      <c r="A1320" s="7" t="str">
        <f t="shared" si="60"/>
        <v>09</v>
      </c>
      <c r="B1320" s="7" t="str">
        <f t="shared" si="61"/>
        <v>073</v>
      </c>
      <c r="C1320" s="7" t="str">
        <f t="shared" si="62"/>
        <v>Moreno</v>
      </c>
      <c r="D1320" s="18" t="s">
        <v>4251</v>
      </c>
      <c r="E1320" s="18">
        <v>4</v>
      </c>
      <c r="F1320" s="18">
        <v>128</v>
      </c>
      <c r="G1320" s="18">
        <v>9</v>
      </c>
      <c r="H1320" s="18" t="s">
        <v>1859</v>
      </c>
    </row>
    <row r="1321" spans="1:8">
      <c r="A1321" s="7" t="str">
        <f t="shared" si="60"/>
        <v>09</v>
      </c>
      <c r="B1321" s="7" t="str">
        <f t="shared" si="61"/>
        <v>073</v>
      </c>
      <c r="C1321" s="7" t="str">
        <f t="shared" si="62"/>
        <v>Moreno</v>
      </c>
      <c r="D1321" s="18" t="s">
        <v>4252</v>
      </c>
      <c r="E1321" s="18">
        <v>4</v>
      </c>
      <c r="F1321" s="18">
        <v>143</v>
      </c>
      <c r="G1321" s="18">
        <v>9</v>
      </c>
      <c r="H1321" s="18" t="s">
        <v>1859</v>
      </c>
    </row>
    <row r="1322" spans="1:8">
      <c r="A1322" s="7" t="str">
        <f t="shared" si="60"/>
        <v>09</v>
      </c>
      <c r="B1322" s="7" t="str">
        <f t="shared" si="61"/>
        <v>073</v>
      </c>
      <c r="C1322" s="7" t="str">
        <f t="shared" si="62"/>
        <v>Moreno</v>
      </c>
      <c r="D1322" s="18" t="s">
        <v>4253</v>
      </c>
      <c r="E1322" s="18">
        <v>2</v>
      </c>
      <c r="F1322" s="18">
        <v>56</v>
      </c>
      <c r="G1322" s="18">
        <v>9</v>
      </c>
      <c r="H1322" s="18" t="s">
        <v>1859</v>
      </c>
    </row>
    <row r="1323" spans="1:8">
      <c r="A1323" s="7" t="str">
        <f t="shared" si="60"/>
        <v>09</v>
      </c>
      <c r="B1323" s="7" t="str">
        <f t="shared" si="61"/>
        <v>073</v>
      </c>
      <c r="C1323" s="7" t="str">
        <f t="shared" si="62"/>
        <v>Moreno</v>
      </c>
      <c r="D1323" s="18" t="s">
        <v>4254</v>
      </c>
      <c r="E1323" s="18">
        <v>1</v>
      </c>
      <c r="F1323" s="18">
        <v>25</v>
      </c>
      <c r="G1323" s="18">
        <v>9</v>
      </c>
      <c r="H1323" s="18" t="s">
        <v>1859</v>
      </c>
    </row>
    <row r="1324" spans="1:8">
      <c r="A1324" s="7" t="str">
        <f t="shared" si="60"/>
        <v>09</v>
      </c>
      <c r="B1324" s="7" t="str">
        <f t="shared" si="61"/>
        <v>073</v>
      </c>
      <c r="C1324" s="7" t="str">
        <f t="shared" si="62"/>
        <v>Moreno</v>
      </c>
      <c r="D1324" s="18" t="s">
        <v>4255</v>
      </c>
      <c r="E1324" s="18">
        <v>3</v>
      </c>
      <c r="F1324" s="18">
        <v>119</v>
      </c>
      <c r="G1324" s="18">
        <v>9</v>
      </c>
      <c r="H1324" s="18" t="s">
        <v>1859</v>
      </c>
    </row>
    <row r="1325" spans="1:8">
      <c r="A1325" s="7" t="str">
        <f t="shared" si="60"/>
        <v>09</v>
      </c>
      <c r="B1325" s="7" t="str">
        <f t="shared" si="61"/>
        <v>073</v>
      </c>
      <c r="C1325" s="7" t="str">
        <f t="shared" si="62"/>
        <v>Moreno</v>
      </c>
      <c r="D1325" s="18" t="s">
        <v>4256</v>
      </c>
      <c r="E1325" s="18">
        <v>1</v>
      </c>
      <c r="F1325" s="18">
        <v>21</v>
      </c>
      <c r="G1325" s="18">
        <v>9</v>
      </c>
      <c r="H1325" s="18" t="s">
        <v>1859</v>
      </c>
    </row>
    <row r="1326" spans="1:8">
      <c r="A1326" s="7" t="str">
        <f t="shared" si="60"/>
        <v>09</v>
      </c>
      <c r="B1326" s="7" t="str">
        <f t="shared" si="61"/>
        <v>073</v>
      </c>
      <c r="C1326" s="7" t="str">
        <f t="shared" si="62"/>
        <v>Moreno</v>
      </c>
      <c r="D1326" s="18" t="s">
        <v>4257</v>
      </c>
      <c r="E1326" s="18">
        <v>2</v>
      </c>
      <c r="F1326" s="18">
        <v>62</v>
      </c>
      <c r="G1326" s="18">
        <v>9</v>
      </c>
      <c r="H1326" s="18" t="s">
        <v>1859</v>
      </c>
    </row>
    <row r="1327" spans="1:8">
      <c r="A1327" s="7" t="str">
        <f t="shared" si="60"/>
        <v>09</v>
      </c>
      <c r="B1327" s="7" t="str">
        <f t="shared" si="61"/>
        <v>073</v>
      </c>
      <c r="C1327" s="7" t="str">
        <f t="shared" si="62"/>
        <v>Moreno</v>
      </c>
      <c r="D1327" s="18" t="s">
        <v>4258</v>
      </c>
      <c r="E1327" s="18">
        <v>2</v>
      </c>
      <c r="F1327" s="18">
        <v>53</v>
      </c>
      <c r="G1327" s="18">
        <v>9</v>
      </c>
      <c r="H1327" s="18" t="s">
        <v>1859</v>
      </c>
    </row>
    <row r="1328" spans="1:8">
      <c r="A1328" s="7" t="str">
        <f t="shared" si="60"/>
        <v>09</v>
      </c>
      <c r="B1328" s="7" t="str">
        <f t="shared" si="61"/>
        <v>073</v>
      </c>
      <c r="C1328" s="7" t="str">
        <f t="shared" si="62"/>
        <v>Moreno</v>
      </c>
      <c r="D1328" s="18" t="s">
        <v>4259</v>
      </c>
      <c r="E1328" s="18">
        <v>1</v>
      </c>
      <c r="F1328" s="18">
        <v>21</v>
      </c>
      <c r="G1328" s="18">
        <v>9</v>
      </c>
      <c r="H1328" s="18" t="s">
        <v>1859</v>
      </c>
    </row>
    <row r="1329" spans="1:8">
      <c r="A1329" s="7" t="str">
        <f t="shared" si="60"/>
        <v>09</v>
      </c>
      <c r="B1329" s="7" t="str">
        <f t="shared" si="61"/>
        <v>073</v>
      </c>
      <c r="C1329" s="7" t="str">
        <f t="shared" si="62"/>
        <v>Moreno</v>
      </c>
      <c r="D1329" s="18" t="s">
        <v>4260</v>
      </c>
      <c r="E1329" s="18">
        <v>1</v>
      </c>
      <c r="F1329" s="18">
        <v>16</v>
      </c>
      <c r="G1329" s="18">
        <v>9</v>
      </c>
      <c r="H1329" s="18" t="s">
        <v>1859</v>
      </c>
    </row>
    <row r="1330" spans="1:8">
      <c r="A1330" s="7" t="str">
        <f t="shared" si="60"/>
        <v>09</v>
      </c>
      <c r="B1330" s="7" t="str">
        <f t="shared" si="61"/>
        <v>073</v>
      </c>
      <c r="C1330" s="7" t="str">
        <f t="shared" si="62"/>
        <v>Moreno</v>
      </c>
      <c r="D1330" s="18" t="s">
        <v>4261</v>
      </c>
      <c r="E1330" s="18">
        <v>2</v>
      </c>
      <c r="F1330" s="18">
        <v>61</v>
      </c>
      <c r="G1330" s="18">
        <v>9</v>
      </c>
      <c r="H1330" s="18" t="s">
        <v>1859</v>
      </c>
    </row>
    <row r="1331" spans="1:8">
      <c r="A1331" s="7" t="str">
        <f t="shared" si="60"/>
        <v>09</v>
      </c>
      <c r="B1331" s="7" t="str">
        <f t="shared" si="61"/>
        <v>073</v>
      </c>
      <c r="C1331" s="7" t="str">
        <f t="shared" si="62"/>
        <v>Moreno</v>
      </c>
      <c r="D1331" s="18" t="s">
        <v>4262</v>
      </c>
      <c r="E1331" s="18">
        <v>3</v>
      </c>
      <c r="F1331" s="18">
        <v>84</v>
      </c>
      <c r="G1331" s="18">
        <v>9</v>
      </c>
      <c r="H1331" s="18" t="s">
        <v>1859</v>
      </c>
    </row>
    <row r="1332" spans="1:8">
      <c r="A1332" s="7" t="str">
        <f t="shared" si="60"/>
        <v>09</v>
      </c>
      <c r="B1332" s="7" t="str">
        <f t="shared" si="61"/>
        <v>073</v>
      </c>
      <c r="C1332" s="7" t="str">
        <f t="shared" si="62"/>
        <v>Moreno</v>
      </c>
      <c r="D1332" s="18" t="s">
        <v>4263</v>
      </c>
      <c r="E1332" s="18">
        <v>1</v>
      </c>
      <c r="F1332" s="18">
        <v>19</v>
      </c>
      <c r="G1332" s="18">
        <v>9</v>
      </c>
      <c r="H1332" s="18" t="s">
        <v>1859</v>
      </c>
    </row>
    <row r="1333" spans="1:8">
      <c r="A1333" s="7" t="str">
        <f t="shared" si="60"/>
        <v>09</v>
      </c>
      <c r="B1333" s="7" t="str">
        <f t="shared" si="61"/>
        <v>073</v>
      </c>
      <c r="C1333" s="7" t="str">
        <f t="shared" si="62"/>
        <v>Moreno</v>
      </c>
      <c r="D1333" s="18" t="s">
        <v>4264</v>
      </c>
      <c r="E1333" s="18">
        <v>1</v>
      </c>
      <c r="F1333" s="18">
        <v>24</v>
      </c>
      <c r="G1333" s="18">
        <v>9</v>
      </c>
      <c r="H1333" s="18" t="s">
        <v>1859</v>
      </c>
    </row>
    <row r="1334" spans="1:8">
      <c r="A1334" s="7" t="str">
        <f t="shared" si="60"/>
        <v>09</v>
      </c>
      <c r="B1334" s="7" t="str">
        <f t="shared" si="61"/>
        <v>073</v>
      </c>
      <c r="C1334" s="7" t="str">
        <f t="shared" si="62"/>
        <v>Moreno</v>
      </c>
      <c r="D1334" s="18" t="s">
        <v>4265</v>
      </c>
      <c r="E1334" s="18">
        <v>1</v>
      </c>
      <c r="F1334" s="18">
        <v>23</v>
      </c>
      <c r="G1334" s="18">
        <v>9</v>
      </c>
      <c r="H1334" s="18" t="s">
        <v>1859</v>
      </c>
    </row>
    <row r="1335" spans="1:8">
      <c r="A1335" s="7" t="str">
        <f t="shared" si="60"/>
        <v>09</v>
      </c>
      <c r="B1335" s="7" t="str">
        <f t="shared" si="61"/>
        <v>073</v>
      </c>
      <c r="C1335" s="7" t="str">
        <f t="shared" si="62"/>
        <v>Moreno</v>
      </c>
      <c r="D1335" s="18" t="s">
        <v>4266</v>
      </c>
      <c r="E1335" s="18">
        <v>1</v>
      </c>
      <c r="F1335" s="18">
        <v>36</v>
      </c>
      <c r="G1335" s="18">
        <v>9</v>
      </c>
      <c r="H1335" s="18" t="s">
        <v>1859</v>
      </c>
    </row>
    <row r="1336" spans="1:8">
      <c r="A1336" s="7" t="str">
        <f t="shared" si="60"/>
        <v>09</v>
      </c>
      <c r="B1336" s="7" t="str">
        <f t="shared" si="61"/>
        <v>131</v>
      </c>
      <c r="C1336" s="7" t="str">
        <f t="shared" si="62"/>
        <v>San Miguel</v>
      </c>
      <c r="D1336" s="18" t="s">
        <v>3130</v>
      </c>
      <c r="E1336" s="18">
        <v>1</v>
      </c>
      <c r="F1336" s="18">
        <v>29</v>
      </c>
      <c r="G1336" s="18">
        <v>9</v>
      </c>
      <c r="H1336" s="18" t="s">
        <v>2791</v>
      </c>
    </row>
    <row r="1337" spans="1:8">
      <c r="A1337" s="7" t="str">
        <f t="shared" si="60"/>
        <v>09</v>
      </c>
      <c r="B1337" s="7" t="str">
        <f t="shared" si="61"/>
        <v>131</v>
      </c>
      <c r="C1337" s="7" t="str">
        <f t="shared" si="62"/>
        <v>San Miguel</v>
      </c>
      <c r="D1337" s="18" t="s">
        <v>4267</v>
      </c>
      <c r="E1337" s="18">
        <v>2</v>
      </c>
      <c r="F1337" s="18">
        <v>58</v>
      </c>
      <c r="G1337" s="18">
        <v>9</v>
      </c>
      <c r="H1337" s="18" t="s">
        <v>2791</v>
      </c>
    </row>
    <row r="1338" spans="1:8">
      <c r="A1338" s="7" t="str">
        <f t="shared" si="60"/>
        <v>09</v>
      </c>
      <c r="B1338" s="7" t="str">
        <f t="shared" si="61"/>
        <v>131</v>
      </c>
      <c r="C1338" s="7" t="str">
        <f t="shared" si="62"/>
        <v>San Miguel</v>
      </c>
      <c r="D1338" s="18" t="s">
        <v>4268</v>
      </c>
      <c r="E1338" s="18">
        <v>1</v>
      </c>
      <c r="F1338" s="18">
        <v>17</v>
      </c>
      <c r="G1338" s="18">
        <v>9</v>
      </c>
      <c r="H1338" s="18" t="s">
        <v>2791</v>
      </c>
    </row>
    <row r="1339" spans="1:8">
      <c r="A1339" s="7" t="str">
        <f t="shared" si="60"/>
        <v>09</v>
      </c>
      <c r="B1339" s="7" t="str">
        <f t="shared" si="61"/>
        <v>131</v>
      </c>
      <c r="C1339" s="7" t="str">
        <f t="shared" si="62"/>
        <v>San Miguel</v>
      </c>
      <c r="D1339" s="18" t="s">
        <v>4269</v>
      </c>
      <c r="E1339" s="18">
        <v>4</v>
      </c>
      <c r="F1339" s="18">
        <v>108</v>
      </c>
      <c r="G1339" s="18">
        <v>9</v>
      </c>
      <c r="H1339" s="18" t="s">
        <v>2791</v>
      </c>
    </row>
    <row r="1340" spans="1:8">
      <c r="A1340" s="7" t="str">
        <f t="shared" si="60"/>
        <v>09</v>
      </c>
      <c r="B1340" s="7" t="str">
        <f t="shared" si="61"/>
        <v>131</v>
      </c>
      <c r="C1340" s="7" t="str">
        <f t="shared" si="62"/>
        <v>San Miguel</v>
      </c>
      <c r="D1340" s="18" t="s">
        <v>3461</v>
      </c>
      <c r="E1340" s="18">
        <v>2</v>
      </c>
      <c r="F1340" s="18">
        <v>23</v>
      </c>
      <c r="G1340" s="18">
        <v>9</v>
      </c>
      <c r="H1340" s="18" t="s">
        <v>2791</v>
      </c>
    </row>
    <row r="1341" spans="1:8">
      <c r="A1341" s="7" t="str">
        <f t="shared" si="60"/>
        <v>09</v>
      </c>
      <c r="B1341" s="7" t="str">
        <f t="shared" si="61"/>
        <v>131</v>
      </c>
      <c r="C1341" s="7" t="str">
        <f t="shared" si="62"/>
        <v>San Miguel</v>
      </c>
      <c r="D1341" s="18" t="s">
        <v>4270</v>
      </c>
      <c r="E1341" s="18">
        <v>1</v>
      </c>
      <c r="F1341" s="18">
        <v>17</v>
      </c>
      <c r="G1341" s="18">
        <v>9</v>
      </c>
      <c r="H1341" s="18" t="s">
        <v>2791</v>
      </c>
    </row>
    <row r="1342" spans="1:8">
      <c r="A1342" s="7" t="str">
        <f t="shared" si="60"/>
        <v>09</v>
      </c>
      <c r="B1342" s="7" t="str">
        <f t="shared" si="61"/>
        <v>131</v>
      </c>
      <c r="C1342" s="7" t="str">
        <f t="shared" si="62"/>
        <v>San Miguel</v>
      </c>
      <c r="D1342" s="18" t="s">
        <v>4271</v>
      </c>
      <c r="E1342" s="18">
        <v>2</v>
      </c>
      <c r="F1342" s="18">
        <v>39</v>
      </c>
      <c r="G1342" s="18">
        <v>9</v>
      </c>
      <c r="H1342" s="18" t="s">
        <v>2791</v>
      </c>
    </row>
    <row r="1343" spans="1:8">
      <c r="A1343" s="7" t="str">
        <f t="shared" si="60"/>
        <v>09</v>
      </c>
      <c r="B1343" s="7" t="str">
        <f t="shared" si="61"/>
        <v>131</v>
      </c>
      <c r="C1343" s="7" t="str">
        <f t="shared" si="62"/>
        <v>San Miguel</v>
      </c>
      <c r="D1343" s="18" t="s">
        <v>4272</v>
      </c>
      <c r="E1343" s="18">
        <v>1</v>
      </c>
      <c r="F1343" s="18">
        <v>15</v>
      </c>
      <c r="G1343" s="18">
        <v>9</v>
      </c>
      <c r="H1343" s="18" t="s">
        <v>2791</v>
      </c>
    </row>
    <row r="1344" spans="1:8">
      <c r="A1344" s="7" t="str">
        <f t="shared" si="60"/>
        <v>09</v>
      </c>
      <c r="B1344" s="7" t="str">
        <f t="shared" si="61"/>
        <v>131</v>
      </c>
      <c r="C1344" s="7" t="str">
        <f t="shared" si="62"/>
        <v>San Miguel</v>
      </c>
      <c r="D1344" s="18" t="s">
        <v>4273</v>
      </c>
      <c r="E1344" s="18">
        <v>1</v>
      </c>
      <c r="F1344" s="18">
        <v>31</v>
      </c>
      <c r="G1344" s="18">
        <v>9</v>
      </c>
      <c r="H1344" s="18" t="s">
        <v>2791</v>
      </c>
    </row>
    <row r="1345" spans="1:8">
      <c r="A1345" s="7" t="str">
        <f t="shared" si="60"/>
        <v>09</v>
      </c>
      <c r="B1345" s="7" t="str">
        <f t="shared" si="61"/>
        <v>131</v>
      </c>
      <c r="C1345" s="7" t="str">
        <f t="shared" si="62"/>
        <v>San Miguel</v>
      </c>
      <c r="D1345" s="18" t="s">
        <v>4274</v>
      </c>
      <c r="E1345" s="18">
        <v>2</v>
      </c>
      <c r="F1345" s="18">
        <v>37</v>
      </c>
      <c r="G1345" s="18">
        <v>9</v>
      </c>
      <c r="H1345" s="18" t="s">
        <v>2791</v>
      </c>
    </row>
    <row r="1346" spans="1:8">
      <c r="A1346" s="7" t="str">
        <f t="shared" si="60"/>
        <v>09</v>
      </c>
      <c r="B1346" s="7" t="str">
        <f t="shared" si="61"/>
        <v>131</v>
      </c>
      <c r="C1346" s="7" t="str">
        <f t="shared" si="62"/>
        <v>San Miguel</v>
      </c>
      <c r="D1346" s="18" t="s">
        <v>4275</v>
      </c>
      <c r="E1346" s="18">
        <v>5</v>
      </c>
      <c r="F1346" s="18">
        <v>137</v>
      </c>
      <c r="G1346" s="18">
        <v>9</v>
      </c>
      <c r="H1346" s="18" t="s">
        <v>2791</v>
      </c>
    </row>
    <row r="1347" spans="1:8">
      <c r="A1347" s="7" t="str">
        <f t="shared" ref="A1347:A1410" si="63">+VLOOKUP(H1347,$K:$N,2,FALSE)</f>
        <v>09</v>
      </c>
      <c r="B1347" s="7" t="str">
        <f t="shared" ref="B1347:B1410" si="64">+VLOOKUP(H1347,$K:$N,3,FALSE)</f>
        <v>131</v>
      </c>
      <c r="C1347" s="7" t="str">
        <f t="shared" ref="C1347:C1410" si="65">+VLOOKUP(H1347,$K:$N,4,FALSE)</f>
        <v>San Miguel</v>
      </c>
      <c r="D1347" s="18" t="s">
        <v>4276</v>
      </c>
      <c r="E1347" s="18">
        <v>1</v>
      </c>
      <c r="F1347" s="18">
        <v>14</v>
      </c>
      <c r="G1347" s="18">
        <v>9</v>
      </c>
      <c r="H1347" s="18" t="s">
        <v>2791</v>
      </c>
    </row>
    <row r="1348" spans="1:8">
      <c r="A1348" s="7" t="str">
        <f t="shared" si="63"/>
        <v>09</v>
      </c>
      <c r="B1348" s="7" t="str">
        <f t="shared" si="64"/>
        <v>131</v>
      </c>
      <c r="C1348" s="7" t="str">
        <f t="shared" si="65"/>
        <v>San Miguel</v>
      </c>
      <c r="D1348" s="18" t="s">
        <v>4277</v>
      </c>
      <c r="E1348" s="18">
        <v>1</v>
      </c>
      <c r="F1348" s="18">
        <v>16</v>
      </c>
      <c r="G1348" s="18">
        <v>9</v>
      </c>
      <c r="H1348" s="18" t="s">
        <v>2791</v>
      </c>
    </row>
    <row r="1349" spans="1:8">
      <c r="A1349" s="7" t="str">
        <f t="shared" si="63"/>
        <v>09</v>
      </c>
      <c r="B1349" s="7" t="str">
        <f t="shared" si="64"/>
        <v>131</v>
      </c>
      <c r="C1349" s="7" t="str">
        <f t="shared" si="65"/>
        <v>San Miguel</v>
      </c>
      <c r="D1349" s="18" t="s">
        <v>4278</v>
      </c>
      <c r="E1349" s="18">
        <v>3</v>
      </c>
      <c r="F1349" s="18">
        <v>89</v>
      </c>
      <c r="G1349" s="18">
        <v>9</v>
      </c>
      <c r="H1349" s="18" t="s">
        <v>2791</v>
      </c>
    </row>
    <row r="1350" spans="1:8">
      <c r="A1350" s="7" t="str">
        <f t="shared" si="63"/>
        <v>10</v>
      </c>
      <c r="B1350" s="7" t="str">
        <f t="shared" si="64"/>
        <v>016</v>
      </c>
      <c r="C1350" s="7" t="str">
        <f t="shared" si="65"/>
        <v>Cañuelas</v>
      </c>
      <c r="D1350" s="18" t="s">
        <v>4279</v>
      </c>
      <c r="E1350" s="18">
        <v>1</v>
      </c>
      <c r="F1350" s="18">
        <v>18</v>
      </c>
      <c r="G1350" s="18">
        <v>10</v>
      </c>
      <c r="H1350" s="18" t="s">
        <v>645</v>
      </c>
    </row>
    <row r="1351" spans="1:8">
      <c r="A1351" s="7" t="str">
        <f t="shared" si="63"/>
        <v>10</v>
      </c>
      <c r="B1351" s="7" t="str">
        <f t="shared" si="64"/>
        <v>016</v>
      </c>
      <c r="C1351" s="7" t="str">
        <f t="shared" si="65"/>
        <v>Cañuelas</v>
      </c>
      <c r="D1351" s="18" t="s">
        <v>4280</v>
      </c>
      <c r="E1351" s="18">
        <v>2</v>
      </c>
      <c r="F1351" s="18">
        <v>40</v>
      </c>
      <c r="G1351" s="18">
        <v>10</v>
      </c>
      <c r="H1351" s="18" t="s">
        <v>645</v>
      </c>
    </row>
    <row r="1352" spans="1:8">
      <c r="A1352" s="7" t="str">
        <f t="shared" si="63"/>
        <v>10</v>
      </c>
      <c r="B1352" s="7" t="str">
        <f t="shared" si="64"/>
        <v>016</v>
      </c>
      <c r="C1352" s="7" t="str">
        <f t="shared" si="65"/>
        <v>Cañuelas</v>
      </c>
      <c r="D1352" s="18" t="s">
        <v>4281</v>
      </c>
      <c r="E1352" s="18">
        <v>1</v>
      </c>
      <c r="F1352" s="18">
        <v>19</v>
      </c>
      <c r="G1352" s="18">
        <v>10</v>
      </c>
      <c r="H1352" s="18" t="s">
        <v>645</v>
      </c>
    </row>
    <row r="1353" spans="1:8">
      <c r="A1353" s="7" t="str">
        <f t="shared" si="63"/>
        <v>10</v>
      </c>
      <c r="B1353" s="7" t="str">
        <f t="shared" si="64"/>
        <v>016</v>
      </c>
      <c r="C1353" s="7" t="str">
        <f t="shared" si="65"/>
        <v>Cañuelas</v>
      </c>
      <c r="D1353" s="18" t="s">
        <v>4282</v>
      </c>
      <c r="E1353" s="18">
        <v>2</v>
      </c>
      <c r="F1353" s="18">
        <v>50</v>
      </c>
      <c r="G1353" s="18">
        <v>10</v>
      </c>
      <c r="H1353" s="18" t="s">
        <v>645</v>
      </c>
    </row>
    <row r="1354" spans="1:8">
      <c r="A1354" s="7" t="str">
        <f t="shared" si="63"/>
        <v>10</v>
      </c>
      <c r="B1354" s="7" t="str">
        <f t="shared" si="64"/>
        <v>016</v>
      </c>
      <c r="C1354" s="7" t="str">
        <f t="shared" si="65"/>
        <v>Cañuelas</v>
      </c>
      <c r="D1354" s="18" t="s">
        <v>4283</v>
      </c>
      <c r="E1354" s="18">
        <v>2</v>
      </c>
      <c r="F1354" s="18">
        <v>39</v>
      </c>
      <c r="G1354" s="18">
        <v>10</v>
      </c>
      <c r="H1354" s="18" t="s">
        <v>645</v>
      </c>
    </row>
    <row r="1355" spans="1:8">
      <c r="A1355" s="7" t="str">
        <f t="shared" si="63"/>
        <v>10</v>
      </c>
      <c r="B1355" s="7" t="str">
        <f t="shared" si="64"/>
        <v>016</v>
      </c>
      <c r="C1355" s="7" t="str">
        <f t="shared" si="65"/>
        <v>Cañuelas</v>
      </c>
      <c r="D1355" s="18" t="s">
        <v>4284</v>
      </c>
      <c r="E1355" s="18">
        <v>1</v>
      </c>
      <c r="F1355" s="18">
        <v>16</v>
      </c>
      <c r="G1355" s="18">
        <v>10</v>
      </c>
      <c r="H1355" s="18" t="s">
        <v>645</v>
      </c>
    </row>
    <row r="1356" spans="1:8">
      <c r="A1356" s="7" t="str">
        <f t="shared" si="63"/>
        <v>10</v>
      </c>
      <c r="B1356" s="7" t="str">
        <f t="shared" si="64"/>
        <v>016</v>
      </c>
      <c r="C1356" s="7" t="str">
        <f t="shared" si="65"/>
        <v>Cañuelas</v>
      </c>
      <c r="D1356" s="18" t="s">
        <v>4285</v>
      </c>
      <c r="E1356" s="18">
        <v>3</v>
      </c>
      <c r="F1356" s="18">
        <v>87</v>
      </c>
      <c r="G1356" s="18">
        <v>10</v>
      </c>
      <c r="H1356" s="18" t="s">
        <v>645</v>
      </c>
    </row>
    <row r="1357" spans="1:8">
      <c r="A1357" s="7" t="str">
        <f t="shared" si="63"/>
        <v>10</v>
      </c>
      <c r="B1357" s="7" t="str">
        <f t="shared" si="64"/>
        <v>016</v>
      </c>
      <c r="C1357" s="7" t="str">
        <f t="shared" si="65"/>
        <v>Cañuelas</v>
      </c>
      <c r="D1357" s="18" t="s">
        <v>4286</v>
      </c>
      <c r="E1357" s="18">
        <v>3</v>
      </c>
      <c r="F1357" s="18">
        <v>44</v>
      </c>
      <c r="G1357" s="18">
        <v>10</v>
      </c>
      <c r="H1357" s="18" t="s">
        <v>645</v>
      </c>
    </row>
    <row r="1358" spans="1:8">
      <c r="A1358" s="7" t="str">
        <f t="shared" si="63"/>
        <v>10</v>
      </c>
      <c r="B1358" s="7" t="str">
        <f t="shared" si="64"/>
        <v>016</v>
      </c>
      <c r="C1358" s="7" t="str">
        <f t="shared" si="65"/>
        <v>Cañuelas</v>
      </c>
      <c r="D1358" s="18" t="s">
        <v>4287</v>
      </c>
      <c r="E1358" s="18">
        <v>1</v>
      </c>
      <c r="F1358" s="18">
        <v>15</v>
      </c>
      <c r="G1358" s="18">
        <v>10</v>
      </c>
      <c r="H1358" s="18" t="s">
        <v>645</v>
      </c>
    </row>
    <row r="1359" spans="1:8">
      <c r="A1359" s="7" t="str">
        <f t="shared" si="63"/>
        <v>10</v>
      </c>
      <c r="B1359" s="7" t="str">
        <f t="shared" si="64"/>
        <v>016</v>
      </c>
      <c r="C1359" s="7" t="str">
        <f t="shared" si="65"/>
        <v>Cañuelas</v>
      </c>
      <c r="D1359" s="18" t="s">
        <v>4288</v>
      </c>
      <c r="E1359" s="18">
        <v>1</v>
      </c>
      <c r="F1359" s="18">
        <v>22</v>
      </c>
      <c r="G1359" s="18">
        <v>10</v>
      </c>
      <c r="H1359" s="18" t="s">
        <v>645</v>
      </c>
    </row>
    <row r="1360" spans="1:8">
      <c r="A1360" s="7" t="str">
        <f t="shared" si="63"/>
        <v>10</v>
      </c>
      <c r="B1360" s="7" t="str">
        <f t="shared" si="64"/>
        <v>016</v>
      </c>
      <c r="C1360" s="7" t="str">
        <f t="shared" si="65"/>
        <v>Cañuelas</v>
      </c>
      <c r="D1360" s="18" t="s">
        <v>4289</v>
      </c>
      <c r="E1360" s="18">
        <v>2</v>
      </c>
      <c r="F1360" s="18">
        <v>14</v>
      </c>
      <c r="G1360" s="18">
        <v>10</v>
      </c>
      <c r="H1360" s="18" t="s">
        <v>645</v>
      </c>
    </row>
    <row r="1361" spans="1:8">
      <c r="A1361" s="7" t="str">
        <f t="shared" si="63"/>
        <v>10</v>
      </c>
      <c r="B1361" s="7" t="str">
        <f t="shared" si="64"/>
        <v>016</v>
      </c>
      <c r="C1361" s="7" t="str">
        <f t="shared" si="65"/>
        <v>Cañuelas</v>
      </c>
      <c r="D1361" s="18" t="s">
        <v>4290</v>
      </c>
      <c r="E1361" s="18">
        <v>1</v>
      </c>
      <c r="F1361" s="18">
        <v>19</v>
      </c>
      <c r="G1361" s="18">
        <v>10</v>
      </c>
      <c r="H1361" s="18" t="s">
        <v>645</v>
      </c>
    </row>
    <row r="1362" spans="1:8">
      <c r="A1362" s="7" t="str">
        <f t="shared" si="63"/>
        <v>10</v>
      </c>
      <c r="B1362" s="7" t="str">
        <f t="shared" si="64"/>
        <v>016</v>
      </c>
      <c r="C1362" s="7" t="str">
        <f t="shared" si="65"/>
        <v>Cañuelas</v>
      </c>
      <c r="D1362" s="18" t="s">
        <v>4291</v>
      </c>
      <c r="E1362" s="18">
        <v>1</v>
      </c>
      <c r="F1362" s="18">
        <v>18</v>
      </c>
      <c r="G1362" s="18">
        <v>10</v>
      </c>
      <c r="H1362" s="18" t="s">
        <v>645</v>
      </c>
    </row>
    <row r="1363" spans="1:8">
      <c r="A1363" s="7" t="str">
        <f t="shared" si="63"/>
        <v>10</v>
      </c>
      <c r="B1363" s="7" t="str">
        <f t="shared" si="64"/>
        <v>016</v>
      </c>
      <c r="C1363" s="7" t="str">
        <f t="shared" si="65"/>
        <v>Cañuelas</v>
      </c>
      <c r="D1363" s="18" t="s">
        <v>4292</v>
      </c>
      <c r="E1363" s="18">
        <v>1</v>
      </c>
      <c r="F1363" s="18">
        <v>6</v>
      </c>
      <c r="G1363" s="18">
        <v>10</v>
      </c>
      <c r="H1363" s="18" t="s">
        <v>645</v>
      </c>
    </row>
    <row r="1364" spans="1:8">
      <c r="A1364" s="7" t="str">
        <f t="shared" si="63"/>
        <v>10</v>
      </c>
      <c r="B1364" s="7" t="str">
        <f t="shared" si="64"/>
        <v>016</v>
      </c>
      <c r="C1364" s="7" t="str">
        <f t="shared" si="65"/>
        <v>Cañuelas</v>
      </c>
      <c r="D1364" s="18" t="s">
        <v>4293</v>
      </c>
      <c r="E1364" s="18">
        <v>1</v>
      </c>
      <c r="F1364" s="18">
        <v>31</v>
      </c>
      <c r="G1364" s="18">
        <v>10</v>
      </c>
      <c r="H1364" s="18" t="s">
        <v>645</v>
      </c>
    </row>
    <row r="1365" spans="1:8">
      <c r="A1365" s="7" t="str">
        <f t="shared" si="63"/>
        <v>10</v>
      </c>
      <c r="B1365" s="7" t="str">
        <f t="shared" si="64"/>
        <v>016</v>
      </c>
      <c r="C1365" s="7" t="str">
        <f t="shared" si="65"/>
        <v>Cañuelas</v>
      </c>
      <c r="D1365" s="18" t="s">
        <v>4294</v>
      </c>
      <c r="E1365" s="18">
        <v>1</v>
      </c>
      <c r="F1365" s="18">
        <v>18</v>
      </c>
      <c r="G1365" s="18">
        <v>10</v>
      </c>
      <c r="H1365" s="18" t="s">
        <v>645</v>
      </c>
    </row>
    <row r="1366" spans="1:8">
      <c r="A1366" s="7" t="str">
        <f t="shared" si="63"/>
        <v>10</v>
      </c>
      <c r="B1366" s="7" t="str">
        <f t="shared" si="64"/>
        <v>016</v>
      </c>
      <c r="C1366" s="7" t="str">
        <f t="shared" si="65"/>
        <v>Cañuelas</v>
      </c>
      <c r="D1366" s="18" t="s">
        <v>4295</v>
      </c>
      <c r="E1366" s="18">
        <v>1</v>
      </c>
      <c r="F1366" s="18">
        <v>17</v>
      </c>
      <c r="G1366" s="18">
        <v>10</v>
      </c>
      <c r="H1366" s="18" t="s">
        <v>645</v>
      </c>
    </row>
    <row r="1367" spans="1:8">
      <c r="A1367" s="7" t="str">
        <f t="shared" si="63"/>
        <v>10</v>
      </c>
      <c r="B1367" s="7" t="str">
        <f t="shared" si="64"/>
        <v>016</v>
      </c>
      <c r="C1367" s="7" t="str">
        <f t="shared" si="65"/>
        <v>Cañuelas</v>
      </c>
      <c r="D1367" s="18" t="s">
        <v>3926</v>
      </c>
      <c r="E1367" s="18">
        <v>1</v>
      </c>
      <c r="F1367" s="18">
        <v>24</v>
      </c>
      <c r="G1367" s="18">
        <v>10</v>
      </c>
      <c r="H1367" s="18" t="s">
        <v>645</v>
      </c>
    </row>
    <row r="1368" spans="1:8">
      <c r="A1368" s="7" t="str">
        <f t="shared" si="63"/>
        <v>10</v>
      </c>
      <c r="B1368" s="7" t="str">
        <f t="shared" si="64"/>
        <v>016</v>
      </c>
      <c r="C1368" s="7" t="str">
        <f t="shared" si="65"/>
        <v>Cañuelas</v>
      </c>
      <c r="D1368" s="18" t="s">
        <v>4296</v>
      </c>
      <c r="E1368" s="18">
        <v>1</v>
      </c>
      <c r="F1368" s="18">
        <v>26</v>
      </c>
      <c r="G1368" s="18">
        <v>10</v>
      </c>
      <c r="H1368" s="18" t="s">
        <v>645</v>
      </c>
    </row>
    <row r="1369" spans="1:8">
      <c r="A1369" s="7" t="str">
        <f t="shared" si="63"/>
        <v>10</v>
      </c>
      <c r="B1369" s="7" t="str">
        <f t="shared" si="64"/>
        <v>057</v>
      </c>
      <c r="C1369" s="7" t="str">
        <f t="shared" si="65"/>
        <v>General Las Heras</v>
      </c>
      <c r="D1369" s="18" t="s">
        <v>4297</v>
      </c>
      <c r="E1369" s="18">
        <v>1</v>
      </c>
      <c r="F1369" s="18">
        <v>10</v>
      </c>
      <c r="G1369" s="18">
        <v>10</v>
      </c>
      <c r="H1369" s="18" t="s">
        <v>1322</v>
      </c>
    </row>
    <row r="1370" spans="1:8">
      <c r="A1370" s="7" t="str">
        <f t="shared" si="63"/>
        <v>10</v>
      </c>
      <c r="B1370" s="7" t="str">
        <f t="shared" si="64"/>
        <v>057</v>
      </c>
      <c r="C1370" s="7" t="str">
        <f t="shared" si="65"/>
        <v>General Las Heras</v>
      </c>
      <c r="D1370" s="18" t="s">
        <v>4298</v>
      </c>
      <c r="E1370" s="18">
        <v>1</v>
      </c>
      <c r="F1370" s="18">
        <v>9</v>
      </c>
      <c r="G1370" s="18">
        <v>10</v>
      </c>
      <c r="H1370" s="18" t="s">
        <v>1322</v>
      </c>
    </row>
    <row r="1371" spans="1:8">
      <c r="A1371" s="7" t="str">
        <f t="shared" si="63"/>
        <v>10</v>
      </c>
      <c r="B1371" s="7" t="str">
        <f t="shared" si="64"/>
        <v>057</v>
      </c>
      <c r="C1371" s="7" t="str">
        <f t="shared" si="65"/>
        <v>General Las Heras</v>
      </c>
      <c r="D1371" s="18" t="s">
        <v>4299</v>
      </c>
      <c r="E1371" s="18">
        <v>1</v>
      </c>
      <c r="F1371" s="18">
        <v>1</v>
      </c>
      <c r="G1371" s="18">
        <v>10</v>
      </c>
      <c r="H1371" s="18" t="s">
        <v>1322</v>
      </c>
    </row>
    <row r="1372" spans="1:8">
      <c r="A1372" s="7" t="str">
        <f t="shared" si="63"/>
        <v>10</v>
      </c>
      <c r="B1372" s="7" t="str">
        <f t="shared" si="64"/>
        <v>057</v>
      </c>
      <c r="C1372" s="7" t="str">
        <f t="shared" si="65"/>
        <v>General Las Heras</v>
      </c>
      <c r="D1372" s="18" t="s">
        <v>4300</v>
      </c>
      <c r="E1372" s="18">
        <v>2</v>
      </c>
      <c r="F1372" s="18">
        <v>26</v>
      </c>
      <c r="G1372" s="18">
        <v>10</v>
      </c>
      <c r="H1372" s="18" t="s">
        <v>1322</v>
      </c>
    </row>
    <row r="1373" spans="1:8">
      <c r="A1373" s="7" t="str">
        <f t="shared" si="63"/>
        <v>10</v>
      </c>
      <c r="B1373" s="7" t="str">
        <f t="shared" si="64"/>
        <v>057</v>
      </c>
      <c r="C1373" s="7" t="str">
        <f t="shared" si="65"/>
        <v>General Las Heras</v>
      </c>
      <c r="D1373" s="18" t="s">
        <v>4301</v>
      </c>
      <c r="E1373" s="18">
        <v>1</v>
      </c>
      <c r="F1373" s="18">
        <v>8</v>
      </c>
      <c r="G1373" s="18">
        <v>10</v>
      </c>
      <c r="H1373" s="18" t="s">
        <v>1322</v>
      </c>
    </row>
    <row r="1374" spans="1:8">
      <c r="A1374" s="7" t="str">
        <f t="shared" si="63"/>
        <v>10</v>
      </c>
      <c r="B1374" s="7" t="str">
        <f t="shared" si="64"/>
        <v>057</v>
      </c>
      <c r="C1374" s="7" t="str">
        <f t="shared" si="65"/>
        <v>General Las Heras</v>
      </c>
      <c r="D1374" s="18" t="s">
        <v>4302</v>
      </c>
      <c r="E1374" s="18">
        <v>1</v>
      </c>
      <c r="F1374" s="18">
        <v>8</v>
      </c>
      <c r="G1374" s="18">
        <v>10</v>
      </c>
      <c r="H1374" s="18" t="s">
        <v>1322</v>
      </c>
    </row>
    <row r="1375" spans="1:8">
      <c r="A1375" s="7" t="str">
        <f t="shared" si="63"/>
        <v>10</v>
      </c>
      <c r="B1375" s="7" t="str">
        <f t="shared" si="64"/>
        <v>057</v>
      </c>
      <c r="C1375" s="7" t="str">
        <f t="shared" si="65"/>
        <v>General Las Heras</v>
      </c>
      <c r="D1375" s="18" t="s">
        <v>4303</v>
      </c>
      <c r="E1375" s="18">
        <v>1</v>
      </c>
      <c r="F1375" s="18">
        <v>12</v>
      </c>
      <c r="G1375" s="18">
        <v>10</v>
      </c>
      <c r="H1375" s="18" t="s">
        <v>1322</v>
      </c>
    </row>
    <row r="1376" spans="1:8">
      <c r="A1376" s="7" t="str">
        <f t="shared" si="63"/>
        <v>10</v>
      </c>
      <c r="B1376" s="7" t="str">
        <f t="shared" si="64"/>
        <v>057</v>
      </c>
      <c r="C1376" s="7" t="str">
        <f t="shared" si="65"/>
        <v>General Las Heras</v>
      </c>
      <c r="D1376" s="18" t="s">
        <v>4304</v>
      </c>
      <c r="E1376" s="18">
        <v>1</v>
      </c>
      <c r="F1376" s="18">
        <v>9</v>
      </c>
      <c r="G1376" s="18">
        <v>10</v>
      </c>
      <c r="H1376" s="18" t="s">
        <v>1322</v>
      </c>
    </row>
    <row r="1377" spans="1:8">
      <c r="A1377" s="7" t="str">
        <f t="shared" si="63"/>
        <v>10</v>
      </c>
      <c r="B1377" s="7" t="str">
        <f t="shared" si="64"/>
        <v>057</v>
      </c>
      <c r="C1377" s="7" t="str">
        <f t="shared" si="65"/>
        <v>General Las Heras</v>
      </c>
      <c r="D1377" s="18" t="s">
        <v>4305</v>
      </c>
      <c r="E1377" s="18">
        <v>3</v>
      </c>
      <c r="F1377" s="18">
        <v>38</v>
      </c>
      <c r="G1377" s="18">
        <v>10</v>
      </c>
      <c r="H1377" s="18" t="s">
        <v>1322</v>
      </c>
    </row>
    <row r="1378" spans="1:8">
      <c r="A1378" s="7" t="str">
        <f t="shared" si="63"/>
        <v>10</v>
      </c>
      <c r="B1378" s="7" t="str">
        <f t="shared" si="64"/>
        <v>057</v>
      </c>
      <c r="C1378" s="7" t="str">
        <f t="shared" si="65"/>
        <v>General Las Heras</v>
      </c>
      <c r="D1378" s="18" t="s">
        <v>4306</v>
      </c>
      <c r="E1378" s="18">
        <v>2</v>
      </c>
      <c r="F1378" s="18">
        <v>31</v>
      </c>
      <c r="G1378" s="18">
        <v>10</v>
      </c>
      <c r="H1378" s="18" t="s">
        <v>1322</v>
      </c>
    </row>
    <row r="1379" spans="1:8">
      <c r="A1379" s="7" t="str">
        <f t="shared" si="63"/>
        <v>10</v>
      </c>
      <c r="B1379" s="7" t="str">
        <f t="shared" si="64"/>
        <v>044</v>
      </c>
      <c r="C1379" s="7" t="str">
        <f t="shared" si="65"/>
        <v>General Rodríguez</v>
      </c>
      <c r="D1379" s="18" t="s">
        <v>4308</v>
      </c>
      <c r="E1379" s="18">
        <v>4</v>
      </c>
      <c r="F1379" s="18">
        <v>64</v>
      </c>
      <c r="G1379" s="18">
        <v>10</v>
      </c>
      <c r="H1379" s="18" t="s">
        <v>4307</v>
      </c>
    </row>
    <row r="1380" spans="1:8">
      <c r="A1380" s="7" t="str">
        <f t="shared" si="63"/>
        <v>10</v>
      </c>
      <c r="B1380" s="7" t="str">
        <f t="shared" si="64"/>
        <v>044</v>
      </c>
      <c r="C1380" s="7" t="str">
        <f t="shared" si="65"/>
        <v>General Rodríguez</v>
      </c>
      <c r="D1380" s="18" t="s">
        <v>4309</v>
      </c>
      <c r="E1380" s="18">
        <v>1</v>
      </c>
      <c r="F1380" s="18">
        <v>14</v>
      </c>
      <c r="G1380" s="18">
        <v>10</v>
      </c>
      <c r="H1380" s="18" t="s">
        <v>4307</v>
      </c>
    </row>
    <row r="1381" spans="1:8">
      <c r="A1381" s="7" t="str">
        <f t="shared" si="63"/>
        <v>10</v>
      </c>
      <c r="B1381" s="7" t="str">
        <f t="shared" si="64"/>
        <v>044</v>
      </c>
      <c r="C1381" s="7" t="str">
        <f t="shared" si="65"/>
        <v>General Rodríguez</v>
      </c>
      <c r="D1381" s="18" t="s">
        <v>4310</v>
      </c>
      <c r="E1381" s="18">
        <v>1</v>
      </c>
      <c r="F1381" s="18">
        <v>14</v>
      </c>
      <c r="G1381" s="18">
        <v>10</v>
      </c>
      <c r="H1381" s="18" t="s">
        <v>4307</v>
      </c>
    </row>
    <row r="1382" spans="1:8">
      <c r="A1382" s="7" t="str">
        <f t="shared" si="63"/>
        <v>10</v>
      </c>
      <c r="B1382" s="7" t="str">
        <f t="shared" si="64"/>
        <v>044</v>
      </c>
      <c r="C1382" s="7" t="str">
        <f t="shared" si="65"/>
        <v>General Rodríguez</v>
      </c>
      <c r="D1382" s="18" t="s">
        <v>4311</v>
      </c>
      <c r="E1382" s="18">
        <v>1</v>
      </c>
      <c r="F1382" s="18">
        <v>13</v>
      </c>
      <c r="G1382" s="18">
        <v>10</v>
      </c>
      <c r="H1382" s="18" t="s">
        <v>4307</v>
      </c>
    </row>
    <row r="1383" spans="1:8">
      <c r="A1383" s="7" t="str">
        <f t="shared" si="63"/>
        <v>10</v>
      </c>
      <c r="B1383" s="7" t="str">
        <f t="shared" si="64"/>
        <v>044</v>
      </c>
      <c r="C1383" s="7" t="str">
        <f t="shared" si="65"/>
        <v>General Rodríguez</v>
      </c>
      <c r="D1383" s="18" t="s">
        <v>4312</v>
      </c>
      <c r="E1383" s="18">
        <v>1</v>
      </c>
      <c r="F1383" s="18">
        <v>20</v>
      </c>
      <c r="G1383" s="18">
        <v>10</v>
      </c>
      <c r="H1383" s="18" t="s">
        <v>4307</v>
      </c>
    </row>
    <row r="1384" spans="1:8">
      <c r="A1384" s="7" t="str">
        <f t="shared" si="63"/>
        <v>10</v>
      </c>
      <c r="B1384" s="7" t="str">
        <f t="shared" si="64"/>
        <v>044</v>
      </c>
      <c r="C1384" s="7" t="str">
        <f t="shared" si="65"/>
        <v>General Rodríguez</v>
      </c>
      <c r="D1384" s="18" t="s">
        <v>4313</v>
      </c>
      <c r="E1384" s="18">
        <v>1</v>
      </c>
      <c r="F1384" s="18">
        <v>15</v>
      </c>
      <c r="G1384" s="18">
        <v>10</v>
      </c>
      <c r="H1384" s="18" t="s">
        <v>4307</v>
      </c>
    </row>
    <row r="1385" spans="1:8">
      <c r="A1385" s="7" t="str">
        <f t="shared" si="63"/>
        <v>10</v>
      </c>
      <c r="B1385" s="7" t="str">
        <f t="shared" si="64"/>
        <v>044</v>
      </c>
      <c r="C1385" s="7" t="str">
        <f t="shared" si="65"/>
        <v>General Rodríguez</v>
      </c>
      <c r="D1385" s="18" t="s">
        <v>4314</v>
      </c>
      <c r="E1385" s="18">
        <v>2</v>
      </c>
      <c r="F1385" s="18">
        <v>50</v>
      </c>
      <c r="G1385" s="18">
        <v>10</v>
      </c>
      <c r="H1385" s="18" t="s">
        <v>4307</v>
      </c>
    </row>
    <row r="1386" spans="1:8">
      <c r="A1386" s="7" t="str">
        <f t="shared" si="63"/>
        <v>10</v>
      </c>
      <c r="B1386" s="7" t="str">
        <f t="shared" si="64"/>
        <v>044</v>
      </c>
      <c r="C1386" s="7" t="str">
        <f t="shared" si="65"/>
        <v>General Rodríguez</v>
      </c>
      <c r="D1386" s="18" t="s">
        <v>4315</v>
      </c>
      <c r="E1386" s="18">
        <v>1</v>
      </c>
      <c r="F1386" s="18">
        <v>18</v>
      </c>
      <c r="G1386" s="18">
        <v>10</v>
      </c>
      <c r="H1386" s="18" t="s">
        <v>4307</v>
      </c>
    </row>
    <row r="1387" spans="1:8">
      <c r="A1387" s="7" t="str">
        <f t="shared" si="63"/>
        <v>10</v>
      </c>
      <c r="B1387" s="7" t="str">
        <f t="shared" si="64"/>
        <v>044</v>
      </c>
      <c r="C1387" s="7" t="str">
        <f t="shared" si="65"/>
        <v>General Rodríguez</v>
      </c>
      <c r="D1387" s="18" t="s">
        <v>4316</v>
      </c>
      <c r="E1387" s="18">
        <v>1</v>
      </c>
      <c r="F1387" s="18">
        <v>25</v>
      </c>
      <c r="G1387" s="18">
        <v>10</v>
      </c>
      <c r="H1387" s="18" t="s">
        <v>4307</v>
      </c>
    </row>
    <row r="1388" spans="1:8">
      <c r="A1388" s="7" t="str">
        <f t="shared" si="63"/>
        <v>10</v>
      </c>
      <c r="B1388" s="7" t="str">
        <f t="shared" si="64"/>
        <v>044</v>
      </c>
      <c r="C1388" s="7" t="str">
        <f t="shared" si="65"/>
        <v>General Rodríguez</v>
      </c>
      <c r="D1388" s="18" t="s">
        <v>4317</v>
      </c>
      <c r="E1388" s="18">
        <v>2</v>
      </c>
      <c r="F1388" s="18">
        <v>10</v>
      </c>
      <c r="G1388" s="18">
        <v>10</v>
      </c>
      <c r="H1388" s="18" t="s">
        <v>4307</v>
      </c>
    </row>
    <row r="1389" spans="1:8">
      <c r="A1389" s="7" t="str">
        <f t="shared" si="63"/>
        <v>10</v>
      </c>
      <c r="B1389" s="7" t="str">
        <f t="shared" si="64"/>
        <v>044</v>
      </c>
      <c r="C1389" s="7" t="str">
        <f t="shared" si="65"/>
        <v>General Rodríguez</v>
      </c>
      <c r="D1389" s="18" t="s">
        <v>4318</v>
      </c>
      <c r="E1389" s="18">
        <v>1</v>
      </c>
      <c r="F1389" s="18">
        <v>11</v>
      </c>
      <c r="G1389" s="18">
        <v>10</v>
      </c>
      <c r="H1389" s="18" t="s">
        <v>4307</v>
      </c>
    </row>
    <row r="1390" spans="1:8">
      <c r="A1390" s="7" t="str">
        <f t="shared" si="63"/>
        <v>10</v>
      </c>
      <c r="B1390" s="7" t="str">
        <f t="shared" si="64"/>
        <v>044</v>
      </c>
      <c r="C1390" s="7" t="str">
        <f t="shared" si="65"/>
        <v>General Rodríguez</v>
      </c>
      <c r="D1390" s="18" t="s">
        <v>3624</v>
      </c>
      <c r="E1390" s="18">
        <v>3</v>
      </c>
      <c r="F1390" s="18">
        <v>107</v>
      </c>
      <c r="G1390" s="18">
        <v>10</v>
      </c>
      <c r="H1390" s="18" t="s">
        <v>4307</v>
      </c>
    </row>
    <row r="1391" spans="1:8">
      <c r="A1391" s="7" t="str">
        <f t="shared" si="63"/>
        <v>10</v>
      </c>
      <c r="B1391" s="7" t="str">
        <f t="shared" si="64"/>
        <v>044</v>
      </c>
      <c r="C1391" s="7" t="str">
        <f t="shared" si="65"/>
        <v>General Rodríguez</v>
      </c>
      <c r="D1391" s="18" t="s">
        <v>4319</v>
      </c>
      <c r="E1391" s="18">
        <v>1</v>
      </c>
      <c r="F1391" s="18">
        <v>28</v>
      </c>
      <c r="G1391" s="18">
        <v>10</v>
      </c>
      <c r="H1391" s="18" t="s">
        <v>4307</v>
      </c>
    </row>
    <row r="1392" spans="1:8">
      <c r="A1392" s="7" t="str">
        <f t="shared" si="63"/>
        <v>10</v>
      </c>
      <c r="B1392" s="7" t="str">
        <f t="shared" si="64"/>
        <v>044</v>
      </c>
      <c r="C1392" s="7" t="str">
        <f t="shared" si="65"/>
        <v>General Rodríguez</v>
      </c>
      <c r="D1392" s="18" t="s">
        <v>4320</v>
      </c>
      <c r="E1392" s="18">
        <v>1</v>
      </c>
      <c r="F1392" s="18">
        <v>17</v>
      </c>
      <c r="G1392" s="18">
        <v>10</v>
      </c>
      <c r="H1392" s="18" t="s">
        <v>4307</v>
      </c>
    </row>
    <row r="1393" spans="1:8">
      <c r="A1393" s="7" t="str">
        <f t="shared" si="63"/>
        <v>10</v>
      </c>
      <c r="B1393" s="7" t="str">
        <f t="shared" si="64"/>
        <v>044</v>
      </c>
      <c r="C1393" s="7" t="str">
        <f t="shared" si="65"/>
        <v>General Rodríguez</v>
      </c>
      <c r="D1393" s="18" t="s">
        <v>3162</v>
      </c>
      <c r="E1393" s="18">
        <v>1</v>
      </c>
      <c r="F1393" s="18">
        <v>21</v>
      </c>
      <c r="G1393" s="18">
        <v>10</v>
      </c>
      <c r="H1393" s="18" t="s">
        <v>4307</v>
      </c>
    </row>
    <row r="1394" spans="1:8">
      <c r="A1394" s="7" t="str">
        <f t="shared" si="63"/>
        <v>10</v>
      </c>
      <c r="B1394" s="7" t="str">
        <f t="shared" si="64"/>
        <v>044</v>
      </c>
      <c r="C1394" s="7" t="str">
        <f t="shared" si="65"/>
        <v>General Rodríguez</v>
      </c>
      <c r="D1394" s="18" t="s">
        <v>4321</v>
      </c>
      <c r="E1394" s="18">
        <v>2</v>
      </c>
      <c r="F1394" s="18">
        <v>38</v>
      </c>
      <c r="G1394" s="18">
        <v>10</v>
      </c>
      <c r="H1394" s="18" t="s">
        <v>4307</v>
      </c>
    </row>
    <row r="1395" spans="1:8">
      <c r="A1395" s="7" t="str">
        <f t="shared" si="63"/>
        <v>10</v>
      </c>
      <c r="B1395" s="7" t="str">
        <f t="shared" si="64"/>
        <v>044</v>
      </c>
      <c r="C1395" s="7" t="str">
        <f t="shared" si="65"/>
        <v>General Rodríguez</v>
      </c>
      <c r="D1395" s="18" t="s">
        <v>4322</v>
      </c>
      <c r="E1395" s="18">
        <v>1</v>
      </c>
      <c r="F1395" s="18">
        <v>12</v>
      </c>
      <c r="G1395" s="18">
        <v>10</v>
      </c>
      <c r="H1395" s="18" t="s">
        <v>4307</v>
      </c>
    </row>
    <row r="1396" spans="1:8">
      <c r="A1396" s="7" t="str">
        <f t="shared" si="63"/>
        <v>10</v>
      </c>
      <c r="B1396" s="7" t="str">
        <f t="shared" si="64"/>
        <v>044</v>
      </c>
      <c r="C1396" s="7" t="str">
        <f t="shared" si="65"/>
        <v>General Rodríguez</v>
      </c>
      <c r="D1396" s="18" t="s">
        <v>4323</v>
      </c>
      <c r="E1396" s="18">
        <v>1</v>
      </c>
      <c r="F1396" s="18">
        <v>18</v>
      </c>
      <c r="G1396" s="18">
        <v>10</v>
      </c>
      <c r="H1396" s="18" t="s">
        <v>4307</v>
      </c>
    </row>
    <row r="1397" spans="1:8">
      <c r="A1397" s="7" t="str">
        <f t="shared" si="63"/>
        <v>10</v>
      </c>
      <c r="B1397" s="7" t="str">
        <f t="shared" si="64"/>
        <v>044</v>
      </c>
      <c r="C1397" s="7" t="str">
        <f t="shared" si="65"/>
        <v>General Rodríguez</v>
      </c>
      <c r="D1397" s="18" t="s">
        <v>4324</v>
      </c>
      <c r="E1397" s="18">
        <v>1</v>
      </c>
      <c r="F1397" s="18">
        <v>14</v>
      </c>
      <c r="G1397" s="18">
        <v>10</v>
      </c>
      <c r="H1397" s="18" t="s">
        <v>4307</v>
      </c>
    </row>
    <row r="1398" spans="1:8">
      <c r="A1398" s="7" t="str">
        <f t="shared" si="63"/>
        <v>10</v>
      </c>
      <c r="B1398" s="7" t="str">
        <f t="shared" si="64"/>
        <v>044</v>
      </c>
      <c r="C1398" s="7" t="str">
        <f t="shared" si="65"/>
        <v>General Rodríguez</v>
      </c>
      <c r="D1398" s="18" t="s">
        <v>4325</v>
      </c>
      <c r="E1398" s="18">
        <v>1</v>
      </c>
      <c r="F1398" s="18">
        <v>20</v>
      </c>
      <c r="G1398" s="18">
        <v>10</v>
      </c>
      <c r="H1398" s="18" t="s">
        <v>4307</v>
      </c>
    </row>
    <row r="1399" spans="1:8">
      <c r="A1399" s="7" t="str">
        <f t="shared" si="63"/>
        <v>10</v>
      </c>
      <c r="B1399" s="7" t="str">
        <f t="shared" si="64"/>
        <v>044</v>
      </c>
      <c r="C1399" s="7" t="str">
        <f t="shared" si="65"/>
        <v>General Rodríguez</v>
      </c>
      <c r="D1399" s="18" t="s">
        <v>4326</v>
      </c>
      <c r="E1399" s="18">
        <v>1</v>
      </c>
      <c r="F1399" s="18">
        <v>26</v>
      </c>
      <c r="G1399" s="18">
        <v>10</v>
      </c>
      <c r="H1399" s="18" t="s">
        <v>4307</v>
      </c>
    </row>
    <row r="1400" spans="1:8">
      <c r="A1400" s="7" t="str">
        <f t="shared" si="63"/>
        <v>10</v>
      </c>
      <c r="B1400" s="7" t="str">
        <f t="shared" si="64"/>
        <v>044</v>
      </c>
      <c r="C1400" s="7" t="str">
        <f t="shared" si="65"/>
        <v>General Rodríguez</v>
      </c>
      <c r="D1400" s="18" t="s">
        <v>4327</v>
      </c>
      <c r="E1400" s="18">
        <v>2</v>
      </c>
      <c r="F1400" s="18">
        <v>65</v>
      </c>
      <c r="G1400" s="18">
        <v>10</v>
      </c>
      <c r="H1400" s="18" t="s">
        <v>4307</v>
      </c>
    </row>
    <row r="1401" spans="1:8">
      <c r="A1401" s="7" t="str">
        <f t="shared" si="63"/>
        <v>10</v>
      </c>
      <c r="B1401" s="7" t="str">
        <f t="shared" si="64"/>
        <v>044</v>
      </c>
      <c r="C1401" s="7" t="str">
        <f t="shared" si="65"/>
        <v>General Rodríguez</v>
      </c>
      <c r="D1401" s="18" t="s">
        <v>4328</v>
      </c>
      <c r="E1401" s="18">
        <v>2</v>
      </c>
      <c r="F1401" s="18">
        <v>57</v>
      </c>
      <c r="G1401" s="18">
        <v>10</v>
      </c>
      <c r="H1401" s="18" t="s">
        <v>4307</v>
      </c>
    </row>
    <row r="1402" spans="1:8">
      <c r="A1402" s="7" t="str">
        <f t="shared" si="63"/>
        <v>10</v>
      </c>
      <c r="B1402" s="7" t="str">
        <f t="shared" si="64"/>
        <v>044</v>
      </c>
      <c r="C1402" s="7" t="str">
        <f t="shared" si="65"/>
        <v>General Rodríguez</v>
      </c>
      <c r="D1402" s="18" t="s">
        <v>4329</v>
      </c>
      <c r="E1402" s="18">
        <v>1</v>
      </c>
      <c r="F1402" s="18">
        <v>20</v>
      </c>
      <c r="G1402" s="18">
        <v>10</v>
      </c>
      <c r="H1402" s="18" t="s">
        <v>4307</v>
      </c>
    </row>
    <row r="1403" spans="1:8">
      <c r="A1403" s="7" t="str">
        <f t="shared" si="63"/>
        <v>10</v>
      </c>
      <c r="B1403" s="7" t="str">
        <f t="shared" si="64"/>
        <v>044</v>
      </c>
      <c r="C1403" s="7" t="str">
        <f t="shared" si="65"/>
        <v>General Rodríguez</v>
      </c>
      <c r="D1403" s="18" t="s">
        <v>4330</v>
      </c>
      <c r="E1403" s="18">
        <v>1</v>
      </c>
      <c r="F1403" s="18">
        <v>18</v>
      </c>
      <c r="G1403" s="18">
        <v>10</v>
      </c>
      <c r="H1403" s="18" t="s">
        <v>4307</v>
      </c>
    </row>
    <row r="1404" spans="1:8">
      <c r="A1404" s="7" t="str">
        <f t="shared" si="63"/>
        <v>10</v>
      </c>
      <c r="B1404" s="7" t="str">
        <f t="shared" si="64"/>
        <v>044</v>
      </c>
      <c r="C1404" s="7" t="str">
        <f t="shared" si="65"/>
        <v>General Rodríguez</v>
      </c>
      <c r="D1404" s="18" t="s">
        <v>4331</v>
      </c>
      <c r="E1404" s="18">
        <v>2</v>
      </c>
      <c r="F1404" s="18">
        <v>53</v>
      </c>
      <c r="G1404" s="18">
        <v>10</v>
      </c>
      <c r="H1404" s="18" t="s">
        <v>4307</v>
      </c>
    </row>
    <row r="1405" spans="1:8">
      <c r="A1405" s="7" t="str">
        <f t="shared" si="63"/>
        <v>10</v>
      </c>
      <c r="B1405" s="7" t="str">
        <f t="shared" si="64"/>
        <v>044</v>
      </c>
      <c r="C1405" s="7" t="str">
        <f t="shared" si="65"/>
        <v>General Rodríguez</v>
      </c>
      <c r="D1405" s="18" t="s">
        <v>4332</v>
      </c>
      <c r="E1405" s="18">
        <v>2</v>
      </c>
      <c r="F1405" s="18">
        <v>24</v>
      </c>
      <c r="G1405" s="18">
        <v>10</v>
      </c>
      <c r="H1405" s="18" t="s">
        <v>4307</v>
      </c>
    </row>
    <row r="1406" spans="1:8">
      <c r="A1406" s="7" t="str">
        <f t="shared" si="63"/>
        <v>10</v>
      </c>
      <c r="B1406" s="7" t="str">
        <f t="shared" si="64"/>
        <v>063</v>
      </c>
      <c r="C1406" s="7" t="str">
        <f t="shared" si="65"/>
        <v>Luján</v>
      </c>
      <c r="D1406" s="18" t="s">
        <v>4333</v>
      </c>
      <c r="E1406" s="18">
        <v>1</v>
      </c>
      <c r="F1406" s="18">
        <v>8</v>
      </c>
      <c r="G1406" s="18">
        <v>10</v>
      </c>
      <c r="H1406" s="18" t="s">
        <v>1468</v>
      </c>
    </row>
    <row r="1407" spans="1:8">
      <c r="A1407" s="7" t="str">
        <f t="shared" si="63"/>
        <v>10</v>
      </c>
      <c r="B1407" s="7" t="str">
        <f t="shared" si="64"/>
        <v>063</v>
      </c>
      <c r="C1407" s="7" t="str">
        <f t="shared" si="65"/>
        <v>Luján</v>
      </c>
      <c r="D1407" s="18" t="s">
        <v>4334</v>
      </c>
      <c r="E1407" s="18">
        <v>1</v>
      </c>
      <c r="F1407" s="18">
        <v>28</v>
      </c>
      <c r="G1407" s="18">
        <v>10</v>
      </c>
      <c r="H1407" s="18" t="s">
        <v>1468</v>
      </c>
    </row>
    <row r="1408" spans="1:8">
      <c r="A1408" s="7" t="str">
        <f t="shared" si="63"/>
        <v>10</v>
      </c>
      <c r="B1408" s="7" t="str">
        <f t="shared" si="64"/>
        <v>063</v>
      </c>
      <c r="C1408" s="7" t="str">
        <f t="shared" si="65"/>
        <v>Luján</v>
      </c>
      <c r="D1408" s="18" t="s">
        <v>4335</v>
      </c>
      <c r="E1408" s="18">
        <v>1</v>
      </c>
      <c r="F1408" s="18">
        <v>14</v>
      </c>
      <c r="G1408" s="18">
        <v>10</v>
      </c>
      <c r="H1408" s="18" t="s">
        <v>1468</v>
      </c>
    </row>
    <row r="1409" spans="1:8">
      <c r="A1409" s="7" t="str">
        <f t="shared" si="63"/>
        <v>10</v>
      </c>
      <c r="B1409" s="7" t="str">
        <f t="shared" si="64"/>
        <v>063</v>
      </c>
      <c r="C1409" s="7" t="str">
        <f t="shared" si="65"/>
        <v>Luján</v>
      </c>
      <c r="D1409" s="18" t="s">
        <v>4336</v>
      </c>
      <c r="E1409" s="18">
        <v>3</v>
      </c>
      <c r="F1409" s="18">
        <v>43</v>
      </c>
      <c r="G1409" s="18">
        <v>10</v>
      </c>
      <c r="H1409" s="18" t="s">
        <v>1468</v>
      </c>
    </row>
    <row r="1410" spans="1:8">
      <c r="A1410" s="7" t="str">
        <f t="shared" si="63"/>
        <v>10</v>
      </c>
      <c r="B1410" s="7" t="str">
        <f t="shared" si="64"/>
        <v>063</v>
      </c>
      <c r="C1410" s="7" t="str">
        <f t="shared" si="65"/>
        <v>Luján</v>
      </c>
      <c r="D1410" s="18" t="s">
        <v>4337</v>
      </c>
      <c r="E1410" s="18">
        <v>2</v>
      </c>
      <c r="F1410" s="18">
        <v>36</v>
      </c>
      <c r="G1410" s="18">
        <v>10</v>
      </c>
      <c r="H1410" s="18" t="s">
        <v>1468</v>
      </c>
    </row>
    <row r="1411" spans="1:8">
      <c r="A1411" s="7" t="str">
        <f t="shared" ref="A1411:A1474" si="66">+VLOOKUP(H1411,$K:$N,2,FALSE)</f>
        <v>10</v>
      </c>
      <c r="B1411" s="7" t="str">
        <f t="shared" ref="B1411:B1474" si="67">+VLOOKUP(H1411,$K:$N,3,FALSE)</f>
        <v>063</v>
      </c>
      <c r="C1411" s="7" t="str">
        <f t="shared" ref="C1411:C1474" si="68">+VLOOKUP(H1411,$K:$N,4,FALSE)</f>
        <v>Luján</v>
      </c>
      <c r="D1411" s="18" t="s">
        <v>4338</v>
      </c>
      <c r="E1411" s="18">
        <v>1</v>
      </c>
      <c r="F1411" s="18">
        <v>0</v>
      </c>
      <c r="G1411" s="18">
        <v>10</v>
      </c>
      <c r="H1411" s="18" t="s">
        <v>1468</v>
      </c>
    </row>
    <row r="1412" spans="1:8">
      <c r="A1412" s="7" t="str">
        <f t="shared" si="66"/>
        <v>10</v>
      </c>
      <c r="B1412" s="7" t="str">
        <f t="shared" si="67"/>
        <v>063</v>
      </c>
      <c r="C1412" s="7" t="str">
        <f t="shared" si="68"/>
        <v>Luján</v>
      </c>
      <c r="D1412" s="18" t="s">
        <v>4339</v>
      </c>
      <c r="E1412" s="18">
        <v>1</v>
      </c>
      <c r="F1412" s="18">
        <v>7</v>
      </c>
      <c r="G1412" s="18">
        <v>10</v>
      </c>
      <c r="H1412" s="18" t="s">
        <v>1468</v>
      </c>
    </row>
    <row r="1413" spans="1:8">
      <c r="A1413" s="7" t="str">
        <f t="shared" si="66"/>
        <v>10</v>
      </c>
      <c r="B1413" s="7" t="str">
        <f t="shared" si="67"/>
        <v>063</v>
      </c>
      <c r="C1413" s="7" t="str">
        <f t="shared" si="68"/>
        <v>Luján</v>
      </c>
      <c r="D1413" s="18" t="s">
        <v>4340</v>
      </c>
      <c r="E1413" s="18">
        <v>1</v>
      </c>
      <c r="F1413" s="18">
        <v>16</v>
      </c>
      <c r="G1413" s="18">
        <v>10</v>
      </c>
      <c r="H1413" s="18" t="s">
        <v>1468</v>
      </c>
    </row>
    <row r="1414" spans="1:8">
      <c r="A1414" s="7" t="str">
        <f t="shared" si="66"/>
        <v>10</v>
      </c>
      <c r="B1414" s="7" t="str">
        <f t="shared" si="67"/>
        <v>063</v>
      </c>
      <c r="C1414" s="7" t="str">
        <f t="shared" si="68"/>
        <v>Luján</v>
      </c>
      <c r="D1414" s="18" t="s">
        <v>4341</v>
      </c>
      <c r="E1414" s="18">
        <v>1</v>
      </c>
      <c r="F1414" s="18">
        <v>7</v>
      </c>
      <c r="G1414" s="18">
        <v>10</v>
      </c>
      <c r="H1414" s="18" t="s">
        <v>1468</v>
      </c>
    </row>
    <row r="1415" spans="1:8">
      <c r="A1415" s="7" t="str">
        <f t="shared" si="66"/>
        <v>10</v>
      </c>
      <c r="B1415" s="7" t="str">
        <f t="shared" si="67"/>
        <v>063</v>
      </c>
      <c r="C1415" s="7" t="str">
        <f t="shared" si="68"/>
        <v>Luján</v>
      </c>
      <c r="D1415" s="18" t="s">
        <v>4342</v>
      </c>
      <c r="E1415" s="18">
        <v>1</v>
      </c>
      <c r="F1415" s="18">
        <v>0</v>
      </c>
      <c r="G1415" s="18">
        <v>10</v>
      </c>
      <c r="H1415" s="18" t="s">
        <v>1468</v>
      </c>
    </row>
    <row r="1416" spans="1:8">
      <c r="A1416" s="7" t="str">
        <f t="shared" si="66"/>
        <v>10</v>
      </c>
      <c r="B1416" s="7" t="str">
        <f t="shared" si="67"/>
        <v>063</v>
      </c>
      <c r="C1416" s="7" t="str">
        <f t="shared" si="68"/>
        <v>Luján</v>
      </c>
      <c r="D1416" s="18" t="s">
        <v>4343</v>
      </c>
      <c r="E1416" s="18">
        <v>1</v>
      </c>
      <c r="F1416" s="18">
        <v>14</v>
      </c>
      <c r="G1416" s="18">
        <v>10</v>
      </c>
      <c r="H1416" s="18" t="s">
        <v>1468</v>
      </c>
    </row>
    <row r="1417" spans="1:8">
      <c r="A1417" s="7" t="str">
        <f t="shared" si="66"/>
        <v>10</v>
      </c>
      <c r="B1417" s="7" t="str">
        <f t="shared" si="67"/>
        <v>063</v>
      </c>
      <c r="C1417" s="7" t="str">
        <f t="shared" si="68"/>
        <v>Luján</v>
      </c>
      <c r="D1417" s="18" t="s">
        <v>4344</v>
      </c>
      <c r="E1417" s="18">
        <v>1</v>
      </c>
      <c r="F1417" s="18">
        <v>18</v>
      </c>
      <c r="G1417" s="18">
        <v>10</v>
      </c>
      <c r="H1417" s="18" t="s">
        <v>1468</v>
      </c>
    </row>
    <row r="1418" spans="1:8">
      <c r="A1418" s="7" t="str">
        <f t="shared" si="66"/>
        <v>10</v>
      </c>
      <c r="B1418" s="7" t="str">
        <f t="shared" si="67"/>
        <v>063</v>
      </c>
      <c r="C1418" s="7" t="str">
        <f t="shared" si="68"/>
        <v>Luján</v>
      </c>
      <c r="D1418" s="18" t="s">
        <v>4345</v>
      </c>
      <c r="E1418" s="18">
        <v>2</v>
      </c>
      <c r="F1418" s="18">
        <v>53</v>
      </c>
      <c r="G1418" s="18">
        <v>10</v>
      </c>
      <c r="H1418" s="18" t="s">
        <v>1468</v>
      </c>
    </row>
    <row r="1419" spans="1:8">
      <c r="A1419" s="7" t="str">
        <f t="shared" si="66"/>
        <v>10</v>
      </c>
      <c r="B1419" s="7" t="str">
        <f t="shared" si="67"/>
        <v>063</v>
      </c>
      <c r="C1419" s="7" t="str">
        <f t="shared" si="68"/>
        <v>Luján</v>
      </c>
      <c r="D1419" s="18" t="s">
        <v>4346</v>
      </c>
      <c r="E1419" s="18">
        <v>1</v>
      </c>
      <c r="F1419" s="18">
        <v>9</v>
      </c>
      <c r="G1419" s="18">
        <v>10</v>
      </c>
      <c r="H1419" s="18" t="s">
        <v>1468</v>
      </c>
    </row>
    <row r="1420" spans="1:8">
      <c r="A1420" s="7" t="str">
        <f t="shared" si="66"/>
        <v>10</v>
      </c>
      <c r="B1420" s="7" t="str">
        <f t="shared" si="67"/>
        <v>063</v>
      </c>
      <c r="C1420" s="7" t="str">
        <f t="shared" si="68"/>
        <v>Luján</v>
      </c>
      <c r="D1420" s="18" t="s">
        <v>4347</v>
      </c>
      <c r="E1420" s="18">
        <v>1</v>
      </c>
      <c r="F1420" s="18">
        <v>22</v>
      </c>
      <c r="G1420" s="18">
        <v>10</v>
      </c>
      <c r="H1420" s="18" t="s">
        <v>1468</v>
      </c>
    </row>
    <row r="1421" spans="1:8">
      <c r="A1421" s="7" t="str">
        <f t="shared" si="66"/>
        <v>10</v>
      </c>
      <c r="B1421" s="7" t="str">
        <f t="shared" si="67"/>
        <v>063</v>
      </c>
      <c r="C1421" s="7" t="str">
        <f t="shared" si="68"/>
        <v>Luján</v>
      </c>
      <c r="D1421" s="18" t="s">
        <v>4348</v>
      </c>
      <c r="E1421" s="18">
        <v>1</v>
      </c>
      <c r="F1421" s="18">
        <v>10</v>
      </c>
      <c r="G1421" s="18">
        <v>10</v>
      </c>
      <c r="H1421" s="18" t="s">
        <v>1468</v>
      </c>
    </row>
    <row r="1422" spans="1:8">
      <c r="A1422" s="7" t="str">
        <f t="shared" si="66"/>
        <v>10</v>
      </c>
      <c r="B1422" s="7" t="str">
        <f t="shared" si="67"/>
        <v>063</v>
      </c>
      <c r="C1422" s="7" t="str">
        <f t="shared" si="68"/>
        <v>Luján</v>
      </c>
      <c r="D1422" s="18" t="s">
        <v>4349</v>
      </c>
      <c r="E1422" s="18">
        <v>1</v>
      </c>
      <c r="F1422" s="18">
        <v>24</v>
      </c>
      <c r="G1422" s="18">
        <v>10</v>
      </c>
      <c r="H1422" s="18" t="s">
        <v>1468</v>
      </c>
    </row>
    <row r="1423" spans="1:8">
      <c r="A1423" s="7" t="str">
        <f t="shared" si="66"/>
        <v>10</v>
      </c>
      <c r="B1423" s="7" t="str">
        <f t="shared" si="67"/>
        <v>063</v>
      </c>
      <c r="C1423" s="7" t="str">
        <f t="shared" si="68"/>
        <v>Luján</v>
      </c>
      <c r="D1423" s="18" t="s">
        <v>4350</v>
      </c>
      <c r="E1423" s="18">
        <v>3</v>
      </c>
      <c r="F1423" s="18">
        <v>64</v>
      </c>
      <c r="G1423" s="18">
        <v>10</v>
      </c>
      <c r="H1423" s="18" t="s">
        <v>1468</v>
      </c>
    </row>
    <row r="1424" spans="1:8">
      <c r="A1424" s="7" t="str">
        <f t="shared" si="66"/>
        <v>10</v>
      </c>
      <c r="B1424" s="7" t="str">
        <f t="shared" si="67"/>
        <v>063</v>
      </c>
      <c r="C1424" s="7" t="str">
        <f t="shared" si="68"/>
        <v>Luján</v>
      </c>
      <c r="D1424" s="18" t="s">
        <v>4351</v>
      </c>
      <c r="E1424" s="18">
        <v>1</v>
      </c>
      <c r="F1424" s="18">
        <v>14</v>
      </c>
      <c r="G1424" s="18">
        <v>10</v>
      </c>
      <c r="H1424" s="18" t="s">
        <v>1468</v>
      </c>
    </row>
    <row r="1425" spans="1:8">
      <c r="A1425" s="7" t="str">
        <f t="shared" si="66"/>
        <v>10</v>
      </c>
      <c r="B1425" s="7" t="str">
        <f t="shared" si="67"/>
        <v>063</v>
      </c>
      <c r="C1425" s="7" t="str">
        <f t="shared" si="68"/>
        <v>Luján</v>
      </c>
      <c r="D1425" s="18" t="s">
        <v>4352</v>
      </c>
      <c r="E1425" s="18">
        <v>1</v>
      </c>
      <c r="F1425" s="18">
        <v>10</v>
      </c>
      <c r="G1425" s="18">
        <v>10</v>
      </c>
      <c r="H1425" s="18" t="s">
        <v>1468</v>
      </c>
    </row>
    <row r="1426" spans="1:8">
      <c r="A1426" s="7" t="str">
        <f t="shared" si="66"/>
        <v>10</v>
      </c>
      <c r="B1426" s="7" t="str">
        <f t="shared" si="67"/>
        <v>063</v>
      </c>
      <c r="C1426" s="7" t="str">
        <f t="shared" si="68"/>
        <v>Luján</v>
      </c>
      <c r="D1426" s="18" t="s">
        <v>4353</v>
      </c>
      <c r="E1426" s="18">
        <v>1</v>
      </c>
      <c r="F1426" s="18">
        <v>15</v>
      </c>
      <c r="G1426" s="18">
        <v>10</v>
      </c>
      <c r="H1426" s="18" t="s">
        <v>1468</v>
      </c>
    </row>
    <row r="1427" spans="1:8">
      <c r="A1427" s="7" t="str">
        <f t="shared" si="66"/>
        <v>10</v>
      </c>
      <c r="B1427" s="7" t="str">
        <f t="shared" si="67"/>
        <v>063</v>
      </c>
      <c r="C1427" s="7" t="str">
        <f t="shared" si="68"/>
        <v>Luján</v>
      </c>
      <c r="D1427" s="18" t="s">
        <v>4354</v>
      </c>
      <c r="E1427" s="18">
        <v>1</v>
      </c>
      <c r="F1427" s="18">
        <v>0</v>
      </c>
      <c r="G1427" s="18">
        <v>10</v>
      </c>
      <c r="H1427" s="18" t="s">
        <v>1468</v>
      </c>
    </row>
    <row r="1428" spans="1:8">
      <c r="A1428" s="7" t="str">
        <f t="shared" si="66"/>
        <v>10</v>
      </c>
      <c r="B1428" s="7" t="str">
        <f t="shared" si="67"/>
        <v>063</v>
      </c>
      <c r="C1428" s="7" t="str">
        <f t="shared" si="68"/>
        <v>Luján</v>
      </c>
      <c r="D1428" s="18" t="s">
        <v>4355</v>
      </c>
      <c r="E1428" s="18">
        <v>1</v>
      </c>
      <c r="F1428" s="18">
        <v>13</v>
      </c>
      <c r="G1428" s="18">
        <v>10</v>
      </c>
      <c r="H1428" s="18" t="s">
        <v>1468</v>
      </c>
    </row>
    <row r="1429" spans="1:8">
      <c r="A1429" s="7" t="str">
        <f t="shared" si="66"/>
        <v>10</v>
      </c>
      <c r="B1429" s="7" t="str">
        <f t="shared" si="67"/>
        <v>063</v>
      </c>
      <c r="C1429" s="7" t="str">
        <f t="shared" si="68"/>
        <v>Luján</v>
      </c>
      <c r="D1429" s="18" t="s">
        <v>4356</v>
      </c>
      <c r="E1429" s="18">
        <v>1</v>
      </c>
      <c r="F1429" s="18">
        <v>16</v>
      </c>
      <c r="G1429" s="18">
        <v>10</v>
      </c>
      <c r="H1429" s="18" t="s">
        <v>1468</v>
      </c>
    </row>
    <row r="1430" spans="1:8">
      <c r="A1430" s="7" t="str">
        <f t="shared" si="66"/>
        <v>10</v>
      </c>
      <c r="B1430" s="7" t="str">
        <f t="shared" si="67"/>
        <v>063</v>
      </c>
      <c r="C1430" s="7" t="str">
        <f t="shared" si="68"/>
        <v>Luján</v>
      </c>
      <c r="D1430" s="18" t="s">
        <v>4357</v>
      </c>
      <c r="E1430" s="18">
        <v>1</v>
      </c>
      <c r="F1430" s="18">
        <v>15</v>
      </c>
      <c r="G1430" s="18">
        <v>10</v>
      </c>
      <c r="H1430" s="18" t="s">
        <v>1468</v>
      </c>
    </row>
    <row r="1431" spans="1:8">
      <c r="A1431" s="7" t="str">
        <f t="shared" si="66"/>
        <v>10</v>
      </c>
      <c r="B1431" s="7" t="str">
        <f t="shared" si="67"/>
        <v>063</v>
      </c>
      <c r="C1431" s="7" t="str">
        <f t="shared" si="68"/>
        <v>Luján</v>
      </c>
      <c r="D1431" s="18" t="s">
        <v>4358</v>
      </c>
      <c r="E1431" s="18">
        <v>1</v>
      </c>
      <c r="F1431" s="18">
        <v>0</v>
      </c>
      <c r="G1431" s="18">
        <v>10</v>
      </c>
      <c r="H1431" s="18" t="s">
        <v>1468</v>
      </c>
    </row>
    <row r="1432" spans="1:8">
      <c r="A1432" s="7" t="str">
        <f t="shared" si="66"/>
        <v>10</v>
      </c>
      <c r="B1432" s="7" t="str">
        <f t="shared" si="67"/>
        <v>063</v>
      </c>
      <c r="C1432" s="7" t="str">
        <f t="shared" si="68"/>
        <v>Luján</v>
      </c>
      <c r="D1432" s="18" t="s">
        <v>4359</v>
      </c>
      <c r="E1432" s="18">
        <v>1</v>
      </c>
      <c r="F1432" s="18">
        <v>16</v>
      </c>
      <c r="G1432" s="18">
        <v>10</v>
      </c>
      <c r="H1432" s="18" t="s">
        <v>1468</v>
      </c>
    </row>
    <row r="1433" spans="1:8">
      <c r="A1433" s="7" t="str">
        <f t="shared" si="66"/>
        <v>10</v>
      </c>
      <c r="B1433" s="7" t="str">
        <f t="shared" si="67"/>
        <v>063</v>
      </c>
      <c r="C1433" s="7" t="str">
        <f t="shared" si="68"/>
        <v>Luján</v>
      </c>
      <c r="D1433" s="18" t="s">
        <v>4360</v>
      </c>
      <c r="E1433" s="18">
        <v>1</v>
      </c>
      <c r="F1433" s="18">
        <v>10</v>
      </c>
      <c r="G1433" s="18">
        <v>10</v>
      </c>
      <c r="H1433" s="18" t="s">
        <v>1468</v>
      </c>
    </row>
    <row r="1434" spans="1:8">
      <c r="A1434" s="7" t="str">
        <f t="shared" si="66"/>
        <v>10</v>
      </c>
      <c r="B1434" s="7" t="str">
        <f t="shared" si="67"/>
        <v>063</v>
      </c>
      <c r="C1434" s="7" t="str">
        <f t="shared" si="68"/>
        <v>Luján</v>
      </c>
      <c r="D1434" s="18" t="s">
        <v>4361</v>
      </c>
      <c r="E1434" s="18">
        <v>1</v>
      </c>
      <c r="F1434" s="18">
        <v>10</v>
      </c>
      <c r="G1434" s="18">
        <v>10</v>
      </c>
      <c r="H1434" s="18" t="s">
        <v>1468</v>
      </c>
    </row>
    <row r="1435" spans="1:8">
      <c r="A1435" s="7" t="str">
        <f t="shared" si="66"/>
        <v>10</v>
      </c>
      <c r="B1435" s="7" t="str">
        <f t="shared" si="67"/>
        <v>063</v>
      </c>
      <c r="C1435" s="7" t="str">
        <f t="shared" si="68"/>
        <v>Luján</v>
      </c>
      <c r="D1435" s="18" t="s">
        <v>4362</v>
      </c>
      <c r="E1435" s="18">
        <v>1</v>
      </c>
      <c r="F1435" s="18">
        <v>3</v>
      </c>
      <c r="G1435" s="18">
        <v>10</v>
      </c>
      <c r="H1435" s="18" t="s">
        <v>1468</v>
      </c>
    </row>
    <row r="1436" spans="1:8">
      <c r="A1436" s="7" t="str">
        <f t="shared" si="66"/>
        <v>10</v>
      </c>
      <c r="B1436" s="7" t="str">
        <f t="shared" si="67"/>
        <v>063</v>
      </c>
      <c r="C1436" s="7" t="str">
        <f t="shared" si="68"/>
        <v>Luján</v>
      </c>
      <c r="D1436" s="18" t="s">
        <v>4363</v>
      </c>
      <c r="E1436" s="18">
        <v>1</v>
      </c>
      <c r="F1436" s="18">
        <v>14</v>
      </c>
      <c r="G1436" s="18">
        <v>10</v>
      </c>
      <c r="H1436" s="18" t="s">
        <v>1468</v>
      </c>
    </row>
    <row r="1437" spans="1:8">
      <c r="A1437" s="7" t="str">
        <f t="shared" si="66"/>
        <v>10</v>
      </c>
      <c r="B1437" s="7" t="str">
        <f t="shared" si="67"/>
        <v>067</v>
      </c>
      <c r="C1437" s="7" t="str">
        <f t="shared" si="68"/>
        <v>Marcos Paz</v>
      </c>
      <c r="D1437" s="18" t="s">
        <v>4364</v>
      </c>
      <c r="E1437" s="18">
        <v>1</v>
      </c>
      <c r="F1437" s="18">
        <v>10</v>
      </c>
      <c r="G1437" s="18">
        <v>10</v>
      </c>
      <c r="H1437" s="18" t="s">
        <v>1508</v>
      </c>
    </row>
    <row r="1438" spans="1:8">
      <c r="A1438" s="7" t="str">
        <f t="shared" si="66"/>
        <v>10</v>
      </c>
      <c r="B1438" s="7" t="str">
        <f t="shared" si="67"/>
        <v>067</v>
      </c>
      <c r="C1438" s="7" t="str">
        <f t="shared" si="68"/>
        <v>Marcos Paz</v>
      </c>
      <c r="D1438" s="18" t="s">
        <v>4365</v>
      </c>
      <c r="E1438" s="18">
        <v>1</v>
      </c>
      <c r="F1438" s="18">
        <v>14</v>
      </c>
      <c r="G1438" s="18">
        <v>10</v>
      </c>
      <c r="H1438" s="18" t="s">
        <v>1508</v>
      </c>
    </row>
    <row r="1439" spans="1:8">
      <c r="A1439" s="7" t="str">
        <f t="shared" si="66"/>
        <v>10</v>
      </c>
      <c r="B1439" s="7" t="str">
        <f t="shared" si="67"/>
        <v>067</v>
      </c>
      <c r="C1439" s="7" t="str">
        <f t="shared" si="68"/>
        <v>Marcos Paz</v>
      </c>
      <c r="D1439" s="18" t="s">
        <v>4366</v>
      </c>
      <c r="E1439" s="18">
        <v>3</v>
      </c>
      <c r="F1439" s="18">
        <v>94</v>
      </c>
      <c r="G1439" s="18">
        <v>10</v>
      </c>
      <c r="H1439" s="18" t="s">
        <v>1508</v>
      </c>
    </row>
    <row r="1440" spans="1:8">
      <c r="A1440" s="7" t="str">
        <f t="shared" si="66"/>
        <v>10</v>
      </c>
      <c r="B1440" s="7" t="str">
        <f t="shared" si="67"/>
        <v>067</v>
      </c>
      <c r="C1440" s="7" t="str">
        <f t="shared" si="68"/>
        <v>Marcos Paz</v>
      </c>
      <c r="D1440" s="18" t="s">
        <v>4367</v>
      </c>
      <c r="E1440" s="18">
        <v>1</v>
      </c>
      <c r="F1440" s="18">
        <v>20</v>
      </c>
      <c r="G1440" s="18">
        <v>10</v>
      </c>
      <c r="H1440" s="18" t="s">
        <v>1508</v>
      </c>
    </row>
    <row r="1441" spans="1:8">
      <c r="A1441" s="7" t="str">
        <f t="shared" si="66"/>
        <v>10</v>
      </c>
      <c r="B1441" s="7" t="str">
        <f t="shared" si="67"/>
        <v>067</v>
      </c>
      <c r="C1441" s="7" t="str">
        <f t="shared" si="68"/>
        <v>Marcos Paz</v>
      </c>
      <c r="D1441" s="18" t="s">
        <v>4339</v>
      </c>
      <c r="E1441" s="18">
        <v>1</v>
      </c>
      <c r="F1441" s="18">
        <v>35</v>
      </c>
      <c r="G1441" s="18">
        <v>10</v>
      </c>
      <c r="H1441" s="18" t="s">
        <v>1508</v>
      </c>
    </row>
    <row r="1442" spans="1:8">
      <c r="A1442" s="7" t="str">
        <f t="shared" si="66"/>
        <v>10</v>
      </c>
      <c r="B1442" s="7" t="str">
        <f t="shared" si="67"/>
        <v>067</v>
      </c>
      <c r="C1442" s="7" t="str">
        <f t="shared" si="68"/>
        <v>Marcos Paz</v>
      </c>
      <c r="D1442" s="18" t="s">
        <v>4368</v>
      </c>
      <c r="E1442" s="18">
        <v>1</v>
      </c>
      <c r="F1442" s="18">
        <v>8</v>
      </c>
      <c r="G1442" s="18">
        <v>10</v>
      </c>
      <c r="H1442" s="18" t="s">
        <v>1508</v>
      </c>
    </row>
    <row r="1443" spans="1:8">
      <c r="A1443" s="7" t="str">
        <f t="shared" si="66"/>
        <v>10</v>
      </c>
      <c r="B1443" s="7" t="str">
        <f t="shared" si="67"/>
        <v>067</v>
      </c>
      <c r="C1443" s="7" t="str">
        <f t="shared" si="68"/>
        <v>Marcos Paz</v>
      </c>
      <c r="D1443" s="18" t="s">
        <v>4369</v>
      </c>
      <c r="E1443" s="18">
        <v>1</v>
      </c>
      <c r="F1443" s="18">
        <v>26</v>
      </c>
      <c r="G1443" s="18">
        <v>10</v>
      </c>
      <c r="H1443" s="18" t="s">
        <v>1508</v>
      </c>
    </row>
    <row r="1444" spans="1:8">
      <c r="A1444" s="7" t="str">
        <f t="shared" si="66"/>
        <v>10</v>
      </c>
      <c r="B1444" s="7" t="str">
        <f t="shared" si="67"/>
        <v>067</v>
      </c>
      <c r="C1444" s="7" t="str">
        <f t="shared" si="68"/>
        <v>Marcos Paz</v>
      </c>
      <c r="D1444" s="18" t="s">
        <v>4370</v>
      </c>
      <c r="E1444" s="18">
        <v>2</v>
      </c>
      <c r="F1444" s="18">
        <v>33</v>
      </c>
      <c r="G1444" s="18">
        <v>10</v>
      </c>
      <c r="H1444" s="18" t="s">
        <v>1508</v>
      </c>
    </row>
    <row r="1445" spans="1:8">
      <c r="A1445" s="7" t="str">
        <f t="shared" si="66"/>
        <v>10</v>
      </c>
      <c r="B1445" s="7" t="str">
        <f t="shared" si="67"/>
        <v>067</v>
      </c>
      <c r="C1445" s="7" t="str">
        <f t="shared" si="68"/>
        <v>Marcos Paz</v>
      </c>
      <c r="D1445" s="18" t="s">
        <v>4371</v>
      </c>
      <c r="E1445" s="18">
        <v>1</v>
      </c>
      <c r="F1445" s="18">
        <v>10</v>
      </c>
      <c r="G1445" s="18">
        <v>10</v>
      </c>
      <c r="H1445" s="18" t="s">
        <v>1508</v>
      </c>
    </row>
    <row r="1446" spans="1:8">
      <c r="A1446" s="7" t="str">
        <f t="shared" si="66"/>
        <v>10</v>
      </c>
      <c r="B1446" s="7" t="str">
        <f t="shared" si="67"/>
        <v>067</v>
      </c>
      <c r="C1446" s="7" t="str">
        <f t="shared" si="68"/>
        <v>Marcos Paz</v>
      </c>
      <c r="D1446" s="18" t="s">
        <v>4372</v>
      </c>
      <c r="E1446" s="18">
        <v>1</v>
      </c>
      <c r="F1446" s="18">
        <v>14</v>
      </c>
      <c r="G1446" s="18">
        <v>10</v>
      </c>
      <c r="H1446" s="18" t="s">
        <v>1508</v>
      </c>
    </row>
    <row r="1447" spans="1:8">
      <c r="A1447" s="7" t="str">
        <f t="shared" si="66"/>
        <v>10</v>
      </c>
      <c r="B1447" s="7" t="str">
        <f t="shared" si="67"/>
        <v>067</v>
      </c>
      <c r="C1447" s="7" t="str">
        <f t="shared" si="68"/>
        <v>Marcos Paz</v>
      </c>
      <c r="D1447" s="18" t="s">
        <v>4373</v>
      </c>
      <c r="E1447" s="18">
        <v>2</v>
      </c>
      <c r="F1447" s="18">
        <v>0</v>
      </c>
      <c r="G1447" s="18">
        <v>10</v>
      </c>
      <c r="H1447" s="18" t="s">
        <v>1508</v>
      </c>
    </row>
    <row r="1448" spans="1:8">
      <c r="A1448" s="7" t="str">
        <f t="shared" si="66"/>
        <v>10</v>
      </c>
      <c r="B1448" s="7" t="str">
        <f t="shared" si="67"/>
        <v>067</v>
      </c>
      <c r="C1448" s="7" t="str">
        <f t="shared" si="68"/>
        <v>Marcos Paz</v>
      </c>
      <c r="D1448" s="18" t="s">
        <v>4374</v>
      </c>
      <c r="E1448" s="18">
        <v>1</v>
      </c>
      <c r="F1448" s="18">
        <v>6</v>
      </c>
      <c r="G1448" s="18">
        <v>10</v>
      </c>
      <c r="H1448" s="18" t="s">
        <v>1508</v>
      </c>
    </row>
    <row r="1449" spans="1:8">
      <c r="A1449" s="7" t="str">
        <f t="shared" si="66"/>
        <v>10</v>
      </c>
      <c r="B1449" s="7" t="str">
        <f t="shared" si="67"/>
        <v>067</v>
      </c>
      <c r="C1449" s="7" t="str">
        <f t="shared" si="68"/>
        <v>Marcos Paz</v>
      </c>
      <c r="D1449" s="18" t="s">
        <v>4375</v>
      </c>
      <c r="E1449" s="18">
        <v>1</v>
      </c>
      <c r="F1449" s="18">
        <v>17</v>
      </c>
      <c r="G1449" s="18">
        <v>10</v>
      </c>
      <c r="H1449" s="18" t="s">
        <v>1508</v>
      </c>
    </row>
    <row r="1450" spans="1:8">
      <c r="A1450" s="7" t="str">
        <f t="shared" si="66"/>
        <v>10</v>
      </c>
      <c r="B1450" s="7" t="str">
        <f t="shared" si="67"/>
        <v>067</v>
      </c>
      <c r="C1450" s="7" t="str">
        <f t="shared" si="68"/>
        <v>Marcos Paz</v>
      </c>
      <c r="D1450" s="18" t="s">
        <v>4376</v>
      </c>
      <c r="E1450" s="18">
        <v>1</v>
      </c>
      <c r="F1450" s="18">
        <v>26</v>
      </c>
      <c r="G1450" s="18">
        <v>10</v>
      </c>
      <c r="H1450" s="18" t="s">
        <v>1508</v>
      </c>
    </row>
    <row r="1451" spans="1:8">
      <c r="A1451" s="7" t="str">
        <f t="shared" si="66"/>
        <v>10</v>
      </c>
      <c r="B1451" s="7" t="str">
        <f t="shared" si="67"/>
        <v>067</v>
      </c>
      <c r="C1451" s="7" t="str">
        <f t="shared" si="68"/>
        <v>Marcos Paz</v>
      </c>
      <c r="D1451" s="18" t="s">
        <v>4377</v>
      </c>
      <c r="E1451" s="18">
        <v>1</v>
      </c>
      <c r="F1451" s="18">
        <v>13</v>
      </c>
      <c r="G1451" s="18">
        <v>10</v>
      </c>
      <c r="H1451" s="18" t="s">
        <v>1508</v>
      </c>
    </row>
    <row r="1452" spans="1:8">
      <c r="A1452" s="7" t="str">
        <f t="shared" si="66"/>
        <v>10</v>
      </c>
      <c r="B1452" s="7" t="str">
        <f t="shared" si="67"/>
        <v>067</v>
      </c>
      <c r="C1452" s="7" t="str">
        <f t="shared" si="68"/>
        <v>Marcos Paz</v>
      </c>
      <c r="D1452" s="18" t="s">
        <v>4378</v>
      </c>
      <c r="E1452" s="18">
        <v>1</v>
      </c>
      <c r="F1452" s="18">
        <v>17</v>
      </c>
      <c r="G1452" s="18">
        <v>10</v>
      </c>
      <c r="H1452" s="18" t="s">
        <v>1508</v>
      </c>
    </row>
    <row r="1453" spans="1:8">
      <c r="A1453" s="7" t="str">
        <f t="shared" si="66"/>
        <v>10</v>
      </c>
      <c r="B1453" s="7" t="str">
        <f t="shared" si="67"/>
        <v>067</v>
      </c>
      <c r="C1453" s="7" t="str">
        <f t="shared" si="68"/>
        <v>Marcos Paz</v>
      </c>
      <c r="D1453" s="18" t="s">
        <v>4379</v>
      </c>
      <c r="E1453" s="18">
        <v>2</v>
      </c>
      <c r="F1453" s="18">
        <v>35</v>
      </c>
      <c r="G1453" s="18">
        <v>10</v>
      </c>
      <c r="H1453" s="18" t="s">
        <v>1508</v>
      </c>
    </row>
    <row r="1454" spans="1:8">
      <c r="A1454" s="7" t="str">
        <f t="shared" si="66"/>
        <v>10</v>
      </c>
      <c r="B1454" s="7" t="str">
        <f t="shared" si="67"/>
        <v>067</v>
      </c>
      <c r="C1454" s="7" t="str">
        <f t="shared" si="68"/>
        <v>Marcos Paz</v>
      </c>
      <c r="D1454" s="18" t="s">
        <v>4380</v>
      </c>
      <c r="E1454" s="18">
        <v>1</v>
      </c>
      <c r="F1454" s="18">
        <v>14</v>
      </c>
      <c r="G1454" s="18">
        <v>10</v>
      </c>
      <c r="H1454" s="18" t="s">
        <v>1508</v>
      </c>
    </row>
    <row r="1455" spans="1:8">
      <c r="A1455" s="7" t="str">
        <f t="shared" si="66"/>
        <v>10</v>
      </c>
      <c r="B1455" s="7" t="str">
        <f t="shared" si="67"/>
        <v>067</v>
      </c>
      <c r="C1455" s="7" t="str">
        <f t="shared" si="68"/>
        <v>Marcos Paz</v>
      </c>
      <c r="D1455" s="18" t="s">
        <v>4381</v>
      </c>
      <c r="E1455" s="18">
        <v>1</v>
      </c>
      <c r="F1455" s="18">
        <v>6</v>
      </c>
      <c r="G1455" s="18">
        <v>10</v>
      </c>
      <c r="H1455" s="18" t="s">
        <v>1508</v>
      </c>
    </row>
    <row r="1456" spans="1:8">
      <c r="A1456" s="7" t="str">
        <f t="shared" si="66"/>
        <v>10</v>
      </c>
      <c r="B1456" s="7" t="str">
        <f t="shared" si="67"/>
        <v>067</v>
      </c>
      <c r="C1456" s="7" t="str">
        <f t="shared" si="68"/>
        <v>Marcos Paz</v>
      </c>
      <c r="D1456" s="18" t="s">
        <v>4382</v>
      </c>
      <c r="E1456" s="18">
        <v>1</v>
      </c>
      <c r="F1456" s="18">
        <v>6</v>
      </c>
      <c r="G1456" s="18">
        <v>10</v>
      </c>
      <c r="H1456" s="18" t="s">
        <v>1508</v>
      </c>
    </row>
    <row r="1457" spans="1:8">
      <c r="A1457" s="7" t="str">
        <f t="shared" si="66"/>
        <v>10</v>
      </c>
      <c r="B1457" s="7" t="str">
        <f t="shared" si="67"/>
        <v>067</v>
      </c>
      <c r="C1457" s="7" t="str">
        <f t="shared" si="68"/>
        <v>Marcos Paz</v>
      </c>
      <c r="D1457" s="18" t="s">
        <v>4383</v>
      </c>
      <c r="E1457" s="18">
        <v>1</v>
      </c>
      <c r="F1457" s="18">
        <v>6</v>
      </c>
      <c r="G1457" s="18">
        <v>10</v>
      </c>
      <c r="H1457" s="18" t="s">
        <v>1508</v>
      </c>
    </row>
    <row r="1458" spans="1:8">
      <c r="A1458" s="7" t="str">
        <f t="shared" si="66"/>
        <v>10</v>
      </c>
      <c r="B1458" s="7" t="str">
        <f t="shared" si="67"/>
        <v>070</v>
      </c>
      <c r="C1458" s="7" t="str">
        <f t="shared" si="68"/>
        <v>Mercedes</v>
      </c>
      <c r="D1458" s="18" t="s">
        <v>4384</v>
      </c>
      <c r="E1458" s="18">
        <v>1</v>
      </c>
      <c r="F1458" s="18">
        <v>17</v>
      </c>
      <c r="G1458" s="18">
        <v>10</v>
      </c>
      <c r="H1458" s="18" t="s">
        <v>1766</v>
      </c>
    </row>
    <row r="1459" spans="1:8">
      <c r="A1459" s="7" t="str">
        <f t="shared" si="66"/>
        <v>10</v>
      </c>
      <c r="B1459" s="7" t="str">
        <f t="shared" si="67"/>
        <v>070</v>
      </c>
      <c r="C1459" s="7" t="str">
        <f t="shared" si="68"/>
        <v>Mercedes</v>
      </c>
      <c r="D1459" s="18" t="s">
        <v>4385</v>
      </c>
      <c r="E1459" s="18">
        <v>3</v>
      </c>
      <c r="F1459" s="18">
        <v>40</v>
      </c>
      <c r="G1459" s="18">
        <v>10</v>
      </c>
      <c r="H1459" s="18" t="s">
        <v>1766</v>
      </c>
    </row>
    <row r="1460" spans="1:8">
      <c r="A1460" s="7" t="str">
        <f t="shared" si="66"/>
        <v>10</v>
      </c>
      <c r="B1460" s="7" t="str">
        <f t="shared" si="67"/>
        <v>070</v>
      </c>
      <c r="C1460" s="7" t="str">
        <f t="shared" si="68"/>
        <v>Mercedes</v>
      </c>
      <c r="D1460" s="18" t="s">
        <v>4386</v>
      </c>
      <c r="E1460" s="18">
        <v>2</v>
      </c>
      <c r="F1460" s="18">
        <v>54</v>
      </c>
      <c r="G1460" s="18">
        <v>10</v>
      </c>
      <c r="H1460" s="18" t="s">
        <v>1766</v>
      </c>
    </row>
    <row r="1461" spans="1:8">
      <c r="A1461" s="7" t="str">
        <f t="shared" si="66"/>
        <v>10</v>
      </c>
      <c r="B1461" s="7" t="str">
        <f t="shared" si="67"/>
        <v>070</v>
      </c>
      <c r="C1461" s="7" t="str">
        <f t="shared" si="68"/>
        <v>Mercedes</v>
      </c>
      <c r="D1461" s="18" t="s">
        <v>4387</v>
      </c>
      <c r="E1461" s="18">
        <v>1</v>
      </c>
      <c r="F1461" s="18">
        <v>18</v>
      </c>
      <c r="G1461" s="18">
        <v>10</v>
      </c>
      <c r="H1461" s="18" t="s">
        <v>1766</v>
      </c>
    </row>
    <row r="1462" spans="1:8">
      <c r="A1462" s="7" t="str">
        <f t="shared" si="66"/>
        <v>10</v>
      </c>
      <c r="B1462" s="7" t="str">
        <f t="shared" si="67"/>
        <v>070</v>
      </c>
      <c r="C1462" s="7" t="str">
        <f t="shared" si="68"/>
        <v>Mercedes</v>
      </c>
      <c r="D1462" s="18" t="s">
        <v>4388</v>
      </c>
      <c r="E1462" s="18">
        <v>1</v>
      </c>
      <c r="F1462" s="18">
        <v>11</v>
      </c>
      <c r="G1462" s="18">
        <v>10</v>
      </c>
      <c r="H1462" s="18" t="s">
        <v>1766</v>
      </c>
    </row>
    <row r="1463" spans="1:8">
      <c r="A1463" s="7" t="str">
        <f t="shared" si="66"/>
        <v>10</v>
      </c>
      <c r="B1463" s="7" t="str">
        <f t="shared" si="67"/>
        <v>070</v>
      </c>
      <c r="C1463" s="7" t="str">
        <f t="shared" si="68"/>
        <v>Mercedes</v>
      </c>
      <c r="D1463" s="18" t="s">
        <v>4389</v>
      </c>
      <c r="E1463" s="18">
        <v>1</v>
      </c>
      <c r="F1463" s="18">
        <v>20</v>
      </c>
      <c r="G1463" s="18">
        <v>10</v>
      </c>
      <c r="H1463" s="18" t="s">
        <v>1766</v>
      </c>
    </row>
    <row r="1464" spans="1:8">
      <c r="A1464" s="7" t="str">
        <f t="shared" si="66"/>
        <v>10</v>
      </c>
      <c r="B1464" s="7" t="str">
        <f t="shared" si="67"/>
        <v>070</v>
      </c>
      <c r="C1464" s="7" t="str">
        <f t="shared" si="68"/>
        <v>Mercedes</v>
      </c>
      <c r="D1464" s="18" t="s">
        <v>3532</v>
      </c>
      <c r="E1464" s="18">
        <v>1</v>
      </c>
      <c r="F1464" s="18">
        <v>17</v>
      </c>
      <c r="G1464" s="18">
        <v>10</v>
      </c>
      <c r="H1464" s="18" t="s">
        <v>1766</v>
      </c>
    </row>
    <row r="1465" spans="1:8">
      <c r="A1465" s="7" t="str">
        <f t="shared" si="66"/>
        <v>10</v>
      </c>
      <c r="B1465" s="7" t="str">
        <f t="shared" si="67"/>
        <v>070</v>
      </c>
      <c r="C1465" s="7" t="str">
        <f t="shared" si="68"/>
        <v>Mercedes</v>
      </c>
      <c r="D1465" s="18" t="s">
        <v>4390</v>
      </c>
      <c r="E1465" s="18">
        <v>1</v>
      </c>
      <c r="F1465" s="18">
        <v>21</v>
      </c>
      <c r="G1465" s="18">
        <v>10</v>
      </c>
      <c r="H1465" s="18" t="s">
        <v>1766</v>
      </c>
    </row>
    <row r="1466" spans="1:8">
      <c r="A1466" s="7" t="str">
        <f t="shared" si="66"/>
        <v>10</v>
      </c>
      <c r="B1466" s="7" t="str">
        <f t="shared" si="67"/>
        <v>070</v>
      </c>
      <c r="C1466" s="7" t="str">
        <f t="shared" si="68"/>
        <v>Mercedes</v>
      </c>
      <c r="D1466" s="18" t="s">
        <v>4391</v>
      </c>
      <c r="E1466" s="18">
        <v>1</v>
      </c>
      <c r="F1466" s="18">
        <v>16</v>
      </c>
      <c r="G1466" s="18">
        <v>10</v>
      </c>
      <c r="H1466" s="18" t="s">
        <v>1766</v>
      </c>
    </row>
    <row r="1467" spans="1:8">
      <c r="A1467" s="7" t="str">
        <f t="shared" si="66"/>
        <v>10</v>
      </c>
      <c r="B1467" s="7" t="str">
        <f t="shared" si="67"/>
        <v>070</v>
      </c>
      <c r="C1467" s="7" t="str">
        <f t="shared" si="68"/>
        <v>Mercedes</v>
      </c>
      <c r="D1467" s="18" t="s">
        <v>4392</v>
      </c>
      <c r="E1467" s="18">
        <v>1</v>
      </c>
      <c r="F1467" s="18">
        <v>15</v>
      </c>
      <c r="G1467" s="18">
        <v>10</v>
      </c>
      <c r="H1467" s="18" t="s">
        <v>1766</v>
      </c>
    </row>
    <row r="1468" spans="1:8">
      <c r="A1468" s="7" t="str">
        <f t="shared" si="66"/>
        <v>10</v>
      </c>
      <c r="B1468" s="7" t="str">
        <f t="shared" si="67"/>
        <v>074</v>
      </c>
      <c r="C1468" s="7" t="str">
        <f t="shared" si="68"/>
        <v>Navarro</v>
      </c>
      <c r="D1468" s="18" t="s">
        <v>4393</v>
      </c>
      <c r="E1468" s="18">
        <v>1</v>
      </c>
      <c r="F1468" s="18">
        <v>17</v>
      </c>
      <c r="G1468" s="18">
        <v>10</v>
      </c>
      <c r="H1468" s="18" t="s">
        <v>1921</v>
      </c>
    </row>
    <row r="1469" spans="1:8">
      <c r="A1469" s="7" t="str">
        <f t="shared" si="66"/>
        <v>10</v>
      </c>
      <c r="B1469" s="7" t="str">
        <f t="shared" si="67"/>
        <v>074</v>
      </c>
      <c r="C1469" s="7" t="str">
        <f t="shared" si="68"/>
        <v>Navarro</v>
      </c>
      <c r="D1469" s="18" t="s">
        <v>4394</v>
      </c>
      <c r="E1469" s="18">
        <v>1</v>
      </c>
      <c r="F1469" s="18">
        <v>13</v>
      </c>
      <c r="G1469" s="18">
        <v>10</v>
      </c>
      <c r="H1469" s="18" t="s">
        <v>1921</v>
      </c>
    </row>
    <row r="1470" spans="1:8">
      <c r="A1470" s="7" t="str">
        <f t="shared" si="66"/>
        <v>10</v>
      </c>
      <c r="B1470" s="7" t="str">
        <f t="shared" si="67"/>
        <v>074</v>
      </c>
      <c r="C1470" s="7" t="str">
        <f t="shared" si="68"/>
        <v>Navarro</v>
      </c>
      <c r="D1470" s="18" t="s">
        <v>4395</v>
      </c>
      <c r="E1470" s="18">
        <v>1</v>
      </c>
      <c r="F1470" s="18">
        <v>22</v>
      </c>
      <c r="G1470" s="18">
        <v>10</v>
      </c>
      <c r="H1470" s="18" t="s">
        <v>1921</v>
      </c>
    </row>
    <row r="1471" spans="1:8">
      <c r="A1471" s="7" t="str">
        <f t="shared" si="66"/>
        <v>10</v>
      </c>
      <c r="B1471" s="7" t="str">
        <f t="shared" si="67"/>
        <v>074</v>
      </c>
      <c r="C1471" s="7" t="str">
        <f t="shared" si="68"/>
        <v>Navarro</v>
      </c>
      <c r="D1471" s="18" t="s">
        <v>4396</v>
      </c>
      <c r="E1471" s="18">
        <v>1</v>
      </c>
      <c r="F1471" s="18">
        <v>14</v>
      </c>
      <c r="G1471" s="18">
        <v>10</v>
      </c>
      <c r="H1471" s="18" t="s">
        <v>1921</v>
      </c>
    </row>
    <row r="1472" spans="1:8">
      <c r="A1472" s="7" t="str">
        <f t="shared" si="66"/>
        <v>10</v>
      </c>
      <c r="B1472" s="7" t="str">
        <f t="shared" si="67"/>
        <v>074</v>
      </c>
      <c r="C1472" s="7" t="str">
        <f t="shared" si="68"/>
        <v>Navarro</v>
      </c>
      <c r="D1472" s="18" t="s">
        <v>4397</v>
      </c>
      <c r="E1472" s="18">
        <v>1</v>
      </c>
      <c r="F1472" s="18">
        <v>13</v>
      </c>
      <c r="G1472" s="18">
        <v>10</v>
      </c>
      <c r="H1472" s="18" t="s">
        <v>1921</v>
      </c>
    </row>
    <row r="1473" spans="1:8">
      <c r="A1473" s="7" t="str">
        <f t="shared" si="66"/>
        <v>10</v>
      </c>
      <c r="B1473" s="7" t="str">
        <f t="shared" si="67"/>
        <v>074</v>
      </c>
      <c r="C1473" s="7" t="str">
        <f t="shared" si="68"/>
        <v>Navarro</v>
      </c>
      <c r="D1473" s="18" t="s">
        <v>4398</v>
      </c>
      <c r="E1473" s="18">
        <v>3</v>
      </c>
      <c r="F1473" s="18">
        <v>72</v>
      </c>
      <c r="G1473" s="18">
        <v>10</v>
      </c>
      <c r="H1473" s="18" t="s">
        <v>1921</v>
      </c>
    </row>
    <row r="1474" spans="1:8">
      <c r="A1474" s="7" t="str">
        <f t="shared" si="66"/>
        <v>10</v>
      </c>
      <c r="B1474" s="7" t="str">
        <f t="shared" si="67"/>
        <v>074</v>
      </c>
      <c r="C1474" s="7" t="str">
        <f t="shared" si="68"/>
        <v>Navarro</v>
      </c>
      <c r="D1474" s="18" t="s">
        <v>4399</v>
      </c>
      <c r="E1474" s="18">
        <v>2</v>
      </c>
      <c r="F1474" s="18">
        <v>44</v>
      </c>
      <c r="G1474" s="18">
        <v>10</v>
      </c>
      <c r="H1474" s="18" t="s">
        <v>1921</v>
      </c>
    </row>
    <row r="1475" spans="1:8">
      <c r="A1475" s="7" t="str">
        <f t="shared" ref="A1475:A1538" si="69">+VLOOKUP(H1475,$K:$N,2,FALSE)</f>
        <v>10</v>
      </c>
      <c r="B1475" s="7" t="str">
        <f t="shared" ref="B1475:B1538" si="70">+VLOOKUP(H1475,$K:$N,3,FALSE)</f>
        <v>074</v>
      </c>
      <c r="C1475" s="7" t="str">
        <f t="shared" ref="C1475:C1538" si="71">+VLOOKUP(H1475,$K:$N,4,FALSE)</f>
        <v>Navarro</v>
      </c>
      <c r="D1475" s="18" t="s">
        <v>4400</v>
      </c>
      <c r="E1475" s="18">
        <v>1</v>
      </c>
      <c r="F1475" s="18">
        <v>30</v>
      </c>
      <c r="G1475" s="18">
        <v>10</v>
      </c>
      <c r="H1475" s="18" t="s">
        <v>1921</v>
      </c>
    </row>
    <row r="1476" spans="1:8">
      <c r="A1476" s="7" t="str">
        <f t="shared" si="69"/>
        <v>10</v>
      </c>
      <c r="B1476" s="7" t="str">
        <f t="shared" si="70"/>
        <v>093</v>
      </c>
      <c r="C1476" s="7" t="str">
        <f t="shared" si="71"/>
        <v>San Andrés de Giles</v>
      </c>
      <c r="D1476" s="18" t="s">
        <v>2205</v>
      </c>
      <c r="E1476" s="18">
        <v>3</v>
      </c>
      <c r="F1476" s="18">
        <v>53</v>
      </c>
      <c r="G1476" s="18">
        <v>10</v>
      </c>
      <c r="H1476" s="18" t="s">
        <v>2200</v>
      </c>
    </row>
    <row r="1477" spans="1:8">
      <c r="A1477" s="7" t="str">
        <f t="shared" si="69"/>
        <v>10</v>
      </c>
      <c r="B1477" s="7" t="str">
        <f t="shared" si="70"/>
        <v>093</v>
      </c>
      <c r="C1477" s="7" t="str">
        <f t="shared" si="71"/>
        <v>San Andrés de Giles</v>
      </c>
      <c r="D1477" s="18" t="s">
        <v>4401</v>
      </c>
      <c r="E1477" s="18">
        <v>3</v>
      </c>
      <c r="F1477" s="18">
        <v>71</v>
      </c>
      <c r="G1477" s="18">
        <v>10</v>
      </c>
      <c r="H1477" s="18" t="s">
        <v>2200</v>
      </c>
    </row>
    <row r="1478" spans="1:8">
      <c r="A1478" s="7" t="str">
        <f t="shared" si="69"/>
        <v>10</v>
      </c>
      <c r="B1478" s="7" t="str">
        <f t="shared" si="70"/>
        <v>093</v>
      </c>
      <c r="C1478" s="7" t="str">
        <f t="shared" si="71"/>
        <v>San Andrés de Giles</v>
      </c>
      <c r="D1478" s="18" t="s">
        <v>4402</v>
      </c>
      <c r="E1478" s="18">
        <v>2</v>
      </c>
      <c r="F1478" s="18">
        <v>36</v>
      </c>
      <c r="G1478" s="18">
        <v>10</v>
      </c>
      <c r="H1478" s="18" t="s">
        <v>2200</v>
      </c>
    </row>
    <row r="1479" spans="1:8">
      <c r="A1479" s="7" t="str">
        <f t="shared" si="69"/>
        <v>10</v>
      </c>
      <c r="B1479" s="7" t="str">
        <f t="shared" si="70"/>
        <v>093</v>
      </c>
      <c r="C1479" s="7" t="str">
        <f t="shared" si="71"/>
        <v>San Andrés de Giles</v>
      </c>
      <c r="D1479" s="18" t="s">
        <v>4403</v>
      </c>
      <c r="E1479" s="18">
        <v>2</v>
      </c>
      <c r="F1479" s="18">
        <v>49</v>
      </c>
      <c r="G1479" s="18">
        <v>10</v>
      </c>
      <c r="H1479" s="18" t="s">
        <v>2200</v>
      </c>
    </row>
    <row r="1480" spans="1:8">
      <c r="A1480" s="7" t="str">
        <f t="shared" si="69"/>
        <v>10</v>
      </c>
      <c r="B1480" s="7" t="str">
        <f t="shared" si="70"/>
        <v>093</v>
      </c>
      <c r="C1480" s="7" t="str">
        <f t="shared" si="71"/>
        <v>San Andrés de Giles</v>
      </c>
      <c r="D1480" s="18" t="s">
        <v>4404</v>
      </c>
      <c r="E1480" s="18">
        <v>1</v>
      </c>
      <c r="F1480" s="18">
        <v>17</v>
      </c>
      <c r="G1480" s="18">
        <v>10</v>
      </c>
      <c r="H1480" s="18" t="s">
        <v>2200</v>
      </c>
    </row>
    <row r="1481" spans="1:8">
      <c r="A1481" s="7" t="str">
        <f t="shared" si="69"/>
        <v>10</v>
      </c>
      <c r="B1481" s="7" t="str">
        <f t="shared" si="70"/>
        <v>101</v>
      </c>
      <c r="C1481" s="7" t="str">
        <f t="shared" si="71"/>
        <v>Suipacha</v>
      </c>
      <c r="D1481" s="18" t="s">
        <v>4405</v>
      </c>
      <c r="E1481" s="18">
        <v>1</v>
      </c>
      <c r="F1481" s="18">
        <v>9</v>
      </c>
      <c r="G1481" s="18">
        <v>10</v>
      </c>
      <c r="H1481" s="18" t="s">
        <v>2392</v>
      </c>
    </row>
    <row r="1482" spans="1:8">
      <c r="A1482" s="7" t="str">
        <f t="shared" si="69"/>
        <v>10</v>
      </c>
      <c r="B1482" s="7" t="str">
        <f t="shared" si="70"/>
        <v>101</v>
      </c>
      <c r="C1482" s="7" t="str">
        <f t="shared" si="71"/>
        <v>Suipacha</v>
      </c>
      <c r="D1482" s="18" t="s">
        <v>4406</v>
      </c>
      <c r="E1482" s="18">
        <v>1</v>
      </c>
      <c r="F1482" s="18">
        <v>17</v>
      </c>
      <c r="G1482" s="18">
        <v>10</v>
      </c>
      <c r="H1482" s="18" t="s">
        <v>2392</v>
      </c>
    </row>
    <row r="1483" spans="1:8">
      <c r="A1483" s="7" t="str">
        <f t="shared" si="69"/>
        <v>10</v>
      </c>
      <c r="B1483" s="7" t="str">
        <f t="shared" si="70"/>
        <v>101</v>
      </c>
      <c r="C1483" s="7" t="str">
        <f t="shared" si="71"/>
        <v>Suipacha</v>
      </c>
      <c r="D1483" s="18" t="s">
        <v>4407</v>
      </c>
      <c r="E1483" s="18">
        <v>1</v>
      </c>
      <c r="F1483" s="18">
        <v>17</v>
      </c>
      <c r="G1483" s="18">
        <v>10</v>
      </c>
      <c r="H1483" s="18" t="s">
        <v>2392</v>
      </c>
    </row>
    <row r="1484" spans="1:8">
      <c r="A1484" s="7" t="str">
        <f t="shared" si="69"/>
        <v>10</v>
      </c>
      <c r="B1484" s="7" t="str">
        <f t="shared" si="70"/>
        <v>101</v>
      </c>
      <c r="C1484" s="7" t="str">
        <f t="shared" si="71"/>
        <v>Suipacha</v>
      </c>
      <c r="D1484" s="18" t="s">
        <v>4408</v>
      </c>
      <c r="E1484" s="18">
        <v>1</v>
      </c>
      <c r="F1484" s="18">
        <v>18</v>
      </c>
      <c r="G1484" s="18">
        <v>10</v>
      </c>
      <c r="H1484" s="18" t="s">
        <v>2392</v>
      </c>
    </row>
    <row r="1485" spans="1:8">
      <c r="A1485" s="7" t="str">
        <f t="shared" si="69"/>
        <v>10</v>
      </c>
      <c r="B1485" s="7" t="str">
        <f t="shared" si="70"/>
        <v>101</v>
      </c>
      <c r="C1485" s="7" t="str">
        <f t="shared" si="71"/>
        <v>Suipacha</v>
      </c>
      <c r="D1485" s="18" t="s">
        <v>4409</v>
      </c>
      <c r="E1485" s="18">
        <v>3</v>
      </c>
      <c r="F1485" s="18">
        <v>49</v>
      </c>
      <c r="G1485" s="18">
        <v>10</v>
      </c>
      <c r="H1485" s="18" t="s">
        <v>2392</v>
      </c>
    </row>
    <row r="1486" spans="1:8">
      <c r="A1486" s="7" t="str">
        <f t="shared" si="69"/>
        <v>11</v>
      </c>
      <c r="B1486" s="7" t="str">
        <f t="shared" si="70"/>
        <v>015</v>
      </c>
      <c r="C1486" s="7" t="str">
        <f t="shared" si="71"/>
        <v>Campana</v>
      </c>
      <c r="D1486" s="18" t="s">
        <v>4410</v>
      </c>
      <c r="E1486" s="18">
        <v>4</v>
      </c>
      <c r="F1486" s="18">
        <v>77</v>
      </c>
      <c r="G1486" s="18">
        <v>11</v>
      </c>
      <c r="H1486" s="18" t="s">
        <v>611</v>
      </c>
    </row>
    <row r="1487" spans="1:8">
      <c r="A1487" s="7" t="str">
        <f t="shared" si="69"/>
        <v>11</v>
      </c>
      <c r="B1487" s="7" t="str">
        <f t="shared" si="70"/>
        <v>015</v>
      </c>
      <c r="C1487" s="7" t="str">
        <f t="shared" si="71"/>
        <v>Campana</v>
      </c>
      <c r="D1487" s="18" t="s">
        <v>4370</v>
      </c>
      <c r="E1487" s="18">
        <v>3</v>
      </c>
      <c r="F1487" s="18">
        <v>41</v>
      </c>
      <c r="G1487" s="18">
        <v>11</v>
      </c>
      <c r="H1487" s="18" t="s">
        <v>611</v>
      </c>
    </row>
    <row r="1488" spans="1:8">
      <c r="A1488" s="7" t="str">
        <f t="shared" si="69"/>
        <v>11</v>
      </c>
      <c r="B1488" s="7" t="str">
        <f t="shared" si="70"/>
        <v>015</v>
      </c>
      <c r="C1488" s="7" t="str">
        <f t="shared" si="71"/>
        <v>Campana</v>
      </c>
      <c r="D1488" s="18" t="s">
        <v>4411</v>
      </c>
      <c r="E1488" s="18">
        <v>1</v>
      </c>
      <c r="F1488" s="18">
        <v>19</v>
      </c>
      <c r="G1488" s="18">
        <v>11</v>
      </c>
      <c r="H1488" s="18" t="s">
        <v>611</v>
      </c>
    </row>
    <row r="1489" spans="1:8">
      <c r="A1489" s="7" t="str">
        <f t="shared" si="69"/>
        <v>11</v>
      </c>
      <c r="B1489" s="7" t="str">
        <f t="shared" si="70"/>
        <v>015</v>
      </c>
      <c r="C1489" s="7" t="str">
        <f t="shared" si="71"/>
        <v>Campana</v>
      </c>
      <c r="D1489" s="18" t="s">
        <v>4412</v>
      </c>
      <c r="E1489" s="18">
        <v>3</v>
      </c>
      <c r="F1489" s="18">
        <v>60</v>
      </c>
      <c r="G1489" s="18">
        <v>11</v>
      </c>
      <c r="H1489" s="18" t="s">
        <v>611</v>
      </c>
    </row>
    <row r="1490" spans="1:8">
      <c r="A1490" s="7" t="str">
        <f t="shared" si="69"/>
        <v>11</v>
      </c>
      <c r="B1490" s="7" t="str">
        <f t="shared" si="70"/>
        <v>015</v>
      </c>
      <c r="C1490" s="7" t="str">
        <f t="shared" si="71"/>
        <v>Campana</v>
      </c>
      <c r="D1490" s="18" t="s">
        <v>4413</v>
      </c>
      <c r="E1490" s="18">
        <v>3</v>
      </c>
      <c r="F1490" s="18">
        <v>52</v>
      </c>
      <c r="G1490" s="18">
        <v>11</v>
      </c>
      <c r="H1490" s="18" t="s">
        <v>611</v>
      </c>
    </row>
    <row r="1491" spans="1:8">
      <c r="A1491" s="7" t="str">
        <f t="shared" si="69"/>
        <v>11</v>
      </c>
      <c r="B1491" s="7" t="str">
        <f t="shared" si="70"/>
        <v>015</v>
      </c>
      <c r="C1491" s="7" t="str">
        <f t="shared" si="71"/>
        <v>Campana</v>
      </c>
      <c r="D1491" s="18" t="s">
        <v>4414</v>
      </c>
      <c r="E1491" s="18">
        <v>1</v>
      </c>
      <c r="F1491" s="18">
        <v>16</v>
      </c>
      <c r="G1491" s="18">
        <v>11</v>
      </c>
      <c r="H1491" s="18" t="s">
        <v>611</v>
      </c>
    </row>
    <row r="1492" spans="1:8">
      <c r="A1492" s="7" t="str">
        <f t="shared" si="69"/>
        <v>11</v>
      </c>
      <c r="B1492" s="7" t="str">
        <f t="shared" si="70"/>
        <v>015</v>
      </c>
      <c r="C1492" s="7" t="str">
        <f t="shared" si="71"/>
        <v>Campana</v>
      </c>
      <c r="D1492" s="18" t="s">
        <v>4415</v>
      </c>
      <c r="E1492" s="18">
        <v>3</v>
      </c>
      <c r="F1492" s="18">
        <v>53</v>
      </c>
      <c r="G1492" s="18">
        <v>11</v>
      </c>
      <c r="H1492" s="18" t="s">
        <v>611</v>
      </c>
    </row>
    <row r="1493" spans="1:8">
      <c r="A1493" s="7" t="str">
        <f t="shared" si="69"/>
        <v>11</v>
      </c>
      <c r="B1493" s="7" t="str">
        <f t="shared" si="70"/>
        <v>015</v>
      </c>
      <c r="C1493" s="7" t="str">
        <f t="shared" si="71"/>
        <v>Campana</v>
      </c>
      <c r="D1493" s="18" t="s">
        <v>4416</v>
      </c>
      <c r="E1493" s="18">
        <v>1</v>
      </c>
      <c r="F1493" s="18">
        <v>15</v>
      </c>
      <c r="G1493" s="18">
        <v>11</v>
      </c>
      <c r="H1493" s="18" t="s">
        <v>611</v>
      </c>
    </row>
    <row r="1494" spans="1:8">
      <c r="A1494" s="7" t="str">
        <f t="shared" si="69"/>
        <v>11</v>
      </c>
      <c r="B1494" s="7" t="str">
        <f t="shared" si="70"/>
        <v>015</v>
      </c>
      <c r="C1494" s="7" t="str">
        <f t="shared" si="71"/>
        <v>Campana</v>
      </c>
      <c r="D1494" s="18" t="s">
        <v>4417</v>
      </c>
      <c r="E1494" s="18">
        <v>3</v>
      </c>
      <c r="F1494" s="18">
        <v>47</v>
      </c>
      <c r="G1494" s="18">
        <v>11</v>
      </c>
      <c r="H1494" s="18" t="s">
        <v>611</v>
      </c>
    </row>
    <row r="1495" spans="1:8">
      <c r="A1495" s="7" t="str">
        <f t="shared" si="69"/>
        <v>11</v>
      </c>
      <c r="B1495" s="7" t="str">
        <f t="shared" si="70"/>
        <v>015</v>
      </c>
      <c r="C1495" s="7" t="str">
        <f t="shared" si="71"/>
        <v>Campana</v>
      </c>
      <c r="D1495" s="18" t="s">
        <v>4418</v>
      </c>
      <c r="E1495" s="18">
        <v>1</v>
      </c>
      <c r="F1495" s="18">
        <v>18</v>
      </c>
      <c r="G1495" s="18">
        <v>11</v>
      </c>
      <c r="H1495" s="18" t="s">
        <v>611</v>
      </c>
    </row>
    <row r="1496" spans="1:8">
      <c r="A1496" s="7" t="str">
        <f t="shared" si="69"/>
        <v>11</v>
      </c>
      <c r="B1496" s="7" t="str">
        <f t="shared" si="70"/>
        <v>015</v>
      </c>
      <c r="C1496" s="7" t="str">
        <f t="shared" si="71"/>
        <v>Campana</v>
      </c>
      <c r="D1496" s="18" t="s">
        <v>4419</v>
      </c>
      <c r="E1496" s="18">
        <v>1</v>
      </c>
      <c r="F1496" s="18">
        <v>0</v>
      </c>
      <c r="G1496" s="18">
        <v>11</v>
      </c>
      <c r="H1496" s="18" t="s">
        <v>611</v>
      </c>
    </row>
    <row r="1497" spans="1:8">
      <c r="A1497" s="7" t="str">
        <f t="shared" si="69"/>
        <v>11</v>
      </c>
      <c r="B1497" s="7" t="str">
        <f t="shared" si="70"/>
        <v>015</v>
      </c>
      <c r="C1497" s="7" t="str">
        <f t="shared" si="71"/>
        <v>Campana</v>
      </c>
      <c r="D1497" s="18" t="s">
        <v>4420</v>
      </c>
      <c r="E1497" s="18">
        <v>1</v>
      </c>
      <c r="F1497" s="18">
        <v>16</v>
      </c>
      <c r="G1497" s="18">
        <v>11</v>
      </c>
      <c r="H1497" s="18" t="s">
        <v>611</v>
      </c>
    </row>
    <row r="1498" spans="1:8">
      <c r="A1498" s="7" t="str">
        <f t="shared" si="69"/>
        <v>11</v>
      </c>
      <c r="B1498" s="7" t="str">
        <f t="shared" si="70"/>
        <v>015</v>
      </c>
      <c r="C1498" s="7" t="str">
        <f t="shared" si="71"/>
        <v>Campana</v>
      </c>
      <c r="D1498" s="18" t="s">
        <v>4421</v>
      </c>
      <c r="E1498" s="18">
        <v>1</v>
      </c>
      <c r="F1498" s="18">
        <v>15</v>
      </c>
      <c r="G1498" s="18">
        <v>11</v>
      </c>
      <c r="H1498" s="18" t="s">
        <v>611</v>
      </c>
    </row>
    <row r="1499" spans="1:8">
      <c r="A1499" s="7" t="str">
        <f t="shared" si="69"/>
        <v>11</v>
      </c>
      <c r="B1499" s="7" t="str">
        <f t="shared" si="70"/>
        <v>015</v>
      </c>
      <c r="C1499" s="7" t="str">
        <f t="shared" si="71"/>
        <v>Campana</v>
      </c>
      <c r="D1499" s="18" t="s">
        <v>4422</v>
      </c>
      <c r="E1499" s="18">
        <v>1</v>
      </c>
      <c r="F1499" s="18">
        <v>15</v>
      </c>
      <c r="G1499" s="18">
        <v>11</v>
      </c>
      <c r="H1499" s="18" t="s">
        <v>611</v>
      </c>
    </row>
    <row r="1500" spans="1:8">
      <c r="A1500" s="7" t="str">
        <f t="shared" si="69"/>
        <v>11</v>
      </c>
      <c r="B1500" s="7" t="str">
        <f t="shared" si="70"/>
        <v>015</v>
      </c>
      <c r="C1500" s="7" t="str">
        <f t="shared" si="71"/>
        <v>Campana</v>
      </c>
      <c r="D1500" s="18" t="s">
        <v>4423</v>
      </c>
      <c r="E1500" s="18">
        <v>6</v>
      </c>
      <c r="F1500" s="18">
        <v>245</v>
      </c>
      <c r="G1500" s="18">
        <v>11</v>
      </c>
      <c r="H1500" s="18" t="s">
        <v>611</v>
      </c>
    </row>
    <row r="1501" spans="1:8">
      <c r="A1501" s="7" t="str">
        <f t="shared" si="69"/>
        <v>11</v>
      </c>
      <c r="B1501" s="7" t="str">
        <f t="shared" si="70"/>
        <v>116</v>
      </c>
      <c r="C1501" s="7" t="str">
        <f t="shared" si="71"/>
        <v>Escobar</v>
      </c>
      <c r="D1501" s="18">
        <v>46312</v>
      </c>
      <c r="E1501" s="18">
        <v>1</v>
      </c>
      <c r="F1501" s="18">
        <v>22</v>
      </c>
      <c r="G1501" s="18">
        <v>11</v>
      </c>
      <c r="H1501" s="18" t="s">
        <v>2603</v>
      </c>
    </row>
    <row r="1502" spans="1:8">
      <c r="A1502" s="7" t="str">
        <f t="shared" si="69"/>
        <v>11</v>
      </c>
      <c r="B1502" s="7" t="str">
        <f t="shared" si="70"/>
        <v>116</v>
      </c>
      <c r="C1502" s="7" t="str">
        <f t="shared" si="71"/>
        <v>Escobar</v>
      </c>
      <c r="D1502" s="18" t="s">
        <v>4424</v>
      </c>
      <c r="E1502" s="18">
        <v>2</v>
      </c>
      <c r="F1502" s="18">
        <v>36</v>
      </c>
      <c r="G1502" s="18">
        <v>11</v>
      </c>
      <c r="H1502" s="18" t="s">
        <v>2603</v>
      </c>
    </row>
    <row r="1503" spans="1:8">
      <c r="A1503" s="7" t="str">
        <f t="shared" si="69"/>
        <v>11</v>
      </c>
      <c r="B1503" s="7" t="str">
        <f t="shared" si="70"/>
        <v>116</v>
      </c>
      <c r="C1503" s="7" t="str">
        <f t="shared" si="71"/>
        <v>Escobar</v>
      </c>
      <c r="D1503" s="18" t="s">
        <v>4425</v>
      </c>
      <c r="E1503" s="18">
        <v>1</v>
      </c>
      <c r="F1503" s="18">
        <v>15</v>
      </c>
      <c r="G1503" s="18">
        <v>11</v>
      </c>
      <c r="H1503" s="18" t="s">
        <v>2603</v>
      </c>
    </row>
    <row r="1504" spans="1:8">
      <c r="A1504" s="7" t="str">
        <f t="shared" si="69"/>
        <v>11</v>
      </c>
      <c r="B1504" s="7" t="str">
        <f t="shared" si="70"/>
        <v>116</v>
      </c>
      <c r="C1504" s="7" t="str">
        <f t="shared" si="71"/>
        <v>Escobar</v>
      </c>
      <c r="D1504" s="18" t="s">
        <v>4426</v>
      </c>
      <c r="E1504" s="18">
        <v>2</v>
      </c>
      <c r="F1504" s="18">
        <v>61</v>
      </c>
      <c r="G1504" s="18">
        <v>11</v>
      </c>
      <c r="H1504" s="18" t="s">
        <v>2603</v>
      </c>
    </row>
    <row r="1505" spans="1:8">
      <c r="A1505" s="7" t="str">
        <f t="shared" si="69"/>
        <v>11</v>
      </c>
      <c r="B1505" s="7" t="str">
        <f t="shared" si="70"/>
        <v>116</v>
      </c>
      <c r="C1505" s="7" t="str">
        <f t="shared" si="71"/>
        <v>Escobar</v>
      </c>
      <c r="D1505" s="18" t="s">
        <v>4427</v>
      </c>
      <c r="E1505" s="18">
        <v>2</v>
      </c>
      <c r="F1505" s="18">
        <v>41</v>
      </c>
      <c r="G1505" s="18">
        <v>11</v>
      </c>
      <c r="H1505" s="18" t="s">
        <v>2603</v>
      </c>
    </row>
    <row r="1506" spans="1:8">
      <c r="A1506" s="7" t="str">
        <f t="shared" si="69"/>
        <v>11</v>
      </c>
      <c r="B1506" s="7" t="str">
        <f t="shared" si="70"/>
        <v>116</v>
      </c>
      <c r="C1506" s="7" t="str">
        <f t="shared" si="71"/>
        <v>Escobar</v>
      </c>
      <c r="D1506" s="18" t="s">
        <v>4428</v>
      </c>
      <c r="E1506" s="18">
        <v>1</v>
      </c>
      <c r="F1506" s="18">
        <v>11</v>
      </c>
      <c r="G1506" s="18">
        <v>11</v>
      </c>
      <c r="H1506" s="18" t="s">
        <v>2603</v>
      </c>
    </row>
    <row r="1507" spans="1:8">
      <c r="A1507" s="7" t="str">
        <f t="shared" si="69"/>
        <v>11</v>
      </c>
      <c r="B1507" s="7" t="str">
        <f t="shared" si="70"/>
        <v>116</v>
      </c>
      <c r="C1507" s="7" t="str">
        <f t="shared" si="71"/>
        <v>Escobar</v>
      </c>
      <c r="D1507" s="18" t="s">
        <v>4370</v>
      </c>
      <c r="E1507" s="18">
        <v>3</v>
      </c>
      <c r="F1507" s="18">
        <v>56</v>
      </c>
      <c r="G1507" s="18">
        <v>11</v>
      </c>
      <c r="H1507" s="18" t="s">
        <v>2603</v>
      </c>
    </row>
    <row r="1508" spans="1:8">
      <c r="A1508" s="7" t="str">
        <f t="shared" si="69"/>
        <v>11</v>
      </c>
      <c r="B1508" s="7" t="str">
        <f t="shared" si="70"/>
        <v>116</v>
      </c>
      <c r="C1508" s="7" t="str">
        <f t="shared" si="71"/>
        <v>Escobar</v>
      </c>
      <c r="D1508" s="18" t="s">
        <v>4429</v>
      </c>
      <c r="E1508" s="18">
        <v>5</v>
      </c>
      <c r="F1508" s="18">
        <v>111</v>
      </c>
      <c r="G1508" s="18">
        <v>11</v>
      </c>
      <c r="H1508" s="18" t="s">
        <v>2603</v>
      </c>
    </row>
    <row r="1509" spans="1:8">
      <c r="A1509" s="7" t="str">
        <f t="shared" si="69"/>
        <v>11</v>
      </c>
      <c r="B1509" s="7" t="str">
        <f t="shared" si="70"/>
        <v>116</v>
      </c>
      <c r="C1509" s="7" t="str">
        <f t="shared" si="71"/>
        <v>Escobar</v>
      </c>
      <c r="D1509" s="18" t="s">
        <v>4430</v>
      </c>
      <c r="E1509" s="18">
        <v>5</v>
      </c>
      <c r="F1509" s="18">
        <v>150</v>
      </c>
      <c r="G1509" s="18">
        <v>11</v>
      </c>
      <c r="H1509" s="18" t="s">
        <v>2603</v>
      </c>
    </row>
    <row r="1510" spans="1:8">
      <c r="A1510" s="7" t="str">
        <f t="shared" si="69"/>
        <v>11</v>
      </c>
      <c r="B1510" s="7" t="str">
        <f t="shared" si="70"/>
        <v>116</v>
      </c>
      <c r="C1510" s="7" t="str">
        <f t="shared" si="71"/>
        <v>Escobar</v>
      </c>
      <c r="D1510" s="18" t="s">
        <v>4431</v>
      </c>
      <c r="E1510" s="18">
        <v>5</v>
      </c>
      <c r="F1510" s="18">
        <v>69</v>
      </c>
      <c r="G1510" s="18">
        <v>11</v>
      </c>
      <c r="H1510" s="18" t="s">
        <v>2603</v>
      </c>
    </row>
    <row r="1511" spans="1:8">
      <c r="A1511" s="7" t="str">
        <f t="shared" si="69"/>
        <v>11</v>
      </c>
      <c r="B1511" s="7" t="str">
        <f t="shared" si="70"/>
        <v>116</v>
      </c>
      <c r="C1511" s="7" t="str">
        <f t="shared" si="71"/>
        <v>Escobar</v>
      </c>
      <c r="D1511" s="18" t="s">
        <v>4432</v>
      </c>
      <c r="E1511" s="18">
        <v>4</v>
      </c>
      <c r="F1511" s="18">
        <v>84</v>
      </c>
      <c r="G1511" s="18">
        <v>11</v>
      </c>
      <c r="H1511" s="18" t="s">
        <v>2603</v>
      </c>
    </row>
    <row r="1512" spans="1:8">
      <c r="A1512" s="7" t="str">
        <f t="shared" si="69"/>
        <v>11</v>
      </c>
      <c r="B1512" s="7" t="str">
        <f t="shared" si="70"/>
        <v>116</v>
      </c>
      <c r="C1512" s="7" t="str">
        <f t="shared" si="71"/>
        <v>Escobar</v>
      </c>
      <c r="D1512" s="18" t="s">
        <v>4433</v>
      </c>
      <c r="E1512" s="18">
        <v>1</v>
      </c>
      <c r="F1512" s="18">
        <v>0</v>
      </c>
      <c r="G1512" s="18">
        <v>11</v>
      </c>
      <c r="H1512" s="18" t="s">
        <v>2603</v>
      </c>
    </row>
    <row r="1513" spans="1:8">
      <c r="A1513" s="7" t="str">
        <f t="shared" si="69"/>
        <v>11</v>
      </c>
      <c r="B1513" s="7" t="str">
        <f t="shared" si="70"/>
        <v>116</v>
      </c>
      <c r="C1513" s="7" t="str">
        <f t="shared" si="71"/>
        <v>Escobar</v>
      </c>
      <c r="D1513" s="18" t="s">
        <v>4434</v>
      </c>
      <c r="E1513" s="18">
        <v>1</v>
      </c>
      <c r="F1513" s="18">
        <v>21</v>
      </c>
      <c r="G1513" s="18">
        <v>11</v>
      </c>
      <c r="H1513" s="18" t="s">
        <v>2603</v>
      </c>
    </row>
    <row r="1514" spans="1:8">
      <c r="A1514" s="7" t="str">
        <f t="shared" si="69"/>
        <v>11</v>
      </c>
      <c r="B1514" s="7" t="str">
        <f t="shared" si="70"/>
        <v>116</v>
      </c>
      <c r="C1514" s="7" t="str">
        <f t="shared" si="71"/>
        <v>Escobar</v>
      </c>
      <c r="D1514" s="18" t="s">
        <v>4435</v>
      </c>
      <c r="E1514" s="18">
        <v>1</v>
      </c>
      <c r="F1514" s="18">
        <v>15</v>
      </c>
      <c r="G1514" s="18">
        <v>11</v>
      </c>
      <c r="H1514" s="18" t="s">
        <v>2603</v>
      </c>
    </row>
    <row r="1515" spans="1:8">
      <c r="A1515" s="7" t="str">
        <f t="shared" si="69"/>
        <v>11</v>
      </c>
      <c r="B1515" s="7" t="str">
        <f t="shared" si="70"/>
        <v>116</v>
      </c>
      <c r="C1515" s="7" t="str">
        <f t="shared" si="71"/>
        <v>Escobar</v>
      </c>
      <c r="D1515" s="18" t="s">
        <v>4436</v>
      </c>
      <c r="E1515" s="18">
        <v>1</v>
      </c>
      <c r="F1515" s="18">
        <v>17</v>
      </c>
      <c r="G1515" s="18">
        <v>11</v>
      </c>
      <c r="H1515" s="18" t="s">
        <v>2603</v>
      </c>
    </row>
    <row r="1516" spans="1:8">
      <c r="A1516" s="7" t="str">
        <f t="shared" si="69"/>
        <v>11</v>
      </c>
      <c r="B1516" s="7" t="str">
        <f t="shared" si="70"/>
        <v>116</v>
      </c>
      <c r="C1516" s="7" t="str">
        <f t="shared" si="71"/>
        <v>Escobar</v>
      </c>
      <c r="D1516" s="18" t="s">
        <v>4437</v>
      </c>
      <c r="E1516" s="18">
        <v>1</v>
      </c>
      <c r="F1516" s="18">
        <v>20</v>
      </c>
      <c r="G1516" s="18">
        <v>11</v>
      </c>
      <c r="H1516" s="18" t="s">
        <v>2603</v>
      </c>
    </row>
    <row r="1517" spans="1:8">
      <c r="A1517" s="7" t="str">
        <f t="shared" si="69"/>
        <v>11</v>
      </c>
      <c r="B1517" s="7" t="str">
        <f t="shared" si="70"/>
        <v>116</v>
      </c>
      <c r="C1517" s="7" t="str">
        <f t="shared" si="71"/>
        <v>Escobar</v>
      </c>
      <c r="D1517" s="18" t="s">
        <v>4438</v>
      </c>
      <c r="E1517" s="18">
        <v>1</v>
      </c>
      <c r="F1517" s="18">
        <v>16</v>
      </c>
      <c r="G1517" s="18">
        <v>11</v>
      </c>
      <c r="H1517" s="18" t="s">
        <v>2603</v>
      </c>
    </row>
    <row r="1518" spans="1:8">
      <c r="A1518" s="7" t="str">
        <f t="shared" si="69"/>
        <v>11</v>
      </c>
      <c r="B1518" s="7" t="str">
        <f t="shared" si="70"/>
        <v>116</v>
      </c>
      <c r="C1518" s="7" t="str">
        <f t="shared" si="71"/>
        <v>Escobar</v>
      </c>
      <c r="D1518" s="18" t="s">
        <v>4439</v>
      </c>
      <c r="E1518" s="18">
        <v>2</v>
      </c>
      <c r="F1518" s="18">
        <v>48</v>
      </c>
      <c r="G1518" s="18">
        <v>11</v>
      </c>
      <c r="H1518" s="18" t="s">
        <v>2603</v>
      </c>
    </row>
    <row r="1519" spans="1:8">
      <c r="A1519" s="7" t="str">
        <f t="shared" si="69"/>
        <v>11</v>
      </c>
      <c r="B1519" s="7" t="str">
        <f t="shared" si="70"/>
        <v>116</v>
      </c>
      <c r="C1519" s="7" t="str">
        <f t="shared" si="71"/>
        <v>Escobar</v>
      </c>
      <c r="D1519" s="18" t="s">
        <v>4440</v>
      </c>
      <c r="E1519" s="18">
        <v>1</v>
      </c>
      <c r="F1519" s="18">
        <v>17</v>
      </c>
      <c r="G1519" s="18">
        <v>11</v>
      </c>
      <c r="H1519" s="18" t="s">
        <v>2603</v>
      </c>
    </row>
    <row r="1520" spans="1:8">
      <c r="A1520" s="7" t="str">
        <f t="shared" si="69"/>
        <v>11</v>
      </c>
      <c r="B1520" s="7" t="str">
        <f t="shared" si="70"/>
        <v>031</v>
      </c>
      <c r="C1520" s="7" t="str">
        <f t="shared" si="71"/>
        <v>Exaltación de la Cruz</v>
      </c>
      <c r="D1520" s="18" t="s">
        <v>4441</v>
      </c>
      <c r="E1520" s="18">
        <v>1</v>
      </c>
      <c r="F1520" s="18">
        <v>17</v>
      </c>
      <c r="G1520" s="18">
        <v>11</v>
      </c>
      <c r="H1520" s="18" t="s">
        <v>808</v>
      </c>
    </row>
    <row r="1521" spans="1:8">
      <c r="A1521" s="7" t="str">
        <f t="shared" si="69"/>
        <v>11</v>
      </c>
      <c r="B1521" s="7" t="str">
        <f t="shared" si="70"/>
        <v>031</v>
      </c>
      <c r="C1521" s="7" t="str">
        <f t="shared" si="71"/>
        <v>Exaltación de la Cruz</v>
      </c>
      <c r="D1521" s="18" t="s">
        <v>4442</v>
      </c>
      <c r="E1521" s="18">
        <v>1</v>
      </c>
      <c r="F1521" s="18">
        <v>23</v>
      </c>
      <c r="G1521" s="18">
        <v>11</v>
      </c>
      <c r="H1521" s="18" t="s">
        <v>808</v>
      </c>
    </row>
    <row r="1522" spans="1:8">
      <c r="A1522" s="7" t="str">
        <f t="shared" si="69"/>
        <v>11</v>
      </c>
      <c r="B1522" s="7" t="str">
        <f t="shared" si="70"/>
        <v>031</v>
      </c>
      <c r="C1522" s="7" t="str">
        <f t="shared" si="71"/>
        <v>Exaltación de la Cruz</v>
      </c>
      <c r="D1522" s="18" t="s">
        <v>4443</v>
      </c>
      <c r="E1522" s="18">
        <v>1</v>
      </c>
      <c r="F1522" s="18">
        <v>16</v>
      </c>
      <c r="G1522" s="18">
        <v>11</v>
      </c>
      <c r="H1522" s="18" t="s">
        <v>808</v>
      </c>
    </row>
    <row r="1523" spans="1:8">
      <c r="A1523" s="7" t="str">
        <f t="shared" si="69"/>
        <v>11</v>
      </c>
      <c r="B1523" s="7" t="str">
        <f t="shared" si="70"/>
        <v>031</v>
      </c>
      <c r="C1523" s="7" t="str">
        <f t="shared" si="71"/>
        <v>Exaltación de la Cruz</v>
      </c>
      <c r="D1523" s="18" t="s">
        <v>3904</v>
      </c>
      <c r="E1523" s="18">
        <v>3</v>
      </c>
      <c r="F1523" s="18">
        <v>86</v>
      </c>
      <c r="G1523" s="18">
        <v>11</v>
      </c>
      <c r="H1523" s="18" t="s">
        <v>808</v>
      </c>
    </row>
    <row r="1524" spans="1:8">
      <c r="A1524" s="7" t="str">
        <f t="shared" si="69"/>
        <v>11</v>
      </c>
      <c r="B1524" s="7" t="str">
        <f t="shared" si="70"/>
        <v>031</v>
      </c>
      <c r="C1524" s="7" t="str">
        <f t="shared" si="71"/>
        <v>Exaltación de la Cruz</v>
      </c>
      <c r="D1524" s="18" t="s">
        <v>4444</v>
      </c>
      <c r="E1524" s="18">
        <v>4</v>
      </c>
      <c r="F1524" s="18">
        <v>92</v>
      </c>
      <c r="G1524" s="18">
        <v>11</v>
      </c>
      <c r="H1524" s="18" t="s">
        <v>808</v>
      </c>
    </row>
    <row r="1525" spans="1:8">
      <c r="A1525" s="7" t="str">
        <f t="shared" si="69"/>
        <v>11</v>
      </c>
      <c r="B1525" s="7" t="str">
        <f t="shared" si="70"/>
        <v>031</v>
      </c>
      <c r="C1525" s="7" t="str">
        <f t="shared" si="71"/>
        <v>Exaltación de la Cruz</v>
      </c>
      <c r="D1525" s="18" t="s">
        <v>4445</v>
      </c>
      <c r="E1525" s="18">
        <v>3</v>
      </c>
      <c r="F1525" s="18">
        <v>73</v>
      </c>
      <c r="G1525" s="18">
        <v>11</v>
      </c>
      <c r="H1525" s="18" t="s">
        <v>808</v>
      </c>
    </row>
    <row r="1526" spans="1:8">
      <c r="A1526" s="7" t="str">
        <f t="shared" si="69"/>
        <v>11</v>
      </c>
      <c r="B1526" s="7" t="str">
        <f t="shared" si="70"/>
        <v>031</v>
      </c>
      <c r="C1526" s="7" t="str">
        <f t="shared" si="71"/>
        <v>Exaltación de la Cruz</v>
      </c>
      <c r="D1526" s="18" t="s">
        <v>4446</v>
      </c>
      <c r="E1526" s="18">
        <v>3</v>
      </c>
      <c r="F1526" s="18">
        <v>56</v>
      </c>
      <c r="G1526" s="18">
        <v>11</v>
      </c>
      <c r="H1526" s="18" t="s">
        <v>808</v>
      </c>
    </row>
    <row r="1527" spans="1:8">
      <c r="A1527" s="7" t="str">
        <f t="shared" si="69"/>
        <v>11</v>
      </c>
      <c r="B1527" s="7" t="str">
        <f t="shared" si="70"/>
        <v>083</v>
      </c>
      <c r="C1527" s="7" t="str">
        <f t="shared" si="71"/>
        <v>Pilar</v>
      </c>
      <c r="D1527" s="18" t="s">
        <v>4447</v>
      </c>
      <c r="E1527" s="18">
        <v>2</v>
      </c>
      <c r="F1527" s="18">
        <v>50</v>
      </c>
      <c r="G1527" s="18">
        <v>11</v>
      </c>
      <c r="H1527" s="18" t="s">
        <v>2048</v>
      </c>
    </row>
    <row r="1528" spans="1:8">
      <c r="A1528" s="7" t="str">
        <f t="shared" si="69"/>
        <v>11</v>
      </c>
      <c r="B1528" s="7" t="str">
        <f t="shared" si="70"/>
        <v>083</v>
      </c>
      <c r="C1528" s="7" t="str">
        <f t="shared" si="71"/>
        <v>Pilar</v>
      </c>
      <c r="D1528" s="18" t="s">
        <v>4448</v>
      </c>
      <c r="E1528" s="18">
        <v>3</v>
      </c>
      <c r="F1528" s="18">
        <v>116</v>
      </c>
      <c r="G1528" s="18">
        <v>11</v>
      </c>
      <c r="H1528" s="18" t="s">
        <v>2048</v>
      </c>
    </row>
    <row r="1529" spans="1:8">
      <c r="A1529" s="7" t="str">
        <f t="shared" si="69"/>
        <v>11</v>
      </c>
      <c r="B1529" s="7" t="str">
        <f t="shared" si="70"/>
        <v>083</v>
      </c>
      <c r="C1529" s="7" t="str">
        <f t="shared" si="71"/>
        <v>Pilar</v>
      </c>
      <c r="D1529" s="18" t="s">
        <v>4449</v>
      </c>
      <c r="E1529" s="18">
        <v>3</v>
      </c>
      <c r="F1529" s="18">
        <v>83</v>
      </c>
      <c r="G1529" s="18">
        <v>11</v>
      </c>
      <c r="H1529" s="18" t="s">
        <v>2048</v>
      </c>
    </row>
    <row r="1530" spans="1:8">
      <c r="A1530" s="7" t="str">
        <f t="shared" si="69"/>
        <v>11</v>
      </c>
      <c r="B1530" s="7" t="str">
        <f t="shared" si="70"/>
        <v>083</v>
      </c>
      <c r="C1530" s="7" t="str">
        <f t="shared" si="71"/>
        <v>Pilar</v>
      </c>
      <c r="D1530" s="18" t="s">
        <v>4450</v>
      </c>
      <c r="E1530" s="18">
        <v>4</v>
      </c>
      <c r="F1530" s="18">
        <v>83</v>
      </c>
      <c r="G1530" s="18">
        <v>11</v>
      </c>
      <c r="H1530" s="18" t="s">
        <v>2048</v>
      </c>
    </row>
    <row r="1531" spans="1:8">
      <c r="A1531" s="7" t="str">
        <f t="shared" si="69"/>
        <v>11</v>
      </c>
      <c r="B1531" s="7" t="str">
        <f t="shared" si="70"/>
        <v>083</v>
      </c>
      <c r="C1531" s="7" t="str">
        <f t="shared" si="71"/>
        <v>Pilar</v>
      </c>
      <c r="D1531" s="18" t="s">
        <v>4451</v>
      </c>
      <c r="E1531" s="18">
        <v>3</v>
      </c>
      <c r="F1531" s="18">
        <v>90</v>
      </c>
      <c r="G1531" s="18">
        <v>11</v>
      </c>
      <c r="H1531" s="18" t="s">
        <v>2048</v>
      </c>
    </row>
    <row r="1532" spans="1:8">
      <c r="A1532" s="7" t="str">
        <f t="shared" si="69"/>
        <v>11</v>
      </c>
      <c r="B1532" s="7" t="str">
        <f t="shared" si="70"/>
        <v>083</v>
      </c>
      <c r="C1532" s="7" t="str">
        <f t="shared" si="71"/>
        <v>Pilar</v>
      </c>
      <c r="D1532" s="18" t="s">
        <v>4452</v>
      </c>
      <c r="E1532" s="18">
        <v>1</v>
      </c>
      <c r="F1532" s="18">
        <v>22</v>
      </c>
      <c r="G1532" s="18">
        <v>11</v>
      </c>
      <c r="H1532" s="18" t="s">
        <v>2048</v>
      </c>
    </row>
    <row r="1533" spans="1:8">
      <c r="A1533" s="7" t="str">
        <f t="shared" si="69"/>
        <v>11</v>
      </c>
      <c r="B1533" s="7" t="str">
        <f t="shared" si="70"/>
        <v>083</v>
      </c>
      <c r="C1533" s="7" t="str">
        <f t="shared" si="71"/>
        <v>Pilar</v>
      </c>
      <c r="D1533" s="18" t="s">
        <v>4453</v>
      </c>
      <c r="E1533" s="18">
        <v>1</v>
      </c>
      <c r="F1533" s="18">
        <v>23</v>
      </c>
      <c r="G1533" s="18">
        <v>11</v>
      </c>
      <c r="H1533" s="18" t="s">
        <v>2048</v>
      </c>
    </row>
    <row r="1534" spans="1:8">
      <c r="A1534" s="7" t="str">
        <f t="shared" si="69"/>
        <v>11</v>
      </c>
      <c r="B1534" s="7" t="str">
        <f t="shared" si="70"/>
        <v>083</v>
      </c>
      <c r="C1534" s="7" t="str">
        <f t="shared" si="71"/>
        <v>Pilar</v>
      </c>
      <c r="D1534" s="18" t="s">
        <v>4454</v>
      </c>
      <c r="E1534" s="18">
        <v>1</v>
      </c>
      <c r="F1534" s="18">
        <v>16</v>
      </c>
      <c r="G1534" s="18">
        <v>11</v>
      </c>
      <c r="H1534" s="18" t="s">
        <v>2048</v>
      </c>
    </row>
    <row r="1535" spans="1:8">
      <c r="A1535" s="7" t="str">
        <f t="shared" si="69"/>
        <v>11</v>
      </c>
      <c r="B1535" s="7" t="str">
        <f t="shared" si="70"/>
        <v>083</v>
      </c>
      <c r="C1535" s="7" t="str">
        <f t="shared" si="71"/>
        <v>Pilar</v>
      </c>
      <c r="D1535" s="18" t="s">
        <v>4455</v>
      </c>
      <c r="E1535" s="18">
        <v>1</v>
      </c>
      <c r="F1535" s="18">
        <v>23</v>
      </c>
      <c r="G1535" s="18">
        <v>11</v>
      </c>
      <c r="H1535" s="18" t="s">
        <v>2048</v>
      </c>
    </row>
    <row r="1536" spans="1:8">
      <c r="A1536" s="7" t="str">
        <f t="shared" si="69"/>
        <v>11</v>
      </c>
      <c r="B1536" s="7" t="str">
        <f t="shared" si="70"/>
        <v>083</v>
      </c>
      <c r="C1536" s="7" t="str">
        <f t="shared" si="71"/>
        <v>Pilar</v>
      </c>
      <c r="D1536" s="18" t="s">
        <v>4456</v>
      </c>
      <c r="E1536" s="18">
        <v>1</v>
      </c>
      <c r="F1536" s="18">
        <v>18</v>
      </c>
      <c r="G1536" s="18">
        <v>11</v>
      </c>
      <c r="H1536" s="18" t="s">
        <v>2048</v>
      </c>
    </row>
    <row r="1537" spans="1:8">
      <c r="A1537" s="7" t="str">
        <f t="shared" si="69"/>
        <v>11</v>
      </c>
      <c r="B1537" s="7" t="str">
        <f t="shared" si="70"/>
        <v>083</v>
      </c>
      <c r="C1537" s="7" t="str">
        <f t="shared" si="71"/>
        <v>Pilar</v>
      </c>
      <c r="D1537" s="18" t="s">
        <v>4457</v>
      </c>
      <c r="E1537" s="18">
        <v>2</v>
      </c>
      <c r="F1537" s="18">
        <v>45</v>
      </c>
      <c r="G1537" s="18">
        <v>11</v>
      </c>
      <c r="H1537" s="18" t="s">
        <v>2048</v>
      </c>
    </row>
    <row r="1538" spans="1:8">
      <c r="A1538" s="7" t="str">
        <f t="shared" si="69"/>
        <v>11</v>
      </c>
      <c r="B1538" s="7" t="str">
        <f t="shared" si="70"/>
        <v>083</v>
      </c>
      <c r="C1538" s="7" t="str">
        <f t="shared" si="71"/>
        <v>Pilar</v>
      </c>
      <c r="D1538" s="18" t="s">
        <v>4458</v>
      </c>
      <c r="E1538" s="18">
        <v>2</v>
      </c>
      <c r="F1538" s="18">
        <v>48</v>
      </c>
      <c r="G1538" s="18">
        <v>11</v>
      </c>
      <c r="H1538" s="18" t="s">
        <v>2048</v>
      </c>
    </row>
    <row r="1539" spans="1:8">
      <c r="A1539" s="7" t="str">
        <f t="shared" ref="A1539:A1602" si="72">+VLOOKUP(H1539,$K:$N,2,FALSE)</f>
        <v>11</v>
      </c>
      <c r="B1539" s="7" t="str">
        <f t="shared" ref="B1539:B1602" si="73">+VLOOKUP(H1539,$K:$N,3,FALSE)</f>
        <v>083</v>
      </c>
      <c r="C1539" s="7" t="str">
        <f t="shared" ref="C1539:C1602" si="74">+VLOOKUP(H1539,$K:$N,4,FALSE)</f>
        <v>Pilar</v>
      </c>
      <c r="D1539" s="18" t="s">
        <v>4459</v>
      </c>
      <c r="E1539" s="18">
        <v>3</v>
      </c>
      <c r="F1539" s="18">
        <v>78</v>
      </c>
      <c r="G1539" s="18">
        <v>11</v>
      </c>
      <c r="H1539" s="18" t="s">
        <v>2048</v>
      </c>
    </row>
    <row r="1540" spans="1:8">
      <c r="A1540" s="7" t="str">
        <f t="shared" si="72"/>
        <v>11</v>
      </c>
      <c r="B1540" s="7" t="str">
        <f t="shared" si="73"/>
        <v>083</v>
      </c>
      <c r="C1540" s="7" t="str">
        <f t="shared" si="74"/>
        <v>Pilar</v>
      </c>
      <c r="D1540" s="18" t="s">
        <v>4460</v>
      </c>
      <c r="E1540" s="18">
        <v>3</v>
      </c>
      <c r="F1540" s="18">
        <v>78</v>
      </c>
      <c r="G1540" s="18">
        <v>11</v>
      </c>
      <c r="H1540" s="18" t="s">
        <v>2048</v>
      </c>
    </row>
    <row r="1541" spans="1:8">
      <c r="A1541" s="7" t="str">
        <f t="shared" si="72"/>
        <v>11</v>
      </c>
      <c r="B1541" s="7" t="str">
        <f t="shared" si="73"/>
        <v>083</v>
      </c>
      <c r="C1541" s="7" t="str">
        <f t="shared" si="74"/>
        <v>Pilar</v>
      </c>
      <c r="D1541" s="18" t="s">
        <v>4461</v>
      </c>
      <c r="E1541" s="18">
        <v>4</v>
      </c>
      <c r="F1541" s="18">
        <v>68</v>
      </c>
      <c r="G1541" s="18">
        <v>11</v>
      </c>
      <c r="H1541" s="18" t="s">
        <v>2048</v>
      </c>
    </row>
    <row r="1542" spans="1:8">
      <c r="A1542" s="7" t="str">
        <f t="shared" si="72"/>
        <v>11</v>
      </c>
      <c r="B1542" s="7" t="str">
        <f t="shared" si="73"/>
        <v>083</v>
      </c>
      <c r="C1542" s="7" t="str">
        <f t="shared" si="74"/>
        <v>Pilar</v>
      </c>
      <c r="D1542" s="18" t="s">
        <v>4462</v>
      </c>
      <c r="E1542" s="18">
        <v>2</v>
      </c>
      <c r="F1542" s="18">
        <v>32</v>
      </c>
      <c r="G1542" s="18">
        <v>11</v>
      </c>
      <c r="H1542" s="18" t="s">
        <v>2048</v>
      </c>
    </row>
    <row r="1543" spans="1:8">
      <c r="A1543" s="7" t="str">
        <f t="shared" si="72"/>
        <v>11</v>
      </c>
      <c r="B1543" s="7" t="str">
        <f t="shared" si="73"/>
        <v>083</v>
      </c>
      <c r="C1543" s="7" t="str">
        <f t="shared" si="74"/>
        <v>Pilar</v>
      </c>
      <c r="D1543" s="18" t="s">
        <v>4463</v>
      </c>
      <c r="E1543" s="18">
        <v>1</v>
      </c>
      <c r="F1543" s="18">
        <v>55</v>
      </c>
      <c r="G1543" s="18">
        <v>11</v>
      </c>
      <c r="H1543" s="18" t="s">
        <v>2048</v>
      </c>
    </row>
    <row r="1544" spans="1:8">
      <c r="A1544" s="7" t="str">
        <f t="shared" si="72"/>
        <v>11</v>
      </c>
      <c r="B1544" s="7" t="str">
        <f t="shared" si="73"/>
        <v>083</v>
      </c>
      <c r="C1544" s="7" t="str">
        <f t="shared" si="74"/>
        <v>Pilar</v>
      </c>
      <c r="D1544" s="18" t="s">
        <v>4464</v>
      </c>
      <c r="E1544" s="18">
        <v>3</v>
      </c>
      <c r="F1544" s="18">
        <v>54</v>
      </c>
      <c r="G1544" s="18">
        <v>11</v>
      </c>
      <c r="H1544" s="18" t="s">
        <v>2048</v>
      </c>
    </row>
    <row r="1545" spans="1:8">
      <c r="A1545" s="7" t="str">
        <f t="shared" si="72"/>
        <v>11</v>
      </c>
      <c r="B1545" s="7" t="str">
        <f t="shared" si="73"/>
        <v>083</v>
      </c>
      <c r="C1545" s="7" t="str">
        <f t="shared" si="74"/>
        <v>Pilar</v>
      </c>
      <c r="D1545" s="18" t="s">
        <v>4465</v>
      </c>
      <c r="E1545" s="18">
        <v>1</v>
      </c>
      <c r="F1545" s="18">
        <v>22</v>
      </c>
      <c r="G1545" s="18">
        <v>11</v>
      </c>
      <c r="H1545" s="18" t="s">
        <v>2048</v>
      </c>
    </row>
    <row r="1546" spans="1:8">
      <c r="A1546" s="7" t="str">
        <f t="shared" si="72"/>
        <v>11</v>
      </c>
      <c r="B1546" s="7" t="str">
        <f t="shared" si="73"/>
        <v>083</v>
      </c>
      <c r="C1546" s="7" t="str">
        <f t="shared" si="74"/>
        <v>Pilar</v>
      </c>
      <c r="D1546" s="18" t="s">
        <v>4319</v>
      </c>
      <c r="E1546" s="18">
        <v>3</v>
      </c>
      <c r="F1546" s="18">
        <v>87</v>
      </c>
      <c r="G1546" s="18">
        <v>11</v>
      </c>
      <c r="H1546" s="18" t="s">
        <v>2048</v>
      </c>
    </row>
    <row r="1547" spans="1:8">
      <c r="A1547" s="7" t="str">
        <f t="shared" si="72"/>
        <v>11</v>
      </c>
      <c r="B1547" s="7" t="str">
        <f t="shared" si="73"/>
        <v>083</v>
      </c>
      <c r="C1547" s="7" t="str">
        <f t="shared" si="74"/>
        <v>Pilar</v>
      </c>
      <c r="D1547" s="18" t="s">
        <v>4466</v>
      </c>
      <c r="E1547" s="18">
        <v>5</v>
      </c>
      <c r="F1547" s="18">
        <v>132</v>
      </c>
      <c r="G1547" s="18">
        <v>11</v>
      </c>
      <c r="H1547" s="18" t="s">
        <v>2048</v>
      </c>
    </row>
    <row r="1548" spans="1:8">
      <c r="A1548" s="7" t="str">
        <f t="shared" si="72"/>
        <v>11</v>
      </c>
      <c r="B1548" s="7" t="str">
        <f t="shared" si="73"/>
        <v>083</v>
      </c>
      <c r="C1548" s="7" t="str">
        <f t="shared" si="74"/>
        <v>Pilar</v>
      </c>
      <c r="D1548" s="18" t="s">
        <v>4467</v>
      </c>
      <c r="E1548" s="18">
        <v>2</v>
      </c>
      <c r="F1548" s="18">
        <v>48</v>
      </c>
      <c r="G1548" s="18">
        <v>11</v>
      </c>
      <c r="H1548" s="18" t="s">
        <v>2048</v>
      </c>
    </row>
    <row r="1549" spans="1:8">
      <c r="A1549" s="7" t="str">
        <f t="shared" si="72"/>
        <v>11</v>
      </c>
      <c r="B1549" s="7" t="str">
        <f t="shared" si="73"/>
        <v>083</v>
      </c>
      <c r="C1549" s="7" t="str">
        <f t="shared" si="74"/>
        <v>Pilar</v>
      </c>
      <c r="D1549" s="18" t="s">
        <v>4468</v>
      </c>
      <c r="E1549" s="18">
        <v>3</v>
      </c>
      <c r="F1549" s="18">
        <v>71</v>
      </c>
      <c r="G1549" s="18">
        <v>11</v>
      </c>
      <c r="H1549" s="18" t="s">
        <v>2048</v>
      </c>
    </row>
    <row r="1550" spans="1:8">
      <c r="A1550" s="7" t="str">
        <f t="shared" si="72"/>
        <v>11</v>
      </c>
      <c r="B1550" s="7" t="str">
        <f t="shared" si="73"/>
        <v>083</v>
      </c>
      <c r="C1550" s="7" t="str">
        <f t="shared" si="74"/>
        <v>Pilar</v>
      </c>
      <c r="D1550" s="18" t="s">
        <v>4469</v>
      </c>
      <c r="E1550" s="18">
        <v>6</v>
      </c>
      <c r="F1550" s="18">
        <v>113</v>
      </c>
      <c r="G1550" s="18">
        <v>11</v>
      </c>
      <c r="H1550" s="18" t="s">
        <v>2048</v>
      </c>
    </row>
    <row r="1551" spans="1:8">
      <c r="A1551" s="7" t="str">
        <f t="shared" si="72"/>
        <v>11</v>
      </c>
      <c r="B1551" s="7" t="str">
        <f t="shared" si="73"/>
        <v>083</v>
      </c>
      <c r="C1551" s="7" t="str">
        <f t="shared" si="74"/>
        <v>Pilar</v>
      </c>
      <c r="D1551" s="18" t="s">
        <v>4470</v>
      </c>
      <c r="E1551" s="18">
        <v>3</v>
      </c>
      <c r="F1551" s="18">
        <v>72</v>
      </c>
      <c r="G1551" s="18">
        <v>11</v>
      </c>
      <c r="H1551" s="18" t="s">
        <v>2048</v>
      </c>
    </row>
    <row r="1552" spans="1:8">
      <c r="A1552" s="7" t="str">
        <f t="shared" si="72"/>
        <v>11</v>
      </c>
      <c r="B1552" s="7" t="str">
        <f t="shared" si="73"/>
        <v>083</v>
      </c>
      <c r="C1552" s="7" t="str">
        <f t="shared" si="74"/>
        <v>Pilar</v>
      </c>
      <c r="D1552" s="18" t="s">
        <v>4471</v>
      </c>
      <c r="E1552" s="18">
        <v>2</v>
      </c>
      <c r="F1552" s="18">
        <v>72</v>
      </c>
      <c r="G1552" s="18">
        <v>11</v>
      </c>
      <c r="H1552" s="18" t="s">
        <v>2048</v>
      </c>
    </row>
    <row r="1553" spans="1:8">
      <c r="A1553" s="7" t="str">
        <f t="shared" si="72"/>
        <v>11</v>
      </c>
      <c r="B1553" s="7" t="str">
        <f t="shared" si="73"/>
        <v>083</v>
      </c>
      <c r="C1553" s="7" t="str">
        <f t="shared" si="74"/>
        <v>Pilar</v>
      </c>
      <c r="D1553" s="18" t="s">
        <v>4472</v>
      </c>
      <c r="E1553" s="18">
        <v>2</v>
      </c>
      <c r="F1553" s="18">
        <v>37</v>
      </c>
      <c r="G1553" s="18">
        <v>11</v>
      </c>
      <c r="H1553" s="18" t="s">
        <v>2048</v>
      </c>
    </row>
    <row r="1554" spans="1:8">
      <c r="A1554" s="7" t="str">
        <f t="shared" si="72"/>
        <v>11</v>
      </c>
      <c r="B1554" s="7" t="str">
        <f t="shared" si="73"/>
        <v>083</v>
      </c>
      <c r="C1554" s="7" t="str">
        <f t="shared" si="74"/>
        <v>Pilar</v>
      </c>
      <c r="D1554" s="18" t="s">
        <v>4473</v>
      </c>
      <c r="E1554" s="18">
        <v>3</v>
      </c>
      <c r="F1554" s="18">
        <v>98</v>
      </c>
      <c r="G1554" s="18">
        <v>11</v>
      </c>
      <c r="H1554" s="18" t="s">
        <v>2048</v>
      </c>
    </row>
    <row r="1555" spans="1:8">
      <c r="A1555" s="7" t="str">
        <f t="shared" si="72"/>
        <v>11</v>
      </c>
      <c r="B1555" s="7" t="str">
        <f t="shared" si="73"/>
        <v>083</v>
      </c>
      <c r="C1555" s="7" t="str">
        <f t="shared" si="74"/>
        <v>Pilar</v>
      </c>
      <c r="D1555" s="18" t="s">
        <v>4474</v>
      </c>
      <c r="E1555" s="18">
        <v>4</v>
      </c>
      <c r="F1555" s="18">
        <v>107</v>
      </c>
      <c r="G1555" s="18">
        <v>11</v>
      </c>
      <c r="H1555" s="18" t="s">
        <v>2048</v>
      </c>
    </row>
    <row r="1556" spans="1:8">
      <c r="A1556" s="7" t="str">
        <f t="shared" si="72"/>
        <v>11</v>
      </c>
      <c r="B1556" s="7" t="str">
        <f t="shared" si="73"/>
        <v>083</v>
      </c>
      <c r="C1556" s="7" t="str">
        <f t="shared" si="74"/>
        <v>Pilar</v>
      </c>
      <c r="D1556" s="18" t="s">
        <v>4475</v>
      </c>
      <c r="E1556" s="18">
        <v>2</v>
      </c>
      <c r="F1556" s="18">
        <v>50</v>
      </c>
      <c r="G1556" s="18">
        <v>11</v>
      </c>
      <c r="H1556" s="18" t="s">
        <v>2048</v>
      </c>
    </row>
    <row r="1557" spans="1:8">
      <c r="A1557" s="7" t="str">
        <f t="shared" si="72"/>
        <v>11</v>
      </c>
      <c r="B1557" s="7" t="str">
        <f t="shared" si="73"/>
        <v>083</v>
      </c>
      <c r="C1557" s="7" t="str">
        <f t="shared" si="74"/>
        <v>Pilar</v>
      </c>
      <c r="D1557" s="18" t="s">
        <v>4476</v>
      </c>
      <c r="E1557" s="18">
        <v>1</v>
      </c>
      <c r="F1557" s="18">
        <v>36</v>
      </c>
      <c r="G1557" s="18">
        <v>11</v>
      </c>
      <c r="H1557" s="18" t="s">
        <v>2048</v>
      </c>
    </row>
    <row r="1558" spans="1:8">
      <c r="A1558" s="7" t="str">
        <f t="shared" si="72"/>
        <v>11</v>
      </c>
      <c r="B1558" s="7" t="str">
        <f t="shared" si="73"/>
        <v>083</v>
      </c>
      <c r="C1558" s="7" t="str">
        <f t="shared" si="74"/>
        <v>Pilar</v>
      </c>
      <c r="D1558" s="18" t="s">
        <v>4477</v>
      </c>
      <c r="E1558" s="18">
        <v>1</v>
      </c>
      <c r="F1558" s="18">
        <v>16</v>
      </c>
      <c r="G1558" s="18">
        <v>11</v>
      </c>
      <c r="H1558" s="18" t="s">
        <v>2048</v>
      </c>
    </row>
    <row r="1559" spans="1:8">
      <c r="A1559" s="7" t="str">
        <f t="shared" si="72"/>
        <v>11</v>
      </c>
      <c r="B1559" s="7" t="str">
        <f t="shared" si="73"/>
        <v>083</v>
      </c>
      <c r="C1559" s="7" t="str">
        <f t="shared" si="74"/>
        <v>Pilar</v>
      </c>
      <c r="D1559" s="18" t="s">
        <v>4478</v>
      </c>
      <c r="E1559" s="18">
        <v>1</v>
      </c>
      <c r="F1559" s="18">
        <v>26</v>
      </c>
      <c r="G1559" s="18">
        <v>11</v>
      </c>
      <c r="H1559" s="18" t="s">
        <v>2048</v>
      </c>
    </row>
    <row r="1560" spans="1:8">
      <c r="A1560" s="7" t="str">
        <f t="shared" si="72"/>
        <v>11</v>
      </c>
      <c r="B1560" s="7" t="str">
        <f t="shared" si="73"/>
        <v>083</v>
      </c>
      <c r="C1560" s="7" t="str">
        <f t="shared" si="74"/>
        <v>Pilar</v>
      </c>
      <c r="D1560" s="18" t="s">
        <v>4479</v>
      </c>
      <c r="E1560" s="18">
        <v>1</v>
      </c>
      <c r="F1560" s="18">
        <v>34</v>
      </c>
      <c r="G1560" s="18">
        <v>11</v>
      </c>
      <c r="H1560" s="18" t="s">
        <v>2048</v>
      </c>
    </row>
    <row r="1561" spans="1:8">
      <c r="A1561" s="7" t="str">
        <f t="shared" si="72"/>
        <v>11</v>
      </c>
      <c r="B1561" s="7" t="str">
        <f t="shared" si="73"/>
        <v>083</v>
      </c>
      <c r="C1561" s="7" t="str">
        <f t="shared" si="74"/>
        <v>Pilar</v>
      </c>
      <c r="D1561" s="18" t="s">
        <v>4480</v>
      </c>
      <c r="E1561" s="18">
        <v>1</v>
      </c>
      <c r="F1561" s="18">
        <v>14</v>
      </c>
      <c r="G1561" s="18">
        <v>11</v>
      </c>
      <c r="H1561" s="18" t="s">
        <v>2048</v>
      </c>
    </row>
    <row r="1562" spans="1:8">
      <c r="A1562" s="7" t="str">
        <f t="shared" si="72"/>
        <v>11</v>
      </c>
      <c r="B1562" s="7" t="str">
        <f t="shared" si="73"/>
        <v>083</v>
      </c>
      <c r="C1562" s="7" t="str">
        <f t="shared" si="74"/>
        <v>Pilar</v>
      </c>
      <c r="D1562" s="18" t="s">
        <v>4481</v>
      </c>
      <c r="E1562" s="18">
        <v>1</v>
      </c>
      <c r="F1562" s="18">
        <v>29</v>
      </c>
      <c r="G1562" s="18">
        <v>11</v>
      </c>
      <c r="H1562" s="18" t="s">
        <v>2048</v>
      </c>
    </row>
    <row r="1563" spans="1:8">
      <c r="A1563" s="7" t="str">
        <f t="shared" si="72"/>
        <v>11</v>
      </c>
      <c r="B1563" s="7" t="str">
        <f t="shared" si="73"/>
        <v>083</v>
      </c>
      <c r="C1563" s="7" t="str">
        <f t="shared" si="74"/>
        <v>Pilar</v>
      </c>
      <c r="D1563" s="18" t="s">
        <v>4482</v>
      </c>
      <c r="E1563" s="18">
        <v>1</v>
      </c>
      <c r="F1563" s="18">
        <v>16</v>
      </c>
      <c r="G1563" s="18">
        <v>11</v>
      </c>
      <c r="H1563" s="18" t="s">
        <v>2048</v>
      </c>
    </row>
    <row r="1564" spans="1:8">
      <c r="A1564" s="7" t="str">
        <f t="shared" si="72"/>
        <v>11</v>
      </c>
      <c r="B1564" s="7" t="str">
        <f t="shared" si="73"/>
        <v>083</v>
      </c>
      <c r="C1564" s="7" t="str">
        <f t="shared" si="74"/>
        <v>Pilar</v>
      </c>
      <c r="D1564" s="18" t="s">
        <v>4483</v>
      </c>
      <c r="E1564" s="18">
        <v>1</v>
      </c>
      <c r="F1564" s="18">
        <v>37</v>
      </c>
      <c r="G1564" s="18">
        <v>11</v>
      </c>
      <c r="H1564" s="18" t="s">
        <v>2048</v>
      </c>
    </row>
    <row r="1565" spans="1:8">
      <c r="A1565" s="7" t="str">
        <f t="shared" si="72"/>
        <v>11</v>
      </c>
      <c r="B1565" s="7" t="str">
        <f t="shared" si="73"/>
        <v>083</v>
      </c>
      <c r="C1565" s="7" t="str">
        <f t="shared" si="74"/>
        <v>Pilar</v>
      </c>
      <c r="D1565" s="18" t="s">
        <v>4484</v>
      </c>
      <c r="E1565" s="18">
        <v>1</v>
      </c>
      <c r="F1565" s="18">
        <v>23</v>
      </c>
      <c r="G1565" s="18">
        <v>11</v>
      </c>
      <c r="H1565" s="18" t="s">
        <v>2048</v>
      </c>
    </row>
    <row r="1566" spans="1:8">
      <c r="A1566" s="7" t="str">
        <f t="shared" si="72"/>
        <v>11</v>
      </c>
      <c r="B1566" s="7" t="str">
        <f t="shared" si="73"/>
        <v>083</v>
      </c>
      <c r="C1566" s="7" t="str">
        <f t="shared" si="74"/>
        <v>Pilar</v>
      </c>
      <c r="D1566" s="18" t="s">
        <v>4485</v>
      </c>
      <c r="E1566" s="18">
        <v>2</v>
      </c>
      <c r="F1566" s="18">
        <v>56</v>
      </c>
      <c r="G1566" s="18">
        <v>11</v>
      </c>
      <c r="H1566" s="18" t="s">
        <v>2048</v>
      </c>
    </row>
    <row r="1567" spans="1:8">
      <c r="A1567" s="7" t="str">
        <f t="shared" si="72"/>
        <v>11</v>
      </c>
      <c r="B1567" s="7" t="str">
        <f t="shared" si="73"/>
        <v>083</v>
      </c>
      <c r="C1567" s="7" t="str">
        <f t="shared" si="74"/>
        <v>Pilar</v>
      </c>
      <c r="D1567" s="18" t="s">
        <v>4486</v>
      </c>
      <c r="E1567" s="18">
        <v>1</v>
      </c>
      <c r="F1567" s="18">
        <v>12</v>
      </c>
      <c r="G1567" s="18">
        <v>11</v>
      </c>
      <c r="H1567" s="18" t="s">
        <v>2048</v>
      </c>
    </row>
    <row r="1568" spans="1:8">
      <c r="A1568" s="7" t="str">
        <f t="shared" si="72"/>
        <v>11</v>
      </c>
      <c r="B1568" s="7" t="str">
        <f t="shared" si="73"/>
        <v>083</v>
      </c>
      <c r="C1568" s="7" t="str">
        <f t="shared" si="74"/>
        <v>Pilar</v>
      </c>
      <c r="D1568" s="18" t="s">
        <v>4487</v>
      </c>
      <c r="E1568" s="18">
        <v>1</v>
      </c>
      <c r="F1568" s="18">
        <v>16</v>
      </c>
      <c r="G1568" s="18">
        <v>11</v>
      </c>
      <c r="H1568" s="18" t="s">
        <v>2048</v>
      </c>
    </row>
    <row r="1569" spans="1:8">
      <c r="A1569" s="7" t="str">
        <f t="shared" si="72"/>
        <v>11</v>
      </c>
      <c r="B1569" s="7" t="str">
        <f t="shared" si="73"/>
        <v>083</v>
      </c>
      <c r="C1569" s="7" t="str">
        <f t="shared" si="74"/>
        <v>Pilar</v>
      </c>
      <c r="D1569" s="18" t="s">
        <v>4488</v>
      </c>
      <c r="E1569" s="18">
        <v>3</v>
      </c>
      <c r="F1569" s="18">
        <v>88</v>
      </c>
      <c r="G1569" s="18">
        <v>11</v>
      </c>
      <c r="H1569" s="18" t="s">
        <v>2048</v>
      </c>
    </row>
    <row r="1570" spans="1:8">
      <c r="A1570" s="7" t="str">
        <f t="shared" si="72"/>
        <v>11</v>
      </c>
      <c r="B1570" s="7" t="str">
        <f t="shared" si="73"/>
        <v>083</v>
      </c>
      <c r="C1570" s="7" t="str">
        <f t="shared" si="74"/>
        <v>Pilar</v>
      </c>
      <c r="D1570" s="18" t="s">
        <v>4489</v>
      </c>
      <c r="E1570" s="18">
        <v>1</v>
      </c>
      <c r="F1570" s="18">
        <v>18</v>
      </c>
      <c r="G1570" s="18">
        <v>11</v>
      </c>
      <c r="H1570" s="18" t="s">
        <v>2048</v>
      </c>
    </row>
    <row r="1571" spans="1:8">
      <c r="A1571" s="7" t="str">
        <f t="shared" si="72"/>
        <v>11</v>
      </c>
      <c r="B1571" s="7" t="str">
        <f t="shared" si="73"/>
        <v>083</v>
      </c>
      <c r="C1571" s="7" t="str">
        <f t="shared" si="74"/>
        <v>Pilar</v>
      </c>
      <c r="D1571" s="18" t="s">
        <v>4490</v>
      </c>
      <c r="E1571" s="18">
        <v>2</v>
      </c>
      <c r="F1571" s="18">
        <v>40</v>
      </c>
      <c r="G1571" s="18">
        <v>11</v>
      </c>
      <c r="H1571" s="18" t="s">
        <v>2048</v>
      </c>
    </row>
    <row r="1572" spans="1:8">
      <c r="A1572" s="7" t="str">
        <f t="shared" si="72"/>
        <v>11</v>
      </c>
      <c r="B1572" s="7" t="str">
        <f t="shared" si="73"/>
        <v>083</v>
      </c>
      <c r="C1572" s="7" t="str">
        <f t="shared" si="74"/>
        <v>Pilar</v>
      </c>
      <c r="D1572" s="18" t="s">
        <v>2072</v>
      </c>
      <c r="E1572" s="18">
        <v>1</v>
      </c>
      <c r="F1572" s="18">
        <v>17</v>
      </c>
      <c r="G1572" s="18">
        <v>11</v>
      </c>
      <c r="H1572" s="18" t="s">
        <v>2048</v>
      </c>
    </row>
    <row r="1573" spans="1:8">
      <c r="A1573" s="7" t="str">
        <f t="shared" si="72"/>
        <v>11</v>
      </c>
      <c r="B1573" s="7" t="str">
        <f t="shared" si="73"/>
        <v>083</v>
      </c>
      <c r="C1573" s="7" t="str">
        <f t="shared" si="74"/>
        <v>Pilar</v>
      </c>
      <c r="D1573" s="18" t="s">
        <v>4491</v>
      </c>
      <c r="E1573" s="18">
        <v>1</v>
      </c>
      <c r="F1573" s="18">
        <v>21</v>
      </c>
      <c r="G1573" s="18">
        <v>11</v>
      </c>
      <c r="H1573" s="18" t="s">
        <v>2048</v>
      </c>
    </row>
    <row r="1574" spans="1:8">
      <c r="A1574" s="7" t="str">
        <f t="shared" si="72"/>
        <v>11</v>
      </c>
      <c r="B1574" s="7" t="str">
        <f t="shared" si="73"/>
        <v>083</v>
      </c>
      <c r="C1574" s="7" t="str">
        <f t="shared" si="74"/>
        <v>Pilar</v>
      </c>
      <c r="D1574" s="18" t="s">
        <v>4492</v>
      </c>
      <c r="E1574" s="18">
        <v>2</v>
      </c>
      <c r="F1574" s="18">
        <v>36</v>
      </c>
      <c r="G1574" s="18">
        <v>11</v>
      </c>
      <c r="H1574" s="18" t="s">
        <v>2048</v>
      </c>
    </row>
    <row r="1575" spans="1:8">
      <c r="A1575" s="7" t="str">
        <f t="shared" si="72"/>
        <v>11</v>
      </c>
      <c r="B1575" s="7" t="str">
        <f t="shared" si="73"/>
        <v>083</v>
      </c>
      <c r="C1575" s="7" t="str">
        <f t="shared" si="74"/>
        <v>Pilar</v>
      </c>
      <c r="D1575" s="18" t="s">
        <v>4493</v>
      </c>
      <c r="E1575" s="18">
        <v>2</v>
      </c>
      <c r="F1575" s="18">
        <v>31</v>
      </c>
      <c r="G1575" s="18">
        <v>11</v>
      </c>
      <c r="H1575" s="18" t="s">
        <v>2048</v>
      </c>
    </row>
    <row r="1576" spans="1:8">
      <c r="A1576" s="7" t="str">
        <f t="shared" si="72"/>
        <v>11</v>
      </c>
      <c r="B1576" s="7" t="str">
        <f t="shared" si="73"/>
        <v>083</v>
      </c>
      <c r="C1576" s="7" t="str">
        <f t="shared" si="74"/>
        <v>Pilar</v>
      </c>
      <c r="D1576" s="18" t="s">
        <v>4494</v>
      </c>
      <c r="E1576" s="18">
        <v>2</v>
      </c>
      <c r="F1576" s="18">
        <v>37</v>
      </c>
      <c r="G1576" s="18">
        <v>11</v>
      </c>
      <c r="H1576" s="18" t="s">
        <v>2048</v>
      </c>
    </row>
    <row r="1577" spans="1:8">
      <c r="A1577" s="7" t="str">
        <f t="shared" si="72"/>
        <v>11</v>
      </c>
      <c r="B1577" s="7" t="str">
        <f t="shared" si="73"/>
        <v>083</v>
      </c>
      <c r="C1577" s="7" t="str">
        <f t="shared" si="74"/>
        <v>Pilar</v>
      </c>
      <c r="D1577" s="18" t="s">
        <v>4495</v>
      </c>
      <c r="E1577" s="18">
        <v>2</v>
      </c>
      <c r="F1577" s="18">
        <v>62</v>
      </c>
      <c r="G1577" s="18">
        <v>11</v>
      </c>
      <c r="H1577" s="18" t="s">
        <v>2048</v>
      </c>
    </row>
    <row r="1578" spans="1:8">
      <c r="A1578" s="7" t="str">
        <f t="shared" si="72"/>
        <v>11</v>
      </c>
      <c r="B1578" s="7" t="str">
        <f t="shared" si="73"/>
        <v>083</v>
      </c>
      <c r="C1578" s="7" t="str">
        <f t="shared" si="74"/>
        <v>Pilar</v>
      </c>
      <c r="D1578" s="18" t="s">
        <v>4496</v>
      </c>
      <c r="E1578" s="18">
        <v>2</v>
      </c>
      <c r="F1578" s="18">
        <v>38</v>
      </c>
      <c r="G1578" s="18">
        <v>11</v>
      </c>
      <c r="H1578" s="18" t="s">
        <v>2048</v>
      </c>
    </row>
    <row r="1579" spans="1:8">
      <c r="A1579" s="7" t="str">
        <f t="shared" si="72"/>
        <v>11</v>
      </c>
      <c r="B1579" s="7" t="str">
        <f t="shared" si="73"/>
        <v>047</v>
      </c>
      <c r="C1579" s="7" t="str">
        <f t="shared" si="74"/>
        <v>Zárate</v>
      </c>
      <c r="D1579" s="18" t="s">
        <v>4498</v>
      </c>
      <c r="E1579" s="18">
        <v>1</v>
      </c>
      <c r="F1579" s="18">
        <v>12</v>
      </c>
      <c r="G1579" s="18">
        <v>11</v>
      </c>
      <c r="H1579" s="18" t="s">
        <v>4497</v>
      </c>
    </row>
    <row r="1580" spans="1:8">
      <c r="A1580" s="7" t="str">
        <f t="shared" si="72"/>
        <v>11</v>
      </c>
      <c r="B1580" s="7" t="str">
        <f t="shared" si="73"/>
        <v>047</v>
      </c>
      <c r="C1580" s="7" t="str">
        <f t="shared" si="74"/>
        <v>Zárate</v>
      </c>
      <c r="D1580" s="18" t="s">
        <v>4499</v>
      </c>
      <c r="E1580" s="18">
        <v>2</v>
      </c>
      <c r="F1580" s="18">
        <v>56</v>
      </c>
      <c r="G1580" s="18">
        <v>11</v>
      </c>
      <c r="H1580" s="18" t="s">
        <v>4497</v>
      </c>
    </row>
    <row r="1581" spans="1:8">
      <c r="A1581" s="7" t="str">
        <f t="shared" si="72"/>
        <v>11</v>
      </c>
      <c r="B1581" s="7" t="str">
        <f t="shared" si="73"/>
        <v>047</v>
      </c>
      <c r="C1581" s="7" t="str">
        <f t="shared" si="74"/>
        <v>Zárate</v>
      </c>
      <c r="D1581" s="18" t="s">
        <v>4319</v>
      </c>
      <c r="E1581" s="18">
        <v>4</v>
      </c>
      <c r="F1581" s="18">
        <v>121</v>
      </c>
      <c r="G1581" s="18">
        <v>11</v>
      </c>
      <c r="H1581" s="18" t="s">
        <v>4497</v>
      </c>
    </row>
    <row r="1582" spans="1:8">
      <c r="A1582" s="7" t="str">
        <f t="shared" si="72"/>
        <v>11</v>
      </c>
      <c r="B1582" s="7" t="str">
        <f t="shared" si="73"/>
        <v>047</v>
      </c>
      <c r="C1582" s="7" t="str">
        <f t="shared" si="74"/>
        <v>Zárate</v>
      </c>
      <c r="D1582" s="18" t="s">
        <v>4500</v>
      </c>
      <c r="E1582" s="18">
        <v>2</v>
      </c>
      <c r="F1582" s="18">
        <v>47</v>
      </c>
      <c r="G1582" s="18">
        <v>11</v>
      </c>
      <c r="H1582" s="18" t="s">
        <v>4497</v>
      </c>
    </row>
    <row r="1583" spans="1:8">
      <c r="A1583" s="7" t="str">
        <f t="shared" si="72"/>
        <v>11</v>
      </c>
      <c r="B1583" s="7" t="str">
        <f t="shared" si="73"/>
        <v>047</v>
      </c>
      <c r="C1583" s="7" t="str">
        <f t="shared" si="74"/>
        <v>Zárate</v>
      </c>
      <c r="D1583" s="18" t="s">
        <v>3883</v>
      </c>
      <c r="E1583" s="18">
        <v>2</v>
      </c>
      <c r="F1583" s="18">
        <v>59</v>
      </c>
      <c r="G1583" s="18">
        <v>11</v>
      </c>
      <c r="H1583" s="18" t="s">
        <v>4497</v>
      </c>
    </row>
    <row r="1584" spans="1:8">
      <c r="A1584" s="7" t="str">
        <f t="shared" si="72"/>
        <v>11</v>
      </c>
      <c r="B1584" s="7" t="str">
        <f t="shared" si="73"/>
        <v>047</v>
      </c>
      <c r="C1584" s="7" t="str">
        <f t="shared" si="74"/>
        <v>Zárate</v>
      </c>
      <c r="D1584" s="18" t="s">
        <v>1178</v>
      </c>
      <c r="E1584" s="18">
        <v>1</v>
      </c>
      <c r="F1584" s="18">
        <v>16</v>
      </c>
      <c r="G1584" s="18">
        <v>11</v>
      </c>
      <c r="H1584" s="18" t="s">
        <v>4497</v>
      </c>
    </row>
    <row r="1585" spans="1:8">
      <c r="A1585" s="7" t="str">
        <f t="shared" si="72"/>
        <v>11</v>
      </c>
      <c r="B1585" s="7" t="str">
        <f t="shared" si="73"/>
        <v>047</v>
      </c>
      <c r="C1585" s="7" t="str">
        <f t="shared" si="74"/>
        <v>Zárate</v>
      </c>
      <c r="D1585" s="18" t="s">
        <v>4501</v>
      </c>
      <c r="E1585" s="18">
        <v>1</v>
      </c>
      <c r="F1585" s="18">
        <v>16</v>
      </c>
      <c r="G1585" s="18">
        <v>11</v>
      </c>
      <c r="H1585" s="18" t="s">
        <v>4497</v>
      </c>
    </row>
    <row r="1586" spans="1:8">
      <c r="A1586" s="7" t="str">
        <f t="shared" si="72"/>
        <v>11</v>
      </c>
      <c r="B1586" s="7" t="str">
        <f t="shared" si="73"/>
        <v>047</v>
      </c>
      <c r="C1586" s="7" t="str">
        <f t="shared" si="74"/>
        <v>Zárate</v>
      </c>
      <c r="D1586" s="18" t="s">
        <v>4502</v>
      </c>
      <c r="E1586" s="18">
        <v>1</v>
      </c>
      <c r="F1586" s="18">
        <v>18</v>
      </c>
      <c r="G1586" s="18">
        <v>11</v>
      </c>
      <c r="H1586" s="18" t="s">
        <v>4497</v>
      </c>
    </row>
    <row r="1587" spans="1:8">
      <c r="A1587" s="7" t="str">
        <f t="shared" si="72"/>
        <v>11</v>
      </c>
      <c r="B1587" s="7" t="str">
        <f t="shared" si="73"/>
        <v>047</v>
      </c>
      <c r="C1587" s="7" t="str">
        <f t="shared" si="74"/>
        <v>Zárate</v>
      </c>
      <c r="D1587" s="18" t="s">
        <v>4503</v>
      </c>
      <c r="E1587" s="18">
        <v>1</v>
      </c>
      <c r="F1587" s="18">
        <v>10</v>
      </c>
      <c r="G1587" s="18">
        <v>11</v>
      </c>
      <c r="H1587" s="18" t="s">
        <v>4497</v>
      </c>
    </row>
    <row r="1588" spans="1:8">
      <c r="A1588" s="7" t="str">
        <f t="shared" si="72"/>
        <v>11</v>
      </c>
      <c r="B1588" s="7" t="str">
        <f t="shared" si="73"/>
        <v>047</v>
      </c>
      <c r="C1588" s="7" t="str">
        <f t="shared" si="74"/>
        <v>Zárate</v>
      </c>
      <c r="D1588" s="18" t="s">
        <v>4504</v>
      </c>
      <c r="E1588" s="18">
        <v>1</v>
      </c>
      <c r="F1588" s="18">
        <v>12</v>
      </c>
      <c r="G1588" s="18">
        <v>11</v>
      </c>
      <c r="H1588" s="18" t="s">
        <v>4497</v>
      </c>
    </row>
    <row r="1589" spans="1:8">
      <c r="A1589" s="7" t="str">
        <f t="shared" si="72"/>
        <v>11</v>
      </c>
      <c r="B1589" s="7" t="str">
        <f t="shared" si="73"/>
        <v>047</v>
      </c>
      <c r="C1589" s="7" t="str">
        <f t="shared" si="74"/>
        <v>Zárate</v>
      </c>
      <c r="D1589" s="18" t="s">
        <v>4505</v>
      </c>
      <c r="E1589" s="18">
        <v>3</v>
      </c>
      <c r="F1589" s="18">
        <v>109</v>
      </c>
      <c r="G1589" s="18">
        <v>11</v>
      </c>
      <c r="H1589" s="18" t="s">
        <v>4497</v>
      </c>
    </row>
    <row r="1590" spans="1:8">
      <c r="A1590" s="7" t="str">
        <f t="shared" si="72"/>
        <v>12</v>
      </c>
      <c r="B1590" s="7" t="str">
        <f t="shared" si="73"/>
        <v>011</v>
      </c>
      <c r="C1590" s="7" t="str">
        <f t="shared" si="74"/>
        <v>Arrecifes</v>
      </c>
      <c r="D1590" s="18" t="s">
        <v>4506</v>
      </c>
      <c r="E1590" s="18">
        <v>1</v>
      </c>
      <c r="F1590" s="18">
        <v>16</v>
      </c>
      <c r="G1590" s="18">
        <v>12</v>
      </c>
      <c r="H1590" s="18" t="s">
        <v>559</v>
      </c>
    </row>
    <row r="1591" spans="1:8">
      <c r="A1591" s="7" t="str">
        <f t="shared" si="72"/>
        <v>12</v>
      </c>
      <c r="B1591" s="7" t="str">
        <f t="shared" si="73"/>
        <v>011</v>
      </c>
      <c r="C1591" s="7" t="str">
        <f t="shared" si="74"/>
        <v>Arrecifes</v>
      </c>
      <c r="D1591" s="18" t="s">
        <v>4507</v>
      </c>
      <c r="E1591" s="18">
        <v>5</v>
      </c>
      <c r="F1591" s="18">
        <v>183</v>
      </c>
      <c r="G1591" s="18">
        <v>12</v>
      </c>
      <c r="H1591" s="18" t="s">
        <v>559</v>
      </c>
    </row>
    <row r="1592" spans="1:8">
      <c r="A1592" s="7" t="str">
        <f t="shared" si="72"/>
        <v>12</v>
      </c>
      <c r="B1592" s="7" t="str">
        <f t="shared" si="73"/>
        <v>011</v>
      </c>
      <c r="C1592" s="7" t="str">
        <f t="shared" si="74"/>
        <v>Arrecifes</v>
      </c>
      <c r="D1592" s="18" t="s">
        <v>4508</v>
      </c>
      <c r="E1592" s="18">
        <v>1</v>
      </c>
      <c r="F1592" s="18">
        <v>20</v>
      </c>
      <c r="G1592" s="18">
        <v>12</v>
      </c>
      <c r="H1592" s="18" t="s">
        <v>559</v>
      </c>
    </row>
    <row r="1593" spans="1:8">
      <c r="A1593" s="7" t="str">
        <f t="shared" si="72"/>
        <v>12</v>
      </c>
      <c r="B1593" s="7" t="str">
        <f t="shared" si="73"/>
        <v>011</v>
      </c>
      <c r="C1593" s="7" t="str">
        <f t="shared" si="74"/>
        <v>Arrecifes</v>
      </c>
      <c r="D1593" s="18" t="s">
        <v>4509</v>
      </c>
      <c r="E1593" s="18">
        <v>1</v>
      </c>
      <c r="F1593" s="18">
        <v>47</v>
      </c>
      <c r="G1593" s="18">
        <v>12</v>
      </c>
      <c r="H1593" s="18" t="s">
        <v>559</v>
      </c>
    </row>
    <row r="1594" spans="1:8">
      <c r="A1594" s="7" t="str">
        <f t="shared" si="72"/>
        <v>12</v>
      </c>
      <c r="B1594" s="7" t="str">
        <f t="shared" si="73"/>
        <v>011</v>
      </c>
      <c r="C1594" s="7" t="str">
        <f t="shared" si="74"/>
        <v>Arrecifes</v>
      </c>
      <c r="D1594" s="18" t="s">
        <v>4510</v>
      </c>
      <c r="E1594" s="18">
        <v>1</v>
      </c>
      <c r="F1594" s="18">
        <v>36</v>
      </c>
      <c r="G1594" s="18">
        <v>12</v>
      </c>
      <c r="H1594" s="18" t="s">
        <v>559</v>
      </c>
    </row>
    <row r="1595" spans="1:8">
      <c r="A1595" s="7" t="str">
        <f t="shared" si="72"/>
        <v>12</v>
      </c>
      <c r="B1595" s="7" t="str">
        <f t="shared" si="73"/>
        <v>011</v>
      </c>
      <c r="C1595" s="7" t="str">
        <f t="shared" si="74"/>
        <v>Arrecifes</v>
      </c>
      <c r="D1595" s="18" t="s">
        <v>4511</v>
      </c>
      <c r="E1595" s="18">
        <v>1</v>
      </c>
      <c r="F1595" s="18">
        <v>27</v>
      </c>
      <c r="G1595" s="18">
        <v>12</v>
      </c>
      <c r="H1595" s="18" t="s">
        <v>559</v>
      </c>
    </row>
    <row r="1596" spans="1:8">
      <c r="A1596" s="7" t="str">
        <f t="shared" si="72"/>
        <v>12</v>
      </c>
      <c r="B1596" s="7" t="str">
        <f t="shared" si="73"/>
        <v>010</v>
      </c>
      <c r="C1596" s="7" t="str">
        <f t="shared" si="74"/>
        <v>Baradero</v>
      </c>
      <c r="D1596" s="18" t="s">
        <v>4429</v>
      </c>
      <c r="E1596" s="18">
        <v>3</v>
      </c>
      <c r="F1596" s="18">
        <v>77</v>
      </c>
      <c r="G1596" s="18">
        <v>12</v>
      </c>
      <c r="H1596" s="18" t="s">
        <v>541</v>
      </c>
    </row>
    <row r="1597" spans="1:8">
      <c r="A1597" s="7" t="str">
        <f t="shared" si="72"/>
        <v>12</v>
      </c>
      <c r="B1597" s="7" t="str">
        <f t="shared" si="73"/>
        <v>010</v>
      </c>
      <c r="C1597" s="7" t="str">
        <f t="shared" si="74"/>
        <v>Baradero</v>
      </c>
      <c r="D1597" s="18" t="s">
        <v>4512</v>
      </c>
      <c r="E1597" s="18">
        <v>1</v>
      </c>
      <c r="F1597" s="18">
        <v>31</v>
      </c>
      <c r="G1597" s="18">
        <v>12</v>
      </c>
      <c r="H1597" s="18" t="s">
        <v>541</v>
      </c>
    </row>
    <row r="1598" spans="1:8">
      <c r="A1598" s="7" t="str">
        <f t="shared" si="72"/>
        <v>12</v>
      </c>
      <c r="B1598" s="7" t="str">
        <f t="shared" si="73"/>
        <v>010</v>
      </c>
      <c r="C1598" s="7" t="str">
        <f t="shared" si="74"/>
        <v>Baradero</v>
      </c>
      <c r="D1598" s="18" t="s">
        <v>4513</v>
      </c>
      <c r="E1598" s="18">
        <v>2</v>
      </c>
      <c r="F1598" s="18">
        <v>16</v>
      </c>
      <c r="G1598" s="18">
        <v>12</v>
      </c>
      <c r="H1598" s="18" t="s">
        <v>541</v>
      </c>
    </row>
    <row r="1599" spans="1:8">
      <c r="A1599" s="7" t="str">
        <f t="shared" si="72"/>
        <v>12</v>
      </c>
      <c r="B1599" s="7" t="str">
        <f t="shared" si="73"/>
        <v>010</v>
      </c>
      <c r="C1599" s="7" t="str">
        <f t="shared" si="74"/>
        <v>Baradero</v>
      </c>
      <c r="D1599" s="18" t="s">
        <v>4514</v>
      </c>
      <c r="E1599" s="18">
        <v>1</v>
      </c>
      <c r="F1599" s="18">
        <v>16</v>
      </c>
      <c r="G1599" s="18">
        <v>12</v>
      </c>
      <c r="H1599" s="18" t="s">
        <v>541</v>
      </c>
    </row>
    <row r="1600" spans="1:8">
      <c r="A1600" s="7" t="str">
        <f t="shared" si="72"/>
        <v>12</v>
      </c>
      <c r="B1600" s="7" t="str">
        <f t="shared" si="73"/>
        <v>010</v>
      </c>
      <c r="C1600" s="7" t="str">
        <f t="shared" si="74"/>
        <v>Baradero</v>
      </c>
      <c r="D1600" s="18" t="s">
        <v>4515</v>
      </c>
      <c r="E1600" s="18">
        <v>1</v>
      </c>
      <c r="F1600" s="18">
        <v>19</v>
      </c>
      <c r="G1600" s="18">
        <v>12</v>
      </c>
      <c r="H1600" s="18" t="s">
        <v>541</v>
      </c>
    </row>
    <row r="1601" spans="1:8">
      <c r="A1601" s="7" t="str">
        <f t="shared" si="72"/>
        <v>12</v>
      </c>
      <c r="B1601" s="7" t="str">
        <f t="shared" si="73"/>
        <v>121</v>
      </c>
      <c r="C1601" s="7" t="str">
        <f t="shared" si="74"/>
        <v>Capitán Sarmiento</v>
      </c>
      <c r="D1601" s="18" t="s">
        <v>4516</v>
      </c>
      <c r="E1601" s="18">
        <v>1</v>
      </c>
      <c r="F1601" s="18">
        <v>15</v>
      </c>
      <c r="G1601" s="18">
        <v>12</v>
      </c>
      <c r="H1601" s="18" t="s">
        <v>2714</v>
      </c>
    </row>
    <row r="1602" spans="1:8">
      <c r="A1602" s="7" t="str">
        <f t="shared" si="72"/>
        <v>12</v>
      </c>
      <c r="B1602" s="7" t="str">
        <f t="shared" si="73"/>
        <v>121</v>
      </c>
      <c r="C1602" s="7" t="str">
        <f t="shared" si="74"/>
        <v>Capitán Sarmiento</v>
      </c>
      <c r="D1602" s="18" t="s">
        <v>4517</v>
      </c>
      <c r="E1602" s="18">
        <v>2</v>
      </c>
      <c r="F1602" s="18">
        <v>30</v>
      </c>
      <c r="G1602" s="18">
        <v>12</v>
      </c>
      <c r="H1602" s="18" t="s">
        <v>2714</v>
      </c>
    </row>
    <row r="1603" spans="1:8">
      <c r="A1603" s="7" t="str">
        <f t="shared" ref="A1603:A1666" si="75">+VLOOKUP(H1603,$K:$N,2,FALSE)</f>
        <v>12</v>
      </c>
      <c r="B1603" s="7" t="str">
        <f t="shared" ref="B1603:B1666" si="76">+VLOOKUP(H1603,$K:$N,3,FALSE)</f>
        <v>121</v>
      </c>
      <c r="C1603" s="7" t="str">
        <f t="shared" ref="C1603:C1666" si="77">+VLOOKUP(H1603,$K:$N,4,FALSE)</f>
        <v>Capitán Sarmiento</v>
      </c>
      <c r="D1603" s="18" t="s">
        <v>4518</v>
      </c>
      <c r="E1603" s="18">
        <v>2</v>
      </c>
      <c r="F1603" s="18">
        <v>26</v>
      </c>
      <c r="G1603" s="18">
        <v>12</v>
      </c>
      <c r="H1603" s="18" t="s">
        <v>2714</v>
      </c>
    </row>
    <row r="1604" spans="1:8">
      <c r="A1604" s="7" t="str">
        <f t="shared" si="75"/>
        <v>12</v>
      </c>
      <c r="B1604" s="7" t="str">
        <f t="shared" si="76"/>
        <v>086</v>
      </c>
      <c r="C1604" s="7" t="str">
        <f t="shared" si="77"/>
        <v>Ramallo</v>
      </c>
      <c r="D1604" s="18" t="s">
        <v>4519</v>
      </c>
      <c r="E1604" s="18">
        <v>1</v>
      </c>
      <c r="F1604" s="18">
        <v>16</v>
      </c>
      <c r="G1604" s="18">
        <v>12</v>
      </c>
      <c r="H1604" s="18" t="s">
        <v>2150</v>
      </c>
    </row>
    <row r="1605" spans="1:8">
      <c r="A1605" s="7" t="str">
        <f t="shared" si="75"/>
        <v>12</v>
      </c>
      <c r="B1605" s="7" t="str">
        <f t="shared" si="76"/>
        <v>086</v>
      </c>
      <c r="C1605" s="7" t="str">
        <f t="shared" si="77"/>
        <v>Ramallo</v>
      </c>
      <c r="D1605" s="18" t="s">
        <v>4520</v>
      </c>
      <c r="E1605" s="18">
        <v>1</v>
      </c>
      <c r="F1605" s="18">
        <v>14</v>
      </c>
      <c r="G1605" s="18">
        <v>12</v>
      </c>
      <c r="H1605" s="18" t="s">
        <v>2150</v>
      </c>
    </row>
    <row r="1606" spans="1:8">
      <c r="A1606" s="7" t="str">
        <f t="shared" si="75"/>
        <v>12</v>
      </c>
      <c r="B1606" s="7" t="str">
        <f t="shared" si="76"/>
        <v>086</v>
      </c>
      <c r="C1606" s="7" t="str">
        <f t="shared" si="77"/>
        <v>Ramallo</v>
      </c>
      <c r="D1606" s="18" t="s">
        <v>4521</v>
      </c>
      <c r="E1606" s="18">
        <v>3</v>
      </c>
      <c r="F1606" s="18">
        <v>66</v>
      </c>
      <c r="G1606" s="18">
        <v>12</v>
      </c>
      <c r="H1606" s="18" t="s">
        <v>2150</v>
      </c>
    </row>
    <row r="1607" spans="1:8">
      <c r="A1607" s="7" t="str">
        <f t="shared" si="75"/>
        <v>12</v>
      </c>
      <c r="B1607" s="7" t="str">
        <f t="shared" si="76"/>
        <v>086</v>
      </c>
      <c r="C1607" s="7" t="str">
        <f t="shared" si="77"/>
        <v>Ramallo</v>
      </c>
      <c r="D1607" s="18" t="s">
        <v>4522</v>
      </c>
      <c r="E1607" s="18">
        <v>1</v>
      </c>
      <c r="F1607" s="18">
        <v>11</v>
      </c>
      <c r="G1607" s="18">
        <v>12</v>
      </c>
      <c r="H1607" s="18" t="s">
        <v>2150</v>
      </c>
    </row>
    <row r="1608" spans="1:8">
      <c r="A1608" s="7" t="str">
        <f t="shared" si="75"/>
        <v>12</v>
      </c>
      <c r="B1608" s="7" t="str">
        <f t="shared" si="76"/>
        <v>086</v>
      </c>
      <c r="C1608" s="7" t="str">
        <f t="shared" si="77"/>
        <v>Ramallo</v>
      </c>
      <c r="D1608" s="18" t="s">
        <v>4523</v>
      </c>
      <c r="E1608" s="18">
        <v>2</v>
      </c>
      <c r="F1608" s="18">
        <v>33</v>
      </c>
      <c r="G1608" s="18">
        <v>12</v>
      </c>
      <c r="H1608" s="18" t="s">
        <v>2150</v>
      </c>
    </row>
    <row r="1609" spans="1:8">
      <c r="A1609" s="7" t="str">
        <f t="shared" si="75"/>
        <v>12</v>
      </c>
      <c r="B1609" s="7" t="str">
        <f t="shared" si="76"/>
        <v>086</v>
      </c>
      <c r="C1609" s="7" t="str">
        <f t="shared" si="77"/>
        <v>Ramallo</v>
      </c>
      <c r="D1609" s="18" t="s">
        <v>4524</v>
      </c>
      <c r="E1609" s="18">
        <v>1</v>
      </c>
      <c r="F1609" s="18">
        <v>24</v>
      </c>
      <c r="G1609" s="18">
        <v>12</v>
      </c>
      <c r="H1609" s="18" t="s">
        <v>2150</v>
      </c>
    </row>
    <row r="1610" spans="1:8">
      <c r="A1610" s="7" t="str">
        <f t="shared" si="75"/>
        <v>12</v>
      </c>
      <c r="B1610" s="7" t="str">
        <f t="shared" si="76"/>
        <v>086</v>
      </c>
      <c r="C1610" s="7" t="str">
        <f t="shared" si="77"/>
        <v>Ramallo</v>
      </c>
      <c r="D1610" s="18" t="s">
        <v>3926</v>
      </c>
      <c r="E1610" s="18">
        <v>1</v>
      </c>
      <c r="F1610" s="18">
        <v>26</v>
      </c>
      <c r="G1610" s="18">
        <v>12</v>
      </c>
      <c r="H1610" s="18" t="s">
        <v>2150</v>
      </c>
    </row>
    <row r="1611" spans="1:8">
      <c r="A1611" s="7" t="str">
        <f t="shared" si="75"/>
        <v>12</v>
      </c>
      <c r="B1611" s="7" t="str">
        <f t="shared" si="76"/>
        <v>086</v>
      </c>
      <c r="C1611" s="7" t="str">
        <f t="shared" si="77"/>
        <v>Ramallo</v>
      </c>
      <c r="D1611" s="18" t="s">
        <v>4525</v>
      </c>
      <c r="E1611" s="18">
        <v>1</v>
      </c>
      <c r="F1611" s="18">
        <v>15</v>
      </c>
      <c r="G1611" s="18">
        <v>12</v>
      </c>
      <c r="H1611" s="18" t="s">
        <v>2150</v>
      </c>
    </row>
    <row r="1612" spans="1:8">
      <c r="A1612" s="7" t="str">
        <f t="shared" si="75"/>
        <v>12</v>
      </c>
      <c r="B1612" s="7" t="str">
        <f t="shared" si="76"/>
        <v>097</v>
      </c>
      <c r="C1612" s="7" t="str">
        <f t="shared" si="77"/>
        <v>San Nicolás</v>
      </c>
      <c r="D1612" s="18" t="s">
        <v>4526</v>
      </c>
      <c r="E1612" s="18">
        <v>1</v>
      </c>
      <c r="F1612" s="18">
        <v>9</v>
      </c>
      <c r="G1612" s="18">
        <v>12</v>
      </c>
      <c r="H1612" s="18" t="s">
        <v>2278</v>
      </c>
    </row>
    <row r="1613" spans="1:8">
      <c r="A1613" s="7" t="str">
        <f t="shared" si="75"/>
        <v>12</v>
      </c>
      <c r="B1613" s="7" t="str">
        <f t="shared" si="76"/>
        <v>097</v>
      </c>
      <c r="C1613" s="7" t="str">
        <f t="shared" si="77"/>
        <v>San Nicolás</v>
      </c>
      <c r="D1613" s="18" t="s">
        <v>4527</v>
      </c>
      <c r="E1613" s="18">
        <v>1</v>
      </c>
      <c r="F1613" s="18">
        <v>8</v>
      </c>
      <c r="G1613" s="18">
        <v>12</v>
      </c>
      <c r="H1613" s="18" t="s">
        <v>2278</v>
      </c>
    </row>
    <row r="1614" spans="1:8">
      <c r="A1614" s="7" t="str">
        <f t="shared" si="75"/>
        <v>12</v>
      </c>
      <c r="B1614" s="7" t="str">
        <f t="shared" si="76"/>
        <v>097</v>
      </c>
      <c r="C1614" s="7" t="str">
        <f t="shared" si="77"/>
        <v>San Nicolás</v>
      </c>
      <c r="D1614" s="18" t="s">
        <v>4528</v>
      </c>
      <c r="E1614" s="18">
        <v>1</v>
      </c>
      <c r="F1614" s="18">
        <v>9</v>
      </c>
      <c r="G1614" s="18">
        <v>12</v>
      </c>
      <c r="H1614" s="18" t="s">
        <v>2278</v>
      </c>
    </row>
    <row r="1615" spans="1:8">
      <c r="A1615" s="7" t="str">
        <f t="shared" si="75"/>
        <v>12</v>
      </c>
      <c r="B1615" s="7" t="str">
        <f t="shared" si="76"/>
        <v>097</v>
      </c>
      <c r="C1615" s="7" t="str">
        <f t="shared" si="77"/>
        <v>San Nicolás</v>
      </c>
      <c r="D1615" s="18" t="s">
        <v>4529</v>
      </c>
      <c r="E1615" s="18">
        <v>1</v>
      </c>
      <c r="F1615" s="18">
        <v>21</v>
      </c>
      <c r="G1615" s="18">
        <v>12</v>
      </c>
      <c r="H1615" s="18" t="s">
        <v>2278</v>
      </c>
    </row>
    <row r="1616" spans="1:8">
      <c r="A1616" s="7" t="str">
        <f t="shared" si="75"/>
        <v>12</v>
      </c>
      <c r="B1616" s="7" t="str">
        <f t="shared" si="76"/>
        <v>097</v>
      </c>
      <c r="C1616" s="7" t="str">
        <f t="shared" si="77"/>
        <v>San Nicolás</v>
      </c>
      <c r="D1616" s="18" t="s">
        <v>4530</v>
      </c>
      <c r="E1616" s="18">
        <v>1</v>
      </c>
      <c r="F1616" s="18">
        <v>15</v>
      </c>
      <c r="G1616" s="18">
        <v>12</v>
      </c>
      <c r="H1616" s="18" t="s">
        <v>2278</v>
      </c>
    </row>
    <row r="1617" spans="1:8">
      <c r="A1617" s="7" t="str">
        <f t="shared" si="75"/>
        <v>12</v>
      </c>
      <c r="B1617" s="7" t="str">
        <f t="shared" si="76"/>
        <v>097</v>
      </c>
      <c r="C1617" s="7" t="str">
        <f t="shared" si="77"/>
        <v>San Nicolás</v>
      </c>
      <c r="D1617" s="18" t="s">
        <v>4531</v>
      </c>
      <c r="E1617" s="18">
        <v>7</v>
      </c>
      <c r="F1617" s="18">
        <v>165</v>
      </c>
      <c r="G1617" s="18">
        <v>12</v>
      </c>
      <c r="H1617" s="18" t="s">
        <v>2278</v>
      </c>
    </row>
    <row r="1618" spans="1:8">
      <c r="A1618" s="7" t="str">
        <f t="shared" si="75"/>
        <v>12</v>
      </c>
      <c r="B1618" s="7" t="str">
        <f t="shared" si="76"/>
        <v>097</v>
      </c>
      <c r="C1618" s="7" t="str">
        <f t="shared" si="77"/>
        <v>San Nicolás</v>
      </c>
      <c r="D1618" s="18" t="s">
        <v>4532</v>
      </c>
      <c r="E1618" s="18">
        <v>1</v>
      </c>
      <c r="F1618" s="18">
        <v>18</v>
      </c>
      <c r="G1618" s="18">
        <v>12</v>
      </c>
      <c r="H1618" s="18" t="s">
        <v>2278</v>
      </c>
    </row>
    <row r="1619" spans="1:8">
      <c r="A1619" s="7" t="str">
        <f t="shared" si="75"/>
        <v>12</v>
      </c>
      <c r="B1619" s="7" t="str">
        <f t="shared" si="76"/>
        <v>097</v>
      </c>
      <c r="C1619" s="7" t="str">
        <f t="shared" si="77"/>
        <v>San Nicolás</v>
      </c>
      <c r="D1619" s="18" t="s">
        <v>4533</v>
      </c>
      <c r="E1619" s="18">
        <v>1</v>
      </c>
      <c r="F1619" s="18">
        <v>29</v>
      </c>
      <c r="G1619" s="18">
        <v>12</v>
      </c>
      <c r="H1619" s="18" t="s">
        <v>2278</v>
      </c>
    </row>
    <row r="1620" spans="1:8">
      <c r="A1620" s="7" t="str">
        <f t="shared" si="75"/>
        <v>12</v>
      </c>
      <c r="B1620" s="7" t="str">
        <f t="shared" si="76"/>
        <v>097</v>
      </c>
      <c r="C1620" s="7" t="str">
        <f t="shared" si="77"/>
        <v>San Nicolás</v>
      </c>
      <c r="D1620" s="18" t="s">
        <v>4534</v>
      </c>
      <c r="E1620" s="18">
        <v>1</v>
      </c>
      <c r="F1620" s="18">
        <v>14</v>
      </c>
      <c r="G1620" s="18">
        <v>12</v>
      </c>
      <c r="H1620" s="18" t="s">
        <v>2278</v>
      </c>
    </row>
    <row r="1621" spans="1:8">
      <c r="A1621" s="7" t="str">
        <f t="shared" si="75"/>
        <v>12</v>
      </c>
      <c r="B1621" s="7" t="str">
        <f t="shared" si="76"/>
        <v>097</v>
      </c>
      <c r="C1621" s="7" t="str">
        <f t="shared" si="77"/>
        <v>San Nicolás</v>
      </c>
      <c r="D1621" s="18" t="s">
        <v>4535</v>
      </c>
      <c r="E1621" s="18">
        <v>1</v>
      </c>
      <c r="F1621" s="18">
        <v>13</v>
      </c>
      <c r="G1621" s="18">
        <v>12</v>
      </c>
      <c r="H1621" s="18" t="s">
        <v>2278</v>
      </c>
    </row>
    <row r="1622" spans="1:8">
      <c r="A1622" s="7" t="str">
        <f t="shared" si="75"/>
        <v>12</v>
      </c>
      <c r="B1622" s="7" t="str">
        <f t="shared" si="76"/>
        <v>097</v>
      </c>
      <c r="C1622" s="7" t="str">
        <f t="shared" si="77"/>
        <v>San Nicolás</v>
      </c>
      <c r="D1622" s="18" t="s">
        <v>4536</v>
      </c>
      <c r="E1622" s="18">
        <v>1</v>
      </c>
      <c r="F1622" s="18">
        <v>18</v>
      </c>
      <c r="G1622" s="18">
        <v>12</v>
      </c>
      <c r="H1622" s="18" t="s">
        <v>2278</v>
      </c>
    </row>
    <row r="1623" spans="1:8">
      <c r="A1623" s="7" t="str">
        <f t="shared" si="75"/>
        <v>12</v>
      </c>
      <c r="B1623" s="7" t="str">
        <f t="shared" si="76"/>
        <v>097</v>
      </c>
      <c r="C1623" s="7" t="str">
        <f t="shared" si="77"/>
        <v>San Nicolás</v>
      </c>
      <c r="D1623" s="18" t="s">
        <v>4537</v>
      </c>
      <c r="E1623" s="18">
        <v>1</v>
      </c>
      <c r="F1623" s="18">
        <v>14</v>
      </c>
      <c r="G1623" s="18">
        <v>12</v>
      </c>
      <c r="H1623" s="18" t="s">
        <v>2278</v>
      </c>
    </row>
    <row r="1624" spans="1:8">
      <c r="A1624" s="7" t="str">
        <f t="shared" si="75"/>
        <v>12</v>
      </c>
      <c r="B1624" s="7" t="str">
        <f t="shared" si="76"/>
        <v>097</v>
      </c>
      <c r="C1624" s="7" t="str">
        <f t="shared" si="77"/>
        <v>San Nicolás</v>
      </c>
      <c r="D1624" s="18" t="s">
        <v>4538</v>
      </c>
      <c r="E1624" s="18">
        <v>1</v>
      </c>
      <c r="F1624" s="18">
        <v>16</v>
      </c>
      <c r="G1624" s="18">
        <v>12</v>
      </c>
      <c r="H1624" s="18" t="s">
        <v>2278</v>
      </c>
    </row>
    <row r="1625" spans="1:8">
      <c r="A1625" s="7" t="str">
        <f t="shared" si="75"/>
        <v>12</v>
      </c>
      <c r="B1625" s="7" t="str">
        <f t="shared" si="76"/>
        <v>098</v>
      </c>
      <c r="C1625" s="7" t="str">
        <f t="shared" si="77"/>
        <v>San Pedro</v>
      </c>
      <c r="D1625" s="18" t="s">
        <v>2421</v>
      </c>
      <c r="E1625" s="18">
        <v>1</v>
      </c>
      <c r="F1625" s="18">
        <v>27</v>
      </c>
      <c r="G1625" s="18">
        <v>12</v>
      </c>
      <c r="H1625" s="18" t="s">
        <v>2323</v>
      </c>
    </row>
    <row r="1626" spans="1:8">
      <c r="A1626" s="7" t="str">
        <f t="shared" si="75"/>
        <v>12</v>
      </c>
      <c r="B1626" s="7" t="str">
        <f t="shared" si="76"/>
        <v>098</v>
      </c>
      <c r="C1626" s="7" t="str">
        <f t="shared" si="77"/>
        <v>San Pedro</v>
      </c>
      <c r="D1626" s="18" t="s">
        <v>4539</v>
      </c>
      <c r="E1626" s="18">
        <v>1</v>
      </c>
      <c r="F1626" s="18">
        <v>19</v>
      </c>
      <c r="G1626" s="18">
        <v>12</v>
      </c>
      <c r="H1626" s="18" t="s">
        <v>2323</v>
      </c>
    </row>
    <row r="1627" spans="1:8">
      <c r="A1627" s="7" t="str">
        <f t="shared" si="75"/>
        <v>12</v>
      </c>
      <c r="B1627" s="7" t="str">
        <f t="shared" si="76"/>
        <v>098</v>
      </c>
      <c r="C1627" s="7" t="str">
        <f t="shared" si="77"/>
        <v>San Pedro</v>
      </c>
      <c r="D1627" s="18" t="s">
        <v>4540</v>
      </c>
      <c r="E1627" s="18">
        <v>1</v>
      </c>
      <c r="F1627" s="18">
        <v>31</v>
      </c>
      <c r="G1627" s="18">
        <v>12</v>
      </c>
      <c r="H1627" s="18" t="s">
        <v>2323</v>
      </c>
    </row>
    <row r="1628" spans="1:8">
      <c r="A1628" s="7" t="str">
        <f t="shared" si="75"/>
        <v>12</v>
      </c>
      <c r="B1628" s="7" t="str">
        <f t="shared" si="76"/>
        <v>098</v>
      </c>
      <c r="C1628" s="7" t="str">
        <f t="shared" si="77"/>
        <v>San Pedro</v>
      </c>
      <c r="D1628" s="18" t="s">
        <v>4541</v>
      </c>
      <c r="E1628" s="18">
        <v>1</v>
      </c>
      <c r="F1628" s="18">
        <v>9</v>
      </c>
      <c r="G1628" s="18">
        <v>12</v>
      </c>
      <c r="H1628" s="18" t="s">
        <v>2323</v>
      </c>
    </row>
    <row r="1629" spans="1:8">
      <c r="A1629" s="7" t="str">
        <f t="shared" si="75"/>
        <v>12</v>
      </c>
      <c r="B1629" s="7" t="str">
        <f t="shared" si="76"/>
        <v>098</v>
      </c>
      <c r="C1629" s="7" t="str">
        <f t="shared" si="77"/>
        <v>San Pedro</v>
      </c>
      <c r="D1629" s="18" t="s">
        <v>4542</v>
      </c>
      <c r="E1629" s="18">
        <v>1</v>
      </c>
      <c r="F1629" s="18">
        <v>11</v>
      </c>
      <c r="G1629" s="18">
        <v>12</v>
      </c>
      <c r="H1629" s="18" t="s">
        <v>2323</v>
      </c>
    </row>
    <row r="1630" spans="1:8">
      <c r="A1630" s="7" t="str">
        <f t="shared" si="75"/>
        <v>12</v>
      </c>
      <c r="B1630" s="7" t="str">
        <f t="shared" si="76"/>
        <v>098</v>
      </c>
      <c r="C1630" s="7" t="str">
        <f t="shared" si="77"/>
        <v>San Pedro</v>
      </c>
      <c r="D1630" s="18" t="s">
        <v>4543</v>
      </c>
      <c r="E1630" s="18">
        <v>1</v>
      </c>
      <c r="F1630" s="18">
        <v>15</v>
      </c>
      <c r="G1630" s="18">
        <v>12</v>
      </c>
      <c r="H1630" s="18" t="s">
        <v>2323</v>
      </c>
    </row>
    <row r="1631" spans="1:8">
      <c r="A1631" s="7" t="str">
        <f t="shared" si="75"/>
        <v>12</v>
      </c>
      <c r="B1631" s="7" t="str">
        <f t="shared" si="76"/>
        <v>098</v>
      </c>
      <c r="C1631" s="7" t="str">
        <f t="shared" si="77"/>
        <v>San Pedro</v>
      </c>
      <c r="D1631" s="18" t="s">
        <v>4544</v>
      </c>
      <c r="E1631" s="18">
        <v>1</v>
      </c>
      <c r="F1631" s="18">
        <v>14</v>
      </c>
      <c r="G1631" s="18">
        <v>12</v>
      </c>
      <c r="H1631" s="18" t="s">
        <v>2323</v>
      </c>
    </row>
    <row r="1632" spans="1:8">
      <c r="A1632" s="7" t="str">
        <f t="shared" si="75"/>
        <v>12</v>
      </c>
      <c r="B1632" s="7" t="str">
        <f t="shared" si="76"/>
        <v>098</v>
      </c>
      <c r="C1632" s="7" t="str">
        <f t="shared" si="77"/>
        <v>San Pedro</v>
      </c>
      <c r="D1632" s="18" t="s">
        <v>4545</v>
      </c>
      <c r="E1632" s="18">
        <v>1</v>
      </c>
      <c r="F1632" s="18">
        <v>13</v>
      </c>
      <c r="G1632" s="18">
        <v>12</v>
      </c>
      <c r="H1632" s="18" t="s">
        <v>2323</v>
      </c>
    </row>
    <row r="1633" spans="1:8">
      <c r="A1633" s="7" t="str">
        <f t="shared" si="75"/>
        <v>12</v>
      </c>
      <c r="B1633" s="7" t="str">
        <f t="shared" si="76"/>
        <v>098</v>
      </c>
      <c r="C1633" s="7" t="str">
        <f t="shared" si="77"/>
        <v>San Pedro</v>
      </c>
      <c r="D1633" s="18" t="s">
        <v>4546</v>
      </c>
      <c r="E1633" s="18">
        <v>1</v>
      </c>
      <c r="F1633" s="18">
        <v>10</v>
      </c>
      <c r="G1633" s="18">
        <v>12</v>
      </c>
      <c r="H1633" s="18" t="s">
        <v>2323</v>
      </c>
    </row>
    <row r="1634" spans="1:8">
      <c r="A1634" s="7" t="str">
        <f t="shared" si="75"/>
        <v>12</v>
      </c>
      <c r="B1634" s="7" t="str">
        <f t="shared" si="76"/>
        <v>098</v>
      </c>
      <c r="C1634" s="7" t="str">
        <f t="shared" si="77"/>
        <v>San Pedro</v>
      </c>
      <c r="D1634" s="18" t="s">
        <v>4547</v>
      </c>
      <c r="E1634" s="18">
        <v>1</v>
      </c>
      <c r="F1634" s="18">
        <v>10</v>
      </c>
      <c r="G1634" s="18">
        <v>12</v>
      </c>
      <c r="H1634" s="18" t="s">
        <v>2323</v>
      </c>
    </row>
    <row r="1635" spans="1:8">
      <c r="A1635" s="7" t="str">
        <f t="shared" si="75"/>
        <v>12</v>
      </c>
      <c r="B1635" s="7" t="str">
        <f t="shared" si="76"/>
        <v>098</v>
      </c>
      <c r="C1635" s="7" t="str">
        <f t="shared" si="77"/>
        <v>San Pedro</v>
      </c>
      <c r="D1635" s="18" t="s">
        <v>4548</v>
      </c>
      <c r="E1635" s="18">
        <v>1</v>
      </c>
      <c r="F1635" s="18">
        <v>12</v>
      </c>
      <c r="G1635" s="18">
        <v>12</v>
      </c>
      <c r="H1635" s="18" t="s">
        <v>2323</v>
      </c>
    </row>
    <row r="1636" spans="1:8">
      <c r="A1636" s="7" t="str">
        <f t="shared" si="75"/>
        <v>12</v>
      </c>
      <c r="B1636" s="7" t="str">
        <f t="shared" si="76"/>
        <v>098</v>
      </c>
      <c r="C1636" s="7" t="str">
        <f t="shared" si="77"/>
        <v>San Pedro</v>
      </c>
      <c r="D1636" s="18" t="s">
        <v>4549</v>
      </c>
      <c r="E1636" s="18">
        <v>3</v>
      </c>
      <c r="F1636" s="18">
        <v>73</v>
      </c>
      <c r="G1636" s="18">
        <v>12</v>
      </c>
      <c r="H1636" s="18" t="s">
        <v>2323</v>
      </c>
    </row>
    <row r="1637" spans="1:8">
      <c r="A1637" s="7" t="str">
        <f t="shared" si="75"/>
        <v>12</v>
      </c>
      <c r="B1637" s="7" t="str">
        <f t="shared" si="76"/>
        <v>098</v>
      </c>
      <c r="C1637" s="7" t="str">
        <f t="shared" si="77"/>
        <v>San Pedro</v>
      </c>
      <c r="D1637" s="18" t="s">
        <v>4550</v>
      </c>
      <c r="E1637" s="18">
        <v>1</v>
      </c>
      <c r="F1637" s="18">
        <v>17</v>
      </c>
      <c r="G1637" s="18">
        <v>12</v>
      </c>
      <c r="H1637" s="18" t="s">
        <v>2323</v>
      </c>
    </row>
    <row r="1638" spans="1:8">
      <c r="A1638" s="7" t="str">
        <f t="shared" si="75"/>
        <v>13</v>
      </c>
      <c r="B1638" s="7" t="str">
        <f t="shared" si="76"/>
        <v>019</v>
      </c>
      <c r="C1638" s="7" t="str">
        <f t="shared" si="77"/>
        <v>Carmen de Areco</v>
      </c>
      <c r="D1638" s="18" t="s">
        <v>4552</v>
      </c>
      <c r="E1638" s="18">
        <v>3</v>
      </c>
      <c r="F1638" s="18">
        <v>59</v>
      </c>
      <c r="G1638" s="18">
        <v>13</v>
      </c>
      <c r="H1638" s="18" t="s">
        <v>4551</v>
      </c>
    </row>
    <row r="1639" spans="1:8">
      <c r="A1639" s="7" t="str">
        <f t="shared" si="75"/>
        <v>13</v>
      </c>
      <c r="B1639" s="7" t="str">
        <f t="shared" si="76"/>
        <v>019</v>
      </c>
      <c r="C1639" s="7" t="str">
        <f t="shared" si="77"/>
        <v>Carmen de Areco</v>
      </c>
      <c r="D1639" s="18" t="s">
        <v>4553</v>
      </c>
      <c r="E1639" s="18">
        <v>1</v>
      </c>
      <c r="F1639" s="18">
        <v>34</v>
      </c>
      <c r="G1639" s="18">
        <v>13</v>
      </c>
      <c r="H1639" s="18" t="s">
        <v>4551</v>
      </c>
    </row>
    <row r="1640" spans="1:8">
      <c r="A1640" s="7" t="str">
        <f t="shared" si="75"/>
        <v>13</v>
      </c>
      <c r="B1640" s="7" t="str">
        <f t="shared" si="76"/>
        <v>019</v>
      </c>
      <c r="C1640" s="7" t="str">
        <f t="shared" si="77"/>
        <v>Carmen de Areco</v>
      </c>
      <c r="D1640" s="18" t="s">
        <v>4554</v>
      </c>
      <c r="E1640" s="18">
        <v>1</v>
      </c>
      <c r="F1640" s="18">
        <v>11</v>
      </c>
      <c r="G1640" s="18">
        <v>13</v>
      </c>
      <c r="H1640" s="18" t="s">
        <v>4551</v>
      </c>
    </row>
    <row r="1641" spans="1:8">
      <c r="A1641" s="7" t="str">
        <f t="shared" si="75"/>
        <v>13</v>
      </c>
      <c r="B1641" s="7" t="str">
        <f t="shared" si="76"/>
        <v>022</v>
      </c>
      <c r="C1641" s="7" t="str">
        <f t="shared" si="77"/>
        <v>Colón</v>
      </c>
      <c r="D1641" s="18" t="s">
        <v>4555</v>
      </c>
      <c r="E1641" s="18">
        <v>1</v>
      </c>
      <c r="F1641" s="18">
        <v>11</v>
      </c>
      <c r="G1641" s="18">
        <v>13</v>
      </c>
      <c r="H1641" s="18" t="s">
        <v>694</v>
      </c>
    </row>
    <row r="1642" spans="1:8">
      <c r="A1642" s="7" t="str">
        <f t="shared" si="75"/>
        <v>13</v>
      </c>
      <c r="B1642" s="7" t="str">
        <f t="shared" si="76"/>
        <v>022</v>
      </c>
      <c r="C1642" s="7" t="str">
        <f t="shared" si="77"/>
        <v>Colón</v>
      </c>
      <c r="D1642" s="18" t="s">
        <v>4556</v>
      </c>
      <c r="E1642" s="18">
        <v>5</v>
      </c>
      <c r="F1642" s="18">
        <v>117</v>
      </c>
      <c r="G1642" s="18">
        <v>13</v>
      </c>
      <c r="H1642" s="18" t="s">
        <v>694</v>
      </c>
    </row>
    <row r="1643" spans="1:8">
      <c r="A1643" s="7" t="str">
        <f t="shared" si="75"/>
        <v>13</v>
      </c>
      <c r="B1643" s="7" t="str">
        <f t="shared" si="76"/>
        <v>081</v>
      </c>
      <c r="C1643" s="7" t="str">
        <f t="shared" si="77"/>
        <v>Pergamino</v>
      </c>
      <c r="D1643" s="18" t="s">
        <v>4557</v>
      </c>
      <c r="E1643" s="18">
        <v>1</v>
      </c>
      <c r="F1643" s="18">
        <v>21</v>
      </c>
      <c r="G1643" s="18">
        <v>13</v>
      </c>
      <c r="H1643" s="18" t="s">
        <v>2028</v>
      </c>
    </row>
    <row r="1644" spans="1:8">
      <c r="A1644" s="7" t="str">
        <f t="shared" si="75"/>
        <v>13</v>
      </c>
      <c r="B1644" s="7" t="str">
        <f t="shared" si="76"/>
        <v>081</v>
      </c>
      <c r="C1644" s="7" t="str">
        <f t="shared" si="77"/>
        <v>Pergamino</v>
      </c>
      <c r="D1644" s="18" t="s">
        <v>4558</v>
      </c>
      <c r="E1644" s="18">
        <v>1</v>
      </c>
      <c r="F1644" s="18">
        <v>27</v>
      </c>
      <c r="G1644" s="18">
        <v>13</v>
      </c>
      <c r="H1644" s="18" t="s">
        <v>2028</v>
      </c>
    </row>
    <row r="1645" spans="1:8">
      <c r="A1645" s="7" t="str">
        <f t="shared" si="75"/>
        <v>13</v>
      </c>
      <c r="B1645" s="7" t="str">
        <f t="shared" si="76"/>
        <v>081</v>
      </c>
      <c r="C1645" s="7" t="str">
        <f t="shared" si="77"/>
        <v>Pergamino</v>
      </c>
      <c r="D1645" s="18" t="s">
        <v>4559</v>
      </c>
      <c r="E1645" s="18">
        <v>1</v>
      </c>
      <c r="F1645" s="18">
        <v>15</v>
      </c>
      <c r="G1645" s="18">
        <v>13</v>
      </c>
      <c r="H1645" s="18" t="s">
        <v>2028</v>
      </c>
    </row>
    <row r="1646" spans="1:8">
      <c r="A1646" s="7" t="str">
        <f t="shared" si="75"/>
        <v>13</v>
      </c>
      <c r="B1646" s="7" t="str">
        <f t="shared" si="76"/>
        <v>081</v>
      </c>
      <c r="C1646" s="7" t="str">
        <f t="shared" si="77"/>
        <v>Pergamino</v>
      </c>
      <c r="D1646" s="18" t="s">
        <v>4560</v>
      </c>
      <c r="E1646" s="18">
        <v>1</v>
      </c>
      <c r="F1646" s="18">
        <v>20</v>
      </c>
      <c r="G1646" s="18">
        <v>13</v>
      </c>
      <c r="H1646" s="18" t="s">
        <v>2028</v>
      </c>
    </row>
    <row r="1647" spans="1:8">
      <c r="A1647" s="7" t="str">
        <f t="shared" si="75"/>
        <v>13</v>
      </c>
      <c r="B1647" s="7" t="str">
        <f t="shared" si="76"/>
        <v>081</v>
      </c>
      <c r="C1647" s="7" t="str">
        <f t="shared" si="77"/>
        <v>Pergamino</v>
      </c>
      <c r="D1647" s="18" t="s">
        <v>4561</v>
      </c>
      <c r="E1647" s="18">
        <v>1</v>
      </c>
      <c r="F1647" s="18">
        <v>16</v>
      </c>
      <c r="G1647" s="18">
        <v>13</v>
      </c>
      <c r="H1647" s="18" t="s">
        <v>2028</v>
      </c>
    </row>
    <row r="1648" spans="1:8">
      <c r="A1648" s="7" t="str">
        <f t="shared" si="75"/>
        <v>13</v>
      </c>
      <c r="B1648" s="7" t="str">
        <f t="shared" si="76"/>
        <v>081</v>
      </c>
      <c r="C1648" s="7" t="str">
        <f t="shared" si="77"/>
        <v>Pergamino</v>
      </c>
      <c r="D1648" s="18" t="s">
        <v>4562</v>
      </c>
      <c r="E1648" s="18">
        <v>1</v>
      </c>
      <c r="F1648" s="18">
        <v>15</v>
      </c>
      <c r="G1648" s="18">
        <v>13</v>
      </c>
      <c r="H1648" s="18" t="s">
        <v>2028</v>
      </c>
    </row>
    <row r="1649" spans="1:8">
      <c r="A1649" s="7" t="str">
        <f t="shared" si="75"/>
        <v>13</v>
      </c>
      <c r="B1649" s="7" t="str">
        <f t="shared" si="76"/>
        <v>081</v>
      </c>
      <c r="C1649" s="7" t="str">
        <f t="shared" si="77"/>
        <v>Pergamino</v>
      </c>
      <c r="D1649" s="18" t="s">
        <v>3884</v>
      </c>
      <c r="E1649" s="18">
        <v>1</v>
      </c>
      <c r="F1649" s="18">
        <v>27</v>
      </c>
      <c r="G1649" s="18">
        <v>13</v>
      </c>
      <c r="H1649" s="18" t="s">
        <v>2028</v>
      </c>
    </row>
    <row r="1650" spans="1:8">
      <c r="A1650" s="7" t="str">
        <f t="shared" si="75"/>
        <v>13</v>
      </c>
      <c r="B1650" s="7" t="str">
        <f t="shared" si="76"/>
        <v>081</v>
      </c>
      <c r="C1650" s="7" t="str">
        <f t="shared" si="77"/>
        <v>Pergamino</v>
      </c>
      <c r="D1650" s="18" t="s">
        <v>3898</v>
      </c>
      <c r="E1650" s="18">
        <v>6</v>
      </c>
      <c r="F1650" s="18">
        <v>181</v>
      </c>
      <c r="G1650" s="18">
        <v>13</v>
      </c>
      <c r="H1650" s="18" t="s">
        <v>2028</v>
      </c>
    </row>
    <row r="1651" spans="1:8">
      <c r="A1651" s="7" t="str">
        <f t="shared" si="75"/>
        <v>13</v>
      </c>
      <c r="B1651" s="7" t="str">
        <f t="shared" si="76"/>
        <v>081</v>
      </c>
      <c r="C1651" s="7" t="str">
        <f t="shared" si="77"/>
        <v>Pergamino</v>
      </c>
      <c r="D1651" s="18" t="s">
        <v>4563</v>
      </c>
      <c r="E1651" s="18">
        <v>5</v>
      </c>
      <c r="F1651" s="18">
        <v>182</v>
      </c>
      <c r="G1651" s="18">
        <v>13</v>
      </c>
      <c r="H1651" s="18" t="s">
        <v>2028</v>
      </c>
    </row>
    <row r="1652" spans="1:8">
      <c r="A1652" s="7" t="str">
        <f t="shared" si="75"/>
        <v>13</v>
      </c>
      <c r="B1652" s="7" t="str">
        <f t="shared" si="76"/>
        <v>081</v>
      </c>
      <c r="C1652" s="7" t="str">
        <f t="shared" si="77"/>
        <v>Pergamino</v>
      </c>
      <c r="D1652" s="18" t="s">
        <v>4564</v>
      </c>
      <c r="E1652" s="18">
        <v>1</v>
      </c>
      <c r="F1652" s="18">
        <v>25</v>
      </c>
      <c r="G1652" s="18">
        <v>13</v>
      </c>
      <c r="H1652" s="18" t="s">
        <v>2028</v>
      </c>
    </row>
    <row r="1653" spans="1:8">
      <c r="A1653" s="7" t="str">
        <f t="shared" si="75"/>
        <v>13</v>
      </c>
      <c r="B1653" s="7" t="str">
        <f t="shared" si="76"/>
        <v>081</v>
      </c>
      <c r="C1653" s="7" t="str">
        <f t="shared" si="77"/>
        <v>Pergamino</v>
      </c>
      <c r="D1653" s="18" t="s">
        <v>4565</v>
      </c>
      <c r="E1653" s="18">
        <v>1</v>
      </c>
      <c r="F1653" s="18">
        <v>34</v>
      </c>
      <c r="G1653" s="18">
        <v>13</v>
      </c>
      <c r="H1653" s="18" t="s">
        <v>2028</v>
      </c>
    </row>
    <row r="1654" spans="1:8">
      <c r="A1654" s="7" t="str">
        <f t="shared" si="75"/>
        <v>13</v>
      </c>
      <c r="B1654" s="7" t="str">
        <f t="shared" si="76"/>
        <v>081</v>
      </c>
      <c r="C1654" s="7" t="str">
        <f t="shared" si="77"/>
        <v>Pergamino</v>
      </c>
      <c r="D1654" s="18" t="s">
        <v>4566</v>
      </c>
      <c r="E1654" s="18">
        <v>5</v>
      </c>
      <c r="F1654" s="18">
        <v>129</v>
      </c>
      <c r="G1654" s="18">
        <v>13</v>
      </c>
      <c r="H1654" s="18" t="s">
        <v>2028</v>
      </c>
    </row>
    <row r="1655" spans="1:8">
      <c r="A1655" s="7" t="str">
        <f t="shared" si="75"/>
        <v>13</v>
      </c>
      <c r="B1655" s="7" t="str">
        <f t="shared" si="76"/>
        <v>081</v>
      </c>
      <c r="C1655" s="7" t="str">
        <f t="shared" si="77"/>
        <v>Pergamino</v>
      </c>
      <c r="D1655" s="18" t="s">
        <v>4567</v>
      </c>
      <c r="E1655" s="18">
        <v>1</v>
      </c>
      <c r="F1655" s="18">
        <v>14</v>
      </c>
      <c r="G1655" s="18">
        <v>13</v>
      </c>
      <c r="H1655" s="18" t="s">
        <v>2028</v>
      </c>
    </row>
    <row r="1656" spans="1:8">
      <c r="A1656" s="7" t="str">
        <f t="shared" si="75"/>
        <v>13</v>
      </c>
      <c r="B1656" s="7" t="str">
        <f t="shared" si="76"/>
        <v>081</v>
      </c>
      <c r="C1656" s="7" t="str">
        <f t="shared" si="77"/>
        <v>Pergamino</v>
      </c>
      <c r="D1656" s="18" t="s">
        <v>4568</v>
      </c>
      <c r="E1656" s="18">
        <v>1</v>
      </c>
      <c r="F1656" s="18">
        <v>16</v>
      </c>
      <c r="G1656" s="18">
        <v>13</v>
      </c>
      <c r="H1656" s="18" t="s">
        <v>2028</v>
      </c>
    </row>
    <row r="1657" spans="1:8">
      <c r="A1657" s="7" t="str">
        <f t="shared" si="75"/>
        <v>13</v>
      </c>
      <c r="B1657" s="7" t="str">
        <f t="shared" si="76"/>
        <v>081</v>
      </c>
      <c r="C1657" s="7" t="str">
        <f t="shared" si="77"/>
        <v>Pergamino</v>
      </c>
      <c r="D1657" s="18" t="s">
        <v>4569</v>
      </c>
      <c r="E1657" s="18">
        <v>1</v>
      </c>
      <c r="F1657" s="18">
        <v>19</v>
      </c>
      <c r="G1657" s="18">
        <v>13</v>
      </c>
      <c r="H1657" s="18" t="s">
        <v>2028</v>
      </c>
    </row>
    <row r="1658" spans="1:8">
      <c r="A1658" s="7" t="str">
        <f t="shared" si="75"/>
        <v>13</v>
      </c>
      <c r="B1658" s="7" t="str">
        <f t="shared" si="76"/>
        <v>081</v>
      </c>
      <c r="C1658" s="7" t="str">
        <f t="shared" si="77"/>
        <v>Pergamino</v>
      </c>
      <c r="D1658" s="18" t="s">
        <v>4570</v>
      </c>
      <c r="E1658" s="18">
        <v>1</v>
      </c>
      <c r="F1658" s="18">
        <v>14</v>
      </c>
      <c r="G1658" s="18">
        <v>13</v>
      </c>
      <c r="H1658" s="18" t="s">
        <v>2028</v>
      </c>
    </row>
    <row r="1659" spans="1:8">
      <c r="A1659" s="7" t="str">
        <f t="shared" si="75"/>
        <v>13</v>
      </c>
      <c r="B1659" s="7" t="str">
        <f t="shared" si="76"/>
        <v>081</v>
      </c>
      <c r="C1659" s="7" t="str">
        <f t="shared" si="77"/>
        <v>Pergamino</v>
      </c>
      <c r="D1659" s="18" t="s">
        <v>4571</v>
      </c>
      <c r="E1659" s="18">
        <v>1</v>
      </c>
      <c r="F1659" s="18">
        <v>7</v>
      </c>
      <c r="G1659" s="18">
        <v>13</v>
      </c>
      <c r="H1659" s="18" t="s">
        <v>2028</v>
      </c>
    </row>
    <row r="1660" spans="1:8">
      <c r="A1660" s="7" t="str">
        <f t="shared" si="75"/>
        <v>13</v>
      </c>
      <c r="B1660" s="7" t="str">
        <f t="shared" si="76"/>
        <v>081</v>
      </c>
      <c r="C1660" s="7" t="str">
        <f t="shared" si="77"/>
        <v>Pergamino</v>
      </c>
      <c r="D1660" s="18" t="s">
        <v>3219</v>
      </c>
      <c r="E1660" s="18">
        <v>1</v>
      </c>
      <c r="F1660" s="18">
        <v>17</v>
      </c>
      <c r="G1660" s="18">
        <v>13</v>
      </c>
      <c r="H1660" s="18" t="s">
        <v>2028</v>
      </c>
    </row>
    <row r="1661" spans="1:8">
      <c r="A1661" s="7" t="str">
        <f t="shared" si="75"/>
        <v>13</v>
      </c>
      <c r="B1661" s="7" t="str">
        <f t="shared" si="76"/>
        <v>081</v>
      </c>
      <c r="C1661" s="7" t="str">
        <f t="shared" si="77"/>
        <v>Pergamino</v>
      </c>
      <c r="D1661" s="18" t="s">
        <v>4572</v>
      </c>
      <c r="E1661" s="18">
        <v>1</v>
      </c>
      <c r="F1661" s="18">
        <v>18</v>
      </c>
      <c r="G1661" s="18">
        <v>13</v>
      </c>
      <c r="H1661" s="18" t="s">
        <v>2028</v>
      </c>
    </row>
    <row r="1662" spans="1:8">
      <c r="A1662" s="7" t="str">
        <f t="shared" si="75"/>
        <v>13</v>
      </c>
      <c r="B1662" s="7" t="str">
        <f t="shared" si="76"/>
        <v>089</v>
      </c>
      <c r="C1662" s="7" t="str">
        <f t="shared" si="77"/>
        <v>Rojas</v>
      </c>
      <c r="D1662" s="18" t="s">
        <v>4573</v>
      </c>
      <c r="E1662" s="18">
        <v>1</v>
      </c>
      <c r="F1662" s="18">
        <v>12</v>
      </c>
      <c r="G1662" s="18">
        <v>13</v>
      </c>
      <c r="H1662" s="18" t="s">
        <v>2172</v>
      </c>
    </row>
    <row r="1663" spans="1:8">
      <c r="A1663" s="7" t="str">
        <f t="shared" si="75"/>
        <v>13</v>
      </c>
      <c r="B1663" s="7" t="str">
        <f t="shared" si="76"/>
        <v>089</v>
      </c>
      <c r="C1663" s="7" t="str">
        <f t="shared" si="77"/>
        <v>Rojas</v>
      </c>
      <c r="D1663" s="18" t="s">
        <v>4574</v>
      </c>
      <c r="E1663" s="18">
        <v>4</v>
      </c>
      <c r="F1663" s="18">
        <v>82</v>
      </c>
      <c r="G1663" s="18">
        <v>13</v>
      </c>
      <c r="H1663" s="18" t="s">
        <v>2172</v>
      </c>
    </row>
    <row r="1664" spans="1:8">
      <c r="A1664" s="7" t="str">
        <f t="shared" si="75"/>
        <v>13</v>
      </c>
      <c r="B1664" s="7" t="str">
        <f t="shared" si="76"/>
        <v>066</v>
      </c>
      <c r="C1664" s="7" t="str">
        <f t="shared" si="77"/>
        <v>Salto</v>
      </c>
      <c r="D1664" s="18" t="s">
        <v>4575</v>
      </c>
      <c r="E1664" s="18">
        <v>1</v>
      </c>
      <c r="F1664" s="18">
        <v>12</v>
      </c>
      <c r="G1664" s="18">
        <v>13</v>
      </c>
      <c r="H1664" s="18" t="s">
        <v>1500</v>
      </c>
    </row>
    <row r="1665" spans="1:8">
      <c r="A1665" s="7" t="str">
        <f t="shared" si="75"/>
        <v>13</v>
      </c>
      <c r="B1665" s="7" t="str">
        <f t="shared" si="76"/>
        <v>066</v>
      </c>
      <c r="C1665" s="7" t="str">
        <f t="shared" si="77"/>
        <v>Salto</v>
      </c>
      <c r="D1665" s="18" t="s">
        <v>3844</v>
      </c>
      <c r="E1665" s="18">
        <v>4</v>
      </c>
      <c r="F1665" s="18">
        <v>126</v>
      </c>
      <c r="G1665" s="18">
        <v>13</v>
      </c>
      <c r="H1665" s="18" t="s">
        <v>1500</v>
      </c>
    </row>
    <row r="1666" spans="1:8">
      <c r="A1666" s="7" t="str">
        <f t="shared" si="75"/>
        <v>13</v>
      </c>
      <c r="B1666" s="7" t="str">
        <f t="shared" si="76"/>
        <v>066</v>
      </c>
      <c r="C1666" s="7" t="str">
        <f t="shared" si="77"/>
        <v>Salto</v>
      </c>
      <c r="D1666" s="18" t="s">
        <v>4576</v>
      </c>
      <c r="E1666" s="18">
        <v>3</v>
      </c>
      <c r="F1666" s="18">
        <v>123</v>
      </c>
      <c r="G1666" s="18">
        <v>13</v>
      </c>
      <c r="H1666" s="18" t="s">
        <v>1500</v>
      </c>
    </row>
    <row r="1667" spans="1:8">
      <c r="A1667" s="7" t="str">
        <f t="shared" ref="A1667:A1730" si="78">+VLOOKUP(H1667,$K:$N,2,FALSE)</f>
        <v>13</v>
      </c>
      <c r="B1667" s="7" t="str">
        <f t="shared" ref="B1667:B1730" si="79">+VLOOKUP(H1667,$K:$N,3,FALSE)</f>
        <v>066</v>
      </c>
      <c r="C1667" s="7" t="str">
        <f t="shared" ref="C1667:C1730" si="80">+VLOOKUP(H1667,$K:$N,4,FALSE)</f>
        <v>Salto</v>
      </c>
      <c r="D1667" s="18" t="s">
        <v>4577</v>
      </c>
      <c r="E1667" s="18">
        <v>1</v>
      </c>
      <c r="F1667" s="18">
        <v>39</v>
      </c>
      <c r="G1667" s="18">
        <v>13</v>
      </c>
      <c r="H1667" s="18" t="s">
        <v>1500</v>
      </c>
    </row>
    <row r="1668" spans="1:8">
      <c r="A1668" s="7" t="str">
        <f t="shared" si="78"/>
        <v>13</v>
      </c>
      <c r="B1668" s="7" t="str">
        <f t="shared" si="79"/>
        <v>066</v>
      </c>
      <c r="C1668" s="7" t="str">
        <f t="shared" si="80"/>
        <v>Salto</v>
      </c>
      <c r="D1668" s="18" t="s">
        <v>4578</v>
      </c>
      <c r="E1668" s="18">
        <v>1</v>
      </c>
      <c r="F1668" s="18">
        <v>27</v>
      </c>
      <c r="G1668" s="18">
        <v>13</v>
      </c>
      <c r="H1668" s="18" t="s">
        <v>1500</v>
      </c>
    </row>
    <row r="1669" spans="1:8">
      <c r="A1669" s="7" t="str">
        <f t="shared" si="78"/>
        <v>13</v>
      </c>
      <c r="B1669" s="7" t="str">
        <f t="shared" si="79"/>
        <v>094</v>
      </c>
      <c r="C1669" s="7" t="str">
        <f t="shared" si="80"/>
        <v>San Antonio de Areco</v>
      </c>
      <c r="D1669" s="18" t="s">
        <v>4579</v>
      </c>
      <c r="E1669" s="18">
        <v>1</v>
      </c>
      <c r="F1669" s="18">
        <v>14</v>
      </c>
      <c r="G1669" s="18">
        <v>13</v>
      </c>
      <c r="H1669" s="18" t="s">
        <v>2207</v>
      </c>
    </row>
    <row r="1670" spans="1:8">
      <c r="A1670" s="7" t="str">
        <f t="shared" si="78"/>
        <v>14</v>
      </c>
      <c r="B1670" s="7" t="str">
        <f t="shared" si="79"/>
        <v>026</v>
      </c>
      <c r="C1670" s="7" t="str">
        <f t="shared" si="80"/>
        <v>Chacabuco</v>
      </c>
      <c r="D1670" s="18" t="s">
        <v>4580</v>
      </c>
      <c r="E1670" s="18">
        <v>4</v>
      </c>
      <c r="F1670" s="18">
        <v>81</v>
      </c>
      <c r="G1670" s="18">
        <v>14</v>
      </c>
      <c r="H1670" s="18" t="s">
        <v>728</v>
      </c>
    </row>
    <row r="1671" spans="1:8">
      <c r="A1671" s="7" t="str">
        <f t="shared" si="78"/>
        <v>14</v>
      </c>
      <c r="B1671" s="7" t="str">
        <f t="shared" si="79"/>
        <v>026</v>
      </c>
      <c r="C1671" s="7" t="str">
        <f t="shared" si="80"/>
        <v>Chacabuco</v>
      </c>
      <c r="D1671" s="18" t="s">
        <v>4581</v>
      </c>
      <c r="E1671" s="18">
        <v>2</v>
      </c>
      <c r="F1671" s="18">
        <v>31</v>
      </c>
      <c r="G1671" s="18">
        <v>14</v>
      </c>
      <c r="H1671" s="18" t="s">
        <v>728</v>
      </c>
    </row>
    <row r="1672" spans="1:8">
      <c r="A1672" s="7" t="str">
        <f t="shared" si="78"/>
        <v>14</v>
      </c>
      <c r="B1672" s="7" t="str">
        <f t="shared" si="79"/>
        <v>026</v>
      </c>
      <c r="C1672" s="7" t="str">
        <f t="shared" si="80"/>
        <v>Chacabuco</v>
      </c>
      <c r="D1672" s="18" t="s">
        <v>4582</v>
      </c>
      <c r="E1672" s="18">
        <v>1</v>
      </c>
      <c r="F1672" s="18">
        <v>19</v>
      </c>
      <c r="G1672" s="18">
        <v>14</v>
      </c>
      <c r="H1672" s="18" t="s">
        <v>728</v>
      </c>
    </row>
    <row r="1673" spans="1:8">
      <c r="A1673" s="7" t="str">
        <f t="shared" si="78"/>
        <v>14</v>
      </c>
      <c r="B1673" s="7" t="str">
        <f t="shared" si="79"/>
        <v>026</v>
      </c>
      <c r="C1673" s="7" t="str">
        <f t="shared" si="80"/>
        <v>Chacabuco</v>
      </c>
      <c r="D1673" s="18" t="s">
        <v>4583</v>
      </c>
      <c r="E1673" s="18">
        <v>3</v>
      </c>
      <c r="F1673" s="18">
        <v>59</v>
      </c>
      <c r="G1673" s="18">
        <v>14</v>
      </c>
      <c r="H1673" s="18" t="s">
        <v>728</v>
      </c>
    </row>
    <row r="1674" spans="1:8">
      <c r="A1674" s="7" t="str">
        <f t="shared" si="78"/>
        <v>14</v>
      </c>
      <c r="B1674" s="7" t="str">
        <f t="shared" si="79"/>
        <v>026</v>
      </c>
      <c r="C1674" s="7" t="str">
        <f t="shared" si="80"/>
        <v>Chacabuco</v>
      </c>
      <c r="D1674" s="18" t="s">
        <v>4584</v>
      </c>
      <c r="E1674" s="18">
        <v>3</v>
      </c>
      <c r="F1674" s="18">
        <v>38</v>
      </c>
      <c r="G1674" s="18">
        <v>14</v>
      </c>
      <c r="H1674" s="18" t="s">
        <v>728</v>
      </c>
    </row>
    <row r="1675" spans="1:8">
      <c r="A1675" s="7" t="str">
        <f t="shared" si="78"/>
        <v>14</v>
      </c>
      <c r="B1675" s="7" t="str">
        <f t="shared" si="79"/>
        <v>026</v>
      </c>
      <c r="C1675" s="7" t="str">
        <f t="shared" si="80"/>
        <v>Chacabuco</v>
      </c>
      <c r="D1675" s="18" t="s">
        <v>4585</v>
      </c>
      <c r="E1675" s="18">
        <v>1</v>
      </c>
      <c r="F1675" s="18">
        <v>19</v>
      </c>
      <c r="G1675" s="18">
        <v>14</v>
      </c>
      <c r="H1675" s="18" t="s">
        <v>728</v>
      </c>
    </row>
    <row r="1676" spans="1:8">
      <c r="A1676" s="7" t="str">
        <f t="shared" si="78"/>
        <v>14</v>
      </c>
      <c r="B1676" s="7" t="str">
        <f t="shared" si="79"/>
        <v>128</v>
      </c>
      <c r="C1676" s="7" t="str">
        <f t="shared" si="80"/>
        <v>Florentino Ameghino</v>
      </c>
      <c r="D1676" s="18" t="s">
        <v>4586</v>
      </c>
      <c r="E1676" s="18">
        <v>1</v>
      </c>
      <c r="F1676" s="18">
        <v>16</v>
      </c>
      <c r="G1676" s="18">
        <v>14</v>
      </c>
      <c r="H1676" s="18" t="s">
        <v>2754</v>
      </c>
    </row>
    <row r="1677" spans="1:8">
      <c r="A1677" s="7" t="str">
        <f t="shared" si="78"/>
        <v>14</v>
      </c>
      <c r="B1677" s="7" t="str">
        <f t="shared" si="79"/>
        <v>128</v>
      </c>
      <c r="C1677" s="7" t="str">
        <f t="shared" si="80"/>
        <v>Florentino Ameghino</v>
      </c>
      <c r="D1677" s="18" t="s">
        <v>4587</v>
      </c>
      <c r="E1677" s="18">
        <v>1</v>
      </c>
      <c r="F1677" s="18">
        <v>11</v>
      </c>
      <c r="G1677" s="18">
        <v>14</v>
      </c>
      <c r="H1677" s="18" t="s">
        <v>2754</v>
      </c>
    </row>
    <row r="1678" spans="1:8">
      <c r="A1678" s="7" t="str">
        <f t="shared" si="78"/>
        <v>14</v>
      </c>
      <c r="B1678" s="7" t="str">
        <f t="shared" si="79"/>
        <v>128</v>
      </c>
      <c r="C1678" s="7" t="str">
        <f t="shared" si="80"/>
        <v>Florentino Ameghino</v>
      </c>
      <c r="D1678" s="18" t="s">
        <v>4588</v>
      </c>
      <c r="E1678" s="18">
        <v>1</v>
      </c>
      <c r="F1678" s="18">
        <v>15</v>
      </c>
      <c r="G1678" s="18">
        <v>14</v>
      </c>
      <c r="H1678" s="18" t="s">
        <v>2754</v>
      </c>
    </row>
    <row r="1679" spans="1:8">
      <c r="A1679" s="7" t="str">
        <f t="shared" si="78"/>
        <v>14</v>
      </c>
      <c r="B1679" s="7" t="str">
        <f t="shared" si="79"/>
        <v>128</v>
      </c>
      <c r="C1679" s="7" t="str">
        <f t="shared" si="80"/>
        <v>Florentino Ameghino</v>
      </c>
      <c r="D1679" s="18" t="s">
        <v>4589</v>
      </c>
      <c r="E1679" s="18">
        <v>2</v>
      </c>
      <c r="F1679" s="18">
        <v>27</v>
      </c>
      <c r="G1679" s="18">
        <v>14</v>
      </c>
      <c r="H1679" s="18" t="s">
        <v>2754</v>
      </c>
    </row>
    <row r="1680" spans="1:8">
      <c r="A1680" s="7" t="str">
        <f t="shared" si="78"/>
        <v>14</v>
      </c>
      <c r="B1680" s="7" t="str">
        <f t="shared" si="79"/>
        <v>035</v>
      </c>
      <c r="C1680" s="7" t="str">
        <f t="shared" si="80"/>
        <v>General Arenales</v>
      </c>
      <c r="D1680" s="18" t="s">
        <v>4590</v>
      </c>
      <c r="E1680" s="18">
        <v>1</v>
      </c>
      <c r="F1680" s="18">
        <v>12</v>
      </c>
      <c r="G1680" s="18">
        <v>14</v>
      </c>
      <c r="H1680" s="18" t="s">
        <v>897</v>
      </c>
    </row>
    <row r="1681" spans="1:8">
      <c r="A1681" s="7" t="str">
        <f t="shared" si="78"/>
        <v>14</v>
      </c>
      <c r="B1681" s="7" t="str">
        <f t="shared" si="79"/>
        <v>035</v>
      </c>
      <c r="C1681" s="7" t="str">
        <f t="shared" si="80"/>
        <v>General Arenales</v>
      </c>
      <c r="D1681" s="18" t="s">
        <v>4591</v>
      </c>
      <c r="E1681" s="18">
        <v>1</v>
      </c>
      <c r="F1681" s="18">
        <v>18</v>
      </c>
      <c r="G1681" s="18">
        <v>14</v>
      </c>
      <c r="H1681" s="18" t="s">
        <v>897</v>
      </c>
    </row>
    <row r="1682" spans="1:8">
      <c r="A1682" s="7" t="str">
        <f t="shared" si="78"/>
        <v>14</v>
      </c>
      <c r="B1682" s="7" t="str">
        <f t="shared" si="79"/>
        <v>035</v>
      </c>
      <c r="C1682" s="7" t="str">
        <f t="shared" si="80"/>
        <v>General Arenales</v>
      </c>
      <c r="D1682" s="18" t="s">
        <v>4592</v>
      </c>
      <c r="E1682" s="18">
        <v>1</v>
      </c>
      <c r="F1682" s="18">
        <v>5</v>
      </c>
      <c r="G1682" s="18">
        <v>14</v>
      </c>
      <c r="H1682" s="18" t="s">
        <v>897</v>
      </c>
    </row>
    <row r="1683" spans="1:8">
      <c r="A1683" s="7" t="str">
        <f t="shared" si="78"/>
        <v>14</v>
      </c>
      <c r="B1683" s="7" t="str">
        <f t="shared" si="79"/>
        <v>035</v>
      </c>
      <c r="C1683" s="7" t="str">
        <f t="shared" si="80"/>
        <v>General Arenales</v>
      </c>
      <c r="D1683" s="18" t="s">
        <v>4593</v>
      </c>
      <c r="E1683" s="18">
        <v>1</v>
      </c>
      <c r="F1683" s="18">
        <v>18</v>
      </c>
      <c r="G1683" s="18">
        <v>14</v>
      </c>
      <c r="H1683" s="18" t="s">
        <v>897</v>
      </c>
    </row>
    <row r="1684" spans="1:8">
      <c r="A1684" s="7" t="str">
        <f t="shared" si="78"/>
        <v>14</v>
      </c>
      <c r="B1684" s="7" t="str">
        <f t="shared" si="79"/>
        <v>035</v>
      </c>
      <c r="C1684" s="7" t="str">
        <f t="shared" si="80"/>
        <v>General Arenales</v>
      </c>
      <c r="D1684" s="18" t="s">
        <v>4594</v>
      </c>
      <c r="E1684" s="18">
        <v>1</v>
      </c>
      <c r="F1684" s="18">
        <v>20</v>
      </c>
      <c r="G1684" s="18">
        <v>14</v>
      </c>
      <c r="H1684" s="18" t="s">
        <v>897</v>
      </c>
    </row>
    <row r="1685" spans="1:8">
      <c r="A1685" s="7" t="str">
        <f t="shared" si="78"/>
        <v>14</v>
      </c>
      <c r="B1685" s="7" t="str">
        <f t="shared" si="79"/>
        <v>035</v>
      </c>
      <c r="C1685" s="7" t="str">
        <f t="shared" si="80"/>
        <v>General Arenales</v>
      </c>
      <c r="D1685" s="18" t="s">
        <v>4595</v>
      </c>
      <c r="E1685" s="18">
        <v>2</v>
      </c>
      <c r="F1685" s="18">
        <v>21</v>
      </c>
      <c r="G1685" s="18">
        <v>14</v>
      </c>
      <c r="H1685" s="18" t="s">
        <v>897</v>
      </c>
    </row>
    <row r="1686" spans="1:8">
      <c r="A1686" s="7" t="str">
        <f t="shared" si="78"/>
        <v>14</v>
      </c>
      <c r="B1686" s="7" t="str">
        <f t="shared" si="79"/>
        <v>042</v>
      </c>
      <c r="C1686" s="7" t="str">
        <f t="shared" si="80"/>
        <v>General Pinto</v>
      </c>
      <c r="D1686" s="18" t="s">
        <v>4596</v>
      </c>
      <c r="E1686" s="18">
        <v>3</v>
      </c>
      <c r="F1686" s="18">
        <v>44</v>
      </c>
      <c r="G1686" s="18">
        <v>14</v>
      </c>
      <c r="H1686" s="18" t="s">
        <v>937</v>
      </c>
    </row>
    <row r="1687" spans="1:8">
      <c r="A1687" s="7" t="str">
        <f t="shared" si="78"/>
        <v>14</v>
      </c>
      <c r="B1687" s="7" t="str">
        <f t="shared" si="79"/>
        <v>042</v>
      </c>
      <c r="C1687" s="7" t="str">
        <f t="shared" si="80"/>
        <v>General Pinto</v>
      </c>
      <c r="D1687" s="18" t="s">
        <v>4597</v>
      </c>
      <c r="E1687" s="18">
        <v>4</v>
      </c>
      <c r="F1687" s="18">
        <v>63</v>
      </c>
      <c r="G1687" s="18">
        <v>14</v>
      </c>
      <c r="H1687" s="18" t="s">
        <v>937</v>
      </c>
    </row>
    <row r="1688" spans="1:8">
      <c r="A1688" s="7" t="str">
        <f t="shared" si="78"/>
        <v>14</v>
      </c>
      <c r="B1688" s="7" t="str">
        <f t="shared" si="79"/>
        <v>048</v>
      </c>
      <c r="C1688" s="7" t="str">
        <f t="shared" si="80"/>
        <v>General Viamonte</v>
      </c>
      <c r="D1688" s="18" t="s">
        <v>4598</v>
      </c>
      <c r="E1688" s="18">
        <v>3</v>
      </c>
      <c r="F1688" s="18">
        <v>59</v>
      </c>
      <c r="G1688" s="18">
        <v>14</v>
      </c>
      <c r="H1688" s="18" t="s">
        <v>1180</v>
      </c>
    </row>
    <row r="1689" spans="1:8">
      <c r="A1689" s="7" t="str">
        <f t="shared" si="78"/>
        <v>14</v>
      </c>
      <c r="B1689" s="7" t="str">
        <f t="shared" si="79"/>
        <v>048</v>
      </c>
      <c r="C1689" s="7" t="str">
        <f t="shared" si="80"/>
        <v>General Viamonte</v>
      </c>
      <c r="D1689" s="18" t="s">
        <v>4599</v>
      </c>
      <c r="E1689" s="18">
        <v>3</v>
      </c>
      <c r="F1689" s="18">
        <v>47</v>
      </c>
      <c r="G1689" s="18">
        <v>14</v>
      </c>
      <c r="H1689" s="18" t="s">
        <v>1180</v>
      </c>
    </row>
    <row r="1690" spans="1:8">
      <c r="A1690" s="7" t="str">
        <f t="shared" si="78"/>
        <v>14</v>
      </c>
      <c r="B1690" s="7" t="str">
        <f t="shared" si="79"/>
        <v>048</v>
      </c>
      <c r="C1690" s="7" t="str">
        <f t="shared" si="80"/>
        <v>General Viamonte</v>
      </c>
      <c r="D1690" s="18" t="s">
        <v>4600</v>
      </c>
      <c r="E1690" s="18">
        <v>1</v>
      </c>
      <c r="F1690" s="18">
        <v>15</v>
      </c>
      <c r="G1690" s="18">
        <v>14</v>
      </c>
      <c r="H1690" s="18" t="s">
        <v>1180</v>
      </c>
    </row>
    <row r="1691" spans="1:8">
      <c r="A1691" s="7" t="str">
        <f t="shared" si="78"/>
        <v>14</v>
      </c>
      <c r="B1691" s="7" t="str">
        <f t="shared" si="79"/>
        <v>048</v>
      </c>
      <c r="C1691" s="7" t="str">
        <f t="shared" si="80"/>
        <v>General Viamonte</v>
      </c>
      <c r="D1691" s="18" t="s">
        <v>4601</v>
      </c>
      <c r="E1691" s="18">
        <v>1</v>
      </c>
      <c r="F1691" s="18">
        <v>10</v>
      </c>
      <c r="G1691" s="18">
        <v>14</v>
      </c>
      <c r="H1691" s="18" t="s">
        <v>1180</v>
      </c>
    </row>
    <row r="1692" spans="1:8">
      <c r="A1692" s="7" t="str">
        <f t="shared" si="78"/>
        <v>14</v>
      </c>
      <c r="B1692" s="7" t="str">
        <f t="shared" si="79"/>
        <v>048</v>
      </c>
      <c r="C1692" s="7" t="str">
        <f t="shared" si="80"/>
        <v>General Viamonte</v>
      </c>
      <c r="D1692" s="18" t="s">
        <v>4602</v>
      </c>
      <c r="E1692" s="18">
        <v>1</v>
      </c>
      <c r="F1692" s="18">
        <v>4</v>
      </c>
      <c r="G1692" s="18">
        <v>14</v>
      </c>
      <c r="H1692" s="18" t="s">
        <v>1180</v>
      </c>
    </row>
    <row r="1693" spans="1:8">
      <c r="A1693" s="7" t="str">
        <f t="shared" si="78"/>
        <v>14</v>
      </c>
      <c r="B1693" s="7" t="str">
        <f t="shared" si="79"/>
        <v>048</v>
      </c>
      <c r="C1693" s="7" t="str">
        <f t="shared" si="80"/>
        <v>General Viamonte</v>
      </c>
      <c r="D1693" s="18" t="s">
        <v>4603</v>
      </c>
      <c r="E1693" s="18">
        <v>1</v>
      </c>
      <c r="F1693" s="18">
        <v>20</v>
      </c>
      <c r="G1693" s="18">
        <v>14</v>
      </c>
      <c r="H1693" s="18" t="s">
        <v>1180</v>
      </c>
    </row>
    <row r="1694" spans="1:8">
      <c r="A1694" s="7" t="str">
        <f t="shared" si="78"/>
        <v>14</v>
      </c>
      <c r="B1694" s="7" t="str">
        <f t="shared" si="79"/>
        <v>053</v>
      </c>
      <c r="C1694" s="7" t="str">
        <f t="shared" si="80"/>
        <v>Junín</v>
      </c>
      <c r="D1694" s="18" t="s">
        <v>4604</v>
      </c>
      <c r="E1694" s="18">
        <v>1</v>
      </c>
      <c r="F1694" s="18">
        <v>16</v>
      </c>
      <c r="G1694" s="18">
        <v>14</v>
      </c>
      <c r="H1694" s="18" t="s">
        <v>1218</v>
      </c>
    </row>
    <row r="1695" spans="1:8">
      <c r="A1695" s="7" t="str">
        <f t="shared" si="78"/>
        <v>14</v>
      </c>
      <c r="B1695" s="7" t="str">
        <f t="shared" si="79"/>
        <v>053</v>
      </c>
      <c r="C1695" s="7" t="str">
        <f t="shared" si="80"/>
        <v>Junín</v>
      </c>
      <c r="D1695" s="18" t="s">
        <v>4605</v>
      </c>
      <c r="E1695" s="18">
        <v>1</v>
      </c>
      <c r="F1695" s="18">
        <v>17</v>
      </c>
      <c r="G1695" s="18">
        <v>14</v>
      </c>
      <c r="H1695" s="18" t="s">
        <v>1218</v>
      </c>
    </row>
    <row r="1696" spans="1:8">
      <c r="A1696" s="7" t="str">
        <f t="shared" si="78"/>
        <v>14</v>
      </c>
      <c r="B1696" s="7" t="str">
        <f t="shared" si="79"/>
        <v>053</v>
      </c>
      <c r="C1696" s="7" t="str">
        <f t="shared" si="80"/>
        <v>Junín</v>
      </c>
      <c r="D1696" s="18" t="s">
        <v>4606</v>
      </c>
      <c r="E1696" s="18">
        <v>3</v>
      </c>
      <c r="F1696" s="18">
        <v>61</v>
      </c>
      <c r="G1696" s="18">
        <v>14</v>
      </c>
      <c r="H1696" s="18" t="s">
        <v>1218</v>
      </c>
    </row>
    <row r="1697" spans="1:8">
      <c r="A1697" s="7" t="str">
        <f t="shared" si="78"/>
        <v>14</v>
      </c>
      <c r="B1697" s="7" t="str">
        <f t="shared" si="79"/>
        <v>053</v>
      </c>
      <c r="C1697" s="7" t="str">
        <f t="shared" si="80"/>
        <v>Junín</v>
      </c>
      <c r="D1697" s="18" t="s">
        <v>4607</v>
      </c>
      <c r="E1697" s="18">
        <v>2</v>
      </c>
      <c r="F1697" s="18">
        <v>38</v>
      </c>
      <c r="G1697" s="18">
        <v>14</v>
      </c>
      <c r="H1697" s="18" t="s">
        <v>1218</v>
      </c>
    </row>
    <row r="1698" spans="1:8">
      <c r="A1698" s="7" t="str">
        <f t="shared" si="78"/>
        <v>14</v>
      </c>
      <c r="B1698" s="7" t="str">
        <f t="shared" si="79"/>
        <v>053</v>
      </c>
      <c r="C1698" s="7" t="str">
        <f t="shared" si="80"/>
        <v>Junín</v>
      </c>
      <c r="D1698" s="18" t="s">
        <v>4608</v>
      </c>
      <c r="E1698" s="18">
        <v>1</v>
      </c>
      <c r="F1698" s="18">
        <v>20</v>
      </c>
      <c r="G1698" s="18">
        <v>14</v>
      </c>
      <c r="H1698" s="18" t="s">
        <v>1218</v>
      </c>
    </row>
    <row r="1699" spans="1:8">
      <c r="A1699" s="7" t="str">
        <f t="shared" si="78"/>
        <v>14</v>
      </c>
      <c r="B1699" s="7" t="str">
        <f t="shared" si="79"/>
        <v>053</v>
      </c>
      <c r="C1699" s="7" t="str">
        <f t="shared" si="80"/>
        <v>Junín</v>
      </c>
      <c r="D1699" s="18" t="s">
        <v>4609</v>
      </c>
      <c r="E1699" s="18">
        <v>1</v>
      </c>
      <c r="F1699" s="18">
        <v>16</v>
      </c>
      <c r="G1699" s="18">
        <v>14</v>
      </c>
      <c r="H1699" s="18" t="s">
        <v>1218</v>
      </c>
    </row>
    <row r="1700" spans="1:8">
      <c r="A1700" s="7" t="str">
        <f t="shared" si="78"/>
        <v>14</v>
      </c>
      <c r="B1700" s="7" t="str">
        <f t="shared" si="79"/>
        <v>053</v>
      </c>
      <c r="C1700" s="7" t="str">
        <f t="shared" si="80"/>
        <v>Junín</v>
      </c>
      <c r="D1700" s="18" t="s">
        <v>4610</v>
      </c>
      <c r="E1700" s="18">
        <v>1</v>
      </c>
      <c r="F1700" s="18">
        <v>19</v>
      </c>
      <c r="G1700" s="18">
        <v>14</v>
      </c>
      <c r="H1700" s="18" t="s">
        <v>1218</v>
      </c>
    </row>
    <row r="1701" spans="1:8">
      <c r="A1701" s="7" t="str">
        <f t="shared" si="78"/>
        <v>14</v>
      </c>
      <c r="B1701" s="7" t="str">
        <f t="shared" si="79"/>
        <v>053</v>
      </c>
      <c r="C1701" s="7" t="str">
        <f t="shared" si="80"/>
        <v>Junín</v>
      </c>
      <c r="D1701" s="18" t="s">
        <v>4611</v>
      </c>
      <c r="E1701" s="18">
        <v>1</v>
      </c>
      <c r="F1701" s="18">
        <v>7</v>
      </c>
      <c r="G1701" s="18">
        <v>14</v>
      </c>
      <c r="H1701" s="18" t="s">
        <v>1218</v>
      </c>
    </row>
    <row r="1702" spans="1:8">
      <c r="A1702" s="7" t="str">
        <f t="shared" si="78"/>
        <v>14</v>
      </c>
      <c r="B1702" s="7" t="str">
        <f t="shared" si="79"/>
        <v>053</v>
      </c>
      <c r="C1702" s="7" t="str">
        <f t="shared" si="80"/>
        <v>Junín</v>
      </c>
      <c r="D1702" s="18" t="s">
        <v>4612</v>
      </c>
      <c r="E1702" s="18">
        <v>1</v>
      </c>
      <c r="F1702" s="18">
        <v>20</v>
      </c>
      <c r="G1702" s="18">
        <v>14</v>
      </c>
      <c r="H1702" s="18" t="s">
        <v>1218</v>
      </c>
    </row>
    <row r="1703" spans="1:8">
      <c r="A1703" s="7" t="str">
        <f t="shared" si="78"/>
        <v>14</v>
      </c>
      <c r="B1703" s="7" t="str">
        <f t="shared" si="79"/>
        <v>053</v>
      </c>
      <c r="C1703" s="7" t="str">
        <f t="shared" si="80"/>
        <v>Junín</v>
      </c>
      <c r="D1703" s="18" t="s">
        <v>4613</v>
      </c>
      <c r="E1703" s="18">
        <v>1</v>
      </c>
      <c r="F1703" s="18">
        <v>24</v>
      </c>
      <c r="G1703" s="18">
        <v>14</v>
      </c>
      <c r="H1703" s="18" t="s">
        <v>1218</v>
      </c>
    </row>
    <row r="1704" spans="1:8">
      <c r="A1704" s="7" t="str">
        <f t="shared" si="78"/>
        <v>14</v>
      </c>
      <c r="B1704" s="7" t="str">
        <f t="shared" si="79"/>
        <v>053</v>
      </c>
      <c r="C1704" s="7" t="str">
        <f t="shared" si="80"/>
        <v>Junín</v>
      </c>
      <c r="D1704" s="18" t="s">
        <v>4614</v>
      </c>
      <c r="E1704" s="18">
        <v>1</v>
      </c>
      <c r="F1704" s="18">
        <v>17</v>
      </c>
      <c r="G1704" s="18">
        <v>14</v>
      </c>
      <c r="H1704" s="18" t="s">
        <v>1218</v>
      </c>
    </row>
    <row r="1705" spans="1:8">
      <c r="A1705" s="7" t="str">
        <f t="shared" si="78"/>
        <v>14</v>
      </c>
      <c r="B1705" s="7" t="str">
        <f t="shared" si="79"/>
        <v>053</v>
      </c>
      <c r="C1705" s="7" t="str">
        <f t="shared" si="80"/>
        <v>Junín</v>
      </c>
      <c r="D1705" s="18" t="s">
        <v>4615</v>
      </c>
      <c r="E1705" s="18">
        <v>1</v>
      </c>
      <c r="F1705" s="18">
        <v>12</v>
      </c>
      <c r="G1705" s="18">
        <v>14</v>
      </c>
      <c r="H1705" s="18" t="s">
        <v>1218</v>
      </c>
    </row>
    <row r="1706" spans="1:8">
      <c r="A1706" s="7" t="str">
        <f t="shared" si="78"/>
        <v>14</v>
      </c>
      <c r="B1706" s="7" t="str">
        <f t="shared" si="79"/>
        <v>058</v>
      </c>
      <c r="C1706" s="7" t="str">
        <f t="shared" si="80"/>
        <v>Leandro N. Alem</v>
      </c>
      <c r="D1706" s="18" t="s">
        <v>3729</v>
      </c>
      <c r="E1706" s="18">
        <v>1</v>
      </c>
      <c r="F1706" s="18">
        <v>19</v>
      </c>
      <c r="G1706" s="18">
        <v>14</v>
      </c>
      <c r="H1706" s="18" t="s">
        <v>4616</v>
      </c>
    </row>
    <row r="1707" spans="1:8">
      <c r="A1707" s="7" t="str">
        <f t="shared" si="78"/>
        <v>14</v>
      </c>
      <c r="B1707" s="7" t="str">
        <f t="shared" si="79"/>
        <v>058</v>
      </c>
      <c r="C1707" s="7" t="str">
        <f t="shared" si="80"/>
        <v>Leandro N. Alem</v>
      </c>
      <c r="D1707" s="18" t="s">
        <v>4617</v>
      </c>
      <c r="E1707" s="18">
        <v>1</v>
      </c>
      <c r="F1707" s="18">
        <v>9</v>
      </c>
      <c r="G1707" s="18">
        <v>14</v>
      </c>
      <c r="H1707" s="18" t="s">
        <v>4616</v>
      </c>
    </row>
    <row r="1708" spans="1:8">
      <c r="A1708" s="7" t="str">
        <f t="shared" si="78"/>
        <v>14</v>
      </c>
      <c r="B1708" s="7" t="str">
        <f t="shared" si="79"/>
        <v>058</v>
      </c>
      <c r="C1708" s="7" t="str">
        <f t="shared" si="80"/>
        <v>Leandro N. Alem</v>
      </c>
      <c r="D1708" s="18" t="s">
        <v>4618</v>
      </c>
      <c r="E1708" s="18">
        <v>1</v>
      </c>
      <c r="F1708" s="18">
        <v>26</v>
      </c>
      <c r="G1708" s="18">
        <v>14</v>
      </c>
      <c r="H1708" s="18" t="s">
        <v>4616</v>
      </c>
    </row>
    <row r="1709" spans="1:8">
      <c r="A1709" s="7" t="str">
        <f t="shared" si="78"/>
        <v>14</v>
      </c>
      <c r="B1709" s="7" t="str">
        <f t="shared" si="79"/>
        <v>058</v>
      </c>
      <c r="C1709" s="7" t="str">
        <f t="shared" si="80"/>
        <v>Leandro N. Alem</v>
      </c>
      <c r="D1709" s="18" t="s">
        <v>4619</v>
      </c>
      <c r="E1709" s="18">
        <v>1</v>
      </c>
      <c r="F1709" s="18">
        <v>30</v>
      </c>
      <c r="G1709" s="18">
        <v>14</v>
      </c>
      <c r="H1709" s="18" t="s">
        <v>4616</v>
      </c>
    </row>
    <row r="1710" spans="1:8">
      <c r="A1710" s="7" t="str">
        <f t="shared" si="78"/>
        <v>14</v>
      </c>
      <c r="B1710" s="7" t="str">
        <f t="shared" si="79"/>
        <v>058</v>
      </c>
      <c r="C1710" s="7" t="str">
        <f t="shared" si="80"/>
        <v>Leandro N. Alem</v>
      </c>
      <c r="D1710" s="18" t="s">
        <v>4620</v>
      </c>
      <c r="E1710" s="18">
        <v>1</v>
      </c>
      <c r="F1710" s="18">
        <v>30</v>
      </c>
      <c r="G1710" s="18">
        <v>14</v>
      </c>
      <c r="H1710" s="18" t="s">
        <v>4616</v>
      </c>
    </row>
    <row r="1711" spans="1:8">
      <c r="A1711" s="7" t="str">
        <f t="shared" si="78"/>
        <v>14</v>
      </c>
      <c r="B1711" s="7" t="str">
        <f t="shared" si="79"/>
        <v>058</v>
      </c>
      <c r="C1711" s="7" t="str">
        <f t="shared" si="80"/>
        <v>Leandro N. Alem</v>
      </c>
      <c r="D1711" s="18" t="s">
        <v>4621</v>
      </c>
      <c r="E1711" s="18">
        <v>1</v>
      </c>
      <c r="F1711" s="18">
        <v>30</v>
      </c>
      <c r="G1711" s="18">
        <v>14</v>
      </c>
      <c r="H1711" s="18" t="s">
        <v>4616</v>
      </c>
    </row>
    <row r="1712" spans="1:8">
      <c r="A1712" s="7" t="str">
        <f t="shared" si="78"/>
        <v>14</v>
      </c>
      <c r="B1712" s="7" t="str">
        <f t="shared" si="79"/>
        <v>059</v>
      </c>
      <c r="C1712" s="7" t="str">
        <f t="shared" si="80"/>
        <v>Lincoln</v>
      </c>
      <c r="D1712" s="18" t="s">
        <v>4622</v>
      </c>
      <c r="E1712" s="18">
        <v>6</v>
      </c>
      <c r="F1712" s="18">
        <v>127</v>
      </c>
      <c r="G1712" s="18">
        <v>14</v>
      </c>
      <c r="H1712" s="18" t="s">
        <v>1331</v>
      </c>
    </row>
    <row r="1713" spans="1:8">
      <c r="A1713" s="7" t="str">
        <f t="shared" si="78"/>
        <v>14</v>
      </c>
      <c r="B1713" s="7" t="str">
        <f t="shared" si="79"/>
        <v>059</v>
      </c>
      <c r="C1713" s="7" t="str">
        <f t="shared" si="80"/>
        <v>Lincoln</v>
      </c>
      <c r="D1713" s="18" t="s">
        <v>4623</v>
      </c>
      <c r="E1713" s="18">
        <v>1</v>
      </c>
      <c r="F1713" s="18">
        <v>9</v>
      </c>
      <c r="G1713" s="18">
        <v>14</v>
      </c>
      <c r="H1713" s="18" t="s">
        <v>1331</v>
      </c>
    </row>
    <row r="1714" spans="1:8">
      <c r="A1714" s="7" t="str">
        <f t="shared" si="78"/>
        <v>15</v>
      </c>
      <c r="B1714" s="7" t="str">
        <f t="shared" si="79"/>
        <v>076</v>
      </c>
      <c r="C1714" s="7" t="str">
        <f t="shared" si="80"/>
        <v>9 de Julio</v>
      </c>
      <c r="D1714" s="18" t="s">
        <v>4625</v>
      </c>
      <c r="E1714" s="18">
        <v>1</v>
      </c>
      <c r="F1714" s="18">
        <v>7</v>
      </c>
      <c r="G1714" s="18">
        <v>15</v>
      </c>
      <c r="H1714" s="18" t="s">
        <v>4624</v>
      </c>
    </row>
    <row r="1715" spans="1:8">
      <c r="A1715" s="7" t="str">
        <f t="shared" si="78"/>
        <v>15</v>
      </c>
      <c r="B1715" s="7" t="str">
        <f t="shared" si="79"/>
        <v>076</v>
      </c>
      <c r="C1715" s="7" t="str">
        <f t="shared" si="80"/>
        <v>9 de Julio</v>
      </c>
      <c r="D1715" s="18" t="s">
        <v>4626</v>
      </c>
      <c r="E1715" s="18">
        <v>1</v>
      </c>
      <c r="F1715" s="18">
        <v>10</v>
      </c>
      <c r="G1715" s="18">
        <v>15</v>
      </c>
      <c r="H1715" s="18" t="s">
        <v>4624</v>
      </c>
    </row>
    <row r="1716" spans="1:8">
      <c r="A1716" s="7" t="str">
        <f t="shared" si="78"/>
        <v>15</v>
      </c>
      <c r="B1716" s="7" t="str">
        <f t="shared" si="79"/>
        <v>076</v>
      </c>
      <c r="C1716" s="7" t="str">
        <f t="shared" si="80"/>
        <v>9 de Julio</v>
      </c>
      <c r="D1716" s="18" t="s">
        <v>4627</v>
      </c>
      <c r="E1716" s="18">
        <v>1</v>
      </c>
      <c r="F1716" s="18">
        <v>7</v>
      </c>
      <c r="G1716" s="18">
        <v>15</v>
      </c>
      <c r="H1716" s="18" t="s">
        <v>4624</v>
      </c>
    </row>
    <row r="1717" spans="1:8">
      <c r="A1717" s="7" t="str">
        <f t="shared" si="78"/>
        <v>15</v>
      </c>
      <c r="B1717" s="7" t="str">
        <f t="shared" si="79"/>
        <v>076</v>
      </c>
      <c r="C1717" s="7" t="str">
        <f t="shared" si="80"/>
        <v>9 de Julio</v>
      </c>
      <c r="D1717" s="18" t="s">
        <v>4628</v>
      </c>
      <c r="E1717" s="18">
        <v>1</v>
      </c>
      <c r="F1717" s="18">
        <v>21</v>
      </c>
      <c r="G1717" s="18">
        <v>15</v>
      </c>
      <c r="H1717" s="18" t="s">
        <v>4624</v>
      </c>
    </row>
    <row r="1718" spans="1:8">
      <c r="A1718" s="7" t="str">
        <f t="shared" si="78"/>
        <v>15</v>
      </c>
      <c r="B1718" s="7" t="str">
        <f t="shared" si="79"/>
        <v>076</v>
      </c>
      <c r="C1718" s="7" t="str">
        <f t="shared" si="80"/>
        <v>9 de Julio</v>
      </c>
      <c r="D1718" s="18" t="s">
        <v>4629</v>
      </c>
      <c r="E1718" s="18">
        <v>1</v>
      </c>
      <c r="F1718" s="18">
        <v>15</v>
      </c>
      <c r="G1718" s="18">
        <v>15</v>
      </c>
      <c r="H1718" s="18" t="s">
        <v>4624</v>
      </c>
    </row>
    <row r="1719" spans="1:8">
      <c r="A1719" s="7" t="str">
        <f t="shared" si="78"/>
        <v>15</v>
      </c>
      <c r="B1719" s="7" t="str">
        <f t="shared" si="79"/>
        <v>003</v>
      </c>
      <c r="C1719" s="7" t="str">
        <f t="shared" si="80"/>
        <v>Alberti</v>
      </c>
      <c r="D1719" s="18" t="s">
        <v>4630</v>
      </c>
      <c r="E1719" s="18">
        <v>1</v>
      </c>
      <c r="F1719" s="18">
        <v>23</v>
      </c>
      <c r="G1719" s="18">
        <v>15</v>
      </c>
      <c r="H1719" s="18" t="s">
        <v>245</v>
      </c>
    </row>
    <row r="1720" spans="1:8">
      <c r="A1720" s="7" t="str">
        <f t="shared" si="78"/>
        <v>15</v>
      </c>
      <c r="B1720" s="7" t="str">
        <f t="shared" si="79"/>
        <v>003</v>
      </c>
      <c r="C1720" s="7" t="str">
        <f t="shared" si="80"/>
        <v>Alberti</v>
      </c>
      <c r="D1720" s="18" t="s">
        <v>4631</v>
      </c>
      <c r="E1720" s="18">
        <v>1</v>
      </c>
      <c r="F1720" s="18">
        <v>13</v>
      </c>
      <c r="G1720" s="18">
        <v>15</v>
      </c>
      <c r="H1720" s="18" t="s">
        <v>245</v>
      </c>
    </row>
    <row r="1721" spans="1:8">
      <c r="A1721" s="7" t="str">
        <f t="shared" si="78"/>
        <v>15</v>
      </c>
      <c r="B1721" s="7" t="str">
        <f t="shared" si="79"/>
        <v>003</v>
      </c>
      <c r="C1721" s="7" t="str">
        <f t="shared" si="80"/>
        <v>Alberti</v>
      </c>
      <c r="D1721" s="18" t="s">
        <v>4632</v>
      </c>
      <c r="E1721" s="18">
        <v>1</v>
      </c>
      <c r="F1721" s="18">
        <v>15</v>
      </c>
      <c r="G1721" s="18">
        <v>15</v>
      </c>
      <c r="H1721" s="18" t="s">
        <v>245</v>
      </c>
    </row>
    <row r="1722" spans="1:8">
      <c r="A1722" s="7" t="str">
        <f t="shared" si="78"/>
        <v>15</v>
      </c>
      <c r="B1722" s="7" t="str">
        <f t="shared" si="79"/>
        <v>013</v>
      </c>
      <c r="C1722" s="7" t="str">
        <f t="shared" si="80"/>
        <v>Bragado</v>
      </c>
      <c r="D1722" s="18" t="s">
        <v>4633</v>
      </c>
      <c r="E1722" s="18">
        <v>1</v>
      </c>
      <c r="F1722" s="18">
        <v>9</v>
      </c>
      <c r="G1722" s="18">
        <v>15</v>
      </c>
      <c r="H1722" s="18" t="s">
        <v>591</v>
      </c>
    </row>
    <row r="1723" spans="1:8">
      <c r="A1723" s="7" t="str">
        <f t="shared" si="78"/>
        <v>15</v>
      </c>
      <c r="B1723" s="7" t="str">
        <f t="shared" si="79"/>
        <v>013</v>
      </c>
      <c r="C1723" s="7" t="str">
        <f t="shared" si="80"/>
        <v>Bragado</v>
      </c>
      <c r="D1723" s="18" t="s">
        <v>4634</v>
      </c>
      <c r="E1723" s="18">
        <v>1</v>
      </c>
      <c r="F1723" s="18">
        <v>9</v>
      </c>
      <c r="G1723" s="18">
        <v>15</v>
      </c>
      <c r="H1723" s="18" t="s">
        <v>591</v>
      </c>
    </row>
    <row r="1724" spans="1:8">
      <c r="A1724" s="7" t="str">
        <f t="shared" si="78"/>
        <v>15</v>
      </c>
      <c r="B1724" s="7" t="str">
        <f t="shared" si="79"/>
        <v>013</v>
      </c>
      <c r="C1724" s="7" t="str">
        <f t="shared" si="80"/>
        <v>Bragado</v>
      </c>
      <c r="D1724" s="18" t="s">
        <v>4635</v>
      </c>
      <c r="E1724" s="18">
        <v>3</v>
      </c>
      <c r="F1724" s="18">
        <v>64</v>
      </c>
      <c r="G1724" s="18">
        <v>15</v>
      </c>
      <c r="H1724" s="18" t="s">
        <v>591</v>
      </c>
    </row>
    <row r="1725" spans="1:8">
      <c r="A1725" s="7" t="str">
        <f t="shared" si="78"/>
        <v>15</v>
      </c>
      <c r="B1725" s="7" t="str">
        <f t="shared" si="79"/>
        <v>013</v>
      </c>
      <c r="C1725" s="7" t="str">
        <f t="shared" si="80"/>
        <v>Bragado</v>
      </c>
      <c r="D1725" s="18" t="s">
        <v>4636</v>
      </c>
      <c r="E1725" s="18">
        <v>1</v>
      </c>
      <c r="F1725" s="18">
        <v>9</v>
      </c>
      <c r="G1725" s="18">
        <v>15</v>
      </c>
      <c r="H1725" s="18" t="s">
        <v>591</v>
      </c>
    </row>
    <row r="1726" spans="1:8">
      <c r="A1726" s="7" t="str">
        <f t="shared" si="78"/>
        <v>15</v>
      </c>
      <c r="B1726" s="7" t="str">
        <f t="shared" si="79"/>
        <v>013</v>
      </c>
      <c r="C1726" s="7" t="str">
        <f t="shared" si="80"/>
        <v>Bragado</v>
      </c>
      <c r="D1726" s="18" t="s">
        <v>2451</v>
      </c>
      <c r="E1726" s="18">
        <v>1</v>
      </c>
      <c r="F1726" s="18">
        <v>9</v>
      </c>
      <c r="G1726" s="18">
        <v>15</v>
      </c>
      <c r="H1726" s="18" t="s">
        <v>591</v>
      </c>
    </row>
    <row r="1727" spans="1:8">
      <c r="A1727" s="7" t="str">
        <f t="shared" si="78"/>
        <v>15</v>
      </c>
      <c r="B1727" s="7" t="str">
        <f t="shared" si="79"/>
        <v>013</v>
      </c>
      <c r="C1727" s="7" t="str">
        <f t="shared" si="80"/>
        <v>Bragado</v>
      </c>
      <c r="D1727" s="18" t="s">
        <v>4637</v>
      </c>
      <c r="E1727" s="18">
        <v>1</v>
      </c>
      <c r="F1727" s="18">
        <v>5</v>
      </c>
      <c r="G1727" s="18">
        <v>15</v>
      </c>
      <c r="H1727" s="18" t="s">
        <v>591</v>
      </c>
    </row>
    <row r="1728" spans="1:8">
      <c r="A1728" s="7" t="str">
        <f t="shared" si="78"/>
        <v>15</v>
      </c>
      <c r="B1728" s="7" t="str">
        <f t="shared" si="79"/>
        <v>013</v>
      </c>
      <c r="C1728" s="7" t="str">
        <f t="shared" si="80"/>
        <v>Bragado</v>
      </c>
      <c r="D1728" s="18" t="s">
        <v>4638</v>
      </c>
      <c r="E1728" s="18">
        <v>1</v>
      </c>
      <c r="F1728" s="18">
        <v>10</v>
      </c>
      <c r="G1728" s="18">
        <v>15</v>
      </c>
      <c r="H1728" s="18" t="s">
        <v>591</v>
      </c>
    </row>
    <row r="1729" spans="1:8">
      <c r="A1729" s="7" t="str">
        <f t="shared" si="78"/>
        <v>15</v>
      </c>
      <c r="B1729" s="7" t="str">
        <f t="shared" si="79"/>
        <v>013</v>
      </c>
      <c r="C1729" s="7" t="str">
        <f t="shared" si="80"/>
        <v>Bragado</v>
      </c>
      <c r="D1729" s="18" t="s">
        <v>4639</v>
      </c>
      <c r="E1729" s="18">
        <v>1</v>
      </c>
      <c r="F1729" s="18">
        <v>8</v>
      </c>
      <c r="G1729" s="18">
        <v>15</v>
      </c>
      <c r="H1729" s="18" t="s">
        <v>591</v>
      </c>
    </row>
    <row r="1730" spans="1:8">
      <c r="A1730" s="7" t="str">
        <f t="shared" si="78"/>
        <v>15</v>
      </c>
      <c r="B1730" s="7" t="str">
        <f t="shared" si="79"/>
        <v>017</v>
      </c>
      <c r="C1730" s="7" t="str">
        <f t="shared" si="80"/>
        <v>Carlos Casares</v>
      </c>
      <c r="D1730" s="18" t="s">
        <v>4640</v>
      </c>
      <c r="E1730" s="18">
        <v>1</v>
      </c>
      <c r="F1730" s="18">
        <v>26</v>
      </c>
      <c r="G1730" s="18">
        <v>15</v>
      </c>
      <c r="H1730" s="18" t="s">
        <v>655</v>
      </c>
    </row>
    <row r="1731" spans="1:8">
      <c r="A1731" s="7" t="str">
        <f t="shared" ref="A1731:A1794" si="81">+VLOOKUP(H1731,$K:$N,2,FALSE)</f>
        <v>15</v>
      </c>
      <c r="B1731" s="7" t="str">
        <f t="shared" ref="B1731:B1794" si="82">+VLOOKUP(H1731,$K:$N,3,FALSE)</f>
        <v>017</v>
      </c>
      <c r="C1731" s="7" t="str">
        <f t="shared" ref="C1731:C1794" si="83">+VLOOKUP(H1731,$K:$N,4,FALSE)</f>
        <v>Carlos Casares</v>
      </c>
      <c r="D1731" s="18" t="s">
        <v>4641</v>
      </c>
      <c r="E1731" s="18">
        <v>1</v>
      </c>
      <c r="F1731" s="18">
        <v>6</v>
      </c>
      <c r="G1731" s="18">
        <v>15</v>
      </c>
      <c r="H1731" s="18" t="s">
        <v>655</v>
      </c>
    </row>
    <row r="1732" spans="1:8">
      <c r="A1732" s="7" t="str">
        <f t="shared" si="81"/>
        <v>15</v>
      </c>
      <c r="B1732" s="7" t="str">
        <f t="shared" si="82"/>
        <v>017</v>
      </c>
      <c r="C1732" s="7" t="str">
        <f t="shared" si="83"/>
        <v>Carlos Casares</v>
      </c>
      <c r="D1732" s="18" t="s">
        <v>4642</v>
      </c>
      <c r="E1732" s="18">
        <v>1</v>
      </c>
      <c r="F1732" s="18">
        <v>4</v>
      </c>
      <c r="G1732" s="18">
        <v>15</v>
      </c>
      <c r="H1732" s="18" t="s">
        <v>655</v>
      </c>
    </row>
    <row r="1733" spans="1:8">
      <c r="A1733" s="7" t="str">
        <f t="shared" si="81"/>
        <v>15</v>
      </c>
      <c r="B1733" s="7" t="str">
        <f t="shared" si="82"/>
        <v>017</v>
      </c>
      <c r="C1733" s="7" t="str">
        <f t="shared" si="83"/>
        <v>Carlos Casares</v>
      </c>
      <c r="D1733" s="18" t="s">
        <v>4643</v>
      </c>
      <c r="E1733" s="18">
        <v>1</v>
      </c>
      <c r="F1733" s="18">
        <v>2</v>
      </c>
      <c r="G1733" s="18">
        <v>15</v>
      </c>
      <c r="H1733" s="18" t="s">
        <v>655</v>
      </c>
    </row>
    <row r="1734" spans="1:8">
      <c r="A1734" s="7" t="str">
        <f t="shared" si="81"/>
        <v>15</v>
      </c>
      <c r="B1734" s="7" t="str">
        <f t="shared" si="82"/>
        <v>017</v>
      </c>
      <c r="C1734" s="7" t="str">
        <f t="shared" si="83"/>
        <v>Carlos Casares</v>
      </c>
      <c r="D1734" s="18" t="s">
        <v>4644</v>
      </c>
      <c r="E1734" s="18">
        <v>1</v>
      </c>
      <c r="F1734" s="18">
        <v>3</v>
      </c>
      <c r="G1734" s="18">
        <v>15</v>
      </c>
      <c r="H1734" s="18" t="s">
        <v>655</v>
      </c>
    </row>
    <row r="1735" spans="1:8">
      <c r="A1735" s="7" t="str">
        <f t="shared" si="81"/>
        <v>15</v>
      </c>
      <c r="B1735" s="7" t="str">
        <f t="shared" si="82"/>
        <v>028</v>
      </c>
      <c r="C1735" s="7" t="str">
        <f t="shared" si="83"/>
        <v>Chivilcoy</v>
      </c>
      <c r="D1735" s="18" t="s">
        <v>4645</v>
      </c>
      <c r="E1735" s="18">
        <v>8</v>
      </c>
      <c r="F1735" s="18">
        <v>245</v>
      </c>
      <c r="G1735" s="18">
        <v>15</v>
      </c>
      <c r="H1735" s="18" t="s">
        <v>750</v>
      </c>
    </row>
    <row r="1736" spans="1:8">
      <c r="A1736" s="7" t="str">
        <f t="shared" si="81"/>
        <v>15</v>
      </c>
      <c r="B1736" s="7" t="str">
        <f t="shared" si="82"/>
        <v>028</v>
      </c>
      <c r="C1736" s="7" t="str">
        <f t="shared" si="83"/>
        <v>Chivilcoy</v>
      </c>
      <c r="D1736" s="18" t="s">
        <v>4646</v>
      </c>
      <c r="E1736" s="18">
        <v>1</v>
      </c>
      <c r="F1736" s="18">
        <v>0</v>
      </c>
      <c r="G1736" s="18">
        <v>15</v>
      </c>
      <c r="H1736" s="18" t="s">
        <v>750</v>
      </c>
    </row>
    <row r="1737" spans="1:8">
      <c r="A1737" s="7" t="str">
        <f t="shared" si="81"/>
        <v>15</v>
      </c>
      <c r="B1737" s="7" t="str">
        <f t="shared" si="82"/>
        <v>118</v>
      </c>
      <c r="C1737" s="7" t="str">
        <f t="shared" si="83"/>
        <v>Hipólito Yrigoyen</v>
      </c>
      <c r="D1737" s="18" t="s">
        <v>4556</v>
      </c>
      <c r="E1737" s="18">
        <v>1</v>
      </c>
      <c r="F1737" s="18">
        <v>10</v>
      </c>
      <c r="G1737" s="18">
        <v>15</v>
      </c>
      <c r="H1737" s="18" t="s">
        <v>4647</v>
      </c>
    </row>
    <row r="1738" spans="1:8">
      <c r="A1738" s="7" t="str">
        <f t="shared" si="81"/>
        <v>15</v>
      </c>
      <c r="B1738" s="7" t="str">
        <f t="shared" si="82"/>
        <v>118</v>
      </c>
      <c r="C1738" s="7" t="str">
        <f t="shared" si="83"/>
        <v>Hipólito Yrigoyen</v>
      </c>
      <c r="D1738" s="18" t="s">
        <v>4648</v>
      </c>
      <c r="E1738" s="18">
        <v>1</v>
      </c>
      <c r="F1738" s="18">
        <v>5</v>
      </c>
      <c r="G1738" s="18">
        <v>15</v>
      </c>
      <c r="H1738" s="18" t="s">
        <v>4647</v>
      </c>
    </row>
    <row r="1739" spans="1:8">
      <c r="A1739" s="7" t="str">
        <f t="shared" si="81"/>
        <v>15</v>
      </c>
      <c r="B1739" s="7" t="str">
        <f t="shared" si="82"/>
        <v>118</v>
      </c>
      <c r="C1739" s="7" t="str">
        <f t="shared" si="83"/>
        <v>Hipólito Yrigoyen</v>
      </c>
      <c r="D1739" s="18" t="s">
        <v>4649</v>
      </c>
      <c r="E1739" s="18">
        <v>1</v>
      </c>
      <c r="F1739" s="18">
        <v>21</v>
      </c>
      <c r="G1739" s="18">
        <v>15</v>
      </c>
      <c r="H1739" s="18" t="s">
        <v>4647</v>
      </c>
    </row>
    <row r="1740" spans="1:8">
      <c r="A1740" s="7" t="str">
        <f t="shared" si="81"/>
        <v>15</v>
      </c>
      <c r="B1740" s="7" t="str">
        <f t="shared" si="82"/>
        <v>079</v>
      </c>
      <c r="C1740" s="7" t="str">
        <f t="shared" si="83"/>
        <v>Pehuajó</v>
      </c>
      <c r="D1740" s="18" t="s">
        <v>4651</v>
      </c>
      <c r="E1740" s="18">
        <v>1</v>
      </c>
      <c r="F1740" s="18">
        <v>14</v>
      </c>
      <c r="G1740" s="18">
        <v>15</v>
      </c>
      <c r="H1740" s="18" t="s">
        <v>4650</v>
      </c>
    </row>
    <row r="1741" spans="1:8">
      <c r="A1741" s="7" t="str">
        <f t="shared" si="81"/>
        <v>15</v>
      </c>
      <c r="B1741" s="7" t="str">
        <f t="shared" si="82"/>
        <v>079</v>
      </c>
      <c r="C1741" s="7" t="str">
        <f t="shared" si="83"/>
        <v>Pehuajó</v>
      </c>
      <c r="D1741" s="18" t="s">
        <v>4652</v>
      </c>
      <c r="E1741" s="18">
        <v>1</v>
      </c>
      <c r="F1741" s="18">
        <v>6</v>
      </c>
      <c r="G1741" s="18">
        <v>15</v>
      </c>
      <c r="H1741" s="18" t="s">
        <v>4650</v>
      </c>
    </row>
    <row r="1742" spans="1:8">
      <c r="A1742" s="7" t="str">
        <f t="shared" si="81"/>
        <v>15</v>
      </c>
      <c r="B1742" s="7" t="str">
        <f t="shared" si="82"/>
        <v>079</v>
      </c>
      <c r="C1742" s="7" t="str">
        <f t="shared" si="83"/>
        <v>Pehuajó</v>
      </c>
      <c r="D1742" s="18" t="s">
        <v>4540</v>
      </c>
      <c r="E1742" s="18">
        <v>1</v>
      </c>
      <c r="F1742" s="18">
        <v>18</v>
      </c>
      <c r="G1742" s="18">
        <v>15</v>
      </c>
      <c r="H1742" s="18" t="s">
        <v>4650</v>
      </c>
    </row>
    <row r="1743" spans="1:8">
      <c r="A1743" s="7" t="str">
        <f t="shared" si="81"/>
        <v>15</v>
      </c>
      <c r="B1743" s="7" t="str">
        <f t="shared" si="82"/>
        <v>079</v>
      </c>
      <c r="C1743" s="7" t="str">
        <f t="shared" si="83"/>
        <v>Pehuajó</v>
      </c>
      <c r="D1743" s="18" t="s">
        <v>4653</v>
      </c>
      <c r="E1743" s="18">
        <v>3</v>
      </c>
      <c r="F1743" s="18">
        <v>36</v>
      </c>
      <c r="G1743" s="18">
        <v>15</v>
      </c>
      <c r="H1743" s="18" t="s">
        <v>4650</v>
      </c>
    </row>
    <row r="1744" spans="1:8">
      <c r="A1744" s="7" t="str">
        <f t="shared" si="81"/>
        <v>15</v>
      </c>
      <c r="B1744" s="7" t="str">
        <f t="shared" si="82"/>
        <v>079</v>
      </c>
      <c r="C1744" s="7" t="str">
        <f t="shared" si="83"/>
        <v>Pehuajó</v>
      </c>
      <c r="D1744" s="18" t="s">
        <v>4654</v>
      </c>
      <c r="E1744" s="18">
        <v>1</v>
      </c>
      <c r="F1744" s="18">
        <v>5</v>
      </c>
      <c r="G1744" s="18">
        <v>15</v>
      </c>
      <c r="H1744" s="18" t="s">
        <v>4650</v>
      </c>
    </row>
    <row r="1745" spans="1:8">
      <c r="A1745" s="7" t="str">
        <f t="shared" si="81"/>
        <v>16</v>
      </c>
      <c r="B1745" s="7" t="str">
        <f t="shared" si="82"/>
        <v>018</v>
      </c>
      <c r="C1745" s="7" t="str">
        <f t="shared" si="83"/>
        <v>Carlos Tejedor</v>
      </c>
      <c r="D1745" s="18" t="s">
        <v>4655</v>
      </c>
      <c r="E1745" s="18">
        <v>1</v>
      </c>
      <c r="F1745" s="18">
        <v>19</v>
      </c>
      <c r="G1745" s="18">
        <v>16</v>
      </c>
      <c r="H1745" s="18" t="s">
        <v>666</v>
      </c>
    </row>
    <row r="1746" spans="1:8">
      <c r="A1746" s="7" t="str">
        <f t="shared" si="81"/>
        <v>16</v>
      </c>
      <c r="B1746" s="7" t="str">
        <f t="shared" si="82"/>
        <v>018</v>
      </c>
      <c r="C1746" s="7" t="str">
        <f t="shared" si="83"/>
        <v>Carlos Tejedor</v>
      </c>
      <c r="D1746" s="18" t="s">
        <v>4656</v>
      </c>
      <c r="E1746" s="18">
        <v>1</v>
      </c>
      <c r="F1746" s="18">
        <v>17</v>
      </c>
      <c r="G1746" s="18">
        <v>16</v>
      </c>
      <c r="H1746" s="18" t="s">
        <v>666</v>
      </c>
    </row>
    <row r="1747" spans="1:8">
      <c r="A1747" s="7" t="str">
        <f t="shared" si="81"/>
        <v>16</v>
      </c>
      <c r="B1747" s="7" t="str">
        <f t="shared" si="82"/>
        <v>049</v>
      </c>
      <c r="C1747" s="7" t="str">
        <f t="shared" si="83"/>
        <v>General Villegas</v>
      </c>
      <c r="D1747" s="18" t="s">
        <v>4657</v>
      </c>
      <c r="E1747" s="18">
        <v>1</v>
      </c>
      <c r="F1747" s="18">
        <v>13</v>
      </c>
      <c r="G1747" s="18">
        <v>16</v>
      </c>
      <c r="H1747" s="18" t="s">
        <v>1184</v>
      </c>
    </row>
    <row r="1748" spans="1:8">
      <c r="A1748" s="7" t="str">
        <f t="shared" si="81"/>
        <v>16</v>
      </c>
      <c r="B1748" s="7" t="str">
        <f t="shared" si="82"/>
        <v>049</v>
      </c>
      <c r="C1748" s="7" t="str">
        <f t="shared" si="83"/>
        <v>General Villegas</v>
      </c>
      <c r="D1748" s="18" t="s">
        <v>4658</v>
      </c>
      <c r="E1748" s="18">
        <v>1</v>
      </c>
      <c r="F1748" s="18">
        <v>16</v>
      </c>
      <c r="G1748" s="18">
        <v>16</v>
      </c>
      <c r="H1748" s="18" t="s">
        <v>1184</v>
      </c>
    </row>
    <row r="1749" spans="1:8">
      <c r="A1749" s="7" t="str">
        <f t="shared" si="81"/>
        <v>16</v>
      </c>
      <c r="B1749" s="7" t="str">
        <f t="shared" si="82"/>
        <v>049</v>
      </c>
      <c r="C1749" s="7" t="str">
        <f t="shared" si="83"/>
        <v>General Villegas</v>
      </c>
      <c r="D1749" s="18" t="s">
        <v>4659</v>
      </c>
      <c r="E1749" s="18">
        <v>1</v>
      </c>
      <c r="F1749" s="18">
        <v>15</v>
      </c>
      <c r="G1749" s="18">
        <v>16</v>
      </c>
      <c r="H1749" s="18" t="s">
        <v>1184</v>
      </c>
    </row>
    <row r="1750" spans="1:8">
      <c r="A1750" s="7" t="str">
        <f t="shared" si="81"/>
        <v>16</v>
      </c>
      <c r="B1750" s="7" t="str">
        <f t="shared" si="82"/>
        <v>049</v>
      </c>
      <c r="C1750" s="7" t="str">
        <f t="shared" si="83"/>
        <v>General Villegas</v>
      </c>
      <c r="D1750" s="18" t="s">
        <v>4660</v>
      </c>
      <c r="E1750" s="18">
        <v>3</v>
      </c>
      <c r="F1750" s="18">
        <v>68</v>
      </c>
      <c r="G1750" s="18">
        <v>16</v>
      </c>
      <c r="H1750" s="18" t="s">
        <v>1184</v>
      </c>
    </row>
    <row r="1751" spans="1:8">
      <c r="A1751" s="7" t="str">
        <f t="shared" si="81"/>
        <v>16</v>
      </c>
      <c r="B1751" s="7" t="str">
        <f t="shared" si="82"/>
        <v>049</v>
      </c>
      <c r="C1751" s="7" t="str">
        <f t="shared" si="83"/>
        <v>General Villegas</v>
      </c>
      <c r="D1751" s="18" t="s">
        <v>4661</v>
      </c>
      <c r="E1751" s="18">
        <v>1</v>
      </c>
      <c r="F1751" s="18">
        <v>20</v>
      </c>
      <c r="G1751" s="18">
        <v>16</v>
      </c>
      <c r="H1751" s="18" t="s">
        <v>1184</v>
      </c>
    </row>
    <row r="1752" spans="1:8">
      <c r="A1752" s="7" t="str">
        <f t="shared" si="81"/>
        <v>16</v>
      </c>
      <c r="B1752" s="7" t="str">
        <f t="shared" si="82"/>
        <v>049</v>
      </c>
      <c r="C1752" s="7" t="str">
        <f t="shared" si="83"/>
        <v>General Villegas</v>
      </c>
      <c r="D1752" s="18" t="s">
        <v>4662</v>
      </c>
      <c r="E1752" s="18">
        <v>1</v>
      </c>
      <c r="F1752" s="18">
        <v>18</v>
      </c>
      <c r="G1752" s="18">
        <v>16</v>
      </c>
      <c r="H1752" s="18" t="s">
        <v>1184</v>
      </c>
    </row>
    <row r="1753" spans="1:8">
      <c r="A1753" s="7" t="str">
        <f t="shared" si="81"/>
        <v>16</v>
      </c>
      <c r="B1753" s="7" t="str">
        <f t="shared" si="82"/>
        <v>049</v>
      </c>
      <c r="C1753" s="7" t="str">
        <f t="shared" si="83"/>
        <v>General Villegas</v>
      </c>
      <c r="D1753" s="18" t="s">
        <v>4663</v>
      </c>
      <c r="E1753" s="18">
        <v>1</v>
      </c>
      <c r="F1753" s="18">
        <v>14</v>
      </c>
      <c r="G1753" s="18">
        <v>16</v>
      </c>
      <c r="H1753" s="18" t="s">
        <v>1184</v>
      </c>
    </row>
    <row r="1754" spans="1:8">
      <c r="A1754" s="7" t="str">
        <f t="shared" si="81"/>
        <v>16</v>
      </c>
      <c r="B1754" s="7" t="str">
        <f t="shared" si="82"/>
        <v>088</v>
      </c>
      <c r="C1754" s="7" t="str">
        <f t="shared" si="83"/>
        <v>Rivadavia</v>
      </c>
      <c r="D1754" s="18" t="s">
        <v>4664</v>
      </c>
      <c r="E1754" s="18">
        <v>1</v>
      </c>
      <c r="F1754" s="18">
        <v>19</v>
      </c>
      <c r="G1754" s="18">
        <v>16</v>
      </c>
      <c r="H1754" s="18" t="s">
        <v>2166</v>
      </c>
    </row>
    <row r="1755" spans="1:8">
      <c r="A1755" s="7" t="str">
        <f t="shared" si="81"/>
        <v>16</v>
      </c>
      <c r="B1755" s="7" t="str">
        <f t="shared" si="82"/>
        <v>088</v>
      </c>
      <c r="C1755" s="7" t="str">
        <f t="shared" si="83"/>
        <v>Rivadavia</v>
      </c>
      <c r="D1755" s="18" t="s">
        <v>4665</v>
      </c>
      <c r="E1755" s="18">
        <v>1</v>
      </c>
      <c r="F1755" s="18">
        <v>11</v>
      </c>
      <c r="G1755" s="18">
        <v>16</v>
      </c>
      <c r="H1755" s="18" t="s">
        <v>2166</v>
      </c>
    </row>
    <row r="1756" spans="1:8">
      <c r="A1756" s="7" t="str">
        <f t="shared" si="81"/>
        <v>16</v>
      </c>
      <c r="B1756" s="7" t="str">
        <f t="shared" si="82"/>
        <v>120</v>
      </c>
      <c r="C1756" s="7" t="str">
        <f t="shared" si="83"/>
        <v>Salliqueló</v>
      </c>
      <c r="D1756" s="18" t="s">
        <v>4667</v>
      </c>
      <c r="E1756" s="18">
        <v>1</v>
      </c>
      <c r="F1756" s="18">
        <v>17</v>
      </c>
      <c r="G1756" s="18">
        <v>16</v>
      </c>
      <c r="H1756" s="18" t="s">
        <v>4666</v>
      </c>
    </row>
    <row r="1757" spans="1:8">
      <c r="A1757" s="7" t="str">
        <f t="shared" si="81"/>
        <v>16</v>
      </c>
      <c r="B1757" s="7" t="str">
        <f t="shared" si="82"/>
        <v>106</v>
      </c>
      <c r="C1757" s="7" t="str">
        <f t="shared" si="83"/>
        <v>Trenque Lauquen</v>
      </c>
      <c r="D1757" s="18" t="s">
        <v>4668</v>
      </c>
      <c r="E1757" s="18">
        <v>1</v>
      </c>
      <c r="F1757" s="18">
        <v>18</v>
      </c>
      <c r="G1757" s="18">
        <v>16</v>
      </c>
      <c r="H1757" s="18" t="s">
        <v>2434</v>
      </c>
    </row>
    <row r="1758" spans="1:8">
      <c r="A1758" s="7" t="str">
        <f t="shared" si="81"/>
        <v>16</v>
      </c>
      <c r="B1758" s="7" t="str">
        <f t="shared" si="82"/>
        <v>106</v>
      </c>
      <c r="C1758" s="7" t="str">
        <f t="shared" si="83"/>
        <v>Trenque Lauquen</v>
      </c>
      <c r="D1758" s="18" t="s">
        <v>4669</v>
      </c>
      <c r="E1758" s="18">
        <v>1</v>
      </c>
      <c r="F1758" s="18">
        <v>19</v>
      </c>
      <c r="G1758" s="18">
        <v>16</v>
      </c>
      <c r="H1758" s="18" t="s">
        <v>2434</v>
      </c>
    </row>
    <row r="1759" spans="1:8">
      <c r="A1759" s="7" t="str">
        <f t="shared" si="81"/>
        <v>16</v>
      </c>
      <c r="B1759" s="7" t="str">
        <f t="shared" si="82"/>
        <v>106</v>
      </c>
      <c r="C1759" s="7" t="str">
        <f t="shared" si="83"/>
        <v>Trenque Lauquen</v>
      </c>
      <c r="D1759" s="18" t="s">
        <v>4670</v>
      </c>
      <c r="E1759" s="18">
        <v>1</v>
      </c>
      <c r="F1759" s="18">
        <v>10</v>
      </c>
      <c r="G1759" s="18">
        <v>16</v>
      </c>
      <c r="H1759" s="18" t="s">
        <v>2434</v>
      </c>
    </row>
    <row r="1760" spans="1:8">
      <c r="A1760" s="7" t="str">
        <f t="shared" si="81"/>
        <v>16</v>
      </c>
      <c r="B1760" s="7" t="str">
        <f t="shared" si="82"/>
        <v>106</v>
      </c>
      <c r="C1760" s="7" t="str">
        <f t="shared" si="83"/>
        <v>Trenque Lauquen</v>
      </c>
      <c r="D1760" s="18" t="s">
        <v>4671</v>
      </c>
      <c r="E1760" s="18">
        <v>3</v>
      </c>
      <c r="F1760" s="18">
        <v>74</v>
      </c>
      <c r="G1760" s="18">
        <v>16</v>
      </c>
      <c r="H1760" s="18" t="s">
        <v>2434</v>
      </c>
    </row>
    <row r="1761" spans="1:8">
      <c r="A1761" s="7" t="str">
        <f t="shared" si="81"/>
        <v>16</v>
      </c>
      <c r="B1761" s="7" t="str">
        <f t="shared" si="82"/>
        <v>106</v>
      </c>
      <c r="C1761" s="7" t="str">
        <f t="shared" si="83"/>
        <v>Trenque Lauquen</v>
      </c>
      <c r="D1761" s="18" t="s">
        <v>4672</v>
      </c>
      <c r="E1761" s="18">
        <v>1</v>
      </c>
      <c r="F1761" s="18">
        <v>16</v>
      </c>
      <c r="G1761" s="18">
        <v>16</v>
      </c>
      <c r="H1761" s="18" t="s">
        <v>2434</v>
      </c>
    </row>
    <row r="1762" spans="1:8">
      <c r="A1762" s="7" t="str">
        <f t="shared" si="81"/>
        <v>16</v>
      </c>
      <c r="B1762" s="7" t="str">
        <f t="shared" si="82"/>
        <v>106</v>
      </c>
      <c r="C1762" s="7" t="str">
        <f t="shared" si="83"/>
        <v>Trenque Lauquen</v>
      </c>
      <c r="D1762" s="18" t="s">
        <v>4673</v>
      </c>
      <c r="E1762" s="18">
        <v>1</v>
      </c>
      <c r="F1762" s="18">
        <v>17</v>
      </c>
      <c r="G1762" s="18">
        <v>16</v>
      </c>
      <c r="H1762" s="18" t="s">
        <v>2434</v>
      </c>
    </row>
    <row r="1763" spans="1:8">
      <c r="A1763" s="7" t="str">
        <f t="shared" si="81"/>
        <v>16</v>
      </c>
      <c r="B1763" s="7" t="str">
        <f t="shared" si="82"/>
        <v>127</v>
      </c>
      <c r="C1763" s="7" t="str">
        <f t="shared" si="83"/>
        <v>Tres Lomas</v>
      </c>
      <c r="D1763" s="18" t="s">
        <v>4674</v>
      </c>
      <c r="E1763" s="18">
        <v>1</v>
      </c>
      <c r="F1763" s="18">
        <v>17</v>
      </c>
      <c r="G1763" s="18">
        <v>16</v>
      </c>
      <c r="H1763" s="18" t="s">
        <v>2749</v>
      </c>
    </row>
    <row r="1764" spans="1:8">
      <c r="A1764" s="7" t="str">
        <f t="shared" si="81"/>
        <v>17</v>
      </c>
      <c r="B1764" s="7" t="str">
        <f t="shared" si="82"/>
        <v>027</v>
      </c>
      <c r="C1764" s="7" t="str">
        <f t="shared" si="83"/>
        <v>Chascomús</v>
      </c>
      <c r="D1764" s="18" t="s">
        <v>4675</v>
      </c>
      <c r="E1764" s="18">
        <v>1</v>
      </c>
      <c r="F1764" s="18">
        <v>0</v>
      </c>
      <c r="G1764" s="18">
        <v>17</v>
      </c>
      <c r="H1764" s="18" t="s">
        <v>740</v>
      </c>
    </row>
    <row r="1765" spans="1:8">
      <c r="A1765" s="7" t="str">
        <f t="shared" si="81"/>
        <v>17</v>
      </c>
      <c r="B1765" s="7" t="str">
        <f t="shared" si="82"/>
        <v>027</v>
      </c>
      <c r="C1765" s="7" t="str">
        <f t="shared" si="83"/>
        <v>Chascomús</v>
      </c>
      <c r="D1765" s="18" t="s">
        <v>4676</v>
      </c>
      <c r="E1765" s="18">
        <v>1</v>
      </c>
      <c r="F1765" s="18">
        <v>31</v>
      </c>
      <c r="G1765" s="18">
        <v>17</v>
      </c>
      <c r="H1765" s="18" t="s">
        <v>740</v>
      </c>
    </row>
    <row r="1766" spans="1:8">
      <c r="A1766" s="7" t="str">
        <f t="shared" si="81"/>
        <v>17</v>
      </c>
      <c r="B1766" s="7" t="str">
        <f t="shared" si="82"/>
        <v>027</v>
      </c>
      <c r="C1766" s="7" t="str">
        <f t="shared" si="83"/>
        <v>Chascomús</v>
      </c>
      <c r="D1766" s="18" t="s">
        <v>4677</v>
      </c>
      <c r="E1766" s="18">
        <v>1</v>
      </c>
      <c r="F1766" s="18">
        <v>0</v>
      </c>
      <c r="G1766" s="18">
        <v>17</v>
      </c>
      <c r="H1766" s="18" t="s">
        <v>740</v>
      </c>
    </row>
    <row r="1767" spans="1:8">
      <c r="A1767" s="7" t="str">
        <f t="shared" si="81"/>
        <v>17</v>
      </c>
      <c r="B1767" s="7" t="str">
        <f t="shared" si="82"/>
        <v>027</v>
      </c>
      <c r="C1767" s="7" t="str">
        <f t="shared" si="83"/>
        <v>Chascomús</v>
      </c>
      <c r="D1767" s="18" t="s">
        <v>4678</v>
      </c>
      <c r="E1767" s="18">
        <v>1</v>
      </c>
      <c r="F1767" s="18">
        <v>10</v>
      </c>
      <c r="G1767" s="18">
        <v>17</v>
      </c>
      <c r="H1767" s="18" t="s">
        <v>740</v>
      </c>
    </row>
    <row r="1768" spans="1:8">
      <c r="A1768" s="7" t="str">
        <f t="shared" si="81"/>
        <v>17</v>
      </c>
      <c r="B1768" s="7" t="str">
        <f t="shared" si="82"/>
        <v>027</v>
      </c>
      <c r="C1768" s="7" t="str">
        <f t="shared" si="83"/>
        <v>Chascomús</v>
      </c>
      <c r="D1768" s="18" t="s">
        <v>4679</v>
      </c>
      <c r="E1768" s="18">
        <v>1</v>
      </c>
      <c r="F1768" s="18">
        <v>0</v>
      </c>
      <c r="G1768" s="18">
        <v>17</v>
      </c>
      <c r="H1768" s="18" t="s">
        <v>740</v>
      </c>
    </row>
    <row r="1769" spans="1:8">
      <c r="A1769" s="7" t="str">
        <f t="shared" si="81"/>
        <v>17</v>
      </c>
      <c r="B1769" s="7" t="str">
        <f t="shared" si="82"/>
        <v>027</v>
      </c>
      <c r="C1769" s="7" t="str">
        <f t="shared" si="83"/>
        <v>Chascomús</v>
      </c>
      <c r="D1769" s="18" t="s">
        <v>4680</v>
      </c>
      <c r="E1769" s="18">
        <v>1</v>
      </c>
      <c r="F1769" s="18">
        <v>11</v>
      </c>
      <c r="G1769" s="18">
        <v>17</v>
      </c>
      <c r="H1769" s="18" t="s">
        <v>740</v>
      </c>
    </row>
    <row r="1770" spans="1:8">
      <c r="A1770" s="7" t="str">
        <f t="shared" si="81"/>
        <v>17</v>
      </c>
      <c r="B1770" s="7" t="str">
        <f t="shared" si="82"/>
        <v>027</v>
      </c>
      <c r="C1770" s="7" t="str">
        <f t="shared" si="83"/>
        <v>Chascomús</v>
      </c>
      <c r="D1770" s="18" t="s">
        <v>4681</v>
      </c>
      <c r="E1770" s="18">
        <v>1</v>
      </c>
      <c r="F1770" s="18">
        <v>0</v>
      </c>
      <c r="G1770" s="18">
        <v>17</v>
      </c>
      <c r="H1770" s="18" t="s">
        <v>740</v>
      </c>
    </row>
    <row r="1771" spans="1:8">
      <c r="A1771" s="7" t="str">
        <f t="shared" si="81"/>
        <v>17</v>
      </c>
      <c r="B1771" s="7" t="str">
        <f t="shared" si="82"/>
        <v>036</v>
      </c>
      <c r="C1771" s="7" t="str">
        <f t="shared" si="83"/>
        <v>General Belgrano</v>
      </c>
      <c r="D1771" s="18" t="s">
        <v>4682</v>
      </c>
      <c r="E1771" s="18">
        <v>1</v>
      </c>
      <c r="F1771" s="18">
        <v>13</v>
      </c>
      <c r="G1771" s="18">
        <v>17</v>
      </c>
      <c r="H1771" s="18" t="s">
        <v>904</v>
      </c>
    </row>
    <row r="1772" spans="1:8">
      <c r="A1772" s="7" t="str">
        <f t="shared" si="81"/>
        <v>17</v>
      </c>
      <c r="B1772" s="7" t="str">
        <f t="shared" si="82"/>
        <v>036</v>
      </c>
      <c r="C1772" s="7" t="str">
        <f t="shared" si="83"/>
        <v>General Belgrano</v>
      </c>
      <c r="D1772" s="18" t="s">
        <v>4683</v>
      </c>
      <c r="E1772" s="18">
        <v>1</v>
      </c>
      <c r="F1772" s="18">
        <v>17</v>
      </c>
      <c r="G1772" s="18">
        <v>17</v>
      </c>
      <c r="H1772" s="18" t="s">
        <v>904</v>
      </c>
    </row>
    <row r="1773" spans="1:8">
      <c r="A1773" s="7" t="str">
        <f t="shared" si="81"/>
        <v>17</v>
      </c>
      <c r="B1773" s="7" t="str">
        <f t="shared" si="82"/>
        <v>036</v>
      </c>
      <c r="C1773" s="7" t="str">
        <f t="shared" si="83"/>
        <v>General Belgrano</v>
      </c>
      <c r="D1773" s="18" t="s">
        <v>4684</v>
      </c>
      <c r="E1773" s="18">
        <v>2</v>
      </c>
      <c r="F1773" s="18">
        <v>33</v>
      </c>
      <c r="G1773" s="18">
        <v>17</v>
      </c>
      <c r="H1773" s="18" t="s">
        <v>904</v>
      </c>
    </row>
    <row r="1774" spans="1:8">
      <c r="A1774" s="7" t="str">
        <f t="shared" si="81"/>
        <v>17</v>
      </c>
      <c r="B1774" s="7" t="str">
        <f t="shared" si="82"/>
        <v>041</v>
      </c>
      <c r="C1774" s="7" t="str">
        <f t="shared" si="83"/>
        <v>General Paz</v>
      </c>
      <c r="D1774" s="18" t="s">
        <v>4685</v>
      </c>
      <c r="E1774" s="18">
        <v>1</v>
      </c>
      <c r="F1774" s="18">
        <v>0</v>
      </c>
      <c r="G1774" s="18">
        <v>17</v>
      </c>
      <c r="H1774" s="18" t="s">
        <v>931</v>
      </c>
    </row>
    <row r="1775" spans="1:8">
      <c r="A1775" s="7" t="str">
        <f t="shared" si="81"/>
        <v>17</v>
      </c>
      <c r="B1775" s="7" t="str">
        <f t="shared" si="82"/>
        <v>041</v>
      </c>
      <c r="C1775" s="7" t="str">
        <f t="shared" si="83"/>
        <v>General Paz</v>
      </c>
      <c r="D1775" s="18" t="s">
        <v>4686</v>
      </c>
      <c r="E1775" s="18">
        <v>1</v>
      </c>
      <c r="F1775" s="18">
        <v>0</v>
      </c>
      <c r="G1775" s="18">
        <v>17</v>
      </c>
      <c r="H1775" s="18" t="s">
        <v>931</v>
      </c>
    </row>
    <row r="1776" spans="1:8">
      <c r="A1776" s="7" t="str">
        <f t="shared" si="81"/>
        <v>17</v>
      </c>
      <c r="B1776" s="7" t="str">
        <f t="shared" si="82"/>
        <v>041</v>
      </c>
      <c r="C1776" s="7" t="str">
        <f t="shared" si="83"/>
        <v>General Paz</v>
      </c>
      <c r="D1776" s="18" t="s">
        <v>4687</v>
      </c>
      <c r="E1776" s="18">
        <v>1</v>
      </c>
      <c r="F1776" s="18">
        <v>1</v>
      </c>
      <c r="G1776" s="18">
        <v>17</v>
      </c>
      <c r="H1776" s="18" t="s">
        <v>931</v>
      </c>
    </row>
    <row r="1777" spans="1:8">
      <c r="A1777" s="7" t="str">
        <f t="shared" si="81"/>
        <v>17</v>
      </c>
      <c r="B1777" s="7" t="str">
        <f t="shared" si="82"/>
        <v>137</v>
      </c>
      <c r="C1777" s="7" t="str">
        <f t="shared" si="83"/>
        <v>Lezama</v>
      </c>
      <c r="D1777" s="18" t="s">
        <v>4688</v>
      </c>
      <c r="E1777" s="18">
        <v>1</v>
      </c>
      <c r="F1777" s="18">
        <v>6</v>
      </c>
      <c r="G1777" s="18">
        <v>17</v>
      </c>
      <c r="H1777" s="18" t="s">
        <v>2905</v>
      </c>
    </row>
    <row r="1778" spans="1:8">
      <c r="A1778" s="7" t="str">
        <f t="shared" si="81"/>
        <v>17</v>
      </c>
      <c r="B1778" s="7" t="str">
        <f t="shared" si="82"/>
        <v>137</v>
      </c>
      <c r="C1778" s="7" t="str">
        <f t="shared" si="83"/>
        <v>Lezama</v>
      </c>
      <c r="D1778" s="18" t="s">
        <v>4689</v>
      </c>
      <c r="E1778" s="18">
        <v>1</v>
      </c>
      <c r="F1778" s="18">
        <v>11</v>
      </c>
      <c r="G1778" s="18">
        <v>17</v>
      </c>
      <c r="H1778" s="18" t="s">
        <v>2905</v>
      </c>
    </row>
    <row r="1779" spans="1:8">
      <c r="A1779" s="7" t="str">
        <f t="shared" si="81"/>
        <v>17</v>
      </c>
      <c r="B1779" s="7" t="str">
        <f t="shared" si="82"/>
        <v>137</v>
      </c>
      <c r="C1779" s="7" t="str">
        <f t="shared" si="83"/>
        <v>Lezama</v>
      </c>
      <c r="D1779" s="18" t="s">
        <v>4690</v>
      </c>
      <c r="E1779" s="18">
        <v>1</v>
      </c>
      <c r="F1779" s="18">
        <v>1</v>
      </c>
      <c r="G1779" s="18">
        <v>17</v>
      </c>
      <c r="H1779" s="18" t="s">
        <v>2905</v>
      </c>
    </row>
    <row r="1780" spans="1:8">
      <c r="A1780" s="7" t="str">
        <f t="shared" si="81"/>
        <v>17</v>
      </c>
      <c r="B1780" s="7" t="str">
        <f t="shared" si="82"/>
        <v>072</v>
      </c>
      <c r="C1780" s="7" t="str">
        <f t="shared" si="83"/>
        <v>Monte</v>
      </c>
      <c r="D1780" s="18" t="s">
        <v>4691</v>
      </c>
      <c r="E1780" s="18">
        <v>1</v>
      </c>
      <c r="F1780" s="18">
        <v>22</v>
      </c>
      <c r="G1780" s="18">
        <v>17</v>
      </c>
      <c r="H1780" s="18" t="s">
        <v>1851</v>
      </c>
    </row>
    <row r="1781" spans="1:8">
      <c r="A1781" s="7" t="str">
        <f t="shared" si="81"/>
        <v>17</v>
      </c>
      <c r="B1781" s="7" t="str">
        <f t="shared" si="82"/>
        <v>072</v>
      </c>
      <c r="C1781" s="7" t="str">
        <f t="shared" si="83"/>
        <v>Monte</v>
      </c>
      <c r="D1781" s="18" t="s">
        <v>4692</v>
      </c>
      <c r="E1781" s="18">
        <v>2</v>
      </c>
      <c r="F1781" s="18">
        <v>26</v>
      </c>
      <c r="G1781" s="18">
        <v>17</v>
      </c>
      <c r="H1781" s="18" t="s">
        <v>1851</v>
      </c>
    </row>
    <row r="1782" spans="1:8">
      <c r="A1782" s="7" t="str">
        <f t="shared" si="81"/>
        <v>17</v>
      </c>
      <c r="B1782" s="7" t="str">
        <f t="shared" si="82"/>
        <v>072</v>
      </c>
      <c r="C1782" s="7" t="str">
        <f t="shared" si="83"/>
        <v>Monte</v>
      </c>
      <c r="D1782" s="18" t="s">
        <v>4693</v>
      </c>
      <c r="E1782" s="18">
        <v>3</v>
      </c>
      <c r="F1782" s="18">
        <v>55</v>
      </c>
      <c r="G1782" s="18">
        <v>17</v>
      </c>
      <c r="H1782" s="18" t="s">
        <v>1851</v>
      </c>
    </row>
    <row r="1783" spans="1:8">
      <c r="A1783" s="7" t="str">
        <f t="shared" si="81"/>
        <v>17</v>
      </c>
      <c r="B1783" s="7" t="str">
        <f t="shared" si="82"/>
        <v>072</v>
      </c>
      <c r="C1783" s="7" t="str">
        <f t="shared" si="83"/>
        <v>Monte</v>
      </c>
      <c r="D1783" s="18" t="s">
        <v>4694</v>
      </c>
      <c r="E1783" s="18">
        <v>1</v>
      </c>
      <c r="F1783" s="18">
        <v>11</v>
      </c>
      <c r="G1783" s="18">
        <v>17</v>
      </c>
      <c r="H1783" s="18" t="s">
        <v>1851</v>
      </c>
    </row>
    <row r="1784" spans="1:8">
      <c r="A1784" s="7" t="str">
        <f t="shared" si="81"/>
        <v>17</v>
      </c>
      <c r="B1784" s="7" t="str">
        <f t="shared" si="82"/>
        <v>072</v>
      </c>
      <c r="C1784" s="7" t="str">
        <f t="shared" si="83"/>
        <v>Monte</v>
      </c>
      <c r="D1784" s="18" t="s">
        <v>4695</v>
      </c>
      <c r="E1784" s="18">
        <v>1</v>
      </c>
      <c r="F1784" s="18">
        <v>11</v>
      </c>
      <c r="G1784" s="18">
        <v>17</v>
      </c>
      <c r="H1784" s="18" t="s">
        <v>1851</v>
      </c>
    </row>
    <row r="1785" spans="1:8">
      <c r="A1785" s="7" t="str">
        <f t="shared" si="81"/>
        <v>17</v>
      </c>
      <c r="B1785" s="7" t="str">
        <f t="shared" si="82"/>
        <v>072</v>
      </c>
      <c r="C1785" s="7" t="str">
        <f t="shared" si="83"/>
        <v>Monte</v>
      </c>
      <c r="D1785" s="18" t="s">
        <v>4696</v>
      </c>
      <c r="E1785" s="18">
        <v>1</v>
      </c>
      <c r="F1785" s="18">
        <v>8</v>
      </c>
      <c r="G1785" s="18">
        <v>17</v>
      </c>
      <c r="H1785" s="18" t="s">
        <v>1851</v>
      </c>
    </row>
    <row r="1786" spans="1:8">
      <c r="A1786" s="7" t="str">
        <f t="shared" si="81"/>
        <v>17</v>
      </c>
      <c r="B1786" s="7" t="str">
        <f t="shared" si="82"/>
        <v>082</v>
      </c>
      <c r="C1786" s="7" t="str">
        <f t="shared" si="83"/>
        <v>Pila</v>
      </c>
      <c r="D1786" s="18" t="s">
        <v>4697</v>
      </c>
      <c r="E1786" s="18">
        <v>1</v>
      </c>
      <c r="F1786" s="18">
        <v>10</v>
      </c>
      <c r="G1786" s="18">
        <v>17</v>
      </c>
      <c r="H1786" s="18" t="s">
        <v>2044</v>
      </c>
    </row>
    <row r="1787" spans="1:8">
      <c r="A1787" s="7" t="str">
        <f t="shared" si="81"/>
        <v>17</v>
      </c>
      <c r="B1787" s="7" t="str">
        <f t="shared" si="82"/>
        <v>082</v>
      </c>
      <c r="C1787" s="7" t="str">
        <f t="shared" si="83"/>
        <v>Pila</v>
      </c>
      <c r="D1787" s="18" t="s">
        <v>4698</v>
      </c>
      <c r="E1787" s="18">
        <v>1</v>
      </c>
      <c r="F1787" s="18">
        <v>15</v>
      </c>
      <c r="G1787" s="18">
        <v>17</v>
      </c>
      <c r="H1787" s="18" t="s">
        <v>2044</v>
      </c>
    </row>
    <row r="1788" spans="1:8">
      <c r="A1788" s="7" t="str">
        <f t="shared" si="81"/>
        <v>17</v>
      </c>
      <c r="B1788" s="7" t="str">
        <f t="shared" si="82"/>
        <v>087</v>
      </c>
      <c r="C1788" s="7" t="str">
        <f t="shared" si="83"/>
        <v>Rauch</v>
      </c>
      <c r="D1788" s="18" t="s">
        <v>4699</v>
      </c>
      <c r="E1788" s="18">
        <v>1</v>
      </c>
      <c r="F1788" s="18">
        <v>13</v>
      </c>
      <c r="G1788" s="18">
        <v>17</v>
      </c>
      <c r="H1788" s="18" t="s">
        <v>2161</v>
      </c>
    </row>
    <row r="1789" spans="1:8">
      <c r="A1789" s="7" t="str">
        <f t="shared" si="81"/>
        <v>17</v>
      </c>
      <c r="B1789" s="7" t="str">
        <f t="shared" si="82"/>
        <v>087</v>
      </c>
      <c r="C1789" s="7" t="str">
        <f t="shared" si="83"/>
        <v>Rauch</v>
      </c>
      <c r="D1789" s="18" t="s">
        <v>4700</v>
      </c>
      <c r="E1789" s="18">
        <v>2</v>
      </c>
      <c r="F1789" s="18">
        <v>36</v>
      </c>
      <c r="G1789" s="18">
        <v>17</v>
      </c>
      <c r="H1789" s="18" t="s">
        <v>2161</v>
      </c>
    </row>
    <row r="1790" spans="1:8">
      <c r="A1790" s="7" t="str">
        <f t="shared" si="81"/>
        <v>18</v>
      </c>
      <c r="B1790" s="7" t="str">
        <f t="shared" si="82"/>
        <v>006</v>
      </c>
      <c r="C1790" s="7" t="str">
        <f t="shared" si="83"/>
        <v>Ayacucho</v>
      </c>
      <c r="D1790" s="18" t="s">
        <v>4701</v>
      </c>
      <c r="E1790" s="18">
        <v>1</v>
      </c>
      <c r="F1790" s="18">
        <v>21</v>
      </c>
      <c r="G1790" s="18">
        <v>18</v>
      </c>
      <c r="H1790" s="18" t="s">
        <v>425</v>
      </c>
    </row>
    <row r="1791" spans="1:8">
      <c r="A1791" s="7" t="str">
        <f t="shared" si="81"/>
        <v>18</v>
      </c>
      <c r="B1791" s="7" t="str">
        <f t="shared" si="82"/>
        <v>006</v>
      </c>
      <c r="C1791" s="7" t="str">
        <f t="shared" si="83"/>
        <v>Ayacucho</v>
      </c>
      <c r="D1791" s="18" t="s">
        <v>4702</v>
      </c>
      <c r="E1791" s="18">
        <v>1</v>
      </c>
      <c r="F1791" s="18">
        <v>32</v>
      </c>
      <c r="G1791" s="18">
        <v>18</v>
      </c>
      <c r="H1791" s="18" t="s">
        <v>425</v>
      </c>
    </row>
    <row r="1792" spans="1:8">
      <c r="A1792" s="7" t="str">
        <f t="shared" si="81"/>
        <v>18</v>
      </c>
      <c r="B1792" s="7" t="str">
        <f t="shared" si="82"/>
        <v>006</v>
      </c>
      <c r="C1792" s="7" t="str">
        <f t="shared" si="83"/>
        <v>Ayacucho</v>
      </c>
      <c r="D1792" s="18" t="s">
        <v>4703</v>
      </c>
      <c r="E1792" s="18">
        <v>1</v>
      </c>
      <c r="F1792" s="18">
        <v>0</v>
      </c>
      <c r="G1792" s="18">
        <v>18</v>
      </c>
      <c r="H1792" s="18" t="s">
        <v>425</v>
      </c>
    </row>
    <row r="1793" spans="1:8">
      <c r="A1793" s="7" t="str">
        <f t="shared" si="81"/>
        <v>18</v>
      </c>
      <c r="B1793" s="7" t="str">
        <f t="shared" si="82"/>
        <v>006</v>
      </c>
      <c r="C1793" s="7" t="str">
        <f t="shared" si="83"/>
        <v>Ayacucho</v>
      </c>
      <c r="D1793" s="18" t="s">
        <v>4704</v>
      </c>
      <c r="E1793" s="18">
        <v>1</v>
      </c>
      <c r="F1793" s="18">
        <v>14</v>
      </c>
      <c r="G1793" s="18">
        <v>18</v>
      </c>
      <c r="H1793" s="18" t="s">
        <v>425</v>
      </c>
    </row>
    <row r="1794" spans="1:8">
      <c r="A1794" s="7" t="str">
        <f t="shared" si="81"/>
        <v>18</v>
      </c>
      <c r="B1794" s="7" t="str">
        <f t="shared" si="82"/>
        <v>006</v>
      </c>
      <c r="C1794" s="7" t="str">
        <f t="shared" si="83"/>
        <v>Ayacucho</v>
      </c>
      <c r="D1794" s="18" t="s">
        <v>4705</v>
      </c>
      <c r="E1794" s="18">
        <v>1</v>
      </c>
      <c r="F1794" s="18">
        <v>11</v>
      </c>
      <c r="G1794" s="18">
        <v>18</v>
      </c>
      <c r="H1794" s="18" t="s">
        <v>425</v>
      </c>
    </row>
    <row r="1795" spans="1:8">
      <c r="A1795" s="7" t="str">
        <f t="shared" ref="A1795:A1858" si="84">+VLOOKUP(H1795,$K:$N,2,FALSE)</f>
        <v>18</v>
      </c>
      <c r="B1795" s="7" t="str">
        <f t="shared" ref="B1795:B1858" si="85">+VLOOKUP(H1795,$K:$N,3,FALSE)</f>
        <v>006</v>
      </c>
      <c r="C1795" s="7" t="str">
        <f t="shared" ref="C1795:C1858" si="86">+VLOOKUP(H1795,$K:$N,4,FALSE)</f>
        <v>Ayacucho</v>
      </c>
      <c r="D1795" s="18" t="s">
        <v>4706</v>
      </c>
      <c r="E1795" s="18">
        <v>1</v>
      </c>
      <c r="F1795" s="18">
        <v>24</v>
      </c>
      <c r="G1795" s="18">
        <v>18</v>
      </c>
      <c r="H1795" s="18" t="s">
        <v>425</v>
      </c>
    </row>
    <row r="1796" spans="1:8">
      <c r="A1796" s="7" t="str">
        <f t="shared" si="84"/>
        <v>18</v>
      </c>
      <c r="B1796" s="7" t="str">
        <f t="shared" si="85"/>
        <v>006</v>
      </c>
      <c r="C1796" s="7" t="str">
        <f t="shared" si="86"/>
        <v>Ayacucho</v>
      </c>
      <c r="D1796" s="18" t="s">
        <v>4707</v>
      </c>
      <c r="E1796" s="18">
        <v>1</v>
      </c>
      <c r="F1796" s="18">
        <v>24</v>
      </c>
      <c r="G1796" s="18">
        <v>18</v>
      </c>
      <c r="H1796" s="18" t="s">
        <v>425</v>
      </c>
    </row>
    <row r="1797" spans="1:8">
      <c r="A1797" s="7" t="str">
        <f t="shared" si="84"/>
        <v>18</v>
      </c>
      <c r="B1797" s="7" t="str">
        <f t="shared" si="85"/>
        <v>006</v>
      </c>
      <c r="C1797" s="7" t="str">
        <f t="shared" si="86"/>
        <v>Ayacucho</v>
      </c>
      <c r="D1797" s="18" t="s">
        <v>4708</v>
      </c>
      <c r="E1797" s="18">
        <v>1</v>
      </c>
      <c r="F1797" s="18">
        <v>12</v>
      </c>
      <c r="G1797" s="18">
        <v>18</v>
      </c>
      <c r="H1797" s="18" t="s">
        <v>425</v>
      </c>
    </row>
    <row r="1798" spans="1:8">
      <c r="A1798" s="7" t="str">
        <f t="shared" si="84"/>
        <v>18</v>
      </c>
      <c r="B1798" s="7" t="str">
        <f t="shared" si="85"/>
        <v>006</v>
      </c>
      <c r="C1798" s="7" t="str">
        <f t="shared" si="86"/>
        <v>Ayacucho</v>
      </c>
      <c r="D1798" s="18" t="s">
        <v>4709</v>
      </c>
      <c r="E1798" s="18">
        <v>2</v>
      </c>
      <c r="F1798" s="18">
        <v>22</v>
      </c>
      <c r="G1798" s="18">
        <v>18</v>
      </c>
      <c r="H1798" s="18" t="s">
        <v>425</v>
      </c>
    </row>
    <row r="1799" spans="1:8">
      <c r="A1799" s="7" t="str">
        <f t="shared" si="84"/>
        <v>18</v>
      </c>
      <c r="B1799" s="7" t="str">
        <f t="shared" si="85"/>
        <v>006</v>
      </c>
      <c r="C1799" s="7" t="str">
        <f t="shared" si="86"/>
        <v>Ayacucho</v>
      </c>
      <c r="D1799" s="18" t="s">
        <v>4710</v>
      </c>
      <c r="E1799" s="18">
        <v>1</v>
      </c>
      <c r="F1799" s="18">
        <v>7</v>
      </c>
      <c r="G1799" s="18">
        <v>18</v>
      </c>
      <c r="H1799" s="18" t="s">
        <v>425</v>
      </c>
    </row>
    <row r="1800" spans="1:8">
      <c r="A1800" s="7" t="str">
        <f t="shared" si="84"/>
        <v>18</v>
      </c>
      <c r="B1800" s="7" t="str">
        <f t="shared" si="85"/>
        <v>006</v>
      </c>
      <c r="C1800" s="7" t="str">
        <f t="shared" si="86"/>
        <v>Ayacucho</v>
      </c>
      <c r="D1800" s="18" t="s">
        <v>4711</v>
      </c>
      <c r="E1800" s="18">
        <v>2</v>
      </c>
      <c r="F1800" s="18">
        <v>44</v>
      </c>
      <c r="G1800" s="18">
        <v>18</v>
      </c>
      <c r="H1800" s="18" t="s">
        <v>425</v>
      </c>
    </row>
    <row r="1801" spans="1:8">
      <c r="A1801" s="7" t="str">
        <f t="shared" si="84"/>
        <v>18</v>
      </c>
      <c r="B1801" s="7" t="str">
        <f t="shared" si="85"/>
        <v>006</v>
      </c>
      <c r="C1801" s="7" t="str">
        <f t="shared" si="86"/>
        <v>Ayacucho</v>
      </c>
      <c r="D1801" s="18" t="s">
        <v>4712</v>
      </c>
      <c r="E1801" s="18">
        <v>1</v>
      </c>
      <c r="F1801" s="18">
        <v>19</v>
      </c>
      <c r="G1801" s="18">
        <v>18</v>
      </c>
      <c r="H1801" s="18" t="s">
        <v>425</v>
      </c>
    </row>
    <row r="1802" spans="1:8">
      <c r="A1802" s="7" t="str">
        <f t="shared" si="84"/>
        <v>18</v>
      </c>
      <c r="B1802" s="7" t="str">
        <f t="shared" si="85"/>
        <v>021</v>
      </c>
      <c r="C1802" s="7" t="str">
        <f t="shared" si="86"/>
        <v>Castelli</v>
      </c>
      <c r="D1802" s="18" t="s">
        <v>4713</v>
      </c>
      <c r="E1802" s="18">
        <v>1</v>
      </c>
      <c r="F1802" s="18">
        <v>0</v>
      </c>
      <c r="G1802" s="18">
        <v>18</v>
      </c>
      <c r="H1802" s="18" t="s">
        <v>689</v>
      </c>
    </row>
    <row r="1803" spans="1:8">
      <c r="A1803" s="7" t="str">
        <f t="shared" si="84"/>
        <v>18</v>
      </c>
      <c r="B1803" s="7" t="str">
        <f t="shared" si="85"/>
        <v>021</v>
      </c>
      <c r="C1803" s="7" t="str">
        <f t="shared" si="86"/>
        <v>Castelli</v>
      </c>
      <c r="D1803" s="18" t="s">
        <v>4714</v>
      </c>
      <c r="E1803" s="18">
        <v>2</v>
      </c>
      <c r="F1803" s="18">
        <v>21</v>
      </c>
      <c r="G1803" s="18">
        <v>18</v>
      </c>
      <c r="H1803" s="18" t="s">
        <v>689</v>
      </c>
    </row>
    <row r="1804" spans="1:8">
      <c r="A1804" s="7" t="str">
        <f t="shared" si="84"/>
        <v>18</v>
      </c>
      <c r="B1804" s="7" t="str">
        <f t="shared" si="85"/>
        <v>021</v>
      </c>
      <c r="C1804" s="7" t="str">
        <f t="shared" si="86"/>
        <v>Castelli</v>
      </c>
      <c r="D1804" s="18" t="s">
        <v>4715</v>
      </c>
      <c r="E1804" s="18">
        <v>1</v>
      </c>
      <c r="F1804" s="18">
        <v>14</v>
      </c>
      <c r="G1804" s="18">
        <v>18</v>
      </c>
      <c r="H1804" s="18" t="s">
        <v>689</v>
      </c>
    </row>
    <row r="1805" spans="1:8">
      <c r="A1805" s="7" t="str">
        <f t="shared" si="84"/>
        <v>18</v>
      </c>
      <c r="B1805" s="7" t="str">
        <f t="shared" si="85"/>
        <v>029</v>
      </c>
      <c r="C1805" s="7" t="str">
        <f t="shared" si="86"/>
        <v>Dolores</v>
      </c>
      <c r="D1805" s="18" t="s">
        <v>4716</v>
      </c>
      <c r="E1805" s="18">
        <v>1</v>
      </c>
      <c r="F1805" s="18">
        <v>1</v>
      </c>
      <c r="G1805" s="18">
        <v>18</v>
      </c>
      <c r="H1805" s="18" t="s">
        <v>761</v>
      </c>
    </row>
    <row r="1806" spans="1:8">
      <c r="A1806" s="7" t="str">
        <f t="shared" si="84"/>
        <v>18</v>
      </c>
      <c r="B1806" s="7" t="str">
        <f t="shared" si="85"/>
        <v>029</v>
      </c>
      <c r="C1806" s="7" t="str">
        <f t="shared" si="86"/>
        <v>Dolores</v>
      </c>
      <c r="D1806" s="18" t="s">
        <v>4717</v>
      </c>
      <c r="E1806" s="18">
        <v>2</v>
      </c>
      <c r="F1806" s="18">
        <v>47</v>
      </c>
      <c r="G1806" s="18">
        <v>18</v>
      </c>
      <c r="H1806" s="18" t="s">
        <v>761</v>
      </c>
    </row>
    <row r="1807" spans="1:8">
      <c r="A1807" s="7" t="str">
        <f t="shared" si="84"/>
        <v>18</v>
      </c>
      <c r="B1807" s="7" t="str">
        <f t="shared" si="85"/>
        <v>029</v>
      </c>
      <c r="C1807" s="7" t="str">
        <f t="shared" si="86"/>
        <v>Dolores</v>
      </c>
      <c r="D1807" s="18" t="s">
        <v>4718</v>
      </c>
      <c r="E1807" s="18">
        <v>2</v>
      </c>
      <c r="F1807" s="18">
        <v>30</v>
      </c>
      <c r="G1807" s="18">
        <v>18</v>
      </c>
      <c r="H1807" s="18" t="s">
        <v>761</v>
      </c>
    </row>
    <row r="1808" spans="1:8">
      <c r="A1808" s="7" t="str">
        <f t="shared" si="84"/>
        <v>18</v>
      </c>
      <c r="B1808" s="7" t="str">
        <f t="shared" si="85"/>
        <v>029</v>
      </c>
      <c r="C1808" s="7" t="str">
        <f t="shared" si="86"/>
        <v>Dolores</v>
      </c>
      <c r="D1808" s="18" t="s">
        <v>4719</v>
      </c>
      <c r="E1808" s="18">
        <v>1</v>
      </c>
      <c r="F1808" s="18">
        <v>14</v>
      </c>
      <c r="G1808" s="18">
        <v>18</v>
      </c>
      <c r="H1808" s="18" t="s">
        <v>761</v>
      </c>
    </row>
    <row r="1809" spans="1:8">
      <c r="A1809" s="7" t="str">
        <f t="shared" si="84"/>
        <v>18</v>
      </c>
      <c r="B1809" s="7" t="str">
        <f t="shared" si="85"/>
        <v>039</v>
      </c>
      <c r="C1809" s="7" t="str">
        <f t="shared" si="86"/>
        <v>General Lavalle</v>
      </c>
      <c r="D1809" s="18" t="s">
        <v>4720</v>
      </c>
      <c r="E1809" s="18">
        <v>1</v>
      </c>
      <c r="F1809" s="18">
        <v>4</v>
      </c>
      <c r="G1809" s="18">
        <v>18</v>
      </c>
      <c r="H1809" s="18" t="s">
        <v>919</v>
      </c>
    </row>
    <row r="1810" spans="1:8">
      <c r="A1810" s="7" t="str">
        <f t="shared" si="84"/>
        <v>18</v>
      </c>
      <c r="B1810" s="7" t="str">
        <f t="shared" si="85"/>
        <v>039</v>
      </c>
      <c r="C1810" s="7" t="str">
        <f t="shared" si="86"/>
        <v>General Lavalle</v>
      </c>
      <c r="D1810" s="18" t="s">
        <v>4721</v>
      </c>
      <c r="E1810" s="18">
        <v>1</v>
      </c>
      <c r="F1810" s="18">
        <v>13</v>
      </c>
      <c r="G1810" s="18">
        <v>18</v>
      </c>
      <c r="H1810" s="18" t="s">
        <v>919</v>
      </c>
    </row>
    <row r="1811" spans="1:8">
      <c r="A1811" s="7" t="str">
        <f t="shared" si="84"/>
        <v>18</v>
      </c>
      <c r="B1811" s="7" t="str">
        <f t="shared" si="85"/>
        <v>040</v>
      </c>
      <c r="C1811" s="7" t="str">
        <f t="shared" si="86"/>
        <v>General Juan Madariaga</v>
      </c>
      <c r="D1811" s="18" t="s">
        <v>4723</v>
      </c>
      <c r="E1811" s="18">
        <v>1</v>
      </c>
      <c r="F1811" s="18">
        <v>21</v>
      </c>
      <c r="G1811" s="18">
        <v>18</v>
      </c>
      <c r="H1811" s="18" t="s">
        <v>4722</v>
      </c>
    </row>
    <row r="1812" spans="1:8">
      <c r="A1812" s="7" t="str">
        <f t="shared" si="84"/>
        <v>18</v>
      </c>
      <c r="B1812" s="7" t="str">
        <f t="shared" si="85"/>
        <v>040</v>
      </c>
      <c r="C1812" s="7" t="str">
        <f t="shared" si="86"/>
        <v>General Juan Madariaga</v>
      </c>
      <c r="D1812" s="18" t="s">
        <v>4724</v>
      </c>
      <c r="E1812" s="18">
        <v>1</v>
      </c>
      <c r="F1812" s="18">
        <v>11</v>
      </c>
      <c r="G1812" s="18">
        <v>18</v>
      </c>
      <c r="H1812" s="18" t="s">
        <v>4722</v>
      </c>
    </row>
    <row r="1813" spans="1:8">
      <c r="A1813" s="7" t="str">
        <f t="shared" si="84"/>
        <v>18</v>
      </c>
      <c r="B1813" s="7" t="str">
        <f t="shared" si="85"/>
        <v>040</v>
      </c>
      <c r="C1813" s="7" t="str">
        <f t="shared" si="86"/>
        <v>General Juan Madariaga</v>
      </c>
      <c r="D1813" s="18" t="s">
        <v>4725</v>
      </c>
      <c r="E1813" s="18">
        <v>1</v>
      </c>
      <c r="F1813" s="18">
        <v>0</v>
      </c>
      <c r="G1813" s="18">
        <v>18</v>
      </c>
      <c r="H1813" s="18" t="s">
        <v>4722</v>
      </c>
    </row>
    <row r="1814" spans="1:8">
      <c r="A1814" s="7" t="str">
        <f t="shared" si="84"/>
        <v>18</v>
      </c>
      <c r="B1814" s="7" t="str">
        <f t="shared" si="85"/>
        <v>037</v>
      </c>
      <c r="C1814" s="7" t="str">
        <f t="shared" si="86"/>
        <v>General Guido</v>
      </c>
      <c r="D1814" s="18" t="s">
        <v>4727</v>
      </c>
      <c r="E1814" s="18">
        <v>3</v>
      </c>
      <c r="F1814" s="18">
        <v>26</v>
      </c>
      <c r="G1814" s="18">
        <v>18</v>
      </c>
      <c r="H1814" s="18" t="s">
        <v>4726</v>
      </c>
    </row>
    <row r="1815" spans="1:8">
      <c r="A1815" s="7" t="str">
        <f t="shared" si="84"/>
        <v>18</v>
      </c>
      <c r="B1815" s="7" t="str">
        <f t="shared" si="85"/>
        <v>065</v>
      </c>
      <c r="C1815" s="7" t="str">
        <f t="shared" si="86"/>
        <v>Maipú</v>
      </c>
      <c r="D1815" s="18" t="s">
        <v>4729</v>
      </c>
      <c r="E1815" s="18">
        <v>3</v>
      </c>
      <c r="F1815" s="18">
        <v>61</v>
      </c>
      <c r="G1815" s="18">
        <v>18</v>
      </c>
      <c r="H1815" s="18" t="s">
        <v>4728</v>
      </c>
    </row>
    <row r="1816" spans="1:8">
      <c r="A1816" s="7" t="str">
        <f t="shared" si="84"/>
        <v>18</v>
      </c>
      <c r="B1816" s="7" t="str">
        <f t="shared" si="85"/>
        <v>065</v>
      </c>
      <c r="C1816" s="7" t="str">
        <f t="shared" si="86"/>
        <v>Maipú</v>
      </c>
      <c r="D1816" s="18" t="s">
        <v>4730</v>
      </c>
      <c r="E1816" s="18">
        <v>1</v>
      </c>
      <c r="F1816" s="18">
        <v>15</v>
      </c>
      <c r="G1816" s="18">
        <v>18</v>
      </c>
      <c r="H1816" s="18" t="s">
        <v>4728</v>
      </c>
    </row>
    <row r="1817" spans="1:8">
      <c r="A1817" s="7" t="str">
        <f t="shared" si="84"/>
        <v>18</v>
      </c>
      <c r="B1817" s="7" t="str">
        <f t="shared" si="85"/>
        <v>065</v>
      </c>
      <c r="C1817" s="7" t="str">
        <f t="shared" si="86"/>
        <v>Maipú</v>
      </c>
      <c r="D1817" s="18" t="s">
        <v>4731</v>
      </c>
      <c r="E1817" s="18">
        <v>1</v>
      </c>
      <c r="F1817" s="18">
        <v>5</v>
      </c>
      <c r="G1817" s="18">
        <v>18</v>
      </c>
      <c r="H1817" s="18" t="s">
        <v>4728</v>
      </c>
    </row>
    <row r="1818" spans="1:8">
      <c r="A1818" s="7" t="str">
        <f t="shared" si="84"/>
        <v>18</v>
      </c>
      <c r="B1818" s="7" t="str">
        <f t="shared" si="85"/>
        <v>123</v>
      </c>
      <c r="C1818" s="7" t="str">
        <f t="shared" si="86"/>
        <v>La Costa</v>
      </c>
      <c r="D1818" s="18" t="s">
        <v>4733</v>
      </c>
      <c r="E1818" s="18">
        <v>1</v>
      </c>
      <c r="F1818" s="18">
        <v>0</v>
      </c>
      <c r="G1818" s="18">
        <v>18</v>
      </c>
      <c r="H1818" s="18" t="s">
        <v>4732</v>
      </c>
    </row>
    <row r="1819" spans="1:8">
      <c r="A1819" s="7" t="str">
        <f t="shared" si="84"/>
        <v>18</v>
      </c>
      <c r="B1819" s="7" t="str">
        <f t="shared" si="85"/>
        <v>123</v>
      </c>
      <c r="C1819" s="7" t="str">
        <f t="shared" si="86"/>
        <v>La Costa</v>
      </c>
      <c r="D1819" s="18" t="s">
        <v>4734</v>
      </c>
      <c r="E1819" s="18">
        <v>1</v>
      </c>
      <c r="F1819" s="18">
        <v>7</v>
      </c>
      <c r="G1819" s="18">
        <v>18</v>
      </c>
      <c r="H1819" s="18" t="s">
        <v>4732</v>
      </c>
    </row>
    <row r="1820" spans="1:8">
      <c r="A1820" s="7" t="str">
        <f t="shared" si="84"/>
        <v>18</v>
      </c>
      <c r="B1820" s="7" t="str">
        <f t="shared" si="85"/>
        <v>123</v>
      </c>
      <c r="C1820" s="7" t="str">
        <f t="shared" si="86"/>
        <v>La Costa</v>
      </c>
      <c r="D1820" s="18" t="s">
        <v>4735</v>
      </c>
      <c r="E1820" s="18">
        <v>2</v>
      </c>
      <c r="F1820" s="18">
        <v>29</v>
      </c>
      <c r="G1820" s="18">
        <v>18</v>
      </c>
      <c r="H1820" s="18" t="s">
        <v>4732</v>
      </c>
    </row>
    <row r="1821" spans="1:8">
      <c r="A1821" s="7" t="str">
        <f t="shared" si="84"/>
        <v>18</v>
      </c>
      <c r="B1821" s="7" t="str">
        <f t="shared" si="85"/>
        <v>123</v>
      </c>
      <c r="C1821" s="7" t="str">
        <f t="shared" si="86"/>
        <v>La Costa</v>
      </c>
      <c r="D1821" s="18" t="s">
        <v>4736</v>
      </c>
      <c r="E1821" s="18">
        <v>1</v>
      </c>
      <c r="F1821" s="18">
        <v>19</v>
      </c>
      <c r="G1821" s="18">
        <v>18</v>
      </c>
      <c r="H1821" s="18" t="s">
        <v>4732</v>
      </c>
    </row>
    <row r="1822" spans="1:8">
      <c r="A1822" s="7" t="str">
        <f t="shared" si="84"/>
        <v>18</v>
      </c>
      <c r="B1822" s="7" t="str">
        <f t="shared" si="85"/>
        <v>123</v>
      </c>
      <c r="C1822" s="7" t="str">
        <f t="shared" si="86"/>
        <v>La Costa</v>
      </c>
      <c r="D1822" s="18" t="s">
        <v>4737</v>
      </c>
      <c r="E1822" s="18">
        <v>1</v>
      </c>
      <c r="F1822" s="18">
        <v>13</v>
      </c>
      <c r="G1822" s="18">
        <v>18</v>
      </c>
      <c r="H1822" s="18" t="s">
        <v>4732</v>
      </c>
    </row>
    <row r="1823" spans="1:8">
      <c r="A1823" s="7" t="str">
        <f t="shared" si="84"/>
        <v>18</v>
      </c>
      <c r="B1823" s="7" t="str">
        <f t="shared" si="85"/>
        <v>123</v>
      </c>
      <c r="C1823" s="7" t="str">
        <f t="shared" si="86"/>
        <v>La Costa</v>
      </c>
      <c r="D1823" s="18" t="s">
        <v>4738</v>
      </c>
      <c r="E1823" s="18">
        <v>1</v>
      </c>
      <c r="F1823" s="18">
        <v>16</v>
      </c>
      <c r="G1823" s="18">
        <v>18</v>
      </c>
      <c r="H1823" s="18" t="s">
        <v>4732</v>
      </c>
    </row>
    <row r="1824" spans="1:8">
      <c r="A1824" s="7" t="str">
        <f t="shared" si="84"/>
        <v>18</v>
      </c>
      <c r="B1824" s="7" t="str">
        <f t="shared" si="85"/>
        <v>123</v>
      </c>
      <c r="C1824" s="7" t="str">
        <f t="shared" si="86"/>
        <v>La Costa</v>
      </c>
      <c r="D1824" s="18" t="s">
        <v>4739</v>
      </c>
      <c r="E1824" s="18">
        <v>1</v>
      </c>
      <c r="F1824" s="18">
        <v>11</v>
      </c>
      <c r="G1824" s="18">
        <v>18</v>
      </c>
      <c r="H1824" s="18" t="s">
        <v>4732</v>
      </c>
    </row>
    <row r="1825" spans="1:8">
      <c r="A1825" s="7" t="str">
        <f t="shared" si="84"/>
        <v>18</v>
      </c>
      <c r="B1825" s="7" t="str">
        <f t="shared" si="85"/>
        <v>123</v>
      </c>
      <c r="C1825" s="7" t="str">
        <f t="shared" si="86"/>
        <v>La Costa</v>
      </c>
      <c r="D1825" s="18" t="s">
        <v>4740</v>
      </c>
      <c r="E1825" s="18">
        <v>5</v>
      </c>
      <c r="F1825" s="18">
        <v>121</v>
      </c>
      <c r="G1825" s="18">
        <v>18</v>
      </c>
      <c r="H1825" s="18" t="s">
        <v>4732</v>
      </c>
    </row>
    <row r="1826" spans="1:8">
      <c r="A1826" s="7" t="str">
        <f t="shared" si="84"/>
        <v>18</v>
      </c>
      <c r="B1826" s="7" t="str">
        <f t="shared" si="85"/>
        <v>123</v>
      </c>
      <c r="C1826" s="7" t="str">
        <f t="shared" si="86"/>
        <v>La Costa</v>
      </c>
      <c r="D1826" s="18" t="s">
        <v>4577</v>
      </c>
      <c r="E1826" s="18">
        <v>4</v>
      </c>
      <c r="F1826" s="18">
        <v>74</v>
      </c>
      <c r="G1826" s="18">
        <v>18</v>
      </c>
      <c r="H1826" s="18" t="s">
        <v>4732</v>
      </c>
    </row>
    <row r="1827" spans="1:8">
      <c r="A1827" s="7" t="str">
        <f t="shared" si="84"/>
        <v>18</v>
      </c>
      <c r="B1827" s="7" t="str">
        <f t="shared" si="85"/>
        <v>123</v>
      </c>
      <c r="C1827" s="7" t="str">
        <f t="shared" si="86"/>
        <v>La Costa</v>
      </c>
      <c r="D1827" s="18" t="s">
        <v>4741</v>
      </c>
      <c r="E1827" s="18">
        <v>3</v>
      </c>
      <c r="F1827" s="18">
        <v>78</v>
      </c>
      <c r="G1827" s="18">
        <v>18</v>
      </c>
      <c r="H1827" s="18" t="s">
        <v>4732</v>
      </c>
    </row>
    <row r="1828" spans="1:8">
      <c r="A1828" s="7" t="str">
        <f t="shared" si="84"/>
        <v>18</v>
      </c>
      <c r="B1828" s="7" t="str">
        <f t="shared" si="85"/>
        <v>123</v>
      </c>
      <c r="C1828" s="7" t="str">
        <f t="shared" si="86"/>
        <v>La Costa</v>
      </c>
      <c r="D1828" s="18" t="s">
        <v>4742</v>
      </c>
      <c r="E1828" s="18">
        <v>5</v>
      </c>
      <c r="F1828" s="18">
        <v>121</v>
      </c>
      <c r="G1828" s="18">
        <v>18</v>
      </c>
      <c r="H1828" s="18" t="s">
        <v>4732</v>
      </c>
    </row>
    <row r="1829" spans="1:8">
      <c r="A1829" s="7" t="str">
        <f t="shared" si="84"/>
        <v>18</v>
      </c>
      <c r="B1829" s="7" t="str">
        <f t="shared" si="85"/>
        <v>123</v>
      </c>
      <c r="C1829" s="7" t="str">
        <f t="shared" si="86"/>
        <v>La Costa</v>
      </c>
      <c r="D1829" s="18" t="s">
        <v>4743</v>
      </c>
      <c r="E1829" s="18">
        <v>1</v>
      </c>
      <c r="F1829" s="18">
        <v>8</v>
      </c>
      <c r="G1829" s="18">
        <v>18</v>
      </c>
      <c r="H1829" s="18" t="s">
        <v>4732</v>
      </c>
    </row>
    <row r="1830" spans="1:8">
      <c r="A1830" s="7" t="str">
        <f t="shared" si="84"/>
        <v>18</v>
      </c>
      <c r="B1830" s="7" t="str">
        <f t="shared" si="85"/>
        <v>123</v>
      </c>
      <c r="C1830" s="7" t="str">
        <f t="shared" si="86"/>
        <v>La Costa</v>
      </c>
      <c r="D1830" s="18" t="s">
        <v>4744</v>
      </c>
      <c r="E1830" s="18">
        <v>2</v>
      </c>
      <c r="F1830" s="18">
        <v>15</v>
      </c>
      <c r="G1830" s="18">
        <v>18</v>
      </c>
      <c r="H1830" s="18" t="s">
        <v>4732</v>
      </c>
    </row>
    <row r="1831" spans="1:8">
      <c r="A1831" s="7" t="str">
        <f t="shared" si="84"/>
        <v>18</v>
      </c>
      <c r="B1831" s="7" t="str">
        <f t="shared" si="85"/>
        <v>123</v>
      </c>
      <c r="C1831" s="7" t="str">
        <f t="shared" si="86"/>
        <v>La Costa</v>
      </c>
      <c r="D1831" s="18" t="s">
        <v>4745</v>
      </c>
      <c r="E1831" s="18">
        <v>3</v>
      </c>
      <c r="F1831" s="18">
        <v>18</v>
      </c>
      <c r="G1831" s="18">
        <v>18</v>
      </c>
      <c r="H1831" s="18" t="s">
        <v>4732</v>
      </c>
    </row>
    <row r="1832" spans="1:8">
      <c r="A1832" s="7" t="str">
        <f t="shared" si="84"/>
        <v>18</v>
      </c>
      <c r="B1832" s="7" t="str">
        <f t="shared" si="85"/>
        <v>123</v>
      </c>
      <c r="C1832" s="7" t="str">
        <f t="shared" si="86"/>
        <v>La Costa</v>
      </c>
      <c r="D1832" s="18" t="s">
        <v>4746</v>
      </c>
      <c r="E1832" s="18">
        <v>1</v>
      </c>
      <c r="F1832" s="18">
        <v>28</v>
      </c>
      <c r="G1832" s="18">
        <v>18</v>
      </c>
      <c r="H1832" s="18" t="s">
        <v>4732</v>
      </c>
    </row>
    <row r="1833" spans="1:8">
      <c r="A1833" s="7" t="str">
        <f t="shared" si="84"/>
        <v>18</v>
      </c>
      <c r="B1833" s="7" t="str">
        <f t="shared" si="85"/>
        <v>123</v>
      </c>
      <c r="C1833" s="7" t="str">
        <f t="shared" si="86"/>
        <v>La Costa</v>
      </c>
      <c r="D1833" s="18" t="s">
        <v>4747</v>
      </c>
      <c r="E1833" s="18">
        <v>5</v>
      </c>
      <c r="F1833" s="18">
        <v>81</v>
      </c>
      <c r="G1833" s="18">
        <v>18</v>
      </c>
      <c r="H1833" s="18" t="s">
        <v>4732</v>
      </c>
    </row>
    <row r="1834" spans="1:8">
      <c r="A1834" s="7" t="str">
        <f t="shared" si="84"/>
        <v>18</v>
      </c>
      <c r="B1834" s="7" t="str">
        <f t="shared" si="85"/>
        <v>123</v>
      </c>
      <c r="C1834" s="7" t="str">
        <f t="shared" si="86"/>
        <v>La Costa</v>
      </c>
      <c r="D1834" s="18" t="s">
        <v>4748</v>
      </c>
      <c r="E1834" s="18">
        <v>8</v>
      </c>
      <c r="F1834" s="18">
        <v>176</v>
      </c>
      <c r="G1834" s="18">
        <v>18</v>
      </c>
      <c r="H1834" s="18" t="s">
        <v>4732</v>
      </c>
    </row>
    <row r="1835" spans="1:8">
      <c r="A1835" s="7" t="str">
        <f t="shared" si="84"/>
        <v>18</v>
      </c>
      <c r="B1835" s="7" t="str">
        <f t="shared" si="85"/>
        <v>123</v>
      </c>
      <c r="C1835" s="7" t="str">
        <f t="shared" si="86"/>
        <v>La Costa</v>
      </c>
      <c r="D1835" s="18" t="s">
        <v>4749</v>
      </c>
      <c r="E1835" s="18">
        <v>4</v>
      </c>
      <c r="F1835" s="18">
        <v>68</v>
      </c>
      <c r="G1835" s="18">
        <v>18</v>
      </c>
      <c r="H1835" s="18" t="s">
        <v>4732</v>
      </c>
    </row>
    <row r="1836" spans="1:8">
      <c r="A1836" s="7" t="str">
        <f t="shared" si="84"/>
        <v>18</v>
      </c>
      <c r="B1836" s="7" t="str">
        <f t="shared" si="85"/>
        <v>124</v>
      </c>
      <c r="C1836" s="7" t="str">
        <f t="shared" si="86"/>
        <v>Pinamar</v>
      </c>
      <c r="D1836" s="18" t="s">
        <v>4750</v>
      </c>
      <c r="E1836" s="18">
        <v>4</v>
      </c>
      <c r="F1836" s="18">
        <v>96</v>
      </c>
      <c r="G1836" s="18">
        <v>18</v>
      </c>
      <c r="H1836" s="18" t="s">
        <v>2733</v>
      </c>
    </row>
    <row r="1837" spans="1:8">
      <c r="A1837" s="7" t="str">
        <f t="shared" si="84"/>
        <v>18</v>
      </c>
      <c r="B1837" s="7" t="str">
        <f t="shared" si="85"/>
        <v>124</v>
      </c>
      <c r="C1837" s="7" t="str">
        <f t="shared" si="86"/>
        <v>Pinamar</v>
      </c>
      <c r="D1837" s="18" t="s">
        <v>4751</v>
      </c>
      <c r="E1837" s="18">
        <v>4</v>
      </c>
      <c r="F1837" s="18">
        <v>88</v>
      </c>
      <c r="G1837" s="18">
        <v>18</v>
      </c>
      <c r="H1837" s="18" t="s">
        <v>2733</v>
      </c>
    </row>
    <row r="1838" spans="1:8">
      <c r="A1838" s="7" t="str">
        <f t="shared" si="84"/>
        <v>18</v>
      </c>
      <c r="B1838" s="7" t="str">
        <f t="shared" si="85"/>
        <v>104</v>
      </c>
      <c r="C1838" s="7" t="str">
        <f t="shared" si="86"/>
        <v>Tordillo</v>
      </c>
      <c r="D1838" s="18" t="s">
        <v>4144</v>
      </c>
      <c r="E1838" s="18">
        <v>1</v>
      </c>
      <c r="F1838" s="18">
        <v>10</v>
      </c>
      <c r="G1838" s="18">
        <v>18</v>
      </c>
      <c r="H1838" s="18" t="s">
        <v>2427</v>
      </c>
    </row>
    <row r="1839" spans="1:8">
      <c r="A1839" s="7" t="str">
        <f t="shared" si="84"/>
        <v>18</v>
      </c>
      <c r="B1839" s="7" t="str">
        <f t="shared" si="85"/>
        <v>104</v>
      </c>
      <c r="C1839" s="7" t="str">
        <f t="shared" si="86"/>
        <v>Tordillo</v>
      </c>
      <c r="D1839" s="18" t="s">
        <v>4752</v>
      </c>
      <c r="E1839" s="18">
        <v>1</v>
      </c>
      <c r="F1839" s="18">
        <v>19</v>
      </c>
      <c r="G1839" s="18">
        <v>18</v>
      </c>
      <c r="H1839" s="18" t="s">
        <v>2427</v>
      </c>
    </row>
    <row r="1840" spans="1:8">
      <c r="A1840" s="7" t="str">
        <f t="shared" si="84"/>
        <v>18</v>
      </c>
      <c r="B1840" s="7" t="str">
        <f t="shared" si="85"/>
        <v>125</v>
      </c>
      <c r="C1840" s="7" t="str">
        <f t="shared" si="86"/>
        <v>Villa Gesell</v>
      </c>
      <c r="D1840" s="18" t="s">
        <v>4753</v>
      </c>
      <c r="E1840" s="18">
        <v>1</v>
      </c>
      <c r="F1840" s="18">
        <v>25</v>
      </c>
      <c r="G1840" s="18">
        <v>18</v>
      </c>
      <c r="H1840" s="18" t="s">
        <v>2739</v>
      </c>
    </row>
    <row r="1841" spans="1:8">
      <c r="A1841" s="7" t="str">
        <f t="shared" si="84"/>
        <v>18</v>
      </c>
      <c r="B1841" s="7" t="str">
        <f t="shared" si="85"/>
        <v>125</v>
      </c>
      <c r="C1841" s="7" t="str">
        <f t="shared" si="86"/>
        <v>Villa Gesell</v>
      </c>
      <c r="D1841" s="18" t="s">
        <v>4754</v>
      </c>
      <c r="E1841" s="18">
        <v>3</v>
      </c>
      <c r="F1841" s="18">
        <v>47</v>
      </c>
      <c r="G1841" s="18">
        <v>18</v>
      </c>
      <c r="H1841" s="18" t="s">
        <v>2739</v>
      </c>
    </row>
    <row r="1842" spans="1:8">
      <c r="A1842" s="7" t="str">
        <f t="shared" si="84"/>
        <v>18</v>
      </c>
      <c r="B1842" s="7" t="str">
        <f t="shared" si="85"/>
        <v>125</v>
      </c>
      <c r="C1842" s="7" t="str">
        <f t="shared" si="86"/>
        <v>Villa Gesell</v>
      </c>
      <c r="D1842" s="18" t="s">
        <v>4755</v>
      </c>
      <c r="E1842" s="18">
        <v>1</v>
      </c>
      <c r="F1842" s="18">
        <v>15</v>
      </c>
      <c r="G1842" s="18">
        <v>18</v>
      </c>
      <c r="H1842" s="18" t="s">
        <v>2739</v>
      </c>
    </row>
    <row r="1843" spans="1:8">
      <c r="A1843" s="7" t="str">
        <f t="shared" si="84"/>
        <v>18</v>
      </c>
      <c r="B1843" s="7" t="str">
        <f t="shared" si="85"/>
        <v>125</v>
      </c>
      <c r="C1843" s="7" t="str">
        <f t="shared" si="86"/>
        <v>Villa Gesell</v>
      </c>
      <c r="D1843" s="18" t="s">
        <v>4756</v>
      </c>
      <c r="E1843" s="18">
        <v>1</v>
      </c>
      <c r="F1843" s="18">
        <v>15</v>
      </c>
      <c r="G1843" s="18">
        <v>18</v>
      </c>
      <c r="H1843" s="18" t="s">
        <v>2739</v>
      </c>
    </row>
    <row r="1844" spans="1:8">
      <c r="A1844" s="7" t="str">
        <f t="shared" si="84"/>
        <v>18</v>
      </c>
      <c r="B1844" s="7" t="str">
        <f t="shared" si="85"/>
        <v>125</v>
      </c>
      <c r="C1844" s="7" t="str">
        <f t="shared" si="86"/>
        <v>Villa Gesell</v>
      </c>
      <c r="D1844" s="18" t="s">
        <v>4757</v>
      </c>
      <c r="E1844" s="18">
        <v>1</v>
      </c>
      <c r="F1844" s="18">
        <v>16</v>
      </c>
      <c r="G1844" s="18">
        <v>18</v>
      </c>
      <c r="H1844" s="18" t="s">
        <v>2739</v>
      </c>
    </row>
    <row r="1845" spans="1:8">
      <c r="A1845" s="7" t="str">
        <f t="shared" si="84"/>
        <v>18</v>
      </c>
      <c r="B1845" s="7" t="str">
        <f t="shared" si="85"/>
        <v>125</v>
      </c>
      <c r="C1845" s="7" t="str">
        <f t="shared" si="86"/>
        <v>Villa Gesell</v>
      </c>
      <c r="D1845" s="18" t="s">
        <v>4758</v>
      </c>
      <c r="E1845" s="18">
        <v>1</v>
      </c>
      <c r="F1845" s="18">
        <v>10</v>
      </c>
      <c r="G1845" s="18">
        <v>18</v>
      </c>
      <c r="H1845" s="18" t="s">
        <v>2739</v>
      </c>
    </row>
    <row r="1846" spans="1:8">
      <c r="A1846" s="7" t="str">
        <f t="shared" si="84"/>
        <v>18</v>
      </c>
      <c r="B1846" s="7" t="str">
        <f t="shared" si="85"/>
        <v>125</v>
      </c>
      <c r="C1846" s="7" t="str">
        <f t="shared" si="86"/>
        <v>Villa Gesell</v>
      </c>
      <c r="D1846" s="18" t="s">
        <v>4759</v>
      </c>
      <c r="E1846" s="18">
        <v>1</v>
      </c>
      <c r="F1846" s="18">
        <v>40</v>
      </c>
      <c r="G1846" s="18">
        <v>18</v>
      </c>
      <c r="H1846" s="18" t="s">
        <v>2739</v>
      </c>
    </row>
    <row r="1847" spans="1:8">
      <c r="A1847" s="7" t="str">
        <f t="shared" si="84"/>
        <v>18</v>
      </c>
      <c r="B1847" s="7" t="str">
        <f t="shared" si="85"/>
        <v>125</v>
      </c>
      <c r="C1847" s="7" t="str">
        <f t="shared" si="86"/>
        <v>Villa Gesell</v>
      </c>
      <c r="D1847" s="18" t="s">
        <v>4760</v>
      </c>
      <c r="E1847" s="18">
        <v>1</v>
      </c>
      <c r="F1847" s="18">
        <v>16</v>
      </c>
      <c r="G1847" s="18">
        <v>18</v>
      </c>
      <c r="H1847" s="18" t="s">
        <v>2739</v>
      </c>
    </row>
    <row r="1848" spans="1:8">
      <c r="A1848" s="7" t="str">
        <f t="shared" si="84"/>
        <v>18</v>
      </c>
      <c r="B1848" s="7" t="str">
        <f t="shared" si="85"/>
        <v>125</v>
      </c>
      <c r="C1848" s="7" t="str">
        <f t="shared" si="86"/>
        <v>Villa Gesell</v>
      </c>
      <c r="D1848" s="18" t="s">
        <v>4761</v>
      </c>
      <c r="E1848" s="18">
        <v>1</v>
      </c>
      <c r="F1848" s="18">
        <v>9</v>
      </c>
      <c r="G1848" s="18">
        <v>18</v>
      </c>
      <c r="H1848" s="18" t="s">
        <v>2739</v>
      </c>
    </row>
    <row r="1849" spans="1:8">
      <c r="A1849" s="7" t="str">
        <f t="shared" si="84"/>
        <v>18</v>
      </c>
      <c r="B1849" s="7" t="str">
        <f t="shared" si="85"/>
        <v>125</v>
      </c>
      <c r="C1849" s="7" t="str">
        <f t="shared" si="86"/>
        <v>Villa Gesell</v>
      </c>
      <c r="D1849" s="18" t="s">
        <v>4762</v>
      </c>
      <c r="E1849" s="18">
        <v>1</v>
      </c>
      <c r="F1849" s="18">
        <v>10</v>
      </c>
      <c r="G1849" s="18">
        <v>18</v>
      </c>
      <c r="H1849" s="18" t="s">
        <v>2739</v>
      </c>
    </row>
    <row r="1850" spans="1:8">
      <c r="A1850" s="7" t="str">
        <f t="shared" si="84"/>
        <v>19</v>
      </c>
      <c r="B1850" s="7" t="str">
        <f t="shared" si="85"/>
        <v>033</v>
      </c>
      <c r="C1850" s="7" t="str">
        <f t="shared" si="86"/>
        <v>General Alvarado</v>
      </c>
      <c r="D1850" s="18" t="s">
        <v>4763</v>
      </c>
      <c r="E1850" s="18">
        <v>1</v>
      </c>
      <c r="F1850" s="18">
        <v>8</v>
      </c>
      <c r="G1850" s="18">
        <v>19</v>
      </c>
      <c r="H1850" s="18" t="s">
        <v>877</v>
      </c>
    </row>
    <row r="1851" spans="1:8">
      <c r="A1851" s="7" t="str">
        <f t="shared" si="84"/>
        <v>19</v>
      </c>
      <c r="B1851" s="7" t="str">
        <f t="shared" si="85"/>
        <v>033</v>
      </c>
      <c r="C1851" s="7" t="str">
        <f t="shared" si="86"/>
        <v>General Alvarado</v>
      </c>
      <c r="D1851" s="18" t="s">
        <v>4764</v>
      </c>
      <c r="E1851" s="18">
        <v>3</v>
      </c>
      <c r="F1851" s="18">
        <v>58</v>
      </c>
      <c r="G1851" s="18">
        <v>19</v>
      </c>
      <c r="H1851" s="18" t="s">
        <v>877</v>
      </c>
    </row>
    <row r="1852" spans="1:8">
      <c r="A1852" s="7" t="str">
        <f t="shared" si="84"/>
        <v>19</v>
      </c>
      <c r="B1852" s="7" t="str">
        <f t="shared" si="85"/>
        <v>033</v>
      </c>
      <c r="C1852" s="7" t="str">
        <f t="shared" si="86"/>
        <v>General Alvarado</v>
      </c>
      <c r="D1852" s="18" t="s">
        <v>4765</v>
      </c>
      <c r="E1852" s="18">
        <v>2</v>
      </c>
      <c r="F1852" s="18">
        <v>30</v>
      </c>
      <c r="G1852" s="18">
        <v>19</v>
      </c>
      <c r="H1852" s="18" t="s">
        <v>877</v>
      </c>
    </row>
    <row r="1853" spans="1:8">
      <c r="A1853" s="7" t="str">
        <f t="shared" si="84"/>
        <v>19</v>
      </c>
      <c r="B1853" s="7" t="str">
        <f t="shared" si="85"/>
        <v>033</v>
      </c>
      <c r="C1853" s="7" t="str">
        <f t="shared" si="86"/>
        <v>General Alvarado</v>
      </c>
      <c r="D1853" s="18" t="s">
        <v>4766</v>
      </c>
      <c r="E1853" s="18">
        <v>1</v>
      </c>
      <c r="F1853" s="18">
        <v>14</v>
      </c>
      <c r="G1853" s="18">
        <v>19</v>
      </c>
      <c r="H1853" s="18" t="s">
        <v>877</v>
      </c>
    </row>
    <row r="1854" spans="1:8">
      <c r="A1854" s="7" t="str">
        <f t="shared" si="84"/>
        <v>19</v>
      </c>
      <c r="B1854" s="7" t="str">
        <f t="shared" si="85"/>
        <v>033</v>
      </c>
      <c r="C1854" s="7" t="str">
        <f t="shared" si="86"/>
        <v>General Alvarado</v>
      </c>
      <c r="D1854" s="18" t="s">
        <v>4767</v>
      </c>
      <c r="E1854" s="18">
        <v>3</v>
      </c>
      <c r="F1854" s="18">
        <v>0</v>
      </c>
      <c r="G1854" s="18">
        <v>19</v>
      </c>
      <c r="H1854" s="18" t="s">
        <v>877</v>
      </c>
    </row>
    <row r="1855" spans="1:8">
      <c r="A1855" s="7" t="str">
        <f t="shared" si="84"/>
        <v>19</v>
      </c>
      <c r="B1855" s="7" t="str">
        <f t="shared" si="85"/>
        <v>033</v>
      </c>
      <c r="C1855" s="7" t="str">
        <f t="shared" si="86"/>
        <v>General Alvarado</v>
      </c>
      <c r="D1855" s="18" t="s">
        <v>4768</v>
      </c>
      <c r="E1855" s="18">
        <v>1</v>
      </c>
      <c r="F1855" s="18">
        <v>0</v>
      </c>
      <c r="G1855" s="18">
        <v>19</v>
      </c>
      <c r="H1855" s="18" t="s">
        <v>877</v>
      </c>
    </row>
    <row r="1856" spans="1:8">
      <c r="A1856" s="7" t="str">
        <f t="shared" si="84"/>
        <v>19</v>
      </c>
      <c r="B1856" s="7" t="str">
        <f t="shared" si="85"/>
        <v>033</v>
      </c>
      <c r="C1856" s="7" t="str">
        <f t="shared" si="86"/>
        <v>General Alvarado</v>
      </c>
      <c r="D1856" s="18" t="s">
        <v>4769</v>
      </c>
      <c r="E1856" s="18">
        <v>2</v>
      </c>
      <c r="F1856" s="18">
        <v>32</v>
      </c>
      <c r="G1856" s="18">
        <v>19</v>
      </c>
      <c r="H1856" s="18" t="s">
        <v>877</v>
      </c>
    </row>
    <row r="1857" spans="1:8">
      <c r="A1857" s="7" t="str">
        <f t="shared" si="84"/>
        <v>19</v>
      </c>
      <c r="B1857" s="7" t="str">
        <f t="shared" si="85"/>
        <v>033</v>
      </c>
      <c r="C1857" s="7" t="str">
        <f t="shared" si="86"/>
        <v>General Alvarado</v>
      </c>
      <c r="D1857" s="18" t="s">
        <v>4770</v>
      </c>
      <c r="E1857" s="18">
        <v>3</v>
      </c>
      <c r="F1857" s="18">
        <v>45</v>
      </c>
      <c r="G1857" s="18">
        <v>19</v>
      </c>
      <c r="H1857" s="18" t="s">
        <v>877</v>
      </c>
    </row>
    <row r="1858" spans="1:8">
      <c r="A1858" s="7" t="str">
        <f t="shared" si="84"/>
        <v>19</v>
      </c>
      <c r="B1858" s="7" t="str">
        <f t="shared" si="85"/>
        <v>033</v>
      </c>
      <c r="C1858" s="7" t="str">
        <f t="shared" si="86"/>
        <v>General Alvarado</v>
      </c>
      <c r="D1858" s="18" t="s">
        <v>4771</v>
      </c>
      <c r="E1858" s="18">
        <v>1</v>
      </c>
      <c r="F1858" s="18">
        <v>0</v>
      </c>
      <c r="G1858" s="18">
        <v>19</v>
      </c>
      <c r="H1858" s="18" t="s">
        <v>877</v>
      </c>
    </row>
    <row r="1859" spans="1:8">
      <c r="A1859" s="7" t="str">
        <f t="shared" ref="A1859:A1922" si="87">+VLOOKUP(H1859,$K:$N,2,FALSE)</f>
        <v>19</v>
      </c>
      <c r="B1859" s="7" t="str">
        <f t="shared" ref="B1859:B1922" si="88">+VLOOKUP(H1859,$K:$N,3,FALSE)</f>
        <v>033</v>
      </c>
      <c r="C1859" s="7" t="str">
        <f t="shared" ref="C1859:C1922" si="89">+VLOOKUP(H1859,$K:$N,4,FALSE)</f>
        <v>General Alvarado</v>
      </c>
      <c r="D1859" s="18" t="s">
        <v>4772</v>
      </c>
      <c r="E1859" s="18">
        <v>1</v>
      </c>
      <c r="F1859" s="18">
        <v>11</v>
      </c>
      <c r="G1859" s="18">
        <v>19</v>
      </c>
      <c r="H1859" s="18" t="s">
        <v>877</v>
      </c>
    </row>
    <row r="1860" spans="1:8">
      <c r="A1860" s="7" t="str">
        <f t="shared" si="87"/>
        <v>19</v>
      </c>
      <c r="B1860" s="7" t="str">
        <f t="shared" si="88"/>
        <v>033</v>
      </c>
      <c r="C1860" s="7" t="str">
        <f t="shared" si="89"/>
        <v>General Alvarado</v>
      </c>
      <c r="D1860" s="18" t="s">
        <v>3926</v>
      </c>
      <c r="E1860" s="18">
        <v>1</v>
      </c>
      <c r="F1860" s="18">
        <v>19</v>
      </c>
      <c r="G1860" s="18">
        <v>19</v>
      </c>
      <c r="H1860" s="18" t="s">
        <v>877</v>
      </c>
    </row>
    <row r="1861" spans="1:8">
      <c r="A1861" s="7" t="str">
        <f t="shared" si="87"/>
        <v>19</v>
      </c>
      <c r="B1861" s="7" t="str">
        <f t="shared" si="88"/>
        <v>043</v>
      </c>
      <c r="C1861" s="7" t="str">
        <f t="shared" si="89"/>
        <v>General Pueyrredón</v>
      </c>
      <c r="D1861" s="18" t="s">
        <v>4774</v>
      </c>
      <c r="E1861" s="18">
        <v>1</v>
      </c>
      <c r="F1861" s="18">
        <v>11</v>
      </c>
      <c r="G1861" s="18">
        <v>19</v>
      </c>
      <c r="H1861" s="18" t="s">
        <v>4773</v>
      </c>
    </row>
    <row r="1862" spans="1:8">
      <c r="A1862" s="7" t="str">
        <f t="shared" si="87"/>
        <v>19</v>
      </c>
      <c r="B1862" s="7" t="str">
        <f t="shared" si="88"/>
        <v>043</v>
      </c>
      <c r="C1862" s="7" t="str">
        <f t="shared" si="89"/>
        <v>General Pueyrredón</v>
      </c>
      <c r="D1862" s="18" t="s">
        <v>4775</v>
      </c>
      <c r="E1862" s="18">
        <v>1</v>
      </c>
      <c r="F1862" s="18">
        <v>14</v>
      </c>
      <c r="G1862" s="18">
        <v>19</v>
      </c>
      <c r="H1862" s="18" t="s">
        <v>4773</v>
      </c>
    </row>
    <row r="1863" spans="1:8">
      <c r="A1863" s="7" t="str">
        <f t="shared" si="87"/>
        <v>19</v>
      </c>
      <c r="B1863" s="7" t="str">
        <f t="shared" si="88"/>
        <v>043</v>
      </c>
      <c r="C1863" s="7" t="str">
        <f t="shared" si="89"/>
        <v>General Pueyrredón</v>
      </c>
      <c r="D1863" s="18" t="s">
        <v>4776</v>
      </c>
      <c r="E1863" s="18">
        <v>2</v>
      </c>
      <c r="F1863" s="18">
        <v>68</v>
      </c>
      <c r="G1863" s="18">
        <v>19</v>
      </c>
      <c r="H1863" s="18" t="s">
        <v>4773</v>
      </c>
    </row>
    <row r="1864" spans="1:8">
      <c r="A1864" s="7" t="str">
        <f t="shared" si="87"/>
        <v>19</v>
      </c>
      <c r="B1864" s="7" t="str">
        <f t="shared" si="88"/>
        <v>043</v>
      </c>
      <c r="C1864" s="7" t="str">
        <f t="shared" si="89"/>
        <v>General Pueyrredón</v>
      </c>
      <c r="D1864" s="18" t="s">
        <v>4777</v>
      </c>
      <c r="E1864" s="18">
        <v>3</v>
      </c>
      <c r="F1864" s="18">
        <v>114</v>
      </c>
      <c r="G1864" s="18">
        <v>19</v>
      </c>
      <c r="H1864" s="18" t="s">
        <v>4773</v>
      </c>
    </row>
    <row r="1865" spans="1:8">
      <c r="A1865" s="7" t="str">
        <f t="shared" si="87"/>
        <v>19</v>
      </c>
      <c r="B1865" s="7" t="str">
        <f t="shared" si="88"/>
        <v>043</v>
      </c>
      <c r="C1865" s="7" t="str">
        <f t="shared" si="89"/>
        <v>General Pueyrredón</v>
      </c>
      <c r="D1865" s="18" t="s">
        <v>4778</v>
      </c>
      <c r="E1865" s="18">
        <v>1</v>
      </c>
      <c r="F1865" s="18">
        <v>20</v>
      </c>
      <c r="G1865" s="18">
        <v>19</v>
      </c>
      <c r="H1865" s="18" t="s">
        <v>4773</v>
      </c>
    </row>
    <row r="1866" spans="1:8">
      <c r="A1866" s="7" t="str">
        <f t="shared" si="87"/>
        <v>19</v>
      </c>
      <c r="B1866" s="7" t="str">
        <f t="shared" si="88"/>
        <v>043</v>
      </c>
      <c r="C1866" s="7" t="str">
        <f t="shared" si="89"/>
        <v>General Pueyrredón</v>
      </c>
      <c r="D1866" s="18" t="s">
        <v>4779</v>
      </c>
      <c r="E1866" s="18">
        <v>1</v>
      </c>
      <c r="F1866" s="18">
        <v>0</v>
      </c>
      <c r="G1866" s="18">
        <v>19</v>
      </c>
      <c r="H1866" s="18" t="s">
        <v>4773</v>
      </c>
    </row>
    <row r="1867" spans="1:8">
      <c r="A1867" s="7" t="str">
        <f t="shared" si="87"/>
        <v>19</v>
      </c>
      <c r="B1867" s="7" t="str">
        <f t="shared" si="88"/>
        <v>043</v>
      </c>
      <c r="C1867" s="7" t="str">
        <f t="shared" si="89"/>
        <v>General Pueyrredón</v>
      </c>
      <c r="D1867" s="18" t="s">
        <v>4780</v>
      </c>
      <c r="E1867" s="18">
        <v>1</v>
      </c>
      <c r="F1867" s="18">
        <v>13</v>
      </c>
      <c r="G1867" s="18">
        <v>19</v>
      </c>
      <c r="H1867" s="18" t="s">
        <v>4773</v>
      </c>
    </row>
    <row r="1868" spans="1:8">
      <c r="A1868" s="7" t="str">
        <f t="shared" si="87"/>
        <v>19</v>
      </c>
      <c r="B1868" s="7" t="str">
        <f t="shared" si="88"/>
        <v>043</v>
      </c>
      <c r="C1868" s="7" t="str">
        <f t="shared" si="89"/>
        <v>General Pueyrredón</v>
      </c>
      <c r="D1868" s="18" t="s">
        <v>4781</v>
      </c>
      <c r="E1868" s="18">
        <v>1</v>
      </c>
      <c r="F1868" s="18">
        <v>0</v>
      </c>
      <c r="G1868" s="18">
        <v>19</v>
      </c>
      <c r="H1868" s="18" t="s">
        <v>4773</v>
      </c>
    </row>
    <row r="1869" spans="1:8">
      <c r="A1869" s="7" t="str">
        <f t="shared" si="87"/>
        <v>19</v>
      </c>
      <c r="B1869" s="7" t="str">
        <f t="shared" si="88"/>
        <v>043</v>
      </c>
      <c r="C1869" s="7" t="str">
        <f t="shared" si="89"/>
        <v>General Pueyrredón</v>
      </c>
      <c r="D1869" s="18" t="s">
        <v>4782</v>
      </c>
      <c r="E1869" s="18">
        <v>1</v>
      </c>
      <c r="F1869" s="18">
        <v>13</v>
      </c>
      <c r="G1869" s="18">
        <v>19</v>
      </c>
      <c r="H1869" s="18" t="s">
        <v>4773</v>
      </c>
    </row>
    <row r="1870" spans="1:8">
      <c r="A1870" s="7" t="str">
        <f t="shared" si="87"/>
        <v>19</v>
      </c>
      <c r="B1870" s="7" t="str">
        <f t="shared" si="88"/>
        <v>043</v>
      </c>
      <c r="C1870" s="7" t="str">
        <f t="shared" si="89"/>
        <v>General Pueyrredón</v>
      </c>
      <c r="D1870" s="18" t="s">
        <v>4783</v>
      </c>
      <c r="E1870" s="18">
        <v>1</v>
      </c>
      <c r="F1870" s="18">
        <v>16</v>
      </c>
      <c r="G1870" s="18">
        <v>19</v>
      </c>
      <c r="H1870" s="18" t="s">
        <v>4773</v>
      </c>
    </row>
    <row r="1871" spans="1:8">
      <c r="A1871" s="7" t="str">
        <f t="shared" si="87"/>
        <v>19</v>
      </c>
      <c r="B1871" s="7" t="str">
        <f t="shared" si="88"/>
        <v>043</v>
      </c>
      <c r="C1871" s="7" t="str">
        <f t="shared" si="89"/>
        <v>General Pueyrredón</v>
      </c>
      <c r="D1871" s="18" t="s">
        <v>4784</v>
      </c>
      <c r="E1871" s="18">
        <v>1</v>
      </c>
      <c r="F1871" s="18">
        <v>27</v>
      </c>
      <c r="G1871" s="18">
        <v>19</v>
      </c>
      <c r="H1871" s="18" t="s">
        <v>4773</v>
      </c>
    </row>
    <row r="1872" spans="1:8">
      <c r="A1872" s="7" t="str">
        <f t="shared" si="87"/>
        <v>19</v>
      </c>
      <c r="B1872" s="7" t="str">
        <f t="shared" si="88"/>
        <v>043</v>
      </c>
      <c r="C1872" s="7" t="str">
        <f t="shared" si="89"/>
        <v>General Pueyrredón</v>
      </c>
      <c r="D1872" s="18" t="s">
        <v>4785</v>
      </c>
      <c r="E1872" s="18">
        <v>1</v>
      </c>
      <c r="F1872" s="18">
        <v>25</v>
      </c>
      <c r="G1872" s="18">
        <v>19</v>
      </c>
      <c r="H1872" s="18" t="s">
        <v>4773</v>
      </c>
    </row>
    <row r="1873" spans="1:8">
      <c r="A1873" s="7" t="str">
        <f t="shared" si="87"/>
        <v>19</v>
      </c>
      <c r="B1873" s="7" t="str">
        <f t="shared" si="88"/>
        <v>043</v>
      </c>
      <c r="C1873" s="7" t="str">
        <f t="shared" si="89"/>
        <v>General Pueyrredón</v>
      </c>
      <c r="D1873" s="18" t="s">
        <v>4786</v>
      </c>
      <c r="E1873" s="18">
        <v>1</v>
      </c>
      <c r="F1873" s="18">
        <v>0</v>
      </c>
      <c r="G1873" s="18">
        <v>19</v>
      </c>
      <c r="H1873" s="18" t="s">
        <v>4773</v>
      </c>
    </row>
    <row r="1874" spans="1:8">
      <c r="A1874" s="7" t="str">
        <f t="shared" si="87"/>
        <v>19</v>
      </c>
      <c r="B1874" s="7" t="str">
        <f t="shared" si="88"/>
        <v>043</v>
      </c>
      <c r="C1874" s="7" t="str">
        <f t="shared" si="89"/>
        <v>General Pueyrredón</v>
      </c>
      <c r="D1874" s="18" t="s">
        <v>653</v>
      </c>
      <c r="E1874" s="18">
        <v>1</v>
      </c>
      <c r="F1874" s="18">
        <v>21</v>
      </c>
      <c r="G1874" s="18">
        <v>19</v>
      </c>
      <c r="H1874" s="18" t="s">
        <v>4773</v>
      </c>
    </row>
    <row r="1875" spans="1:8">
      <c r="A1875" s="7" t="str">
        <f t="shared" si="87"/>
        <v>19</v>
      </c>
      <c r="B1875" s="7" t="str">
        <f t="shared" si="88"/>
        <v>043</v>
      </c>
      <c r="C1875" s="7" t="str">
        <f t="shared" si="89"/>
        <v>General Pueyrredón</v>
      </c>
      <c r="D1875" s="18" t="s">
        <v>4787</v>
      </c>
      <c r="E1875" s="18">
        <v>1</v>
      </c>
      <c r="F1875" s="18">
        <v>26</v>
      </c>
      <c r="G1875" s="18">
        <v>19</v>
      </c>
      <c r="H1875" s="18" t="s">
        <v>4773</v>
      </c>
    </row>
    <row r="1876" spans="1:8">
      <c r="A1876" s="7" t="str">
        <f t="shared" si="87"/>
        <v>19</v>
      </c>
      <c r="B1876" s="7" t="str">
        <f t="shared" si="88"/>
        <v>043</v>
      </c>
      <c r="C1876" s="7" t="str">
        <f t="shared" si="89"/>
        <v>General Pueyrredón</v>
      </c>
      <c r="D1876" s="18" t="s">
        <v>4788</v>
      </c>
      <c r="E1876" s="18">
        <v>1</v>
      </c>
      <c r="F1876" s="18">
        <v>0</v>
      </c>
      <c r="G1876" s="18">
        <v>19</v>
      </c>
      <c r="H1876" s="18" t="s">
        <v>4773</v>
      </c>
    </row>
    <row r="1877" spans="1:8">
      <c r="A1877" s="7" t="str">
        <f t="shared" si="87"/>
        <v>19</v>
      </c>
      <c r="B1877" s="7" t="str">
        <f t="shared" si="88"/>
        <v>043</v>
      </c>
      <c r="C1877" s="7" t="str">
        <f t="shared" si="89"/>
        <v>General Pueyrredón</v>
      </c>
      <c r="D1877" s="18" t="s">
        <v>4789</v>
      </c>
      <c r="E1877" s="18">
        <v>10</v>
      </c>
      <c r="F1877" s="18">
        <v>221</v>
      </c>
      <c r="G1877" s="18">
        <v>19</v>
      </c>
      <c r="H1877" s="18" t="s">
        <v>4773</v>
      </c>
    </row>
    <row r="1878" spans="1:8">
      <c r="A1878" s="7" t="str">
        <f t="shared" si="87"/>
        <v>19</v>
      </c>
      <c r="B1878" s="7" t="str">
        <f t="shared" si="88"/>
        <v>043</v>
      </c>
      <c r="C1878" s="7" t="str">
        <f t="shared" si="89"/>
        <v>General Pueyrredón</v>
      </c>
      <c r="D1878" s="18" t="s">
        <v>4790</v>
      </c>
      <c r="E1878" s="18">
        <v>1</v>
      </c>
      <c r="F1878" s="18">
        <v>17</v>
      </c>
      <c r="G1878" s="18">
        <v>19</v>
      </c>
      <c r="H1878" s="18" t="s">
        <v>4773</v>
      </c>
    </row>
    <row r="1879" spans="1:8">
      <c r="A1879" s="7" t="str">
        <f t="shared" si="87"/>
        <v>19</v>
      </c>
      <c r="B1879" s="7" t="str">
        <f t="shared" si="88"/>
        <v>043</v>
      </c>
      <c r="C1879" s="7" t="str">
        <f t="shared" si="89"/>
        <v>General Pueyrredón</v>
      </c>
      <c r="D1879" s="18" t="s">
        <v>4791</v>
      </c>
      <c r="E1879" s="18">
        <v>2</v>
      </c>
      <c r="F1879" s="18">
        <v>43</v>
      </c>
      <c r="G1879" s="18">
        <v>19</v>
      </c>
      <c r="H1879" s="18" t="s">
        <v>4773</v>
      </c>
    </row>
    <row r="1880" spans="1:8">
      <c r="A1880" s="7" t="str">
        <f t="shared" si="87"/>
        <v>19</v>
      </c>
      <c r="B1880" s="7" t="str">
        <f t="shared" si="88"/>
        <v>043</v>
      </c>
      <c r="C1880" s="7" t="str">
        <f t="shared" si="89"/>
        <v>General Pueyrredón</v>
      </c>
      <c r="D1880" s="18" t="s">
        <v>4792</v>
      </c>
      <c r="E1880" s="18">
        <v>2</v>
      </c>
      <c r="F1880" s="18">
        <v>30</v>
      </c>
      <c r="G1880" s="18">
        <v>19</v>
      </c>
      <c r="H1880" s="18" t="s">
        <v>4773</v>
      </c>
    </row>
    <row r="1881" spans="1:8">
      <c r="A1881" s="7" t="str">
        <f t="shared" si="87"/>
        <v>19</v>
      </c>
      <c r="B1881" s="7" t="str">
        <f t="shared" si="88"/>
        <v>043</v>
      </c>
      <c r="C1881" s="7" t="str">
        <f t="shared" si="89"/>
        <v>General Pueyrredón</v>
      </c>
      <c r="D1881" s="18" t="s">
        <v>4793</v>
      </c>
      <c r="E1881" s="18">
        <v>1</v>
      </c>
      <c r="F1881" s="18">
        <v>23</v>
      </c>
      <c r="G1881" s="18">
        <v>19</v>
      </c>
      <c r="H1881" s="18" t="s">
        <v>4773</v>
      </c>
    </row>
    <row r="1882" spans="1:8">
      <c r="A1882" s="7" t="str">
        <f t="shared" si="87"/>
        <v>19</v>
      </c>
      <c r="B1882" s="7" t="str">
        <f t="shared" si="88"/>
        <v>043</v>
      </c>
      <c r="C1882" s="7" t="str">
        <f t="shared" si="89"/>
        <v>General Pueyrredón</v>
      </c>
      <c r="D1882" s="18" t="s">
        <v>4794</v>
      </c>
      <c r="E1882" s="18">
        <v>1</v>
      </c>
      <c r="F1882" s="18">
        <v>11</v>
      </c>
      <c r="G1882" s="18">
        <v>19</v>
      </c>
      <c r="H1882" s="18" t="s">
        <v>4773</v>
      </c>
    </row>
    <row r="1883" spans="1:8">
      <c r="A1883" s="7" t="str">
        <f t="shared" si="87"/>
        <v>19</v>
      </c>
      <c r="B1883" s="7" t="str">
        <f t="shared" si="88"/>
        <v>043</v>
      </c>
      <c r="C1883" s="7" t="str">
        <f t="shared" si="89"/>
        <v>General Pueyrredón</v>
      </c>
      <c r="D1883" s="18" t="s">
        <v>4795</v>
      </c>
      <c r="E1883" s="18">
        <v>2</v>
      </c>
      <c r="F1883" s="18">
        <v>0</v>
      </c>
      <c r="G1883" s="18">
        <v>19</v>
      </c>
      <c r="H1883" s="18" t="s">
        <v>4773</v>
      </c>
    </row>
    <row r="1884" spans="1:8">
      <c r="A1884" s="7" t="str">
        <f t="shared" si="87"/>
        <v>19</v>
      </c>
      <c r="B1884" s="7" t="str">
        <f t="shared" si="88"/>
        <v>043</v>
      </c>
      <c r="C1884" s="7" t="str">
        <f t="shared" si="89"/>
        <v>General Pueyrredón</v>
      </c>
      <c r="D1884" s="18" t="s">
        <v>4796</v>
      </c>
      <c r="E1884" s="18">
        <v>1</v>
      </c>
      <c r="F1884" s="18">
        <v>13</v>
      </c>
      <c r="G1884" s="18">
        <v>19</v>
      </c>
      <c r="H1884" s="18" t="s">
        <v>4773</v>
      </c>
    </row>
    <row r="1885" spans="1:8">
      <c r="A1885" s="7" t="str">
        <f t="shared" si="87"/>
        <v>19</v>
      </c>
      <c r="B1885" s="7" t="str">
        <f t="shared" si="88"/>
        <v>043</v>
      </c>
      <c r="C1885" s="7" t="str">
        <f t="shared" si="89"/>
        <v>General Pueyrredón</v>
      </c>
      <c r="D1885" s="18" t="s">
        <v>4797</v>
      </c>
      <c r="E1885" s="18">
        <v>1</v>
      </c>
      <c r="F1885" s="18">
        <v>18</v>
      </c>
      <c r="G1885" s="18">
        <v>19</v>
      </c>
      <c r="H1885" s="18" t="s">
        <v>4773</v>
      </c>
    </row>
    <row r="1886" spans="1:8">
      <c r="A1886" s="7" t="str">
        <f t="shared" si="87"/>
        <v>19</v>
      </c>
      <c r="B1886" s="7" t="str">
        <f t="shared" si="88"/>
        <v>043</v>
      </c>
      <c r="C1886" s="7" t="str">
        <f t="shared" si="89"/>
        <v>General Pueyrredón</v>
      </c>
      <c r="D1886" s="18" t="s">
        <v>4798</v>
      </c>
      <c r="E1886" s="18">
        <v>4</v>
      </c>
      <c r="F1886" s="18">
        <v>106</v>
      </c>
      <c r="G1886" s="18">
        <v>19</v>
      </c>
      <c r="H1886" s="18" t="s">
        <v>4773</v>
      </c>
    </row>
    <row r="1887" spans="1:8">
      <c r="A1887" s="7" t="str">
        <f t="shared" si="87"/>
        <v>19</v>
      </c>
      <c r="B1887" s="7" t="str">
        <f t="shared" si="88"/>
        <v>043</v>
      </c>
      <c r="C1887" s="7" t="str">
        <f t="shared" si="89"/>
        <v>General Pueyrredón</v>
      </c>
      <c r="D1887" s="18" t="s">
        <v>4799</v>
      </c>
      <c r="E1887" s="18">
        <v>1</v>
      </c>
      <c r="F1887" s="18">
        <v>38</v>
      </c>
      <c r="G1887" s="18">
        <v>19</v>
      </c>
      <c r="H1887" s="18" t="s">
        <v>4773</v>
      </c>
    </row>
    <row r="1888" spans="1:8">
      <c r="A1888" s="7" t="str">
        <f t="shared" si="87"/>
        <v>19</v>
      </c>
      <c r="B1888" s="7" t="str">
        <f t="shared" si="88"/>
        <v>043</v>
      </c>
      <c r="C1888" s="7" t="str">
        <f t="shared" si="89"/>
        <v>General Pueyrredón</v>
      </c>
      <c r="D1888" s="18" t="s">
        <v>4800</v>
      </c>
      <c r="E1888" s="18">
        <v>1</v>
      </c>
      <c r="F1888" s="18">
        <v>0</v>
      </c>
      <c r="G1888" s="18">
        <v>19</v>
      </c>
      <c r="H1888" s="18" t="s">
        <v>4773</v>
      </c>
    </row>
    <row r="1889" spans="1:8">
      <c r="A1889" s="7" t="str">
        <f t="shared" si="87"/>
        <v>19</v>
      </c>
      <c r="B1889" s="7" t="str">
        <f t="shared" si="88"/>
        <v>043</v>
      </c>
      <c r="C1889" s="7" t="str">
        <f t="shared" si="89"/>
        <v>General Pueyrredón</v>
      </c>
      <c r="D1889" s="18" t="s">
        <v>4801</v>
      </c>
      <c r="E1889" s="18">
        <v>1</v>
      </c>
      <c r="F1889" s="18">
        <v>15</v>
      </c>
      <c r="G1889" s="18">
        <v>19</v>
      </c>
      <c r="H1889" s="18" t="s">
        <v>4773</v>
      </c>
    </row>
    <row r="1890" spans="1:8">
      <c r="A1890" s="7" t="str">
        <f t="shared" si="87"/>
        <v>19</v>
      </c>
      <c r="B1890" s="7" t="str">
        <f t="shared" si="88"/>
        <v>043</v>
      </c>
      <c r="C1890" s="7" t="str">
        <f t="shared" si="89"/>
        <v>General Pueyrredón</v>
      </c>
      <c r="D1890" s="18" t="s">
        <v>4802</v>
      </c>
      <c r="E1890" s="18">
        <v>1</v>
      </c>
      <c r="F1890" s="18">
        <v>0</v>
      </c>
      <c r="G1890" s="18">
        <v>19</v>
      </c>
      <c r="H1890" s="18" t="s">
        <v>4773</v>
      </c>
    </row>
    <row r="1891" spans="1:8">
      <c r="A1891" s="7" t="str">
        <f t="shared" si="87"/>
        <v>19</v>
      </c>
      <c r="B1891" s="7" t="str">
        <f t="shared" si="88"/>
        <v>043</v>
      </c>
      <c r="C1891" s="7" t="str">
        <f t="shared" si="89"/>
        <v>General Pueyrredón</v>
      </c>
      <c r="D1891" s="18" t="s">
        <v>4803</v>
      </c>
      <c r="E1891" s="18">
        <v>1</v>
      </c>
      <c r="F1891" s="18">
        <v>16</v>
      </c>
      <c r="G1891" s="18">
        <v>19</v>
      </c>
      <c r="H1891" s="18" t="s">
        <v>4773</v>
      </c>
    </row>
    <row r="1892" spans="1:8">
      <c r="A1892" s="7" t="str">
        <f t="shared" si="87"/>
        <v>19</v>
      </c>
      <c r="B1892" s="7" t="str">
        <f t="shared" si="88"/>
        <v>043</v>
      </c>
      <c r="C1892" s="7" t="str">
        <f t="shared" si="89"/>
        <v>General Pueyrredón</v>
      </c>
      <c r="D1892" s="18" t="s">
        <v>4804</v>
      </c>
      <c r="E1892" s="18">
        <v>3</v>
      </c>
      <c r="F1892" s="18">
        <v>65</v>
      </c>
      <c r="G1892" s="18">
        <v>19</v>
      </c>
      <c r="H1892" s="18" t="s">
        <v>4773</v>
      </c>
    </row>
    <row r="1893" spans="1:8">
      <c r="A1893" s="7" t="str">
        <f t="shared" si="87"/>
        <v>19</v>
      </c>
      <c r="B1893" s="7" t="str">
        <f t="shared" si="88"/>
        <v>043</v>
      </c>
      <c r="C1893" s="7" t="str">
        <f t="shared" si="89"/>
        <v>General Pueyrredón</v>
      </c>
      <c r="D1893" s="18" t="s">
        <v>4805</v>
      </c>
      <c r="E1893" s="18">
        <v>3</v>
      </c>
      <c r="F1893" s="18">
        <v>77</v>
      </c>
      <c r="G1893" s="18">
        <v>19</v>
      </c>
      <c r="H1893" s="18" t="s">
        <v>4773</v>
      </c>
    </row>
    <row r="1894" spans="1:8">
      <c r="A1894" s="7" t="str">
        <f t="shared" si="87"/>
        <v>19</v>
      </c>
      <c r="B1894" s="7" t="str">
        <f t="shared" si="88"/>
        <v>043</v>
      </c>
      <c r="C1894" s="7" t="str">
        <f t="shared" si="89"/>
        <v>General Pueyrredón</v>
      </c>
      <c r="D1894" s="18" t="s">
        <v>4806</v>
      </c>
      <c r="E1894" s="18">
        <v>1</v>
      </c>
      <c r="F1894" s="18">
        <v>31</v>
      </c>
      <c r="G1894" s="18">
        <v>19</v>
      </c>
      <c r="H1894" s="18" t="s">
        <v>4773</v>
      </c>
    </row>
    <row r="1895" spans="1:8">
      <c r="A1895" s="7" t="str">
        <f t="shared" si="87"/>
        <v>19</v>
      </c>
      <c r="B1895" s="7" t="str">
        <f t="shared" si="88"/>
        <v>043</v>
      </c>
      <c r="C1895" s="7" t="str">
        <f t="shared" si="89"/>
        <v>General Pueyrredón</v>
      </c>
      <c r="D1895" s="18" t="s">
        <v>4807</v>
      </c>
      <c r="E1895" s="18">
        <v>2</v>
      </c>
      <c r="F1895" s="18">
        <v>23</v>
      </c>
      <c r="G1895" s="18">
        <v>19</v>
      </c>
      <c r="H1895" s="18" t="s">
        <v>4773</v>
      </c>
    </row>
    <row r="1896" spans="1:8">
      <c r="A1896" s="7" t="str">
        <f t="shared" si="87"/>
        <v>19</v>
      </c>
      <c r="B1896" s="7" t="str">
        <f t="shared" si="88"/>
        <v>043</v>
      </c>
      <c r="C1896" s="7" t="str">
        <f t="shared" si="89"/>
        <v>General Pueyrredón</v>
      </c>
      <c r="D1896" s="18" t="s">
        <v>4808</v>
      </c>
      <c r="E1896" s="18">
        <v>1</v>
      </c>
      <c r="F1896" s="18">
        <v>13</v>
      </c>
      <c r="G1896" s="18">
        <v>19</v>
      </c>
      <c r="H1896" s="18" t="s">
        <v>4773</v>
      </c>
    </row>
    <row r="1897" spans="1:8">
      <c r="A1897" s="7" t="str">
        <f t="shared" si="87"/>
        <v>19</v>
      </c>
      <c r="B1897" s="7" t="str">
        <f t="shared" si="88"/>
        <v>043</v>
      </c>
      <c r="C1897" s="7" t="str">
        <f t="shared" si="89"/>
        <v>General Pueyrredón</v>
      </c>
      <c r="D1897" s="18" t="s">
        <v>4809</v>
      </c>
      <c r="E1897" s="18">
        <v>3</v>
      </c>
      <c r="F1897" s="18">
        <v>71</v>
      </c>
      <c r="G1897" s="18">
        <v>19</v>
      </c>
      <c r="H1897" s="18" t="s">
        <v>4773</v>
      </c>
    </row>
    <row r="1898" spans="1:8">
      <c r="A1898" s="7" t="str">
        <f t="shared" si="87"/>
        <v>19</v>
      </c>
      <c r="B1898" s="7" t="str">
        <f t="shared" si="88"/>
        <v>043</v>
      </c>
      <c r="C1898" s="7" t="str">
        <f t="shared" si="89"/>
        <v>General Pueyrredón</v>
      </c>
      <c r="D1898" s="18" t="s">
        <v>4810</v>
      </c>
      <c r="E1898" s="18">
        <v>1</v>
      </c>
      <c r="F1898" s="18">
        <v>31</v>
      </c>
      <c r="G1898" s="18">
        <v>19</v>
      </c>
      <c r="H1898" s="18" t="s">
        <v>4773</v>
      </c>
    </row>
    <row r="1899" spans="1:8">
      <c r="A1899" s="7" t="str">
        <f t="shared" si="87"/>
        <v>19</v>
      </c>
      <c r="B1899" s="7" t="str">
        <f t="shared" si="88"/>
        <v>043</v>
      </c>
      <c r="C1899" s="7" t="str">
        <f t="shared" si="89"/>
        <v>General Pueyrredón</v>
      </c>
      <c r="D1899" s="18" t="s">
        <v>4811</v>
      </c>
      <c r="E1899" s="18">
        <v>1</v>
      </c>
      <c r="F1899" s="18">
        <v>18</v>
      </c>
      <c r="G1899" s="18">
        <v>19</v>
      </c>
      <c r="H1899" s="18" t="s">
        <v>4773</v>
      </c>
    </row>
    <row r="1900" spans="1:8">
      <c r="A1900" s="7" t="str">
        <f t="shared" si="87"/>
        <v>19</v>
      </c>
      <c r="B1900" s="7" t="str">
        <f t="shared" si="88"/>
        <v>043</v>
      </c>
      <c r="C1900" s="7" t="str">
        <f t="shared" si="89"/>
        <v>General Pueyrredón</v>
      </c>
      <c r="D1900" s="18" t="s">
        <v>4812</v>
      </c>
      <c r="E1900" s="18">
        <v>1</v>
      </c>
      <c r="F1900" s="18">
        <v>17</v>
      </c>
      <c r="G1900" s="18">
        <v>19</v>
      </c>
      <c r="H1900" s="18" t="s">
        <v>4773</v>
      </c>
    </row>
    <row r="1901" spans="1:8">
      <c r="A1901" s="7" t="str">
        <f t="shared" si="87"/>
        <v>19</v>
      </c>
      <c r="B1901" s="7" t="str">
        <f t="shared" si="88"/>
        <v>043</v>
      </c>
      <c r="C1901" s="7" t="str">
        <f t="shared" si="89"/>
        <v>General Pueyrredón</v>
      </c>
      <c r="D1901" s="18" t="s">
        <v>4813</v>
      </c>
      <c r="E1901" s="18">
        <v>1</v>
      </c>
      <c r="F1901" s="18">
        <v>24</v>
      </c>
      <c r="G1901" s="18">
        <v>19</v>
      </c>
      <c r="H1901" s="18" t="s">
        <v>4773</v>
      </c>
    </row>
    <row r="1902" spans="1:8">
      <c r="A1902" s="7" t="str">
        <f t="shared" si="87"/>
        <v>19</v>
      </c>
      <c r="B1902" s="7" t="str">
        <f t="shared" si="88"/>
        <v>043</v>
      </c>
      <c r="C1902" s="7" t="str">
        <f t="shared" si="89"/>
        <v>General Pueyrredón</v>
      </c>
      <c r="D1902" s="18" t="s">
        <v>4814</v>
      </c>
      <c r="E1902" s="18">
        <v>1</v>
      </c>
      <c r="F1902" s="18">
        <v>14</v>
      </c>
      <c r="G1902" s="18">
        <v>19</v>
      </c>
      <c r="H1902" s="18" t="s">
        <v>4773</v>
      </c>
    </row>
    <row r="1903" spans="1:8">
      <c r="A1903" s="7" t="str">
        <f t="shared" si="87"/>
        <v>19</v>
      </c>
      <c r="B1903" s="7" t="str">
        <f t="shared" si="88"/>
        <v>043</v>
      </c>
      <c r="C1903" s="7" t="str">
        <f t="shared" si="89"/>
        <v>General Pueyrredón</v>
      </c>
      <c r="D1903" s="18" t="s">
        <v>4815</v>
      </c>
      <c r="E1903" s="18">
        <v>1</v>
      </c>
      <c r="F1903" s="18">
        <v>8</v>
      </c>
      <c r="G1903" s="18">
        <v>19</v>
      </c>
      <c r="H1903" s="18" t="s">
        <v>4773</v>
      </c>
    </row>
    <row r="1904" spans="1:8">
      <c r="A1904" s="7" t="str">
        <f t="shared" si="87"/>
        <v>19</v>
      </c>
      <c r="B1904" s="7" t="str">
        <f t="shared" si="88"/>
        <v>043</v>
      </c>
      <c r="C1904" s="7" t="str">
        <f t="shared" si="89"/>
        <v>General Pueyrredón</v>
      </c>
      <c r="D1904" s="18" t="s">
        <v>4816</v>
      </c>
      <c r="E1904" s="18">
        <v>1</v>
      </c>
      <c r="F1904" s="18">
        <v>14</v>
      </c>
      <c r="G1904" s="18">
        <v>19</v>
      </c>
      <c r="H1904" s="18" t="s">
        <v>4773</v>
      </c>
    </row>
    <row r="1905" spans="1:8">
      <c r="A1905" s="7" t="str">
        <f t="shared" si="87"/>
        <v>19</v>
      </c>
      <c r="B1905" s="7" t="str">
        <f t="shared" si="88"/>
        <v>043</v>
      </c>
      <c r="C1905" s="7" t="str">
        <f t="shared" si="89"/>
        <v>General Pueyrredón</v>
      </c>
      <c r="D1905" s="18" t="s">
        <v>4817</v>
      </c>
      <c r="E1905" s="18">
        <v>2</v>
      </c>
      <c r="F1905" s="18">
        <v>40</v>
      </c>
      <c r="G1905" s="18">
        <v>19</v>
      </c>
      <c r="H1905" s="18" t="s">
        <v>4773</v>
      </c>
    </row>
    <row r="1906" spans="1:8">
      <c r="A1906" s="7" t="str">
        <f t="shared" si="87"/>
        <v>19</v>
      </c>
      <c r="B1906" s="7" t="str">
        <f t="shared" si="88"/>
        <v>043</v>
      </c>
      <c r="C1906" s="7" t="str">
        <f t="shared" si="89"/>
        <v>General Pueyrredón</v>
      </c>
      <c r="D1906" s="18" t="s">
        <v>4818</v>
      </c>
      <c r="E1906" s="18">
        <v>1</v>
      </c>
      <c r="F1906" s="18">
        <v>21</v>
      </c>
      <c r="G1906" s="18">
        <v>19</v>
      </c>
      <c r="H1906" s="18" t="s">
        <v>4773</v>
      </c>
    </row>
    <row r="1907" spans="1:8">
      <c r="A1907" s="7" t="str">
        <f t="shared" si="87"/>
        <v>19</v>
      </c>
      <c r="B1907" s="7" t="str">
        <f t="shared" si="88"/>
        <v>043</v>
      </c>
      <c r="C1907" s="7" t="str">
        <f t="shared" si="89"/>
        <v>General Pueyrredón</v>
      </c>
      <c r="D1907" s="18" t="s">
        <v>4819</v>
      </c>
      <c r="E1907" s="18">
        <v>1</v>
      </c>
      <c r="F1907" s="18">
        <v>0</v>
      </c>
      <c r="G1907" s="18">
        <v>19</v>
      </c>
      <c r="H1907" s="18" t="s">
        <v>4773</v>
      </c>
    </row>
    <row r="1908" spans="1:8">
      <c r="A1908" s="7" t="str">
        <f t="shared" si="87"/>
        <v>19</v>
      </c>
      <c r="B1908" s="7" t="str">
        <f t="shared" si="88"/>
        <v>043</v>
      </c>
      <c r="C1908" s="7" t="str">
        <f t="shared" si="89"/>
        <v>General Pueyrredón</v>
      </c>
      <c r="D1908" s="18" t="s">
        <v>4820</v>
      </c>
      <c r="E1908" s="18">
        <v>2</v>
      </c>
      <c r="F1908" s="18">
        <v>19</v>
      </c>
      <c r="G1908" s="18">
        <v>19</v>
      </c>
      <c r="H1908" s="18" t="s">
        <v>4773</v>
      </c>
    </row>
    <row r="1909" spans="1:8">
      <c r="A1909" s="7" t="str">
        <f t="shared" si="87"/>
        <v>19</v>
      </c>
      <c r="B1909" s="7" t="str">
        <f t="shared" si="88"/>
        <v>043</v>
      </c>
      <c r="C1909" s="7" t="str">
        <f t="shared" si="89"/>
        <v>General Pueyrredón</v>
      </c>
      <c r="D1909" s="18" t="s">
        <v>4821</v>
      </c>
      <c r="E1909" s="18">
        <v>1</v>
      </c>
      <c r="F1909" s="18">
        <v>10</v>
      </c>
      <c r="G1909" s="18">
        <v>19</v>
      </c>
      <c r="H1909" s="18" t="s">
        <v>4773</v>
      </c>
    </row>
    <row r="1910" spans="1:8">
      <c r="A1910" s="7" t="str">
        <f t="shared" si="87"/>
        <v>19</v>
      </c>
      <c r="B1910" s="7" t="str">
        <f t="shared" si="88"/>
        <v>043</v>
      </c>
      <c r="C1910" s="7" t="str">
        <f t="shared" si="89"/>
        <v>General Pueyrredón</v>
      </c>
      <c r="D1910" s="18" t="s">
        <v>4822</v>
      </c>
      <c r="E1910" s="18">
        <v>2</v>
      </c>
      <c r="F1910" s="18">
        <v>37</v>
      </c>
      <c r="G1910" s="18">
        <v>19</v>
      </c>
      <c r="H1910" s="18" t="s">
        <v>4773</v>
      </c>
    </row>
    <row r="1911" spans="1:8">
      <c r="A1911" s="7" t="str">
        <f t="shared" si="87"/>
        <v>19</v>
      </c>
      <c r="B1911" s="7" t="str">
        <f t="shared" si="88"/>
        <v>043</v>
      </c>
      <c r="C1911" s="7" t="str">
        <f t="shared" si="89"/>
        <v>General Pueyrredón</v>
      </c>
      <c r="D1911" s="18" t="s">
        <v>4823</v>
      </c>
      <c r="E1911" s="18">
        <v>1</v>
      </c>
      <c r="F1911" s="18">
        <v>0</v>
      </c>
      <c r="G1911" s="18">
        <v>19</v>
      </c>
      <c r="H1911" s="18" t="s">
        <v>4773</v>
      </c>
    </row>
    <row r="1912" spans="1:8">
      <c r="A1912" s="7" t="str">
        <f t="shared" si="87"/>
        <v>19</v>
      </c>
      <c r="B1912" s="7" t="str">
        <f t="shared" si="88"/>
        <v>043</v>
      </c>
      <c r="C1912" s="7" t="str">
        <f t="shared" si="89"/>
        <v>General Pueyrredón</v>
      </c>
      <c r="D1912" s="18" t="s">
        <v>4824</v>
      </c>
      <c r="E1912" s="18">
        <v>1</v>
      </c>
      <c r="F1912" s="18">
        <v>36</v>
      </c>
      <c r="G1912" s="18">
        <v>19</v>
      </c>
      <c r="H1912" s="18" t="s">
        <v>4773</v>
      </c>
    </row>
    <row r="1913" spans="1:8">
      <c r="A1913" s="7" t="str">
        <f t="shared" si="87"/>
        <v>19</v>
      </c>
      <c r="B1913" s="7" t="str">
        <f t="shared" si="88"/>
        <v>043</v>
      </c>
      <c r="C1913" s="7" t="str">
        <f t="shared" si="89"/>
        <v>General Pueyrredón</v>
      </c>
      <c r="D1913" s="18" t="s">
        <v>4825</v>
      </c>
      <c r="E1913" s="18">
        <v>1</v>
      </c>
      <c r="F1913" s="18">
        <v>10</v>
      </c>
      <c r="G1913" s="18">
        <v>19</v>
      </c>
      <c r="H1913" s="18" t="s">
        <v>4773</v>
      </c>
    </row>
    <row r="1914" spans="1:8">
      <c r="A1914" s="7" t="str">
        <f t="shared" si="87"/>
        <v>19</v>
      </c>
      <c r="B1914" s="7" t="str">
        <f t="shared" si="88"/>
        <v>043</v>
      </c>
      <c r="C1914" s="7" t="str">
        <f t="shared" si="89"/>
        <v>General Pueyrredón</v>
      </c>
      <c r="D1914" s="18" t="s">
        <v>4826</v>
      </c>
      <c r="E1914" s="18">
        <v>2</v>
      </c>
      <c r="F1914" s="18">
        <v>43</v>
      </c>
      <c r="G1914" s="18">
        <v>19</v>
      </c>
      <c r="H1914" s="18" t="s">
        <v>4773</v>
      </c>
    </row>
    <row r="1915" spans="1:8">
      <c r="A1915" s="7" t="str">
        <f t="shared" si="87"/>
        <v>19</v>
      </c>
      <c r="B1915" s="7" t="str">
        <f t="shared" si="88"/>
        <v>043</v>
      </c>
      <c r="C1915" s="7" t="str">
        <f t="shared" si="89"/>
        <v>General Pueyrredón</v>
      </c>
      <c r="D1915" s="18" t="s">
        <v>4827</v>
      </c>
      <c r="E1915" s="18">
        <v>1</v>
      </c>
      <c r="F1915" s="18">
        <v>21</v>
      </c>
      <c r="G1915" s="18">
        <v>19</v>
      </c>
      <c r="H1915" s="18" t="s">
        <v>4773</v>
      </c>
    </row>
    <row r="1916" spans="1:8">
      <c r="A1916" s="7" t="str">
        <f t="shared" si="87"/>
        <v>19</v>
      </c>
      <c r="B1916" s="7" t="str">
        <f t="shared" si="88"/>
        <v>043</v>
      </c>
      <c r="C1916" s="7" t="str">
        <f t="shared" si="89"/>
        <v>General Pueyrredón</v>
      </c>
      <c r="D1916" s="18" t="s">
        <v>4828</v>
      </c>
      <c r="E1916" s="18">
        <v>1</v>
      </c>
      <c r="F1916" s="18">
        <v>15</v>
      </c>
      <c r="G1916" s="18">
        <v>19</v>
      </c>
      <c r="H1916" s="18" t="s">
        <v>4773</v>
      </c>
    </row>
    <row r="1917" spans="1:8">
      <c r="A1917" s="7" t="str">
        <f t="shared" si="87"/>
        <v>19</v>
      </c>
      <c r="B1917" s="7" t="str">
        <f t="shared" si="88"/>
        <v>043</v>
      </c>
      <c r="C1917" s="7" t="str">
        <f t="shared" si="89"/>
        <v>General Pueyrredón</v>
      </c>
      <c r="D1917" s="18" t="s">
        <v>4829</v>
      </c>
      <c r="E1917" s="18">
        <v>1</v>
      </c>
      <c r="F1917" s="18">
        <v>13</v>
      </c>
      <c r="G1917" s="18">
        <v>19</v>
      </c>
      <c r="H1917" s="18" t="s">
        <v>4773</v>
      </c>
    </row>
    <row r="1918" spans="1:8">
      <c r="A1918" s="7" t="str">
        <f t="shared" si="87"/>
        <v>19</v>
      </c>
      <c r="B1918" s="7" t="str">
        <f t="shared" si="88"/>
        <v>043</v>
      </c>
      <c r="C1918" s="7" t="str">
        <f t="shared" si="89"/>
        <v>General Pueyrredón</v>
      </c>
      <c r="D1918" s="18" t="s">
        <v>4830</v>
      </c>
      <c r="E1918" s="18">
        <v>4</v>
      </c>
      <c r="F1918" s="18">
        <v>101</v>
      </c>
      <c r="G1918" s="18">
        <v>19</v>
      </c>
      <c r="H1918" s="18" t="s">
        <v>4773</v>
      </c>
    </row>
    <row r="1919" spans="1:8">
      <c r="A1919" s="7" t="str">
        <f t="shared" si="87"/>
        <v>19</v>
      </c>
      <c r="B1919" s="7" t="str">
        <f t="shared" si="88"/>
        <v>043</v>
      </c>
      <c r="C1919" s="7" t="str">
        <f t="shared" si="89"/>
        <v>General Pueyrredón</v>
      </c>
      <c r="D1919" s="18" t="s">
        <v>4831</v>
      </c>
      <c r="E1919" s="18">
        <v>1</v>
      </c>
      <c r="F1919" s="18">
        <v>39</v>
      </c>
      <c r="G1919" s="18">
        <v>19</v>
      </c>
      <c r="H1919" s="18" t="s">
        <v>4773</v>
      </c>
    </row>
    <row r="1920" spans="1:8">
      <c r="A1920" s="7" t="str">
        <f t="shared" si="87"/>
        <v>19</v>
      </c>
      <c r="B1920" s="7" t="str">
        <f t="shared" si="88"/>
        <v>043</v>
      </c>
      <c r="C1920" s="7" t="str">
        <f t="shared" si="89"/>
        <v>General Pueyrredón</v>
      </c>
      <c r="D1920" s="18" t="s">
        <v>4832</v>
      </c>
      <c r="E1920" s="18">
        <v>3</v>
      </c>
      <c r="F1920" s="18">
        <v>60</v>
      </c>
      <c r="G1920" s="18">
        <v>19</v>
      </c>
      <c r="H1920" s="18" t="s">
        <v>4773</v>
      </c>
    </row>
    <row r="1921" spans="1:8">
      <c r="A1921" s="7" t="str">
        <f t="shared" si="87"/>
        <v>19</v>
      </c>
      <c r="B1921" s="7" t="str">
        <f t="shared" si="88"/>
        <v>043</v>
      </c>
      <c r="C1921" s="7" t="str">
        <f t="shared" si="89"/>
        <v>General Pueyrredón</v>
      </c>
      <c r="D1921" s="18" t="s">
        <v>4833</v>
      </c>
      <c r="E1921" s="18">
        <v>7</v>
      </c>
      <c r="F1921" s="18">
        <v>220</v>
      </c>
      <c r="G1921" s="18">
        <v>19</v>
      </c>
      <c r="H1921" s="18" t="s">
        <v>4773</v>
      </c>
    </row>
    <row r="1922" spans="1:8">
      <c r="A1922" s="7" t="str">
        <f t="shared" si="87"/>
        <v>19</v>
      </c>
      <c r="B1922" s="7" t="str">
        <f t="shared" si="88"/>
        <v>043</v>
      </c>
      <c r="C1922" s="7" t="str">
        <f t="shared" si="89"/>
        <v>General Pueyrredón</v>
      </c>
      <c r="D1922" s="18" t="s">
        <v>4834</v>
      </c>
      <c r="E1922" s="18">
        <v>1</v>
      </c>
      <c r="F1922" s="18">
        <v>13</v>
      </c>
      <c r="G1922" s="18">
        <v>19</v>
      </c>
      <c r="H1922" s="18" t="s">
        <v>4773</v>
      </c>
    </row>
    <row r="1923" spans="1:8">
      <c r="A1923" s="7" t="str">
        <f t="shared" ref="A1923:A1986" si="90">+VLOOKUP(H1923,$K:$N,2,FALSE)</f>
        <v>19</v>
      </c>
      <c r="B1923" s="7" t="str">
        <f t="shared" ref="B1923:B1986" si="91">+VLOOKUP(H1923,$K:$N,3,FALSE)</f>
        <v>043</v>
      </c>
      <c r="C1923" s="7" t="str">
        <f t="shared" ref="C1923:C1986" si="92">+VLOOKUP(H1923,$K:$N,4,FALSE)</f>
        <v>General Pueyrredón</v>
      </c>
      <c r="D1923" s="18" t="s">
        <v>4835</v>
      </c>
      <c r="E1923" s="18">
        <v>3</v>
      </c>
      <c r="F1923" s="18">
        <v>63</v>
      </c>
      <c r="G1923" s="18">
        <v>19</v>
      </c>
      <c r="H1923" s="18" t="s">
        <v>4773</v>
      </c>
    </row>
    <row r="1924" spans="1:8">
      <c r="A1924" s="7" t="str">
        <f t="shared" si="90"/>
        <v>19</v>
      </c>
      <c r="B1924" s="7" t="str">
        <f t="shared" si="91"/>
        <v>043</v>
      </c>
      <c r="C1924" s="7" t="str">
        <f t="shared" si="92"/>
        <v>General Pueyrredón</v>
      </c>
      <c r="D1924" s="18" t="s">
        <v>4836</v>
      </c>
      <c r="E1924" s="18">
        <v>3</v>
      </c>
      <c r="F1924" s="18">
        <v>45</v>
      </c>
      <c r="G1924" s="18">
        <v>19</v>
      </c>
      <c r="H1924" s="18" t="s">
        <v>4773</v>
      </c>
    </row>
    <row r="1925" spans="1:8">
      <c r="A1925" s="7" t="str">
        <f t="shared" si="90"/>
        <v>19</v>
      </c>
      <c r="B1925" s="7" t="str">
        <f t="shared" si="91"/>
        <v>043</v>
      </c>
      <c r="C1925" s="7" t="str">
        <f t="shared" si="92"/>
        <v>General Pueyrredón</v>
      </c>
      <c r="D1925" s="18" t="s">
        <v>4837</v>
      </c>
      <c r="E1925" s="18">
        <v>1</v>
      </c>
      <c r="F1925" s="18">
        <v>29</v>
      </c>
      <c r="G1925" s="18">
        <v>19</v>
      </c>
      <c r="H1925" s="18" t="s">
        <v>4773</v>
      </c>
    </row>
    <row r="1926" spans="1:8">
      <c r="A1926" s="7" t="str">
        <f t="shared" si="90"/>
        <v>19</v>
      </c>
      <c r="B1926" s="7" t="str">
        <f t="shared" si="91"/>
        <v>043</v>
      </c>
      <c r="C1926" s="7" t="str">
        <f t="shared" si="92"/>
        <v>General Pueyrredón</v>
      </c>
      <c r="D1926" s="18" t="s">
        <v>4838</v>
      </c>
      <c r="E1926" s="18">
        <v>1</v>
      </c>
      <c r="F1926" s="18">
        <v>22</v>
      </c>
      <c r="G1926" s="18">
        <v>19</v>
      </c>
      <c r="H1926" s="18" t="s">
        <v>4773</v>
      </c>
    </row>
    <row r="1927" spans="1:8">
      <c r="A1927" s="7" t="str">
        <f t="shared" si="90"/>
        <v>19</v>
      </c>
      <c r="B1927" s="7" t="str">
        <f t="shared" si="91"/>
        <v>043</v>
      </c>
      <c r="C1927" s="7" t="str">
        <f t="shared" si="92"/>
        <v>General Pueyrredón</v>
      </c>
      <c r="D1927" s="18" t="s">
        <v>4839</v>
      </c>
      <c r="E1927" s="18">
        <v>1</v>
      </c>
      <c r="F1927" s="18">
        <v>18</v>
      </c>
      <c r="G1927" s="18">
        <v>19</v>
      </c>
      <c r="H1927" s="18" t="s">
        <v>4773</v>
      </c>
    </row>
    <row r="1928" spans="1:8">
      <c r="A1928" s="7" t="str">
        <f t="shared" si="90"/>
        <v>19</v>
      </c>
      <c r="B1928" s="7" t="str">
        <f t="shared" si="91"/>
        <v>043</v>
      </c>
      <c r="C1928" s="7" t="str">
        <f t="shared" si="92"/>
        <v>General Pueyrredón</v>
      </c>
      <c r="D1928" s="18" t="s">
        <v>4840</v>
      </c>
      <c r="E1928" s="18">
        <v>1</v>
      </c>
      <c r="F1928" s="18">
        <v>0</v>
      </c>
      <c r="G1928" s="18">
        <v>19</v>
      </c>
      <c r="H1928" s="18" t="s">
        <v>4773</v>
      </c>
    </row>
    <row r="1929" spans="1:8">
      <c r="A1929" s="7" t="str">
        <f t="shared" si="90"/>
        <v>19</v>
      </c>
      <c r="B1929" s="7" t="str">
        <f t="shared" si="91"/>
        <v>043</v>
      </c>
      <c r="C1929" s="7" t="str">
        <f t="shared" si="92"/>
        <v>General Pueyrredón</v>
      </c>
      <c r="D1929" s="18" t="s">
        <v>4841</v>
      </c>
      <c r="E1929" s="18">
        <v>1</v>
      </c>
      <c r="F1929" s="18">
        <v>0</v>
      </c>
      <c r="G1929" s="18">
        <v>19</v>
      </c>
      <c r="H1929" s="18" t="s">
        <v>4773</v>
      </c>
    </row>
    <row r="1930" spans="1:8">
      <c r="A1930" s="7" t="str">
        <f t="shared" si="90"/>
        <v>19</v>
      </c>
      <c r="B1930" s="7" t="str">
        <f t="shared" si="91"/>
        <v>043</v>
      </c>
      <c r="C1930" s="7" t="str">
        <f t="shared" si="92"/>
        <v>General Pueyrredón</v>
      </c>
      <c r="D1930" s="18" t="s">
        <v>4842</v>
      </c>
      <c r="E1930" s="18">
        <v>1</v>
      </c>
      <c r="F1930" s="18">
        <v>14</v>
      </c>
      <c r="G1930" s="18">
        <v>19</v>
      </c>
      <c r="H1930" s="18" t="s">
        <v>4773</v>
      </c>
    </row>
    <row r="1931" spans="1:8">
      <c r="A1931" s="7" t="str">
        <f t="shared" si="90"/>
        <v>19</v>
      </c>
      <c r="B1931" s="7" t="str">
        <f t="shared" si="91"/>
        <v>043</v>
      </c>
      <c r="C1931" s="7" t="str">
        <f t="shared" si="92"/>
        <v>General Pueyrredón</v>
      </c>
      <c r="D1931" s="18" t="s">
        <v>4843</v>
      </c>
      <c r="E1931" s="18">
        <v>1</v>
      </c>
      <c r="F1931" s="18">
        <v>21</v>
      </c>
      <c r="G1931" s="18">
        <v>19</v>
      </c>
      <c r="H1931" s="18" t="s">
        <v>4773</v>
      </c>
    </row>
    <row r="1932" spans="1:8">
      <c r="A1932" s="7" t="str">
        <f t="shared" si="90"/>
        <v>19</v>
      </c>
      <c r="B1932" s="7" t="str">
        <f t="shared" si="91"/>
        <v>043</v>
      </c>
      <c r="C1932" s="7" t="str">
        <f t="shared" si="92"/>
        <v>General Pueyrredón</v>
      </c>
      <c r="D1932" s="18" t="s">
        <v>4844</v>
      </c>
      <c r="E1932" s="18">
        <v>2</v>
      </c>
      <c r="F1932" s="18">
        <v>31</v>
      </c>
      <c r="G1932" s="18">
        <v>19</v>
      </c>
      <c r="H1932" s="18" t="s">
        <v>4773</v>
      </c>
    </row>
    <row r="1933" spans="1:8">
      <c r="A1933" s="7" t="str">
        <f t="shared" si="90"/>
        <v>19</v>
      </c>
      <c r="B1933" s="7" t="str">
        <f t="shared" si="91"/>
        <v>043</v>
      </c>
      <c r="C1933" s="7" t="str">
        <f t="shared" si="92"/>
        <v>General Pueyrredón</v>
      </c>
      <c r="D1933" s="18" t="s">
        <v>4845</v>
      </c>
      <c r="E1933" s="18">
        <v>1</v>
      </c>
      <c r="F1933" s="18">
        <v>10</v>
      </c>
      <c r="G1933" s="18">
        <v>19</v>
      </c>
      <c r="H1933" s="18" t="s">
        <v>4773</v>
      </c>
    </row>
    <row r="1934" spans="1:8">
      <c r="A1934" s="7" t="str">
        <f t="shared" si="90"/>
        <v>19</v>
      </c>
      <c r="B1934" s="7" t="str">
        <f t="shared" si="91"/>
        <v>043</v>
      </c>
      <c r="C1934" s="7" t="str">
        <f t="shared" si="92"/>
        <v>General Pueyrredón</v>
      </c>
      <c r="D1934" s="18" t="s">
        <v>4846</v>
      </c>
      <c r="E1934" s="18">
        <v>4</v>
      </c>
      <c r="F1934" s="18">
        <v>121</v>
      </c>
      <c r="G1934" s="18">
        <v>19</v>
      </c>
      <c r="H1934" s="18" t="s">
        <v>4773</v>
      </c>
    </row>
    <row r="1935" spans="1:8">
      <c r="A1935" s="7" t="str">
        <f t="shared" si="90"/>
        <v>19</v>
      </c>
      <c r="B1935" s="7" t="str">
        <f t="shared" si="91"/>
        <v>043</v>
      </c>
      <c r="C1935" s="7" t="str">
        <f t="shared" si="92"/>
        <v>General Pueyrredón</v>
      </c>
      <c r="D1935" s="18" t="s">
        <v>4847</v>
      </c>
      <c r="E1935" s="18">
        <v>1</v>
      </c>
      <c r="F1935" s="18">
        <v>0</v>
      </c>
      <c r="G1935" s="18">
        <v>19</v>
      </c>
      <c r="H1935" s="18" t="s">
        <v>4773</v>
      </c>
    </row>
    <row r="1936" spans="1:8">
      <c r="A1936" s="7" t="str">
        <f t="shared" si="90"/>
        <v>19</v>
      </c>
      <c r="B1936" s="7" t="str">
        <f t="shared" si="91"/>
        <v>043</v>
      </c>
      <c r="C1936" s="7" t="str">
        <f t="shared" si="92"/>
        <v>General Pueyrredón</v>
      </c>
      <c r="D1936" s="18" t="s">
        <v>4848</v>
      </c>
      <c r="E1936" s="18">
        <v>1</v>
      </c>
      <c r="F1936" s="18">
        <v>15</v>
      </c>
      <c r="G1936" s="18">
        <v>19</v>
      </c>
      <c r="H1936" s="18" t="s">
        <v>4773</v>
      </c>
    </row>
    <row r="1937" spans="1:8">
      <c r="A1937" s="7" t="str">
        <f t="shared" si="90"/>
        <v>19</v>
      </c>
      <c r="B1937" s="7" t="str">
        <f t="shared" si="91"/>
        <v>043</v>
      </c>
      <c r="C1937" s="7" t="str">
        <f t="shared" si="92"/>
        <v>General Pueyrredón</v>
      </c>
      <c r="D1937" s="18" t="s">
        <v>4849</v>
      </c>
      <c r="E1937" s="18">
        <v>2</v>
      </c>
      <c r="F1937" s="18">
        <v>54</v>
      </c>
      <c r="G1937" s="18">
        <v>19</v>
      </c>
      <c r="H1937" s="18" t="s">
        <v>4773</v>
      </c>
    </row>
    <row r="1938" spans="1:8">
      <c r="A1938" s="7" t="str">
        <f t="shared" si="90"/>
        <v>19</v>
      </c>
      <c r="B1938" s="7" t="str">
        <f t="shared" si="91"/>
        <v>043</v>
      </c>
      <c r="C1938" s="7" t="str">
        <f t="shared" si="92"/>
        <v>General Pueyrredón</v>
      </c>
      <c r="D1938" s="18" t="s">
        <v>4850</v>
      </c>
      <c r="E1938" s="18">
        <v>1</v>
      </c>
      <c r="F1938" s="18">
        <v>35</v>
      </c>
      <c r="G1938" s="18">
        <v>19</v>
      </c>
      <c r="H1938" s="18" t="s">
        <v>4773</v>
      </c>
    </row>
    <row r="1939" spans="1:8">
      <c r="A1939" s="7" t="str">
        <f t="shared" si="90"/>
        <v>19</v>
      </c>
      <c r="B1939" s="7" t="str">
        <f t="shared" si="91"/>
        <v>043</v>
      </c>
      <c r="C1939" s="7" t="str">
        <f t="shared" si="92"/>
        <v>General Pueyrredón</v>
      </c>
      <c r="D1939" s="18" t="s">
        <v>4851</v>
      </c>
      <c r="E1939" s="18">
        <v>1</v>
      </c>
      <c r="F1939" s="18">
        <v>42</v>
      </c>
      <c r="G1939" s="18">
        <v>19</v>
      </c>
      <c r="H1939" s="18" t="s">
        <v>4773</v>
      </c>
    </row>
    <row r="1940" spans="1:8">
      <c r="A1940" s="7" t="str">
        <f t="shared" si="90"/>
        <v>19</v>
      </c>
      <c r="B1940" s="7" t="str">
        <f t="shared" si="91"/>
        <v>043</v>
      </c>
      <c r="C1940" s="7" t="str">
        <f t="shared" si="92"/>
        <v>General Pueyrredón</v>
      </c>
      <c r="D1940" s="18" t="s">
        <v>4852</v>
      </c>
      <c r="E1940" s="18">
        <v>1</v>
      </c>
      <c r="F1940" s="18">
        <v>17</v>
      </c>
      <c r="G1940" s="18">
        <v>19</v>
      </c>
      <c r="H1940" s="18" t="s">
        <v>4773</v>
      </c>
    </row>
    <row r="1941" spans="1:8">
      <c r="A1941" s="7" t="str">
        <f t="shared" si="90"/>
        <v>19</v>
      </c>
      <c r="B1941" s="7" t="str">
        <f t="shared" si="91"/>
        <v>043</v>
      </c>
      <c r="C1941" s="7" t="str">
        <f t="shared" si="92"/>
        <v>General Pueyrredón</v>
      </c>
      <c r="D1941" s="18" t="s">
        <v>4853</v>
      </c>
      <c r="E1941" s="18">
        <v>2</v>
      </c>
      <c r="F1941" s="18">
        <v>35</v>
      </c>
      <c r="G1941" s="18">
        <v>19</v>
      </c>
      <c r="H1941" s="18" t="s">
        <v>4773</v>
      </c>
    </row>
    <row r="1942" spans="1:8">
      <c r="A1942" s="7" t="str">
        <f t="shared" si="90"/>
        <v>19</v>
      </c>
      <c r="B1942" s="7" t="str">
        <f t="shared" si="91"/>
        <v>043</v>
      </c>
      <c r="C1942" s="7" t="str">
        <f t="shared" si="92"/>
        <v>General Pueyrredón</v>
      </c>
      <c r="D1942" s="18" t="s">
        <v>4854</v>
      </c>
      <c r="E1942" s="18">
        <v>1</v>
      </c>
      <c r="F1942" s="18">
        <v>6</v>
      </c>
      <c r="G1942" s="18">
        <v>19</v>
      </c>
      <c r="H1942" s="18" t="s">
        <v>4773</v>
      </c>
    </row>
    <row r="1943" spans="1:8">
      <c r="A1943" s="7" t="str">
        <f t="shared" si="90"/>
        <v>19</v>
      </c>
      <c r="B1943" s="7" t="str">
        <f t="shared" si="91"/>
        <v>043</v>
      </c>
      <c r="C1943" s="7" t="str">
        <f t="shared" si="92"/>
        <v>General Pueyrredón</v>
      </c>
      <c r="D1943" s="18" t="s">
        <v>4855</v>
      </c>
      <c r="E1943" s="18">
        <v>1</v>
      </c>
      <c r="F1943" s="18">
        <v>20</v>
      </c>
      <c r="G1943" s="18">
        <v>19</v>
      </c>
      <c r="H1943" s="18" t="s">
        <v>4773</v>
      </c>
    </row>
    <row r="1944" spans="1:8">
      <c r="A1944" s="7" t="str">
        <f t="shared" si="90"/>
        <v>19</v>
      </c>
      <c r="B1944" s="7" t="str">
        <f t="shared" si="91"/>
        <v>043</v>
      </c>
      <c r="C1944" s="7" t="str">
        <f t="shared" si="92"/>
        <v>General Pueyrredón</v>
      </c>
      <c r="D1944" s="18" t="s">
        <v>4856</v>
      </c>
      <c r="E1944" s="18">
        <v>1</v>
      </c>
      <c r="F1944" s="18">
        <v>30</v>
      </c>
      <c r="G1944" s="18">
        <v>19</v>
      </c>
      <c r="H1944" s="18" t="s">
        <v>4773</v>
      </c>
    </row>
    <row r="1945" spans="1:8">
      <c r="A1945" s="7" t="str">
        <f t="shared" si="90"/>
        <v>19</v>
      </c>
      <c r="B1945" s="7" t="str">
        <f t="shared" si="91"/>
        <v>043</v>
      </c>
      <c r="C1945" s="7" t="str">
        <f t="shared" si="92"/>
        <v>General Pueyrredón</v>
      </c>
      <c r="D1945" s="18" t="s">
        <v>4857</v>
      </c>
      <c r="E1945" s="18">
        <v>1</v>
      </c>
      <c r="F1945" s="18">
        <v>7</v>
      </c>
      <c r="G1945" s="18">
        <v>19</v>
      </c>
      <c r="H1945" s="18" t="s">
        <v>4773</v>
      </c>
    </row>
    <row r="1946" spans="1:8">
      <c r="A1946" s="7" t="str">
        <f t="shared" si="90"/>
        <v>19</v>
      </c>
      <c r="B1946" s="7" t="str">
        <f t="shared" si="91"/>
        <v>043</v>
      </c>
      <c r="C1946" s="7" t="str">
        <f t="shared" si="92"/>
        <v>General Pueyrredón</v>
      </c>
      <c r="D1946" s="18" t="s">
        <v>4858</v>
      </c>
      <c r="E1946" s="18">
        <v>1</v>
      </c>
      <c r="F1946" s="18">
        <v>0</v>
      </c>
      <c r="G1946" s="18">
        <v>19</v>
      </c>
      <c r="H1946" s="18" t="s">
        <v>4773</v>
      </c>
    </row>
    <row r="1947" spans="1:8">
      <c r="A1947" s="7" t="str">
        <f t="shared" si="90"/>
        <v>19</v>
      </c>
      <c r="B1947" s="7" t="str">
        <f t="shared" si="91"/>
        <v>043</v>
      </c>
      <c r="C1947" s="7" t="str">
        <f t="shared" si="92"/>
        <v>General Pueyrredón</v>
      </c>
      <c r="D1947" s="18" t="s">
        <v>4859</v>
      </c>
      <c r="E1947" s="18">
        <v>2</v>
      </c>
      <c r="F1947" s="18">
        <v>59</v>
      </c>
      <c r="G1947" s="18">
        <v>19</v>
      </c>
      <c r="H1947" s="18" t="s">
        <v>4773</v>
      </c>
    </row>
    <row r="1948" spans="1:8">
      <c r="A1948" s="7" t="str">
        <f t="shared" si="90"/>
        <v>19</v>
      </c>
      <c r="B1948" s="7" t="str">
        <f t="shared" si="91"/>
        <v>043</v>
      </c>
      <c r="C1948" s="7" t="str">
        <f t="shared" si="92"/>
        <v>General Pueyrredón</v>
      </c>
      <c r="D1948" s="18" t="s">
        <v>4860</v>
      </c>
      <c r="E1948" s="18">
        <v>1</v>
      </c>
      <c r="F1948" s="18">
        <v>0</v>
      </c>
      <c r="G1948" s="18">
        <v>19</v>
      </c>
      <c r="H1948" s="18" t="s">
        <v>4773</v>
      </c>
    </row>
    <row r="1949" spans="1:8">
      <c r="A1949" s="7" t="str">
        <f t="shared" si="90"/>
        <v>19</v>
      </c>
      <c r="B1949" s="7" t="str">
        <f t="shared" si="91"/>
        <v>043</v>
      </c>
      <c r="C1949" s="7" t="str">
        <f t="shared" si="92"/>
        <v>General Pueyrredón</v>
      </c>
      <c r="D1949" s="18" t="s">
        <v>4861</v>
      </c>
      <c r="E1949" s="18">
        <v>1</v>
      </c>
      <c r="F1949" s="18">
        <v>13</v>
      </c>
      <c r="G1949" s="18">
        <v>19</v>
      </c>
      <c r="H1949" s="18" t="s">
        <v>4773</v>
      </c>
    </row>
    <row r="1950" spans="1:8">
      <c r="A1950" s="7" t="str">
        <f t="shared" si="90"/>
        <v>19</v>
      </c>
      <c r="B1950" s="7" t="str">
        <f t="shared" si="91"/>
        <v>043</v>
      </c>
      <c r="C1950" s="7" t="str">
        <f t="shared" si="92"/>
        <v>General Pueyrredón</v>
      </c>
      <c r="D1950" s="18" t="s">
        <v>4862</v>
      </c>
      <c r="E1950" s="18">
        <v>1</v>
      </c>
      <c r="F1950" s="18">
        <v>15</v>
      </c>
      <c r="G1950" s="18">
        <v>19</v>
      </c>
      <c r="H1950" s="18" t="s">
        <v>4773</v>
      </c>
    </row>
    <row r="1951" spans="1:8">
      <c r="A1951" s="7" t="str">
        <f t="shared" si="90"/>
        <v>19</v>
      </c>
      <c r="B1951" s="7" t="str">
        <f t="shared" si="91"/>
        <v>043</v>
      </c>
      <c r="C1951" s="7" t="str">
        <f t="shared" si="92"/>
        <v>General Pueyrredón</v>
      </c>
      <c r="D1951" s="18" t="s">
        <v>4863</v>
      </c>
      <c r="E1951" s="18">
        <v>2</v>
      </c>
      <c r="F1951" s="18">
        <v>30</v>
      </c>
      <c r="G1951" s="18">
        <v>19</v>
      </c>
      <c r="H1951" s="18" t="s">
        <v>4773</v>
      </c>
    </row>
    <row r="1952" spans="1:8">
      <c r="A1952" s="7" t="str">
        <f t="shared" si="90"/>
        <v>19</v>
      </c>
      <c r="B1952" s="7" t="str">
        <f t="shared" si="91"/>
        <v>043</v>
      </c>
      <c r="C1952" s="7" t="str">
        <f t="shared" si="92"/>
        <v>General Pueyrredón</v>
      </c>
      <c r="D1952" s="18" t="s">
        <v>4864</v>
      </c>
      <c r="E1952" s="18">
        <v>2</v>
      </c>
      <c r="F1952" s="18">
        <v>48</v>
      </c>
      <c r="G1952" s="18">
        <v>19</v>
      </c>
      <c r="H1952" s="18" t="s">
        <v>4773</v>
      </c>
    </row>
    <row r="1953" spans="1:8">
      <c r="A1953" s="7" t="str">
        <f t="shared" si="90"/>
        <v>19</v>
      </c>
      <c r="B1953" s="7" t="str">
        <f t="shared" si="91"/>
        <v>043</v>
      </c>
      <c r="C1953" s="7" t="str">
        <f t="shared" si="92"/>
        <v>General Pueyrredón</v>
      </c>
      <c r="D1953" s="18" t="s">
        <v>4865</v>
      </c>
      <c r="E1953" s="18">
        <v>1</v>
      </c>
      <c r="F1953" s="18">
        <v>10</v>
      </c>
      <c r="G1953" s="18">
        <v>19</v>
      </c>
      <c r="H1953" s="18" t="s">
        <v>4773</v>
      </c>
    </row>
    <row r="1954" spans="1:8">
      <c r="A1954" s="7" t="str">
        <f t="shared" si="90"/>
        <v>19</v>
      </c>
      <c r="B1954" s="7" t="str">
        <f t="shared" si="91"/>
        <v>043</v>
      </c>
      <c r="C1954" s="7" t="str">
        <f t="shared" si="92"/>
        <v>General Pueyrredón</v>
      </c>
      <c r="D1954" s="18" t="s">
        <v>4866</v>
      </c>
      <c r="E1954" s="18">
        <v>1</v>
      </c>
      <c r="F1954" s="18">
        <v>16</v>
      </c>
      <c r="G1954" s="18">
        <v>19</v>
      </c>
      <c r="H1954" s="18" t="s">
        <v>4773</v>
      </c>
    </row>
    <row r="1955" spans="1:8">
      <c r="A1955" s="7" t="str">
        <f t="shared" si="90"/>
        <v>19</v>
      </c>
      <c r="B1955" s="7" t="str">
        <f t="shared" si="91"/>
        <v>043</v>
      </c>
      <c r="C1955" s="7" t="str">
        <f t="shared" si="92"/>
        <v>General Pueyrredón</v>
      </c>
      <c r="D1955" s="18" t="s">
        <v>4867</v>
      </c>
      <c r="E1955" s="18">
        <v>1</v>
      </c>
      <c r="F1955" s="18">
        <v>0</v>
      </c>
      <c r="G1955" s="18">
        <v>19</v>
      </c>
      <c r="H1955" s="18" t="s">
        <v>4773</v>
      </c>
    </row>
    <row r="1956" spans="1:8">
      <c r="A1956" s="7" t="str">
        <f t="shared" si="90"/>
        <v>19</v>
      </c>
      <c r="B1956" s="7" t="str">
        <f t="shared" si="91"/>
        <v>043</v>
      </c>
      <c r="C1956" s="7" t="str">
        <f t="shared" si="92"/>
        <v>General Pueyrredón</v>
      </c>
      <c r="D1956" s="18" t="s">
        <v>4167</v>
      </c>
      <c r="E1956" s="18">
        <v>1</v>
      </c>
      <c r="F1956" s="18">
        <v>20</v>
      </c>
      <c r="G1956" s="18">
        <v>19</v>
      </c>
      <c r="H1956" s="18" t="s">
        <v>4773</v>
      </c>
    </row>
    <row r="1957" spans="1:8">
      <c r="A1957" s="7" t="str">
        <f t="shared" si="90"/>
        <v>19</v>
      </c>
      <c r="B1957" s="7" t="str">
        <f t="shared" si="91"/>
        <v>043</v>
      </c>
      <c r="C1957" s="7" t="str">
        <f t="shared" si="92"/>
        <v>General Pueyrredón</v>
      </c>
      <c r="D1957" s="18" t="s">
        <v>4868</v>
      </c>
      <c r="E1957" s="18">
        <v>1</v>
      </c>
      <c r="F1957" s="18">
        <v>15</v>
      </c>
      <c r="G1957" s="18">
        <v>19</v>
      </c>
      <c r="H1957" s="18" t="s">
        <v>4773</v>
      </c>
    </row>
    <row r="1958" spans="1:8">
      <c r="A1958" s="7" t="str">
        <f t="shared" si="90"/>
        <v>19</v>
      </c>
      <c r="B1958" s="7" t="str">
        <f t="shared" si="91"/>
        <v>043</v>
      </c>
      <c r="C1958" s="7" t="str">
        <f t="shared" si="92"/>
        <v>General Pueyrredón</v>
      </c>
      <c r="D1958" s="18" t="s">
        <v>4869</v>
      </c>
      <c r="E1958" s="18">
        <v>1</v>
      </c>
      <c r="F1958" s="18">
        <v>18</v>
      </c>
      <c r="G1958" s="18">
        <v>19</v>
      </c>
      <c r="H1958" s="18" t="s">
        <v>4773</v>
      </c>
    </row>
    <row r="1959" spans="1:8">
      <c r="A1959" s="7" t="str">
        <f t="shared" si="90"/>
        <v>19</v>
      </c>
      <c r="B1959" s="7" t="str">
        <f t="shared" si="91"/>
        <v>043</v>
      </c>
      <c r="C1959" s="7" t="str">
        <f t="shared" si="92"/>
        <v>General Pueyrredón</v>
      </c>
      <c r="D1959" s="18" t="s">
        <v>4870</v>
      </c>
      <c r="E1959" s="18">
        <v>1</v>
      </c>
      <c r="F1959" s="18">
        <v>13</v>
      </c>
      <c r="G1959" s="18">
        <v>19</v>
      </c>
      <c r="H1959" s="18" t="s">
        <v>4773</v>
      </c>
    </row>
    <row r="1960" spans="1:8">
      <c r="A1960" s="7" t="str">
        <f t="shared" si="90"/>
        <v>19</v>
      </c>
      <c r="B1960" s="7" t="str">
        <f t="shared" si="91"/>
        <v>043</v>
      </c>
      <c r="C1960" s="7" t="str">
        <f t="shared" si="92"/>
        <v>General Pueyrredón</v>
      </c>
      <c r="D1960" s="18" t="s">
        <v>4871</v>
      </c>
      <c r="E1960" s="18">
        <v>1</v>
      </c>
      <c r="F1960" s="18">
        <v>17</v>
      </c>
      <c r="G1960" s="18">
        <v>19</v>
      </c>
      <c r="H1960" s="18" t="s">
        <v>4773</v>
      </c>
    </row>
    <row r="1961" spans="1:8">
      <c r="A1961" s="7" t="str">
        <f t="shared" si="90"/>
        <v>19</v>
      </c>
      <c r="B1961" s="7" t="str">
        <f t="shared" si="91"/>
        <v>043</v>
      </c>
      <c r="C1961" s="7" t="str">
        <f t="shared" si="92"/>
        <v>General Pueyrredón</v>
      </c>
      <c r="D1961" s="18" t="s">
        <v>4872</v>
      </c>
      <c r="E1961" s="18">
        <v>1</v>
      </c>
      <c r="F1961" s="18">
        <v>25</v>
      </c>
      <c r="G1961" s="18">
        <v>19</v>
      </c>
      <c r="H1961" s="18" t="s">
        <v>4773</v>
      </c>
    </row>
    <row r="1962" spans="1:8">
      <c r="A1962" s="7" t="str">
        <f t="shared" si="90"/>
        <v>19</v>
      </c>
      <c r="B1962" s="7" t="str">
        <f t="shared" si="91"/>
        <v>043</v>
      </c>
      <c r="C1962" s="7" t="str">
        <f t="shared" si="92"/>
        <v>General Pueyrredón</v>
      </c>
      <c r="D1962" s="18" t="s">
        <v>4873</v>
      </c>
      <c r="E1962" s="18">
        <v>1</v>
      </c>
      <c r="F1962" s="18">
        <v>13</v>
      </c>
      <c r="G1962" s="18">
        <v>19</v>
      </c>
      <c r="H1962" s="18" t="s">
        <v>4773</v>
      </c>
    </row>
    <row r="1963" spans="1:8">
      <c r="A1963" s="7" t="str">
        <f t="shared" si="90"/>
        <v>19</v>
      </c>
      <c r="B1963" s="7" t="str">
        <f t="shared" si="91"/>
        <v>043</v>
      </c>
      <c r="C1963" s="7" t="str">
        <f t="shared" si="92"/>
        <v>General Pueyrredón</v>
      </c>
      <c r="D1963" s="18" t="s">
        <v>4874</v>
      </c>
      <c r="E1963" s="18">
        <v>2</v>
      </c>
      <c r="F1963" s="18">
        <v>59</v>
      </c>
      <c r="G1963" s="18">
        <v>19</v>
      </c>
      <c r="H1963" s="18" t="s">
        <v>4773</v>
      </c>
    </row>
    <row r="1964" spans="1:8">
      <c r="A1964" s="7" t="str">
        <f t="shared" si="90"/>
        <v>19</v>
      </c>
      <c r="B1964" s="7" t="str">
        <f t="shared" si="91"/>
        <v>043</v>
      </c>
      <c r="C1964" s="7" t="str">
        <f t="shared" si="92"/>
        <v>General Pueyrredón</v>
      </c>
      <c r="D1964" s="18" t="s">
        <v>4875</v>
      </c>
      <c r="E1964" s="18">
        <v>2</v>
      </c>
      <c r="F1964" s="18">
        <v>55</v>
      </c>
      <c r="G1964" s="18">
        <v>19</v>
      </c>
      <c r="H1964" s="18" t="s">
        <v>4773</v>
      </c>
    </row>
    <row r="1965" spans="1:8">
      <c r="A1965" s="7" t="str">
        <f t="shared" si="90"/>
        <v>19</v>
      </c>
      <c r="B1965" s="7" t="str">
        <f t="shared" si="91"/>
        <v>043</v>
      </c>
      <c r="C1965" s="7" t="str">
        <f t="shared" si="92"/>
        <v>General Pueyrredón</v>
      </c>
      <c r="D1965" s="18" t="s">
        <v>4876</v>
      </c>
      <c r="E1965" s="18">
        <v>1</v>
      </c>
      <c r="F1965" s="18">
        <v>0</v>
      </c>
      <c r="G1965" s="18">
        <v>19</v>
      </c>
      <c r="H1965" s="18" t="s">
        <v>4773</v>
      </c>
    </row>
    <row r="1966" spans="1:8">
      <c r="A1966" s="7" t="str">
        <f t="shared" si="90"/>
        <v>19</v>
      </c>
      <c r="B1966" s="7" t="str">
        <f t="shared" si="91"/>
        <v>043</v>
      </c>
      <c r="C1966" s="7" t="str">
        <f t="shared" si="92"/>
        <v>General Pueyrredón</v>
      </c>
      <c r="D1966" s="18" t="s">
        <v>4877</v>
      </c>
      <c r="E1966" s="18">
        <v>1</v>
      </c>
      <c r="F1966" s="18">
        <v>10</v>
      </c>
      <c r="G1966" s="18">
        <v>19</v>
      </c>
      <c r="H1966" s="18" t="s">
        <v>4773</v>
      </c>
    </row>
    <row r="1967" spans="1:8">
      <c r="A1967" s="7" t="str">
        <f t="shared" si="90"/>
        <v>19</v>
      </c>
      <c r="B1967" s="7" t="str">
        <f t="shared" si="91"/>
        <v>043</v>
      </c>
      <c r="C1967" s="7" t="str">
        <f t="shared" si="92"/>
        <v>General Pueyrredón</v>
      </c>
      <c r="D1967" s="18" t="s">
        <v>4878</v>
      </c>
      <c r="E1967" s="18">
        <v>1</v>
      </c>
      <c r="F1967" s="18">
        <v>16</v>
      </c>
      <c r="G1967" s="18">
        <v>19</v>
      </c>
      <c r="H1967" s="18" t="s">
        <v>4773</v>
      </c>
    </row>
    <row r="1968" spans="1:8">
      <c r="A1968" s="7" t="str">
        <f t="shared" si="90"/>
        <v>19</v>
      </c>
      <c r="B1968" s="7" t="str">
        <f t="shared" si="91"/>
        <v>043</v>
      </c>
      <c r="C1968" s="7" t="str">
        <f t="shared" si="92"/>
        <v>General Pueyrredón</v>
      </c>
      <c r="D1968" s="18" t="s">
        <v>4879</v>
      </c>
      <c r="E1968" s="18">
        <v>2</v>
      </c>
      <c r="F1968" s="18">
        <v>59</v>
      </c>
      <c r="G1968" s="18">
        <v>19</v>
      </c>
      <c r="H1968" s="18" t="s">
        <v>4773</v>
      </c>
    </row>
    <row r="1969" spans="1:8">
      <c r="A1969" s="7" t="str">
        <f t="shared" si="90"/>
        <v>19</v>
      </c>
      <c r="B1969" s="7" t="str">
        <f t="shared" si="91"/>
        <v>043</v>
      </c>
      <c r="C1969" s="7" t="str">
        <f t="shared" si="92"/>
        <v>General Pueyrredón</v>
      </c>
      <c r="D1969" s="18" t="s">
        <v>4880</v>
      </c>
      <c r="E1969" s="18">
        <v>3</v>
      </c>
      <c r="F1969" s="18">
        <v>63</v>
      </c>
      <c r="G1969" s="18">
        <v>19</v>
      </c>
      <c r="H1969" s="18" t="s">
        <v>4773</v>
      </c>
    </row>
    <row r="1970" spans="1:8">
      <c r="A1970" s="7" t="str">
        <f t="shared" si="90"/>
        <v>19</v>
      </c>
      <c r="B1970" s="7" t="str">
        <f t="shared" si="91"/>
        <v>043</v>
      </c>
      <c r="C1970" s="7" t="str">
        <f t="shared" si="92"/>
        <v>General Pueyrredón</v>
      </c>
      <c r="D1970" s="18" t="s">
        <v>4881</v>
      </c>
      <c r="E1970" s="18">
        <v>2</v>
      </c>
      <c r="F1970" s="18">
        <v>53</v>
      </c>
      <c r="G1970" s="18">
        <v>19</v>
      </c>
      <c r="H1970" s="18" t="s">
        <v>4773</v>
      </c>
    </row>
    <row r="1971" spans="1:8">
      <c r="A1971" s="7" t="str">
        <f t="shared" si="90"/>
        <v>19</v>
      </c>
      <c r="B1971" s="7" t="str">
        <f t="shared" si="91"/>
        <v>043</v>
      </c>
      <c r="C1971" s="7" t="str">
        <f t="shared" si="92"/>
        <v>General Pueyrredón</v>
      </c>
      <c r="D1971" s="18" t="s">
        <v>4882</v>
      </c>
      <c r="E1971" s="18">
        <v>1</v>
      </c>
      <c r="F1971" s="18">
        <v>6</v>
      </c>
      <c r="G1971" s="18">
        <v>19</v>
      </c>
      <c r="H1971" s="18" t="s">
        <v>4773</v>
      </c>
    </row>
    <row r="1972" spans="1:8">
      <c r="A1972" s="7" t="str">
        <f t="shared" si="90"/>
        <v>19</v>
      </c>
      <c r="B1972" s="7" t="str">
        <f t="shared" si="91"/>
        <v>043</v>
      </c>
      <c r="C1972" s="7" t="str">
        <f t="shared" si="92"/>
        <v>General Pueyrredón</v>
      </c>
      <c r="D1972" s="18" t="s">
        <v>4883</v>
      </c>
      <c r="E1972" s="18">
        <v>3</v>
      </c>
      <c r="F1972" s="18">
        <v>103</v>
      </c>
      <c r="G1972" s="18">
        <v>19</v>
      </c>
      <c r="H1972" s="18" t="s">
        <v>4773</v>
      </c>
    </row>
    <row r="1973" spans="1:8">
      <c r="A1973" s="7" t="str">
        <f t="shared" si="90"/>
        <v>19</v>
      </c>
      <c r="B1973" s="7" t="str">
        <f t="shared" si="91"/>
        <v>043</v>
      </c>
      <c r="C1973" s="7" t="str">
        <f t="shared" si="92"/>
        <v>General Pueyrredón</v>
      </c>
      <c r="D1973" s="18" t="s">
        <v>4884</v>
      </c>
      <c r="E1973" s="18">
        <v>2</v>
      </c>
      <c r="F1973" s="18">
        <v>48</v>
      </c>
      <c r="G1973" s="18">
        <v>19</v>
      </c>
      <c r="H1973" s="18" t="s">
        <v>4773</v>
      </c>
    </row>
    <row r="1974" spans="1:8">
      <c r="A1974" s="7" t="str">
        <f t="shared" si="90"/>
        <v>19</v>
      </c>
      <c r="B1974" s="7" t="str">
        <f t="shared" si="91"/>
        <v>043</v>
      </c>
      <c r="C1974" s="7" t="str">
        <f t="shared" si="92"/>
        <v>General Pueyrredón</v>
      </c>
      <c r="D1974" s="18" t="s">
        <v>4885</v>
      </c>
      <c r="E1974" s="18">
        <v>1</v>
      </c>
      <c r="F1974" s="18">
        <v>10</v>
      </c>
      <c r="G1974" s="18">
        <v>19</v>
      </c>
      <c r="H1974" s="18" t="s">
        <v>4773</v>
      </c>
    </row>
    <row r="1975" spans="1:8">
      <c r="A1975" s="7" t="str">
        <f t="shared" si="90"/>
        <v>19</v>
      </c>
      <c r="B1975" s="7" t="str">
        <f t="shared" si="91"/>
        <v>043</v>
      </c>
      <c r="C1975" s="7" t="str">
        <f t="shared" si="92"/>
        <v>General Pueyrredón</v>
      </c>
      <c r="D1975" s="18" t="s">
        <v>4886</v>
      </c>
      <c r="E1975" s="18">
        <v>1</v>
      </c>
      <c r="F1975" s="18">
        <v>0</v>
      </c>
      <c r="G1975" s="18">
        <v>19</v>
      </c>
      <c r="H1975" s="18" t="s">
        <v>4773</v>
      </c>
    </row>
    <row r="1976" spans="1:8">
      <c r="A1976" s="7" t="str">
        <f t="shared" si="90"/>
        <v>19</v>
      </c>
      <c r="B1976" s="7" t="str">
        <f t="shared" si="91"/>
        <v>043</v>
      </c>
      <c r="C1976" s="7" t="str">
        <f t="shared" si="92"/>
        <v>General Pueyrredón</v>
      </c>
      <c r="D1976" s="18" t="s">
        <v>3601</v>
      </c>
      <c r="E1976" s="18">
        <v>1</v>
      </c>
      <c r="F1976" s="18">
        <v>19</v>
      </c>
      <c r="G1976" s="18">
        <v>19</v>
      </c>
      <c r="H1976" s="18" t="s">
        <v>4773</v>
      </c>
    </row>
    <row r="1977" spans="1:8">
      <c r="A1977" s="7" t="str">
        <f t="shared" si="90"/>
        <v>19</v>
      </c>
      <c r="B1977" s="7" t="str">
        <f t="shared" si="91"/>
        <v>043</v>
      </c>
      <c r="C1977" s="7" t="str">
        <f t="shared" si="92"/>
        <v>General Pueyrredón</v>
      </c>
      <c r="D1977" s="18" t="s">
        <v>4887</v>
      </c>
      <c r="E1977" s="18">
        <v>1</v>
      </c>
      <c r="F1977" s="18">
        <v>18</v>
      </c>
      <c r="G1977" s="18">
        <v>19</v>
      </c>
      <c r="H1977" s="18" t="s">
        <v>4773</v>
      </c>
    </row>
    <row r="1978" spans="1:8">
      <c r="A1978" s="7" t="str">
        <f t="shared" si="90"/>
        <v>19</v>
      </c>
      <c r="B1978" s="7" t="str">
        <f t="shared" si="91"/>
        <v>043</v>
      </c>
      <c r="C1978" s="7" t="str">
        <f t="shared" si="92"/>
        <v>General Pueyrredón</v>
      </c>
      <c r="D1978" s="18" t="s">
        <v>4888</v>
      </c>
      <c r="E1978" s="18">
        <v>1</v>
      </c>
      <c r="F1978" s="18">
        <v>33</v>
      </c>
      <c r="G1978" s="18">
        <v>19</v>
      </c>
      <c r="H1978" s="18" t="s">
        <v>4773</v>
      </c>
    </row>
    <row r="1979" spans="1:8">
      <c r="A1979" s="7" t="str">
        <f t="shared" si="90"/>
        <v>19</v>
      </c>
      <c r="B1979" s="7" t="str">
        <f t="shared" si="91"/>
        <v>043</v>
      </c>
      <c r="C1979" s="7" t="str">
        <f t="shared" si="92"/>
        <v>General Pueyrredón</v>
      </c>
      <c r="D1979" s="18" t="s">
        <v>4889</v>
      </c>
      <c r="E1979" s="18">
        <v>3</v>
      </c>
      <c r="F1979" s="18">
        <v>83</v>
      </c>
      <c r="G1979" s="18">
        <v>19</v>
      </c>
      <c r="H1979" s="18" t="s">
        <v>4773</v>
      </c>
    </row>
    <row r="1980" spans="1:8">
      <c r="A1980" s="7" t="str">
        <f t="shared" si="90"/>
        <v>19</v>
      </c>
      <c r="B1980" s="7" t="str">
        <f t="shared" si="91"/>
        <v>043</v>
      </c>
      <c r="C1980" s="7" t="str">
        <f t="shared" si="92"/>
        <v>General Pueyrredón</v>
      </c>
      <c r="D1980" s="18" t="s">
        <v>4890</v>
      </c>
      <c r="E1980" s="18">
        <v>1</v>
      </c>
      <c r="F1980" s="18">
        <v>33</v>
      </c>
      <c r="G1980" s="18">
        <v>19</v>
      </c>
      <c r="H1980" s="18" t="s">
        <v>4773</v>
      </c>
    </row>
    <row r="1981" spans="1:8">
      <c r="A1981" s="7" t="str">
        <f t="shared" si="90"/>
        <v>19</v>
      </c>
      <c r="B1981" s="7" t="str">
        <f t="shared" si="91"/>
        <v>043</v>
      </c>
      <c r="C1981" s="7" t="str">
        <f t="shared" si="92"/>
        <v>General Pueyrredón</v>
      </c>
      <c r="D1981" s="18" t="s">
        <v>4891</v>
      </c>
      <c r="E1981" s="18">
        <v>3</v>
      </c>
      <c r="F1981" s="18">
        <v>0</v>
      </c>
      <c r="G1981" s="18">
        <v>19</v>
      </c>
      <c r="H1981" s="18" t="s">
        <v>4773</v>
      </c>
    </row>
    <row r="1982" spans="1:8">
      <c r="A1982" s="7" t="str">
        <f t="shared" si="90"/>
        <v>19</v>
      </c>
      <c r="B1982" s="7" t="str">
        <f t="shared" si="91"/>
        <v>043</v>
      </c>
      <c r="C1982" s="7" t="str">
        <f t="shared" si="92"/>
        <v>General Pueyrredón</v>
      </c>
      <c r="D1982" s="18" t="s">
        <v>4892</v>
      </c>
      <c r="E1982" s="18">
        <v>1</v>
      </c>
      <c r="F1982" s="18">
        <v>15</v>
      </c>
      <c r="G1982" s="18">
        <v>19</v>
      </c>
      <c r="H1982" s="18" t="s">
        <v>4773</v>
      </c>
    </row>
    <row r="1983" spans="1:8">
      <c r="A1983" s="7" t="str">
        <f t="shared" si="90"/>
        <v>19</v>
      </c>
      <c r="B1983" s="7" t="str">
        <f t="shared" si="91"/>
        <v>043</v>
      </c>
      <c r="C1983" s="7" t="str">
        <f t="shared" si="92"/>
        <v>General Pueyrredón</v>
      </c>
      <c r="D1983" s="18" t="s">
        <v>4893</v>
      </c>
      <c r="E1983" s="18">
        <v>2</v>
      </c>
      <c r="F1983" s="18">
        <v>38</v>
      </c>
      <c r="G1983" s="18">
        <v>19</v>
      </c>
      <c r="H1983" s="18" t="s">
        <v>4773</v>
      </c>
    </row>
    <row r="1984" spans="1:8">
      <c r="A1984" s="7" t="str">
        <f t="shared" si="90"/>
        <v>19</v>
      </c>
      <c r="B1984" s="7" t="str">
        <f t="shared" si="91"/>
        <v>043</v>
      </c>
      <c r="C1984" s="7" t="str">
        <f t="shared" si="92"/>
        <v>General Pueyrredón</v>
      </c>
      <c r="D1984" s="18" t="s">
        <v>3193</v>
      </c>
      <c r="E1984" s="18">
        <v>1</v>
      </c>
      <c r="F1984" s="18">
        <v>17</v>
      </c>
      <c r="G1984" s="18">
        <v>19</v>
      </c>
      <c r="H1984" s="18" t="s">
        <v>4773</v>
      </c>
    </row>
    <row r="1985" spans="1:8">
      <c r="A1985" s="7" t="str">
        <f t="shared" si="90"/>
        <v>19</v>
      </c>
      <c r="B1985" s="7" t="str">
        <f t="shared" si="91"/>
        <v>043</v>
      </c>
      <c r="C1985" s="7" t="str">
        <f t="shared" si="92"/>
        <v>General Pueyrredón</v>
      </c>
      <c r="D1985" s="18" t="s">
        <v>4894</v>
      </c>
      <c r="E1985" s="18">
        <v>1</v>
      </c>
      <c r="F1985" s="18">
        <v>0</v>
      </c>
      <c r="G1985" s="18">
        <v>19</v>
      </c>
      <c r="H1985" s="18" t="s">
        <v>4773</v>
      </c>
    </row>
    <row r="1986" spans="1:8">
      <c r="A1986" s="7" t="str">
        <f t="shared" si="90"/>
        <v>19</v>
      </c>
      <c r="B1986" s="7" t="str">
        <f t="shared" si="91"/>
        <v>068</v>
      </c>
      <c r="C1986" s="7" t="str">
        <f t="shared" si="92"/>
        <v>Mar Chiquita</v>
      </c>
      <c r="D1986" s="18" t="s">
        <v>4895</v>
      </c>
      <c r="E1986" s="18">
        <v>2</v>
      </c>
      <c r="F1986" s="18">
        <v>41</v>
      </c>
      <c r="G1986" s="18">
        <v>19</v>
      </c>
      <c r="H1986" s="18" t="s">
        <v>1522</v>
      </c>
    </row>
    <row r="1987" spans="1:8">
      <c r="A1987" s="7" t="str">
        <f t="shared" ref="A1987:A2050" si="93">+VLOOKUP(H1987,$K:$N,2,FALSE)</f>
        <v>19</v>
      </c>
      <c r="B1987" s="7" t="str">
        <f t="shared" ref="B1987:B2050" si="94">+VLOOKUP(H1987,$K:$N,3,FALSE)</f>
        <v>068</v>
      </c>
      <c r="C1987" s="7" t="str">
        <f t="shared" ref="C1987:C2050" si="95">+VLOOKUP(H1987,$K:$N,4,FALSE)</f>
        <v>Mar Chiquita</v>
      </c>
      <c r="D1987" s="18" t="s">
        <v>4896</v>
      </c>
      <c r="E1987" s="18">
        <v>1</v>
      </c>
      <c r="F1987" s="18">
        <v>15</v>
      </c>
      <c r="G1987" s="18">
        <v>19</v>
      </c>
      <c r="H1987" s="18" t="s">
        <v>1522</v>
      </c>
    </row>
    <row r="1988" spans="1:8">
      <c r="A1988" s="7" t="str">
        <f t="shared" si="93"/>
        <v>19</v>
      </c>
      <c r="B1988" s="7" t="str">
        <f t="shared" si="94"/>
        <v>068</v>
      </c>
      <c r="C1988" s="7" t="str">
        <f t="shared" si="95"/>
        <v>Mar Chiquita</v>
      </c>
      <c r="D1988" s="18" t="s">
        <v>4897</v>
      </c>
      <c r="E1988" s="18">
        <v>1</v>
      </c>
      <c r="F1988" s="18">
        <v>19</v>
      </c>
      <c r="G1988" s="18">
        <v>19</v>
      </c>
      <c r="H1988" s="18" t="s">
        <v>1522</v>
      </c>
    </row>
    <row r="1989" spans="1:8">
      <c r="A1989" s="7" t="str">
        <f t="shared" si="93"/>
        <v>19</v>
      </c>
      <c r="B1989" s="7" t="str">
        <f t="shared" si="94"/>
        <v>068</v>
      </c>
      <c r="C1989" s="7" t="str">
        <f t="shared" si="95"/>
        <v>Mar Chiquita</v>
      </c>
      <c r="D1989" s="18" t="s">
        <v>4898</v>
      </c>
      <c r="E1989" s="18">
        <v>1</v>
      </c>
      <c r="F1989" s="18">
        <v>16</v>
      </c>
      <c r="G1989" s="18">
        <v>19</v>
      </c>
      <c r="H1989" s="18" t="s">
        <v>1522</v>
      </c>
    </row>
    <row r="1990" spans="1:8">
      <c r="A1990" s="7" t="str">
        <f t="shared" si="93"/>
        <v>19</v>
      </c>
      <c r="B1990" s="7" t="str">
        <f t="shared" si="94"/>
        <v>068</v>
      </c>
      <c r="C1990" s="7" t="str">
        <f t="shared" si="95"/>
        <v>Mar Chiquita</v>
      </c>
      <c r="D1990" s="18" t="s">
        <v>4899</v>
      </c>
      <c r="E1990" s="18">
        <v>2</v>
      </c>
      <c r="F1990" s="18">
        <v>50</v>
      </c>
      <c r="G1990" s="18">
        <v>19</v>
      </c>
      <c r="H1990" s="18" t="s">
        <v>1522</v>
      </c>
    </row>
    <row r="1991" spans="1:8">
      <c r="A1991" s="7" t="str">
        <f t="shared" si="93"/>
        <v>19</v>
      </c>
      <c r="B1991" s="7" t="str">
        <f t="shared" si="94"/>
        <v>068</v>
      </c>
      <c r="C1991" s="7" t="str">
        <f t="shared" si="95"/>
        <v>Mar Chiquita</v>
      </c>
      <c r="D1991" s="18" t="s">
        <v>4900</v>
      </c>
      <c r="E1991" s="18">
        <v>1</v>
      </c>
      <c r="F1991" s="18">
        <v>21</v>
      </c>
      <c r="G1991" s="18">
        <v>19</v>
      </c>
      <c r="H1991" s="18" t="s">
        <v>1522</v>
      </c>
    </row>
    <row r="1992" spans="1:8">
      <c r="A1992" s="7" t="str">
        <f t="shared" si="93"/>
        <v>19</v>
      </c>
      <c r="B1992" s="7" t="str">
        <f t="shared" si="94"/>
        <v>068</v>
      </c>
      <c r="C1992" s="7" t="str">
        <f t="shared" si="95"/>
        <v>Mar Chiquita</v>
      </c>
      <c r="D1992" s="18" t="s">
        <v>4901</v>
      </c>
      <c r="E1992" s="18">
        <v>1</v>
      </c>
      <c r="F1992" s="18">
        <v>18</v>
      </c>
      <c r="G1992" s="18">
        <v>19</v>
      </c>
      <c r="H1992" s="18" t="s">
        <v>1522</v>
      </c>
    </row>
    <row r="1993" spans="1:8">
      <c r="A1993" s="7" t="str">
        <f t="shared" si="93"/>
        <v>19</v>
      </c>
      <c r="B1993" s="7" t="str">
        <f t="shared" si="94"/>
        <v>068</v>
      </c>
      <c r="C1993" s="7" t="str">
        <f t="shared" si="95"/>
        <v>Mar Chiquita</v>
      </c>
      <c r="D1993" s="18" t="s">
        <v>4902</v>
      </c>
      <c r="E1993" s="18">
        <v>1</v>
      </c>
      <c r="F1993" s="18">
        <v>16</v>
      </c>
      <c r="G1993" s="18">
        <v>19</v>
      </c>
      <c r="H1993" s="18" t="s">
        <v>1522</v>
      </c>
    </row>
    <row r="1994" spans="1:8">
      <c r="A1994" s="7" t="str">
        <f t="shared" si="93"/>
        <v>19</v>
      </c>
      <c r="B1994" s="7" t="str">
        <f t="shared" si="94"/>
        <v>068</v>
      </c>
      <c r="C1994" s="7" t="str">
        <f t="shared" si="95"/>
        <v>Mar Chiquita</v>
      </c>
      <c r="D1994" s="18" t="s">
        <v>4903</v>
      </c>
      <c r="E1994" s="18">
        <v>2</v>
      </c>
      <c r="F1994" s="18">
        <v>43</v>
      </c>
      <c r="G1994" s="18">
        <v>19</v>
      </c>
      <c r="H1994" s="18" t="s">
        <v>1522</v>
      </c>
    </row>
    <row r="1995" spans="1:8">
      <c r="A1995" s="7" t="str">
        <f t="shared" si="93"/>
        <v>19</v>
      </c>
      <c r="B1995" s="7" t="str">
        <f t="shared" si="94"/>
        <v>068</v>
      </c>
      <c r="C1995" s="7" t="str">
        <f t="shared" si="95"/>
        <v>Mar Chiquita</v>
      </c>
      <c r="D1995" s="18" t="s">
        <v>4904</v>
      </c>
      <c r="E1995" s="18">
        <v>1</v>
      </c>
      <c r="F1995" s="18">
        <v>21</v>
      </c>
      <c r="G1995" s="18">
        <v>19</v>
      </c>
      <c r="H1995" s="18" t="s">
        <v>1522</v>
      </c>
    </row>
    <row r="1996" spans="1:8">
      <c r="A1996" s="7" t="str">
        <f t="shared" si="93"/>
        <v>19</v>
      </c>
      <c r="B1996" s="7" t="str">
        <f t="shared" si="94"/>
        <v>068</v>
      </c>
      <c r="C1996" s="7" t="str">
        <f t="shared" si="95"/>
        <v>Mar Chiquita</v>
      </c>
      <c r="D1996" s="18" t="s">
        <v>4905</v>
      </c>
      <c r="E1996" s="18">
        <v>1</v>
      </c>
      <c r="F1996" s="18">
        <v>21</v>
      </c>
      <c r="G1996" s="18">
        <v>19</v>
      </c>
      <c r="H1996" s="18" t="s">
        <v>1522</v>
      </c>
    </row>
    <row r="1997" spans="1:8">
      <c r="A1997" s="7" t="str">
        <f t="shared" si="93"/>
        <v>19</v>
      </c>
      <c r="B1997" s="7" t="str">
        <f t="shared" si="94"/>
        <v>068</v>
      </c>
      <c r="C1997" s="7" t="str">
        <f t="shared" si="95"/>
        <v>Mar Chiquita</v>
      </c>
      <c r="D1997" s="18" t="s">
        <v>4906</v>
      </c>
      <c r="E1997" s="18">
        <v>1</v>
      </c>
      <c r="F1997" s="18">
        <v>24</v>
      </c>
      <c r="G1997" s="18">
        <v>19</v>
      </c>
      <c r="H1997" s="18" t="s">
        <v>1522</v>
      </c>
    </row>
    <row r="1998" spans="1:8">
      <c r="A1998" s="7" t="str">
        <f t="shared" si="93"/>
        <v>19</v>
      </c>
      <c r="B1998" s="7" t="str">
        <f t="shared" si="94"/>
        <v>068</v>
      </c>
      <c r="C1998" s="7" t="str">
        <f t="shared" si="95"/>
        <v>Mar Chiquita</v>
      </c>
      <c r="D1998" s="18" t="s">
        <v>4907</v>
      </c>
      <c r="E1998" s="18">
        <v>1</v>
      </c>
      <c r="F1998" s="18">
        <v>22</v>
      </c>
      <c r="G1998" s="18">
        <v>19</v>
      </c>
      <c r="H1998" s="18" t="s">
        <v>1522</v>
      </c>
    </row>
    <row r="1999" spans="1:8">
      <c r="A1999" s="7" t="str">
        <f t="shared" si="93"/>
        <v>19</v>
      </c>
      <c r="B1999" s="7" t="str">
        <f t="shared" si="94"/>
        <v>068</v>
      </c>
      <c r="C1999" s="7" t="str">
        <f t="shared" si="95"/>
        <v>Mar Chiquita</v>
      </c>
      <c r="D1999" s="18" t="s">
        <v>4908</v>
      </c>
      <c r="E1999" s="18">
        <v>1</v>
      </c>
      <c r="F1999" s="18">
        <v>15</v>
      </c>
      <c r="G1999" s="18">
        <v>19</v>
      </c>
      <c r="H1999" s="18" t="s">
        <v>1522</v>
      </c>
    </row>
    <row r="2000" spans="1:8">
      <c r="A2000" s="7" t="str">
        <f t="shared" si="93"/>
        <v>19</v>
      </c>
      <c r="B2000" s="7" t="str">
        <f t="shared" si="94"/>
        <v>068</v>
      </c>
      <c r="C2000" s="7" t="str">
        <f t="shared" si="95"/>
        <v>Mar Chiquita</v>
      </c>
      <c r="D2000" s="18" t="s">
        <v>4909</v>
      </c>
      <c r="E2000" s="18">
        <v>1</v>
      </c>
      <c r="F2000" s="18">
        <v>15</v>
      </c>
      <c r="G2000" s="18">
        <v>19</v>
      </c>
      <c r="H2000" s="18" t="s">
        <v>1522</v>
      </c>
    </row>
    <row r="2001" spans="1:8">
      <c r="A2001" s="7" t="str">
        <f t="shared" si="93"/>
        <v>20</v>
      </c>
      <c r="B2001" s="7" t="str">
        <f t="shared" si="94"/>
        <v>009</v>
      </c>
      <c r="C2001" s="7" t="str">
        <f t="shared" si="95"/>
        <v>Balcarce</v>
      </c>
      <c r="D2001" s="18" t="s">
        <v>4910</v>
      </c>
      <c r="E2001" s="18">
        <v>4</v>
      </c>
      <c r="F2001" s="18">
        <v>114</v>
      </c>
      <c r="G2001" s="18">
        <v>20</v>
      </c>
      <c r="H2001" s="18" t="s">
        <v>523</v>
      </c>
    </row>
    <row r="2002" spans="1:8">
      <c r="A2002" s="7" t="str">
        <f t="shared" si="93"/>
        <v>20</v>
      </c>
      <c r="B2002" s="7" t="str">
        <f t="shared" si="94"/>
        <v>009</v>
      </c>
      <c r="C2002" s="7" t="str">
        <f t="shared" si="95"/>
        <v>Balcarce</v>
      </c>
      <c r="D2002" s="18" t="s">
        <v>4911</v>
      </c>
      <c r="E2002" s="18">
        <v>1</v>
      </c>
      <c r="F2002" s="18">
        <v>9</v>
      </c>
      <c r="G2002" s="18">
        <v>20</v>
      </c>
      <c r="H2002" s="18" t="s">
        <v>523</v>
      </c>
    </row>
    <row r="2003" spans="1:8">
      <c r="A2003" s="7" t="str">
        <f t="shared" si="93"/>
        <v>20</v>
      </c>
      <c r="B2003" s="7" t="str">
        <f t="shared" si="94"/>
        <v>009</v>
      </c>
      <c r="C2003" s="7" t="str">
        <f t="shared" si="95"/>
        <v>Balcarce</v>
      </c>
      <c r="D2003" s="18" t="s">
        <v>4912</v>
      </c>
      <c r="E2003" s="18">
        <v>1</v>
      </c>
      <c r="F2003" s="18">
        <v>17</v>
      </c>
      <c r="G2003" s="18">
        <v>20</v>
      </c>
      <c r="H2003" s="18" t="s">
        <v>523</v>
      </c>
    </row>
    <row r="2004" spans="1:8">
      <c r="A2004" s="7" t="str">
        <f t="shared" si="93"/>
        <v>20</v>
      </c>
      <c r="B2004" s="7" t="str">
        <f t="shared" si="94"/>
        <v>009</v>
      </c>
      <c r="C2004" s="7" t="str">
        <f t="shared" si="95"/>
        <v>Balcarce</v>
      </c>
      <c r="D2004" s="18" t="s">
        <v>4913</v>
      </c>
      <c r="E2004" s="18">
        <v>1</v>
      </c>
      <c r="F2004" s="18">
        <v>17</v>
      </c>
      <c r="G2004" s="18">
        <v>20</v>
      </c>
      <c r="H2004" s="18" t="s">
        <v>523</v>
      </c>
    </row>
    <row r="2005" spans="1:8">
      <c r="A2005" s="7" t="str">
        <f t="shared" si="93"/>
        <v>20</v>
      </c>
      <c r="B2005" s="7" t="str">
        <f t="shared" si="94"/>
        <v>009</v>
      </c>
      <c r="C2005" s="7" t="str">
        <f t="shared" si="95"/>
        <v>Balcarce</v>
      </c>
      <c r="D2005" s="18" t="s">
        <v>4914</v>
      </c>
      <c r="E2005" s="18">
        <v>1</v>
      </c>
      <c r="F2005" s="18">
        <v>16</v>
      </c>
      <c r="G2005" s="18">
        <v>20</v>
      </c>
      <c r="H2005" s="18" t="s">
        <v>523</v>
      </c>
    </row>
    <row r="2006" spans="1:8">
      <c r="A2006" s="7" t="str">
        <f t="shared" si="93"/>
        <v>20</v>
      </c>
      <c r="B2006" s="7" t="str">
        <f t="shared" si="94"/>
        <v>060</v>
      </c>
      <c r="C2006" s="7" t="str">
        <f t="shared" si="95"/>
        <v>Lobería</v>
      </c>
      <c r="D2006" s="18" t="s">
        <v>4915</v>
      </c>
      <c r="E2006" s="18">
        <v>1</v>
      </c>
      <c r="F2006" s="18">
        <v>8</v>
      </c>
      <c r="G2006" s="18">
        <v>20</v>
      </c>
      <c r="H2006" s="18" t="s">
        <v>1339</v>
      </c>
    </row>
    <row r="2007" spans="1:8">
      <c r="A2007" s="7" t="str">
        <f t="shared" si="93"/>
        <v>20</v>
      </c>
      <c r="B2007" s="7" t="str">
        <f t="shared" si="94"/>
        <v>060</v>
      </c>
      <c r="C2007" s="7" t="str">
        <f t="shared" si="95"/>
        <v>Lobería</v>
      </c>
      <c r="D2007" s="18" t="s">
        <v>4916</v>
      </c>
      <c r="E2007" s="18">
        <v>1</v>
      </c>
      <c r="F2007" s="18">
        <v>13</v>
      </c>
      <c r="G2007" s="18">
        <v>20</v>
      </c>
      <c r="H2007" s="18" t="s">
        <v>1339</v>
      </c>
    </row>
    <row r="2008" spans="1:8">
      <c r="A2008" s="7" t="str">
        <f t="shared" si="93"/>
        <v>20</v>
      </c>
      <c r="B2008" s="7" t="str">
        <f t="shared" si="94"/>
        <v>060</v>
      </c>
      <c r="C2008" s="7" t="str">
        <f t="shared" si="95"/>
        <v>Lobería</v>
      </c>
      <c r="D2008" s="18" t="s">
        <v>4917</v>
      </c>
      <c r="E2008" s="18">
        <v>1</v>
      </c>
      <c r="F2008" s="18">
        <v>19</v>
      </c>
      <c r="G2008" s="18">
        <v>20</v>
      </c>
      <c r="H2008" s="18" t="s">
        <v>1339</v>
      </c>
    </row>
    <row r="2009" spans="1:8">
      <c r="A2009" s="7" t="str">
        <f t="shared" si="93"/>
        <v>20</v>
      </c>
      <c r="B2009" s="7" t="str">
        <f t="shared" si="94"/>
        <v>060</v>
      </c>
      <c r="C2009" s="7" t="str">
        <f t="shared" si="95"/>
        <v>Lobería</v>
      </c>
      <c r="D2009" s="18" t="s">
        <v>4918</v>
      </c>
      <c r="E2009" s="18">
        <v>1</v>
      </c>
      <c r="F2009" s="18">
        <v>20</v>
      </c>
      <c r="G2009" s="18">
        <v>20</v>
      </c>
      <c r="H2009" s="18" t="s">
        <v>1339</v>
      </c>
    </row>
    <row r="2010" spans="1:8">
      <c r="A2010" s="7" t="str">
        <f t="shared" si="93"/>
        <v>20</v>
      </c>
      <c r="B2010" s="7" t="str">
        <f t="shared" si="94"/>
        <v>060</v>
      </c>
      <c r="C2010" s="7" t="str">
        <f t="shared" si="95"/>
        <v>Lobería</v>
      </c>
      <c r="D2010" s="18" t="s">
        <v>3863</v>
      </c>
      <c r="E2010" s="18">
        <v>1</v>
      </c>
      <c r="F2010" s="18">
        <v>21</v>
      </c>
      <c r="G2010" s="18">
        <v>20</v>
      </c>
      <c r="H2010" s="18" t="s">
        <v>1339</v>
      </c>
    </row>
    <row r="2011" spans="1:8">
      <c r="A2011" s="7" t="str">
        <f t="shared" si="93"/>
        <v>20</v>
      </c>
      <c r="B2011" s="7" t="str">
        <f t="shared" si="94"/>
        <v>060</v>
      </c>
      <c r="C2011" s="7" t="str">
        <f t="shared" si="95"/>
        <v>Lobería</v>
      </c>
      <c r="D2011" s="18" t="s">
        <v>4919</v>
      </c>
      <c r="E2011" s="18">
        <v>1</v>
      </c>
      <c r="F2011" s="18">
        <v>8</v>
      </c>
      <c r="G2011" s="18">
        <v>20</v>
      </c>
      <c r="H2011" s="18" t="s">
        <v>1339</v>
      </c>
    </row>
    <row r="2012" spans="1:8">
      <c r="A2012" s="7" t="str">
        <f t="shared" si="93"/>
        <v>20</v>
      </c>
      <c r="B2012" s="7" t="str">
        <f t="shared" si="94"/>
        <v>075</v>
      </c>
      <c r="C2012" s="7" t="str">
        <f t="shared" si="95"/>
        <v>Necochea</v>
      </c>
      <c r="D2012" s="18" t="s">
        <v>4920</v>
      </c>
      <c r="E2012" s="18">
        <v>1</v>
      </c>
      <c r="F2012" s="18">
        <v>24</v>
      </c>
      <c r="G2012" s="18">
        <v>20</v>
      </c>
      <c r="H2012" s="18" t="s">
        <v>1925</v>
      </c>
    </row>
    <row r="2013" spans="1:8">
      <c r="A2013" s="7" t="str">
        <f t="shared" si="93"/>
        <v>20</v>
      </c>
      <c r="B2013" s="7" t="str">
        <f t="shared" si="94"/>
        <v>075</v>
      </c>
      <c r="C2013" s="7" t="str">
        <f t="shared" si="95"/>
        <v>Necochea</v>
      </c>
      <c r="D2013" s="18" t="s">
        <v>4921</v>
      </c>
      <c r="E2013" s="18">
        <v>1</v>
      </c>
      <c r="F2013" s="18">
        <v>29</v>
      </c>
      <c r="G2013" s="18">
        <v>20</v>
      </c>
      <c r="H2013" s="18" t="s">
        <v>1925</v>
      </c>
    </row>
    <row r="2014" spans="1:8">
      <c r="A2014" s="7" t="str">
        <f t="shared" si="93"/>
        <v>20</v>
      </c>
      <c r="B2014" s="7" t="str">
        <f t="shared" si="94"/>
        <v>075</v>
      </c>
      <c r="C2014" s="7" t="str">
        <f t="shared" si="95"/>
        <v>Necochea</v>
      </c>
      <c r="D2014" s="18" t="s">
        <v>4922</v>
      </c>
      <c r="E2014" s="18">
        <v>4</v>
      </c>
      <c r="F2014" s="18">
        <v>91</v>
      </c>
      <c r="G2014" s="18">
        <v>20</v>
      </c>
      <c r="H2014" s="18" t="s">
        <v>1925</v>
      </c>
    </row>
    <row r="2015" spans="1:8">
      <c r="A2015" s="7" t="str">
        <f t="shared" si="93"/>
        <v>20</v>
      </c>
      <c r="B2015" s="7" t="str">
        <f t="shared" si="94"/>
        <v>075</v>
      </c>
      <c r="C2015" s="7" t="str">
        <f t="shared" si="95"/>
        <v>Necochea</v>
      </c>
      <c r="D2015" s="18" t="s">
        <v>4923</v>
      </c>
      <c r="E2015" s="18">
        <v>1</v>
      </c>
      <c r="F2015" s="18">
        <v>23</v>
      </c>
      <c r="G2015" s="18">
        <v>20</v>
      </c>
      <c r="H2015" s="18" t="s">
        <v>1925</v>
      </c>
    </row>
    <row r="2016" spans="1:8">
      <c r="A2016" s="7" t="str">
        <f t="shared" si="93"/>
        <v>20</v>
      </c>
      <c r="B2016" s="7" t="str">
        <f t="shared" si="94"/>
        <v>075</v>
      </c>
      <c r="C2016" s="7" t="str">
        <f t="shared" si="95"/>
        <v>Necochea</v>
      </c>
      <c r="D2016" s="18" t="s">
        <v>4924</v>
      </c>
      <c r="E2016" s="18">
        <v>3</v>
      </c>
      <c r="F2016" s="18">
        <v>86</v>
      </c>
      <c r="G2016" s="18">
        <v>20</v>
      </c>
      <c r="H2016" s="18" t="s">
        <v>1925</v>
      </c>
    </row>
    <row r="2017" spans="1:8">
      <c r="A2017" s="7" t="str">
        <f t="shared" si="93"/>
        <v>20</v>
      </c>
      <c r="B2017" s="7" t="str">
        <f t="shared" si="94"/>
        <v>075</v>
      </c>
      <c r="C2017" s="7" t="str">
        <f t="shared" si="95"/>
        <v>Necochea</v>
      </c>
      <c r="D2017" s="18" t="s">
        <v>4925</v>
      </c>
      <c r="E2017" s="18">
        <v>1</v>
      </c>
      <c r="F2017" s="18">
        <v>25</v>
      </c>
      <c r="G2017" s="18">
        <v>20</v>
      </c>
      <c r="H2017" s="18" t="s">
        <v>1925</v>
      </c>
    </row>
    <row r="2018" spans="1:8">
      <c r="A2018" s="7" t="str">
        <f t="shared" si="93"/>
        <v>20</v>
      </c>
      <c r="B2018" s="7" t="str">
        <f t="shared" si="94"/>
        <v>075</v>
      </c>
      <c r="C2018" s="7" t="str">
        <f t="shared" si="95"/>
        <v>Necochea</v>
      </c>
      <c r="D2018" s="18" t="s">
        <v>4926</v>
      </c>
      <c r="E2018" s="18">
        <v>1</v>
      </c>
      <c r="F2018" s="18">
        <v>16</v>
      </c>
      <c r="G2018" s="18">
        <v>20</v>
      </c>
      <c r="H2018" s="18" t="s">
        <v>1925</v>
      </c>
    </row>
    <row r="2019" spans="1:8">
      <c r="A2019" s="7" t="str">
        <f t="shared" si="93"/>
        <v>20</v>
      </c>
      <c r="B2019" s="7" t="str">
        <f t="shared" si="94"/>
        <v>075</v>
      </c>
      <c r="C2019" s="7" t="str">
        <f t="shared" si="95"/>
        <v>Necochea</v>
      </c>
      <c r="D2019" s="18" t="s">
        <v>4927</v>
      </c>
      <c r="E2019" s="18">
        <v>1</v>
      </c>
      <c r="F2019" s="18">
        <v>16</v>
      </c>
      <c r="G2019" s="18">
        <v>20</v>
      </c>
      <c r="H2019" s="18" t="s">
        <v>1925</v>
      </c>
    </row>
    <row r="2020" spans="1:8">
      <c r="A2020" s="7" t="str">
        <f t="shared" si="93"/>
        <v>20</v>
      </c>
      <c r="B2020" s="7" t="str">
        <f t="shared" si="94"/>
        <v>075</v>
      </c>
      <c r="C2020" s="7" t="str">
        <f t="shared" si="95"/>
        <v>Necochea</v>
      </c>
      <c r="D2020" s="18" t="s">
        <v>4928</v>
      </c>
      <c r="E2020" s="18">
        <v>1</v>
      </c>
      <c r="F2020" s="18">
        <v>25</v>
      </c>
      <c r="G2020" s="18">
        <v>20</v>
      </c>
      <c r="H2020" s="18" t="s">
        <v>1925</v>
      </c>
    </row>
    <row r="2021" spans="1:8">
      <c r="A2021" s="7" t="str">
        <f t="shared" si="93"/>
        <v>20</v>
      </c>
      <c r="B2021" s="7" t="str">
        <f t="shared" si="94"/>
        <v>075</v>
      </c>
      <c r="C2021" s="7" t="str">
        <f t="shared" si="95"/>
        <v>Necochea</v>
      </c>
      <c r="D2021" s="18" t="s">
        <v>3926</v>
      </c>
      <c r="E2021" s="18">
        <v>1</v>
      </c>
      <c r="F2021" s="18">
        <v>19</v>
      </c>
      <c r="G2021" s="18">
        <v>20</v>
      </c>
      <c r="H2021" s="18" t="s">
        <v>1925</v>
      </c>
    </row>
    <row r="2022" spans="1:8">
      <c r="A2022" s="7" t="str">
        <f t="shared" si="93"/>
        <v>20</v>
      </c>
      <c r="B2022" s="7" t="str">
        <f t="shared" si="94"/>
        <v>075</v>
      </c>
      <c r="C2022" s="7" t="str">
        <f t="shared" si="95"/>
        <v>Necochea</v>
      </c>
      <c r="D2022" s="18" t="s">
        <v>4440</v>
      </c>
      <c r="E2022" s="18">
        <v>2</v>
      </c>
      <c r="F2022" s="18">
        <v>40</v>
      </c>
      <c r="G2022" s="18">
        <v>20</v>
      </c>
      <c r="H2022" s="18" t="s">
        <v>1925</v>
      </c>
    </row>
    <row r="2023" spans="1:8">
      <c r="A2023" s="7" t="str">
        <f t="shared" si="93"/>
        <v>20</v>
      </c>
      <c r="B2023" s="7" t="str">
        <f t="shared" si="94"/>
        <v>115</v>
      </c>
      <c r="C2023" s="7" t="str">
        <f t="shared" si="95"/>
        <v>San Cayetano</v>
      </c>
      <c r="D2023" s="18" t="s">
        <v>4929</v>
      </c>
      <c r="E2023" s="18">
        <v>2</v>
      </c>
      <c r="F2023" s="18">
        <v>25</v>
      </c>
      <c r="G2023" s="18">
        <v>20</v>
      </c>
      <c r="H2023" s="18" t="s">
        <v>2600</v>
      </c>
    </row>
    <row r="2024" spans="1:8">
      <c r="A2024" s="7" t="str">
        <f t="shared" si="93"/>
        <v>20</v>
      </c>
      <c r="B2024" s="7" t="str">
        <f t="shared" si="94"/>
        <v>115</v>
      </c>
      <c r="C2024" s="7" t="str">
        <f t="shared" si="95"/>
        <v>San Cayetano</v>
      </c>
      <c r="D2024" s="18" t="s">
        <v>4930</v>
      </c>
      <c r="E2024" s="18">
        <v>1</v>
      </c>
      <c r="F2024" s="18">
        <v>6</v>
      </c>
      <c r="G2024" s="18">
        <v>20</v>
      </c>
      <c r="H2024" s="18" t="s">
        <v>2600</v>
      </c>
    </row>
    <row r="2025" spans="1:8">
      <c r="A2025" s="7" t="str">
        <f t="shared" si="93"/>
        <v>20</v>
      </c>
      <c r="B2025" s="7" t="str">
        <f t="shared" si="94"/>
        <v>102</v>
      </c>
      <c r="C2025" s="7" t="str">
        <f t="shared" si="95"/>
        <v>Tandil</v>
      </c>
      <c r="D2025" s="18" t="s">
        <v>4931</v>
      </c>
      <c r="E2025" s="18">
        <v>2</v>
      </c>
      <c r="F2025" s="18">
        <v>43</v>
      </c>
      <c r="G2025" s="18">
        <v>20</v>
      </c>
      <c r="H2025" s="18" t="s">
        <v>2397</v>
      </c>
    </row>
    <row r="2026" spans="1:8">
      <c r="A2026" s="7" t="str">
        <f t="shared" si="93"/>
        <v>20</v>
      </c>
      <c r="B2026" s="7" t="str">
        <f t="shared" si="94"/>
        <v>102</v>
      </c>
      <c r="C2026" s="7" t="str">
        <f t="shared" si="95"/>
        <v>Tandil</v>
      </c>
      <c r="D2026" s="18" t="s">
        <v>4932</v>
      </c>
      <c r="E2026" s="18">
        <v>1</v>
      </c>
      <c r="F2026" s="18">
        <v>15</v>
      </c>
      <c r="G2026" s="18">
        <v>20</v>
      </c>
      <c r="H2026" s="18" t="s">
        <v>2397</v>
      </c>
    </row>
    <row r="2027" spans="1:8">
      <c r="A2027" s="7" t="str">
        <f t="shared" si="93"/>
        <v>20</v>
      </c>
      <c r="B2027" s="7" t="str">
        <f t="shared" si="94"/>
        <v>102</v>
      </c>
      <c r="C2027" s="7" t="str">
        <f t="shared" si="95"/>
        <v>Tandil</v>
      </c>
      <c r="D2027" s="18" t="s">
        <v>4933</v>
      </c>
      <c r="E2027" s="18">
        <v>1</v>
      </c>
      <c r="F2027" s="18">
        <v>17</v>
      </c>
      <c r="G2027" s="18">
        <v>20</v>
      </c>
      <c r="H2027" s="18" t="s">
        <v>2397</v>
      </c>
    </row>
    <row r="2028" spans="1:8">
      <c r="A2028" s="7" t="str">
        <f t="shared" si="93"/>
        <v>20</v>
      </c>
      <c r="B2028" s="7" t="str">
        <f t="shared" si="94"/>
        <v>102</v>
      </c>
      <c r="C2028" s="7" t="str">
        <f t="shared" si="95"/>
        <v>Tandil</v>
      </c>
      <c r="D2028" s="18" t="s">
        <v>4934</v>
      </c>
      <c r="E2028" s="18">
        <v>1</v>
      </c>
      <c r="F2028" s="18">
        <v>14</v>
      </c>
      <c r="G2028" s="18">
        <v>20</v>
      </c>
      <c r="H2028" s="18" t="s">
        <v>2397</v>
      </c>
    </row>
    <row r="2029" spans="1:8">
      <c r="A2029" s="7" t="str">
        <f t="shared" si="93"/>
        <v>20</v>
      </c>
      <c r="B2029" s="7" t="str">
        <f t="shared" si="94"/>
        <v>102</v>
      </c>
      <c r="C2029" s="7" t="str">
        <f t="shared" si="95"/>
        <v>Tandil</v>
      </c>
      <c r="D2029" s="18" t="s">
        <v>4935</v>
      </c>
      <c r="E2029" s="18">
        <v>1</v>
      </c>
      <c r="F2029" s="18">
        <v>15</v>
      </c>
      <c r="G2029" s="18">
        <v>20</v>
      </c>
      <c r="H2029" s="18" t="s">
        <v>2397</v>
      </c>
    </row>
    <row r="2030" spans="1:8">
      <c r="A2030" s="7" t="str">
        <f t="shared" si="93"/>
        <v>20</v>
      </c>
      <c r="B2030" s="7" t="str">
        <f t="shared" si="94"/>
        <v>102</v>
      </c>
      <c r="C2030" s="7" t="str">
        <f t="shared" si="95"/>
        <v>Tandil</v>
      </c>
      <c r="D2030" s="18" t="s">
        <v>4936</v>
      </c>
      <c r="E2030" s="18">
        <v>1</v>
      </c>
      <c r="F2030" s="18">
        <v>25</v>
      </c>
      <c r="G2030" s="18">
        <v>20</v>
      </c>
      <c r="H2030" s="18" t="s">
        <v>2397</v>
      </c>
    </row>
    <row r="2031" spans="1:8">
      <c r="A2031" s="7" t="str">
        <f t="shared" si="93"/>
        <v>20</v>
      </c>
      <c r="B2031" s="7" t="str">
        <f t="shared" si="94"/>
        <v>102</v>
      </c>
      <c r="C2031" s="7" t="str">
        <f t="shared" si="95"/>
        <v>Tandil</v>
      </c>
      <c r="D2031" s="18" t="s">
        <v>4937</v>
      </c>
      <c r="E2031" s="18">
        <v>1</v>
      </c>
      <c r="F2031" s="18">
        <v>18</v>
      </c>
      <c r="G2031" s="18">
        <v>20</v>
      </c>
      <c r="H2031" s="18" t="s">
        <v>2397</v>
      </c>
    </row>
    <row r="2032" spans="1:8">
      <c r="A2032" s="7" t="str">
        <f t="shared" si="93"/>
        <v>20</v>
      </c>
      <c r="B2032" s="7" t="str">
        <f t="shared" si="94"/>
        <v>102</v>
      </c>
      <c r="C2032" s="7" t="str">
        <f t="shared" si="95"/>
        <v>Tandil</v>
      </c>
      <c r="D2032" s="18" t="s">
        <v>4938</v>
      </c>
      <c r="E2032" s="18">
        <v>1</v>
      </c>
      <c r="F2032" s="18">
        <v>18</v>
      </c>
      <c r="G2032" s="18">
        <v>20</v>
      </c>
      <c r="H2032" s="18" t="s">
        <v>2397</v>
      </c>
    </row>
    <row r="2033" spans="1:8">
      <c r="A2033" s="7" t="str">
        <f t="shared" si="93"/>
        <v>20</v>
      </c>
      <c r="B2033" s="7" t="str">
        <f t="shared" si="94"/>
        <v>102</v>
      </c>
      <c r="C2033" s="7" t="str">
        <f t="shared" si="95"/>
        <v>Tandil</v>
      </c>
      <c r="D2033" s="18" t="s">
        <v>3751</v>
      </c>
      <c r="E2033" s="18">
        <v>1</v>
      </c>
      <c r="F2033" s="18">
        <v>17</v>
      </c>
      <c r="G2033" s="18">
        <v>20</v>
      </c>
      <c r="H2033" s="18" t="s">
        <v>2397</v>
      </c>
    </row>
    <row r="2034" spans="1:8">
      <c r="A2034" s="7" t="str">
        <f t="shared" si="93"/>
        <v>20</v>
      </c>
      <c r="B2034" s="7" t="str">
        <f t="shared" si="94"/>
        <v>102</v>
      </c>
      <c r="C2034" s="7" t="str">
        <f t="shared" si="95"/>
        <v>Tandil</v>
      </c>
      <c r="D2034" s="18" t="s">
        <v>4939</v>
      </c>
      <c r="E2034" s="18">
        <v>2</v>
      </c>
      <c r="F2034" s="18">
        <v>49</v>
      </c>
      <c r="G2034" s="18">
        <v>20</v>
      </c>
      <c r="H2034" s="18" t="s">
        <v>2397</v>
      </c>
    </row>
    <row r="2035" spans="1:8">
      <c r="A2035" s="7" t="str">
        <f t="shared" si="93"/>
        <v>20</v>
      </c>
      <c r="B2035" s="7" t="str">
        <f t="shared" si="94"/>
        <v>102</v>
      </c>
      <c r="C2035" s="7" t="str">
        <f t="shared" si="95"/>
        <v>Tandil</v>
      </c>
      <c r="D2035" s="18" t="s">
        <v>4940</v>
      </c>
      <c r="E2035" s="18">
        <v>1</v>
      </c>
      <c r="F2035" s="18">
        <v>19</v>
      </c>
      <c r="G2035" s="18">
        <v>20</v>
      </c>
      <c r="H2035" s="18" t="s">
        <v>2397</v>
      </c>
    </row>
    <row r="2036" spans="1:8">
      <c r="A2036" s="7" t="str">
        <f t="shared" si="93"/>
        <v>20</v>
      </c>
      <c r="B2036" s="7" t="str">
        <f t="shared" si="94"/>
        <v>102</v>
      </c>
      <c r="C2036" s="7" t="str">
        <f t="shared" si="95"/>
        <v>Tandil</v>
      </c>
      <c r="D2036" s="18" t="s">
        <v>4941</v>
      </c>
      <c r="E2036" s="18">
        <v>4</v>
      </c>
      <c r="F2036" s="18">
        <v>70</v>
      </c>
      <c r="G2036" s="18">
        <v>20</v>
      </c>
      <c r="H2036" s="18" t="s">
        <v>2397</v>
      </c>
    </row>
    <row r="2037" spans="1:8">
      <c r="A2037" s="7" t="str">
        <f t="shared" si="93"/>
        <v>20</v>
      </c>
      <c r="B2037" s="7" t="str">
        <f t="shared" si="94"/>
        <v>102</v>
      </c>
      <c r="C2037" s="7" t="str">
        <f t="shared" si="95"/>
        <v>Tandil</v>
      </c>
      <c r="D2037" s="18" t="s">
        <v>4942</v>
      </c>
      <c r="E2037" s="18">
        <v>6</v>
      </c>
      <c r="F2037" s="18">
        <v>142</v>
      </c>
      <c r="G2037" s="18">
        <v>20</v>
      </c>
      <c r="H2037" s="18" t="s">
        <v>2397</v>
      </c>
    </row>
    <row r="2038" spans="1:8">
      <c r="A2038" s="7" t="str">
        <f t="shared" si="93"/>
        <v>20</v>
      </c>
      <c r="B2038" s="7" t="str">
        <f t="shared" si="94"/>
        <v>102</v>
      </c>
      <c r="C2038" s="7" t="str">
        <f t="shared" si="95"/>
        <v>Tandil</v>
      </c>
      <c r="D2038" s="18" t="s">
        <v>4943</v>
      </c>
      <c r="E2038" s="18">
        <v>1</v>
      </c>
      <c r="F2038" s="18">
        <v>11</v>
      </c>
      <c r="G2038" s="18">
        <v>20</v>
      </c>
      <c r="H2038" s="18" t="s">
        <v>2397</v>
      </c>
    </row>
    <row r="2039" spans="1:8">
      <c r="A2039" s="7" t="str">
        <f t="shared" si="93"/>
        <v>20</v>
      </c>
      <c r="B2039" s="7" t="str">
        <f t="shared" si="94"/>
        <v>102</v>
      </c>
      <c r="C2039" s="7" t="str">
        <f t="shared" si="95"/>
        <v>Tandil</v>
      </c>
      <c r="D2039" s="18" t="s">
        <v>4944</v>
      </c>
      <c r="E2039" s="18">
        <v>5</v>
      </c>
      <c r="F2039" s="18">
        <v>83</v>
      </c>
      <c r="G2039" s="18">
        <v>20</v>
      </c>
      <c r="H2039" s="18" t="s">
        <v>2397</v>
      </c>
    </row>
    <row r="2040" spans="1:8">
      <c r="A2040" s="7" t="str">
        <f t="shared" si="93"/>
        <v>20</v>
      </c>
      <c r="B2040" s="7" t="str">
        <f t="shared" si="94"/>
        <v>102</v>
      </c>
      <c r="C2040" s="7" t="str">
        <f t="shared" si="95"/>
        <v>Tandil</v>
      </c>
      <c r="D2040" s="18" t="s">
        <v>4945</v>
      </c>
      <c r="E2040" s="18">
        <v>1</v>
      </c>
      <c r="F2040" s="18">
        <v>14</v>
      </c>
      <c r="G2040" s="18">
        <v>20</v>
      </c>
      <c r="H2040" s="18" t="s">
        <v>2397</v>
      </c>
    </row>
    <row r="2041" spans="1:8">
      <c r="A2041" s="7" t="str">
        <f t="shared" si="93"/>
        <v>20</v>
      </c>
      <c r="B2041" s="7" t="str">
        <f t="shared" si="94"/>
        <v>102</v>
      </c>
      <c r="C2041" s="7" t="str">
        <f t="shared" si="95"/>
        <v>Tandil</v>
      </c>
      <c r="D2041" s="18" t="s">
        <v>2420</v>
      </c>
      <c r="E2041" s="18">
        <v>1</v>
      </c>
      <c r="F2041" s="18">
        <v>20</v>
      </c>
      <c r="G2041" s="18">
        <v>20</v>
      </c>
      <c r="H2041" s="18" t="s">
        <v>2397</v>
      </c>
    </row>
    <row r="2042" spans="1:8">
      <c r="A2042" s="7" t="str">
        <f t="shared" si="93"/>
        <v>20</v>
      </c>
      <c r="B2042" s="7" t="str">
        <f t="shared" si="94"/>
        <v>102</v>
      </c>
      <c r="C2042" s="7" t="str">
        <f t="shared" si="95"/>
        <v>Tandil</v>
      </c>
      <c r="D2042" s="18" t="s">
        <v>4946</v>
      </c>
      <c r="E2042" s="18">
        <v>1</v>
      </c>
      <c r="F2042" s="18">
        <v>0</v>
      </c>
      <c r="G2042" s="18">
        <v>20</v>
      </c>
      <c r="H2042" s="18" t="s">
        <v>2397</v>
      </c>
    </row>
    <row r="2043" spans="1:8">
      <c r="A2043" s="7" t="str">
        <f t="shared" si="93"/>
        <v>20</v>
      </c>
      <c r="B2043" s="7" t="str">
        <f t="shared" si="94"/>
        <v>102</v>
      </c>
      <c r="C2043" s="7" t="str">
        <f t="shared" si="95"/>
        <v>Tandil</v>
      </c>
      <c r="D2043" s="18" t="s">
        <v>4947</v>
      </c>
      <c r="E2043" s="18">
        <v>1</v>
      </c>
      <c r="F2043" s="18">
        <v>16</v>
      </c>
      <c r="G2043" s="18">
        <v>20</v>
      </c>
      <c r="H2043" s="18" t="s">
        <v>2397</v>
      </c>
    </row>
    <row r="2044" spans="1:8">
      <c r="A2044" s="7" t="str">
        <f t="shared" si="93"/>
        <v>20</v>
      </c>
      <c r="B2044" s="7" t="str">
        <f t="shared" si="94"/>
        <v>102</v>
      </c>
      <c r="C2044" s="7" t="str">
        <f t="shared" si="95"/>
        <v>Tandil</v>
      </c>
      <c r="D2044" s="18" t="s">
        <v>4948</v>
      </c>
      <c r="E2044" s="18">
        <v>1</v>
      </c>
      <c r="F2044" s="18">
        <v>18</v>
      </c>
      <c r="G2044" s="18">
        <v>20</v>
      </c>
      <c r="H2044" s="18" t="s">
        <v>2397</v>
      </c>
    </row>
    <row r="2045" spans="1:8">
      <c r="A2045" s="7" t="str">
        <f t="shared" si="93"/>
        <v>20</v>
      </c>
      <c r="B2045" s="7" t="str">
        <f t="shared" si="94"/>
        <v>102</v>
      </c>
      <c r="C2045" s="7" t="str">
        <f t="shared" si="95"/>
        <v>Tandil</v>
      </c>
      <c r="D2045" s="18" t="s">
        <v>4949</v>
      </c>
      <c r="E2045" s="18">
        <v>1</v>
      </c>
      <c r="F2045" s="18">
        <v>17</v>
      </c>
      <c r="G2045" s="18">
        <v>20</v>
      </c>
      <c r="H2045" s="18" t="s">
        <v>2397</v>
      </c>
    </row>
    <row r="2046" spans="1:8">
      <c r="A2046" s="7" t="str">
        <f t="shared" si="93"/>
        <v>20</v>
      </c>
      <c r="B2046" s="7" t="str">
        <f t="shared" si="94"/>
        <v>102</v>
      </c>
      <c r="C2046" s="7" t="str">
        <f t="shared" si="95"/>
        <v>Tandil</v>
      </c>
      <c r="D2046" s="18" t="s">
        <v>4950</v>
      </c>
      <c r="E2046" s="18">
        <v>1</v>
      </c>
      <c r="F2046" s="18">
        <v>0</v>
      </c>
      <c r="G2046" s="18">
        <v>20</v>
      </c>
      <c r="H2046" s="18" t="s">
        <v>2397</v>
      </c>
    </row>
    <row r="2047" spans="1:8">
      <c r="A2047" s="7" t="str">
        <f t="shared" si="93"/>
        <v>20</v>
      </c>
      <c r="B2047" s="7" t="str">
        <f t="shared" si="94"/>
        <v>102</v>
      </c>
      <c r="C2047" s="7" t="str">
        <f t="shared" si="95"/>
        <v>Tandil</v>
      </c>
      <c r="D2047" s="18" t="s">
        <v>4951</v>
      </c>
      <c r="E2047" s="18">
        <v>1</v>
      </c>
      <c r="F2047" s="18">
        <v>21</v>
      </c>
      <c r="G2047" s="18">
        <v>20</v>
      </c>
      <c r="H2047" s="18" t="s">
        <v>2397</v>
      </c>
    </row>
    <row r="2048" spans="1:8">
      <c r="A2048" s="7" t="str">
        <f t="shared" si="93"/>
        <v>20</v>
      </c>
      <c r="B2048" s="7" t="str">
        <f t="shared" si="94"/>
        <v>102</v>
      </c>
      <c r="C2048" s="7" t="str">
        <f t="shared" si="95"/>
        <v>Tandil</v>
      </c>
      <c r="D2048" s="18" t="s">
        <v>4952</v>
      </c>
      <c r="E2048" s="18">
        <v>1</v>
      </c>
      <c r="F2048" s="18">
        <v>26</v>
      </c>
      <c r="G2048" s="18">
        <v>20</v>
      </c>
      <c r="H2048" s="18" t="s">
        <v>2397</v>
      </c>
    </row>
    <row r="2049" spans="1:8">
      <c r="A2049" s="7" t="str">
        <f t="shared" si="93"/>
        <v>21</v>
      </c>
      <c r="B2049" s="7" t="str">
        <f t="shared" si="94"/>
        <v>050</v>
      </c>
      <c r="C2049" s="7" t="str">
        <f t="shared" si="95"/>
        <v>Adolfo Gonzales Chaves</v>
      </c>
      <c r="D2049" s="18" t="s">
        <v>4953</v>
      </c>
      <c r="E2049" s="18">
        <v>1</v>
      </c>
      <c r="F2049" s="18">
        <v>10</v>
      </c>
      <c r="G2049" s="18">
        <v>21</v>
      </c>
      <c r="H2049" s="18" t="s">
        <v>1191</v>
      </c>
    </row>
    <row r="2050" spans="1:8">
      <c r="A2050" s="7" t="str">
        <f t="shared" si="93"/>
        <v>21</v>
      </c>
      <c r="B2050" s="7" t="str">
        <f t="shared" si="94"/>
        <v>050</v>
      </c>
      <c r="C2050" s="7" t="str">
        <f t="shared" si="95"/>
        <v>Adolfo Gonzales Chaves</v>
      </c>
      <c r="D2050" s="18" t="s">
        <v>4954</v>
      </c>
      <c r="E2050" s="18">
        <v>1</v>
      </c>
      <c r="F2050" s="18">
        <v>13</v>
      </c>
      <c r="G2050" s="18">
        <v>21</v>
      </c>
      <c r="H2050" s="18" t="s">
        <v>1191</v>
      </c>
    </row>
    <row r="2051" spans="1:8">
      <c r="A2051" s="7" t="str">
        <f t="shared" ref="A2051:A2114" si="96">+VLOOKUP(H2051,$K:$N,2,FALSE)</f>
        <v>21</v>
      </c>
      <c r="B2051" s="7" t="str">
        <f t="shared" ref="B2051:B2114" si="97">+VLOOKUP(H2051,$K:$N,3,FALSE)</f>
        <v>050</v>
      </c>
      <c r="C2051" s="7" t="str">
        <f t="shared" ref="C2051:C2114" si="98">+VLOOKUP(H2051,$K:$N,4,FALSE)</f>
        <v>Adolfo Gonzales Chaves</v>
      </c>
      <c r="D2051" s="18" t="s">
        <v>4955</v>
      </c>
      <c r="E2051" s="18">
        <v>1</v>
      </c>
      <c r="F2051" s="18">
        <v>0</v>
      </c>
      <c r="G2051" s="18">
        <v>21</v>
      </c>
      <c r="H2051" s="18" t="s">
        <v>1191</v>
      </c>
    </row>
    <row r="2052" spans="1:8">
      <c r="A2052" s="7" t="str">
        <f t="shared" si="96"/>
        <v>21</v>
      </c>
      <c r="B2052" s="7" t="str">
        <f t="shared" si="97"/>
        <v>050</v>
      </c>
      <c r="C2052" s="7" t="str">
        <f t="shared" si="98"/>
        <v>Adolfo Gonzales Chaves</v>
      </c>
      <c r="D2052" s="18" t="s">
        <v>4956</v>
      </c>
      <c r="E2052" s="18">
        <v>1</v>
      </c>
      <c r="F2052" s="18">
        <v>2</v>
      </c>
      <c r="G2052" s="18">
        <v>21</v>
      </c>
      <c r="H2052" s="18" t="s">
        <v>1191</v>
      </c>
    </row>
    <row r="2053" spans="1:8">
      <c r="A2053" s="7" t="str">
        <f t="shared" si="96"/>
        <v>21</v>
      </c>
      <c r="B2053" s="7" t="str">
        <f t="shared" si="97"/>
        <v>052</v>
      </c>
      <c r="C2053" s="7" t="str">
        <f t="shared" si="98"/>
        <v>Benito Juárez</v>
      </c>
      <c r="D2053" s="18" t="s">
        <v>1208</v>
      </c>
      <c r="E2053" s="18">
        <v>1</v>
      </c>
      <c r="F2053" s="18">
        <v>15</v>
      </c>
      <c r="G2053" s="18">
        <v>21</v>
      </c>
      <c r="H2053" s="18" t="s">
        <v>4957</v>
      </c>
    </row>
    <row r="2054" spans="1:8">
      <c r="A2054" s="7" t="str">
        <f t="shared" si="96"/>
        <v>21</v>
      </c>
      <c r="B2054" s="7" t="str">
        <f t="shared" si="97"/>
        <v>052</v>
      </c>
      <c r="C2054" s="7" t="str">
        <f t="shared" si="98"/>
        <v>Benito Juárez</v>
      </c>
      <c r="D2054" s="18" t="s">
        <v>4958</v>
      </c>
      <c r="E2054" s="18">
        <v>1</v>
      </c>
      <c r="F2054" s="18">
        <v>29</v>
      </c>
      <c r="G2054" s="18">
        <v>21</v>
      </c>
      <c r="H2054" s="18" t="s">
        <v>4957</v>
      </c>
    </row>
    <row r="2055" spans="1:8">
      <c r="A2055" s="7" t="str">
        <f t="shared" si="96"/>
        <v>21</v>
      </c>
      <c r="B2055" s="7" t="str">
        <f t="shared" si="97"/>
        <v>052</v>
      </c>
      <c r="C2055" s="7" t="str">
        <f t="shared" si="98"/>
        <v>Benito Juárez</v>
      </c>
      <c r="D2055" s="18" t="s">
        <v>4959</v>
      </c>
      <c r="E2055" s="18">
        <v>1</v>
      </c>
      <c r="F2055" s="18">
        <v>15</v>
      </c>
      <c r="G2055" s="18">
        <v>21</v>
      </c>
      <c r="H2055" s="18" t="s">
        <v>4957</v>
      </c>
    </row>
    <row r="2056" spans="1:8">
      <c r="A2056" s="7" t="str">
        <f t="shared" si="96"/>
        <v>21</v>
      </c>
      <c r="B2056" s="7" t="str">
        <f t="shared" si="97"/>
        <v>052</v>
      </c>
      <c r="C2056" s="7" t="str">
        <f t="shared" si="98"/>
        <v>Benito Juárez</v>
      </c>
      <c r="D2056" s="18" t="s">
        <v>4960</v>
      </c>
      <c r="E2056" s="18">
        <v>1</v>
      </c>
      <c r="F2056" s="18">
        <v>16</v>
      </c>
      <c r="G2056" s="18">
        <v>21</v>
      </c>
      <c r="H2056" s="18" t="s">
        <v>4957</v>
      </c>
    </row>
    <row r="2057" spans="1:8">
      <c r="A2057" s="7" t="str">
        <f t="shared" si="96"/>
        <v>21</v>
      </c>
      <c r="B2057" s="7" t="str">
        <f t="shared" si="97"/>
        <v>052</v>
      </c>
      <c r="C2057" s="7" t="str">
        <f t="shared" si="98"/>
        <v>Benito Juárez</v>
      </c>
      <c r="D2057" s="18" t="s">
        <v>4961</v>
      </c>
      <c r="E2057" s="18">
        <v>1</v>
      </c>
      <c r="F2057" s="18">
        <v>21</v>
      </c>
      <c r="G2057" s="18">
        <v>21</v>
      </c>
      <c r="H2057" s="18" t="s">
        <v>4957</v>
      </c>
    </row>
    <row r="2058" spans="1:8">
      <c r="A2058" s="7" t="str">
        <f t="shared" si="96"/>
        <v>21</v>
      </c>
      <c r="B2058" s="7" t="str">
        <f t="shared" si="97"/>
        <v>052</v>
      </c>
      <c r="C2058" s="7" t="str">
        <f t="shared" si="98"/>
        <v>Benito Juárez</v>
      </c>
      <c r="D2058" s="18" t="s">
        <v>4962</v>
      </c>
      <c r="E2058" s="18">
        <v>1</v>
      </c>
      <c r="F2058" s="18">
        <v>16</v>
      </c>
      <c r="G2058" s="18">
        <v>21</v>
      </c>
      <c r="H2058" s="18" t="s">
        <v>4957</v>
      </c>
    </row>
    <row r="2059" spans="1:8">
      <c r="A2059" s="7" t="str">
        <f t="shared" si="96"/>
        <v>21</v>
      </c>
      <c r="B2059" s="7" t="str">
        <f t="shared" si="97"/>
        <v>052</v>
      </c>
      <c r="C2059" s="7" t="str">
        <f t="shared" si="98"/>
        <v>Benito Juárez</v>
      </c>
      <c r="D2059" s="18" t="s">
        <v>4963</v>
      </c>
      <c r="E2059" s="18">
        <v>1</v>
      </c>
      <c r="F2059" s="18">
        <v>9</v>
      </c>
      <c r="G2059" s="18">
        <v>21</v>
      </c>
      <c r="H2059" s="18" t="s">
        <v>4957</v>
      </c>
    </row>
    <row r="2060" spans="1:8">
      <c r="A2060" s="7" t="str">
        <f t="shared" si="96"/>
        <v>21</v>
      </c>
      <c r="B2060" s="7" t="str">
        <f t="shared" si="97"/>
        <v>052</v>
      </c>
      <c r="C2060" s="7" t="str">
        <f t="shared" si="98"/>
        <v>Benito Juárez</v>
      </c>
      <c r="D2060" s="18" t="s">
        <v>4964</v>
      </c>
      <c r="E2060" s="18">
        <v>1</v>
      </c>
      <c r="F2060" s="18">
        <v>18</v>
      </c>
      <c r="G2060" s="18">
        <v>21</v>
      </c>
      <c r="H2060" s="18" t="s">
        <v>4957</v>
      </c>
    </row>
    <row r="2061" spans="1:8">
      <c r="A2061" s="7" t="str">
        <f t="shared" si="96"/>
        <v>21</v>
      </c>
      <c r="B2061" s="7" t="str">
        <f t="shared" si="97"/>
        <v>023</v>
      </c>
      <c r="C2061" s="7" t="str">
        <f t="shared" si="98"/>
        <v>Coronel Dorrego</v>
      </c>
      <c r="D2061" s="18" t="s">
        <v>4641</v>
      </c>
      <c r="E2061" s="18">
        <v>3</v>
      </c>
      <c r="F2061" s="18">
        <v>59</v>
      </c>
      <c r="G2061" s="18">
        <v>21</v>
      </c>
      <c r="H2061" s="18" t="s">
        <v>701</v>
      </c>
    </row>
    <row r="2062" spans="1:8">
      <c r="A2062" s="7" t="str">
        <f t="shared" si="96"/>
        <v>21</v>
      </c>
      <c r="B2062" s="7" t="str">
        <f t="shared" si="97"/>
        <v>023</v>
      </c>
      <c r="C2062" s="7" t="str">
        <f t="shared" si="98"/>
        <v>Coronel Dorrego</v>
      </c>
      <c r="D2062" s="18" t="s">
        <v>4965</v>
      </c>
      <c r="E2062" s="18">
        <v>3</v>
      </c>
      <c r="F2062" s="18">
        <v>5</v>
      </c>
      <c r="G2062" s="18">
        <v>21</v>
      </c>
      <c r="H2062" s="18" t="s">
        <v>701</v>
      </c>
    </row>
    <row r="2063" spans="1:8">
      <c r="A2063" s="7" t="str">
        <f t="shared" si="96"/>
        <v>21</v>
      </c>
      <c r="B2063" s="7" t="str">
        <f t="shared" si="97"/>
        <v>024</v>
      </c>
      <c r="C2063" s="7" t="str">
        <f t="shared" si="98"/>
        <v>Coronel Pringles</v>
      </c>
      <c r="D2063" s="18" t="s">
        <v>4966</v>
      </c>
      <c r="E2063" s="18">
        <v>1</v>
      </c>
      <c r="F2063" s="18">
        <v>12</v>
      </c>
      <c r="G2063" s="18">
        <v>21</v>
      </c>
      <c r="H2063" s="18" t="s">
        <v>710</v>
      </c>
    </row>
    <row r="2064" spans="1:8">
      <c r="A2064" s="7" t="str">
        <f t="shared" si="96"/>
        <v>21</v>
      </c>
      <c r="B2064" s="7" t="str">
        <f t="shared" si="97"/>
        <v>024</v>
      </c>
      <c r="C2064" s="7" t="str">
        <f t="shared" si="98"/>
        <v>Coronel Pringles</v>
      </c>
      <c r="D2064" s="18" t="s">
        <v>4967</v>
      </c>
      <c r="E2064" s="18">
        <v>1</v>
      </c>
      <c r="F2064" s="18">
        <v>12</v>
      </c>
      <c r="G2064" s="18">
        <v>21</v>
      </c>
      <c r="H2064" s="18" t="s">
        <v>710</v>
      </c>
    </row>
    <row r="2065" spans="1:8">
      <c r="A2065" s="7" t="str">
        <f t="shared" si="96"/>
        <v>21</v>
      </c>
      <c r="B2065" s="7" t="str">
        <f t="shared" si="97"/>
        <v>024</v>
      </c>
      <c r="C2065" s="7" t="str">
        <f t="shared" si="98"/>
        <v>Coronel Pringles</v>
      </c>
      <c r="D2065" s="18" t="s">
        <v>4968</v>
      </c>
      <c r="E2065" s="18">
        <v>1</v>
      </c>
      <c r="F2065" s="18">
        <v>13</v>
      </c>
      <c r="G2065" s="18">
        <v>21</v>
      </c>
      <c r="H2065" s="18" t="s">
        <v>710</v>
      </c>
    </row>
    <row r="2066" spans="1:8">
      <c r="A2066" s="7" t="str">
        <f t="shared" si="96"/>
        <v>21</v>
      </c>
      <c r="B2066" s="7" t="str">
        <f t="shared" si="97"/>
        <v>024</v>
      </c>
      <c r="C2066" s="7" t="str">
        <f t="shared" si="98"/>
        <v>Coronel Pringles</v>
      </c>
      <c r="D2066" s="18" t="s">
        <v>4969</v>
      </c>
      <c r="E2066" s="18">
        <v>2</v>
      </c>
      <c r="F2066" s="18">
        <v>29</v>
      </c>
      <c r="G2066" s="18">
        <v>21</v>
      </c>
      <c r="H2066" s="18" t="s">
        <v>710</v>
      </c>
    </row>
    <row r="2067" spans="1:8">
      <c r="A2067" s="7" t="str">
        <f t="shared" si="96"/>
        <v>21</v>
      </c>
      <c r="B2067" s="7" t="str">
        <f t="shared" si="97"/>
        <v>024</v>
      </c>
      <c r="C2067" s="7" t="str">
        <f t="shared" si="98"/>
        <v>Coronel Pringles</v>
      </c>
      <c r="D2067" s="18" t="s">
        <v>4970</v>
      </c>
      <c r="E2067" s="18">
        <v>1</v>
      </c>
      <c r="F2067" s="18">
        <v>8</v>
      </c>
      <c r="G2067" s="18">
        <v>21</v>
      </c>
      <c r="H2067" s="18" t="s">
        <v>710</v>
      </c>
    </row>
    <row r="2068" spans="1:8">
      <c r="A2068" s="7" t="str">
        <f t="shared" si="96"/>
        <v>21</v>
      </c>
      <c r="B2068" s="7" t="str">
        <f t="shared" si="97"/>
        <v>024</v>
      </c>
      <c r="C2068" s="7" t="str">
        <f t="shared" si="98"/>
        <v>Coronel Pringles</v>
      </c>
      <c r="D2068" s="18" t="s">
        <v>4971</v>
      </c>
      <c r="E2068" s="18">
        <v>1</v>
      </c>
      <c r="F2068" s="18">
        <v>11</v>
      </c>
      <c r="G2068" s="18">
        <v>21</v>
      </c>
      <c r="H2068" s="18" t="s">
        <v>710</v>
      </c>
    </row>
    <row r="2069" spans="1:8">
      <c r="A2069" s="7" t="str">
        <f t="shared" si="96"/>
        <v>21</v>
      </c>
      <c r="B2069" s="7" t="str">
        <f t="shared" si="97"/>
        <v>054</v>
      </c>
      <c r="C2069" s="7" t="str">
        <f t="shared" si="98"/>
        <v>Laprida</v>
      </c>
      <c r="D2069" s="18" t="s">
        <v>4972</v>
      </c>
      <c r="E2069" s="18">
        <v>3</v>
      </c>
      <c r="F2069" s="18">
        <v>49</v>
      </c>
      <c r="G2069" s="18">
        <v>21</v>
      </c>
      <c r="H2069" s="18" t="s">
        <v>1250</v>
      </c>
    </row>
    <row r="2070" spans="1:8">
      <c r="A2070" s="7" t="str">
        <f t="shared" si="96"/>
        <v>21</v>
      </c>
      <c r="B2070" s="7" t="str">
        <f t="shared" si="97"/>
        <v>054</v>
      </c>
      <c r="C2070" s="7" t="str">
        <f t="shared" si="98"/>
        <v>Laprida</v>
      </c>
      <c r="D2070" s="18" t="s">
        <v>4973</v>
      </c>
      <c r="E2070" s="18">
        <v>1</v>
      </c>
      <c r="F2070" s="18">
        <v>5</v>
      </c>
      <c r="G2070" s="18">
        <v>21</v>
      </c>
      <c r="H2070" s="18" t="s">
        <v>1250</v>
      </c>
    </row>
    <row r="2071" spans="1:8">
      <c r="A2071" s="7" t="str">
        <f t="shared" si="96"/>
        <v>21</v>
      </c>
      <c r="B2071" s="7" t="str">
        <f t="shared" si="97"/>
        <v>054</v>
      </c>
      <c r="C2071" s="7" t="str">
        <f t="shared" si="98"/>
        <v>Laprida</v>
      </c>
      <c r="D2071" s="18" t="s">
        <v>4974</v>
      </c>
      <c r="E2071" s="18">
        <v>1</v>
      </c>
      <c r="F2071" s="18">
        <v>2</v>
      </c>
      <c r="G2071" s="18">
        <v>21</v>
      </c>
      <c r="H2071" s="18" t="s">
        <v>1250</v>
      </c>
    </row>
    <row r="2072" spans="1:8">
      <c r="A2072" s="7" t="str">
        <f t="shared" si="96"/>
        <v>21</v>
      </c>
      <c r="B2072" s="7" t="str">
        <f t="shared" si="97"/>
        <v>107</v>
      </c>
      <c r="C2072" s="7" t="str">
        <f t="shared" si="98"/>
        <v>Tres Arroyos</v>
      </c>
      <c r="D2072" s="18" t="s">
        <v>4975</v>
      </c>
      <c r="E2072" s="18">
        <v>1</v>
      </c>
      <c r="F2072" s="18">
        <v>0</v>
      </c>
      <c r="G2072" s="18">
        <v>21</v>
      </c>
      <c r="H2072" s="18" t="s">
        <v>2452</v>
      </c>
    </row>
    <row r="2073" spans="1:8">
      <c r="A2073" s="7" t="str">
        <f t="shared" si="96"/>
        <v>21</v>
      </c>
      <c r="B2073" s="7" t="str">
        <f t="shared" si="97"/>
        <v>107</v>
      </c>
      <c r="C2073" s="7" t="str">
        <f t="shared" si="98"/>
        <v>Tres Arroyos</v>
      </c>
      <c r="D2073" s="18" t="s">
        <v>4976</v>
      </c>
      <c r="E2073" s="18">
        <v>1</v>
      </c>
      <c r="F2073" s="18">
        <v>0</v>
      </c>
      <c r="G2073" s="18">
        <v>21</v>
      </c>
      <c r="H2073" s="18" t="s">
        <v>2452</v>
      </c>
    </row>
    <row r="2074" spans="1:8">
      <c r="A2074" s="7" t="str">
        <f t="shared" si="96"/>
        <v>21</v>
      </c>
      <c r="B2074" s="7" t="str">
        <f t="shared" si="97"/>
        <v>107</v>
      </c>
      <c r="C2074" s="7" t="str">
        <f t="shared" si="98"/>
        <v>Tres Arroyos</v>
      </c>
      <c r="D2074" s="18" t="s">
        <v>4977</v>
      </c>
      <c r="E2074" s="18">
        <v>1</v>
      </c>
      <c r="F2074" s="18">
        <v>0</v>
      </c>
      <c r="G2074" s="18">
        <v>21</v>
      </c>
      <c r="H2074" s="18" t="s">
        <v>2452</v>
      </c>
    </row>
    <row r="2075" spans="1:8">
      <c r="A2075" s="7" t="str">
        <f t="shared" si="96"/>
        <v>21</v>
      </c>
      <c r="B2075" s="7" t="str">
        <f t="shared" si="97"/>
        <v>107</v>
      </c>
      <c r="C2075" s="7" t="str">
        <f t="shared" si="98"/>
        <v>Tres Arroyos</v>
      </c>
      <c r="D2075" s="18" t="s">
        <v>4978</v>
      </c>
      <c r="E2075" s="18">
        <v>1</v>
      </c>
      <c r="F2075" s="18">
        <v>0</v>
      </c>
      <c r="G2075" s="18">
        <v>21</v>
      </c>
      <c r="H2075" s="18" t="s">
        <v>2452</v>
      </c>
    </row>
    <row r="2076" spans="1:8">
      <c r="A2076" s="7" t="str">
        <f t="shared" si="96"/>
        <v>21</v>
      </c>
      <c r="B2076" s="7" t="str">
        <f t="shared" si="97"/>
        <v>107</v>
      </c>
      <c r="C2076" s="7" t="str">
        <f t="shared" si="98"/>
        <v>Tres Arroyos</v>
      </c>
      <c r="D2076" s="18" t="s">
        <v>4979</v>
      </c>
      <c r="E2076" s="18">
        <v>2</v>
      </c>
      <c r="F2076" s="18">
        <v>36</v>
      </c>
      <c r="G2076" s="18">
        <v>21</v>
      </c>
      <c r="H2076" s="18" t="s">
        <v>2452</v>
      </c>
    </row>
    <row r="2077" spans="1:8">
      <c r="A2077" s="7" t="str">
        <f t="shared" si="96"/>
        <v>21</v>
      </c>
      <c r="B2077" s="7" t="str">
        <f t="shared" si="97"/>
        <v>107</v>
      </c>
      <c r="C2077" s="7" t="str">
        <f t="shared" si="98"/>
        <v>Tres Arroyos</v>
      </c>
      <c r="D2077" s="18" t="s">
        <v>4980</v>
      </c>
      <c r="E2077" s="18">
        <v>1</v>
      </c>
      <c r="F2077" s="18">
        <v>0</v>
      </c>
      <c r="G2077" s="18">
        <v>21</v>
      </c>
      <c r="H2077" s="18" t="s">
        <v>2452</v>
      </c>
    </row>
    <row r="2078" spans="1:8">
      <c r="A2078" s="7" t="str">
        <f t="shared" si="96"/>
        <v>21</v>
      </c>
      <c r="B2078" s="7" t="str">
        <f t="shared" si="97"/>
        <v>107</v>
      </c>
      <c r="C2078" s="7" t="str">
        <f t="shared" si="98"/>
        <v>Tres Arroyos</v>
      </c>
      <c r="D2078" s="18" t="s">
        <v>3926</v>
      </c>
      <c r="E2078" s="18">
        <v>1</v>
      </c>
      <c r="F2078" s="18">
        <v>13</v>
      </c>
      <c r="G2078" s="18">
        <v>21</v>
      </c>
      <c r="H2078" s="18" t="s">
        <v>2452</v>
      </c>
    </row>
    <row r="2079" spans="1:8">
      <c r="A2079" s="7" t="str">
        <f t="shared" si="96"/>
        <v>21</v>
      </c>
      <c r="B2079" s="7" t="str">
        <f t="shared" si="97"/>
        <v>107</v>
      </c>
      <c r="C2079" s="7" t="str">
        <f t="shared" si="98"/>
        <v>Tres Arroyos</v>
      </c>
      <c r="D2079" s="18" t="s">
        <v>4981</v>
      </c>
      <c r="E2079" s="18">
        <v>1</v>
      </c>
      <c r="F2079" s="18">
        <v>0</v>
      </c>
      <c r="G2079" s="18">
        <v>21</v>
      </c>
      <c r="H2079" s="18" t="s">
        <v>2452</v>
      </c>
    </row>
    <row r="2080" spans="1:8">
      <c r="A2080" s="7" t="str">
        <f t="shared" si="96"/>
        <v>22</v>
      </c>
      <c r="B2080" s="7" t="str">
        <f t="shared" si="97"/>
        <v>008</v>
      </c>
      <c r="C2080" s="7" t="str">
        <f t="shared" si="98"/>
        <v>Bahía Blanca</v>
      </c>
      <c r="D2080" s="18" t="s">
        <v>4983</v>
      </c>
      <c r="E2080" s="18">
        <v>1</v>
      </c>
      <c r="F2080" s="18">
        <v>23</v>
      </c>
      <c r="G2080" s="18">
        <v>22</v>
      </c>
      <c r="H2080" s="18" t="s">
        <v>4982</v>
      </c>
    </row>
    <row r="2081" spans="1:8">
      <c r="A2081" s="7" t="str">
        <f t="shared" si="96"/>
        <v>22</v>
      </c>
      <c r="B2081" s="7" t="str">
        <f t="shared" si="97"/>
        <v>008</v>
      </c>
      <c r="C2081" s="7" t="str">
        <f t="shared" si="98"/>
        <v>Bahía Blanca</v>
      </c>
      <c r="D2081" s="18" t="s">
        <v>4984</v>
      </c>
      <c r="E2081" s="18">
        <v>1</v>
      </c>
      <c r="F2081" s="18">
        <v>22</v>
      </c>
      <c r="G2081" s="18">
        <v>22</v>
      </c>
      <c r="H2081" s="18" t="s">
        <v>4982</v>
      </c>
    </row>
    <row r="2082" spans="1:8">
      <c r="A2082" s="7" t="str">
        <f t="shared" si="96"/>
        <v>22</v>
      </c>
      <c r="B2082" s="7" t="str">
        <f t="shared" si="97"/>
        <v>008</v>
      </c>
      <c r="C2082" s="7" t="str">
        <f t="shared" si="98"/>
        <v>Bahía Blanca</v>
      </c>
      <c r="D2082" s="18" t="s">
        <v>4985</v>
      </c>
      <c r="E2082" s="18">
        <v>1</v>
      </c>
      <c r="F2082" s="18">
        <v>23</v>
      </c>
      <c r="G2082" s="18">
        <v>22</v>
      </c>
      <c r="H2082" s="18" t="s">
        <v>4982</v>
      </c>
    </row>
    <row r="2083" spans="1:8">
      <c r="A2083" s="7" t="str">
        <f t="shared" si="96"/>
        <v>22</v>
      </c>
      <c r="B2083" s="7" t="str">
        <f t="shared" si="97"/>
        <v>008</v>
      </c>
      <c r="C2083" s="7" t="str">
        <f t="shared" si="98"/>
        <v>Bahía Blanca</v>
      </c>
      <c r="D2083" s="18" t="s">
        <v>4986</v>
      </c>
      <c r="E2083" s="18">
        <v>1</v>
      </c>
      <c r="F2083" s="18">
        <v>33</v>
      </c>
      <c r="G2083" s="18">
        <v>22</v>
      </c>
      <c r="H2083" s="18" t="s">
        <v>4982</v>
      </c>
    </row>
    <row r="2084" spans="1:8">
      <c r="A2084" s="7" t="str">
        <f t="shared" si="96"/>
        <v>22</v>
      </c>
      <c r="B2084" s="7" t="str">
        <f t="shared" si="97"/>
        <v>008</v>
      </c>
      <c r="C2084" s="7" t="str">
        <f t="shared" si="98"/>
        <v>Bahía Blanca</v>
      </c>
      <c r="D2084" s="18" t="s">
        <v>4987</v>
      </c>
      <c r="E2084" s="18">
        <v>1</v>
      </c>
      <c r="F2084" s="18">
        <v>15</v>
      </c>
      <c r="G2084" s="18">
        <v>22</v>
      </c>
      <c r="H2084" s="18" t="s">
        <v>4982</v>
      </c>
    </row>
    <row r="2085" spans="1:8">
      <c r="A2085" s="7" t="str">
        <f t="shared" si="96"/>
        <v>22</v>
      </c>
      <c r="B2085" s="7" t="str">
        <f t="shared" si="97"/>
        <v>008</v>
      </c>
      <c r="C2085" s="7" t="str">
        <f t="shared" si="98"/>
        <v>Bahía Blanca</v>
      </c>
      <c r="D2085" s="18" t="s">
        <v>4988</v>
      </c>
      <c r="E2085" s="18">
        <v>1</v>
      </c>
      <c r="F2085" s="18">
        <v>15</v>
      </c>
      <c r="G2085" s="18">
        <v>22</v>
      </c>
      <c r="H2085" s="18" t="s">
        <v>4982</v>
      </c>
    </row>
    <row r="2086" spans="1:8">
      <c r="A2086" s="7" t="str">
        <f t="shared" si="96"/>
        <v>22</v>
      </c>
      <c r="B2086" s="7" t="str">
        <f t="shared" si="97"/>
        <v>008</v>
      </c>
      <c r="C2086" s="7" t="str">
        <f t="shared" si="98"/>
        <v>Bahía Blanca</v>
      </c>
      <c r="D2086" s="18" t="s">
        <v>4989</v>
      </c>
      <c r="E2086" s="18">
        <v>5</v>
      </c>
      <c r="F2086" s="18">
        <v>128</v>
      </c>
      <c r="G2086" s="18">
        <v>22</v>
      </c>
      <c r="H2086" s="18" t="s">
        <v>4982</v>
      </c>
    </row>
    <row r="2087" spans="1:8">
      <c r="A2087" s="7" t="str">
        <f t="shared" si="96"/>
        <v>22</v>
      </c>
      <c r="B2087" s="7" t="str">
        <f t="shared" si="97"/>
        <v>008</v>
      </c>
      <c r="C2087" s="7" t="str">
        <f t="shared" si="98"/>
        <v>Bahía Blanca</v>
      </c>
      <c r="D2087" s="18" t="s">
        <v>4990</v>
      </c>
      <c r="E2087" s="18">
        <v>1</v>
      </c>
      <c r="F2087" s="18">
        <v>14</v>
      </c>
      <c r="G2087" s="18">
        <v>22</v>
      </c>
      <c r="H2087" s="18" t="s">
        <v>4982</v>
      </c>
    </row>
    <row r="2088" spans="1:8">
      <c r="A2088" s="7" t="str">
        <f t="shared" si="96"/>
        <v>22</v>
      </c>
      <c r="B2088" s="7" t="str">
        <f t="shared" si="97"/>
        <v>008</v>
      </c>
      <c r="C2088" s="7" t="str">
        <f t="shared" si="98"/>
        <v>Bahía Blanca</v>
      </c>
      <c r="D2088" s="18" t="s">
        <v>4991</v>
      </c>
      <c r="E2088" s="18">
        <v>1</v>
      </c>
      <c r="F2088" s="18">
        <v>32</v>
      </c>
      <c r="G2088" s="18">
        <v>22</v>
      </c>
      <c r="H2088" s="18" t="s">
        <v>4982</v>
      </c>
    </row>
    <row r="2089" spans="1:8">
      <c r="A2089" s="7" t="str">
        <f t="shared" si="96"/>
        <v>22</v>
      </c>
      <c r="B2089" s="7" t="str">
        <f t="shared" si="97"/>
        <v>008</v>
      </c>
      <c r="C2089" s="7" t="str">
        <f t="shared" si="98"/>
        <v>Bahía Blanca</v>
      </c>
      <c r="D2089" s="18" t="s">
        <v>4992</v>
      </c>
      <c r="E2089" s="18">
        <v>1</v>
      </c>
      <c r="F2089" s="18">
        <v>18</v>
      </c>
      <c r="G2089" s="18">
        <v>22</v>
      </c>
      <c r="H2089" s="18" t="s">
        <v>4982</v>
      </c>
    </row>
    <row r="2090" spans="1:8">
      <c r="A2090" s="7" t="str">
        <f t="shared" si="96"/>
        <v>22</v>
      </c>
      <c r="B2090" s="7" t="str">
        <f t="shared" si="97"/>
        <v>008</v>
      </c>
      <c r="C2090" s="7" t="str">
        <f t="shared" si="98"/>
        <v>Bahía Blanca</v>
      </c>
      <c r="D2090" s="18" t="s">
        <v>4993</v>
      </c>
      <c r="E2090" s="18">
        <v>1</v>
      </c>
      <c r="F2090" s="18">
        <v>28</v>
      </c>
      <c r="G2090" s="18">
        <v>22</v>
      </c>
      <c r="H2090" s="18" t="s">
        <v>4982</v>
      </c>
    </row>
    <row r="2091" spans="1:8">
      <c r="A2091" s="7" t="str">
        <f t="shared" si="96"/>
        <v>22</v>
      </c>
      <c r="B2091" s="7" t="str">
        <f t="shared" si="97"/>
        <v>008</v>
      </c>
      <c r="C2091" s="7" t="str">
        <f t="shared" si="98"/>
        <v>Bahía Blanca</v>
      </c>
      <c r="D2091" s="18" t="s">
        <v>4994</v>
      </c>
      <c r="E2091" s="18">
        <v>1</v>
      </c>
      <c r="F2091" s="18">
        <v>16</v>
      </c>
      <c r="G2091" s="18">
        <v>22</v>
      </c>
      <c r="H2091" s="18" t="s">
        <v>4982</v>
      </c>
    </row>
    <row r="2092" spans="1:8">
      <c r="A2092" s="7" t="str">
        <f t="shared" si="96"/>
        <v>22</v>
      </c>
      <c r="B2092" s="7" t="str">
        <f t="shared" si="97"/>
        <v>008</v>
      </c>
      <c r="C2092" s="7" t="str">
        <f t="shared" si="98"/>
        <v>Bahía Blanca</v>
      </c>
      <c r="D2092" s="18" t="s">
        <v>4995</v>
      </c>
      <c r="E2092" s="18">
        <v>1</v>
      </c>
      <c r="F2092" s="18">
        <v>28</v>
      </c>
      <c r="G2092" s="18">
        <v>22</v>
      </c>
      <c r="H2092" s="18" t="s">
        <v>4982</v>
      </c>
    </row>
    <row r="2093" spans="1:8">
      <c r="A2093" s="7" t="str">
        <f t="shared" si="96"/>
        <v>22</v>
      </c>
      <c r="B2093" s="7" t="str">
        <f t="shared" si="97"/>
        <v>008</v>
      </c>
      <c r="C2093" s="7" t="str">
        <f t="shared" si="98"/>
        <v>Bahía Blanca</v>
      </c>
      <c r="D2093" s="18" t="s">
        <v>4996</v>
      </c>
      <c r="E2093" s="18">
        <v>1</v>
      </c>
      <c r="F2093" s="18">
        <v>16</v>
      </c>
      <c r="G2093" s="18">
        <v>22</v>
      </c>
      <c r="H2093" s="18" t="s">
        <v>4982</v>
      </c>
    </row>
    <row r="2094" spans="1:8">
      <c r="A2094" s="7" t="str">
        <f t="shared" si="96"/>
        <v>22</v>
      </c>
      <c r="B2094" s="7" t="str">
        <f t="shared" si="97"/>
        <v>008</v>
      </c>
      <c r="C2094" s="7" t="str">
        <f t="shared" si="98"/>
        <v>Bahía Blanca</v>
      </c>
      <c r="D2094" s="18" t="s">
        <v>4997</v>
      </c>
      <c r="E2094" s="18">
        <v>1</v>
      </c>
      <c r="F2094" s="18">
        <v>22</v>
      </c>
      <c r="G2094" s="18">
        <v>22</v>
      </c>
      <c r="H2094" s="18" t="s">
        <v>4982</v>
      </c>
    </row>
    <row r="2095" spans="1:8">
      <c r="A2095" s="7" t="str">
        <f t="shared" si="96"/>
        <v>22</v>
      </c>
      <c r="B2095" s="7" t="str">
        <f t="shared" si="97"/>
        <v>008</v>
      </c>
      <c r="C2095" s="7" t="str">
        <f t="shared" si="98"/>
        <v>Bahía Blanca</v>
      </c>
      <c r="D2095" s="18" t="s">
        <v>4998</v>
      </c>
      <c r="E2095" s="18">
        <v>1</v>
      </c>
      <c r="F2095" s="18">
        <v>15</v>
      </c>
      <c r="G2095" s="18">
        <v>22</v>
      </c>
      <c r="H2095" s="18" t="s">
        <v>4982</v>
      </c>
    </row>
    <row r="2096" spans="1:8">
      <c r="A2096" s="7" t="str">
        <f t="shared" si="96"/>
        <v>22</v>
      </c>
      <c r="B2096" s="7" t="str">
        <f t="shared" si="97"/>
        <v>008</v>
      </c>
      <c r="C2096" s="7" t="str">
        <f t="shared" si="98"/>
        <v>Bahía Blanca</v>
      </c>
      <c r="D2096" s="18" t="s">
        <v>4999</v>
      </c>
      <c r="E2096" s="18">
        <v>1</v>
      </c>
      <c r="F2096" s="18">
        <v>22</v>
      </c>
      <c r="G2096" s="18">
        <v>22</v>
      </c>
      <c r="H2096" s="18" t="s">
        <v>4982</v>
      </c>
    </row>
    <row r="2097" spans="1:8">
      <c r="A2097" s="7" t="str">
        <f t="shared" si="96"/>
        <v>22</v>
      </c>
      <c r="B2097" s="7" t="str">
        <f t="shared" si="97"/>
        <v>008</v>
      </c>
      <c r="C2097" s="7" t="str">
        <f t="shared" si="98"/>
        <v>Bahía Blanca</v>
      </c>
      <c r="D2097" s="18" t="s">
        <v>5000</v>
      </c>
      <c r="E2097" s="18">
        <v>1</v>
      </c>
      <c r="F2097" s="18">
        <v>21</v>
      </c>
      <c r="G2097" s="18">
        <v>22</v>
      </c>
      <c r="H2097" s="18" t="s">
        <v>4982</v>
      </c>
    </row>
    <row r="2098" spans="1:8">
      <c r="A2098" s="7" t="str">
        <f t="shared" si="96"/>
        <v>22</v>
      </c>
      <c r="B2098" s="7" t="str">
        <f t="shared" si="97"/>
        <v>078</v>
      </c>
      <c r="C2098" s="7" t="str">
        <f t="shared" si="98"/>
        <v>Patagones</v>
      </c>
      <c r="D2098" s="18" t="s">
        <v>4339</v>
      </c>
      <c r="E2098" s="18">
        <v>1</v>
      </c>
      <c r="F2098" s="18">
        <v>21</v>
      </c>
      <c r="G2098" s="18">
        <v>22</v>
      </c>
      <c r="H2098" s="18" t="s">
        <v>5001</v>
      </c>
    </row>
    <row r="2099" spans="1:8">
      <c r="A2099" s="7" t="str">
        <f t="shared" si="96"/>
        <v>22</v>
      </c>
      <c r="B2099" s="7" t="str">
        <f t="shared" si="97"/>
        <v>078</v>
      </c>
      <c r="C2099" s="7" t="str">
        <f t="shared" si="98"/>
        <v>Patagones</v>
      </c>
      <c r="D2099" s="18" t="s">
        <v>5002</v>
      </c>
      <c r="E2099" s="18">
        <v>1</v>
      </c>
      <c r="F2099" s="18">
        <v>17</v>
      </c>
      <c r="G2099" s="18">
        <v>22</v>
      </c>
      <c r="H2099" s="18" t="s">
        <v>5001</v>
      </c>
    </row>
    <row r="2100" spans="1:8">
      <c r="A2100" s="7" t="str">
        <f t="shared" si="96"/>
        <v>22</v>
      </c>
      <c r="B2100" s="7" t="str">
        <f t="shared" si="97"/>
        <v>078</v>
      </c>
      <c r="C2100" s="7" t="str">
        <f t="shared" si="98"/>
        <v>Patagones</v>
      </c>
      <c r="D2100" s="18" t="s">
        <v>5003</v>
      </c>
      <c r="E2100" s="18">
        <v>1</v>
      </c>
      <c r="F2100" s="18">
        <v>18</v>
      </c>
      <c r="G2100" s="18">
        <v>22</v>
      </c>
      <c r="H2100" s="18" t="s">
        <v>5001</v>
      </c>
    </row>
    <row r="2101" spans="1:8">
      <c r="A2101" s="7" t="str">
        <f t="shared" si="96"/>
        <v>22</v>
      </c>
      <c r="B2101" s="7" t="str">
        <f t="shared" si="97"/>
        <v>078</v>
      </c>
      <c r="C2101" s="7" t="str">
        <f t="shared" si="98"/>
        <v>Patagones</v>
      </c>
      <c r="D2101" s="18" t="s">
        <v>5004</v>
      </c>
      <c r="E2101" s="18">
        <v>1</v>
      </c>
      <c r="F2101" s="18">
        <v>14</v>
      </c>
      <c r="G2101" s="18">
        <v>22</v>
      </c>
      <c r="H2101" s="18" t="s">
        <v>5001</v>
      </c>
    </row>
    <row r="2102" spans="1:8">
      <c r="A2102" s="7" t="str">
        <f t="shared" si="96"/>
        <v>22</v>
      </c>
      <c r="B2102" s="7" t="str">
        <f t="shared" si="97"/>
        <v>078</v>
      </c>
      <c r="C2102" s="7" t="str">
        <f t="shared" si="98"/>
        <v>Patagones</v>
      </c>
      <c r="D2102" s="18" t="s">
        <v>5005</v>
      </c>
      <c r="E2102" s="18">
        <v>1</v>
      </c>
      <c r="F2102" s="18">
        <v>10</v>
      </c>
      <c r="G2102" s="18">
        <v>22</v>
      </c>
      <c r="H2102" s="18" t="s">
        <v>5001</v>
      </c>
    </row>
    <row r="2103" spans="1:8">
      <c r="A2103" s="7" t="str">
        <f t="shared" si="96"/>
        <v>22</v>
      </c>
      <c r="B2103" s="7" t="str">
        <f t="shared" si="97"/>
        <v>078</v>
      </c>
      <c r="C2103" s="7" t="str">
        <f t="shared" si="98"/>
        <v>Patagones</v>
      </c>
      <c r="D2103" s="18" t="s">
        <v>5006</v>
      </c>
      <c r="E2103" s="18">
        <v>1</v>
      </c>
      <c r="F2103" s="18">
        <v>26</v>
      </c>
      <c r="G2103" s="18">
        <v>22</v>
      </c>
      <c r="H2103" s="18" t="s">
        <v>5001</v>
      </c>
    </row>
    <row r="2104" spans="1:8">
      <c r="A2104" s="7" t="str">
        <f t="shared" si="96"/>
        <v>22</v>
      </c>
      <c r="B2104" s="7" t="str">
        <f t="shared" si="97"/>
        <v>078</v>
      </c>
      <c r="C2104" s="7" t="str">
        <f t="shared" si="98"/>
        <v>Patagones</v>
      </c>
      <c r="D2104" s="18" t="s">
        <v>4144</v>
      </c>
      <c r="E2104" s="18">
        <v>3</v>
      </c>
      <c r="F2104" s="18">
        <v>52</v>
      </c>
      <c r="G2104" s="18">
        <v>22</v>
      </c>
      <c r="H2104" s="18" t="s">
        <v>5001</v>
      </c>
    </row>
    <row r="2105" spans="1:8">
      <c r="A2105" s="7" t="str">
        <f t="shared" si="96"/>
        <v>22</v>
      </c>
      <c r="B2105" s="7" t="str">
        <f t="shared" si="97"/>
        <v>078</v>
      </c>
      <c r="C2105" s="7" t="str">
        <f t="shared" si="98"/>
        <v>Patagones</v>
      </c>
      <c r="D2105" s="18" t="s">
        <v>5007</v>
      </c>
      <c r="E2105" s="18">
        <v>1</v>
      </c>
      <c r="F2105" s="18">
        <v>29</v>
      </c>
      <c r="G2105" s="18">
        <v>22</v>
      </c>
      <c r="H2105" s="18" t="s">
        <v>5001</v>
      </c>
    </row>
    <row r="2106" spans="1:8">
      <c r="A2106" s="7" t="str">
        <f t="shared" si="96"/>
        <v>22</v>
      </c>
      <c r="B2106" s="7" t="str">
        <f t="shared" si="97"/>
        <v>078</v>
      </c>
      <c r="C2106" s="7" t="str">
        <f t="shared" si="98"/>
        <v>Patagones</v>
      </c>
      <c r="D2106" s="18" t="s">
        <v>5008</v>
      </c>
      <c r="E2106" s="18">
        <v>1</v>
      </c>
      <c r="F2106" s="18">
        <v>14</v>
      </c>
      <c r="G2106" s="18">
        <v>22</v>
      </c>
      <c r="H2106" s="18" t="s">
        <v>5001</v>
      </c>
    </row>
    <row r="2107" spans="1:8">
      <c r="A2107" s="7" t="str">
        <f t="shared" si="96"/>
        <v>22</v>
      </c>
      <c r="B2107" s="7" t="str">
        <f t="shared" si="97"/>
        <v>112</v>
      </c>
      <c r="C2107" s="7" t="str">
        <f t="shared" si="98"/>
        <v>Coronel de Marina L. Rosales</v>
      </c>
      <c r="D2107" s="18" t="s">
        <v>5010</v>
      </c>
      <c r="E2107" s="18">
        <v>2</v>
      </c>
      <c r="F2107" s="18">
        <v>27</v>
      </c>
      <c r="G2107" s="18">
        <v>22</v>
      </c>
      <c r="H2107" s="18" t="s">
        <v>5009</v>
      </c>
    </row>
    <row r="2108" spans="1:8">
      <c r="A2108" s="7" t="str">
        <f t="shared" si="96"/>
        <v>22</v>
      </c>
      <c r="B2108" s="7" t="str">
        <f t="shared" si="97"/>
        <v>112</v>
      </c>
      <c r="C2108" s="7" t="str">
        <f t="shared" si="98"/>
        <v>Coronel de Marina L. Rosales</v>
      </c>
      <c r="D2108" s="18" t="s">
        <v>4673</v>
      </c>
      <c r="E2108" s="18">
        <v>1</v>
      </c>
      <c r="F2108" s="18">
        <v>21</v>
      </c>
      <c r="G2108" s="18">
        <v>22</v>
      </c>
      <c r="H2108" s="18" t="s">
        <v>5009</v>
      </c>
    </row>
    <row r="2109" spans="1:8">
      <c r="A2109" s="7" t="str">
        <f t="shared" si="96"/>
        <v>22</v>
      </c>
      <c r="B2109" s="7" t="str">
        <f t="shared" si="97"/>
        <v>110</v>
      </c>
      <c r="C2109" s="7" t="str">
        <f t="shared" si="98"/>
        <v>Villarino</v>
      </c>
      <c r="D2109" s="18" t="s">
        <v>5011</v>
      </c>
      <c r="E2109" s="18">
        <v>2</v>
      </c>
      <c r="F2109" s="18">
        <v>5</v>
      </c>
      <c r="G2109" s="18">
        <v>22</v>
      </c>
      <c r="H2109" s="18" t="s">
        <v>2491</v>
      </c>
    </row>
    <row r="2110" spans="1:8">
      <c r="A2110" s="7" t="str">
        <f t="shared" si="96"/>
        <v>22</v>
      </c>
      <c r="B2110" s="7" t="str">
        <f t="shared" si="97"/>
        <v>110</v>
      </c>
      <c r="C2110" s="7" t="str">
        <f t="shared" si="98"/>
        <v>Villarino</v>
      </c>
      <c r="D2110" s="18" t="s">
        <v>5012</v>
      </c>
      <c r="E2110" s="18">
        <v>2</v>
      </c>
      <c r="F2110" s="18">
        <v>20</v>
      </c>
      <c r="G2110" s="18">
        <v>22</v>
      </c>
      <c r="H2110" s="18" t="s">
        <v>2491</v>
      </c>
    </row>
    <row r="2111" spans="1:8">
      <c r="A2111" s="7" t="str">
        <f t="shared" si="96"/>
        <v>22</v>
      </c>
      <c r="B2111" s="7" t="str">
        <f t="shared" si="97"/>
        <v>110</v>
      </c>
      <c r="C2111" s="7" t="str">
        <f t="shared" si="98"/>
        <v>Villarino</v>
      </c>
      <c r="D2111" s="18" t="s">
        <v>5013</v>
      </c>
      <c r="E2111" s="18">
        <v>2</v>
      </c>
      <c r="F2111" s="18">
        <v>48</v>
      </c>
      <c r="G2111" s="18">
        <v>22</v>
      </c>
      <c r="H2111" s="18" t="s">
        <v>2491</v>
      </c>
    </row>
    <row r="2112" spans="1:8">
      <c r="A2112" s="7" t="str">
        <f t="shared" si="96"/>
        <v>23</v>
      </c>
      <c r="B2112" s="7" t="str">
        <f t="shared" si="97"/>
        <v>002</v>
      </c>
      <c r="C2112" s="7" t="str">
        <f t="shared" si="98"/>
        <v>Adolfo Alsina</v>
      </c>
      <c r="D2112" s="18" t="s">
        <v>5014</v>
      </c>
      <c r="E2112" s="18">
        <v>1</v>
      </c>
      <c r="F2112" s="18">
        <v>9</v>
      </c>
      <c r="G2112" s="18">
        <v>23</v>
      </c>
      <c r="H2112" s="18" t="s">
        <v>231</v>
      </c>
    </row>
    <row r="2113" spans="1:8">
      <c r="A2113" s="7" t="str">
        <f t="shared" si="96"/>
        <v>23</v>
      </c>
      <c r="B2113" s="7" t="str">
        <f t="shared" si="97"/>
        <v>002</v>
      </c>
      <c r="C2113" s="7" t="str">
        <f t="shared" si="98"/>
        <v>Adolfo Alsina</v>
      </c>
      <c r="D2113" s="18" t="s">
        <v>5015</v>
      </c>
      <c r="E2113" s="18">
        <v>1</v>
      </c>
      <c r="F2113" s="18">
        <v>0</v>
      </c>
      <c r="G2113" s="18">
        <v>23</v>
      </c>
      <c r="H2113" s="18" t="s">
        <v>231</v>
      </c>
    </row>
    <row r="2114" spans="1:8">
      <c r="A2114" s="7" t="str">
        <f t="shared" si="96"/>
        <v>23</v>
      </c>
      <c r="B2114" s="7" t="str">
        <f t="shared" si="97"/>
        <v>002</v>
      </c>
      <c r="C2114" s="7" t="str">
        <f t="shared" si="98"/>
        <v>Adolfo Alsina</v>
      </c>
      <c r="D2114" s="18" t="s">
        <v>5016</v>
      </c>
      <c r="E2114" s="18">
        <v>1</v>
      </c>
      <c r="F2114" s="18">
        <v>0</v>
      </c>
      <c r="G2114" s="18">
        <v>23</v>
      </c>
      <c r="H2114" s="18" t="s">
        <v>231</v>
      </c>
    </row>
    <row r="2115" spans="1:8">
      <c r="A2115" s="7" t="str">
        <f t="shared" ref="A2115:A2178" si="99">+VLOOKUP(H2115,$K:$N,2,FALSE)</f>
        <v>23</v>
      </c>
      <c r="B2115" s="7" t="str">
        <f t="shared" ref="B2115:B2178" si="100">+VLOOKUP(H2115,$K:$N,3,FALSE)</f>
        <v>025</v>
      </c>
      <c r="C2115" s="7" t="str">
        <f t="shared" ref="C2115:C2178" si="101">+VLOOKUP(H2115,$K:$N,4,FALSE)</f>
        <v>Coronel Suárez</v>
      </c>
      <c r="D2115" s="18" t="s">
        <v>5018</v>
      </c>
      <c r="E2115" s="18">
        <v>4</v>
      </c>
      <c r="F2115" s="18">
        <v>90</v>
      </c>
      <c r="G2115" s="18">
        <v>23</v>
      </c>
      <c r="H2115" s="18" t="s">
        <v>5017</v>
      </c>
    </row>
    <row r="2116" spans="1:8">
      <c r="A2116" s="7" t="str">
        <f t="shared" si="99"/>
        <v>23</v>
      </c>
      <c r="B2116" s="7" t="str">
        <f t="shared" si="100"/>
        <v>025</v>
      </c>
      <c r="C2116" s="7" t="str">
        <f t="shared" si="101"/>
        <v>Coronel Suárez</v>
      </c>
      <c r="D2116" s="18" t="s">
        <v>5019</v>
      </c>
      <c r="E2116" s="18">
        <v>1</v>
      </c>
      <c r="F2116" s="18">
        <v>18</v>
      </c>
      <c r="G2116" s="18">
        <v>23</v>
      </c>
      <c r="H2116" s="18" t="s">
        <v>5017</v>
      </c>
    </row>
    <row r="2117" spans="1:8">
      <c r="A2117" s="7" t="str">
        <f t="shared" si="99"/>
        <v>23</v>
      </c>
      <c r="B2117" s="7" t="str">
        <f t="shared" si="100"/>
        <v>020</v>
      </c>
      <c r="C2117" s="7" t="str">
        <f t="shared" si="101"/>
        <v>Daireaux</v>
      </c>
      <c r="D2117" s="18" t="s">
        <v>5020</v>
      </c>
      <c r="E2117" s="18">
        <v>1</v>
      </c>
      <c r="F2117" s="18">
        <v>28</v>
      </c>
      <c r="G2117" s="18">
        <v>23</v>
      </c>
      <c r="H2117" s="18" t="s">
        <v>684</v>
      </c>
    </row>
    <row r="2118" spans="1:8">
      <c r="A2118" s="7" t="str">
        <f t="shared" si="99"/>
        <v>23</v>
      </c>
      <c r="B2118" s="7" t="str">
        <f t="shared" si="100"/>
        <v>020</v>
      </c>
      <c r="C2118" s="7" t="str">
        <f t="shared" si="101"/>
        <v>Daireaux</v>
      </c>
      <c r="D2118" s="18" t="s">
        <v>5021</v>
      </c>
      <c r="E2118" s="18">
        <v>1</v>
      </c>
      <c r="F2118" s="18">
        <v>14</v>
      </c>
      <c r="G2118" s="18">
        <v>23</v>
      </c>
      <c r="H2118" s="18" t="s">
        <v>684</v>
      </c>
    </row>
    <row r="2119" spans="1:8">
      <c r="A2119" s="7" t="str">
        <f t="shared" si="99"/>
        <v>23</v>
      </c>
      <c r="B2119" s="7" t="str">
        <f t="shared" si="100"/>
        <v>020</v>
      </c>
      <c r="C2119" s="7" t="str">
        <f t="shared" si="101"/>
        <v>Daireaux</v>
      </c>
      <c r="D2119" s="18" t="s">
        <v>5022</v>
      </c>
      <c r="E2119" s="18">
        <v>1</v>
      </c>
      <c r="F2119" s="18">
        <v>6</v>
      </c>
      <c r="G2119" s="18">
        <v>23</v>
      </c>
      <c r="H2119" s="18" t="s">
        <v>684</v>
      </c>
    </row>
    <row r="2120" spans="1:8">
      <c r="A2120" s="7" t="str">
        <f t="shared" si="99"/>
        <v>23</v>
      </c>
      <c r="B2120" s="7" t="str">
        <f t="shared" si="100"/>
        <v>020</v>
      </c>
      <c r="C2120" s="7" t="str">
        <f t="shared" si="101"/>
        <v>Daireaux</v>
      </c>
      <c r="D2120" s="18" t="s">
        <v>5023</v>
      </c>
      <c r="E2120" s="18">
        <v>1</v>
      </c>
      <c r="F2120" s="18">
        <v>10</v>
      </c>
      <c r="G2120" s="18">
        <v>23</v>
      </c>
      <c r="H2120" s="18" t="s">
        <v>684</v>
      </c>
    </row>
    <row r="2121" spans="1:8">
      <c r="A2121" s="7" t="str">
        <f t="shared" si="99"/>
        <v>23</v>
      </c>
      <c r="B2121" s="7" t="str">
        <f t="shared" si="100"/>
        <v>038</v>
      </c>
      <c r="C2121" s="7" t="str">
        <f t="shared" si="101"/>
        <v>General La Madrid</v>
      </c>
      <c r="D2121" s="18" t="s">
        <v>5025</v>
      </c>
      <c r="E2121" s="18">
        <v>1</v>
      </c>
      <c r="F2121" s="18">
        <v>11</v>
      </c>
      <c r="G2121" s="18">
        <v>23</v>
      </c>
      <c r="H2121" s="18" t="s">
        <v>5024</v>
      </c>
    </row>
    <row r="2122" spans="1:8">
      <c r="A2122" s="7" t="str">
        <f t="shared" si="99"/>
        <v>23</v>
      </c>
      <c r="B2122" s="7" t="str">
        <f t="shared" si="100"/>
        <v>038</v>
      </c>
      <c r="C2122" s="7" t="str">
        <f t="shared" si="101"/>
        <v>General La Madrid</v>
      </c>
      <c r="D2122" s="18" t="s">
        <v>5026</v>
      </c>
      <c r="E2122" s="18">
        <v>1</v>
      </c>
      <c r="F2122" s="18">
        <v>14</v>
      </c>
      <c r="G2122" s="18">
        <v>23</v>
      </c>
      <c r="H2122" s="18" t="s">
        <v>5024</v>
      </c>
    </row>
    <row r="2123" spans="1:8">
      <c r="A2123" s="7" t="str">
        <f t="shared" si="99"/>
        <v>23</v>
      </c>
      <c r="B2123" s="7" t="str">
        <f t="shared" si="100"/>
        <v>051</v>
      </c>
      <c r="C2123" s="7" t="str">
        <f t="shared" si="101"/>
        <v>Guaminí</v>
      </c>
      <c r="D2123" s="18" t="s">
        <v>5028</v>
      </c>
      <c r="E2123" s="18">
        <v>1</v>
      </c>
      <c r="F2123" s="18">
        <v>16</v>
      </c>
      <c r="G2123" s="18">
        <v>23</v>
      </c>
      <c r="H2123" s="18" t="s">
        <v>5027</v>
      </c>
    </row>
    <row r="2124" spans="1:8">
      <c r="A2124" s="7" t="str">
        <f t="shared" si="99"/>
        <v>23</v>
      </c>
      <c r="B2124" s="7" t="str">
        <f t="shared" si="100"/>
        <v>051</v>
      </c>
      <c r="C2124" s="7" t="str">
        <f t="shared" si="101"/>
        <v>Guaminí</v>
      </c>
      <c r="D2124" s="18" t="s">
        <v>5029</v>
      </c>
      <c r="E2124" s="18">
        <v>1</v>
      </c>
      <c r="F2124" s="18">
        <v>14</v>
      </c>
      <c r="G2124" s="18">
        <v>23</v>
      </c>
      <c r="H2124" s="18" t="s">
        <v>5027</v>
      </c>
    </row>
    <row r="2125" spans="1:8">
      <c r="A2125" s="7" t="str">
        <f t="shared" si="99"/>
        <v>23</v>
      </c>
      <c r="B2125" s="7" t="str">
        <f t="shared" si="100"/>
        <v>084</v>
      </c>
      <c r="C2125" s="7" t="str">
        <f t="shared" si="101"/>
        <v>Puan</v>
      </c>
      <c r="D2125" s="18" t="s">
        <v>5030</v>
      </c>
      <c r="E2125" s="18">
        <v>2</v>
      </c>
      <c r="F2125" s="18">
        <v>24</v>
      </c>
      <c r="G2125" s="18">
        <v>23</v>
      </c>
      <c r="H2125" s="18" t="s">
        <v>2075</v>
      </c>
    </row>
    <row r="2126" spans="1:8">
      <c r="A2126" s="7" t="str">
        <f t="shared" si="99"/>
        <v>23</v>
      </c>
      <c r="B2126" s="7" t="str">
        <f t="shared" si="100"/>
        <v>091</v>
      </c>
      <c r="C2126" s="7" t="str">
        <f t="shared" si="101"/>
        <v>Saavedra</v>
      </c>
      <c r="D2126" s="18" t="s">
        <v>5031</v>
      </c>
      <c r="E2126" s="18">
        <v>1</v>
      </c>
      <c r="F2126" s="18">
        <v>10</v>
      </c>
      <c r="G2126" s="18">
        <v>23</v>
      </c>
      <c r="H2126" s="18" t="s">
        <v>2185</v>
      </c>
    </row>
    <row r="2127" spans="1:8">
      <c r="A2127" s="7" t="str">
        <f t="shared" si="99"/>
        <v>23</v>
      </c>
      <c r="B2127" s="7" t="str">
        <f t="shared" si="100"/>
        <v>091</v>
      </c>
      <c r="C2127" s="7" t="str">
        <f t="shared" si="101"/>
        <v>Saavedra</v>
      </c>
      <c r="D2127" s="18" t="s">
        <v>5032</v>
      </c>
      <c r="E2127" s="18">
        <v>1</v>
      </c>
      <c r="F2127" s="18">
        <v>10</v>
      </c>
      <c r="G2127" s="18">
        <v>23</v>
      </c>
      <c r="H2127" s="18" t="s">
        <v>2185</v>
      </c>
    </row>
    <row r="2128" spans="1:8">
      <c r="A2128" s="7" t="str">
        <f t="shared" si="99"/>
        <v>23</v>
      </c>
      <c r="B2128" s="7" t="str">
        <f t="shared" si="100"/>
        <v>091</v>
      </c>
      <c r="C2128" s="7" t="str">
        <f t="shared" si="101"/>
        <v>Saavedra</v>
      </c>
      <c r="D2128" s="18" t="s">
        <v>5033</v>
      </c>
      <c r="E2128" s="18">
        <v>1</v>
      </c>
      <c r="F2128" s="18">
        <v>10</v>
      </c>
      <c r="G2128" s="18">
        <v>23</v>
      </c>
      <c r="H2128" s="18" t="s">
        <v>2185</v>
      </c>
    </row>
    <row r="2129" spans="1:8">
      <c r="A2129" s="7" t="str">
        <f t="shared" si="99"/>
        <v>23</v>
      </c>
      <c r="B2129" s="7" t="str">
        <f t="shared" si="100"/>
        <v>091</v>
      </c>
      <c r="C2129" s="7" t="str">
        <f t="shared" si="101"/>
        <v>Saavedra</v>
      </c>
      <c r="D2129" s="18" t="s">
        <v>5034</v>
      </c>
      <c r="E2129" s="18">
        <v>1</v>
      </c>
      <c r="F2129" s="18">
        <v>20</v>
      </c>
      <c r="G2129" s="18">
        <v>23</v>
      </c>
      <c r="H2129" s="18" t="s">
        <v>2185</v>
      </c>
    </row>
    <row r="2130" spans="1:8">
      <c r="A2130" s="7" t="str">
        <f t="shared" si="99"/>
        <v>23</v>
      </c>
      <c r="B2130" s="7" t="str">
        <f t="shared" si="100"/>
        <v>091</v>
      </c>
      <c r="C2130" s="7" t="str">
        <f t="shared" si="101"/>
        <v>Saavedra</v>
      </c>
      <c r="D2130" s="18" t="s">
        <v>5035</v>
      </c>
      <c r="E2130" s="18">
        <v>1</v>
      </c>
      <c r="F2130" s="18">
        <v>12</v>
      </c>
      <c r="G2130" s="18">
        <v>23</v>
      </c>
      <c r="H2130" s="18" t="s">
        <v>2185</v>
      </c>
    </row>
    <row r="2131" spans="1:8">
      <c r="A2131" s="7" t="str">
        <f t="shared" si="99"/>
        <v>23</v>
      </c>
      <c r="B2131" s="7" t="str">
        <f t="shared" si="100"/>
        <v>105</v>
      </c>
      <c r="C2131" s="7" t="str">
        <f t="shared" si="101"/>
        <v>Tornquist</v>
      </c>
      <c r="D2131" s="18" t="s">
        <v>5036</v>
      </c>
      <c r="E2131" s="18">
        <v>1</v>
      </c>
      <c r="F2131" s="18">
        <v>26</v>
      </c>
      <c r="G2131" s="18">
        <v>23</v>
      </c>
      <c r="H2131" s="18" t="s">
        <v>2430</v>
      </c>
    </row>
    <row r="2132" spans="1:8">
      <c r="A2132" s="7" t="str">
        <f t="shared" si="99"/>
        <v>23</v>
      </c>
      <c r="B2132" s="7" t="str">
        <f t="shared" si="100"/>
        <v>105</v>
      </c>
      <c r="C2132" s="7" t="str">
        <f t="shared" si="101"/>
        <v>Tornquist</v>
      </c>
      <c r="D2132" s="18" t="s">
        <v>5037</v>
      </c>
      <c r="E2132" s="18">
        <v>1</v>
      </c>
      <c r="F2132" s="18">
        <v>11</v>
      </c>
      <c r="G2132" s="18">
        <v>23</v>
      </c>
      <c r="H2132" s="18" t="s">
        <v>2430</v>
      </c>
    </row>
    <row r="2133" spans="1:8">
      <c r="A2133" s="7" t="str">
        <f t="shared" si="99"/>
        <v>23</v>
      </c>
      <c r="B2133" s="7" t="str">
        <f t="shared" si="100"/>
        <v>105</v>
      </c>
      <c r="C2133" s="7" t="str">
        <f t="shared" si="101"/>
        <v>Tornquist</v>
      </c>
      <c r="D2133" s="18" t="s">
        <v>5038</v>
      </c>
      <c r="E2133" s="18">
        <v>1</v>
      </c>
      <c r="F2133" s="18">
        <v>9</v>
      </c>
      <c r="G2133" s="18">
        <v>23</v>
      </c>
      <c r="H2133" s="18" t="s">
        <v>2430</v>
      </c>
    </row>
    <row r="2134" spans="1:8">
      <c r="A2134" s="7" t="str">
        <f t="shared" si="99"/>
        <v>23</v>
      </c>
      <c r="B2134" s="7" t="str">
        <f t="shared" si="100"/>
        <v>105</v>
      </c>
      <c r="C2134" s="7" t="str">
        <f t="shared" si="101"/>
        <v>Tornquist</v>
      </c>
      <c r="D2134" s="18" t="s">
        <v>5039</v>
      </c>
      <c r="E2134" s="18">
        <v>2</v>
      </c>
      <c r="F2134" s="18">
        <v>46</v>
      </c>
      <c r="G2134" s="18">
        <v>23</v>
      </c>
      <c r="H2134" s="18" t="s">
        <v>2430</v>
      </c>
    </row>
    <row r="2135" spans="1:8">
      <c r="A2135" s="7" t="str">
        <f t="shared" si="99"/>
        <v>24</v>
      </c>
      <c r="B2135" s="7" t="str">
        <f t="shared" si="100"/>
        <v>108</v>
      </c>
      <c r="C2135" s="7" t="str">
        <f t="shared" si="101"/>
        <v>25 de Mayo</v>
      </c>
      <c r="D2135" s="18" t="s">
        <v>5041</v>
      </c>
      <c r="E2135" s="18">
        <v>1</v>
      </c>
      <c r="F2135" s="18">
        <v>14</v>
      </c>
      <c r="G2135" s="18">
        <v>24</v>
      </c>
      <c r="H2135" s="18" t="s">
        <v>5040</v>
      </c>
    </row>
    <row r="2136" spans="1:8">
      <c r="A2136" s="7" t="str">
        <f t="shared" si="99"/>
        <v>24</v>
      </c>
      <c r="B2136" s="7" t="str">
        <f t="shared" si="100"/>
        <v>108</v>
      </c>
      <c r="C2136" s="7" t="str">
        <f t="shared" si="101"/>
        <v>25 de Mayo</v>
      </c>
      <c r="D2136" s="18" t="s">
        <v>5042</v>
      </c>
      <c r="E2136" s="18">
        <v>4</v>
      </c>
      <c r="F2136" s="18">
        <v>101</v>
      </c>
      <c r="G2136" s="18">
        <v>24</v>
      </c>
      <c r="H2136" s="18" t="s">
        <v>5040</v>
      </c>
    </row>
    <row r="2137" spans="1:8">
      <c r="A2137" s="7" t="str">
        <f t="shared" si="99"/>
        <v>24</v>
      </c>
      <c r="B2137" s="7" t="str">
        <f t="shared" si="100"/>
        <v>108</v>
      </c>
      <c r="C2137" s="7" t="str">
        <f t="shared" si="101"/>
        <v>25 de Mayo</v>
      </c>
      <c r="D2137" s="18" t="s">
        <v>5043</v>
      </c>
      <c r="E2137" s="18">
        <v>1</v>
      </c>
      <c r="F2137" s="18">
        <v>22</v>
      </c>
      <c r="G2137" s="18">
        <v>24</v>
      </c>
      <c r="H2137" s="18" t="s">
        <v>5040</v>
      </c>
    </row>
    <row r="2138" spans="1:8">
      <c r="A2138" s="7" t="str">
        <f t="shared" si="99"/>
        <v>24</v>
      </c>
      <c r="B2138" s="7" t="str">
        <f t="shared" si="100"/>
        <v>108</v>
      </c>
      <c r="C2138" s="7" t="str">
        <f t="shared" si="101"/>
        <v>25 de Mayo</v>
      </c>
      <c r="D2138" s="18" t="s">
        <v>5044</v>
      </c>
      <c r="E2138" s="18">
        <v>1</v>
      </c>
      <c r="F2138" s="18">
        <v>12</v>
      </c>
      <c r="G2138" s="18">
        <v>24</v>
      </c>
      <c r="H2138" s="18" t="s">
        <v>5040</v>
      </c>
    </row>
    <row r="2139" spans="1:8">
      <c r="A2139" s="7" t="str">
        <f t="shared" si="99"/>
        <v>24</v>
      </c>
      <c r="B2139" s="7" t="str">
        <f t="shared" si="100"/>
        <v>108</v>
      </c>
      <c r="C2139" s="7" t="str">
        <f t="shared" si="101"/>
        <v>25 de Mayo</v>
      </c>
      <c r="D2139" s="18" t="s">
        <v>5045</v>
      </c>
      <c r="E2139" s="18">
        <v>1</v>
      </c>
      <c r="F2139" s="18">
        <v>6</v>
      </c>
      <c r="G2139" s="18">
        <v>24</v>
      </c>
      <c r="H2139" s="18" t="s">
        <v>5040</v>
      </c>
    </row>
    <row r="2140" spans="1:8">
      <c r="A2140" s="7" t="str">
        <f t="shared" si="99"/>
        <v>24</v>
      </c>
      <c r="B2140" s="7" t="str">
        <f t="shared" si="100"/>
        <v>108</v>
      </c>
      <c r="C2140" s="7" t="str">
        <f t="shared" si="101"/>
        <v>25 de Mayo</v>
      </c>
      <c r="D2140" s="18" t="s">
        <v>5046</v>
      </c>
      <c r="E2140" s="18">
        <v>1</v>
      </c>
      <c r="F2140" s="18">
        <v>14</v>
      </c>
      <c r="G2140" s="18">
        <v>24</v>
      </c>
      <c r="H2140" s="18" t="s">
        <v>5040</v>
      </c>
    </row>
    <row r="2141" spans="1:8">
      <c r="A2141" s="7" t="str">
        <f t="shared" si="99"/>
        <v>24</v>
      </c>
      <c r="B2141" s="7" t="str">
        <f t="shared" si="100"/>
        <v>034</v>
      </c>
      <c r="C2141" s="7" t="str">
        <f t="shared" si="101"/>
        <v>General Alvear</v>
      </c>
      <c r="D2141" s="18" t="s">
        <v>5047</v>
      </c>
      <c r="E2141" s="18">
        <v>1</v>
      </c>
      <c r="F2141" s="18">
        <v>0</v>
      </c>
      <c r="G2141" s="18">
        <v>24</v>
      </c>
      <c r="H2141" s="18" t="s">
        <v>891</v>
      </c>
    </row>
    <row r="2142" spans="1:8">
      <c r="A2142" s="7" t="str">
        <f t="shared" si="99"/>
        <v>24</v>
      </c>
      <c r="B2142" s="7" t="str">
        <f t="shared" si="100"/>
        <v>034</v>
      </c>
      <c r="C2142" s="7" t="str">
        <f t="shared" si="101"/>
        <v>General Alvear</v>
      </c>
      <c r="D2142" s="18" t="s">
        <v>5048</v>
      </c>
      <c r="E2142" s="18">
        <v>1</v>
      </c>
      <c r="F2142" s="18">
        <v>4</v>
      </c>
      <c r="G2142" s="18">
        <v>24</v>
      </c>
      <c r="H2142" s="18" t="s">
        <v>891</v>
      </c>
    </row>
    <row r="2143" spans="1:8">
      <c r="A2143" s="7" t="str">
        <f t="shared" si="99"/>
        <v>24</v>
      </c>
      <c r="B2143" s="7" t="str">
        <f t="shared" si="100"/>
        <v>034</v>
      </c>
      <c r="C2143" s="7" t="str">
        <f t="shared" si="101"/>
        <v>General Alvear</v>
      </c>
      <c r="D2143" s="18" t="s">
        <v>5049</v>
      </c>
      <c r="E2143" s="18">
        <v>1</v>
      </c>
      <c r="F2143" s="18">
        <v>6</v>
      </c>
      <c r="G2143" s="18">
        <v>24</v>
      </c>
      <c r="H2143" s="18" t="s">
        <v>891</v>
      </c>
    </row>
    <row r="2144" spans="1:8">
      <c r="A2144" s="7" t="str">
        <f t="shared" si="99"/>
        <v>24</v>
      </c>
      <c r="B2144" s="7" t="str">
        <f t="shared" si="100"/>
        <v>056</v>
      </c>
      <c r="C2144" s="7" t="str">
        <f t="shared" si="101"/>
        <v>Las Flores</v>
      </c>
      <c r="D2144" s="18" t="s">
        <v>5050</v>
      </c>
      <c r="E2144" s="18">
        <v>4</v>
      </c>
      <c r="F2144" s="18">
        <v>134</v>
      </c>
      <c r="G2144" s="18">
        <v>24</v>
      </c>
      <c r="H2144" s="18" t="s">
        <v>1315</v>
      </c>
    </row>
    <row r="2145" spans="1:8">
      <c r="A2145" s="7" t="str">
        <f t="shared" si="99"/>
        <v>24</v>
      </c>
      <c r="B2145" s="7" t="str">
        <f t="shared" si="100"/>
        <v>056</v>
      </c>
      <c r="C2145" s="7" t="str">
        <f t="shared" si="101"/>
        <v>Las Flores</v>
      </c>
      <c r="D2145" s="18" t="s">
        <v>5051</v>
      </c>
      <c r="E2145" s="18">
        <v>2</v>
      </c>
      <c r="F2145" s="18">
        <v>41</v>
      </c>
      <c r="G2145" s="18">
        <v>24</v>
      </c>
      <c r="H2145" s="18" t="s">
        <v>1315</v>
      </c>
    </row>
    <row r="2146" spans="1:8">
      <c r="A2146" s="7" t="str">
        <f t="shared" si="99"/>
        <v>24</v>
      </c>
      <c r="B2146" s="7" t="str">
        <f t="shared" si="100"/>
        <v>061</v>
      </c>
      <c r="C2146" s="7" t="str">
        <f t="shared" si="101"/>
        <v>Lobos</v>
      </c>
      <c r="D2146" s="18" t="s">
        <v>5052</v>
      </c>
      <c r="E2146" s="18">
        <v>1</v>
      </c>
      <c r="F2146" s="18">
        <v>18</v>
      </c>
      <c r="G2146" s="18">
        <v>24</v>
      </c>
      <c r="H2146" s="18" t="s">
        <v>1349</v>
      </c>
    </row>
    <row r="2147" spans="1:8">
      <c r="A2147" s="7" t="str">
        <f t="shared" si="99"/>
        <v>24</v>
      </c>
      <c r="B2147" s="7" t="str">
        <f t="shared" si="100"/>
        <v>061</v>
      </c>
      <c r="C2147" s="7" t="str">
        <f t="shared" si="101"/>
        <v>Lobos</v>
      </c>
      <c r="D2147" s="18" t="s">
        <v>5053</v>
      </c>
      <c r="E2147" s="18">
        <v>3</v>
      </c>
      <c r="F2147" s="18">
        <v>54</v>
      </c>
      <c r="G2147" s="18">
        <v>24</v>
      </c>
      <c r="H2147" s="18" t="s">
        <v>1349</v>
      </c>
    </row>
    <row r="2148" spans="1:8">
      <c r="A2148" s="7" t="str">
        <f t="shared" si="99"/>
        <v>24</v>
      </c>
      <c r="B2148" s="7" t="str">
        <f t="shared" si="100"/>
        <v>061</v>
      </c>
      <c r="C2148" s="7" t="str">
        <f t="shared" si="101"/>
        <v>Lobos</v>
      </c>
      <c r="D2148" s="18" t="s">
        <v>5054</v>
      </c>
      <c r="E2148" s="18">
        <v>3</v>
      </c>
      <c r="F2148" s="18">
        <v>47</v>
      </c>
      <c r="G2148" s="18">
        <v>24</v>
      </c>
      <c r="H2148" s="18" t="s">
        <v>1349</v>
      </c>
    </row>
    <row r="2149" spans="1:8">
      <c r="A2149" s="7" t="str">
        <f t="shared" si="99"/>
        <v>24</v>
      </c>
      <c r="B2149" s="7" t="str">
        <f t="shared" si="100"/>
        <v>061</v>
      </c>
      <c r="C2149" s="7" t="str">
        <f t="shared" si="101"/>
        <v>Lobos</v>
      </c>
      <c r="D2149" s="18" t="s">
        <v>5055</v>
      </c>
      <c r="E2149" s="18">
        <v>2</v>
      </c>
      <c r="F2149" s="18">
        <v>21</v>
      </c>
      <c r="G2149" s="18">
        <v>24</v>
      </c>
      <c r="H2149" s="18" t="s">
        <v>1349</v>
      </c>
    </row>
    <row r="2150" spans="1:8">
      <c r="A2150" s="7" t="str">
        <f t="shared" si="99"/>
        <v>24</v>
      </c>
      <c r="B2150" s="7" t="str">
        <f t="shared" si="100"/>
        <v>090</v>
      </c>
      <c r="C2150" s="7" t="str">
        <f t="shared" si="101"/>
        <v>Roque Pérez</v>
      </c>
      <c r="D2150" s="18" t="s">
        <v>5057</v>
      </c>
      <c r="E2150" s="18">
        <v>1</v>
      </c>
      <c r="F2150" s="18">
        <v>7</v>
      </c>
      <c r="G2150" s="18">
        <v>24</v>
      </c>
      <c r="H2150" s="18" t="s">
        <v>5056</v>
      </c>
    </row>
    <row r="2151" spans="1:8">
      <c r="A2151" s="7" t="str">
        <f t="shared" si="99"/>
        <v>24</v>
      </c>
      <c r="B2151" s="7" t="str">
        <f t="shared" si="100"/>
        <v>090</v>
      </c>
      <c r="C2151" s="7" t="str">
        <f t="shared" si="101"/>
        <v>Roque Pérez</v>
      </c>
      <c r="D2151" s="18" t="s">
        <v>5058</v>
      </c>
      <c r="E2151" s="18">
        <v>1</v>
      </c>
      <c r="F2151" s="18">
        <v>5</v>
      </c>
      <c r="G2151" s="18">
        <v>24</v>
      </c>
      <c r="H2151" s="18" t="s">
        <v>5056</v>
      </c>
    </row>
    <row r="2152" spans="1:8">
      <c r="A2152" s="7" t="str">
        <f t="shared" si="99"/>
        <v>24</v>
      </c>
      <c r="B2152" s="7" t="str">
        <f t="shared" si="100"/>
        <v>092</v>
      </c>
      <c r="C2152" s="7" t="str">
        <f t="shared" si="101"/>
        <v>Saladillo</v>
      </c>
      <c r="D2152" s="18" t="s">
        <v>5059</v>
      </c>
      <c r="E2152" s="18">
        <v>1</v>
      </c>
      <c r="F2152" s="18">
        <v>9</v>
      </c>
      <c r="G2152" s="18">
        <v>24</v>
      </c>
      <c r="H2152" s="18" t="s">
        <v>2196</v>
      </c>
    </row>
    <row r="2153" spans="1:8">
      <c r="A2153" s="7" t="str">
        <f t="shared" si="99"/>
        <v>24</v>
      </c>
      <c r="B2153" s="7" t="str">
        <f t="shared" si="100"/>
        <v>092</v>
      </c>
      <c r="C2153" s="7" t="str">
        <f t="shared" si="101"/>
        <v>Saladillo</v>
      </c>
      <c r="D2153" s="18" t="s">
        <v>5060</v>
      </c>
      <c r="E2153" s="18">
        <v>3</v>
      </c>
      <c r="F2153" s="18">
        <v>64</v>
      </c>
      <c r="G2153" s="18">
        <v>24</v>
      </c>
      <c r="H2153" s="18" t="s">
        <v>2196</v>
      </c>
    </row>
    <row r="2154" spans="1:8">
      <c r="A2154" s="7" t="str">
        <f t="shared" si="99"/>
        <v>24</v>
      </c>
      <c r="B2154" s="7" t="str">
        <f t="shared" si="100"/>
        <v>092</v>
      </c>
      <c r="C2154" s="7" t="str">
        <f t="shared" si="101"/>
        <v>Saladillo</v>
      </c>
      <c r="D2154" s="18" t="s">
        <v>5061</v>
      </c>
      <c r="E2154" s="18">
        <v>3</v>
      </c>
      <c r="F2154" s="18">
        <v>58</v>
      </c>
      <c r="G2154" s="18">
        <v>24</v>
      </c>
      <c r="H2154" s="18" t="s">
        <v>2196</v>
      </c>
    </row>
    <row r="2155" spans="1:8">
      <c r="A2155" s="7" t="str">
        <f t="shared" si="99"/>
        <v>25</v>
      </c>
      <c r="B2155" s="7" t="str">
        <f t="shared" si="100"/>
        <v>007</v>
      </c>
      <c r="C2155" s="7" t="str">
        <f t="shared" si="101"/>
        <v>Azul</v>
      </c>
      <c r="D2155" s="18" t="s">
        <v>3130</v>
      </c>
      <c r="E2155" s="18">
        <v>1</v>
      </c>
      <c r="F2155" s="18">
        <v>19</v>
      </c>
      <c r="G2155" s="18">
        <v>25</v>
      </c>
      <c r="H2155" s="18" t="s">
        <v>432</v>
      </c>
    </row>
    <row r="2156" spans="1:8">
      <c r="A2156" s="7" t="str">
        <f t="shared" si="99"/>
        <v>25</v>
      </c>
      <c r="B2156" s="7" t="str">
        <f t="shared" si="100"/>
        <v>007</v>
      </c>
      <c r="C2156" s="7" t="str">
        <f t="shared" si="101"/>
        <v>Azul</v>
      </c>
      <c r="D2156" s="18" t="s">
        <v>5062</v>
      </c>
      <c r="E2156" s="18">
        <v>1</v>
      </c>
      <c r="F2156" s="18">
        <v>20</v>
      </c>
      <c r="G2156" s="18">
        <v>25</v>
      </c>
      <c r="H2156" s="18" t="s">
        <v>432</v>
      </c>
    </row>
    <row r="2157" spans="1:8">
      <c r="A2157" s="7" t="str">
        <f t="shared" si="99"/>
        <v>25</v>
      </c>
      <c r="B2157" s="7" t="str">
        <f t="shared" si="100"/>
        <v>007</v>
      </c>
      <c r="C2157" s="7" t="str">
        <f t="shared" si="101"/>
        <v>Azul</v>
      </c>
      <c r="D2157" s="18" t="s">
        <v>5063</v>
      </c>
      <c r="E2157" s="18">
        <v>1</v>
      </c>
      <c r="F2157" s="18">
        <v>22</v>
      </c>
      <c r="G2157" s="18">
        <v>25</v>
      </c>
      <c r="H2157" s="18" t="s">
        <v>432</v>
      </c>
    </row>
    <row r="2158" spans="1:8">
      <c r="A2158" s="7" t="str">
        <f t="shared" si="99"/>
        <v>25</v>
      </c>
      <c r="B2158" s="7" t="str">
        <f t="shared" si="100"/>
        <v>007</v>
      </c>
      <c r="C2158" s="7" t="str">
        <f t="shared" si="101"/>
        <v>Azul</v>
      </c>
      <c r="D2158" s="18" t="s">
        <v>5064</v>
      </c>
      <c r="E2158" s="18">
        <v>1</v>
      </c>
      <c r="F2158" s="18">
        <v>12</v>
      </c>
      <c r="G2158" s="18">
        <v>25</v>
      </c>
      <c r="H2158" s="18" t="s">
        <v>432</v>
      </c>
    </row>
    <row r="2159" spans="1:8">
      <c r="A2159" s="7" t="str">
        <f t="shared" si="99"/>
        <v>25</v>
      </c>
      <c r="B2159" s="7" t="str">
        <f t="shared" si="100"/>
        <v>007</v>
      </c>
      <c r="C2159" s="7" t="str">
        <f t="shared" si="101"/>
        <v>Azul</v>
      </c>
      <c r="D2159" s="18" t="s">
        <v>5065</v>
      </c>
      <c r="E2159" s="18">
        <v>2</v>
      </c>
      <c r="F2159" s="18">
        <v>44</v>
      </c>
      <c r="G2159" s="18">
        <v>25</v>
      </c>
      <c r="H2159" s="18" t="s">
        <v>432</v>
      </c>
    </row>
    <row r="2160" spans="1:8">
      <c r="A2160" s="7" t="str">
        <f t="shared" si="99"/>
        <v>25</v>
      </c>
      <c r="B2160" s="7" t="str">
        <f t="shared" si="100"/>
        <v>007</v>
      </c>
      <c r="C2160" s="7" t="str">
        <f t="shared" si="101"/>
        <v>Azul</v>
      </c>
      <c r="D2160" s="18" t="s">
        <v>5066</v>
      </c>
      <c r="E2160" s="18">
        <v>1</v>
      </c>
      <c r="F2160" s="18">
        <v>16</v>
      </c>
      <c r="G2160" s="18">
        <v>25</v>
      </c>
      <c r="H2160" s="18" t="s">
        <v>432</v>
      </c>
    </row>
    <row r="2161" spans="1:8">
      <c r="A2161" s="7" t="str">
        <f t="shared" si="99"/>
        <v>25</v>
      </c>
      <c r="B2161" s="7" t="str">
        <f t="shared" si="100"/>
        <v>007</v>
      </c>
      <c r="C2161" s="7" t="str">
        <f t="shared" si="101"/>
        <v>Azul</v>
      </c>
      <c r="D2161" s="18" t="s">
        <v>5067</v>
      </c>
      <c r="E2161" s="18">
        <v>2</v>
      </c>
      <c r="F2161" s="18">
        <v>58</v>
      </c>
      <c r="G2161" s="18">
        <v>25</v>
      </c>
      <c r="H2161" s="18" t="s">
        <v>432</v>
      </c>
    </row>
    <row r="2162" spans="1:8">
      <c r="A2162" s="7" t="str">
        <f t="shared" si="99"/>
        <v>25</v>
      </c>
      <c r="B2162" s="7" t="str">
        <f t="shared" si="100"/>
        <v>007</v>
      </c>
      <c r="C2162" s="7" t="str">
        <f t="shared" si="101"/>
        <v>Azul</v>
      </c>
      <c r="D2162" s="18" t="s">
        <v>5068</v>
      </c>
      <c r="E2162" s="18">
        <v>3</v>
      </c>
      <c r="F2162" s="18">
        <v>62</v>
      </c>
      <c r="G2162" s="18">
        <v>25</v>
      </c>
      <c r="H2162" s="18" t="s">
        <v>432</v>
      </c>
    </row>
    <row r="2163" spans="1:8">
      <c r="A2163" s="7" t="str">
        <f t="shared" si="99"/>
        <v>25</v>
      </c>
      <c r="B2163" s="7" t="str">
        <f t="shared" si="100"/>
        <v>007</v>
      </c>
      <c r="C2163" s="7" t="str">
        <f t="shared" si="101"/>
        <v>Azul</v>
      </c>
      <c r="D2163" s="18" t="s">
        <v>5069</v>
      </c>
      <c r="E2163" s="18">
        <v>1</v>
      </c>
      <c r="F2163" s="18">
        <v>12</v>
      </c>
      <c r="G2163" s="18">
        <v>25</v>
      </c>
      <c r="H2163" s="18" t="s">
        <v>432</v>
      </c>
    </row>
    <row r="2164" spans="1:8">
      <c r="A2164" s="7" t="str">
        <f t="shared" si="99"/>
        <v>25</v>
      </c>
      <c r="B2164" s="7" t="str">
        <f t="shared" si="100"/>
        <v>007</v>
      </c>
      <c r="C2164" s="7" t="str">
        <f t="shared" si="101"/>
        <v>Azul</v>
      </c>
      <c r="D2164" s="18" t="s">
        <v>5070</v>
      </c>
      <c r="E2164" s="18">
        <v>1</v>
      </c>
      <c r="F2164" s="18">
        <v>20</v>
      </c>
      <c r="G2164" s="18">
        <v>25</v>
      </c>
      <c r="H2164" s="18" t="s">
        <v>432</v>
      </c>
    </row>
    <row r="2165" spans="1:8">
      <c r="A2165" s="7" t="str">
        <f t="shared" si="99"/>
        <v>25</v>
      </c>
      <c r="B2165" s="7" t="str">
        <f t="shared" si="100"/>
        <v>007</v>
      </c>
      <c r="C2165" s="7" t="str">
        <f t="shared" si="101"/>
        <v>Azul</v>
      </c>
      <c r="D2165" s="18" t="s">
        <v>5071</v>
      </c>
      <c r="E2165" s="18">
        <v>1</v>
      </c>
      <c r="F2165" s="18">
        <v>18</v>
      </c>
      <c r="G2165" s="18">
        <v>25</v>
      </c>
      <c r="H2165" s="18" t="s">
        <v>432</v>
      </c>
    </row>
    <row r="2166" spans="1:8">
      <c r="A2166" s="7" t="str">
        <f t="shared" si="99"/>
        <v>25</v>
      </c>
      <c r="B2166" s="7" t="str">
        <f t="shared" si="100"/>
        <v>007</v>
      </c>
      <c r="C2166" s="7" t="str">
        <f t="shared" si="101"/>
        <v>Azul</v>
      </c>
      <c r="D2166" s="18" t="s">
        <v>5072</v>
      </c>
      <c r="E2166" s="18">
        <v>1</v>
      </c>
      <c r="F2166" s="18">
        <v>16</v>
      </c>
      <c r="G2166" s="18">
        <v>25</v>
      </c>
      <c r="H2166" s="18" t="s">
        <v>432</v>
      </c>
    </row>
    <row r="2167" spans="1:8">
      <c r="A2167" s="7" t="str">
        <f t="shared" si="99"/>
        <v>25</v>
      </c>
      <c r="B2167" s="7" t="str">
        <f t="shared" si="100"/>
        <v>007</v>
      </c>
      <c r="C2167" s="7" t="str">
        <f t="shared" si="101"/>
        <v>Azul</v>
      </c>
      <c r="D2167" s="18" t="s">
        <v>5073</v>
      </c>
      <c r="E2167" s="18">
        <v>1</v>
      </c>
      <c r="F2167" s="18">
        <v>21</v>
      </c>
      <c r="G2167" s="18">
        <v>25</v>
      </c>
      <c r="H2167" s="18" t="s">
        <v>432</v>
      </c>
    </row>
    <row r="2168" spans="1:8">
      <c r="A2168" s="7" t="str">
        <f t="shared" si="99"/>
        <v>25</v>
      </c>
      <c r="B2168" s="7" t="str">
        <f t="shared" si="100"/>
        <v>007</v>
      </c>
      <c r="C2168" s="7" t="str">
        <f t="shared" si="101"/>
        <v>Azul</v>
      </c>
      <c r="D2168" s="18" t="s">
        <v>5074</v>
      </c>
      <c r="E2168" s="18">
        <v>1</v>
      </c>
      <c r="F2168" s="18">
        <v>19</v>
      </c>
      <c r="G2168" s="18">
        <v>25</v>
      </c>
      <c r="H2168" s="18" t="s">
        <v>432</v>
      </c>
    </row>
    <row r="2169" spans="1:8">
      <c r="A2169" s="7" t="str">
        <f t="shared" si="99"/>
        <v>25</v>
      </c>
      <c r="B2169" s="7" t="str">
        <f t="shared" si="100"/>
        <v>007</v>
      </c>
      <c r="C2169" s="7" t="str">
        <f t="shared" si="101"/>
        <v>Azul</v>
      </c>
      <c r="D2169" s="18" t="s">
        <v>5075</v>
      </c>
      <c r="E2169" s="18">
        <v>1</v>
      </c>
      <c r="F2169" s="18">
        <v>24</v>
      </c>
      <c r="G2169" s="18">
        <v>25</v>
      </c>
      <c r="H2169" s="18" t="s">
        <v>432</v>
      </c>
    </row>
    <row r="2170" spans="1:8">
      <c r="A2170" s="7" t="str">
        <f t="shared" si="99"/>
        <v>25</v>
      </c>
      <c r="B2170" s="7" t="str">
        <f t="shared" si="100"/>
        <v>012</v>
      </c>
      <c r="C2170" s="7" t="str">
        <f t="shared" si="101"/>
        <v>Bolívar</v>
      </c>
      <c r="D2170" s="18" t="s">
        <v>5077</v>
      </c>
      <c r="E2170" s="18">
        <v>1</v>
      </c>
      <c r="F2170" s="18">
        <v>19</v>
      </c>
      <c r="G2170" s="18">
        <v>25</v>
      </c>
      <c r="H2170" s="18" t="s">
        <v>5076</v>
      </c>
    </row>
    <row r="2171" spans="1:8">
      <c r="A2171" s="7" t="str">
        <f t="shared" si="99"/>
        <v>25</v>
      </c>
      <c r="B2171" s="7" t="str">
        <f t="shared" si="100"/>
        <v>012</v>
      </c>
      <c r="C2171" s="7" t="str">
        <f t="shared" si="101"/>
        <v>Bolívar</v>
      </c>
      <c r="D2171" s="18" t="s">
        <v>5078</v>
      </c>
      <c r="E2171" s="18">
        <v>1</v>
      </c>
      <c r="F2171" s="18">
        <v>2</v>
      </c>
      <c r="G2171" s="18">
        <v>25</v>
      </c>
      <c r="H2171" s="18" t="s">
        <v>5076</v>
      </c>
    </row>
    <row r="2172" spans="1:8">
      <c r="A2172" s="7" t="str">
        <f t="shared" si="99"/>
        <v>25</v>
      </c>
      <c r="B2172" s="7" t="str">
        <f t="shared" si="100"/>
        <v>012</v>
      </c>
      <c r="C2172" s="7" t="str">
        <f t="shared" si="101"/>
        <v>Bolívar</v>
      </c>
      <c r="D2172" s="18" t="s">
        <v>5079</v>
      </c>
      <c r="E2172" s="18">
        <v>1</v>
      </c>
      <c r="F2172" s="18">
        <v>1</v>
      </c>
      <c r="G2172" s="18">
        <v>25</v>
      </c>
      <c r="H2172" s="18" t="s">
        <v>5076</v>
      </c>
    </row>
    <row r="2173" spans="1:8">
      <c r="A2173" s="7" t="str">
        <f t="shared" si="99"/>
        <v>25</v>
      </c>
      <c r="B2173" s="7" t="str">
        <f t="shared" si="100"/>
        <v>012</v>
      </c>
      <c r="C2173" s="7" t="str">
        <f t="shared" si="101"/>
        <v>Bolívar</v>
      </c>
      <c r="D2173" s="18" t="s">
        <v>5080</v>
      </c>
      <c r="E2173" s="18">
        <v>1</v>
      </c>
      <c r="F2173" s="18">
        <v>2</v>
      </c>
      <c r="G2173" s="18">
        <v>25</v>
      </c>
      <c r="H2173" s="18" t="s">
        <v>5076</v>
      </c>
    </row>
    <row r="2174" spans="1:8">
      <c r="A2174" s="7" t="str">
        <f t="shared" si="99"/>
        <v>25</v>
      </c>
      <c r="B2174" s="7" t="str">
        <f t="shared" si="100"/>
        <v>012</v>
      </c>
      <c r="C2174" s="7" t="str">
        <f t="shared" si="101"/>
        <v>Bolívar</v>
      </c>
      <c r="D2174" s="18" t="s">
        <v>5081</v>
      </c>
      <c r="E2174" s="18">
        <v>1</v>
      </c>
      <c r="F2174" s="18">
        <v>8</v>
      </c>
      <c r="G2174" s="18">
        <v>25</v>
      </c>
      <c r="H2174" s="18" t="s">
        <v>5076</v>
      </c>
    </row>
    <row r="2175" spans="1:8">
      <c r="A2175" s="7" t="str">
        <f t="shared" si="99"/>
        <v>25</v>
      </c>
      <c r="B2175" s="7" t="str">
        <f t="shared" si="100"/>
        <v>077</v>
      </c>
      <c r="C2175" s="7" t="str">
        <f t="shared" si="101"/>
        <v>Olavarría</v>
      </c>
      <c r="D2175" s="18" t="s">
        <v>5083</v>
      </c>
      <c r="E2175" s="18">
        <v>1</v>
      </c>
      <c r="F2175" s="18">
        <v>9</v>
      </c>
      <c r="G2175" s="18">
        <v>25</v>
      </c>
      <c r="H2175" s="18" t="s">
        <v>5082</v>
      </c>
    </row>
    <row r="2176" spans="1:8">
      <c r="A2176" s="7" t="str">
        <f t="shared" si="99"/>
        <v>25</v>
      </c>
      <c r="B2176" s="7" t="str">
        <f t="shared" si="100"/>
        <v>077</v>
      </c>
      <c r="C2176" s="7" t="str">
        <f t="shared" si="101"/>
        <v>Olavarría</v>
      </c>
      <c r="D2176" s="18" t="s">
        <v>5084</v>
      </c>
      <c r="E2176" s="18">
        <v>1</v>
      </c>
      <c r="F2176" s="18">
        <v>35</v>
      </c>
      <c r="G2176" s="18">
        <v>25</v>
      </c>
      <c r="H2176" s="18" t="s">
        <v>5082</v>
      </c>
    </row>
    <row r="2177" spans="1:8">
      <c r="A2177" s="7" t="str">
        <f t="shared" si="99"/>
        <v>25</v>
      </c>
      <c r="B2177" s="7" t="str">
        <f t="shared" si="100"/>
        <v>077</v>
      </c>
      <c r="C2177" s="7" t="str">
        <f t="shared" si="101"/>
        <v>Olavarría</v>
      </c>
      <c r="D2177" s="18" t="s">
        <v>5085</v>
      </c>
      <c r="E2177" s="18">
        <v>1</v>
      </c>
      <c r="F2177" s="18">
        <v>49</v>
      </c>
      <c r="G2177" s="18">
        <v>25</v>
      </c>
      <c r="H2177" s="18" t="s">
        <v>5082</v>
      </c>
    </row>
    <row r="2178" spans="1:8">
      <c r="A2178" s="7" t="str">
        <f t="shared" si="99"/>
        <v>25</v>
      </c>
      <c r="B2178" s="7" t="str">
        <f t="shared" si="100"/>
        <v>077</v>
      </c>
      <c r="C2178" s="7" t="str">
        <f t="shared" si="101"/>
        <v>Olavarría</v>
      </c>
      <c r="D2178" s="18" t="s">
        <v>5086</v>
      </c>
      <c r="E2178" s="18">
        <v>1</v>
      </c>
      <c r="F2178" s="18">
        <v>26</v>
      </c>
      <c r="G2178" s="18">
        <v>25</v>
      </c>
      <c r="H2178" s="18" t="s">
        <v>5082</v>
      </c>
    </row>
    <row r="2179" spans="1:8">
      <c r="A2179" s="7" t="str">
        <f t="shared" ref="A2179:A2191" si="102">+VLOOKUP(H2179,$K:$N,2,FALSE)</f>
        <v>25</v>
      </c>
      <c r="B2179" s="7" t="str">
        <f t="shared" ref="B2179:B2191" si="103">+VLOOKUP(H2179,$K:$N,3,FALSE)</f>
        <v>077</v>
      </c>
      <c r="C2179" s="7" t="str">
        <f t="shared" ref="C2179:C2191" si="104">+VLOOKUP(H2179,$K:$N,4,FALSE)</f>
        <v>Olavarría</v>
      </c>
      <c r="D2179" s="18" t="s">
        <v>5087</v>
      </c>
      <c r="E2179" s="18">
        <v>2</v>
      </c>
      <c r="F2179" s="18">
        <v>51</v>
      </c>
      <c r="G2179" s="18">
        <v>25</v>
      </c>
      <c r="H2179" s="18" t="s">
        <v>5082</v>
      </c>
    </row>
    <row r="2180" spans="1:8">
      <c r="A2180" s="7" t="str">
        <f t="shared" si="102"/>
        <v>25</v>
      </c>
      <c r="B2180" s="7" t="str">
        <f t="shared" si="103"/>
        <v>077</v>
      </c>
      <c r="C2180" s="7" t="str">
        <f t="shared" si="104"/>
        <v>Olavarría</v>
      </c>
      <c r="D2180" s="18" t="s">
        <v>5088</v>
      </c>
      <c r="E2180" s="18">
        <v>1</v>
      </c>
      <c r="F2180" s="18">
        <v>20</v>
      </c>
      <c r="G2180" s="18">
        <v>25</v>
      </c>
      <c r="H2180" s="18" t="s">
        <v>5082</v>
      </c>
    </row>
    <row r="2181" spans="1:8">
      <c r="A2181" s="7" t="str">
        <f t="shared" si="102"/>
        <v>25</v>
      </c>
      <c r="B2181" s="7" t="str">
        <f t="shared" si="103"/>
        <v>077</v>
      </c>
      <c r="C2181" s="7" t="str">
        <f t="shared" si="104"/>
        <v>Olavarría</v>
      </c>
      <c r="D2181" s="18" t="s">
        <v>5089</v>
      </c>
      <c r="E2181" s="18">
        <v>1</v>
      </c>
      <c r="F2181" s="18">
        <v>31</v>
      </c>
      <c r="G2181" s="18">
        <v>25</v>
      </c>
      <c r="H2181" s="18" t="s">
        <v>5082</v>
      </c>
    </row>
    <row r="2182" spans="1:8">
      <c r="A2182" s="7" t="str">
        <f t="shared" si="102"/>
        <v>25</v>
      </c>
      <c r="B2182" s="7" t="str">
        <f t="shared" si="103"/>
        <v>077</v>
      </c>
      <c r="C2182" s="7" t="str">
        <f t="shared" si="104"/>
        <v>Olavarría</v>
      </c>
      <c r="D2182" s="18" t="s">
        <v>5090</v>
      </c>
      <c r="E2182" s="18">
        <v>1</v>
      </c>
      <c r="F2182" s="18">
        <v>16</v>
      </c>
      <c r="G2182" s="18">
        <v>25</v>
      </c>
      <c r="H2182" s="18" t="s">
        <v>5082</v>
      </c>
    </row>
    <row r="2183" spans="1:8">
      <c r="A2183" s="7" t="str">
        <f t="shared" si="102"/>
        <v>25</v>
      </c>
      <c r="B2183" s="7" t="str">
        <f t="shared" si="103"/>
        <v>077</v>
      </c>
      <c r="C2183" s="7" t="str">
        <f t="shared" si="104"/>
        <v>Olavarría</v>
      </c>
      <c r="D2183" s="18" t="s">
        <v>5091</v>
      </c>
      <c r="E2183" s="18">
        <v>1</v>
      </c>
      <c r="F2183" s="18">
        <v>19</v>
      </c>
      <c r="G2183" s="18">
        <v>25</v>
      </c>
      <c r="H2183" s="18" t="s">
        <v>5082</v>
      </c>
    </row>
    <row r="2184" spans="1:8">
      <c r="A2184" s="7" t="str">
        <f t="shared" si="102"/>
        <v>25</v>
      </c>
      <c r="B2184" s="7" t="str">
        <f t="shared" si="103"/>
        <v>077</v>
      </c>
      <c r="C2184" s="7" t="str">
        <f t="shared" si="104"/>
        <v>Olavarría</v>
      </c>
      <c r="D2184" s="18" t="s">
        <v>3856</v>
      </c>
      <c r="E2184" s="18">
        <v>1</v>
      </c>
      <c r="F2184" s="18">
        <v>28</v>
      </c>
      <c r="G2184" s="18">
        <v>25</v>
      </c>
      <c r="H2184" s="18" t="s">
        <v>5082</v>
      </c>
    </row>
    <row r="2185" spans="1:8">
      <c r="A2185" s="7" t="str">
        <f t="shared" si="102"/>
        <v>25</v>
      </c>
      <c r="B2185" s="7" t="str">
        <f t="shared" si="103"/>
        <v>077</v>
      </c>
      <c r="C2185" s="7" t="str">
        <f t="shared" si="104"/>
        <v>Olavarría</v>
      </c>
      <c r="D2185" s="18" t="s">
        <v>5092</v>
      </c>
      <c r="E2185" s="18">
        <v>2</v>
      </c>
      <c r="F2185" s="18">
        <v>34</v>
      </c>
      <c r="G2185" s="18">
        <v>25</v>
      </c>
      <c r="H2185" s="18" t="s">
        <v>5082</v>
      </c>
    </row>
    <row r="2186" spans="1:8">
      <c r="A2186" s="7" t="str">
        <f t="shared" si="102"/>
        <v>25</v>
      </c>
      <c r="B2186" s="7" t="str">
        <f t="shared" si="103"/>
        <v>077</v>
      </c>
      <c r="C2186" s="7" t="str">
        <f t="shared" si="104"/>
        <v>Olavarría</v>
      </c>
      <c r="D2186" s="18" t="s">
        <v>5093</v>
      </c>
      <c r="E2186" s="18">
        <v>1</v>
      </c>
      <c r="F2186" s="18">
        <v>21</v>
      </c>
      <c r="G2186" s="18">
        <v>25</v>
      </c>
      <c r="H2186" s="18" t="s">
        <v>5082</v>
      </c>
    </row>
    <row r="2187" spans="1:8">
      <c r="A2187" s="7" t="str">
        <f t="shared" si="102"/>
        <v>25</v>
      </c>
      <c r="B2187" s="7" t="str">
        <f t="shared" si="103"/>
        <v>077</v>
      </c>
      <c r="C2187" s="7" t="str">
        <f t="shared" si="104"/>
        <v>Olavarría</v>
      </c>
      <c r="D2187" s="18" t="s">
        <v>5094</v>
      </c>
      <c r="E2187" s="18">
        <v>1</v>
      </c>
      <c r="F2187" s="18">
        <v>16</v>
      </c>
      <c r="G2187" s="18">
        <v>25</v>
      </c>
      <c r="H2187" s="18" t="s">
        <v>5082</v>
      </c>
    </row>
    <row r="2188" spans="1:8">
      <c r="A2188" s="7" t="str">
        <f t="shared" si="102"/>
        <v>25</v>
      </c>
      <c r="B2188" s="7" t="str">
        <f t="shared" si="103"/>
        <v>077</v>
      </c>
      <c r="C2188" s="7" t="str">
        <f t="shared" si="104"/>
        <v>Olavarría</v>
      </c>
      <c r="D2188" s="18" t="s">
        <v>5095</v>
      </c>
      <c r="E2188" s="18">
        <v>1</v>
      </c>
      <c r="F2188" s="18">
        <v>8</v>
      </c>
      <c r="G2188" s="18">
        <v>25</v>
      </c>
      <c r="H2188" s="18" t="s">
        <v>5082</v>
      </c>
    </row>
    <row r="2189" spans="1:8">
      <c r="A2189" s="7" t="str">
        <f t="shared" si="102"/>
        <v>25</v>
      </c>
      <c r="B2189" s="7" t="str">
        <f t="shared" si="103"/>
        <v>103</v>
      </c>
      <c r="C2189" s="7" t="str">
        <f t="shared" si="104"/>
        <v>Tapalqué</v>
      </c>
      <c r="D2189" s="18" t="s">
        <v>5097</v>
      </c>
      <c r="E2189" s="18">
        <v>1</v>
      </c>
      <c r="F2189" s="18">
        <v>19</v>
      </c>
      <c r="G2189" s="18">
        <v>25</v>
      </c>
      <c r="H2189" s="18" t="s">
        <v>5096</v>
      </c>
    </row>
    <row r="2190" spans="1:8">
      <c r="A2190" s="7" t="str">
        <f t="shared" si="102"/>
        <v>25</v>
      </c>
      <c r="B2190" s="7" t="str">
        <f t="shared" si="103"/>
        <v>103</v>
      </c>
      <c r="C2190" s="7" t="str">
        <f t="shared" si="104"/>
        <v>Tapalqué</v>
      </c>
      <c r="D2190" s="18" t="s">
        <v>5098</v>
      </c>
      <c r="E2190" s="18">
        <v>1</v>
      </c>
      <c r="F2190" s="18">
        <v>10</v>
      </c>
      <c r="G2190" s="18">
        <v>25</v>
      </c>
      <c r="H2190" s="18" t="s">
        <v>5096</v>
      </c>
    </row>
    <row r="2191" spans="1:8">
      <c r="A2191" s="7" t="str">
        <f t="shared" si="102"/>
        <v>25</v>
      </c>
      <c r="B2191" s="7" t="str">
        <f t="shared" si="103"/>
        <v>103</v>
      </c>
      <c r="C2191" s="7" t="str">
        <f t="shared" si="104"/>
        <v>Tapalqué</v>
      </c>
      <c r="D2191" s="18" t="s">
        <v>3926</v>
      </c>
      <c r="E2191" s="18">
        <v>2</v>
      </c>
      <c r="F2191" s="18">
        <v>25</v>
      </c>
      <c r="G2191" s="18">
        <v>25</v>
      </c>
      <c r="H2191" s="18" t="s">
        <v>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Nómina</vt:lpstr>
      <vt:lpstr>Estratos</vt:lpstr>
      <vt:lpstr>Fines-Sedes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Privada</cp:lastModifiedBy>
  <dcterms:created xsi:type="dcterms:W3CDTF">2026-05-26T16:32:49Z</dcterms:created>
  <dcterms:modified xsi:type="dcterms:W3CDTF">2026-05-27T11:29:11Z</dcterms:modified>
</cp:coreProperties>
</file>